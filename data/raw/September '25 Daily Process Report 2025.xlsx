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drawings/drawing1.xml" ContentType="application/vnd.openxmlformats-officedocument.drawing+xml"/>
  <Override PartName="/xl/comments24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Operations\Brewing\Reports Local\Daily Process Report\2025 Daily Process Report\"/>
    </mc:Choice>
  </mc:AlternateContent>
  <xr:revisionPtr revIDLastSave="0" documentId="13_ncr:1_{26962CCD-CDD2-4ADF-AFCD-8AFBD3E0C6C5}" xr6:coauthVersionLast="47" xr6:coauthVersionMax="47" xr10:uidLastSave="{00000000-0000-0000-0000-000000000000}"/>
  <bookViews>
    <workbookView xWindow="-120" yWindow="-120" windowWidth="29040" windowHeight="15720" tabRatio="599" firstSheet="17" activeTab="22" xr2:uid="{1120807F-7390-4E10-A66F-84111922E872}"/>
  </bookViews>
  <sheets>
    <sheet name="Dec 18th" sheetId="658" state="hidden" r:id="rId1"/>
    <sheet name="Sept 1st" sheetId="819" r:id="rId2"/>
    <sheet name="Sept 2nd" sheetId="821" r:id="rId3"/>
    <sheet name="Sept 3rd" sheetId="822" r:id="rId4"/>
    <sheet name="Sept 4th" sheetId="823" r:id="rId5"/>
    <sheet name="Sept 5th " sheetId="824" r:id="rId6"/>
    <sheet name="Sept 8th" sheetId="825" r:id="rId7"/>
    <sheet name="Sept 9th" sheetId="826" r:id="rId8"/>
    <sheet name="Sept 10th" sheetId="827" r:id="rId9"/>
    <sheet name="Sept 11th" sheetId="828" r:id="rId10"/>
    <sheet name="Sept 12th " sheetId="829" r:id="rId11"/>
    <sheet name="Sept 15th " sheetId="830" r:id="rId12"/>
    <sheet name="Sept 16th" sheetId="831" r:id="rId13"/>
    <sheet name="Sept 17th" sheetId="832" r:id="rId14"/>
    <sheet name="Sept 18th " sheetId="833" r:id="rId15"/>
    <sheet name="Sept 19th" sheetId="834" r:id="rId16"/>
    <sheet name="Sept 22nd" sheetId="835" r:id="rId17"/>
    <sheet name="Sept 23rd" sheetId="836" r:id="rId18"/>
    <sheet name="Sept 24th" sheetId="820" r:id="rId19"/>
    <sheet name="Sept 25th" sheetId="837" r:id="rId20"/>
    <sheet name="Sept 26th" sheetId="838" r:id="rId21"/>
    <sheet name="Sept 29th " sheetId="839" r:id="rId22"/>
    <sheet name="Sept 30th" sheetId="840" r:id="rId23"/>
    <sheet name="MTD_Links" sheetId="18" r:id="rId24"/>
    <sheet name="YTD_Links" sheetId="19" r:id="rId25"/>
    <sheet name="KPIs" sheetId="20" state="hidden" r:id="rId26"/>
    <sheet name="Brewer Performance" sheetId="21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</externalReferences>
  <definedNames>
    <definedName name="_xlnm.Print_Area" localSheetId="26">'Brewer Performance'!$B$2:$K$35</definedName>
    <definedName name="_xlnm.Print_Area" localSheetId="23">MTD_Links!$B$2:$K$65</definedName>
    <definedName name="_xlnm.Print_Area" localSheetId="24">YTD_Links!$B$2:$K$65</definedName>
    <definedName name="ProductList" localSheetId="26">[1]November15!$R$3:$R$9</definedName>
    <definedName name="ProductList">[2]November15!$R$3:$R$9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26" i="840" l="1"/>
  <c r="L26" i="840"/>
  <c r="K26" i="840"/>
  <c r="J26" i="840"/>
  <c r="R15" i="840"/>
  <c r="S15" i="840"/>
  <c r="T15" i="840"/>
  <c r="U15" i="840"/>
  <c r="V15" i="840"/>
  <c r="W15" i="840"/>
  <c r="X15" i="840"/>
  <c r="Y15" i="840"/>
  <c r="Z15" i="840"/>
  <c r="R16" i="840"/>
  <c r="S16" i="840"/>
  <c r="T16" i="840"/>
  <c r="U16" i="840"/>
  <c r="V16" i="840"/>
  <c r="W16" i="840"/>
  <c r="X16" i="840"/>
  <c r="Y16" i="840"/>
  <c r="Z16" i="840"/>
  <c r="R17" i="840"/>
  <c r="S17" i="840"/>
  <c r="T17" i="840"/>
  <c r="U17" i="840"/>
  <c r="V17" i="840"/>
  <c r="W17" i="840"/>
  <c r="X17" i="840"/>
  <c r="Y17" i="840"/>
  <c r="Z17" i="840"/>
  <c r="R18" i="840"/>
  <c r="S18" i="840"/>
  <c r="T18" i="840"/>
  <c r="U18" i="840"/>
  <c r="V18" i="840"/>
  <c r="W18" i="840"/>
  <c r="X18" i="840"/>
  <c r="Y18" i="840"/>
  <c r="Z18" i="840"/>
  <c r="R19" i="840"/>
  <c r="S19" i="840"/>
  <c r="T19" i="840"/>
  <c r="U19" i="840"/>
  <c r="V19" i="840"/>
  <c r="W19" i="840"/>
  <c r="X19" i="840"/>
  <c r="Y19" i="840"/>
  <c r="Z19" i="840"/>
  <c r="R20" i="840"/>
  <c r="S20" i="840"/>
  <c r="T20" i="840"/>
  <c r="U20" i="840"/>
  <c r="V20" i="840"/>
  <c r="W20" i="840"/>
  <c r="X20" i="840"/>
  <c r="Y20" i="840"/>
  <c r="Z20" i="840"/>
  <c r="R21" i="840"/>
  <c r="S21" i="840"/>
  <c r="T21" i="840"/>
  <c r="U21" i="840"/>
  <c r="V21" i="840"/>
  <c r="W21" i="840"/>
  <c r="X21" i="840"/>
  <c r="Y21" i="840"/>
  <c r="Z21" i="840"/>
  <c r="R22" i="840"/>
  <c r="S22" i="840"/>
  <c r="T22" i="840"/>
  <c r="U22" i="840"/>
  <c r="V22" i="840"/>
  <c r="W22" i="840"/>
  <c r="X22" i="840"/>
  <c r="Y22" i="840"/>
  <c r="Z22" i="840"/>
  <c r="R23" i="840"/>
  <c r="S23" i="840"/>
  <c r="T23" i="840"/>
  <c r="U23" i="840"/>
  <c r="V23" i="840"/>
  <c r="W23" i="840"/>
  <c r="X23" i="840"/>
  <c r="Y23" i="840"/>
  <c r="Z23" i="840"/>
  <c r="R24" i="840"/>
  <c r="S24" i="840"/>
  <c r="T24" i="840"/>
  <c r="U24" i="840"/>
  <c r="V24" i="840"/>
  <c r="W24" i="840"/>
  <c r="X24" i="840"/>
  <c r="Y24" i="840"/>
  <c r="Z24" i="840"/>
  <c r="R25" i="840"/>
  <c r="S25" i="840"/>
  <c r="T25" i="840"/>
  <c r="U25" i="840"/>
  <c r="V25" i="840"/>
  <c r="W25" i="840"/>
  <c r="X25" i="840"/>
  <c r="Y25" i="840"/>
  <c r="Z25" i="840"/>
  <c r="R26" i="840"/>
  <c r="S26" i="840"/>
  <c r="T26" i="840"/>
  <c r="U26" i="840"/>
  <c r="V26" i="840"/>
  <c r="W26" i="840"/>
  <c r="X26" i="840"/>
  <c r="Y26" i="840"/>
  <c r="Z26" i="840"/>
  <c r="R27" i="840"/>
  <c r="S27" i="840"/>
  <c r="T27" i="840"/>
  <c r="U27" i="840"/>
  <c r="V27" i="840"/>
  <c r="W27" i="840"/>
  <c r="X27" i="840"/>
  <c r="Y27" i="840"/>
  <c r="Z27" i="840"/>
  <c r="R28" i="840"/>
  <c r="S28" i="840"/>
  <c r="T28" i="840"/>
  <c r="U28" i="840"/>
  <c r="V28" i="840"/>
  <c r="W28" i="840"/>
  <c r="X28" i="840"/>
  <c r="Y28" i="840"/>
  <c r="Z28" i="840"/>
  <c r="R29" i="840"/>
  <c r="S29" i="840"/>
  <c r="T29" i="840"/>
  <c r="U29" i="840"/>
  <c r="V29" i="840"/>
  <c r="W29" i="840"/>
  <c r="X29" i="840"/>
  <c r="Y29" i="840"/>
  <c r="Z29" i="840"/>
  <c r="R30" i="840"/>
  <c r="S30" i="840"/>
  <c r="T30" i="840"/>
  <c r="U30" i="840"/>
  <c r="V30" i="840"/>
  <c r="W30" i="840"/>
  <c r="X30" i="840"/>
  <c r="Y30" i="840"/>
  <c r="Z30" i="840"/>
  <c r="R31" i="840"/>
  <c r="S31" i="840"/>
  <c r="T31" i="840"/>
  <c r="U31" i="840"/>
  <c r="V31" i="840"/>
  <c r="W31" i="840"/>
  <c r="X31" i="840"/>
  <c r="Y31" i="840"/>
  <c r="Z31" i="840"/>
  <c r="R32" i="840"/>
  <c r="S32" i="840"/>
  <c r="T32" i="840"/>
  <c r="U32" i="840"/>
  <c r="V32" i="840"/>
  <c r="W32" i="840"/>
  <c r="X32" i="840"/>
  <c r="Y32" i="840"/>
  <c r="Z32" i="840"/>
  <c r="R33" i="840"/>
  <c r="S33" i="840"/>
  <c r="T33" i="840"/>
  <c r="U33" i="840"/>
  <c r="V33" i="840"/>
  <c r="W33" i="840"/>
  <c r="X33" i="840"/>
  <c r="Y33" i="840"/>
  <c r="Z33" i="840"/>
  <c r="R34" i="840"/>
  <c r="S34" i="840"/>
  <c r="T34" i="840"/>
  <c r="U34" i="840"/>
  <c r="V34" i="840"/>
  <c r="W34" i="840"/>
  <c r="X34" i="840"/>
  <c r="Y34" i="840"/>
  <c r="Z34" i="840"/>
  <c r="R35" i="840"/>
  <c r="S35" i="840"/>
  <c r="T35" i="840"/>
  <c r="U35" i="840"/>
  <c r="V35" i="840"/>
  <c r="W35" i="840"/>
  <c r="X35" i="840"/>
  <c r="Y35" i="840"/>
  <c r="Z35" i="840"/>
  <c r="R36" i="840"/>
  <c r="S36" i="840"/>
  <c r="T36" i="840"/>
  <c r="U36" i="840"/>
  <c r="V36" i="840"/>
  <c r="W36" i="840"/>
  <c r="X36" i="840"/>
  <c r="Y36" i="840"/>
  <c r="Z36" i="840"/>
  <c r="I18" i="840"/>
  <c r="J18" i="840"/>
  <c r="K18" i="840"/>
  <c r="L18" i="840"/>
  <c r="M18" i="840"/>
  <c r="N18" i="840"/>
  <c r="O18" i="840"/>
  <c r="C18" i="840"/>
  <c r="D18" i="840"/>
  <c r="E18" i="840"/>
  <c r="F18" i="840"/>
  <c r="G18" i="840"/>
  <c r="K31" i="840"/>
  <c r="R12" i="840"/>
  <c r="S12" i="840"/>
  <c r="T12" i="840"/>
  <c r="U12" i="840"/>
  <c r="V12" i="840"/>
  <c r="W12" i="840"/>
  <c r="X12" i="840"/>
  <c r="Y12" i="840"/>
  <c r="Z12" i="840"/>
  <c r="R13" i="840"/>
  <c r="S13" i="840"/>
  <c r="T13" i="840"/>
  <c r="U13" i="840"/>
  <c r="V13" i="840"/>
  <c r="W13" i="840"/>
  <c r="X13" i="840"/>
  <c r="Y13" i="840"/>
  <c r="Z13" i="840"/>
  <c r="R14" i="840"/>
  <c r="S14" i="840"/>
  <c r="T14" i="840"/>
  <c r="U14" i="840"/>
  <c r="V14" i="840"/>
  <c r="W14" i="840"/>
  <c r="X14" i="840"/>
  <c r="Y14" i="840"/>
  <c r="Z14" i="840"/>
  <c r="I10" i="840"/>
  <c r="J10" i="840"/>
  <c r="K10" i="840"/>
  <c r="L10" i="840"/>
  <c r="M10" i="840"/>
  <c r="N10" i="840"/>
  <c r="O10" i="840"/>
  <c r="I11" i="840"/>
  <c r="J11" i="840"/>
  <c r="K11" i="840"/>
  <c r="L11" i="840"/>
  <c r="M11" i="840"/>
  <c r="N11" i="840"/>
  <c r="O11" i="840"/>
  <c r="I12" i="840"/>
  <c r="J12" i="840"/>
  <c r="K12" i="840"/>
  <c r="L12" i="840"/>
  <c r="M12" i="840"/>
  <c r="N12" i="840"/>
  <c r="O12" i="840"/>
  <c r="I13" i="840"/>
  <c r="J13" i="840"/>
  <c r="K13" i="840"/>
  <c r="L13" i="840"/>
  <c r="M13" i="840"/>
  <c r="N13" i="840"/>
  <c r="O13" i="840"/>
  <c r="I14" i="840"/>
  <c r="J14" i="840"/>
  <c r="K14" i="840"/>
  <c r="L14" i="840"/>
  <c r="M14" i="840"/>
  <c r="N14" i="840"/>
  <c r="O14" i="840"/>
  <c r="I15" i="840"/>
  <c r="J15" i="840"/>
  <c r="K15" i="840"/>
  <c r="L15" i="840"/>
  <c r="M15" i="840"/>
  <c r="N15" i="840"/>
  <c r="O15" i="840"/>
  <c r="I16" i="840"/>
  <c r="J16" i="840"/>
  <c r="K16" i="840"/>
  <c r="L16" i="840"/>
  <c r="M16" i="840"/>
  <c r="N16" i="840"/>
  <c r="O16" i="840"/>
  <c r="C10" i="840"/>
  <c r="D10" i="840"/>
  <c r="E10" i="840"/>
  <c r="F10" i="840"/>
  <c r="G10" i="840"/>
  <c r="C11" i="840"/>
  <c r="D11" i="840"/>
  <c r="E11" i="840"/>
  <c r="F11" i="840"/>
  <c r="G11" i="840"/>
  <c r="C12" i="840"/>
  <c r="D12" i="840"/>
  <c r="E12" i="840"/>
  <c r="F12" i="840"/>
  <c r="G12" i="840"/>
  <c r="C13" i="840"/>
  <c r="D13" i="840"/>
  <c r="E13" i="840"/>
  <c r="F13" i="840"/>
  <c r="G13" i="840"/>
  <c r="C14" i="840"/>
  <c r="D14" i="840"/>
  <c r="E14" i="840"/>
  <c r="F14" i="840"/>
  <c r="G14" i="840"/>
  <c r="C15" i="840"/>
  <c r="D15" i="840"/>
  <c r="E15" i="840"/>
  <c r="F15" i="840"/>
  <c r="G15" i="840"/>
  <c r="C16" i="840"/>
  <c r="D16" i="840"/>
  <c r="E16" i="840"/>
  <c r="F16" i="840"/>
  <c r="G16" i="840"/>
  <c r="F68" i="840"/>
  <c r="L58" i="840"/>
  <c r="AX54" i="840"/>
  <c r="AW54" i="840"/>
  <c r="AV54" i="840"/>
  <c r="AU54" i="840"/>
  <c r="AT54" i="840"/>
  <c r="AS54" i="840"/>
  <c r="AR54" i="840"/>
  <c r="AQ54" i="840"/>
  <c r="AP54" i="840"/>
  <c r="AO54" i="840"/>
  <c r="AN54" i="840"/>
  <c r="AM54" i="840"/>
  <c r="AL54" i="840"/>
  <c r="AK54" i="840"/>
  <c r="AJ54" i="840"/>
  <c r="AI54" i="840"/>
  <c r="AH54" i="840"/>
  <c r="AG54" i="840"/>
  <c r="AF54" i="840"/>
  <c r="AE54" i="840"/>
  <c r="AD54" i="840"/>
  <c r="AC54" i="840"/>
  <c r="AB54" i="840"/>
  <c r="L54" i="840"/>
  <c r="B54" i="840"/>
  <c r="K49" i="840"/>
  <c r="L40" i="840" s="1"/>
  <c r="M40" i="840" s="1"/>
  <c r="D47" i="840"/>
  <c r="M34" i="840"/>
  <c r="M33" i="840"/>
  <c r="M32" i="840"/>
  <c r="M30" i="840"/>
  <c r="L30" i="840"/>
  <c r="K30" i="840"/>
  <c r="M28" i="840"/>
  <c r="L28" i="840"/>
  <c r="K28" i="840"/>
  <c r="M27" i="840"/>
  <c r="L27" i="840"/>
  <c r="K27" i="840"/>
  <c r="M25" i="840"/>
  <c r="L25" i="840"/>
  <c r="K25" i="840"/>
  <c r="Z11" i="840"/>
  <c r="Y11" i="840"/>
  <c r="X11" i="840"/>
  <c r="W11" i="840"/>
  <c r="V11" i="840"/>
  <c r="U11" i="840"/>
  <c r="T11" i="840"/>
  <c r="S11" i="840"/>
  <c r="R11" i="840"/>
  <c r="Z10" i="840"/>
  <c r="Y10" i="840"/>
  <c r="X10" i="840"/>
  <c r="W10" i="840"/>
  <c r="V10" i="840"/>
  <c r="U10" i="840"/>
  <c r="T10" i="840"/>
  <c r="S10" i="840"/>
  <c r="R10" i="840"/>
  <c r="L42" i="839"/>
  <c r="J31" i="840" l="1"/>
  <c r="K35" i="840"/>
  <c r="L35" i="840" s="1"/>
  <c r="M35" i="840" s="1"/>
  <c r="C11" i="839"/>
  <c r="D11" i="839"/>
  <c r="E11" i="839"/>
  <c r="F11" i="839"/>
  <c r="G11" i="839"/>
  <c r="K11" i="839"/>
  <c r="L11" i="839"/>
  <c r="M11" i="839"/>
  <c r="N11" i="839"/>
  <c r="O11" i="839"/>
  <c r="C12" i="839"/>
  <c r="D12" i="839"/>
  <c r="E12" i="839"/>
  <c r="F12" i="839"/>
  <c r="G12" i="839"/>
  <c r="I12" i="839"/>
  <c r="J12" i="839"/>
  <c r="K12" i="839"/>
  <c r="L12" i="839"/>
  <c r="M12" i="839"/>
  <c r="N12" i="839"/>
  <c r="O12" i="839"/>
  <c r="O10" i="839"/>
  <c r="N10" i="839"/>
  <c r="M10" i="839"/>
  <c r="L10" i="839"/>
  <c r="K10" i="839"/>
  <c r="J10" i="839"/>
  <c r="I10" i="839"/>
  <c r="G10" i="839"/>
  <c r="F10" i="839"/>
  <c r="E10" i="839"/>
  <c r="D10" i="839"/>
  <c r="C10" i="839"/>
  <c r="K33" i="839"/>
  <c r="F70" i="839"/>
  <c r="L60" i="839"/>
  <c r="AX56" i="839"/>
  <c r="AW56" i="839"/>
  <c r="AV56" i="839"/>
  <c r="AU56" i="839"/>
  <c r="AT56" i="839"/>
  <c r="AS56" i="839"/>
  <c r="AR56" i="839"/>
  <c r="AQ56" i="839"/>
  <c r="AP56" i="839"/>
  <c r="AO56" i="839"/>
  <c r="AN56" i="839"/>
  <c r="AM56" i="839"/>
  <c r="AL56" i="839"/>
  <c r="AK56" i="839"/>
  <c r="AJ56" i="839"/>
  <c r="AI56" i="839"/>
  <c r="AH56" i="839"/>
  <c r="AG56" i="839"/>
  <c r="AF56" i="839"/>
  <c r="AE56" i="839"/>
  <c r="AD56" i="839"/>
  <c r="AC56" i="839"/>
  <c r="AB56" i="839"/>
  <c r="L56" i="839"/>
  <c r="B56" i="839"/>
  <c r="K51" i="839"/>
  <c r="D49" i="839"/>
  <c r="M36" i="839"/>
  <c r="M35" i="839"/>
  <c r="M34" i="839"/>
  <c r="M32" i="839"/>
  <c r="L32" i="839"/>
  <c r="K32" i="839"/>
  <c r="Z30" i="839"/>
  <c r="Y30" i="839"/>
  <c r="X30" i="839"/>
  <c r="W30" i="839"/>
  <c r="V30" i="839"/>
  <c r="U30" i="839"/>
  <c r="T30" i="839"/>
  <c r="S30" i="839"/>
  <c r="R30" i="839"/>
  <c r="M30" i="839"/>
  <c r="L30" i="839"/>
  <c r="K30" i="839"/>
  <c r="Z29" i="839"/>
  <c r="Y29" i="839"/>
  <c r="X29" i="839"/>
  <c r="W29" i="839"/>
  <c r="V29" i="839"/>
  <c r="U29" i="839"/>
  <c r="T29" i="839"/>
  <c r="S29" i="839"/>
  <c r="R29" i="839"/>
  <c r="M29" i="839"/>
  <c r="L29" i="839"/>
  <c r="K29" i="839"/>
  <c r="Z28" i="839"/>
  <c r="Y28" i="839"/>
  <c r="X28" i="839"/>
  <c r="W28" i="839"/>
  <c r="V28" i="839"/>
  <c r="U28" i="839"/>
  <c r="T28" i="839"/>
  <c r="S28" i="839"/>
  <c r="R28" i="839"/>
  <c r="M28" i="839"/>
  <c r="L28" i="839"/>
  <c r="K28" i="839"/>
  <c r="Z27" i="839"/>
  <c r="X27" i="839"/>
  <c r="W27" i="839"/>
  <c r="U27" i="839"/>
  <c r="T27" i="839"/>
  <c r="M27" i="839"/>
  <c r="L27" i="839"/>
  <c r="K27" i="839"/>
  <c r="S27" i="839"/>
  <c r="Z26" i="839"/>
  <c r="Y26" i="839"/>
  <c r="X26" i="839"/>
  <c r="W26" i="839"/>
  <c r="V26" i="839"/>
  <c r="U26" i="839"/>
  <c r="T26" i="839"/>
  <c r="S26" i="839"/>
  <c r="R26" i="839"/>
  <c r="Z25" i="839"/>
  <c r="Y25" i="839"/>
  <c r="X25" i="839"/>
  <c r="W25" i="839"/>
  <c r="V25" i="839"/>
  <c r="U25" i="839"/>
  <c r="T25" i="839"/>
  <c r="S25" i="839"/>
  <c r="R25" i="839"/>
  <c r="Z24" i="839"/>
  <c r="Y24" i="839"/>
  <c r="X24" i="839"/>
  <c r="W24" i="839"/>
  <c r="V24" i="839"/>
  <c r="U24" i="839"/>
  <c r="T24" i="839"/>
  <c r="S24" i="839"/>
  <c r="R24" i="839"/>
  <c r="Z23" i="839"/>
  <c r="Y23" i="839"/>
  <c r="X23" i="839"/>
  <c r="W23" i="839"/>
  <c r="V23" i="839"/>
  <c r="U23" i="839"/>
  <c r="T23" i="839"/>
  <c r="S23" i="839"/>
  <c r="R23" i="839"/>
  <c r="Z22" i="839"/>
  <c r="Y22" i="839"/>
  <c r="X22" i="839"/>
  <c r="W22" i="839"/>
  <c r="V22" i="839"/>
  <c r="U22" i="839"/>
  <c r="T22" i="839"/>
  <c r="S22" i="839"/>
  <c r="R22" i="839"/>
  <c r="Z21" i="839"/>
  <c r="Y21" i="839"/>
  <c r="X21" i="839"/>
  <c r="W21" i="839"/>
  <c r="V21" i="839"/>
  <c r="U21" i="839"/>
  <c r="T21" i="839"/>
  <c r="S21" i="839"/>
  <c r="R21" i="839"/>
  <c r="Z20" i="839"/>
  <c r="Y20" i="839"/>
  <c r="X20" i="839"/>
  <c r="W20" i="839"/>
  <c r="V20" i="839"/>
  <c r="U20" i="839"/>
  <c r="T20" i="839"/>
  <c r="S20" i="839"/>
  <c r="R20" i="839"/>
  <c r="Z19" i="839"/>
  <c r="Y19" i="839"/>
  <c r="X19" i="839"/>
  <c r="W19" i="839"/>
  <c r="V19" i="839"/>
  <c r="U19" i="839"/>
  <c r="T19" i="839"/>
  <c r="S19" i="839"/>
  <c r="R19" i="839"/>
  <c r="Z18" i="839"/>
  <c r="Y18" i="839"/>
  <c r="X18" i="839"/>
  <c r="W18" i="839"/>
  <c r="V18" i="839"/>
  <c r="U18" i="839"/>
  <c r="T18" i="839"/>
  <c r="S18" i="839"/>
  <c r="R18" i="839"/>
  <c r="Z15" i="839"/>
  <c r="Y15" i="839"/>
  <c r="X15" i="839"/>
  <c r="W15" i="839"/>
  <c r="V15" i="839"/>
  <c r="U15" i="839"/>
  <c r="T15" i="839"/>
  <c r="S15" i="839"/>
  <c r="R15" i="839"/>
  <c r="Z14" i="839"/>
  <c r="Y14" i="839"/>
  <c r="X14" i="839"/>
  <c r="W14" i="839"/>
  <c r="V14" i="839"/>
  <c r="U14" i="839"/>
  <c r="T14" i="839"/>
  <c r="S14" i="839"/>
  <c r="R14" i="839"/>
  <c r="Z13" i="839"/>
  <c r="Y13" i="839"/>
  <c r="X13" i="839"/>
  <c r="W13" i="839"/>
  <c r="V13" i="839"/>
  <c r="U13" i="839"/>
  <c r="T13" i="839"/>
  <c r="S13" i="839"/>
  <c r="R13" i="839"/>
  <c r="Z12" i="839"/>
  <c r="Y12" i="839"/>
  <c r="X12" i="839"/>
  <c r="W12" i="839"/>
  <c r="V12" i="839"/>
  <c r="U12" i="839"/>
  <c r="T12" i="839"/>
  <c r="S12" i="839"/>
  <c r="R12" i="839"/>
  <c r="Z11" i="839"/>
  <c r="Y11" i="839"/>
  <c r="X11" i="839"/>
  <c r="W11" i="839"/>
  <c r="V11" i="839"/>
  <c r="U11" i="839"/>
  <c r="T11" i="839"/>
  <c r="S11" i="839"/>
  <c r="R11" i="839"/>
  <c r="Z10" i="839"/>
  <c r="Y10" i="839"/>
  <c r="X10" i="839"/>
  <c r="W10" i="839"/>
  <c r="V10" i="839"/>
  <c r="U10" i="839"/>
  <c r="T10" i="839"/>
  <c r="S10" i="839"/>
  <c r="R10" i="839"/>
  <c r="L42" i="838"/>
  <c r="L29" i="838"/>
  <c r="K29" i="838"/>
  <c r="K37" i="839" l="1"/>
  <c r="M42" i="839"/>
  <c r="V27" i="839"/>
  <c r="Y27" i="839"/>
  <c r="R27" i="839"/>
  <c r="C27" i="838"/>
  <c r="C28" i="838"/>
  <c r="C29" i="838"/>
  <c r="C30" i="838"/>
  <c r="C31" i="838"/>
  <c r="C32" i="838"/>
  <c r="C33" i="838"/>
  <c r="C34" i="838"/>
  <c r="K65" i="838"/>
  <c r="K56" i="838"/>
  <c r="G56" i="838"/>
  <c r="B56" i="838" l="1"/>
  <c r="B27" i="838"/>
  <c r="L10" i="838" l="1"/>
  <c r="M10" i="838"/>
  <c r="N10" i="838"/>
  <c r="O10" i="838"/>
  <c r="L11" i="838"/>
  <c r="M11" i="838"/>
  <c r="N11" i="838"/>
  <c r="O11" i="838"/>
  <c r="L12" i="838"/>
  <c r="M12" i="838"/>
  <c r="N12" i="838"/>
  <c r="O12" i="838"/>
  <c r="L13" i="838"/>
  <c r="M13" i="838"/>
  <c r="N13" i="838"/>
  <c r="O13" i="838"/>
  <c r="C10" i="838"/>
  <c r="D10" i="838"/>
  <c r="E10" i="838"/>
  <c r="F10" i="838"/>
  <c r="G10" i="838"/>
  <c r="C11" i="838"/>
  <c r="D11" i="838"/>
  <c r="E11" i="838"/>
  <c r="F11" i="838"/>
  <c r="G11" i="838"/>
  <c r="C12" i="838"/>
  <c r="D12" i="838"/>
  <c r="E12" i="838"/>
  <c r="F12" i="838"/>
  <c r="G12" i="838"/>
  <c r="C13" i="838"/>
  <c r="D13" i="838"/>
  <c r="E13" i="838"/>
  <c r="F13" i="838"/>
  <c r="G13" i="838"/>
  <c r="J13" i="838" l="1"/>
  <c r="I12" i="838"/>
  <c r="I11" i="838"/>
  <c r="J10" i="838"/>
  <c r="I10" i="838"/>
  <c r="I13" i="838"/>
  <c r="J12" i="838"/>
  <c r="F70" i="838"/>
  <c r="L60" i="838"/>
  <c r="AX56" i="838"/>
  <c r="AW56" i="838"/>
  <c r="AV56" i="838"/>
  <c r="AU56" i="838"/>
  <c r="AT56" i="838"/>
  <c r="AS56" i="838"/>
  <c r="AR56" i="838"/>
  <c r="AQ56" i="838"/>
  <c r="AP56" i="838"/>
  <c r="AO56" i="838"/>
  <c r="AN56" i="838"/>
  <c r="AM56" i="838"/>
  <c r="AL56" i="838"/>
  <c r="AK56" i="838"/>
  <c r="AJ56" i="838"/>
  <c r="AI56" i="838"/>
  <c r="AH56" i="838"/>
  <c r="AG56" i="838"/>
  <c r="AF56" i="838"/>
  <c r="AE56" i="838"/>
  <c r="AD56" i="838"/>
  <c r="AC56" i="838"/>
  <c r="AB56" i="838"/>
  <c r="K51" i="838"/>
  <c r="M42" i="838" s="1"/>
  <c r="D49" i="838"/>
  <c r="M36" i="838"/>
  <c r="M35" i="838"/>
  <c r="M34" i="838"/>
  <c r="K33" i="838"/>
  <c r="M32" i="838"/>
  <c r="L32" i="838"/>
  <c r="K32" i="838"/>
  <c r="Z30" i="838"/>
  <c r="Y30" i="838"/>
  <c r="X30" i="838"/>
  <c r="W30" i="838"/>
  <c r="V30" i="838"/>
  <c r="U30" i="838"/>
  <c r="T30" i="838"/>
  <c r="S30" i="838"/>
  <c r="R30" i="838"/>
  <c r="M30" i="838"/>
  <c r="L30" i="838"/>
  <c r="K30" i="838"/>
  <c r="Z29" i="838"/>
  <c r="Y29" i="838"/>
  <c r="X29" i="838"/>
  <c r="W29" i="838"/>
  <c r="V29" i="838"/>
  <c r="U29" i="838"/>
  <c r="T29" i="838"/>
  <c r="S29" i="838"/>
  <c r="R29" i="838"/>
  <c r="Z28" i="838"/>
  <c r="Y28" i="838"/>
  <c r="X28" i="838"/>
  <c r="W28" i="838"/>
  <c r="V28" i="838"/>
  <c r="U28" i="838"/>
  <c r="T28" i="838"/>
  <c r="S28" i="838"/>
  <c r="R28" i="838"/>
  <c r="M28" i="838"/>
  <c r="L28" i="838"/>
  <c r="K28" i="838"/>
  <c r="M27" i="838"/>
  <c r="L27" i="838"/>
  <c r="K27" i="838"/>
  <c r="Y27" i="838"/>
  <c r="Z26" i="838"/>
  <c r="Y26" i="838"/>
  <c r="X26" i="838"/>
  <c r="W26" i="838"/>
  <c r="V26" i="838"/>
  <c r="U26" i="838"/>
  <c r="T26" i="838"/>
  <c r="S26" i="838"/>
  <c r="R26" i="838"/>
  <c r="Z25" i="838"/>
  <c r="Y25" i="838"/>
  <c r="X25" i="838"/>
  <c r="W25" i="838"/>
  <c r="V25" i="838"/>
  <c r="U25" i="838"/>
  <c r="T25" i="838"/>
  <c r="S25" i="838"/>
  <c r="R25" i="838"/>
  <c r="Z24" i="838"/>
  <c r="Y24" i="838"/>
  <c r="X24" i="838"/>
  <c r="W24" i="838"/>
  <c r="V24" i="838"/>
  <c r="U24" i="838"/>
  <c r="T24" i="838"/>
  <c r="S24" i="838"/>
  <c r="R24" i="838"/>
  <c r="Z23" i="838"/>
  <c r="Y23" i="838"/>
  <c r="X23" i="838"/>
  <c r="W23" i="838"/>
  <c r="V23" i="838"/>
  <c r="U23" i="838"/>
  <c r="T23" i="838"/>
  <c r="S23" i="838"/>
  <c r="R23" i="838"/>
  <c r="Z22" i="838"/>
  <c r="Y22" i="838"/>
  <c r="X22" i="838"/>
  <c r="W22" i="838"/>
  <c r="V22" i="838"/>
  <c r="U22" i="838"/>
  <c r="T22" i="838"/>
  <c r="S22" i="838"/>
  <c r="R22" i="838"/>
  <c r="Z21" i="838"/>
  <c r="Y21" i="838"/>
  <c r="X21" i="838"/>
  <c r="W21" i="838"/>
  <c r="V21" i="838"/>
  <c r="U21" i="838"/>
  <c r="T21" i="838"/>
  <c r="S21" i="838"/>
  <c r="R21" i="838"/>
  <c r="Z20" i="838"/>
  <c r="Y20" i="838"/>
  <c r="X20" i="838"/>
  <c r="W20" i="838"/>
  <c r="V20" i="838"/>
  <c r="U20" i="838"/>
  <c r="T20" i="838"/>
  <c r="S20" i="838"/>
  <c r="R20" i="838"/>
  <c r="Z19" i="838"/>
  <c r="Y19" i="838"/>
  <c r="X19" i="838"/>
  <c r="W19" i="838"/>
  <c r="V19" i="838"/>
  <c r="U19" i="838"/>
  <c r="T19" i="838"/>
  <c r="S19" i="838"/>
  <c r="R19" i="838"/>
  <c r="Z18" i="838"/>
  <c r="Y18" i="838"/>
  <c r="X18" i="838"/>
  <c r="W18" i="838"/>
  <c r="V18" i="838"/>
  <c r="U18" i="838"/>
  <c r="T18" i="838"/>
  <c r="S18" i="838"/>
  <c r="R18" i="838"/>
  <c r="Z15" i="838"/>
  <c r="Y15" i="838"/>
  <c r="X15" i="838"/>
  <c r="W15" i="838"/>
  <c r="V15" i="838"/>
  <c r="U15" i="838"/>
  <c r="T15" i="838"/>
  <c r="S15" i="838"/>
  <c r="R15" i="838"/>
  <c r="Z14" i="838"/>
  <c r="Y14" i="838"/>
  <c r="X14" i="838"/>
  <c r="W14" i="838"/>
  <c r="V14" i="838"/>
  <c r="U14" i="838"/>
  <c r="T14" i="838"/>
  <c r="S14" i="838"/>
  <c r="R14" i="838"/>
  <c r="Z13" i="838"/>
  <c r="Y13" i="838"/>
  <c r="X13" i="838"/>
  <c r="W13" i="838"/>
  <c r="V13" i="838"/>
  <c r="U13" i="838"/>
  <c r="T13" i="838"/>
  <c r="S13" i="838"/>
  <c r="R13" i="838"/>
  <c r="Z12" i="838"/>
  <c r="Y12" i="838"/>
  <c r="X12" i="838"/>
  <c r="W12" i="838"/>
  <c r="V12" i="838"/>
  <c r="U12" i="838"/>
  <c r="T12" i="838"/>
  <c r="S12" i="838"/>
  <c r="R12" i="838"/>
  <c r="Z11" i="838"/>
  <c r="Y11" i="838"/>
  <c r="X11" i="838"/>
  <c r="W11" i="838"/>
  <c r="V11" i="838"/>
  <c r="U11" i="838"/>
  <c r="T11" i="838"/>
  <c r="S11" i="838"/>
  <c r="R11" i="838"/>
  <c r="Z10" i="838"/>
  <c r="Y10" i="838"/>
  <c r="X10" i="838"/>
  <c r="W10" i="838"/>
  <c r="V10" i="838"/>
  <c r="U10" i="838"/>
  <c r="T10" i="838"/>
  <c r="S10" i="838"/>
  <c r="R10" i="838"/>
  <c r="J29" i="838" l="1"/>
  <c r="J11" i="838"/>
  <c r="R27" i="838"/>
  <c r="S27" i="838"/>
  <c r="T27" i="838"/>
  <c r="X27" i="838"/>
  <c r="Z27" i="838"/>
  <c r="U27" i="838"/>
  <c r="K37" i="838"/>
  <c r="V27" i="838"/>
  <c r="W27" i="838"/>
  <c r="E59" i="837"/>
  <c r="G59" i="837"/>
  <c r="K59" i="837"/>
  <c r="K73" i="837" s="1"/>
  <c r="B59" i="837" l="1"/>
  <c r="M31" i="837"/>
  <c r="L31" i="837"/>
  <c r="K31" i="837"/>
  <c r="C11" i="837"/>
  <c r="D11" i="837"/>
  <c r="E11" i="837"/>
  <c r="F11" i="837"/>
  <c r="G11" i="837"/>
  <c r="I11" i="837"/>
  <c r="J11" i="837"/>
  <c r="L11" i="837"/>
  <c r="M11" i="837"/>
  <c r="N11" i="837"/>
  <c r="O11" i="837"/>
  <c r="C12" i="837"/>
  <c r="D12" i="837"/>
  <c r="E12" i="837"/>
  <c r="F12" i="837"/>
  <c r="G12" i="837"/>
  <c r="I12" i="837"/>
  <c r="J12" i="837"/>
  <c r="L12" i="837"/>
  <c r="M12" i="837"/>
  <c r="N12" i="837"/>
  <c r="O12" i="837"/>
  <c r="C13" i="837"/>
  <c r="D13" i="837"/>
  <c r="E13" i="837"/>
  <c r="F13" i="837"/>
  <c r="G13" i="837"/>
  <c r="I13" i="837"/>
  <c r="J13" i="837"/>
  <c r="L13" i="837"/>
  <c r="M13" i="837"/>
  <c r="N13" i="837"/>
  <c r="O13" i="837"/>
  <c r="C14" i="837"/>
  <c r="D14" i="837"/>
  <c r="E14" i="837"/>
  <c r="F14" i="837"/>
  <c r="G14" i="837"/>
  <c r="I14" i="837"/>
  <c r="J14" i="837"/>
  <c r="L14" i="837"/>
  <c r="M14" i="837"/>
  <c r="N14" i="837"/>
  <c r="O14" i="837"/>
  <c r="C15" i="837"/>
  <c r="D15" i="837"/>
  <c r="E15" i="837"/>
  <c r="F15" i="837"/>
  <c r="G15" i="837"/>
  <c r="I15" i="837"/>
  <c r="J15" i="837"/>
  <c r="L15" i="837"/>
  <c r="M15" i="837"/>
  <c r="N15" i="837"/>
  <c r="O15" i="837"/>
  <c r="C16" i="837"/>
  <c r="D16" i="837"/>
  <c r="E16" i="837"/>
  <c r="F16" i="837"/>
  <c r="G16" i="837"/>
  <c r="I16" i="837"/>
  <c r="J16" i="837"/>
  <c r="L16" i="837"/>
  <c r="M16" i="837"/>
  <c r="N16" i="837"/>
  <c r="O16" i="837"/>
  <c r="C17" i="837"/>
  <c r="D17" i="837"/>
  <c r="E17" i="837"/>
  <c r="F17" i="837"/>
  <c r="G17" i="837"/>
  <c r="I17" i="837"/>
  <c r="J17" i="837"/>
  <c r="L17" i="837"/>
  <c r="M17" i="837"/>
  <c r="N17" i="837"/>
  <c r="O17" i="837"/>
  <c r="C18" i="837"/>
  <c r="D18" i="837"/>
  <c r="E18" i="837"/>
  <c r="F18" i="837"/>
  <c r="G18" i="837"/>
  <c r="I18" i="837"/>
  <c r="J18" i="837"/>
  <c r="L18" i="837"/>
  <c r="M18" i="837"/>
  <c r="N18" i="837"/>
  <c r="O18" i="837"/>
  <c r="C21" i="837"/>
  <c r="D21" i="837"/>
  <c r="E21" i="837"/>
  <c r="F21" i="837"/>
  <c r="G21" i="837"/>
  <c r="I21" i="837"/>
  <c r="J21" i="837"/>
  <c r="L21" i="837"/>
  <c r="M21" i="837"/>
  <c r="N21" i="837"/>
  <c r="O21" i="837"/>
  <c r="O10" i="837"/>
  <c r="N10" i="837"/>
  <c r="M10" i="837"/>
  <c r="L10" i="837"/>
  <c r="J10" i="837"/>
  <c r="I10" i="837"/>
  <c r="G10" i="837"/>
  <c r="F10" i="837"/>
  <c r="E10" i="837"/>
  <c r="D10" i="837"/>
  <c r="C10" i="837"/>
  <c r="C30" i="837"/>
  <c r="C31" i="837"/>
  <c r="C32" i="837"/>
  <c r="C33" i="837"/>
  <c r="C34" i="837"/>
  <c r="C35" i="837"/>
  <c r="C36" i="837"/>
  <c r="C37" i="837"/>
  <c r="B30" i="837"/>
  <c r="U30" i="837" s="1"/>
  <c r="F73" i="837"/>
  <c r="L63" i="837"/>
  <c r="AX59" i="837"/>
  <c r="AW59" i="837"/>
  <c r="AV59" i="837"/>
  <c r="AU59" i="837"/>
  <c r="AT59" i="837"/>
  <c r="AS59" i="837"/>
  <c r="AR59" i="837"/>
  <c r="AQ59" i="837"/>
  <c r="AP59" i="837"/>
  <c r="AO59" i="837"/>
  <c r="AN59" i="837"/>
  <c r="AM59" i="837"/>
  <c r="AL59" i="837"/>
  <c r="AK59" i="837"/>
  <c r="AJ59" i="837"/>
  <c r="AI59" i="837"/>
  <c r="AH59" i="837"/>
  <c r="AG59" i="837"/>
  <c r="AF59" i="837"/>
  <c r="AE59" i="837"/>
  <c r="AD59" i="837"/>
  <c r="AC59" i="837"/>
  <c r="AB59" i="837"/>
  <c r="K54" i="837"/>
  <c r="L45" i="837" s="1"/>
  <c r="M45" i="837" s="1"/>
  <c r="D52" i="837"/>
  <c r="M39" i="837"/>
  <c r="M38" i="837"/>
  <c r="M37" i="837"/>
  <c r="K36" i="837"/>
  <c r="M35" i="837"/>
  <c r="L35" i="837"/>
  <c r="K35" i="837"/>
  <c r="Z33" i="837"/>
  <c r="Y33" i="837"/>
  <c r="X33" i="837"/>
  <c r="W33" i="837"/>
  <c r="V33" i="837"/>
  <c r="U33" i="837"/>
  <c r="T33" i="837"/>
  <c r="S33" i="837"/>
  <c r="R33" i="837"/>
  <c r="M33" i="837"/>
  <c r="L33" i="837"/>
  <c r="K33" i="837"/>
  <c r="Z32" i="837"/>
  <c r="Y32" i="837"/>
  <c r="X32" i="837"/>
  <c r="W32" i="837"/>
  <c r="V32" i="837"/>
  <c r="U32" i="837"/>
  <c r="T32" i="837"/>
  <c r="S32" i="837"/>
  <c r="R32" i="837"/>
  <c r="Z31" i="837"/>
  <c r="Y31" i="837"/>
  <c r="X31" i="837"/>
  <c r="W31" i="837"/>
  <c r="V31" i="837"/>
  <c r="U31" i="837"/>
  <c r="T31" i="837"/>
  <c r="S31" i="837"/>
  <c r="R31" i="837"/>
  <c r="Y30" i="837"/>
  <c r="M30" i="837"/>
  <c r="L30" i="837"/>
  <c r="K30" i="837"/>
  <c r="Z29" i="837"/>
  <c r="Y29" i="837"/>
  <c r="X29" i="837"/>
  <c r="W29" i="837"/>
  <c r="V29" i="837"/>
  <c r="U29" i="837"/>
  <c r="T29" i="837"/>
  <c r="S29" i="837"/>
  <c r="R29" i="837"/>
  <c r="Z28" i="837"/>
  <c r="Y28" i="837"/>
  <c r="X28" i="837"/>
  <c r="W28" i="837"/>
  <c r="V28" i="837"/>
  <c r="U28" i="837"/>
  <c r="T28" i="837"/>
  <c r="S28" i="837"/>
  <c r="R28" i="837"/>
  <c r="Z27" i="837"/>
  <c r="Y27" i="837"/>
  <c r="X27" i="837"/>
  <c r="W27" i="837"/>
  <c r="V27" i="837"/>
  <c r="U27" i="837"/>
  <c r="T27" i="837"/>
  <c r="S27" i="837"/>
  <c r="R27" i="837"/>
  <c r="Z26" i="837"/>
  <c r="Y26" i="837"/>
  <c r="X26" i="837"/>
  <c r="W26" i="837"/>
  <c r="V26" i="837"/>
  <c r="U26" i="837"/>
  <c r="T26" i="837"/>
  <c r="S26" i="837"/>
  <c r="R26" i="837"/>
  <c r="Z25" i="837"/>
  <c r="Y25" i="837"/>
  <c r="X25" i="837"/>
  <c r="W25" i="837"/>
  <c r="V25" i="837"/>
  <c r="U25" i="837"/>
  <c r="T25" i="837"/>
  <c r="S25" i="837"/>
  <c r="R25" i="837"/>
  <c r="Z24" i="837"/>
  <c r="Y24" i="837"/>
  <c r="X24" i="837"/>
  <c r="W24" i="837"/>
  <c r="V24" i="837"/>
  <c r="U24" i="837"/>
  <c r="T24" i="837"/>
  <c r="S24" i="837"/>
  <c r="R24" i="837"/>
  <c r="Z23" i="837"/>
  <c r="Y23" i="837"/>
  <c r="X23" i="837"/>
  <c r="W23" i="837"/>
  <c r="V23" i="837"/>
  <c r="U23" i="837"/>
  <c r="T23" i="837"/>
  <c r="S23" i="837"/>
  <c r="R23" i="837"/>
  <c r="Z22" i="837"/>
  <c r="Y22" i="837"/>
  <c r="X22" i="837"/>
  <c r="W22" i="837"/>
  <c r="V22" i="837"/>
  <c r="U22" i="837"/>
  <c r="T22" i="837"/>
  <c r="S22" i="837"/>
  <c r="R22" i="837"/>
  <c r="Z21" i="837"/>
  <c r="Y21" i="837"/>
  <c r="X21" i="837"/>
  <c r="W21" i="837"/>
  <c r="V21" i="837"/>
  <c r="U21" i="837"/>
  <c r="T21" i="837"/>
  <c r="S21" i="837"/>
  <c r="R21" i="837"/>
  <c r="Z18" i="837"/>
  <c r="Y18" i="837"/>
  <c r="X18" i="837"/>
  <c r="W18" i="837"/>
  <c r="V18" i="837"/>
  <c r="U18" i="837"/>
  <c r="T18" i="837"/>
  <c r="S18" i="837"/>
  <c r="R18" i="837"/>
  <c r="Z17" i="837"/>
  <c r="Y17" i="837"/>
  <c r="X17" i="837"/>
  <c r="W17" i="837"/>
  <c r="V17" i="837"/>
  <c r="U17" i="837"/>
  <c r="T17" i="837"/>
  <c r="S17" i="837"/>
  <c r="R17" i="837"/>
  <c r="Z16" i="837"/>
  <c r="Y16" i="837"/>
  <c r="X16" i="837"/>
  <c r="W16" i="837"/>
  <c r="V16" i="837"/>
  <c r="U16" i="837"/>
  <c r="T16" i="837"/>
  <c r="S16" i="837"/>
  <c r="R16" i="837"/>
  <c r="Z15" i="837"/>
  <c r="Y15" i="837"/>
  <c r="X15" i="837"/>
  <c r="W15" i="837"/>
  <c r="V15" i="837"/>
  <c r="U15" i="837"/>
  <c r="T15" i="837"/>
  <c r="S15" i="837"/>
  <c r="R15" i="837"/>
  <c r="Z14" i="837"/>
  <c r="Y14" i="837"/>
  <c r="X14" i="837"/>
  <c r="W14" i="837"/>
  <c r="V14" i="837"/>
  <c r="U14" i="837"/>
  <c r="T14" i="837"/>
  <c r="S14" i="837"/>
  <c r="R14" i="837"/>
  <c r="Z13" i="837"/>
  <c r="Y13" i="837"/>
  <c r="X13" i="837"/>
  <c r="W13" i="837"/>
  <c r="V13" i="837"/>
  <c r="U13" i="837"/>
  <c r="T13" i="837"/>
  <c r="S13" i="837"/>
  <c r="R13" i="837"/>
  <c r="Z12" i="837"/>
  <c r="Y12" i="837"/>
  <c r="X12" i="837"/>
  <c r="W12" i="837"/>
  <c r="V12" i="837"/>
  <c r="U12" i="837"/>
  <c r="T12" i="837"/>
  <c r="S12" i="837"/>
  <c r="R12" i="837"/>
  <c r="Z11" i="837"/>
  <c r="Y11" i="837"/>
  <c r="X11" i="837"/>
  <c r="W11" i="837"/>
  <c r="V11" i="837"/>
  <c r="U11" i="837"/>
  <c r="T11" i="837"/>
  <c r="S11" i="837"/>
  <c r="R11" i="837"/>
  <c r="Z10" i="837"/>
  <c r="Y10" i="837"/>
  <c r="X10" i="837"/>
  <c r="W10" i="837"/>
  <c r="V10" i="837"/>
  <c r="U10" i="837"/>
  <c r="T10" i="837"/>
  <c r="S10" i="837"/>
  <c r="R10" i="837"/>
  <c r="M37" i="820"/>
  <c r="M36" i="820"/>
  <c r="M35" i="820"/>
  <c r="K34" i="820"/>
  <c r="M33" i="820"/>
  <c r="L33" i="820"/>
  <c r="K33" i="820"/>
  <c r="M31" i="820"/>
  <c r="L31" i="820"/>
  <c r="K31" i="820"/>
  <c r="R10" i="836"/>
  <c r="S10" i="836"/>
  <c r="T10" i="836"/>
  <c r="U10" i="836"/>
  <c r="V10" i="836"/>
  <c r="W10" i="836"/>
  <c r="X10" i="836"/>
  <c r="Y10" i="836"/>
  <c r="Z10" i="836"/>
  <c r="R11" i="836"/>
  <c r="S11" i="836"/>
  <c r="T11" i="836"/>
  <c r="U11" i="836"/>
  <c r="V11" i="836"/>
  <c r="W11" i="836"/>
  <c r="X11" i="836"/>
  <c r="Y11" i="836"/>
  <c r="Z11" i="836"/>
  <c r="R12" i="836"/>
  <c r="S12" i="836"/>
  <c r="T12" i="836"/>
  <c r="U12" i="836"/>
  <c r="V12" i="836"/>
  <c r="W12" i="836"/>
  <c r="X12" i="836"/>
  <c r="Y12" i="836"/>
  <c r="Z12" i="836"/>
  <c r="R13" i="836"/>
  <c r="S13" i="836"/>
  <c r="T13" i="836"/>
  <c r="U13" i="836"/>
  <c r="V13" i="836"/>
  <c r="W13" i="836"/>
  <c r="X13" i="836"/>
  <c r="Y13" i="836"/>
  <c r="Z13" i="836"/>
  <c r="R14" i="836"/>
  <c r="S14" i="836"/>
  <c r="T14" i="836"/>
  <c r="U14" i="836"/>
  <c r="V14" i="836"/>
  <c r="W14" i="836"/>
  <c r="X14" i="836"/>
  <c r="Y14" i="836"/>
  <c r="Z14" i="836"/>
  <c r="R15" i="836"/>
  <c r="S15" i="836"/>
  <c r="T15" i="836"/>
  <c r="U15" i="836"/>
  <c r="V15" i="836"/>
  <c r="W15" i="836"/>
  <c r="X15" i="836"/>
  <c r="Y15" i="836"/>
  <c r="Z15" i="836"/>
  <c r="R16" i="836"/>
  <c r="S16" i="836"/>
  <c r="T16" i="836"/>
  <c r="U16" i="836"/>
  <c r="V16" i="836"/>
  <c r="W16" i="836"/>
  <c r="X16" i="836"/>
  <c r="Y16" i="836"/>
  <c r="Z16" i="836"/>
  <c r="R17" i="836"/>
  <c r="S17" i="836"/>
  <c r="T17" i="836"/>
  <c r="U17" i="836"/>
  <c r="V17" i="836"/>
  <c r="W17" i="836"/>
  <c r="X17" i="836"/>
  <c r="Y17" i="836"/>
  <c r="Z17" i="836"/>
  <c r="R18" i="836"/>
  <c r="S18" i="836"/>
  <c r="T18" i="836"/>
  <c r="U18" i="836"/>
  <c r="V18" i="836"/>
  <c r="W18" i="836"/>
  <c r="X18" i="836"/>
  <c r="Y18" i="836"/>
  <c r="Z18" i="836"/>
  <c r="R19" i="836"/>
  <c r="S19" i="836"/>
  <c r="T19" i="836"/>
  <c r="U19" i="836"/>
  <c r="V19" i="836"/>
  <c r="W19" i="836"/>
  <c r="X19" i="836"/>
  <c r="Y19" i="836"/>
  <c r="Z19" i="836"/>
  <c r="R20" i="836"/>
  <c r="S20" i="836"/>
  <c r="T20" i="836"/>
  <c r="U20" i="836"/>
  <c r="V20" i="836"/>
  <c r="W20" i="836"/>
  <c r="X20" i="836"/>
  <c r="Y20" i="836"/>
  <c r="Z20" i="836"/>
  <c r="R21" i="836"/>
  <c r="S21" i="836"/>
  <c r="T21" i="836"/>
  <c r="U21" i="836"/>
  <c r="V21" i="836"/>
  <c r="W21" i="836"/>
  <c r="X21" i="836"/>
  <c r="Y21" i="836"/>
  <c r="Z21" i="836"/>
  <c r="R22" i="836"/>
  <c r="S22" i="836"/>
  <c r="T22" i="836"/>
  <c r="U22" i="836"/>
  <c r="V22" i="836"/>
  <c r="W22" i="836"/>
  <c r="X22" i="836"/>
  <c r="Y22" i="836"/>
  <c r="Z22" i="836"/>
  <c r="R23" i="836"/>
  <c r="S23" i="836"/>
  <c r="T23" i="836"/>
  <c r="U23" i="836"/>
  <c r="V23" i="836"/>
  <c r="W23" i="836"/>
  <c r="X23" i="836"/>
  <c r="Y23" i="836"/>
  <c r="Z23" i="836"/>
  <c r="R24" i="836"/>
  <c r="S24" i="836"/>
  <c r="T24" i="836"/>
  <c r="U24" i="836"/>
  <c r="V24" i="836"/>
  <c r="W24" i="836"/>
  <c r="X24" i="836"/>
  <c r="Y24" i="836"/>
  <c r="Z24" i="836"/>
  <c r="R25" i="836"/>
  <c r="S25" i="836"/>
  <c r="T25" i="836"/>
  <c r="U25" i="836"/>
  <c r="V25" i="836"/>
  <c r="W25" i="836"/>
  <c r="X25" i="836"/>
  <c r="Y25" i="836"/>
  <c r="Z25" i="836"/>
  <c r="R26" i="836"/>
  <c r="S26" i="836"/>
  <c r="T26" i="836"/>
  <c r="U26" i="836"/>
  <c r="V26" i="836"/>
  <c r="W26" i="836"/>
  <c r="X26" i="836"/>
  <c r="Y26" i="836"/>
  <c r="Z26" i="836"/>
  <c r="R27" i="836"/>
  <c r="S27" i="836"/>
  <c r="T27" i="836"/>
  <c r="U27" i="836"/>
  <c r="V27" i="836"/>
  <c r="W27" i="836"/>
  <c r="X27" i="836"/>
  <c r="Y27" i="836"/>
  <c r="Z27" i="836"/>
  <c r="R28" i="836"/>
  <c r="S28" i="836"/>
  <c r="T28" i="836"/>
  <c r="U28" i="836"/>
  <c r="V28" i="836"/>
  <c r="W28" i="836"/>
  <c r="X28" i="836"/>
  <c r="Y28" i="836"/>
  <c r="Z28" i="836"/>
  <c r="R29" i="836"/>
  <c r="S29" i="836"/>
  <c r="T29" i="836"/>
  <c r="U29" i="836"/>
  <c r="V29" i="836"/>
  <c r="W29" i="836"/>
  <c r="X29" i="836"/>
  <c r="Y29" i="836"/>
  <c r="Z29" i="836"/>
  <c r="R30" i="836"/>
  <c r="S30" i="836"/>
  <c r="T30" i="836"/>
  <c r="U30" i="836"/>
  <c r="V30" i="836"/>
  <c r="W30" i="836"/>
  <c r="X30" i="836"/>
  <c r="Y30" i="836"/>
  <c r="Z30" i="836"/>
  <c r="M33" i="836"/>
  <c r="L33" i="836"/>
  <c r="K33" i="836"/>
  <c r="C10" i="836"/>
  <c r="D10" i="836"/>
  <c r="E10" i="836"/>
  <c r="F10" i="836"/>
  <c r="G10" i="836"/>
  <c r="I10" i="836"/>
  <c r="J10" i="836"/>
  <c r="K10" i="836"/>
  <c r="L10" i="836"/>
  <c r="M10" i="836"/>
  <c r="N10" i="836"/>
  <c r="O10" i="836"/>
  <c r="C11" i="836"/>
  <c r="D11" i="836"/>
  <c r="E11" i="836"/>
  <c r="F11" i="836"/>
  <c r="G11" i="836"/>
  <c r="I11" i="836"/>
  <c r="J11" i="836"/>
  <c r="K11" i="836"/>
  <c r="L11" i="836"/>
  <c r="M11" i="836"/>
  <c r="N11" i="836"/>
  <c r="O11" i="836"/>
  <c r="C12" i="836"/>
  <c r="D12" i="836"/>
  <c r="E12" i="836"/>
  <c r="F12" i="836"/>
  <c r="G12" i="836"/>
  <c r="I12" i="836"/>
  <c r="J12" i="836"/>
  <c r="K12" i="836"/>
  <c r="L12" i="836"/>
  <c r="M12" i="836"/>
  <c r="N12" i="836"/>
  <c r="O12" i="836"/>
  <c r="C13" i="836"/>
  <c r="D13" i="836"/>
  <c r="E13" i="836"/>
  <c r="F13" i="836"/>
  <c r="G13" i="836"/>
  <c r="I13" i="836"/>
  <c r="J13" i="836"/>
  <c r="K13" i="836"/>
  <c r="L13" i="836"/>
  <c r="M13" i="836"/>
  <c r="N13" i="836"/>
  <c r="O13" i="836"/>
  <c r="C14" i="836"/>
  <c r="D14" i="836"/>
  <c r="E14" i="836"/>
  <c r="F14" i="836"/>
  <c r="G14" i="836"/>
  <c r="I14" i="836"/>
  <c r="J14" i="836"/>
  <c r="K14" i="836"/>
  <c r="L14" i="836"/>
  <c r="M14" i="836"/>
  <c r="N14" i="836"/>
  <c r="O14" i="836"/>
  <c r="C15" i="836"/>
  <c r="D15" i="836"/>
  <c r="E15" i="836"/>
  <c r="F15" i="836"/>
  <c r="G15" i="836"/>
  <c r="I15" i="836"/>
  <c r="J15" i="836"/>
  <c r="K15" i="836"/>
  <c r="L15" i="836"/>
  <c r="M15" i="836"/>
  <c r="N15" i="836"/>
  <c r="O15" i="836"/>
  <c r="C16" i="836"/>
  <c r="D16" i="836"/>
  <c r="E16" i="836"/>
  <c r="F16" i="836"/>
  <c r="G16" i="836"/>
  <c r="I16" i="836"/>
  <c r="J16" i="836"/>
  <c r="K16" i="836"/>
  <c r="L16" i="836"/>
  <c r="M16" i="836"/>
  <c r="N16" i="836"/>
  <c r="O16" i="836"/>
  <c r="C17" i="836"/>
  <c r="D17" i="836"/>
  <c r="E17" i="836"/>
  <c r="F17" i="836"/>
  <c r="G17" i="836"/>
  <c r="I17" i="836"/>
  <c r="J17" i="836"/>
  <c r="K17" i="836"/>
  <c r="L17" i="836"/>
  <c r="M17" i="836"/>
  <c r="N17" i="836"/>
  <c r="O17" i="836"/>
  <c r="C18" i="836"/>
  <c r="D18" i="836"/>
  <c r="E18" i="836"/>
  <c r="F18" i="836"/>
  <c r="G18" i="836"/>
  <c r="I18" i="836"/>
  <c r="J18" i="836"/>
  <c r="K18" i="836"/>
  <c r="L18" i="836"/>
  <c r="M18" i="836"/>
  <c r="N18" i="836"/>
  <c r="O18" i="836"/>
  <c r="K66" i="836"/>
  <c r="K64" i="836"/>
  <c r="G66" i="836"/>
  <c r="G64" i="836"/>
  <c r="B66" i="836"/>
  <c r="B64" i="836"/>
  <c r="B45" i="836"/>
  <c r="Z45" i="836" s="1"/>
  <c r="B33" i="836"/>
  <c r="U33" i="836" s="1"/>
  <c r="D58" i="835"/>
  <c r="G58" i="835"/>
  <c r="K58" i="835"/>
  <c r="K66" i="835" s="1"/>
  <c r="B27" i="835"/>
  <c r="R27" i="835" s="1"/>
  <c r="B58" i="835"/>
  <c r="F76" i="836"/>
  <c r="AX62" i="836"/>
  <c r="AW62" i="836"/>
  <c r="AV62" i="836"/>
  <c r="AU62" i="836"/>
  <c r="AT62" i="836"/>
  <c r="AS62" i="836"/>
  <c r="AR62" i="836"/>
  <c r="AQ62" i="836"/>
  <c r="AP62" i="836"/>
  <c r="AO62" i="836"/>
  <c r="AN62" i="836"/>
  <c r="AM62" i="836"/>
  <c r="AL62" i="836"/>
  <c r="AK62" i="836"/>
  <c r="AJ62" i="836"/>
  <c r="AI62" i="836"/>
  <c r="AH62" i="836"/>
  <c r="AG62" i="836"/>
  <c r="AF62" i="836"/>
  <c r="AE62" i="836"/>
  <c r="AD62" i="836"/>
  <c r="AC62" i="836"/>
  <c r="AB62" i="836"/>
  <c r="K57" i="836"/>
  <c r="D55" i="836"/>
  <c r="Z52" i="836"/>
  <c r="Y52" i="836"/>
  <c r="X52" i="836"/>
  <c r="W52" i="836"/>
  <c r="V52" i="836"/>
  <c r="U52" i="836"/>
  <c r="T52" i="836"/>
  <c r="S52" i="836"/>
  <c r="R52" i="836"/>
  <c r="Z51" i="836"/>
  <c r="Y51" i="836"/>
  <c r="X51" i="836"/>
  <c r="W51" i="836"/>
  <c r="V51" i="836"/>
  <c r="U51" i="836"/>
  <c r="T51" i="836"/>
  <c r="S51" i="836"/>
  <c r="R51" i="836"/>
  <c r="Z50" i="836"/>
  <c r="Y50" i="836"/>
  <c r="X50" i="836"/>
  <c r="W50" i="836"/>
  <c r="V50" i="836"/>
  <c r="U50" i="836"/>
  <c r="T50" i="836"/>
  <c r="S50" i="836"/>
  <c r="R50" i="836"/>
  <c r="Z49" i="836"/>
  <c r="Y49" i="836"/>
  <c r="X49" i="836"/>
  <c r="W49" i="836"/>
  <c r="V49" i="836"/>
  <c r="U49" i="836"/>
  <c r="T49" i="836"/>
  <c r="S49" i="836"/>
  <c r="R49" i="836"/>
  <c r="Z48" i="836"/>
  <c r="Y48" i="836"/>
  <c r="X48" i="836"/>
  <c r="W48" i="836"/>
  <c r="V48" i="836"/>
  <c r="U48" i="836"/>
  <c r="T48" i="836"/>
  <c r="S48" i="836"/>
  <c r="R48" i="836"/>
  <c r="Z47" i="836"/>
  <c r="Y47" i="836"/>
  <c r="X47" i="836"/>
  <c r="W47" i="836"/>
  <c r="V47" i="836"/>
  <c r="U47" i="836"/>
  <c r="T47" i="836"/>
  <c r="S47" i="836"/>
  <c r="R47" i="836"/>
  <c r="Z46" i="836"/>
  <c r="Y46" i="836"/>
  <c r="X46" i="836"/>
  <c r="W46" i="836"/>
  <c r="V46" i="836"/>
  <c r="U46" i="836"/>
  <c r="T46" i="836"/>
  <c r="S46" i="836"/>
  <c r="R46" i="836"/>
  <c r="Y45" i="836"/>
  <c r="X45" i="836"/>
  <c r="Z44" i="836"/>
  <c r="Y44" i="836"/>
  <c r="X44" i="836"/>
  <c r="W44" i="836"/>
  <c r="V44" i="836"/>
  <c r="U44" i="836"/>
  <c r="T44" i="836"/>
  <c r="S44" i="836"/>
  <c r="R44" i="836"/>
  <c r="Z43" i="836"/>
  <c r="Y43" i="836"/>
  <c r="X43" i="836"/>
  <c r="W43" i="836"/>
  <c r="V43" i="836"/>
  <c r="U43" i="836"/>
  <c r="T43" i="836"/>
  <c r="S43" i="836"/>
  <c r="R43" i="836"/>
  <c r="Z42" i="836"/>
  <c r="Y42" i="836"/>
  <c r="X42" i="836"/>
  <c r="W42" i="836"/>
  <c r="V42" i="836"/>
  <c r="U42" i="836"/>
  <c r="T42" i="836"/>
  <c r="S42" i="836"/>
  <c r="R42" i="836"/>
  <c r="M42" i="836"/>
  <c r="Z41" i="836"/>
  <c r="Y41" i="836"/>
  <c r="X41" i="836"/>
  <c r="W41" i="836"/>
  <c r="V41" i="836"/>
  <c r="U41" i="836"/>
  <c r="T41" i="836"/>
  <c r="S41" i="836"/>
  <c r="R41" i="836"/>
  <c r="M41" i="836"/>
  <c r="Z40" i="836"/>
  <c r="Y40" i="836"/>
  <c r="X40" i="836"/>
  <c r="W40" i="836"/>
  <c r="V40" i="836"/>
  <c r="U40" i="836"/>
  <c r="T40" i="836"/>
  <c r="S40" i="836"/>
  <c r="R40" i="836"/>
  <c r="M40" i="836"/>
  <c r="Z39" i="836"/>
  <c r="Y39" i="836"/>
  <c r="X39" i="836"/>
  <c r="W39" i="836"/>
  <c r="V39" i="836"/>
  <c r="U39" i="836"/>
  <c r="T39" i="836"/>
  <c r="S39" i="836"/>
  <c r="R39" i="836"/>
  <c r="K39" i="836"/>
  <c r="Z38" i="836"/>
  <c r="Y38" i="836"/>
  <c r="X38" i="836"/>
  <c r="W38" i="836"/>
  <c r="V38" i="836"/>
  <c r="U38" i="836"/>
  <c r="T38" i="836"/>
  <c r="S38" i="836"/>
  <c r="R38" i="836"/>
  <c r="M38" i="836"/>
  <c r="L38" i="836"/>
  <c r="K38" i="836"/>
  <c r="Z37" i="836"/>
  <c r="Y37" i="836"/>
  <c r="X37" i="836"/>
  <c r="W37" i="836"/>
  <c r="V37" i="836"/>
  <c r="U37" i="836"/>
  <c r="T37" i="836"/>
  <c r="S37" i="836"/>
  <c r="R37" i="836"/>
  <c r="Z36" i="836"/>
  <c r="Y36" i="836"/>
  <c r="X36" i="836"/>
  <c r="W36" i="836"/>
  <c r="V36" i="836"/>
  <c r="U36" i="836"/>
  <c r="T36" i="836"/>
  <c r="S36" i="836"/>
  <c r="R36" i="836"/>
  <c r="M36" i="836"/>
  <c r="L36" i="836"/>
  <c r="K36" i="836"/>
  <c r="Z35" i="836"/>
  <c r="Y35" i="836"/>
  <c r="X35" i="836"/>
  <c r="W35" i="836"/>
  <c r="V35" i="836"/>
  <c r="U35" i="836"/>
  <c r="T35" i="836"/>
  <c r="S35" i="836"/>
  <c r="R35" i="836"/>
  <c r="Z34" i="836"/>
  <c r="Y34" i="836"/>
  <c r="X34" i="836"/>
  <c r="W34" i="836"/>
  <c r="V34" i="836"/>
  <c r="U34" i="836"/>
  <c r="T34" i="836"/>
  <c r="S34" i="836"/>
  <c r="R34" i="836"/>
  <c r="M34" i="836"/>
  <c r="L34" i="836"/>
  <c r="K34" i="836"/>
  <c r="Z32" i="836"/>
  <c r="Y32" i="836"/>
  <c r="X32" i="836"/>
  <c r="W32" i="836"/>
  <c r="V32" i="836"/>
  <c r="U32" i="836"/>
  <c r="T32" i="836"/>
  <c r="S32" i="836"/>
  <c r="R32" i="836"/>
  <c r="Z31" i="836"/>
  <c r="Y31" i="836"/>
  <c r="X31" i="836"/>
  <c r="W31" i="836"/>
  <c r="V31" i="836"/>
  <c r="U31" i="836"/>
  <c r="T31" i="836"/>
  <c r="S31" i="836"/>
  <c r="R31" i="836"/>
  <c r="M27" i="835"/>
  <c r="L27" i="835"/>
  <c r="K27" i="835"/>
  <c r="R13" i="835"/>
  <c r="S13" i="835"/>
  <c r="T13" i="835"/>
  <c r="U13" i="835"/>
  <c r="V13" i="835"/>
  <c r="W13" i="835"/>
  <c r="X13" i="835"/>
  <c r="Y13" i="835"/>
  <c r="Z13" i="835"/>
  <c r="R14" i="835"/>
  <c r="S14" i="835"/>
  <c r="T14" i="835"/>
  <c r="U14" i="835"/>
  <c r="V14" i="835"/>
  <c r="W14" i="835"/>
  <c r="X14" i="835"/>
  <c r="Y14" i="835"/>
  <c r="Z14" i="835"/>
  <c r="R15" i="835"/>
  <c r="S15" i="835"/>
  <c r="T15" i="835"/>
  <c r="U15" i="835"/>
  <c r="V15" i="835"/>
  <c r="W15" i="835"/>
  <c r="X15" i="835"/>
  <c r="Y15" i="835"/>
  <c r="Z15" i="835"/>
  <c r="R16" i="835"/>
  <c r="S16" i="835"/>
  <c r="T16" i="835"/>
  <c r="U16" i="835"/>
  <c r="V16" i="835"/>
  <c r="W16" i="835"/>
  <c r="X16" i="835"/>
  <c r="Y16" i="835"/>
  <c r="Z16" i="835"/>
  <c r="R17" i="835"/>
  <c r="S17" i="835"/>
  <c r="T17" i="835"/>
  <c r="U17" i="835"/>
  <c r="V17" i="835"/>
  <c r="W17" i="835"/>
  <c r="X17" i="835"/>
  <c r="Y17" i="835"/>
  <c r="Z17" i="835"/>
  <c r="R18" i="835"/>
  <c r="S18" i="835"/>
  <c r="T18" i="835"/>
  <c r="U18" i="835"/>
  <c r="V18" i="835"/>
  <c r="W18" i="835"/>
  <c r="X18" i="835"/>
  <c r="Y18" i="835"/>
  <c r="Z18" i="835"/>
  <c r="R19" i="835"/>
  <c r="S19" i="835"/>
  <c r="T19" i="835"/>
  <c r="U19" i="835"/>
  <c r="V19" i="835"/>
  <c r="W19" i="835"/>
  <c r="X19" i="835"/>
  <c r="Y19" i="835"/>
  <c r="Z19" i="835"/>
  <c r="R20" i="835"/>
  <c r="S20" i="835"/>
  <c r="T20" i="835"/>
  <c r="U20" i="835"/>
  <c r="V20" i="835"/>
  <c r="W20" i="835"/>
  <c r="X20" i="835"/>
  <c r="Y20" i="835"/>
  <c r="Z20" i="835"/>
  <c r="R21" i="835"/>
  <c r="S21" i="835"/>
  <c r="T21" i="835"/>
  <c r="U21" i="835"/>
  <c r="V21" i="835"/>
  <c r="W21" i="835"/>
  <c r="X21" i="835"/>
  <c r="Y21" i="835"/>
  <c r="Z21" i="835"/>
  <c r="R22" i="835"/>
  <c r="S22" i="835"/>
  <c r="T22" i="835"/>
  <c r="U22" i="835"/>
  <c r="V22" i="835"/>
  <c r="W22" i="835"/>
  <c r="X22" i="835"/>
  <c r="Y22" i="835"/>
  <c r="Z22" i="835"/>
  <c r="R23" i="835"/>
  <c r="S23" i="835"/>
  <c r="T23" i="835"/>
  <c r="U23" i="835"/>
  <c r="V23" i="835"/>
  <c r="W23" i="835"/>
  <c r="X23" i="835"/>
  <c r="Y23" i="835"/>
  <c r="Z23" i="835"/>
  <c r="R24" i="835"/>
  <c r="S24" i="835"/>
  <c r="T24" i="835"/>
  <c r="U24" i="835"/>
  <c r="V24" i="835"/>
  <c r="W24" i="835"/>
  <c r="X24" i="835"/>
  <c r="Y24" i="835"/>
  <c r="Z24" i="835"/>
  <c r="R25" i="835"/>
  <c r="S25" i="835"/>
  <c r="T25" i="835"/>
  <c r="U25" i="835"/>
  <c r="V25" i="835"/>
  <c r="W25" i="835"/>
  <c r="X25" i="835"/>
  <c r="Y25" i="835"/>
  <c r="Z25" i="835"/>
  <c r="R26" i="835"/>
  <c r="S26" i="835"/>
  <c r="T26" i="835"/>
  <c r="U26" i="835"/>
  <c r="V26" i="835"/>
  <c r="W26" i="835"/>
  <c r="X26" i="835"/>
  <c r="Y26" i="835"/>
  <c r="Z26" i="835"/>
  <c r="T27" i="835"/>
  <c r="U27" i="835"/>
  <c r="V27" i="835"/>
  <c r="W27" i="835"/>
  <c r="X27" i="835"/>
  <c r="Y27" i="835"/>
  <c r="Z27" i="835"/>
  <c r="C16" i="835"/>
  <c r="D16" i="835"/>
  <c r="E16" i="835"/>
  <c r="F16" i="835"/>
  <c r="G16" i="835"/>
  <c r="I16" i="835"/>
  <c r="J16" i="835"/>
  <c r="K16" i="835"/>
  <c r="L16" i="835"/>
  <c r="M16" i="835"/>
  <c r="N16" i="835"/>
  <c r="O16" i="835"/>
  <c r="C17" i="835"/>
  <c r="D17" i="835"/>
  <c r="E17" i="835"/>
  <c r="F17" i="835"/>
  <c r="G17" i="835"/>
  <c r="I17" i="835"/>
  <c r="J17" i="835"/>
  <c r="K17" i="835"/>
  <c r="L17" i="835"/>
  <c r="M17" i="835"/>
  <c r="N17" i="835"/>
  <c r="O17" i="835"/>
  <c r="C18" i="835"/>
  <c r="D18" i="835"/>
  <c r="E18" i="835"/>
  <c r="F18" i="835"/>
  <c r="G18" i="835"/>
  <c r="I18" i="835"/>
  <c r="J18" i="835"/>
  <c r="K18" i="835"/>
  <c r="L18" i="835"/>
  <c r="M18" i="835"/>
  <c r="N18" i="835"/>
  <c r="O18" i="835"/>
  <c r="C10" i="835"/>
  <c r="D10" i="835"/>
  <c r="E10" i="835"/>
  <c r="F10" i="835"/>
  <c r="G10" i="835"/>
  <c r="I10" i="835"/>
  <c r="J10" i="835"/>
  <c r="K10" i="835"/>
  <c r="L10" i="835"/>
  <c r="M10" i="835"/>
  <c r="N10" i="835"/>
  <c r="O10" i="835"/>
  <c r="C11" i="835"/>
  <c r="D11" i="835"/>
  <c r="E11" i="835"/>
  <c r="F11" i="835"/>
  <c r="G11" i="835"/>
  <c r="I11" i="835"/>
  <c r="J11" i="835"/>
  <c r="K11" i="835"/>
  <c r="L11" i="835"/>
  <c r="M11" i="835"/>
  <c r="N11" i="835"/>
  <c r="O11" i="835"/>
  <c r="C12" i="835"/>
  <c r="D12" i="835"/>
  <c r="E12" i="835"/>
  <c r="F12" i="835"/>
  <c r="G12" i="835"/>
  <c r="I12" i="835"/>
  <c r="J12" i="835"/>
  <c r="K12" i="835"/>
  <c r="L12" i="835"/>
  <c r="M12" i="835"/>
  <c r="N12" i="835"/>
  <c r="O12" i="835"/>
  <c r="C13" i="835"/>
  <c r="D13" i="835"/>
  <c r="E13" i="835"/>
  <c r="F13" i="835"/>
  <c r="G13" i="835"/>
  <c r="I13" i="835"/>
  <c r="J13" i="835"/>
  <c r="K13" i="835"/>
  <c r="L13" i="835"/>
  <c r="M13" i="835"/>
  <c r="N13" i="835"/>
  <c r="O13" i="835"/>
  <c r="C14" i="835"/>
  <c r="D14" i="835"/>
  <c r="E14" i="835"/>
  <c r="F14" i="835"/>
  <c r="G14" i="835"/>
  <c r="I14" i="835"/>
  <c r="J14" i="835"/>
  <c r="K14" i="835"/>
  <c r="L14" i="835"/>
  <c r="M14" i="835"/>
  <c r="N14" i="835"/>
  <c r="O14" i="835"/>
  <c r="C15" i="835"/>
  <c r="D15" i="835"/>
  <c r="E15" i="835"/>
  <c r="F15" i="835"/>
  <c r="G15" i="835"/>
  <c r="I15" i="835"/>
  <c r="J15" i="835"/>
  <c r="K15" i="835"/>
  <c r="L15" i="835"/>
  <c r="M15" i="835"/>
  <c r="N15" i="835"/>
  <c r="O15" i="835"/>
  <c r="F70" i="835"/>
  <c r="AX56" i="835"/>
  <c r="AW56" i="835"/>
  <c r="AV56" i="835"/>
  <c r="AU56" i="835"/>
  <c r="AT56" i="835"/>
  <c r="AS56" i="835"/>
  <c r="AR56" i="835"/>
  <c r="AQ56" i="835"/>
  <c r="AP56" i="835"/>
  <c r="AO56" i="835"/>
  <c r="AN56" i="835"/>
  <c r="AM56" i="835"/>
  <c r="AL56" i="835"/>
  <c r="AK56" i="835"/>
  <c r="AJ56" i="835"/>
  <c r="AI56" i="835"/>
  <c r="AH56" i="835"/>
  <c r="AG56" i="835"/>
  <c r="AF56" i="835"/>
  <c r="AE56" i="835"/>
  <c r="AD56" i="835"/>
  <c r="AC56" i="835"/>
  <c r="AB56" i="835"/>
  <c r="K51" i="835"/>
  <c r="D49" i="835"/>
  <c r="Z46" i="835"/>
  <c r="Y46" i="835"/>
  <c r="X46" i="835"/>
  <c r="W46" i="835"/>
  <c r="V46" i="835"/>
  <c r="U46" i="835"/>
  <c r="T46" i="835"/>
  <c r="S46" i="835"/>
  <c r="R46" i="835"/>
  <c r="Z45" i="835"/>
  <c r="Y45" i="835"/>
  <c r="X45" i="835"/>
  <c r="W45" i="835"/>
  <c r="V45" i="835"/>
  <c r="U45" i="835"/>
  <c r="T45" i="835"/>
  <c r="S45" i="835"/>
  <c r="R45" i="835"/>
  <c r="Z44" i="835"/>
  <c r="Y44" i="835"/>
  <c r="X44" i="835"/>
  <c r="W44" i="835"/>
  <c r="V44" i="835"/>
  <c r="U44" i="835"/>
  <c r="T44" i="835"/>
  <c r="S44" i="835"/>
  <c r="R44" i="835"/>
  <c r="Z43" i="835"/>
  <c r="Y43" i="835"/>
  <c r="X43" i="835"/>
  <c r="W43" i="835"/>
  <c r="V43" i="835"/>
  <c r="U43" i="835"/>
  <c r="T43" i="835"/>
  <c r="S43" i="835"/>
  <c r="R43" i="835"/>
  <c r="Z42" i="835"/>
  <c r="Y42" i="835"/>
  <c r="X42" i="835"/>
  <c r="W42" i="835"/>
  <c r="V42" i="835"/>
  <c r="U42" i="835"/>
  <c r="T42" i="835"/>
  <c r="S42" i="835"/>
  <c r="R42" i="835"/>
  <c r="Z41" i="835"/>
  <c r="Y41" i="835"/>
  <c r="X41" i="835"/>
  <c r="W41" i="835"/>
  <c r="V41" i="835"/>
  <c r="U41" i="835"/>
  <c r="T41" i="835"/>
  <c r="S41" i="835"/>
  <c r="R41" i="835"/>
  <c r="Z40" i="835"/>
  <c r="Y40" i="835"/>
  <c r="X40" i="835"/>
  <c r="W40" i="835"/>
  <c r="V40" i="835"/>
  <c r="U40" i="835"/>
  <c r="T40" i="835"/>
  <c r="S40" i="835"/>
  <c r="R40" i="835"/>
  <c r="Z39" i="835"/>
  <c r="Y39" i="835"/>
  <c r="X39" i="835"/>
  <c r="W39" i="835"/>
  <c r="V39" i="835"/>
  <c r="U39" i="835"/>
  <c r="T39" i="835"/>
  <c r="S39" i="835"/>
  <c r="R39" i="835"/>
  <c r="Z38" i="835"/>
  <c r="Y38" i="835"/>
  <c r="X38" i="835"/>
  <c r="W38" i="835"/>
  <c r="V38" i="835"/>
  <c r="U38" i="835"/>
  <c r="T38" i="835"/>
  <c r="S38" i="835"/>
  <c r="R38" i="835"/>
  <c r="Z37" i="835"/>
  <c r="Y37" i="835"/>
  <c r="X37" i="835"/>
  <c r="W37" i="835"/>
  <c r="V37" i="835"/>
  <c r="U37" i="835"/>
  <c r="T37" i="835"/>
  <c r="S37" i="835"/>
  <c r="R37" i="835"/>
  <c r="Z36" i="835"/>
  <c r="Y36" i="835"/>
  <c r="X36" i="835"/>
  <c r="W36" i="835"/>
  <c r="V36" i="835"/>
  <c r="U36" i="835"/>
  <c r="T36" i="835"/>
  <c r="S36" i="835"/>
  <c r="R36" i="835"/>
  <c r="M36" i="835"/>
  <c r="Z35" i="835"/>
  <c r="Y35" i="835"/>
  <c r="X35" i="835"/>
  <c r="W35" i="835"/>
  <c r="V35" i="835"/>
  <c r="U35" i="835"/>
  <c r="T35" i="835"/>
  <c r="S35" i="835"/>
  <c r="R35" i="835"/>
  <c r="M35" i="835"/>
  <c r="Z34" i="835"/>
  <c r="Y34" i="835"/>
  <c r="X34" i="835"/>
  <c r="W34" i="835"/>
  <c r="V34" i="835"/>
  <c r="U34" i="835"/>
  <c r="T34" i="835"/>
  <c r="S34" i="835"/>
  <c r="R34" i="835"/>
  <c r="M34" i="835"/>
  <c r="Z33" i="835"/>
  <c r="Y33" i="835"/>
  <c r="X33" i="835"/>
  <c r="W33" i="835"/>
  <c r="V33" i="835"/>
  <c r="U33" i="835"/>
  <c r="T33" i="835"/>
  <c r="S33" i="835"/>
  <c r="R33" i="835"/>
  <c r="K33" i="835"/>
  <c r="Z32" i="835"/>
  <c r="Y32" i="835"/>
  <c r="X32" i="835"/>
  <c r="W32" i="835"/>
  <c r="V32" i="835"/>
  <c r="U32" i="835"/>
  <c r="T32" i="835"/>
  <c r="S32" i="835"/>
  <c r="R32" i="835"/>
  <c r="M32" i="835"/>
  <c r="L32" i="835"/>
  <c r="K32" i="835"/>
  <c r="Z31" i="835"/>
  <c r="Y31" i="835"/>
  <c r="X31" i="835"/>
  <c r="W31" i="835"/>
  <c r="V31" i="835"/>
  <c r="U31" i="835"/>
  <c r="T31" i="835"/>
  <c r="S31" i="835"/>
  <c r="R31" i="835"/>
  <c r="Z30" i="835"/>
  <c r="Y30" i="835"/>
  <c r="X30" i="835"/>
  <c r="W30" i="835"/>
  <c r="V30" i="835"/>
  <c r="U30" i="835"/>
  <c r="T30" i="835"/>
  <c r="S30" i="835"/>
  <c r="R30" i="835"/>
  <c r="M30" i="835"/>
  <c r="L30" i="835"/>
  <c r="K30" i="835"/>
  <c r="Z29" i="835"/>
  <c r="Y29" i="835"/>
  <c r="X29" i="835"/>
  <c r="W29" i="835"/>
  <c r="V29" i="835"/>
  <c r="U29" i="835"/>
  <c r="T29" i="835"/>
  <c r="S29" i="835"/>
  <c r="R29" i="835"/>
  <c r="Z28" i="835"/>
  <c r="Y28" i="835"/>
  <c r="X28" i="835"/>
  <c r="W28" i="835"/>
  <c r="V28" i="835"/>
  <c r="U28" i="835"/>
  <c r="T28" i="835"/>
  <c r="S28" i="835"/>
  <c r="R28" i="835"/>
  <c r="M28" i="835"/>
  <c r="L28" i="835"/>
  <c r="K28" i="835"/>
  <c r="Z12" i="835"/>
  <c r="Y12" i="835"/>
  <c r="X12" i="835"/>
  <c r="W12" i="835"/>
  <c r="V12" i="835"/>
  <c r="U12" i="835"/>
  <c r="T12" i="835"/>
  <c r="S12" i="835"/>
  <c r="R12" i="835"/>
  <c r="Z11" i="835"/>
  <c r="Y11" i="835"/>
  <c r="X11" i="835"/>
  <c r="W11" i="835"/>
  <c r="V11" i="835"/>
  <c r="U11" i="835"/>
  <c r="T11" i="835"/>
  <c r="S11" i="835"/>
  <c r="R11" i="835"/>
  <c r="Z10" i="835"/>
  <c r="Y10" i="835"/>
  <c r="X10" i="835"/>
  <c r="W10" i="835"/>
  <c r="V10" i="835"/>
  <c r="U10" i="835"/>
  <c r="T10" i="835"/>
  <c r="S10" i="835"/>
  <c r="R10" i="835"/>
  <c r="G56" i="834"/>
  <c r="D58" i="834"/>
  <c r="K56" i="834"/>
  <c r="K58" i="834"/>
  <c r="G58" i="834"/>
  <c r="B58" i="834"/>
  <c r="M26" i="834"/>
  <c r="L26" i="834"/>
  <c r="K26" i="834"/>
  <c r="M25" i="834"/>
  <c r="L25" i="834"/>
  <c r="K25" i="834"/>
  <c r="C17" i="834"/>
  <c r="D17" i="834"/>
  <c r="E17" i="834"/>
  <c r="F17" i="834"/>
  <c r="G17" i="834"/>
  <c r="I17" i="834"/>
  <c r="J17" i="834"/>
  <c r="L17" i="834"/>
  <c r="M17" i="834"/>
  <c r="N17" i="834"/>
  <c r="O17" i="834"/>
  <c r="C18" i="834"/>
  <c r="D18" i="834"/>
  <c r="E18" i="834"/>
  <c r="F18" i="834"/>
  <c r="G18" i="834"/>
  <c r="I18" i="834"/>
  <c r="J18" i="834"/>
  <c r="L18" i="834"/>
  <c r="M18" i="834"/>
  <c r="N18" i="834"/>
  <c r="O18" i="834"/>
  <c r="R13" i="834"/>
  <c r="S13" i="834"/>
  <c r="T13" i="834"/>
  <c r="U13" i="834"/>
  <c r="V13" i="834"/>
  <c r="W13" i="834"/>
  <c r="X13" i="834"/>
  <c r="Y13" i="834"/>
  <c r="Z13" i="834"/>
  <c r="R14" i="834"/>
  <c r="S14" i="834"/>
  <c r="T14" i="834"/>
  <c r="U14" i="834"/>
  <c r="V14" i="834"/>
  <c r="W14" i="834"/>
  <c r="X14" i="834"/>
  <c r="Y14" i="834"/>
  <c r="Z14" i="834"/>
  <c r="R15" i="834"/>
  <c r="S15" i="834"/>
  <c r="T15" i="834"/>
  <c r="U15" i="834"/>
  <c r="V15" i="834"/>
  <c r="W15" i="834"/>
  <c r="X15" i="834"/>
  <c r="Y15" i="834"/>
  <c r="Z15" i="834"/>
  <c r="R16" i="834"/>
  <c r="S16" i="834"/>
  <c r="T16" i="834"/>
  <c r="U16" i="834"/>
  <c r="V16" i="834"/>
  <c r="W16" i="834"/>
  <c r="X16" i="834"/>
  <c r="Y16" i="834"/>
  <c r="Z16" i="834"/>
  <c r="R17" i="834"/>
  <c r="S17" i="834"/>
  <c r="T17" i="834"/>
  <c r="U17" i="834"/>
  <c r="V17" i="834"/>
  <c r="W17" i="834"/>
  <c r="X17" i="834"/>
  <c r="Y17" i="834"/>
  <c r="Z17" i="834"/>
  <c r="R18" i="834"/>
  <c r="S18" i="834"/>
  <c r="T18" i="834"/>
  <c r="U18" i="834"/>
  <c r="V18" i="834"/>
  <c r="W18" i="834"/>
  <c r="X18" i="834"/>
  <c r="Y18" i="834"/>
  <c r="Z18" i="834"/>
  <c r="R19" i="834"/>
  <c r="S19" i="834"/>
  <c r="T19" i="834"/>
  <c r="U19" i="834"/>
  <c r="V19" i="834"/>
  <c r="W19" i="834"/>
  <c r="X19" i="834"/>
  <c r="Y19" i="834"/>
  <c r="Z19" i="834"/>
  <c r="R20" i="834"/>
  <c r="S20" i="834"/>
  <c r="T20" i="834"/>
  <c r="U20" i="834"/>
  <c r="V20" i="834"/>
  <c r="W20" i="834"/>
  <c r="X20" i="834"/>
  <c r="Y20" i="834"/>
  <c r="Z20" i="834"/>
  <c r="R21" i="834"/>
  <c r="S21" i="834"/>
  <c r="T21" i="834"/>
  <c r="U21" i="834"/>
  <c r="V21" i="834"/>
  <c r="W21" i="834"/>
  <c r="X21" i="834"/>
  <c r="Y21" i="834"/>
  <c r="Z21" i="834"/>
  <c r="C15" i="834"/>
  <c r="D15" i="834"/>
  <c r="E15" i="834"/>
  <c r="F15" i="834"/>
  <c r="G15" i="834"/>
  <c r="I15" i="834"/>
  <c r="J15" i="834"/>
  <c r="L15" i="834"/>
  <c r="M15" i="834"/>
  <c r="N15" i="834"/>
  <c r="O15" i="834"/>
  <c r="O16" i="834"/>
  <c r="N16" i="834"/>
  <c r="M16" i="834"/>
  <c r="L16" i="834"/>
  <c r="J16" i="834"/>
  <c r="I16" i="834"/>
  <c r="G16" i="834"/>
  <c r="F16" i="834"/>
  <c r="E16" i="834"/>
  <c r="D16" i="834"/>
  <c r="C16" i="834"/>
  <c r="R10" i="834"/>
  <c r="S10" i="834"/>
  <c r="T10" i="834"/>
  <c r="U10" i="834"/>
  <c r="V10" i="834"/>
  <c r="W10" i="834"/>
  <c r="X10" i="834"/>
  <c r="Y10" i="834"/>
  <c r="Z10" i="834"/>
  <c r="R11" i="834"/>
  <c r="S11" i="834"/>
  <c r="T11" i="834"/>
  <c r="U11" i="834"/>
  <c r="V11" i="834"/>
  <c r="W11" i="834"/>
  <c r="X11" i="834"/>
  <c r="Y11" i="834"/>
  <c r="Z11" i="834"/>
  <c r="R12" i="834"/>
  <c r="S12" i="834"/>
  <c r="T12" i="834"/>
  <c r="U12" i="834"/>
  <c r="V12" i="834"/>
  <c r="W12" i="834"/>
  <c r="X12" i="834"/>
  <c r="Y12" i="834"/>
  <c r="Z12" i="834"/>
  <c r="C10" i="834"/>
  <c r="D10" i="834"/>
  <c r="E10" i="834"/>
  <c r="F10" i="834"/>
  <c r="G10" i="834"/>
  <c r="I10" i="834"/>
  <c r="J10" i="834"/>
  <c r="K10" i="834"/>
  <c r="L10" i="834"/>
  <c r="M10" i="834"/>
  <c r="N10" i="834"/>
  <c r="O10" i="834"/>
  <c r="C11" i="834"/>
  <c r="D11" i="834"/>
  <c r="E11" i="834"/>
  <c r="F11" i="834"/>
  <c r="G11" i="834"/>
  <c r="I11" i="834"/>
  <c r="J11" i="834"/>
  <c r="K11" i="834"/>
  <c r="L11" i="834"/>
  <c r="M11" i="834"/>
  <c r="N11" i="834"/>
  <c r="O11" i="834"/>
  <c r="C12" i="834"/>
  <c r="D12" i="834"/>
  <c r="E12" i="834"/>
  <c r="F12" i="834"/>
  <c r="G12" i="834"/>
  <c r="I12" i="834"/>
  <c r="J12" i="834"/>
  <c r="K12" i="834"/>
  <c r="L12" i="834"/>
  <c r="M12" i="834"/>
  <c r="N12" i="834"/>
  <c r="O12" i="834"/>
  <c r="C13" i="834"/>
  <c r="D13" i="834"/>
  <c r="E13" i="834"/>
  <c r="F13" i="834"/>
  <c r="G13" i="834"/>
  <c r="I13" i="834"/>
  <c r="J13" i="834"/>
  <c r="K13" i="834"/>
  <c r="L13" i="834"/>
  <c r="M13" i="834"/>
  <c r="N13" i="834"/>
  <c r="O13" i="834"/>
  <c r="F68" i="834"/>
  <c r="B56" i="834"/>
  <c r="AX54" i="834"/>
  <c r="AW54" i="834"/>
  <c r="AV54" i="834"/>
  <c r="AU54" i="834"/>
  <c r="AT54" i="834"/>
  <c r="AS54" i="834"/>
  <c r="AR54" i="834"/>
  <c r="AQ54" i="834"/>
  <c r="AP54" i="834"/>
  <c r="AO54" i="834"/>
  <c r="AN54" i="834"/>
  <c r="AM54" i="834"/>
  <c r="AL54" i="834"/>
  <c r="AK54" i="834"/>
  <c r="AJ54" i="834"/>
  <c r="AI54" i="834"/>
  <c r="AH54" i="834"/>
  <c r="AG54" i="834"/>
  <c r="AF54" i="834"/>
  <c r="AE54" i="834"/>
  <c r="AD54" i="834"/>
  <c r="AC54" i="834"/>
  <c r="AB54" i="834"/>
  <c r="K49" i="834"/>
  <c r="D47" i="834"/>
  <c r="Z44" i="834"/>
  <c r="Y44" i="834"/>
  <c r="X44" i="834"/>
  <c r="W44" i="834"/>
  <c r="V44" i="834"/>
  <c r="U44" i="834"/>
  <c r="T44" i="834"/>
  <c r="S44" i="834"/>
  <c r="R44" i="834"/>
  <c r="Z43" i="834"/>
  <c r="Y43" i="834"/>
  <c r="X43" i="834"/>
  <c r="W43" i="834"/>
  <c r="V43" i="834"/>
  <c r="U43" i="834"/>
  <c r="T43" i="834"/>
  <c r="S43" i="834"/>
  <c r="R43" i="834"/>
  <c r="Z42" i="834"/>
  <c r="Y42" i="834"/>
  <c r="X42" i="834"/>
  <c r="W42" i="834"/>
  <c r="V42" i="834"/>
  <c r="U42" i="834"/>
  <c r="T42" i="834"/>
  <c r="S42" i="834"/>
  <c r="R42" i="834"/>
  <c r="Z41" i="834"/>
  <c r="Y41" i="834"/>
  <c r="X41" i="834"/>
  <c r="W41" i="834"/>
  <c r="V41" i="834"/>
  <c r="U41" i="834"/>
  <c r="T41" i="834"/>
  <c r="S41" i="834"/>
  <c r="R41" i="834"/>
  <c r="Z40" i="834"/>
  <c r="Y40" i="834"/>
  <c r="X40" i="834"/>
  <c r="W40" i="834"/>
  <c r="V40" i="834"/>
  <c r="U40" i="834"/>
  <c r="T40" i="834"/>
  <c r="S40" i="834"/>
  <c r="R40" i="834"/>
  <c r="Z39" i="834"/>
  <c r="Y39" i="834"/>
  <c r="X39" i="834"/>
  <c r="W39" i="834"/>
  <c r="V39" i="834"/>
  <c r="U39" i="834"/>
  <c r="T39" i="834"/>
  <c r="S39" i="834"/>
  <c r="R39" i="834"/>
  <c r="Z38" i="834"/>
  <c r="Y38" i="834"/>
  <c r="X38" i="834"/>
  <c r="W38" i="834"/>
  <c r="V38" i="834"/>
  <c r="U38" i="834"/>
  <c r="T38" i="834"/>
  <c r="S38" i="834"/>
  <c r="R38" i="834"/>
  <c r="Z37" i="834"/>
  <c r="Y37" i="834"/>
  <c r="X37" i="834"/>
  <c r="W37" i="834"/>
  <c r="V37" i="834"/>
  <c r="U37" i="834"/>
  <c r="T37" i="834"/>
  <c r="S37" i="834"/>
  <c r="R37" i="834"/>
  <c r="Z36" i="834"/>
  <c r="Y36" i="834"/>
  <c r="X36" i="834"/>
  <c r="W36" i="834"/>
  <c r="V36" i="834"/>
  <c r="U36" i="834"/>
  <c r="T36" i="834"/>
  <c r="S36" i="834"/>
  <c r="R36" i="834"/>
  <c r="Z35" i="834"/>
  <c r="Y35" i="834"/>
  <c r="X35" i="834"/>
  <c r="W35" i="834"/>
  <c r="V35" i="834"/>
  <c r="U35" i="834"/>
  <c r="T35" i="834"/>
  <c r="S35" i="834"/>
  <c r="R35" i="834"/>
  <c r="Z34" i="834"/>
  <c r="Y34" i="834"/>
  <c r="X34" i="834"/>
  <c r="W34" i="834"/>
  <c r="V34" i="834"/>
  <c r="U34" i="834"/>
  <c r="T34" i="834"/>
  <c r="S34" i="834"/>
  <c r="R34" i="834"/>
  <c r="M34" i="834"/>
  <c r="Z33" i="834"/>
  <c r="Y33" i="834"/>
  <c r="X33" i="834"/>
  <c r="W33" i="834"/>
  <c r="V33" i="834"/>
  <c r="U33" i="834"/>
  <c r="T33" i="834"/>
  <c r="S33" i="834"/>
  <c r="R33" i="834"/>
  <c r="M33" i="834"/>
  <c r="Z32" i="834"/>
  <c r="Y32" i="834"/>
  <c r="X32" i="834"/>
  <c r="W32" i="834"/>
  <c r="V32" i="834"/>
  <c r="U32" i="834"/>
  <c r="T32" i="834"/>
  <c r="S32" i="834"/>
  <c r="R32" i="834"/>
  <c r="M32" i="834"/>
  <c r="Z31" i="834"/>
  <c r="Y31" i="834"/>
  <c r="X31" i="834"/>
  <c r="W31" i="834"/>
  <c r="V31" i="834"/>
  <c r="U31" i="834"/>
  <c r="T31" i="834"/>
  <c r="S31" i="834"/>
  <c r="R31" i="834"/>
  <c r="K31" i="834"/>
  <c r="Z30" i="834"/>
  <c r="Y30" i="834"/>
  <c r="X30" i="834"/>
  <c r="W30" i="834"/>
  <c r="V30" i="834"/>
  <c r="U30" i="834"/>
  <c r="T30" i="834"/>
  <c r="S30" i="834"/>
  <c r="R30" i="834"/>
  <c r="M30" i="834"/>
  <c r="L30" i="834"/>
  <c r="K30" i="834"/>
  <c r="Z29" i="834"/>
  <c r="Y29" i="834"/>
  <c r="X29" i="834"/>
  <c r="W29" i="834"/>
  <c r="V29" i="834"/>
  <c r="U29" i="834"/>
  <c r="T29" i="834"/>
  <c r="S29" i="834"/>
  <c r="R29" i="834"/>
  <c r="Z28" i="834"/>
  <c r="Y28" i="834"/>
  <c r="X28" i="834"/>
  <c r="W28" i="834"/>
  <c r="V28" i="834"/>
  <c r="U28" i="834"/>
  <c r="T28" i="834"/>
  <c r="S28" i="834"/>
  <c r="R28" i="834"/>
  <c r="M28" i="834"/>
  <c r="L28" i="834"/>
  <c r="K28" i="834"/>
  <c r="Z27" i="834"/>
  <c r="Y27" i="834"/>
  <c r="X27" i="834"/>
  <c r="W27" i="834"/>
  <c r="V27" i="834"/>
  <c r="U27" i="834"/>
  <c r="T27" i="834"/>
  <c r="S27" i="834"/>
  <c r="R27" i="834"/>
  <c r="Z26" i="834"/>
  <c r="Y26" i="834"/>
  <c r="X26" i="834"/>
  <c r="W26" i="834"/>
  <c r="V26" i="834"/>
  <c r="U26" i="834"/>
  <c r="T26" i="834"/>
  <c r="S26" i="834"/>
  <c r="R26" i="834"/>
  <c r="B25" i="834"/>
  <c r="R25" i="834" s="1"/>
  <c r="Z24" i="834"/>
  <c r="Y24" i="834"/>
  <c r="X24" i="834"/>
  <c r="W24" i="834"/>
  <c r="V24" i="834"/>
  <c r="U24" i="834"/>
  <c r="T24" i="834"/>
  <c r="S24" i="834"/>
  <c r="R24" i="834"/>
  <c r="Z23" i="834"/>
  <c r="Y23" i="834"/>
  <c r="X23" i="834"/>
  <c r="W23" i="834"/>
  <c r="V23" i="834"/>
  <c r="U23" i="834"/>
  <c r="T23" i="834"/>
  <c r="S23" i="834"/>
  <c r="R23" i="834"/>
  <c r="Z22" i="834"/>
  <c r="Y22" i="834"/>
  <c r="X22" i="834"/>
  <c r="W22" i="834"/>
  <c r="V22" i="834"/>
  <c r="U22" i="834"/>
  <c r="T22" i="834"/>
  <c r="S22" i="834"/>
  <c r="R22" i="834"/>
  <c r="K53" i="833"/>
  <c r="K60" i="833" s="1"/>
  <c r="G53" i="833"/>
  <c r="R10" i="833"/>
  <c r="S10" i="833"/>
  <c r="T10" i="833"/>
  <c r="U10" i="833"/>
  <c r="V10" i="833"/>
  <c r="W10" i="833"/>
  <c r="X10" i="833"/>
  <c r="Y10" i="833"/>
  <c r="Z10" i="833"/>
  <c r="R11" i="833"/>
  <c r="S11" i="833"/>
  <c r="T11" i="833"/>
  <c r="U11" i="833"/>
  <c r="V11" i="833"/>
  <c r="W11" i="833"/>
  <c r="X11" i="833"/>
  <c r="Y11" i="833"/>
  <c r="Z11" i="833"/>
  <c r="R12" i="833"/>
  <c r="S12" i="833"/>
  <c r="T12" i="833"/>
  <c r="U12" i="833"/>
  <c r="V12" i="833"/>
  <c r="W12" i="833"/>
  <c r="X12" i="833"/>
  <c r="Y12" i="833"/>
  <c r="Z12" i="833"/>
  <c r="R13" i="833"/>
  <c r="S13" i="833"/>
  <c r="T13" i="833"/>
  <c r="U13" i="833"/>
  <c r="V13" i="833"/>
  <c r="W13" i="833"/>
  <c r="X13" i="833"/>
  <c r="Y13" i="833"/>
  <c r="Z13" i="833"/>
  <c r="R14" i="833"/>
  <c r="S14" i="833"/>
  <c r="T14" i="833"/>
  <c r="U14" i="833"/>
  <c r="V14" i="833"/>
  <c r="W14" i="833"/>
  <c r="X14" i="833"/>
  <c r="Y14" i="833"/>
  <c r="Z14" i="833"/>
  <c r="M22" i="833"/>
  <c r="L22" i="833"/>
  <c r="K22" i="833"/>
  <c r="C10" i="833"/>
  <c r="D10" i="833"/>
  <c r="E10" i="833"/>
  <c r="F10" i="833"/>
  <c r="G10" i="833"/>
  <c r="I10" i="833"/>
  <c r="J10" i="833"/>
  <c r="K10" i="833"/>
  <c r="L10" i="833"/>
  <c r="M10" i="833"/>
  <c r="N10" i="833"/>
  <c r="O10" i="833"/>
  <c r="C11" i="833"/>
  <c r="D11" i="833"/>
  <c r="E11" i="833"/>
  <c r="F11" i="833"/>
  <c r="G11" i="833"/>
  <c r="I11" i="833"/>
  <c r="J11" i="833"/>
  <c r="K11" i="833"/>
  <c r="L11" i="833"/>
  <c r="M11" i="833"/>
  <c r="N11" i="833"/>
  <c r="O11" i="833"/>
  <c r="C12" i="833"/>
  <c r="D12" i="833"/>
  <c r="E12" i="833"/>
  <c r="F12" i="833"/>
  <c r="G12" i="833"/>
  <c r="I12" i="833"/>
  <c r="J12" i="833"/>
  <c r="K12" i="833"/>
  <c r="L12" i="833"/>
  <c r="M12" i="833"/>
  <c r="N12" i="833"/>
  <c r="O12" i="833"/>
  <c r="C13" i="833"/>
  <c r="D13" i="833"/>
  <c r="E13" i="833"/>
  <c r="F13" i="833"/>
  <c r="G13" i="833"/>
  <c r="I13" i="833"/>
  <c r="J13" i="833"/>
  <c r="K13" i="833"/>
  <c r="L13" i="833"/>
  <c r="M13" i="833"/>
  <c r="N13" i="833"/>
  <c r="O13" i="833"/>
  <c r="C14" i="833"/>
  <c r="D14" i="833"/>
  <c r="E14" i="833"/>
  <c r="F14" i="833"/>
  <c r="G14" i="833"/>
  <c r="I14" i="833"/>
  <c r="J14" i="833"/>
  <c r="K14" i="833"/>
  <c r="L14" i="833"/>
  <c r="M14" i="833"/>
  <c r="N14" i="833"/>
  <c r="O14" i="833"/>
  <c r="C15" i="833"/>
  <c r="D15" i="833"/>
  <c r="E15" i="833"/>
  <c r="F15" i="833"/>
  <c r="G15" i="833"/>
  <c r="I15" i="833"/>
  <c r="J15" i="833"/>
  <c r="K15" i="833"/>
  <c r="L15" i="833"/>
  <c r="M15" i="833"/>
  <c r="N15" i="833"/>
  <c r="O15" i="833"/>
  <c r="C16" i="833"/>
  <c r="D16" i="833"/>
  <c r="E16" i="833"/>
  <c r="F16" i="833"/>
  <c r="G16" i="833"/>
  <c r="I16" i="833"/>
  <c r="J16" i="833"/>
  <c r="K16" i="833"/>
  <c r="L16" i="833"/>
  <c r="M16" i="833"/>
  <c r="N16" i="833"/>
  <c r="O16" i="833"/>
  <c r="F65" i="833"/>
  <c r="B53" i="833"/>
  <c r="AX51" i="833"/>
  <c r="AW51" i="833"/>
  <c r="AV51" i="833"/>
  <c r="AU51" i="833"/>
  <c r="AT51" i="833"/>
  <c r="AS51" i="833"/>
  <c r="AR51" i="833"/>
  <c r="AQ51" i="833"/>
  <c r="AP51" i="833"/>
  <c r="AO51" i="833"/>
  <c r="AN51" i="833"/>
  <c r="AM51" i="833"/>
  <c r="AL51" i="833"/>
  <c r="AK51" i="833"/>
  <c r="AJ51" i="833"/>
  <c r="AI51" i="833"/>
  <c r="AH51" i="833"/>
  <c r="AG51" i="833"/>
  <c r="AF51" i="833"/>
  <c r="AE51" i="833"/>
  <c r="AD51" i="833"/>
  <c r="AC51" i="833"/>
  <c r="AB51" i="833"/>
  <c r="K46" i="833"/>
  <c r="D44" i="833"/>
  <c r="Z41" i="833"/>
  <c r="Y41" i="833"/>
  <c r="X41" i="833"/>
  <c r="W41" i="833"/>
  <c r="V41" i="833"/>
  <c r="U41" i="833"/>
  <c r="T41" i="833"/>
  <c r="S41" i="833"/>
  <c r="R41" i="833"/>
  <c r="Z40" i="833"/>
  <c r="Y40" i="833"/>
  <c r="X40" i="833"/>
  <c r="W40" i="833"/>
  <c r="V40" i="833"/>
  <c r="U40" i="833"/>
  <c r="T40" i="833"/>
  <c r="S40" i="833"/>
  <c r="R40" i="833"/>
  <c r="Z39" i="833"/>
  <c r="Y39" i="833"/>
  <c r="X39" i="833"/>
  <c r="W39" i="833"/>
  <c r="V39" i="833"/>
  <c r="U39" i="833"/>
  <c r="T39" i="833"/>
  <c r="S39" i="833"/>
  <c r="R39" i="833"/>
  <c r="Z38" i="833"/>
  <c r="Y38" i="833"/>
  <c r="X38" i="833"/>
  <c r="W38" i="833"/>
  <c r="V38" i="833"/>
  <c r="U38" i="833"/>
  <c r="T38" i="833"/>
  <c r="S38" i="833"/>
  <c r="R38" i="833"/>
  <c r="Z37" i="833"/>
  <c r="Y37" i="833"/>
  <c r="X37" i="833"/>
  <c r="W37" i="833"/>
  <c r="V37" i="833"/>
  <c r="U37" i="833"/>
  <c r="T37" i="833"/>
  <c r="S37" i="833"/>
  <c r="R37" i="833"/>
  <c r="Z36" i="833"/>
  <c r="Y36" i="833"/>
  <c r="X36" i="833"/>
  <c r="W36" i="833"/>
  <c r="V36" i="833"/>
  <c r="U36" i="833"/>
  <c r="T36" i="833"/>
  <c r="S36" i="833"/>
  <c r="R36" i="833"/>
  <c r="Z35" i="833"/>
  <c r="Y35" i="833"/>
  <c r="X35" i="833"/>
  <c r="W35" i="833"/>
  <c r="V35" i="833"/>
  <c r="U35" i="833"/>
  <c r="T35" i="833"/>
  <c r="S35" i="833"/>
  <c r="R35" i="833"/>
  <c r="Z34" i="833"/>
  <c r="Y34" i="833"/>
  <c r="X34" i="833"/>
  <c r="W34" i="833"/>
  <c r="V34" i="833"/>
  <c r="U34" i="833"/>
  <c r="T34" i="833"/>
  <c r="S34" i="833"/>
  <c r="R34" i="833"/>
  <c r="Z33" i="833"/>
  <c r="Y33" i="833"/>
  <c r="X33" i="833"/>
  <c r="W33" i="833"/>
  <c r="V33" i="833"/>
  <c r="U33" i="833"/>
  <c r="T33" i="833"/>
  <c r="S33" i="833"/>
  <c r="R33" i="833"/>
  <c r="Z32" i="833"/>
  <c r="Y32" i="833"/>
  <c r="X32" i="833"/>
  <c r="W32" i="833"/>
  <c r="V32" i="833"/>
  <c r="U32" i="833"/>
  <c r="T32" i="833"/>
  <c r="S32" i="833"/>
  <c r="R32" i="833"/>
  <c r="Z31" i="833"/>
  <c r="Y31" i="833"/>
  <c r="X31" i="833"/>
  <c r="W31" i="833"/>
  <c r="V31" i="833"/>
  <c r="U31" i="833"/>
  <c r="T31" i="833"/>
  <c r="S31" i="833"/>
  <c r="R31" i="833"/>
  <c r="M31" i="833"/>
  <c r="Z30" i="833"/>
  <c r="Y30" i="833"/>
  <c r="X30" i="833"/>
  <c r="W30" i="833"/>
  <c r="V30" i="833"/>
  <c r="U30" i="833"/>
  <c r="T30" i="833"/>
  <c r="S30" i="833"/>
  <c r="R30" i="833"/>
  <c r="M30" i="833"/>
  <c r="Z29" i="833"/>
  <c r="Y29" i="833"/>
  <c r="X29" i="833"/>
  <c r="W29" i="833"/>
  <c r="V29" i="833"/>
  <c r="U29" i="833"/>
  <c r="T29" i="833"/>
  <c r="S29" i="833"/>
  <c r="R29" i="833"/>
  <c r="M29" i="833"/>
  <c r="Z28" i="833"/>
  <c r="Y28" i="833"/>
  <c r="X28" i="833"/>
  <c r="W28" i="833"/>
  <c r="V28" i="833"/>
  <c r="U28" i="833"/>
  <c r="T28" i="833"/>
  <c r="S28" i="833"/>
  <c r="R28" i="833"/>
  <c r="K28" i="833"/>
  <c r="Z27" i="833"/>
  <c r="Y27" i="833"/>
  <c r="X27" i="833"/>
  <c r="W27" i="833"/>
  <c r="V27" i="833"/>
  <c r="U27" i="833"/>
  <c r="T27" i="833"/>
  <c r="S27" i="833"/>
  <c r="R27" i="833"/>
  <c r="M27" i="833"/>
  <c r="L27" i="833"/>
  <c r="K27" i="833"/>
  <c r="Z26" i="833"/>
  <c r="Y26" i="833"/>
  <c r="X26" i="833"/>
  <c r="W26" i="833"/>
  <c r="V26" i="833"/>
  <c r="U26" i="833"/>
  <c r="T26" i="833"/>
  <c r="S26" i="833"/>
  <c r="R26" i="833"/>
  <c r="Z25" i="833"/>
  <c r="Y25" i="833"/>
  <c r="X25" i="833"/>
  <c r="W25" i="833"/>
  <c r="V25" i="833"/>
  <c r="U25" i="833"/>
  <c r="T25" i="833"/>
  <c r="S25" i="833"/>
  <c r="R25" i="833"/>
  <c r="M25" i="833"/>
  <c r="L25" i="833"/>
  <c r="K25" i="833"/>
  <c r="Z24" i="833"/>
  <c r="Y24" i="833"/>
  <c r="X24" i="833"/>
  <c r="W24" i="833"/>
  <c r="V24" i="833"/>
  <c r="U24" i="833"/>
  <c r="T24" i="833"/>
  <c r="S24" i="833"/>
  <c r="R24" i="833"/>
  <c r="Z23" i="833"/>
  <c r="Y23" i="833"/>
  <c r="X23" i="833"/>
  <c r="W23" i="833"/>
  <c r="V23" i="833"/>
  <c r="U23" i="833"/>
  <c r="T23" i="833"/>
  <c r="S23" i="833"/>
  <c r="R23" i="833"/>
  <c r="M23" i="833"/>
  <c r="L23" i="833"/>
  <c r="K23" i="833"/>
  <c r="B22" i="833"/>
  <c r="V22" i="833" s="1"/>
  <c r="Z21" i="833"/>
  <c r="Y21" i="833"/>
  <c r="X21" i="833"/>
  <c r="W21" i="833"/>
  <c r="V21" i="833"/>
  <c r="U21" i="833"/>
  <c r="T21" i="833"/>
  <c r="S21" i="833"/>
  <c r="R21" i="833"/>
  <c r="Z20" i="833"/>
  <c r="Y20" i="833"/>
  <c r="X20" i="833"/>
  <c r="W20" i="833"/>
  <c r="V20" i="833"/>
  <c r="U20" i="833"/>
  <c r="T20" i="833"/>
  <c r="S20" i="833"/>
  <c r="R20" i="833"/>
  <c r="Z19" i="833"/>
  <c r="Y19" i="833"/>
  <c r="X19" i="833"/>
  <c r="W19" i="833"/>
  <c r="V19" i="833"/>
  <c r="U19" i="833"/>
  <c r="T19" i="833"/>
  <c r="S19" i="833"/>
  <c r="R19" i="833"/>
  <c r="Z18" i="833"/>
  <c r="Y18" i="833"/>
  <c r="X18" i="833"/>
  <c r="W18" i="833"/>
  <c r="V18" i="833"/>
  <c r="U18" i="833"/>
  <c r="T18" i="833"/>
  <c r="S18" i="833"/>
  <c r="R18" i="833"/>
  <c r="Z17" i="833"/>
  <c r="Y17" i="833"/>
  <c r="X17" i="833"/>
  <c r="W17" i="833"/>
  <c r="V17" i="833"/>
  <c r="U17" i="833"/>
  <c r="T17" i="833"/>
  <c r="S17" i="833"/>
  <c r="R17" i="833"/>
  <c r="Z16" i="833"/>
  <c r="Y16" i="833"/>
  <c r="X16" i="833"/>
  <c r="W16" i="833"/>
  <c r="V16" i="833"/>
  <c r="U16" i="833"/>
  <c r="T16" i="833"/>
  <c r="S16" i="833"/>
  <c r="R16" i="833"/>
  <c r="Z15" i="833"/>
  <c r="Y15" i="833"/>
  <c r="X15" i="833"/>
  <c r="W15" i="833"/>
  <c r="V15" i="833"/>
  <c r="U15" i="833"/>
  <c r="T15" i="833"/>
  <c r="S15" i="833"/>
  <c r="R15" i="833"/>
  <c r="M24" i="832"/>
  <c r="L24" i="832"/>
  <c r="K24" i="832"/>
  <c r="M29" i="832"/>
  <c r="L29" i="832"/>
  <c r="K29" i="832"/>
  <c r="R11" i="832"/>
  <c r="S11" i="832"/>
  <c r="T11" i="832"/>
  <c r="U11" i="832"/>
  <c r="V11" i="832"/>
  <c r="W11" i="832"/>
  <c r="X11" i="832"/>
  <c r="Y11" i="832"/>
  <c r="Z11" i="832"/>
  <c r="R12" i="832"/>
  <c r="S12" i="832"/>
  <c r="T12" i="832"/>
  <c r="U12" i="832"/>
  <c r="V12" i="832"/>
  <c r="W12" i="832"/>
  <c r="X12" i="832"/>
  <c r="Y12" i="832"/>
  <c r="Z12" i="832"/>
  <c r="R13" i="832"/>
  <c r="S13" i="832"/>
  <c r="T13" i="832"/>
  <c r="U13" i="832"/>
  <c r="V13" i="832"/>
  <c r="W13" i="832"/>
  <c r="X13" i="832"/>
  <c r="Y13" i="832"/>
  <c r="Z13" i="832"/>
  <c r="R14" i="832"/>
  <c r="S14" i="832"/>
  <c r="T14" i="832"/>
  <c r="U14" i="832"/>
  <c r="V14" i="832"/>
  <c r="W14" i="832"/>
  <c r="X14" i="832"/>
  <c r="Y14" i="832"/>
  <c r="Z14" i="832"/>
  <c r="R15" i="832"/>
  <c r="S15" i="832"/>
  <c r="T15" i="832"/>
  <c r="U15" i="832"/>
  <c r="V15" i="832"/>
  <c r="W15" i="832"/>
  <c r="X15" i="832"/>
  <c r="Y15" i="832"/>
  <c r="Z15" i="832"/>
  <c r="R16" i="832"/>
  <c r="S16" i="832"/>
  <c r="T16" i="832"/>
  <c r="U16" i="832"/>
  <c r="V16" i="832"/>
  <c r="W16" i="832"/>
  <c r="X16" i="832"/>
  <c r="Y16" i="832"/>
  <c r="Z16" i="832"/>
  <c r="R17" i="832"/>
  <c r="S17" i="832"/>
  <c r="T17" i="832"/>
  <c r="U17" i="832"/>
  <c r="V17" i="832"/>
  <c r="W17" i="832"/>
  <c r="X17" i="832"/>
  <c r="Y17" i="832"/>
  <c r="Z17" i="832"/>
  <c r="R18" i="832"/>
  <c r="S18" i="832"/>
  <c r="T18" i="832"/>
  <c r="U18" i="832"/>
  <c r="V18" i="832"/>
  <c r="W18" i="832"/>
  <c r="X18" i="832"/>
  <c r="Y18" i="832"/>
  <c r="Z18" i="832"/>
  <c r="R19" i="832"/>
  <c r="S19" i="832"/>
  <c r="T19" i="832"/>
  <c r="U19" i="832"/>
  <c r="V19" i="832"/>
  <c r="W19" i="832"/>
  <c r="X19" i="832"/>
  <c r="Y19" i="832"/>
  <c r="Z19" i="832"/>
  <c r="R20" i="832"/>
  <c r="S20" i="832"/>
  <c r="T20" i="832"/>
  <c r="U20" i="832"/>
  <c r="V20" i="832"/>
  <c r="W20" i="832"/>
  <c r="X20" i="832"/>
  <c r="Y20" i="832"/>
  <c r="Z20" i="832"/>
  <c r="R21" i="832"/>
  <c r="S21" i="832"/>
  <c r="T21" i="832"/>
  <c r="U21" i="832"/>
  <c r="V21" i="832"/>
  <c r="W21" i="832"/>
  <c r="X21" i="832"/>
  <c r="Y21" i="832"/>
  <c r="Z21" i="832"/>
  <c r="R22" i="832"/>
  <c r="S22" i="832"/>
  <c r="T22" i="832"/>
  <c r="U22" i="832"/>
  <c r="V22" i="832"/>
  <c r="W22" i="832"/>
  <c r="X22" i="832"/>
  <c r="Y22" i="832"/>
  <c r="Z22" i="832"/>
  <c r="R23" i="832"/>
  <c r="S23" i="832"/>
  <c r="T23" i="832"/>
  <c r="U23" i="832"/>
  <c r="V23" i="832"/>
  <c r="W23" i="832"/>
  <c r="X23" i="832"/>
  <c r="Y23" i="832"/>
  <c r="Z23" i="832"/>
  <c r="R24" i="832"/>
  <c r="S24" i="832"/>
  <c r="T24" i="832"/>
  <c r="U24" i="832"/>
  <c r="V24" i="832"/>
  <c r="W24" i="832"/>
  <c r="X24" i="832"/>
  <c r="Y24" i="832"/>
  <c r="Z24" i="832"/>
  <c r="R25" i="832"/>
  <c r="S25" i="832"/>
  <c r="T25" i="832"/>
  <c r="U25" i="832"/>
  <c r="V25" i="832"/>
  <c r="W25" i="832"/>
  <c r="X25" i="832"/>
  <c r="Y25" i="832"/>
  <c r="Z25" i="832"/>
  <c r="R26" i="832"/>
  <c r="S26" i="832"/>
  <c r="T26" i="832"/>
  <c r="U26" i="832"/>
  <c r="V26" i="832"/>
  <c r="W26" i="832"/>
  <c r="X26" i="832"/>
  <c r="Y26" i="832"/>
  <c r="Z26" i="832"/>
  <c r="R10" i="832"/>
  <c r="S10" i="832"/>
  <c r="T10" i="832"/>
  <c r="U10" i="832"/>
  <c r="V10" i="832"/>
  <c r="W10" i="832"/>
  <c r="X10" i="832"/>
  <c r="Y10" i="832"/>
  <c r="Z10" i="832"/>
  <c r="C16" i="832"/>
  <c r="D16" i="832"/>
  <c r="E16" i="832"/>
  <c r="F16" i="832"/>
  <c r="G16" i="832"/>
  <c r="I16" i="832"/>
  <c r="J24" i="832" s="1"/>
  <c r="J16" i="832"/>
  <c r="K16" i="832"/>
  <c r="L16" i="832"/>
  <c r="M16" i="832"/>
  <c r="N16" i="832"/>
  <c r="O16" i="832"/>
  <c r="B24" i="832"/>
  <c r="C14" i="832"/>
  <c r="D14" i="832"/>
  <c r="E14" i="832"/>
  <c r="F14" i="832"/>
  <c r="G14" i="832"/>
  <c r="I14" i="832"/>
  <c r="J14" i="832"/>
  <c r="K14" i="832"/>
  <c r="L14" i="832"/>
  <c r="M14" i="832"/>
  <c r="N14" i="832"/>
  <c r="O14" i="832"/>
  <c r="M33" i="832"/>
  <c r="M32" i="832"/>
  <c r="M31" i="832"/>
  <c r="K30" i="832"/>
  <c r="M27" i="832"/>
  <c r="L27" i="832"/>
  <c r="K27" i="832"/>
  <c r="M25" i="832"/>
  <c r="L25" i="832"/>
  <c r="K25" i="832"/>
  <c r="C11" i="832"/>
  <c r="D11" i="832"/>
  <c r="E11" i="832"/>
  <c r="F11" i="832"/>
  <c r="G11" i="832"/>
  <c r="I11" i="832"/>
  <c r="J11" i="832"/>
  <c r="K11" i="832"/>
  <c r="L11" i="832"/>
  <c r="M11" i="832"/>
  <c r="N11" i="832"/>
  <c r="O11" i="832"/>
  <c r="C12" i="832"/>
  <c r="D12" i="832"/>
  <c r="E12" i="832"/>
  <c r="F12" i="832"/>
  <c r="G12" i="832"/>
  <c r="I12" i="832"/>
  <c r="J12" i="832"/>
  <c r="K12" i="832"/>
  <c r="L12" i="832"/>
  <c r="M12" i="832"/>
  <c r="N12" i="832"/>
  <c r="O12" i="832"/>
  <c r="C13" i="832"/>
  <c r="D13" i="832"/>
  <c r="E13" i="832"/>
  <c r="F13" i="832"/>
  <c r="G13" i="832"/>
  <c r="I13" i="832"/>
  <c r="J13" i="832"/>
  <c r="K13" i="832"/>
  <c r="L13" i="832"/>
  <c r="M13" i="832"/>
  <c r="N13" i="832"/>
  <c r="O13" i="832"/>
  <c r="M25" i="831"/>
  <c r="L25" i="831"/>
  <c r="K25" i="831"/>
  <c r="R10" i="831"/>
  <c r="S10" i="831"/>
  <c r="T10" i="831"/>
  <c r="U10" i="831"/>
  <c r="V10" i="831"/>
  <c r="W10" i="831"/>
  <c r="X10" i="831"/>
  <c r="Y10" i="831"/>
  <c r="Z10" i="831"/>
  <c r="R11" i="831"/>
  <c r="S11" i="831"/>
  <c r="T11" i="831"/>
  <c r="U11" i="831"/>
  <c r="V11" i="831"/>
  <c r="W11" i="831"/>
  <c r="X11" i="831"/>
  <c r="Y11" i="831"/>
  <c r="Z11" i="831"/>
  <c r="R12" i="831"/>
  <c r="S12" i="831"/>
  <c r="T12" i="831"/>
  <c r="U12" i="831"/>
  <c r="V12" i="831"/>
  <c r="W12" i="831"/>
  <c r="X12" i="831"/>
  <c r="Y12" i="831"/>
  <c r="Z12" i="831"/>
  <c r="R13" i="831"/>
  <c r="S13" i="831"/>
  <c r="T13" i="831"/>
  <c r="U13" i="831"/>
  <c r="V13" i="831"/>
  <c r="W13" i="831"/>
  <c r="X13" i="831"/>
  <c r="Y13" i="831"/>
  <c r="Z13" i="831"/>
  <c r="O10" i="832"/>
  <c r="N10" i="832"/>
  <c r="M10" i="832"/>
  <c r="L10" i="832"/>
  <c r="K10" i="832"/>
  <c r="J10" i="832"/>
  <c r="I10" i="832"/>
  <c r="G10" i="832"/>
  <c r="F10" i="832"/>
  <c r="E10" i="832"/>
  <c r="D10" i="832"/>
  <c r="C10" i="832"/>
  <c r="C10" i="831"/>
  <c r="D10" i="831"/>
  <c r="E10" i="831"/>
  <c r="F10" i="831"/>
  <c r="G10" i="831"/>
  <c r="I10" i="831"/>
  <c r="J10" i="831"/>
  <c r="K10" i="831"/>
  <c r="L10" i="831"/>
  <c r="M10" i="831"/>
  <c r="N10" i="831"/>
  <c r="O10" i="831"/>
  <c r="C11" i="831"/>
  <c r="D11" i="831"/>
  <c r="E11" i="831"/>
  <c r="F11" i="831"/>
  <c r="G11" i="831"/>
  <c r="I11" i="831"/>
  <c r="J25" i="831" s="1"/>
  <c r="J11" i="831"/>
  <c r="K11" i="831"/>
  <c r="L11" i="831"/>
  <c r="M11" i="831"/>
  <c r="N11" i="831"/>
  <c r="O11" i="831"/>
  <c r="C12" i="831"/>
  <c r="D12" i="831"/>
  <c r="E12" i="831"/>
  <c r="F12" i="831"/>
  <c r="G12" i="831"/>
  <c r="I12" i="831"/>
  <c r="J12" i="831"/>
  <c r="K12" i="831"/>
  <c r="L12" i="831"/>
  <c r="M12" i="831"/>
  <c r="N12" i="831"/>
  <c r="O12" i="831"/>
  <c r="J29" i="832" l="1"/>
  <c r="L58" i="835"/>
  <c r="C66" i="835" s="1"/>
  <c r="L58" i="834"/>
  <c r="G66" i="835"/>
  <c r="J22" i="833"/>
  <c r="J27" i="835"/>
  <c r="J33" i="836"/>
  <c r="J25" i="834"/>
  <c r="V30" i="837"/>
  <c r="W30" i="837"/>
  <c r="X30" i="837"/>
  <c r="J31" i="837"/>
  <c r="Z30" i="837"/>
  <c r="R30" i="837"/>
  <c r="S30" i="837"/>
  <c r="T30" i="837"/>
  <c r="K40" i="837"/>
  <c r="J26" i="834"/>
  <c r="V33" i="836"/>
  <c r="R45" i="836"/>
  <c r="W33" i="836"/>
  <c r="T45" i="836"/>
  <c r="X33" i="836"/>
  <c r="U45" i="836"/>
  <c r="Y33" i="836"/>
  <c r="V45" i="836"/>
  <c r="Z33" i="836"/>
  <c r="W45" i="836"/>
  <c r="S45" i="836"/>
  <c r="K43" i="836"/>
  <c r="S33" i="836"/>
  <c r="R33" i="836"/>
  <c r="T33" i="836"/>
  <c r="S27" i="835"/>
  <c r="K37" i="835"/>
  <c r="K35" i="834"/>
  <c r="V25" i="834"/>
  <c r="W25" i="834"/>
  <c r="X25" i="834"/>
  <c r="Y25" i="834"/>
  <c r="Z25" i="834"/>
  <c r="S25" i="834"/>
  <c r="U25" i="834"/>
  <c r="T25" i="834"/>
  <c r="W22" i="833"/>
  <c r="Y22" i="833"/>
  <c r="X22" i="833"/>
  <c r="Z22" i="833"/>
  <c r="K32" i="833"/>
  <c r="S22" i="833"/>
  <c r="R22" i="833"/>
  <c r="T22" i="833"/>
  <c r="U22" i="833"/>
  <c r="K55" i="832" l="1"/>
  <c r="K62" i="832" s="1"/>
  <c r="G55" i="832"/>
  <c r="F67" i="832"/>
  <c r="B55" i="832"/>
  <c r="AX53" i="832"/>
  <c r="AW53" i="832"/>
  <c r="AV53" i="832"/>
  <c r="AU53" i="832"/>
  <c r="AT53" i="832"/>
  <c r="AS53" i="832"/>
  <c r="AR53" i="832"/>
  <c r="AQ53" i="832"/>
  <c r="AP53" i="832"/>
  <c r="AO53" i="832"/>
  <c r="AN53" i="832"/>
  <c r="AM53" i="832"/>
  <c r="AL53" i="832"/>
  <c r="AK53" i="832"/>
  <c r="AJ53" i="832"/>
  <c r="AI53" i="832"/>
  <c r="AH53" i="832"/>
  <c r="AG53" i="832"/>
  <c r="AF53" i="832"/>
  <c r="AE53" i="832"/>
  <c r="AD53" i="832"/>
  <c r="AC53" i="832"/>
  <c r="AB53" i="832"/>
  <c r="K48" i="832"/>
  <c r="D46" i="832"/>
  <c r="Z43" i="832"/>
  <c r="Y43" i="832"/>
  <c r="X43" i="832"/>
  <c r="W43" i="832"/>
  <c r="V43" i="832"/>
  <c r="U43" i="832"/>
  <c r="T43" i="832"/>
  <c r="S43" i="832"/>
  <c r="R43" i="832"/>
  <c r="Z42" i="832"/>
  <c r="Y42" i="832"/>
  <c r="X42" i="832"/>
  <c r="W42" i="832"/>
  <c r="V42" i="832"/>
  <c r="U42" i="832"/>
  <c r="T42" i="832"/>
  <c r="S42" i="832"/>
  <c r="R42" i="832"/>
  <c r="Z41" i="832"/>
  <c r="Y41" i="832"/>
  <c r="X41" i="832"/>
  <c r="W41" i="832"/>
  <c r="V41" i="832"/>
  <c r="U41" i="832"/>
  <c r="T41" i="832"/>
  <c r="S41" i="832"/>
  <c r="R41" i="832"/>
  <c r="Z40" i="832"/>
  <c r="Y40" i="832"/>
  <c r="X40" i="832"/>
  <c r="W40" i="832"/>
  <c r="V40" i="832"/>
  <c r="U40" i="832"/>
  <c r="T40" i="832"/>
  <c r="S40" i="832"/>
  <c r="R40" i="832"/>
  <c r="Z39" i="832"/>
  <c r="Y39" i="832"/>
  <c r="X39" i="832"/>
  <c r="W39" i="832"/>
  <c r="V39" i="832"/>
  <c r="U39" i="832"/>
  <c r="T39" i="832"/>
  <c r="S39" i="832"/>
  <c r="R39" i="832"/>
  <c r="Z38" i="832"/>
  <c r="Y38" i="832"/>
  <c r="X38" i="832"/>
  <c r="W38" i="832"/>
  <c r="V38" i="832"/>
  <c r="U38" i="832"/>
  <c r="T38" i="832"/>
  <c r="S38" i="832"/>
  <c r="R38" i="832"/>
  <c r="Z37" i="832"/>
  <c r="Y37" i="832"/>
  <c r="X37" i="832"/>
  <c r="W37" i="832"/>
  <c r="V37" i="832"/>
  <c r="U37" i="832"/>
  <c r="T37" i="832"/>
  <c r="S37" i="832"/>
  <c r="R37" i="832"/>
  <c r="R36" i="832"/>
  <c r="Z35" i="832"/>
  <c r="Y35" i="832"/>
  <c r="X35" i="832"/>
  <c r="W35" i="832"/>
  <c r="V35" i="832"/>
  <c r="U35" i="832"/>
  <c r="T35" i="832"/>
  <c r="S35" i="832"/>
  <c r="R35" i="832"/>
  <c r="Z34" i="832"/>
  <c r="Y34" i="832"/>
  <c r="X34" i="832"/>
  <c r="W34" i="832"/>
  <c r="V34" i="832"/>
  <c r="U34" i="832"/>
  <c r="T34" i="832"/>
  <c r="S34" i="832"/>
  <c r="R34" i="832"/>
  <c r="Z33" i="832"/>
  <c r="Y33" i="832"/>
  <c r="X33" i="832"/>
  <c r="W33" i="832"/>
  <c r="V33" i="832"/>
  <c r="U33" i="832"/>
  <c r="T33" i="832"/>
  <c r="S33" i="832"/>
  <c r="R33" i="832"/>
  <c r="Z32" i="832"/>
  <c r="Y32" i="832"/>
  <c r="X32" i="832"/>
  <c r="W32" i="832"/>
  <c r="V32" i="832"/>
  <c r="U32" i="832"/>
  <c r="T32" i="832"/>
  <c r="S32" i="832"/>
  <c r="R32" i="832"/>
  <c r="Z31" i="832"/>
  <c r="Y31" i="832"/>
  <c r="X31" i="832"/>
  <c r="W31" i="832"/>
  <c r="V31" i="832"/>
  <c r="U31" i="832"/>
  <c r="T31" i="832"/>
  <c r="S31" i="832"/>
  <c r="R31" i="832"/>
  <c r="Z30" i="832"/>
  <c r="Y30" i="832"/>
  <c r="X30" i="832"/>
  <c r="W30" i="832"/>
  <c r="V30" i="832"/>
  <c r="U30" i="832"/>
  <c r="T30" i="832"/>
  <c r="S30" i="832"/>
  <c r="R30" i="832"/>
  <c r="Z29" i="832"/>
  <c r="Y29" i="832"/>
  <c r="X29" i="832"/>
  <c r="W29" i="832"/>
  <c r="V29" i="832"/>
  <c r="U29" i="832"/>
  <c r="T29" i="832"/>
  <c r="S29" i="832"/>
  <c r="R29" i="832"/>
  <c r="Z28" i="832"/>
  <c r="Y28" i="832"/>
  <c r="X28" i="832"/>
  <c r="W28" i="832"/>
  <c r="V28" i="832"/>
  <c r="U28" i="832"/>
  <c r="T28" i="832"/>
  <c r="S28" i="832"/>
  <c r="R28" i="832"/>
  <c r="Z27" i="832"/>
  <c r="Y27" i="832"/>
  <c r="X27" i="832"/>
  <c r="W27" i="832"/>
  <c r="V27" i="832"/>
  <c r="U27" i="832"/>
  <c r="T27" i="832"/>
  <c r="S27" i="832"/>
  <c r="R27" i="832"/>
  <c r="K34" i="832"/>
  <c r="K53" i="831"/>
  <c r="K59" i="831"/>
  <c r="H59" i="831"/>
  <c r="D53" i="831"/>
  <c r="G53" i="831"/>
  <c r="K51" i="831"/>
  <c r="K58" i="831" s="1"/>
  <c r="G51" i="831"/>
  <c r="B32" i="831"/>
  <c r="Z32" i="831" s="1"/>
  <c r="B20" i="831"/>
  <c r="Z20" i="831" s="1"/>
  <c r="B51" i="831"/>
  <c r="G49" i="831"/>
  <c r="D49" i="831"/>
  <c r="K49" i="831"/>
  <c r="F63" i="831"/>
  <c r="AX49" i="831"/>
  <c r="AW49" i="831"/>
  <c r="AV49" i="831"/>
  <c r="AU49" i="831"/>
  <c r="AT49" i="831"/>
  <c r="AS49" i="831"/>
  <c r="AR49" i="831"/>
  <c r="AQ49" i="831"/>
  <c r="AP49" i="831"/>
  <c r="AO49" i="831"/>
  <c r="AN49" i="831"/>
  <c r="AM49" i="831"/>
  <c r="AL49" i="831"/>
  <c r="AK49" i="831"/>
  <c r="AJ49" i="831"/>
  <c r="AI49" i="831"/>
  <c r="AH49" i="831"/>
  <c r="AG49" i="831"/>
  <c r="AF49" i="831"/>
  <c r="AE49" i="831"/>
  <c r="AD49" i="831"/>
  <c r="AC49" i="831"/>
  <c r="AB49" i="831"/>
  <c r="B49" i="831"/>
  <c r="B53" i="831" s="1"/>
  <c r="K44" i="831"/>
  <c r="D42" i="831"/>
  <c r="Z39" i="831"/>
  <c r="Y39" i="831"/>
  <c r="X39" i="831"/>
  <c r="W39" i="831"/>
  <c r="V39" i="831"/>
  <c r="U39" i="831"/>
  <c r="T39" i="831"/>
  <c r="S39" i="831"/>
  <c r="R39" i="831"/>
  <c r="Z38" i="831"/>
  <c r="Y38" i="831"/>
  <c r="X38" i="831"/>
  <c r="W38" i="831"/>
  <c r="V38" i="831"/>
  <c r="U38" i="831"/>
  <c r="T38" i="831"/>
  <c r="S38" i="831"/>
  <c r="R38" i="831"/>
  <c r="Z37" i="831"/>
  <c r="Y37" i="831"/>
  <c r="X37" i="831"/>
  <c r="W37" i="831"/>
  <c r="V37" i="831"/>
  <c r="U37" i="831"/>
  <c r="T37" i="831"/>
  <c r="S37" i="831"/>
  <c r="R37" i="831"/>
  <c r="Z36" i="831"/>
  <c r="Y36" i="831"/>
  <c r="X36" i="831"/>
  <c r="W36" i="831"/>
  <c r="V36" i="831"/>
  <c r="U36" i="831"/>
  <c r="T36" i="831"/>
  <c r="S36" i="831"/>
  <c r="R36" i="831"/>
  <c r="Z35" i="831"/>
  <c r="Y35" i="831"/>
  <c r="X35" i="831"/>
  <c r="W35" i="831"/>
  <c r="V35" i="831"/>
  <c r="U35" i="831"/>
  <c r="T35" i="831"/>
  <c r="S35" i="831"/>
  <c r="R35" i="831"/>
  <c r="Z34" i="831"/>
  <c r="Y34" i="831"/>
  <c r="X34" i="831"/>
  <c r="W34" i="831"/>
  <c r="V34" i="831"/>
  <c r="U34" i="831"/>
  <c r="T34" i="831"/>
  <c r="S34" i="831"/>
  <c r="R34" i="831"/>
  <c r="Z33" i="831"/>
  <c r="Y33" i="831"/>
  <c r="X33" i="831"/>
  <c r="W33" i="831"/>
  <c r="V33" i="831"/>
  <c r="U33" i="831"/>
  <c r="T33" i="831"/>
  <c r="S33" i="831"/>
  <c r="R33" i="831"/>
  <c r="W32" i="831"/>
  <c r="V32" i="831"/>
  <c r="Z31" i="831"/>
  <c r="Y31" i="831"/>
  <c r="X31" i="831"/>
  <c r="W31" i="831"/>
  <c r="V31" i="831"/>
  <c r="U31" i="831"/>
  <c r="T31" i="831"/>
  <c r="S31" i="831"/>
  <c r="R31" i="831"/>
  <c r="Z30" i="831"/>
  <c r="Y30" i="831"/>
  <c r="X30" i="831"/>
  <c r="W30" i="831"/>
  <c r="V30" i="831"/>
  <c r="U30" i="831"/>
  <c r="T30" i="831"/>
  <c r="S30" i="831"/>
  <c r="R30" i="831"/>
  <c r="Z29" i="831"/>
  <c r="Y29" i="831"/>
  <c r="X29" i="831"/>
  <c r="W29" i="831"/>
  <c r="V29" i="831"/>
  <c r="U29" i="831"/>
  <c r="T29" i="831"/>
  <c r="S29" i="831"/>
  <c r="R29" i="831"/>
  <c r="M29" i="831"/>
  <c r="Z28" i="831"/>
  <c r="Y28" i="831"/>
  <c r="X28" i="831"/>
  <c r="W28" i="831"/>
  <c r="V28" i="831"/>
  <c r="U28" i="831"/>
  <c r="T28" i="831"/>
  <c r="S28" i="831"/>
  <c r="R28" i="831"/>
  <c r="M28" i="831"/>
  <c r="Z27" i="831"/>
  <c r="Y27" i="831"/>
  <c r="X27" i="831"/>
  <c r="W27" i="831"/>
  <c r="V27" i="831"/>
  <c r="U27" i="831"/>
  <c r="T27" i="831"/>
  <c r="S27" i="831"/>
  <c r="R27" i="831"/>
  <c r="M27" i="831"/>
  <c r="Z26" i="831"/>
  <c r="Y26" i="831"/>
  <c r="X26" i="831"/>
  <c r="W26" i="831"/>
  <c r="V26" i="831"/>
  <c r="U26" i="831"/>
  <c r="T26" i="831"/>
  <c r="S26" i="831"/>
  <c r="R26" i="831"/>
  <c r="K26" i="831"/>
  <c r="Z25" i="831"/>
  <c r="Y25" i="831"/>
  <c r="X25" i="831"/>
  <c r="W25" i="831"/>
  <c r="V25" i="831"/>
  <c r="U25" i="831"/>
  <c r="T25" i="831"/>
  <c r="S25" i="831"/>
  <c r="R25" i="831"/>
  <c r="Z24" i="831"/>
  <c r="Y24" i="831"/>
  <c r="X24" i="831"/>
  <c r="W24" i="831"/>
  <c r="V24" i="831"/>
  <c r="U24" i="831"/>
  <c r="T24" i="831"/>
  <c r="S24" i="831"/>
  <c r="R24" i="831"/>
  <c r="Z23" i="831"/>
  <c r="Y23" i="831"/>
  <c r="X23" i="831"/>
  <c r="W23" i="831"/>
  <c r="V23" i="831"/>
  <c r="U23" i="831"/>
  <c r="T23" i="831"/>
  <c r="S23" i="831"/>
  <c r="R23" i="831"/>
  <c r="M23" i="831"/>
  <c r="L23" i="831"/>
  <c r="K23" i="831"/>
  <c r="Z22" i="831"/>
  <c r="Y22" i="831"/>
  <c r="X22" i="831"/>
  <c r="W22" i="831"/>
  <c r="V22" i="831"/>
  <c r="U22" i="831"/>
  <c r="T22" i="831"/>
  <c r="S22" i="831"/>
  <c r="R22" i="831"/>
  <c r="Z21" i="831"/>
  <c r="Y21" i="831"/>
  <c r="X21" i="831"/>
  <c r="W21" i="831"/>
  <c r="V21" i="831"/>
  <c r="U21" i="831"/>
  <c r="T21" i="831"/>
  <c r="S21" i="831"/>
  <c r="R21" i="831"/>
  <c r="M21" i="831"/>
  <c r="L21" i="831"/>
  <c r="K21" i="831"/>
  <c r="M20" i="831"/>
  <c r="L20" i="831"/>
  <c r="K20" i="831"/>
  <c r="Z19" i="831"/>
  <c r="Y19" i="831"/>
  <c r="X19" i="831"/>
  <c r="W19" i="831"/>
  <c r="V19" i="831"/>
  <c r="U19" i="831"/>
  <c r="T19" i="831"/>
  <c r="S19" i="831"/>
  <c r="R19" i="831"/>
  <c r="Z18" i="831"/>
  <c r="Y18" i="831"/>
  <c r="X18" i="831"/>
  <c r="W18" i="831"/>
  <c r="V18" i="831"/>
  <c r="U18" i="831"/>
  <c r="T18" i="831"/>
  <c r="S18" i="831"/>
  <c r="R18" i="831"/>
  <c r="Z17" i="831"/>
  <c r="Y17" i="831"/>
  <c r="X17" i="831"/>
  <c r="W17" i="831"/>
  <c r="V17" i="831"/>
  <c r="U17" i="831"/>
  <c r="T17" i="831"/>
  <c r="S17" i="831"/>
  <c r="R17" i="831"/>
  <c r="Z16" i="831"/>
  <c r="Y16" i="831"/>
  <c r="X16" i="831"/>
  <c r="W16" i="831"/>
  <c r="V16" i="831"/>
  <c r="U16" i="831"/>
  <c r="T16" i="831"/>
  <c r="S16" i="831"/>
  <c r="R16" i="831"/>
  <c r="Z15" i="831"/>
  <c r="Y15" i="831"/>
  <c r="X15" i="831"/>
  <c r="W15" i="831"/>
  <c r="V15" i="831"/>
  <c r="U15" i="831"/>
  <c r="T15" i="831"/>
  <c r="S15" i="831"/>
  <c r="R15" i="831"/>
  <c r="Z14" i="831"/>
  <c r="Y14" i="831"/>
  <c r="X14" i="831"/>
  <c r="W14" i="831"/>
  <c r="V14" i="831"/>
  <c r="U14" i="831"/>
  <c r="T14" i="831"/>
  <c r="S14" i="831"/>
  <c r="R14" i="831"/>
  <c r="M20" i="830"/>
  <c r="L20" i="830"/>
  <c r="K20" i="830"/>
  <c r="C11" i="830"/>
  <c r="D11" i="830"/>
  <c r="E11" i="830"/>
  <c r="F11" i="830"/>
  <c r="G11" i="830"/>
  <c r="I11" i="830"/>
  <c r="J11" i="830"/>
  <c r="L11" i="830"/>
  <c r="M11" i="830"/>
  <c r="N11" i="830"/>
  <c r="O11" i="830"/>
  <c r="C12" i="830"/>
  <c r="D12" i="830"/>
  <c r="E12" i="830"/>
  <c r="F12" i="830"/>
  <c r="G12" i="830"/>
  <c r="I12" i="830"/>
  <c r="J12" i="830"/>
  <c r="L12" i="830"/>
  <c r="M12" i="830"/>
  <c r="N12" i="830"/>
  <c r="O12" i="830"/>
  <c r="C13" i="830"/>
  <c r="D13" i="830"/>
  <c r="E13" i="830"/>
  <c r="F13" i="830"/>
  <c r="G13" i="830"/>
  <c r="I13" i="830"/>
  <c r="J13" i="830"/>
  <c r="L13" i="830"/>
  <c r="M13" i="830"/>
  <c r="N13" i="830"/>
  <c r="O13" i="830"/>
  <c r="C10" i="830"/>
  <c r="D10" i="830"/>
  <c r="E10" i="830"/>
  <c r="F10" i="830"/>
  <c r="G10" i="830"/>
  <c r="I10" i="830"/>
  <c r="J10" i="830"/>
  <c r="L10" i="830"/>
  <c r="M10" i="830"/>
  <c r="N10" i="830"/>
  <c r="O10" i="830"/>
  <c r="U19" i="830"/>
  <c r="F62" i="830"/>
  <c r="L52" i="830"/>
  <c r="AX48" i="830"/>
  <c r="AW48" i="830"/>
  <c r="AV48" i="830"/>
  <c r="AU48" i="830"/>
  <c r="AT48" i="830"/>
  <c r="AS48" i="830"/>
  <c r="AR48" i="830"/>
  <c r="AQ48" i="830"/>
  <c r="AP48" i="830"/>
  <c r="AO48" i="830"/>
  <c r="AN48" i="830"/>
  <c r="AM48" i="830"/>
  <c r="AL48" i="830"/>
  <c r="AK48" i="830"/>
  <c r="AJ48" i="830"/>
  <c r="AI48" i="830"/>
  <c r="AH48" i="830"/>
  <c r="AG48" i="830"/>
  <c r="AF48" i="830"/>
  <c r="AE48" i="830"/>
  <c r="AD48" i="830"/>
  <c r="AC48" i="830"/>
  <c r="AB48" i="830"/>
  <c r="K43" i="830"/>
  <c r="D41" i="830"/>
  <c r="Z38" i="830"/>
  <c r="Y38" i="830"/>
  <c r="X38" i="830"/>
  <c r="W38" i="830"/>
  <c r="V38" i="830"/>
  <c r="U38" i="830"/>
  <c r="T38" i="830"/>
  <c r="S38" i="830"/>
  <c r="R38" i="830"/>
  <c r="Z37" i="830"/>
  <c r="Y37" i="830"/>
  <c r="X37" i="830"/>
  <c r="W37" i="830"/>
  <c r="V37" i="830"/>
  <c r="U37" i="830"/>
  <c r="T37" i="830"/>
  <c r="S37" i="830"/>
  <c r="R37" i="830"/>
  <c r="Z36" i="830"/>
  <c r="Y36" i="830"/>
  <c r="X36" i="830"/>
  <c r="W36" i="830"/>
  <c r="V36" i="830"/>
  <c r="U36" i="830"/>
  <c r="T36" i="830"/>
  <c r="S36" i="830"/>
  <c r="R36" i="830"/>
  <c r="Z35" i="830"/>
  <c r="Y35" i="830"/>
  <c r="X35" i="830"/>
  <c r="W35" i="830"/>
  <c r="V35" i="830"/>
  <c r="U35" i="830"/>
  <c r="T35" i="830"/>
  <c r="S35" i="830"/>
  <c r="R35" i="830"/>
  <c r="Z34" i="830"/>
  <c r="Y34" i="830"/>
  <c r="X34" i="830"/>
  <c r="W34" i="830"/>
  <c r="V34" i="830"/>
  <c r="U34" i="830"/>
  <c r="T34" i="830"/>
  <c r="S34" i="830"/>
  <c r="R34" i="830"/>
  <c r="Z33" i="830"/>
  <c r="Y33" i="830"/>
  <c r="X33" i="830"/>
  <c r="W33" i="830"/>
  <c r="V33" i="830"/>
  <c r="U33" i="830"/>
  <c r="T33" i="830"/>
  <c r="S33" i="830"/>
  <c r="R33" i="830"/>
  <c r="Z32" i="830"/>
  <c r="Y32" i="830"/>
  <c r="X32" i="830"/>
  <c r="W32" i="830"/>
  <c r="V32" i="830"/>
  <c r="U32" i="830"/>
  <c r="T32" i="830"/>
  <c r="S32" i="830"/>
  <c r="R32" i="830"/>
  <c r="Z31" i="830"/>
  <c r="Y31" i="830"/>
  <c r="X31" i="830"/>
  <c r="W31" i="830"/>
  <c r="V31" i="830"/>
  <c r="U31" i="830"/>
  <c r="T31" i="830"/>
  <c r="S31" i="830"/>
  <c r="R31" i="830"/>
  <c r="Z30" i="830"/>
  <c r="Y30" i="830"/>
  <c r="X30" i="830"/>
  <c r="W30" i="830"/>
  <c r="V30" i="830"/>
  <c r="U30" i="830"/>
  <c r="T30" i="830"/>
  <c r="S30" i="830"/>
  <c r="R30" i="830"/>
  <c r="Z29" i="830"/>
  <c r="Y29" i="830"/>
  <c r="X29" i="830"/>
  <c r="W29" i="830"/>
  <c r="V29" i="830"/>
  <c r="U29" i="830"/>
  <c r="T29" i="830"/>
  <c r="S29" i="830"/>
  <c r="R29" i="830"/>
  <c r="Z28" i="830"/>
  <c r="Y28" i="830"/>
  <c r="X28" i="830"/>
  <c r="W28" i="830"/>
  <c r="V28" i="830"/>
  <c r="U28" i="830"/>
  <c r="T28" i="830"/>
  <c r="S28" i="830"/>
  <c r="R28" i="830"/>
  <c r="M28" i="830"/>
  <c r="Z27" i="830"/>
  <c r="Y27" i="830"/>
  <c r="X27" i="830"/>
  <c r="W27" i="830"/>
  <c r="V27" i="830"/>
  <c r="U27" i="830"/>
  <c r="T27" i="830"/>
  <c r="S27" i="830"/>
  <c r="R27" i="830"/>
  <c r="M27" i="830"/>
  <c r="Z26" i="830"/>
  <c r="Y26" i="830"/>
  <c r="X26" i="830"/>
  <c r="W26" i="830"/>
  <c r="V26" i="830"/>
  <c r="U26" i="830"/>
  <c r="T26" i="830"/>
  <c r="S26" i="830"/>
  <c r="R26" i="830"/>
  <c r="M26" i="830"/>
  <c r="Z25" i="830"/>
  <c r="Y25" i="830"/>
  <c r="X25" i="830"/>
  <c r="W25" i="830"/>
  <c r="V25" i="830"/>
  <c r="U25" i="830"/>
  <c r="T25" i="830"/>
  <c r="S25" i="830"/>
  <c r="R25" i="830"/>
  <c r="K25" i="830"/>
  <c r="Z24" i="830"/>
  <c r="Y24" i="830"/>
  <c r="X24" i="830"/>
  <c r="W24" i="830"/>
  <c r="V24" i="830"/>
  <c r="U24" i="830"/>
  <c r="T24" i="830"/>
  <c r="S24" i="830"/>
  <c r="R24" i="830"/>
  <c r="M24" i="830"/>
  <c r="Z23" i="830"/>
  <c r="Y23" i="830"/>
  <c r="X23" i="830"/>
  <c r="W23" i="830"/>
  <c r="V23" i="830"/>
  <c r="U23" i="830"/>
  <c r="T23" i="830"/>
  <c r="S23" i="830"/>
  <c r="R23" i="830"/>
  <c r="Z22" i="830"/>
  <c r="Y22" i="830"/>
  <c r="X22" i="830"/>
  <c r="W22" i="830"/>
  <c r="V22" i="830"/>
  <c r="U22" i="830"/>
  <c r="T22" i="830"/>
  <c r="S22" i="830"/>
  <c r="R22" i="830"/>
  <c r="M22" i="830"/>
  <c r="L22" i="830"/>
  <c r="K22" i="830"/>
  <c r="Z21" i="830"/>
  <c r="Y21" i="830"/>
  <c r="X21" i="830"/>
  <c r="W21" i="830"/>
  <c r="V21" i="830"/>
  <c r="U21" i="830"/>
  <c r="T21" i="830"/>
  <c r="S21" i="830"/>
  <c r="R21" i="830"/>
  <c r="Z20" i="830"/>
  <c r="Y20" i="830"/>
  <c r="X20" i="830"/>
  <c r="W20" i="830"/>
  <c r="V20" i="830"/>
  <c r="U20" i="830"/>
  <c r="T20" i="830"/>
  <c r="S20" i="830"/>
  <c r="R20" i="830"/>
  <c r="Z19" i="830"/>
  <c r="T19" i="830"/>
  <c r="M19" i="830"/>
  <c r="L19" i="830"/>
  <c r="K19" i="830"/>
  <c r="Y19" i="830"/>
  <c r="Z18" i="830"/>
  <c r="Y18" i="830"/>
  <c r="X18" i="830"/>
  <c r="W18" i="830"/>
  <c r="V18" i="830"/>
  <c r="U18" i="830"/>
  <c r="T18" i="830"/>
  <c r="S18" i="830"/>
  <c r="R18" i="830"/>
  <c r="Z17" i="830"/>
  <c r="Y17" i="830"/>
  <c r="X17" i="830"/>
  <c r="W17" i="830"/>
  <c r="V17" i="830"/>
  <c r="U17" i="830"/>
  <c r="T17" i="830"/>
  <c r="S17" i="830"/>
  <c r="R17" i="830"/>
  <c r="Z16" i="830"/>
  <c r="Y16" i="830"/>
  <c r="X16" i="830"/>
  <c r="W16" i="830"/>
  <c r="V16" i="830"/>
  <c r="U16" i="830"/>
  <c r="T16" i="830"/>
  <c r="S16" i="830"/>
  <c r="R16" i="830"/>
  <c r="Z15" i="830"/>
  <c r="Y15" i="830"/>
  <c r="X15" i="830"/>
  <c r="W15" i="830"/>
  <c r="V15" i="830"/>
  <c r="U15" i="830"/>
  <c r="T15" i="830"/>
  <c r="S15" i="830"/>
  <c r="R15" i="830"/>
  <c r="Z14" i="830"/>
  <c r="Y14" i="830"/>
  <c r="X14" i="830"/>
  <c r="W14" i="830"/>
  <c r="V14" i="830"/>
  <c r="U14" i="830"/>
  <c r="T14" i="830"/>
  <c r="S14" i="830"/>
  <c r="R14" i="830"/>
  <c r="Z13" i="830"/>
  <c r="Y13" i="830"/>
  <c r="X13" i="830"/>
  <c r="W13" i="830"/>
  <c r="V13" i="830"/>
  <c r="U13" i="830"/>
  <c r="T13" i="830"/>
  <c r="S13" i="830"/>
  <c r="R13" i="830"/>
  <c r="Z12" i="830"/>
  <c r="Y12" i="830"/>
  <c r="X12" i="830"/>
  <c r="W12" i="830"/>
  <c r="V12" i="830"/>
  <c r="U12" i="830"/>
  <c r="T12" i="830"/>
  <c r="S12" i="830"/>
  <c r="R12" i="830"/>
  <c r="Z11" i="830"/>
  <c r="Y11" i="830"/>
  <c r="X11" i="830"/>
  <c r="W11" i="830"/>
  <c r="V11" i="830"/>
  <c r="U11" i="830"/>
  <c r="T11" i="830"/>
  <c r="S11" i="830"/>
  <c r="R11" i="830"/>
  <c r="Z10" i="830"/>
  <c r="Y10" i="830"/>
  <c r="X10" i="830"/>
  <c r="W10" i="830"/>
  <c r="V10" i="830"/>
  <c r="U10" i="830"/>
  <c r="T10" i="830"/>
  <c r="S10" i="830"/>
  <c r="R10" i="830"/>
  <c r="B29" i="828"/>
  <c r="B29" i="829"/>
  <c r="E58" i="829"/>
  <c r="G58" i="829"/>
  <c r="K58" i="829"/>
  <c r="K70" i="829" s="1"/>
  <c r="B58" i="829"/>
  <c r="E58" i="828"/>
  <c r="K58" i="828"/>
  <c r="K70" i="828" s="1"/>
  <c r="G58" i="828"/>
  <c r="B58" i="828"/>
  <c r="F72" i="829"/>
  <c r="L62" i="829"/>
  <c r="AX58" i="829"/>
  <c r="AW58" i="829"/>
  <c r="AV58" i="829"/>
  <c r="AU58" i="829"/>
  <c r="AT58" i="829"/>
  <c r="AS58" i="829"/>
  <c r="AR58" i="829"/>
  <c r="AQ58" i="829"/>
  <c r="AP58" i="829"/>
  <c r="AO58" i="829"/>
  <c r="AN58" i="829"/>
  <c r="AM58" i="829"/>
  <c r="AL58" i="829"/>
  <c r="AK58" i="829"/>
  <c r="AJ58" i="829"/>
  <c r="AI58" i="829"/>
  <c r="AH58" i="829"/>
  <c r="AG58" i="829"/>
  <c r="AF58" i="829"/>
  <c r="AE58" i="829"/>
  <c r="AD58" i="829"/>
  <c r="AC58" i="829"/>
  <c r="AB58" i="829"/>
  <c r="K53" i="829"/>
  <c r="D51" i="829"/>
  <c r="Z48" i="829"/>
  <c r="Y48" i="829"/>
  <c r="X48" i="829"/>
  <c r="W48" i="829"/>
  <c r="V48" i="829"/>
  <c r="U48" i="829"/>
  <c r="T48" i="829"/>
  <c r="S48" i="829"/>
  <c r="R48" i="829"/>
  <c r="Z47" i="829"/>
  <c r="Y47" i="829"/>
  <c r="X47" i="829"/>
  <c r="W47" i="829"/>
  <c r="V47" i="829"/>
  <c r="U47" i="829"/>
  <c r="T47" i="829"/>
  <c r="S47" i="829"/>
  <c r="R47" i="829"/>
  <c r="Z46" i="829"/>
  <c r="Y46" i="829"/>
  <c r="X46" i="829"/>
  <c r="W46" i="829"/>
  <c r="V46" i="829"/>
  <c r="U46" i="829"/>
  <c r="T46" i="829"/>
  <c r="S46" i="829"/>
  <c r="R46" i="829"/>
  <c r="Z45" i="829"/>
  <c r="Y45" i="829"/>
  <c r="X45" i="829"/>
  <c r="W45" i="829"/>
  <c r="V45" i="829"/>
  <c r="U45" i="829"/>
  <c r="T45" i="829"/>
  <c r="S45" i="829"/>
  <c r="R45" i="829"/>
  <c r="Z44" i="829"/>
  <c r="Y44" i="829"/>
  <c r="X44" i="829"/>
  <c r="W44" i="829"/>
  <c r="V44" i="829"/>
  <c r="U44" i="829"/>
  <c r="T44" i="829"/>
  <c r="S44" i="829"/>
  <c r="R44" i="829"/>
  <c r="Z43" i="829"/>
  <c r="Y43" i="829"/>
  <c r="X43" i="829"/>
  <c r="W43" i="829"/>
  <c r="V43" i="829"/>
  <c r="U43" i="829"/>
  <c r="T43" i="829"/>
  <c r="S43" i="829"/>
  <c r="R43" i="829"/>
  <c r="Z42" i="829"/>
  <c r="Y42" i="829"/>
  <c r="X42" i="829"/>
  <c r="W42" i="829"/>
  <c r="V42" i="829"/>
  <c r="U42" i="829"/>
  <c r="T42" i="829"/>
  <c r="S42" i="829"/>
  <c r="R42" i="829"/>
  <c r="Z41" i="829"/>
  <c r="Y41" i="829"/>
  <c r="X41" i="829"/>
  <c r="W41" i="829"/>
  <c r="V41" i="829"/>
  <c r="U41" i="829"/>
  <c r="T41" i="829"/>
  <c r="S41" i="829"/>
  <c r="R41" i="829"/>
  <c r="Z40" i="829"/>
  <c r="Y40" i="829"/>
  <c r="X40" i="829"/>
  <c r="W40" i="829"/>
  <c r="V40" i="829"/>
  <c r="U40" i="829"/>
  <c r="T40" i="829"/>
  <c r="S40" i="829"/>
  <c r="R40" i="829"/>
  <c r="Z39" i="829"/>
  <c r="Y39" i="829"/>
  <c r="X39" i="829"/>
  <c r="W39" i="829"/>
  <c r="V39" i="829"/>
  <c r="U39" i="829"/>
  <c r="T39" i="829"/>
  <c r="S39" i="829"/>
  <c r="R39" i="829"/>
  <c r="Z38" i="829"/>
  <c r="Y38" i="829"/>
  <c r="X38" i="829"/>
  <c r="W38" i="829"/>
  <c r="V38" i="829"/>
  <c r="U38" i="829"/>
  <c r="T38" i="829"/>
  <c r="S38" i="829"/>
  <c r="R38" i="829"/>
  <c r="M38" i="829"/>
  <c r="Z37" i="829"/>
  <c r="Y37" i="829"/>
  <c r="X37" i="829"/>
  <c r="W37" i="829"/>
  <c r="V37" i="829"/>
  <c r="U37" i="829"/>
  <c r="T37" i="829"/>
  <c r="S37" i="829"/>
  <c r="R37" i="829"/>
  <c r="M37" i="829"/>
  <c r="Z36" i="829"/>
  <c r="Y36" i="829"/>
  <c r="X36" i="829"/>
  <c r="W36" i="829"/>
  <c r="V36" i="829"/>
  <c r="U36" i="829"/>
  <c r="T36" i="829"/>
  <c r="S36" i="829"/>
  <c r="R36" i="829"/>
  <c r="M36" i="829"/>
  <c r="Z35" i="829"/>
  <c r="Y35" i="829"/>
  <c r="X35" i="829"/>
  <c r="W35" i="829"/>
  <c r="V35" i="829"/>
  <c r="U35" i="829"/>
  <c r="T35" i="829"/>
  <c r="S35" i="829"/>
  <c r="R35" i="829"/>
  <c r="K35" i="829"/>
  <c r="Z34" i="829"/>
  <c r="Y34" i="829"/>
  <c r="X34" i="829"/>
  <c r="W34" i="829"/>
  <c r="V34" i="829"/>
  <c r="U34" i="829"/>
  <c r="T34" i="829"/>
  <c r="S34" i="829"/>
  <c r="R34" i="829"/>
  <c r="M34" i="829"/>
  <c r="Z33" i="829"/>
  <c r="Y33" i="829"/>
  <c r="X33" i="829"/>
  <c r="W33" i="829"/>
  <c r="V33" i="829"/>
  <c r="U33" i="829"/>
  <c r="T33" i="829"/>
  <c r="S33" i="829"/>
  <c r="R33" i="829"/>
  <c r="Z32" i="829"/>
  <c r="Y32" i="829"/>
  <c r="X32" i="829"/>
  <c r="W32" i="829"/>
  <c r="V32" i="829"/>
  <c r="U32" i="829"/>
  <c r="T32" i="829"/>
  <c r="S32" i="829"/>
  <c r="R32" i="829"/>
  <c r="M32" i="829"/>
  <c r="L32" i="829"/>
  <c r="K32" i="829"/>
  <c r="Z31" i="829"/>
  <c r="Y31" i="829"/>
  <c r="X31" i="829"/>
  <c r="W31" i="829"/>
  <c r="V31" i="829"/>
  <c r="U31" i="829"/>
  <c r="T31" i="829"/>
  <c r="S31" i="829"/>
  <c r="R31" i="829"/>
  <c r="Z30" i="829"/>
  <c r="Y30" i="829"/>
  <c r="X30" i="829"/>
  <c r="W30" i="829"/>
  <c r="V30" i="829"/>
  <c r="U30" i="829"/>
  <c r="T30" i="829"/>
  <c r="S30" i="829"/>
  <c r="R30" i="829"/>
  <c r="M30" i="829"/>
  <c r="L30" i="829"/>
  <c r="K30" i="829"/>
  <c r="Z29" i="829"/>
  <c r="Y29" i="829"/>
  <c r="X29" i="829"/>
  <c r="W29" i="829"/>
  <c r="V29" i="829"/>
  <c r="U29" i="829"/>
  <c r="T29" i="829"/>
  <c r="S29" i="829"/>
  <c r="R29" i="829"/>
  <c r="M29" i="829"/>
  <c r="L29" i="829"/>
  <c r="K29" i="829"/>
  <c r="Z28" i="829"/>
  <c r="Y28" i="829"/>
  <c r="X28" i="829"/>
  <c r="W28" i="829"/>
  <c r="V28" i="829"/>
  <c r="U28" i="829"/>
  <c r="T28" i="829"/>
  <c r="S28" i="829"/>
  <c r="R28" i="829"/>
  <c r="Z27" i="829"/>
  <c r="Y27" i="829"/>
  <c r="X27" i="829"/>
  <c r="W27" i="829"/>
  <c r="V27" i="829"/>
  <c r="U27" i="829"/>
  <c r="T27" i="829"/>
  <c r="S27" i="829"/>
  <c r="R27" i="829"/>
  <c r="Z26" i="829"/>
  <c r="Y26" i="829"/>
  <c r="X26" i="829"/>
  <c r="W26" i="829"/>
  <c r="V26" i="829"/>
  <c r="U26" i="829"/>
  <c r="T26" i="829"/>
  <c r="S26" i="829"/>
  <c r="R26" i="829"/>
  <c r="Z25" i="829"/>
  <c r="Y25" i="829"/>
  <c r="X25" i="829"/>
  <c r="W25" i="829"/>
  <c r="V25" i="829"/>
  <c r="U25" i="829"/>
  <c r="T25" i="829"/>
  <c r="S25" i="829"/>
  <c r="R25" i="829"/>
  <c r="Z24" i="829"/>
  <c r="Y24" i="829"/>
  <c r="X24" i="829"/>
  <c r="W24" i="829"/>
  <c r="V24" i="829"/>
  <c r="U24" i="829"/>
  <c r="T24" i="829"/>
  <c r="S24" i="829"/>
  <c r="R24" i="829"/>
  <c r="Z23" i="829"/>
  <c r="Y23" i="829"/>
  <c r="X23" i="829"/>
  <c r="W23" i="829"/>
  <c r="V23" i="829"/>
  <c r="U23" i="829"/>
  <c r="T23" i="829"/>
  <c r="S23" i="829"/>
  <c r="R23" i="829"/>
  <c r="Z22" i="829"/>
  <c r="Y22" i="829"/>
  <c r="X22" i="829"/>
  <c r="W22" i="829"/>
  <c r="V22" i="829"/>
  <c r="U22" i="829"/>
  <c r="T22" i="829"/>
  <c r="S22" i="829"/>
  <c r="R22" i="829"/>
  <c r="Z21" i="829"/>
  <c r="Y21" i="829"/>
  <c r="X21" i="829"/>
  <c r="W21" i="829"/>
  <c r="V21" i="829"/>
  <c r="U21" i="829"/>
  <c r="T21" i="829"/>
  <c r="S21" i="829"/>
  <c r="R21" i="829"/>
  <c r="Z20" i="829"/>
  <c r="Y20" i="829"/>
  <c r="X20" i="829"/>
  <c r="W20" i="829"/>
  <c r="V20" i="829"/>
  <c r="U20" i="829"/>
  <c r="T20" i="829"/>
  <c r="S20" i="829"/>
  <c r="R20" i="829"/>
  <c r="Z19" i="829"/>
  <c r="Y19" i="829"/>
  <c r="X19" i="829"/>
  <c r="W19" i="829"/>
  <c r="V19" i="829"/>
  <c r="U19" i="829"/>
  <c r="T19" i="829"/>
  <c r="S19" i="829"/>
  <c r="R19" i="829"/>
  <c r="Z18" i="829"/>
  <c r="Y18" i="829"/>
  <c r="X18" i="829"/>
  <c r="W18" i="829"/>
  <c r="V18" i="829"/>
  <c r="U18" i="829"/>
  <c r="T18" i="829"/>
  <c r="S18" i="829"/>
  <c r="R18" i="829"/>
  <c r="Z17" i="829"/>
  <c r="Y17" i="829"/>
  <c r="X17" i="829"/>
  <c r="W17" i="829"/>
  <c r="V17" i="829"/>
  <c r="U17" i="829"/>
  <c r="T17" i="829"/>
  <c r="S17" i="829"/>
  <c r="R17" i="829"/>
  <c r="Z16" i="829"/>
  <c r="Y16" i="829"/>
  <c r="X16" i="829"/>
  <c r="W16" i="829"/>
  <c r="V16" i="829"/>
  <c r="U16" i="829"/>
  <c r="T16" i="829"/>
  <c r="S16" i="829"/>
  <c r="R16" i="829"/>
  <c r="Z15" i="829"/>
  <c r="Y15" i="829"/>
  <c r="X15" i="829"/>
  <c r="W15" i="829"/>
  <c r="V15" i="829"/>
  <c r="U15" i="829"/>
  <c r="T15" i="829"/>
  <c r="S15" i="829"/>
  <c r="R15" i="829"/>
  <c r="Z14" i="829"/>
  <c r="Y14" i="829"/>
  <c r="X14" i="829"/>
  <c r="W14" i="829"/>
  <c r="V14" i="829"/>
  <c r="U14" i="829"/>
  <c r="T14" i="829"/>
  <c r="S14" i="829"/>
  <c r="R14" i="829"/>
  <c r="Z12" i="829"/>
  <c r="Y12" i="829"/>
  <c r="X12" i="829"/>
  <c r="W12" i="829"/>
  <c r="V12" i="829"/>
  <c r="U12" i="829"/>
  <c r="T12" i="829"/>
  <c r="S12" i="829"/>
  <c r="R12" i="829"/>
  <c r="Z11" i="829"/>
  <c r="Y11" i="829"/>
  <c r="X11" i="829"/>
  <c r="W11" i="829"/>
  <c r="V11" i="829"/>
  <c r="U11" i="829"/>
  <c r="T11" i="829"/>
  <c r="S11" i="829"/>
  <c r="R11" i="829"/>
  <c r="Z10" i="829"/>
  <c r="Y10" i="829"/>
  <c r="X10" i="829"/>
  <c r="W10" i="829"/>
  <c r="V10" i="829"/>
  <c r="U10" i="829"/>
  <c r="T10" i="829"/>
  <c r="S10" i="829"/>
  <c r="R10" i="829"/>
  <c r="C14" i="828"/>
  <c r="D14" i="828"/>
  <c r="E14" i="828"/>
  <c r="F14" i="828"/>
  <c r="G14" i="828"/>
  <c r="I14" i="828"/>
  <c r="J14" i="828"/>
  <c r="L14" i="828"/>
  <c r="M14" i="828"/>
  <c r="N14" i="828"/>
  <c r="O14" i="828"/>
  <c r="R12" i="828"/>
  <c r="S12" i="828"/>
  <c r="T12" i="828"/>
  <c r="U12" i="828"/>
  <c r="V12" i="828"/>
  <c r="W12" i="828"/>
  <c r="X12" i="828"/>
  <c r="Y12" i="828"/>
  <c r="Z12" i="828"/>
  <c r="R14" i="828"/>
  <c r="S14" i="828"/>
  <c r="T14" i="828"/>
  <c r="U14" i="828"/>
  <c r="V14" i="828"/>
  <c r="W14" i="828"/>
  <c r="X14" i="828"/>
  <c r="Y14" i="828"/>
  <c r="Z14" i="828"/>
  <c r="R15" i="828"/>
  <c r="S15" i="828"/>
  <c r="T15" i="828"/>
  <c r="U15" i="828"/>
  <c r="V15" i="828"/>
  <c r="W15" i="828"/>
  <c r="X15" i="828"/>
  <c r="Y15" i="828"/>
  <c r="Z15" i="828"/>
  <c r="R16" i="828"/>
  <c r="S16" i="828"/>
  <c r="T16" i="828"/>
  <c r="U16" i="828"/>
  <c r="V16" i="828"/>
  <c r="W16" i="828"/>
  <c r="X16" i="828"/>
  <c r="Y16" i="828"/>
  <c r="Z16" i="828"/>
  <c r="R17" i="828"/>
  <c r="S17" i="828"/>
  <c r="T17" i="828"/>
  <c r="U17" i="828"/>
  <c r="V17" i="828"/>
  <c r="W17" i="828"/>
  <c r="X17" i="828"/>
  <c r="Y17" i="828"/>
  <c r="Z17" i="828"/>
  <c r="R18" i="828"/>
  <c r="S18" i="828"/>
  <c r="T18" i="828"/>
  <c r="U18" i="828"/>
  <c r="V18" i="828"/>
  <c r="W18" i="828"/>
  <c r="X18" i="828"/>
  <c r="Y18" i="828"/>
  <c r="Z18" i="828"/>
  <c r="R19" i="828"/>
  <c r="S19" i="828"/>
  <c r="T19" i="828"/>
  <c r="U19" i="828"/>
  <c r="V19" i="828"/>
  <c r="W19" i="828"/>
  <c r="X19" i="828"/>
  <c r="Y19" i="828"/>
  <c r="Z19" i="828"/>
  <c r="R20" i="828"/>
  <c r="S20" i="828"/>
  <c r="T20" i="828"/>
  <c r="U20" i="828"/>
  <c r="V20" i="828"/>
  <c r="W20" i="828"/>
  <c r="X20" i="828"/>
  <c r="Y20" i="828"/>
  <c r="Z20" i="828"/>
  <c r="R21" i="828"/>
  <c r="S21" i="828"/>
  <c r="T21" i="828"/>
  <c r="U21" i="828"/>
  <c r="V21" i="828"/>
  <c r="W21" i="828"/>
  <c r="X21" i="828"/>
  <c r="Y21" i="828"/>
  <c r="Z21" i="828"/>
  <c r="R22" i="828"/>
  <c r="S22" i="828"/>
  <c r="T22" i="828"/>
  <c r="U22" i="828"/>
  <c r="V22" i="828"/>
  <c r="W22" i="828"/>
  <c r="X22" i="828"/>
  <c r="Y22" i="828"/>
  <c r="Z22" i="828"/>
  <c r="R23" i="828"/>
  <c r="S23" i="828"/>
  <c r="T23" i="828"/>
  <c r="U23" i="828"/>
  <c r="V23" i="828"/>
  <c r="W23" i="828"/>
  <c r="X23" i="828"/>
  <c r="Y23" i="828"/>
  <c r="Z23" i="828"/>
  <c r="R24" i="828"/>
  <c r="S24" i="828"/>
  <c r="T24" i="828"/>
  <c r="U24" i="828"/>
  <c r="V24" i="828"/>
  <c r="W24" i="828"/>
  <c r="X24" i="828"/>
  <c r="Y24" i="828"/>
  <c r="Z24" i="828"/>
  <c r="R25" i="828"/>
  <c r="S25" i="828"/>
  <c r="T25" i="828"/>
  <c r="U25" i="828"/>
  <c r="V25" i="828"/>
  <c r="W25" i="828"/>
  <c r="X25" i="828"/>
  <c r="Y25" i="828"/>
  <c r="Z25" i="828"/>
  <c r="R26" i="828"/>
  <c r="S26" i="828"/>
  <c r="T26" i="828"/>
  <c r="U26" i="828"/>
  <c r="V26" i="828"/>
  <c r="W26" i="828"/>
  <c r="X26" i="828"/>
  <c r="Y26" i="828"/>
  <c r="Z26" i="828"/>
  <c r="R27" i="828"/>
  <c r="S27" i="828"/>
  <c r="T27" i="828"/>
  <c r="U27" i="828"/>
  <c r="V27" i="828"/>
  <c r="W27" i="828"/>
  <c r="X27" i="828"/>
  <c r="Y27" i="828"/>
  <c r="Z27" i="828"/>
  <c r="C15" i="828"/>
  <c r="D15" i="828"/>
  <c r="E15" i="828"/>
  <c r="F15" i="828"/>
  <c r="G15" i="828"/>
  <c r="I15" i="828"/>
  <c r="J15" i="828"/>
  <c r="L15" i="828"/>
  <c r="M15" i="828"/>
  <c r="N15" i="828"/>
  <c r="O15" i="828"/>
  <c r="C16" i="828"/>
  <c r="D16" i="828"/>
  <c r="E16" i="828"/>
  <c r="F16" i="828"/>
  <c r="G16" i="828"/>
  <c r="I16" i="828"/>
  <c r="J16" i="828"/>
  <c r="L16" i="828"/>
  <c r="M16" i="828"/>
  <c r="N16" i="828"/>
  <c r="O16" i="828"/>
  <c r="C17" i="828"/>
  <c r="D17" i="828"/>
  <c r="E17" i="828"/>
  <c r="F17" i="828"/>
  <c r="G17" i="828"/>
  <c r="I17" i="828"/>
  <c r="J17" i="828"/>
  <c r="L17" i="828"/>
  <c r="M17" i="828"/>
  <c r="N17" i="828"/>
  <c r="O17" i="828"/>
  <c r="C18" i="828"/>
  <c r="D18" i="828"/>
  <c r="E18" i="828"/>
  <c r="F18" i="828"/>
  <c r="G18" i="828"/>
  <c r="I18" i="828"/>
  <c r="J18" i="828"/>
  <c r="L18" i="828"/>
  <c r="M18" i="828"/>
  <c r="N18" i="828"/>
  <c r="O18" i="828"/>
  <c r="C19" i="828"/>
  <c r="D19" i="828"/>
  <c r="E19" i="828"/>
  <c r="F19" i="828"/>
  <c r="G19" i="828"/>
  <c r="I19" i="828"/>
  <c r="J19" i="828"/>
  <c r="L19" i="828"/>
  <c r="M19" i="828"/>
  <c r="N19" i="828"/>
  <c r="O19" i="828"/>
  <c r="C12" i="828"/>
  <c r="D12" i="828"/>
  <c r="E12" i="828"/>
  <c r="F12" i="828"/>
  <c r="G12" i="828"/>
  <c r="I12" i="828"/>
  <c r="J12" i="828"/>
  <c r="K12" i="828"/>
  <c r="L12" i="828"/>
  <c r="M12" i="828"/>
  <c r="N12" i="828"/>
  <c r="O12" i="828"/>
  <c r="C10" i="828"/>
  <c r="D10" i="828"/>
  <c r="E10" i="828"/>
  <c r="F10" i="828"/>
  <c r="G10" i="828"/>
  <c r="I10" i="828"/>
  <c r="J10" i="828"/>
  <c r="K10" i="828"/>
  <c r="L10" i="828"/>
  <c r="M10" i="828"/>
  <c r="N10" i="828"/>
  <c r="O10" i="828"/>
  <c r="C11" i="828"/>
  <c r="D11" i="828"/>
  <c r="E11" i="828"/>
  <c r="F11" i="828"/>
  <c r="G11" i="828"/>
  <c r="I11" i="828"/>
  <c r="J11" i="828"/>
  <c r="K11" i="828"/>
  <c r="L11" i="828"/>
  <c r="M11" i="828"/>
  <c r="N11" i="828"/>
  <c r="O11" i="828"/>
  <c r="F72" i="828"/>
  <c r="L62" i="828"/>
  <c r="AX58" i="828"/>
  <c r="AW58" i="828"/>
  <c r="AV58" i="828"/>
  <c r="AU58" i="828"/>
  <c r="AT58" i="828"/>
  <c r="AS58" i="828"/>
  <c r="AR58" i="828"/>
  <c r="AQ58" i="828"/>
  <c r="AP58" i="828"/>
  <c r="AO58" i="828"/>
  <c r="AN58" i="828"/>
  <c r="AM58" i="828"/>
  <c r="AL58" i="828"/>
  <c r="AK58" i="828"/>
  <c r="AJ58" i="828"/>
  <c r="AI58" i="828"/>
  <c r="AH58" i="828"/>
  <c r="AG58" i="828"/>
  <c r="AF58" i="828"/>
  <c r="AE58" i="828"/>
  <c r="AD58" i="828"/>
  <c r="AC58" i="828"/>
  <c r="AB58" i="828"/>
  <c r="K53" i="828"/>
  <c r="D51" i="828"/>
  <c r="Z48" i="828"/>
  <c r="Y48" i="828"/>
  <c r="X48" i="828"/>
  <c r="W48" i="828"/>
  <c r="V48" i="828"/>
  <c r="U48" i="828"/>
  <c r="T48" i="828"/>
  <c r="S48" i="828"/>
  <c r="R48" i="828"/>
  <c r="Z47" i="828"/>
  <c r="Y47" i="828"/>
  <c r="X47" i="828"/>
  <c r="W47" i="828"/>
  <c r="V47" i="828"/>
  <c r="U47" i="828"/>
  <c r="T47" i="828"/>
  <c r="S47" i="828"/>
  <c r="R47" i="828"/>
  <c r="Z46" i="828"/>
  <c r="Y46" i="828"/>
  <c r="X46" i="828"/>
  <c r="W46" i="828"/>
  <c r="V46" i="828"/>
  <c r="U46" i="828"/>
  <c r="T46" i="828"/>
  <c r="S46" i="828"/>
  <c r="R46" i="828"/>
  <c r="Z45" i="828"/>
  <c r="Y45" i="828"/>
  <c r="X45" i="828"/>
  <c r="W45" i="828"/>
  <c r="V45" i="828"/>
  <c r="U45" i="828"/>
  <c r="T45" i="828"/>
  <c r="S45" i="828"/>
  <c r="R45" i="828"/>
  <c r="Z44" i="828"/>
  <c r="Y44" i="828"/>
  <c r="X44" i="828"/>
  <c r="W44" i="828"/>
  <c r="V44" i="828"/>
  <c r="U44" i="828"/>
  <c r="T44" i="828"/>
  <c r="S44" i="828"/>
  <c r="R44" i="828"/>
  <c r="Z43" i="828"/>
  <c r="Y43" i="828"/>
  <c r="X43" i="828"/>
  <c r="W43" i="828"/>
  <c r="V43" i="828"/>
  <c r="U43" i="828"/>
  <c r="T43" i="828"/>
  <c r="S43" i="828"/>
  <c r="R43" i="828"/>
  <c r="Z42" i="828"/>
  <c r="Y42" i="828"/>
  <c r="X42" i="828"/>
  <c r="W42" i="828"/>
  <c r="V42" i="828"/>
  <c r="U42" i="828"/>
  <c r="T42" i="828"/>
  <c r="S42" i="828"/>
  <c r="R42" i="828"/>
  <c r="Z41" i="828"/>
  <c r="Y41" i="828"/>
  <c r="X41" i="828"/>
  <c r="W41" i="828"/>
  <c r="V41" i="828"/>
  <c r="U41" i="828"/>
  <c r="T41" i="828"/>
  <c r="S41" i="828"/>
  <c r="R41" i="828"/>
  <c r="Z40" i="828"/>
  <c r="Y40" i="828"/>
  <c r="X40" i="828"/>
  <c r="W40" i="828"/>
  <c r="V40" i="828"/>
  <c r="U40" i="828"/>
  <c r="T40" i="828"/>
  <c r="S40" i="828"/>
  <c r="R40" i="828"/>
  <c r="Z39" i="828"/>
  <c r="Y39" i="828"/>
  <c r="X39" i="828"/>
  <c r="W39" i="828"/>
  <c r="V39" i="828"/>
  <c r="U39" i="828"/>
  <c r="T39" i="828"/>
  <c r="S39" i="828"/>
  <c r="R39" i="828"/>
  <c r="Z38" i="828"/>
  <c r="Y38" i="828"/>
  <c r="X38" i="828"/>
  <c r="W38" i="828"/>
  <c r="V38" i="828"/>
  <c r="U38" i="828"/>
  <c r="T38" i="828"/>
  <c r="S38" i="828"/>
  <c r="R38" i="828"/>
  <c r="M38" i="828"/>
  <c r="Z37" i="828"/>
  <c r="Y37" i="828"/>
  <c r="X37" i="828"/>
  <c r="W37" i="828"/>
  <c r="V37" i="828"/>
  <c r="U37" i="828"/>
  <c r="T37" i="828"/>
  <c r="S37" i="828"/>
  <c r="R37" i="828"/>
  <c r="M37" i="828"/>
  <c r="Z36" i="828"/>
  <c r="Y36" i="828"/>
  <c r="X36" i="828"/>
  <c r="W36" i="828"/>
  <c r="V36" i="828"/>
  <c r="U36" i="828"/>
  <c r="T36" i="828"/>
  <c r="S36" i="828"/>
  <c r="R36" i="828"/>
  <c r="M36" i="828"/>
  <c r="Z35" i="828"/>
  <c r="Y35" i="828"/>
  <c r="X35" i="828"/>
  <c r="W35" i="828"/>
  <c r="V35" i="828"/>
  <c r="U35" i="828"/>
  <c r="T35" i="828"/>
  <c r="S35" i="828"/>
  <c r="R35" i="828"/>
  <c r="K35" i="828"/>
  <c r="Z34" i="828"/>
  <c r="Y34" i="828"/>
  <c r="X34" i="828"/>
  <c r="W34" i="828"/>
  <c r="V34" i="828"/>
  <c r="U34" i="828"/>
  <c r="T34" i="828"/>
  <c r="S34" i="828"/>
  <c r="R34" i="828"/>
  <c r="M34" i="828"/>
  <c r="Z33" i="828"/>
  <c r="Y33" i="828"/>
  <c r="X33" i="828"/>
  <c r="W33" i="828"/>
  <c r="V33" i="828"/>
  <c r="U33" i="828"/>
  <c r="T33" i="828"/>
  <c r="S33" i="828"/>
  <c r="R33" i="828"/>
  <c r="Z32" i="828"/>
  <c r="Y32" i="828"/>
  <c r="X32" i="828"/>
  <c r="W32" i="828"/>
  <c r="V32" i="828"/>
  <c r="U32" i="828"/>
  <c r="T32" i="828"/>
  <c r="S32" i="828"/>
  <c r="R32" i="828"/>
  <c r="M32" i="828"/>
  <c r="L32" i="828"/>
  <c r="K32" i="828"/>
  <c r="Z31" i="828"/>
  <c r="Y31" i="828"/>
  <c r="X31" i="828"/>
  <c r="W31" i="828"/>
  <c r="V31" i="828"/>
  <c r="U31" i="828"/>
  <c r="T31" i="828"/>
  <c r="S31" i="828"/>
  <c r="R31" i="828"/>
  <c r="Z30" i="828"/>
  <c r="Y30" i="828"/>
  <c r="X30" i="828"/>
  <c r="W30" i="828"/>
  <c r="V30" i="828"/>
  <c r="U30" i="828"/>
  <c r="T30" i="828"/>
  <c r="S30" i="828"/>
  <c r="R30" i="828"/>
  <c r="M30" i="828"/>
  <c r="L30" i="828"/>
  <c r="K30" i="828"/>
  <c r="Z29" i="828"/>
  <c r="W29" i="828"/>
  <c r="U29" i="828"/>
  <c r="T29" i="828"/>
  <c r="M29" i="828"/>
  <c r="L29" i="828"/>
  <c r="K29" i="828"/>
  <c r="Y29" i="828"/>
  <c r="Z28" i="828"/>
  <c r="Y28" i="828"/>
  <c r="X28" i="828"/>
  <c r="W28" i="828"/>
  <c r="V28" i="828"/>
  <c r="U28" i="828"/>
  <c r="T28" i="828"/>
  <c r="S28" i="828"/>
  <c r="R28" i="828"/>
  <c r="Z11" i="828"/>
  <c r="Y11" i="828"/>
  <c r="X11" i="828"/>
  <c r="W11" i="828"/>
  <c r="V11" i="828"/>
  <c r="U11" i="828"/>
  <c r="T11" i="828"/>
  <c r="S11" i="828"/>
  <c r="R11" i="828"/>
  <c r="Z10" i="828"/>
  <c r="Y10" i="828"/>
  <c r="X10" i="828"/>
  <c r="W10" i="828"/>
  <c r="V10" i="828"/>
  <c r="U10" i="828"/>
  <c r="T10" i="828"/>
  <c r="S10" i="828"/>
  <c r="R10" i="828"/>
  <c r="K64" i="827"/>
  <c r="K75" i="827" s="1"/>
  <c r="E64" i="827"/>
  <c r="B35" i="827"/>
  <c r="B64" i="827"/>
  <c r="M35" i="827"/>
  <c r="L35" i="827"/>
  <c r="K35" i="827"/>
  <c r="R10" i="827"/>
  <c r="S10" i="827"/>
  <c r="T10" i="827"/>
  <c r="U10" i="827"/>
  <c r="V10" i="827"/>
  <c r="W10" i="827"/>
  <c r="X10" i="827"/>
  <c r="Y10" i="827"/>
  <c r="Z10" i="827"/>
  <c r="R11" i="827"/>
  <c r="S11" i="827"/>
  <c r="T11" i="827"/>
  <c r="U11" i="827"/>
  <c r="V11" i="827"/>
  <c r="W11" i="827"/>
  <c r="X11" i="827"/>
  <c r="Y11" i="827"/>
  <c r="Z11" i="827"/>
  <c r="R12" i="827"/>
  <c r="S12" i="827"/>
  <c r="T12" i="827"/>
  <c r="U12" i="827"/>
  <c r="V12" i="827"/>
  <c r="W12" i="827"/>
  <c r="X12" i="827"/>
  <c r="Y12" i="827"/>
  <c r="Z12" i="827"/>
  <c r="R13" i="827"/>
  <c r="S13" i="827"/>
  <c r="T13" i="827"/>
  <c r="U13" i="827"/>
  <c r="V13" i="827"/>
  <c r="W13" i="827"/>
  <c r="X13" i="827"/>
  <c r="Y13" i="827"/>
  <c r="Z13" i="827"/>
  <c r="R14" i="827"/>
  <c r="S14" i="827"/>
  <c r="T14" i="827"/>
  <c r="U14" i="827"/>
  <c r="V14" i="827"/>
  <c r="W14" i="827"/>
  <c r="X14" i="827"/>
  <c r="Y14" i="827"/>
  <c r="Z14" i="827"/>
  <c r="R15" i="827"/>
  <c r="S15" i="827"/>
  <c r="T15" i="827"/>
  <c r="U15" i="827"/>
  <c r="V15" i="827"/>
  <c r="W15" i="827"/>
  <c r="X15" i="827"/>
  <c r="Y15" i="827"/>
  <c r="Z15" i="827"/>
  <c r="R16" i="827"/>
  <c r="S16" i="827"/>
  <c r="T16" i="827"/>
  <c r="U16" i="827"/>
  <c r="V16" i="827"/>
  <c r="W16" i="827"/>
  <c r="X16" i="827"/>
  <c r="Y16" i="827"/>
  <c r="Z16" i="827"/>
  <c r="R17" i="827"/>
  <c r="S17" i="827"/>
  <c r="T17" i="827"/>
  <c r="U17" i="827"/>
  <c r="V17" i="827"/>
  <c r="W17" i="827"/>
  <c r="X17" i="827"/>
  <c r="Y17" i="827"/>
  <c r="Z17" i="827"/>
  <c r="R18" i="827"/>
  <c r="S18" i="827"/>
  <c r="T18" i="827"/>
  <c r="U18" i="827"/>
  <c r="V18" i="827"/>
  <c r="W18" i="827"/>
  <c r="X18" i="827"/>
  <c r="Y18" i="827"/>
  <c r="Z18" i="827"/>
  <c r="R19" i="827"/>
  <c r="S19" i="827"/>
  <c r="T19" i="827"/>
  <c r="U19" i="827"/>
  <c r="V19" i="827"/>
  <c r="W19" i="827"/>
  <c r="X19" i="827"/>
  <c r="Y19" i="827"/>
  <c r="Z19" i="827"/>
  <c r="R20" i="827"/>
  <c r="S20" i="827"/>
  <c r="T20" i="827"/>
  <c r="U20" i="827"/>
  <c r="V20" i="827"/>
  <c r="W20" i="827"/>
  <c r="X20" i="827"/>
  <c r="Y20" i="827"/>
  <c r="Z20" i="827"/>
  <c r="R21" i="827"/>
  <c r="S21" i="827"/>
  <c r="T21" i="827"/>
  <c r="U21" i="827"/>
  <c r="V21" i="827"/>
  <c r="W21" i="827"/>
  <c r="X21" i="827"/>
  <c r="Y21" i="827"/>
  <c r="Z21" i="827"/>
  <c r="R22" i="827"/>
  <c r="S22" i="827"/>
  <c r="T22" i="827"/>
  <c r="U22" i="827"/>
  <c r="V22" i="827"/>
  <c r="W22" i="827"/>
  <c r="X22" i="827"/>
  <c r="Y22" i="827"/>
  <c r="Z22" i="827"/>
  <c r="R23" i="827"/>
  <c r="S23" i="827"/>
  <c r="T23" i="827"/>
  <c r="U23" i="827"/>
  <c r="V23" i="827"/>
  <c r="W23" i="827"/>
  <c r="X23" i="827"/>
  <c r="Y23" i="827"/>
  <c r="Z23" i="827"/>
  <c r="R24" i="827"/>
  <c r="S24" i="827"/>
  <c r="T24" i="827"/>
  <c r="U24" i="827"/>
  <c r="V24" i="827"/>
  <c r="W24" i="827"/>
  <c r="X24" i="827"/>
  <c r="Y24" i="827"/>
  <c r="Z24" i="827"/>
  <c r="R25" i="827"/>
  <c r="S25" i="827"/>
  <c r="T25" i="827"/>
  <c r="U25" i="827"/>
  <c r="V25" i="827"/>
  <c r="W25" i="827"/>
  <c r="X25" i="827"/>
  <c r="Y25" i="827"/>
  <c r="Z25" i="827"/>
  <c r="R26" i="827"/>
  <c r="S26" i="827"/>
  <c r="T26" i="827"/>
  <c r="U26" i="827"/>
  <c r="V26" i="827"/>
  <c r="W26" i="827"/>
  <c r="X26" i="827"/>
  <c r="Y26" i="827"/>
  <c r="Z26" i="827"/>
  <c r="R27" i="827"/>
  <c r="S27" i="827"/>
  <c r="T27" i="827"/>
  <c r="U27" i="827"/>
  <c r="V27" i="827"/>
  <c r="W27" i="827"/>
  <c r="X27" i="827"/>
  <c r="Y27" i="827"/>
  <c r="Z27" i="827"/>
  <c r="C10" i="827"/>
  <c r="D10" i="827"/>
  <c r="E10" i="827"/>
  <c r="F10" i="827"/>
  <c r="G10" i="827"/>
  <c r="I10" i="827"/>
  <c r="J10" i="827"/>
  <c r="K10" i="827"/>
  <c r="L10" i="827"/>
  <c r="M10" i="827"/>
  <c r="N10" i="827"/>
  <c r="O10" i="827"/>
  <c r="C11" i="827"/>
  <c r="D11" i="827"/>
  <c r="E11" i="827"/>
  <c r="F11" i="827"/>
  <c r="G11" i="827"/>
  <c r="I11" i="827"/>
  <c r="J11" i="827"/>
  <c r="K11" i="827"/>
  <c r="L11" i="827"/>
  <c r="M11" i="827"/>
  <c r="N11" i="827"/>
  <c r="O11" i="827"/>
  <c r="C12" i="827"/>
  <c r="D12" i="827"/>
  <c r="E12" i="827"/>
  <c r="F12" i="827"/>
  <c r="G12" i="827"/>
  <c r="I12" i="827"/>
  <c r="J12" i="827"/>
  <c r="K12" i="827"/>
  <c r="L12" i="827"/>
  <c r="M12" i="827"/>
  <c r="N12" i="827"/>
  <c r="O12" i="827"/>
  <c r="C13" i="827"/>
  <c r="D13" i="827"/>
  <c r="E13" i="827"/>
  <c r="F13" i="827"/>
  <c r="G13" i="827"/>
  <c r="I13" i="827"/>
  <c r="J13" i="827"/>
  <c r="K13" i="827"/>
  <c r="L13" i="827"/>
  <c r="M13" i="827"/>
  <c r="N13" i="827"/>
  <c r="O13" i="827"/>
  <c r="C14" i="827"/>
  <c r="D14" i="827"/>
  <c r="E14" i="827"/>
  <c r="F14" i="827"/>
  <c r="G14" i="827"/>
  <c r="I14" i="827"/>
  <c r="J14" i="827"/>
  <c r="K14" i="827"/>
  <c r="L14" i="827"/>
  <c r="M14" i="827"/>
  <c r="N14" i="827"/>
  <c r="O14" i="827"/>
  <c r="C15" i="827"/>
  <c r="D15" i="827"/>
  <c r="E15" i="827"/>
  <c r="F15" i="827"/>
  <c r="G15" i="827"/>
  <c r="I15" i="827"/>
  <c r="J15" i="827"/>
  <c r="K15" i="827"/>
  <c r="L15" i="827"/>
  <c r="M15" i="827"/>
  <c r="N15" i="827"/>
  <c r="O15" i="827"/>
  <c r="C16" i="827"/>
  <c r="D16" i="827"/>
  <c r="E16" i="827"/>
  <c r="F16" i="827"/>
  <c r="G16" i="827"/>
  <c r="I16" i="827"/>
  <c r="J16" i="827"/>
  <c r="K16" i="827"/>
  <c r="L16" i="827"/>
  <c r="M16" i="827"/>
  <c r="N16" i="827"/>
  <c r="O16" i="827"/>
  <c r="C17" i="827"/>
  <c r="D17" i="827"/>
  <c r="E17" i="827"/>
  <c r="F17" i="827"/>
  <c r="G17" i="827"/>
  <c r="I17" i="827"/>
  <c r="J17" i="827"/>
  <c r="K17" i="827"/>
  <c r="L17" i="827"/>
  <c r="M17" i="827"/>
  <c r="N17" i="827"/>
  <c r="O17" i="827"/>
  <c r="C18" i="827"/>
  <c r="D18" i="827"/>
  <c r="E18" i="827"/>
  <c r="F18" i="827"/>
  <c r="G18" i="827"/>
  <c r="I18" i="827"/>
  <c r="J18" i="827"/>
  <c r="K18" i="827"/>
  <c r="L18" i="827"/>
  <c r="M18" i="827"/>
  <c r="N18" i="827"/>
  <c r="O18" i="827"/>
  <c r="F78" i="827"/>
  <c r="L68" i="827"/>
  <c r="AX64" i="827"/>
  <c r="AW64" i="827"/>
  <c r="AV64" i="827"/>
  <c r="AU64" i="827"/>
  <c r="AT64" i="827"/>
  <c r="AS64" i="827"/>
  <c r="AR64" i="827"/>
  <c r="AQ64" i="827"/>
  <c r="AP64" i="827"/>
  <c r="AO64" i="827"/>
  <c r="AN64" i="827"/>
  <c r="AM64" i="827"/>
  <c r="AL64" i="827"/>
  <c r="AK64" i="827"/>
  <c r="AJ64" i="827"/>
  <c r="AI64" i="827"/>
  <c r="AH64" i="827"/>
  <c r="AG64" i="827"/>
  <c r="AF64" i="827"/>
  <c r="AE64" i="827"/>
  <c r="AD64" i="827"/>
  <c r="AC64" i="827"/>
  <c r="AB64" i="827"/>
  <c r="K59" i="827"/>
  <c r="D57" i="827"/>
  <c r="Z54" i="827"/>
  <c r="Y54" i="827"/>
  <c r="X54" i="827"/>
  <c r="W54" i="827"/>
  <c r="V54" i="827"/>
  <c r="U54" i="827"/>
  <c r="T54" i="827"/>
  <c r="S54" i="827"/>
  <c r="R54" i="827"/>
  <c r="Z53" i="827"/>
  <c r="Y53" i="827"/>
  <c r="X53" i="827"/>
  <c r="W53" i="827"/>
  <c r="V53" i="827"/>
  <c r="U53" i="827"/>
  <c r="T53" i="827"/>
  <c r="S53" i="827"/>
  <c r="R53" i="827"/>
  <c r="Z52" i="827"/>
  <c r="Y52" i="827"/>
  <c r="X52" i="827"/>
  <c r="W52" i="827"/>
  <c r="V52" i="827"/>
  <c r="U52" i="827"/>
  <c r="T52" i="827"/>
  <c r="S52" i="827"/>
  <c r="R52" i="827"/>
  <c r="Z51" i="827"/>
  <c r="Y51" i="827"/>
  <c r="X51" i="827"/>
  <c r="W51" i="827"/>
  <c r="V51" i="827"/>
  <c r="U51" i="827"/>
  <c r="T51" i="827"/>
  <c r="S51" i="827"/>
  <c r="R51" i="827"/>
  <c r="Z50" i="827"/>
  <c r="Y50" i="827"/>
  <c r="X50" i="827"/>
  <c r="W50" i="827"/>
  <c r="V50" i="827"/>
  <c r="U50" i="827"/>
  <c r="T50" i="827"/>
  <c r="S50" i="827"/>
  <c r="R50" i="827"/>
  <c r="Z49" i="827"/>
  <c r="Y49" i="827"/>
  <c r="X49" i="827"/>
  <c r="W49" i="827"/>
  <c r="V49" i="827"/>
  <c r="U49" i="827"/>
  <c r="T49" i="827"/>
  <c r="S49" i="827"/>
  <c r="R49" i="827"/>
  <c r="Z48" i="827"/>
  <c r="Y48" i="827"/>
  <c r="X48" i="827"/>
  <c r="W48" i="827"/>
  <c r="V48" i="827"/>
  <c r="U48" i="827"/>
  <c r="T48" i="827"/>
  <c r="S48" i="827"/>
  <c r="R48" i="827"/>
  <c r="Z47" i="827"/>
  <c r="Y47" i="827"/>
  <c r="X47" i="827"/>
  <c r="W47" i="827"/>
  <c r="V47" i="827"/>
  <c r="U47" i="827"/>
  <c r="T47" i="827"/>
  <c r="S47" i="827"/>
  <c r="R47" i="827"/>
  <c r="Z46" i="827"/>
  <c r="Y46" i="827"/>
  <c r="X46" i="827"/>
  <c r="W46" i="827"/>
  <c r="V46" i="827"/>
  <c r="U46" i="827"/>
  <c r="T46" i="827"/>
  <c r="S46" i="827"/>
  <c r="R46" i="827"/>
  <c r="Z45" i="827"/>
  <c r="Y45" i="827"/>
  <c r="X45" i="827"/>
  <c r="W45" i="827"/>
  <c r="V45" i="827"/>
  <c r="U45" i="827"/>
  <c r="T45" i="827"/>
  <c r="S45" i="827"/>
  <c r="R45" i="827"/>
  <c r="Z44" i="827"/>
  <c r="Y44" i="827"/>
  <c r="X44" i="827"/>
  <c r="W44" i="827"/>
  <c r="V44" i="827"/>
  <c r="U44" i="827"/>
  <c r="T44" i="827"/>
  <c r="S44" i="827"/>
  <c r="R44" i="827"/>
  <c r="M44" i="827"/>
  <c r="Z43" i="827"/>
  <c r="Y43" i="827"/>
  <c r="X43" i="827"/>
  <c r="W43" i="827"/>
  <c r="V43" i="827"/>
  <c r="U43" i="827"/>
  <c r="T43" i="827"/>
  <c r="S43" i="827"/>
  <c r="R43" i="827"/>
  <c r="M43" i="827"/>
  <c r="Z42" i="827"/>
  <c r="Y42" i="827"/>
  <c r="X42" i="827"/>
  <c r="W42" i="827"/>
  <c r="V42" i="827"/>
  <c r="U42" i="827"/>
  <c r="T42" i="827"/>
  <c r="S42" i="827"/>
  <c r="R42" i="827"/>
  <c r="M42" i="827"/>
  <c r="Z41" i="827"/>
  <c r="Y41" i="827"/>
  <c r="X41" i="827"/>
  <c r="W41" i="827"/>
  <c r="V41" i="827"/>
  <c r="U41" i="827"/>
  <c r="T41" i="827"/>
  <c r="S41" i="827"/>
  <c r="R41" i="827"/>
  <c r="K41" i="827"/>
  <c r="Z40" i="827"/>
  <c r="Y40" i="827"/>
  <c r="X40" i="827"/>
  <c r="W40" i="827"/>
  <c r="V40" i="827"/>
  <c r="U40" i="827"/>
  <c r="T40" i="827"/>
  <c r="S40" i="827"/>
  <c r="R40" i="827"/>
  <c r="M40" i="827"/>
  <c r="Z39" i="827"/>
  <c r="Y39" i="827"/>
  <c r="X39" i="827"/>
  <c r="W39" i="827"/>
  <c r="V39" i="827"/>
  <c r="U39" i="827"/>
  <c r="T39" i="827"/>
  <c r="S39" i="827"/>
  <c r="R39" i="827"/>
  <c r="Z38" i="827"/>
  <c r="Y38" i="827"/>
  <c r="X38" i="827"/>
  <c r="W38" i="827"/>
  <c r="V38" i="827"/>
  <c r="U38" i="827"/>
  <c r="T38" i="827"/>
  <c r="S38" i="827"/>
  <c r="R38" i="827"/>
  <c r="M38" i="827"/>
  <c r="L38" i="827"/>
  <c r="K38" i="827"/>
  <c r="Z37" i="827"/>
  <c r="Y37" i="827"/>
  <c r="X37" i="827"/>
  <c r="W37" i="827"/>
  <c r="V37" i="827"/>
  <c r="U37" i="827"/>
  <c r="T37" i="827"/>
  <c r="S37" i="827"/>
  <c r="R37" i="827"/>
  <c r="Z36" i="827"/>
  <c r="Y36" i="827"/>
  <c r="X36" i="827"/>
  <c r="W36" i="827"/>
  <c r="V36" i="827"/>
  <c r="U36" i="827"/>
  <c r="T36" i="827"/>
  <c r="S36" i="827"/>
  <c r="R36" i="827"/>
  <c r="M36" i="827"/>
  <c r="L36" i="827"/>
  <c r="K36" i="827"/>
  <c r="Z35" i="827"/>
  <c r="Z34" i="827"/>
  <c r="Y34" i="827"/>
  <c r="X34" i="827"/>
  <c r="W34" i="827"/>
  <c r="V34" i="827"/>
  <c r="U34" i="827"/>
  <c r="T34" i="827"/>
  <c r="S34" i="827"/>
  <c r="R34" i="827"/>
  <c r="Z33" i="827"/>
  <c r="Y33" i="827"/>
  <c r="X33" i="827"/>
  <c r="W33" i="827"/>
  <c r="V33" i="827"/>
  <c r="U33" i="827"/>
  <c r="T33" i="827"/>
  <c r="S33" i="827"/>
  <c r="R33" i="827"/>
  <c r="Z32" i="827"/>
  <c r="Y32" i="827"/>
  <c r="X32" i="827"/>
  <c r="W32" i="827"/>
  <c r="V32" i="827"/>
  <c r="U32" i="827"/>
  <c r="T32" i="827"/>
  <c r="S32" i="827"/>
  <c r="R32" i="827"/>
  <c r="Z31" i="827"/>
  <c r="Y31" i="827"/>
  <c r="X31" i="827"/>
  <c r="W31" i="827"/>
  <c r="V31" i="827"/>
  <c r="U31" i="827"/>
  <c r="T31" i="827"/>
  <c r="S31" i="827"/>
  <c r="R31" i="827"/>
  <c r="Z30" i="827"/>
  <c r="Y30" i="827"/>
  <c r="X30" i="827"/>
  <c r="W30" i="827"/>
  <c r="V30" i="827"/>
  <c r="U30" i="827"/>
  <c r="T30" i="827"/>
  <c r="S30" i="827"/>
  <c r="R30" i="827"/>
  <c r="Z29" i="827"/>
  <c r="Y29" i="827"/>
  <c r="X29" i="827"/>
  <c r="W29" i="827"/>
  <c r="V29" i="827"/>
  <c r="U29" i="827"/>
  <c r="T29" i="827"/>
  <c r="S29" i="827"/>
  <c r="R29" i="827"/>
  <c r="Z28" i="827"/>
  <c r="Y28" i="827"/>
  <c r="X28" i="827"/>
  <c r="W28" i="827"/>
  <c r="V28" i="827"/>
  <c r="U28" i="827"/>
  <c r="T28" i="827"/>
  <c r="S28" i="827"/>
  <c r="R28" i="827"/>
  <c r="M30" i="826"/>
  <c r="L30" i="826"/>
  <c r="K30" i="826"/>
  <c r="M30" i="825"/>
  <c r="L30" i="825"/>
  <c r="K30" i="825"/>
  <c r="R15" i="826"/>
  <c r="S15" i="826"/>
  <c r="T15" i="826"/>
  <c r="U15" i="826"/>
  <c r="V15" i="826"/>
  <c r="W15" i="826"/>
  <c r="X15" i="826"/>
  <c r="Y15" i="826"/>
  <c r="Z15" i="826"/>
  <c r="R16" i="826"/>
  <c r="S16" i="826"/>
  <c r="T16" i="826"/>
  <c r="U16" i="826"/>
  <c r="V16" i="826"/>
  <c r="W16" i="826"/>
  <c r="X16" i="826"/>
  <c r="Y16" i="826"/>
  <c r="Z16" i="826"/>
  <c r="R17" i="826"/>
  <c r="S17" i="826"/>
  <c r="T17" i="826"/>
  <c r="U17" i="826"/>
  <c r="V17" i="826"/>
  <c r="W17" i="826"/>
  <c r="X17" i="826"/>
  <c r="Y17" i="826"/>
  <c r="Z17" i="826"/>
  <c r="R18" i="826"/>
  <c r="S18" i="826"/>
  <c r="T18" i="826"/>
  <c r="U18" i="826"/>
  <c r="V18" i="826"/>
  <c r="W18" i="826"/>
  <c r="X18" i="826"/>
  <c r="Y18" i="826"/>
  <c r="Z18" i="826"/>
  <c r="R19" i="826"/>
  <c r="S19" i="826"/>
  <c r="T19" i="826"/>
  <c r="U19" i="826"/>
  <c r="V19" i="826"/>
  <c r="W19" i="826"/>
  <c r="X19" i="826"/>
  <c r="Y19" i="826"/>
  <c r="Z19" i="826"/>
  <c r="R20" i="826"/>
  <c r="S20" i="826"/>
  <c r="T20" i="826"/>
  <c r="U20" i="826"/>
  <c r="V20" i="826"/>
  <c r="W20" i="826"/>
  <c r="X20" i="826"/>
  <c r="Y20" i="826"/>
  <c r="Z20" i="826"/>
  <c r="R21" i="826"/>
  <c r="S21" i="826"/>
  <c r="T21" i="826"/>
  <c r="U21" i="826"/>
  <c r="V21" i="826"/>
  <c r="W21" i="826"/>
  <c r="X21" i="826"/>
  <c r="Y21" i="826"/>
  <c r="Z21" i="826"/>
  <c r="R22" i="826"/>
  <c r="S22" i="826"/>
  <c r="T22" i="826"/>
  <c r="U22" i="826"/>
  <c r="V22" i="826"/>
  <c r="W22" i="826"/>
  <c r="X22" i="826"/>
  <c r="Y22" i="826"/>
  <c r="Z22" i="826"/>
  <c r="R23" i="826"/>
  <c r="S23" i="826"/>
  <c r="T23" i="826"/>
  <c r="U23" i="826"/>
  <c r="V23" i="826"/>
  <c r="W23" i="826"/>
  <c r="X23" i="826"/>
  <c r="Y23" i="826"/>
  <c r="Z23" i="826"/>
  <c r="R24" i="826"/>
  <c r="S24" i="826"/>
  <c r="T24" i="826"/>
  <c r="U24" i="826"/>
  <c r="V24" i="826"/>
  <c r="W24" i="826"/>
  <c r="X24" i="826"/>
  <c r="Y24" i="826"/>
  <c r="Z24" i="826"/>
  <c r="R25" i="826"/>
  <c r="S25" i="826"/>
  <c r="T25" i="826"/>
  <c r="U25" i="826"/>
  <c r="V25" i="826"/>
  <c r="W25" i="826"/>
  <c r="X25" i="826"/>
  <c r="Y25" i="826"/>
  <c r="Z25" i="826"/>
  <c r="R26" i="826"/>
  <c r="S26" i="826"/>
  <c r="T26" i="826"/>
  <c r="U26" i="826"/>
  <c r="V26" i="826"/>
  <c r="W26" i="826"/>
  <c r="X26" i="826"/>
  <c r="Y26" i="826"/>
  <c r="Z26" i="826"/>
  <c r="R27" i="826"/>
  <c r="S27" i="826"/>
  <c r="T27" i="826"/>
  <c r="U27" i="826"/>
  <c r="V27" i="826"/>
  <c r="W27" i="826"/>
  <c r="X27" i="826"/>
  <c r="Y27" i="826"/>
  <c r="Z27" i="826"/>
  <c r="R28" i="826"/>
  <c r="S28" i="826"/>
  <c r="T28" i="826"/>
  <c r="U28" i="826"/>
  <c r="V28" i="826"/>
  <c r="W28" i="826"/>
  <c r="X28" i="826"/>
  <c r="Y28" i="826"/>
  <c r="Z28" i="826"/>
  <c r="R29" i="826"/>
  <c r="S29" i="826"/>
  <c r="T29" i="826"/>
  <c r="U29" i="826"/>
  <c r="V29" i="826"/>
  <c r="W29" i="826"/>
  <c r="X29" i="826"/>
  <c r="Y29" i="826"/>
  <c r="Z29" i="826"/>
  <c r="R30" i="826"/>
  <c r="S30" i="826"/>
  <c r="T30" i="826"/>
  <c r="U30" i="826"/>
  <c r="V30" i="826"/>
  <c r="W30" i="826"/>
  <c r="X30" i="826"/>
  <c r="Y30" i="826"/>
  <c r="Z30" i="826"/>
  <c r="R31" i="826"/>
  <c r="S31" i="826"/>
  <c r="T31" i="826"/>
  <c r="U31" i="826"/>
  <c r="V31" i="826"/>
  <c r="W31" i="826"/>
  <c r="X31" i="826"/>
  <c r="Y31" i="826"/>
  <c r="Z31" i="826"/>
  <c r="R32" i="826"/>
  <c r="S32" i="826"/>
  <c r="T32" i="826"/>
  <c r="U32" i="826"/>
  <c r="V32" i="826"/>
  <c r="W32" i="826"/>
  <c r="X32" i="826"/>
  <c r="Y32" i="826"/>
  <c r="Z32" i="826"/>
  <c r="R33" i="826"/>
  <c r="S33" i="826"/>
  <c r="T33" i="826"/>
  <c r="U33" i="826"/>
  <c r="V33" i="826"/>
  <c r="W33" i="826"/>
  <c r="X33" i="826"/>
  <c r="Y33" i="826"/>
  <c r="Z33" i="826"/>
  <c r="R34" i="826"/>
  <c r="S34" i="826"/>
  <c r="T34" i="826"/>
  <c r="U34" i="826"/>
  <c r="V34" i="826"/>
  <c r="W34" i="826"/>
  <c r="X34" i="826"/>
  <c r="Y34" i="826"/>
  <c r="Z34" i="826"/>
  <c r="R35" i="826"/>
  <c r="S35" i="826"/>
  <c r="T35" i="826"/>
  <c r="U35" i="826"/>
  <c r="V35" i="826"/>
  <c r="W35" i="826"/>
  <c r="X35" i="826"/>
  <c r="Y35" i="826"/>
  <c r="Z35" i="826"/>
  <c r="C17" i="826"/>
  <c r="D17" i="826"/>
  <c r="E17" i="826"/>
  <c r="F17" i="826"/>
  <c r="G17" i="826"/>
  <c r="I17" i="826"/>
  <c r="J17" i="826"/>
  <c r="K17" i="826"/>
  <c r="L17" i="826"/>
  <c r="M17" i="826"/>
  <c r="N17" i="826"/>
  <c r="O17" i="826"/>
  <c r="C18" i="826"/>
  <c r="D18" i="826"/>
  <c r="E18" i="826"/>
  <c r="F18" i="826"/>
  <c r="G18" i="826"/>
  <c r="I18" i="826"/>
  <c r="J18" i="826"/>
  <c r="K18" i="826"/>
  <c r="L18" i="826"/>
  <c r="M18" i="826"/>
  <c r="N18" i="826"/>
  <c r="O18" i="826"/>
  <c r="C19" i="826"/>
  <c r="D19" i="826"/>
  <c r="E19" i="826"/>
  <c r="F19" i="826"/>
  <c r="G19" i="826"/>
  <c r="I19" i="826"/>
  <c r="J19" i="826"/>
  <c r="K19" i="826"/>
  <c r="L19" i="826"/>
  <c r="M19" i="826"/>
  <c r="N19" i="826"/>
  <c r="O19" i="826"/>
  <c r="R11" i="826"/>
  <c r="S11" i="826"/>
  <c r="T11" i="826"/>
  <c r="U11" i="826"/>
  <c r="V11" i="826"/>
  <c r="W11" i="826"/>
  <c r="X11" i="826"/>
  <c r="Y11" i="826"/>
  <c r="Z11" i="826"/>
  <c r="R12" i="826"/>
  <c r="S12" i="826"/>
  <c r="T12" i="826"/>
  <c r="U12" i="826"/>
  <c r="V12" i="826"/>
  <c r="W12" i="826"/>
  <c r="X12" i="826"/>
  <c r="Y12" i="826"/>
  <c r="Z12" i="826"/>
  <c r="R13" i="826"/>
  <c r="S13" i="826"/>
  <c r="T13" i="826"/>
  <c r="U13" i="826"/>
  <c r="V13" i="826"/>
  <c r="W13" i="826"/>
  <c r="X13" i="826"/>
  <c r="Y13" i="826"/>
  <c r="Z13" i="826"/>
  <c r="R14" i="826"/>
  <c r="S14" i="826"/>
  <c r="T14" i="826"/>
  <c r="U14" i="826"/>
  <c r="V14" i="826"/>
  <c r="W14" i="826"/>
  <c r="X14" i="826"/>
  <c r="Y14" i="826"/>
  <c r="Z14" i="826"/>
  <c r="R36" i="826"/>
  <c r="S36" i="826"/>
  <c r="T36" i="826"/>
  <c r="U36" i="826"/>
  <c r="V36" i="826"/>
  <c r="W36" i="826"/>
  <c r="X36" i="826"/>
  <c r="Y36" i="826"/>
  <c r="Z36" i="826"/>
  <c r="R37" i="826"/>
  <c r="S37" i="826"/>
  <c r="T37" i="826"/>
  <c r="U37" i="826"/>
  <c r="V37" i="826"/>
  <c r="W37" i="826"/>
  <c r="X37" i="826"/>
  <c r="Y37" i="826"/>
  <c r="Z37" i="826"/>
  <c r="R38" i="826"/>
  <c r="S38" i="826"/>
  <c r="T38" i="826"/>
  <c r="U38" i="826"/>
  <c r="V38" i="826"/>
  <c r="W38" i="826"/>
  <c r="X38" i="826"/>
  <c r="Y38" i="826"/>
  <c r="Z38" i="826"/>
  <c r="R39" i="826"/>
  <c r="S39" i="826"/>
  <c r="T39" i="826"/>
  <c r="U39" i="826"/>
  <c r="V39" i="826"/>
  <c r="W39" i="826"/>
  <c r="X39" i="826"/>
  <c r="Y39" i="826"/>
  <c r="Z39" i="826"/>
  <c r="R40" i="826"/>
  <c r="S40" i="826"/>
  <c r="T40" i="826"/>
  <c r="U40" i="826"/>
  <c r="V40" i="826"/>
  <c r="W40" i="826"/>
  <c r="X40" i="826"/>
  <c r="Y40" i="826"/>
  <c r="Z40" i="826"/>
  <c r="R41" i="826"/>
  <c r="S41" i="826"/>
  <c r="T41" i="826"/>
  <c r="U41" i="826"/>
  <c r="V41" i="826"/>
  <c r="W41" i="826"/>
  <c r="X41" i="826"/>
  <c r="Y41" i="826"/>
  <c r="Z41" i="826"/>
  <c r="R42" i="826"/>
  <c r="S42" i="826"/>
  <c r="T42" i="826"/>
  <c r="U42" i="826"/>
  <c r="V42" i="826"/>
  <c r="W42" i="826"/>
  <c r="X42" i="826"/>
  <c r="Y42" i="826"/>
  <c r="Z42" i="826"/>
  <c r="R43" i="826"/>
  <c r="S43" i="826"/>
  <c r="T43" i="826"/>
  <c r="U43" i="826"/>
  <c r="V43" i="826"/>
  <c r="W43" i="826"/>
  <c r="X43" i="826"/>
  <c r="Y43" i="826"/>
  <c r="Z43" i="826"/>
  <c r="R44" i="826"/>
  <c r="S44" i="826"/>
  <c r="T44" i="826"/>
  <c r="U44" i="826"/>
  <c r="V44" i="826"/>
  <c r="W44" i="826"/>
  <c r="X44" i="826"/>
  <c r="Y44" i="826"/>
  <c r="Z44" i="826"/>
  <c r="R45" i="826"/>
  <c r="S45" i="826"/>
  <c r="T45" i="826"/>
  <c r="U45" i="826"/>
  <c r="V45" i="826"/>
  <c r="W45" i="826"/>
  <c r="X45" i="826"/>
  <c r="Y45" i="826"/>
  <c r="Z45" i="826"/>
  <c r="R46" i="826"/>
  <c r="S46" i="826"/>
  <c r="T46" i="826"/>
  <c r="U46" i="826"/>
  <c r="V46" i="826"/>
  <c r="W46" i="826"/>
  <c r="X46" i="826"/>
  <c r="Y46" i="826"/>
  <c r="Z46" i="826"/>
  <c r="C12" i="826"/>
  <c r="D12" i="826"/>
  <c r="E12" i="826"/>
  <c r="F12" i="826"/>
  <c r="G12" i="826"/>
  <c r="I12" i="826"/>
  <c r="J12" i="826"/>
  <c r="K12" i="826"/>
  <c r="L12" i="826"/>
  <c r="M12" i="826"/>
  <c r="N12" i="826"/>
  <c r="O12" i="826"/>
  <c r="C13" i="826"/>
  <c r="D13" i="826"/>
  <c r="E13" i="826"/>
  <c r="F13" i="826"/>
  <c r="G13" i="826"/>
  <c r="I13" i="826"/>
  <c r="J13" i="826"/>
  <c r="K13" i="826"/>
  <c r="L13" i="826"/>
  <c r="M13" i="826"/>
  <c r="N13" i="826"/>
  <c r="O13" i="826"/>
  <c r="C14" i="826"/>
  <c r="D14" i="826"/>
  <c r="E14" i="826"/>
  <c r="F14" i="826"/>
  <c r="G14" i="826"/>
  <c r="I14" i="826"/>
  <c r="J14" i="826"/>
  <c r="K14" i="826"/>
  <c r="L14" i="826"/>
  <c r="M14" i="826"/>
  <c r="N14" i="826"/>
  <c r="O14" i="826"/>
  <c r="C15" i="826"/>
  <c r="D15" i="826"/>
  <c r="E15" i="826"/>
  <c r="F15" i="826"/>
  <c r="G15" i="826"/>
  <c r="I15" i="826"/>
  <c r="J15" i="826"/>
  <c r="K15" i="826"/>
  <c r="L15" i="826"/>
  <c r="M15" i="826"/>
  <c r="N15" i="826"/>
  <c r="O15" i="826"/>
  <c r="C16" i="826"/>
  <c r="D16" i="826"/>
  <c r="E16" i="826"/>
  <c r="F16" i="826"/>
  <c r="G16" i="826"/>
  <c r="I16" i="826"/>
  <c r="J16" i="826"/>
  <c r="K16" i="826"/>
  <c r="L16" i="826"/>
  <c r="M16" i="826"/>
  <c r="N16" i="826"/>
  <c r="O16" i="826"/>
  <c r="C10" i="826"/>
  <c r="D10" i="826"/>
  <c r="E10" i="826"/>
  <c r="F10" i="826"/>
  <c r="G10" i="826"/>
  <c r="I10" i="826"/>
  <c r="J30" i="826" s="1"/>
  <c r="J10" i="826"/>
  <c r="L10" i="826"/>
  <c r="M10" i="826"/>
  <c r="N10" i="826"/>
  <c r="O10" i="826"/>
  <c r="F70" i="826"/>
  <c r="L60" i="826"/>
  <c r="AX56" i="826"/>
  <c r="AW56" i="826"/>
  <c r="AV56" i="826"/>
  <c r="AU56" i="826"/>
  <c r="AT56" i="826"/>
  <c r="AS56" i="826"/>
  <c r="AR56" i="826"/>
  <c r="AQ56" i="826"/>
  <c r="AP56" i="826"/>
  <c r="AO56" i="826"/>
  <c r="AN56" i="826"/>
  <c r="AM56" i="826"/>
  <c r="AL56" i="826"/>
  <c r="AK56" i="826"/>
  <c r="AJ56" i="826"/>
  <c r="AI56" i="826"/>
  <c r="AH56" i="826"/>
  <c r="AG56" i="826"/>
  <c r="AF56" i="826"/>
  <c r="AE56" i="826"/>
  <c r="AD56" i="826"/>
  <c r="AC56" i="826"/>
  <c r="AB56" i="826"/>
  <c r="B56" i="826"/>
  <c r="K51" i="826"/>
  <c r="D49" i="826"/>
  <c r="M36" i="826"/>
  <c r="M35" i="826"/>
  <c r="M34" i="826"/>
  <c r="K33" i="826"/>
  <c r="M32" i="826"/>
  <c r="M28" i="826"/>
  <c r="L28" i="826"/>
  <c r="K28" i="826"/>
  <c r="M27" i="826"/>
  <c r="L27" i="826"/>
  <c r="K27" i="826"/>
  <c r="B27" i="826"/>
  <c r="Z10" i="826"/>
  <c r="Y10" i="826"/>
  <c r="X10" i="826"/>
  <c r="W10" i="826"/>
  <c r="V10" i="826"/>
  <c r="U10" i="826"/>
  <c r="T10" i="826"/>
  <c r="S10" i="826"/>
  <c r="R10" i="826"/>
  <c r="B56" i="825"/>
  <c r="B27" i="825"/>
  <c r="R10" i="825"/>
  <c r="S10" i="825"/>
  <c r="T10" i="825"/>
  <c r="U10" i="825"/>
  <c r="V10" i="825"/>
  <c r="W10" i="825"/>
  <c r="X10" i="825"/>
  <c r="Y10" i="825"/>
  <c r="Z10" i="825"/>
  <c r="R11" i="825"/>
  <c r="S11" i="825"/>
  <c r="T11" i="825"/>
  <c r="U11" i="825"/>
  <c r="V11" i="825"/>
  <c r="W11" i="825"/>
  <c r="X11" i="825"/>
  <c r="Y11" i="825"/>
  <c r="Z11" i="825"/>
  <c r="R12" i="825"/>
  <c r="S12" i="825"/>
  <c r="T12" i="825"/>
  <c r="U12" i="825"/>
  <c r="V12" i="825"/>
  <c r="W12" i="825"/>
  <c r="X12" i="825"/>
  <c r="Y12" i="825"/>
  <c r="Z12" i="825"/>
  <c r="R13" i="825"/>
  <c r="S13" i="825"/>
  <c r="T13" i="825"/>
  <c r="U13" i="825"/>
  <c r="V13" i="825"/>
  <c r="W13" i="825"/>
  <c r="X13" i="825"/>
  <c r="Y13" i="825"/>
  <c r="Z13" i="825"/>
  <c r="R14" i="825"/>
  <c r="S14" i="825"/>
  <c r="T14" i="825"/>
  <c r="U14" i="825"/>
  <c r="V14" i="825"/>
  <c r="W14" i="825"/>
  <c r="X14" i="825"/>
  <c r="Y14" i="825"/>
  <c r="Z14" i="825"/>
  <c r="R15" i="825"/>
  <c r="S15" i="825"/>
  <c r="T15" i="825"/>
  <c r="U15" i="825"/>
  <c r="V15" i="825"/>
  <c r="W15" i="825"/>
  <c r="X15" i="825"/>
  <c r="Y15" i="825"/>
  <c r="Z15" i="825"/>
  <c r="R16" i="825"/>
  <c r="S16" i="825"/>
  <c r="T16" i="825"/>
  <c r="U16" i="825"/>
  <c r="V16" i="825"/>
  <c r="W16" i="825"/>
  <c r="X16" i="825"/>
  <c r="Y16" i="825"/>
  <c r="Z16" i="825"/>
  <c r="R17" i="825"/>
  <c r="S17" i="825"/>
  <c r="T17" i="825"/>
  <c r="U17" i="825"/>
  <c r="V17" i="825"/>
  <c r="W17" i="825"/>
  <c r="X17" i="825"/>
  <c r="Y17" i="825"/>
  <c r="Z17" i="825"/>
  <c r="R18" i="825"/>
  <c r="S18" i="825"/>
  <c r="T18" i="825"/>
  <c r="U18" i="825"/>
  <c r="V18" i="825"/>
  <c r="W18" i="825"/>
  <c r="X18" i="825"/>
  <c r="Y18" i="825"/>
  <c r="Z18" i="825"/>
  <c r="R19" i="825"/>
  <c r="S19" i="825"/>
  <c r="T19" i="825"/>
  <c r="U19" i="825"/>
  <c r="V19" i="825"/>
  <c r="W19" i="825"/>
  <c r="X19" i="825"/>
  <c r="Y19" i="825"/>
  <c r="Z19" i="825"/>
  <c r="R20" i="825"/>
  <c r="S20" i="825"/>
  <c r="T20" i="825"/>
  <c r="U20" i="825"/>
  <c r="V20" i="825"/>
  <c r="W20" i="825"/>
  <c r="X20" i="825"/>
  <c r="Y20" i="825"/>
  <c r="Z20" i="825"/>
  <c r="R21" i="825"/>
  <c r="S21" i="825"/>
  <c r="T21" i="825"/>
  <c r="U21" i="825"/>
  <c r="V21" i="825"/>
  <c r="W21" i="825"/>
  <c r="X21" i="825"/>
  <c r="Y21" i="825"/>
  <c r="Z21" i="825"/>
  <c r="R22" i="825"/>
  <c r="S22" i="825"/>
  <c r="T22" i="825"/>
  <c r="U22" i="825"/>
  <c r="V22" i="825"/>
  <c r="W22" i="825"/>
  <c r="X22" i="825"/>
  <c r="Y22" i="825"/>
  <c r="Z22" i="825"/>
  <c r="R23" i="825"/>
  <c r="S23" i="825"/>
  <c r="T23" i="825"/>
  <c r="U23" i="825"/>
  <c r="V23" i="825"/>
  <c r="W23" i="825"/>
  <c r="X23" i="825"/>
  <c r="Y23" i="825"/>
  <c r="Z23" i="825"/>
  <c r="R24" i="825"/>
  <c r="S24" i="825"/>
  <c r="T24" i="825"/>
  <c r="U24" i="825"/>
  <c r="V24" i="825"/>
  <c r="W24" i="825"/>
  <c r="X24" i="825"/>
  <c r="Y24" i="825"/>
  <c r="Z24" i="825"/>
  <c r="C10" i="825"/>
  <c r="D10" i="825"/>
  <c r="E10" i="825"/>
  <c r="F10" i="825"/>
  <c r="G10" i="825"/>
  <c r="I10" i="825"/>
  <c r="J10" i="825"/>
  <c r="L10" i="825"/>
  <c r="M10" i="825"/>
  <c r="N10" i="825"/>
  <c r="O10" i="825"/>
  <c r="C11" i="825"/>
  <c r="D11" i="825"/>
  <c r="E11" i="825"/>
  <c r="F11" i="825"/>
  <c r="G11" i="825"/>
  <c r="I11" i="825"/>
  <c r="J11" i="825"/>
  <c r="L11" i="825"/>
  <c r="M11" i="825"/>
  <c r="N11" i="825"/>
  <c r="O11" i="825"/>
  <c r="C12" i="825"/>
  <c r="D12" i="825"/>
  <c r="E12" i="825"/>
  <c r="F12" i="825"/>
  <c r="G12" i="825"/>
  <c r="I12" i="825"/>
  <c r="J12" i="825"/>
  <c r="L12" i="825"/>
  <c r="M12" i="825"/>
  <c r="N12" i="825"/>
  <c r="O12" i="825"/>
  <c r="C13" i="825"/>
  <c r="D13" i="825"/>
  <c r="E13" i="825"/>
  <c r="F13" i="825"/>
  <c r="G13" i="825"/>
  <c r="I13" i="825"/>
  <c r="J13" i="825"/>
  <c r="K13" i="825"/>
  <c r="L13" i="825"/>
  <c r="M13" i="825"/>
  <c r="N13" i="825"/>
  <c r="O13" i="825"/>
  <c r="C14" i="825"/>
  <c r="D14" i="825"/>
  <c r="E14" i="825"/>
  <c r="F14" i="825"/>
  <c r="G14" i="825"/>
  <c r="I14" i="825"/>
  <c r="J14" i="825"/>
  <c r="L14" i="825"/>
  <c r="M14" i="825"/>
  <c r="N14" i="825"/>
  <c r="O14" i="825"/>
  <c r="C15" i="825"/>
  <c r="D15" i="825"/>
  <c r="E15" i="825"/>
  <c r="F15" i="825"/>
  <c r="G15" i="825"/>
  <c r="I15" i="825"/>
  <c r="J15" i="825"/>
  <c r="L15" i="825"/>
  <c r="M15" i="825"/>
  <c r="N15" i="825"/>
  <c r="O15" i="825"/>
  <c r="C16" i="825"/>
  <c r="D16" i="825"/>
  <c r="E16" i="825"/>
  <c r="F16" i="825"/>
  <c r="G16" i="825"/>
  <c r="I16" i="825"/>
  <c r="J16" i="825"/>
  <c r="L16" i="825"/>
  <c r="M16" i="825"/>
  <c r="N16" i="825"/>
  <c r="O16" i="825"/>
  <c r="K10" i="825"/>
  <c r="K11" i="825"/>
  <c r="K12" i="825"/>
  <c r="K14" i="825"/>
  <c r="K15" i="825"/>
  <c r="K16" i="825"/>
  <c r="K10" i="826"/>
  <c r="B54" i="824"/>
  <c r="B25" i="824"/>
  <c r="F70" i="825"/>
  <c r="L60" i="825"/>
  <c r="AX56" i="825"/>
  <c r="AW56" i="825"/>
  <c r="AV56" i="825"/>
  <c r="AU56" i="825"/>
  <c r="AT56" i="825"/>
  <c r="AS56" i="825"/>
  <c r="AR56" i="825"/>
  <c r="AQ56" i="825"/>
  <c r="AP56" i="825"/>
  <c r="AO56" i="825"/>
  <c r="AN56" i="825"/>
  <c r="AM56" i="825"/>
  <c r="AL56" i="825"/>
  <c r="AK56" i="825"/>
  <c r="AJ56" i="825"/>
  <c r="AI56" i="825"/>
  <c r="AH56" i="825"/>
  <c r="AG56" i="825"/>
  <c r="AF56" i="825"/>
  <c r="AE56" i="825"/>
  <c r="AD56" i="825"/>
  <c r="AC56" i="825"/>
  <c r="AB56" i="825"/>
  <c r="K51" i="825"/>
  <c r="D49" i="825"/>
  <c r="M36" i="825"/>
  <c r="M35" i="825"/>
  <c r="M34" i="825"/>
  <c r="K33" i="825"/>
  <c r="M32" i="825"/>
  <c r="Z31" i="825"/>
  <c r="Y31" i="825"/>
  <c r="X31" i="825"/>
  <c r="W31" i="825"/>
  <c r="V31" i="825"/>
  <c r="U31" i="825"/>
  <c r="T31" i="825"/>
  <c r="S31" i="825"/>
  <c r="R31" i="825"/>
  <c r="Z30" i="825"/>
  <c r="Y30" i="825"/>
  <c r="X30" i="825"/>
  <c r="W30" i="825"/>
  <c r="V30" i="825"/>
  <c r="U30" i="825"/>
  <c r="T30" i="825"/>
  <c r="S30" i="825"/>
  <c r="R30" i="825"/>
  <c r="Z29" i="825"/>
  <c r="Y29" i="825"/>
  <c r="X29" i="825"/>
  <c r="W29" i="825"/>
  <c r="V29" i="825"/>
  <c r="U29" i="825"/>
  <c r="T29" i="825"/>
  <c r="S29" i="825"/>
  <c r="R29" i="825"/>
  <c r="Z28" i="825"/>
  <c r="Y28" i="825"/>
  <c r="X28" i="825"/>
  <c r="W28" i="825"/>
  <c r="V28" i="825"/>
  <c r="U28" i="825"/>
  <c r="T28" i="825"/>
  <c r="S28" i="825"/>
  <c r="R28" i="825"/>
  <c r="M28" i="825"/>
  <c r="L28" i="825"/>
  <c r="K28" i="825"/>
  <c r="Z27" i="825"/>
  <c r="Y27" i="825"/>
  <c r="X27" i="825"/>
  <c r="W27" i="825"/>
  <c r="V27" i="825"/>
  <c r="U27" i="825"/>
  <c r="T27" i="825"/>
  <c r="S27" i="825"/>
  <c r="R27" i="825"/>
  <c r="M27" i="825"/>
  <c r="L27" i="825"/>
  <c r="K27" i="825"/>
  <c r="Z26" i="825"/>
  <c r="Y26" i="825"/>
  <c r="X26" i="825"/>
  <c r="W26" i="825"/>
  <c r="V26" i="825"/>
  <c r="U26" i="825"/>
  <c r="T26" i="825"/>
  <c r="S26" i="825"/>
  <c r="R26" i="825"/>
  <c r="Z25" i="825"/>
  <c r="Y25" i="825"/>
  <c r="X25" i="825"/>
  <c r="W25" i="825"/>
  <c r="V25" i="825"/>
  <c r="U25" i="825"/>
  <c r="T25" i="825"/>
  <c r="S25" i="825"/>
  <c r="R25" i="825"/>
  <c r="M26" i="824"/>
  <c r="L26" i="824"/>
  <c r="K26" i="824"/>
  <c r="C10" i="824"/>
  <c r="D10" i="824"/>
  <c r="E10" i="824"/>
  <c r="F10" i="824"/>
  <c r="G10" i="824"/>
  <c r="I10" i="824"/>
  <c r="J10" i="824"/>
  <c r="L10" i="824"/>
  <c r="M10" i="824"/>
  <c r="N10" i="824"/>
  <c r="O10" i="824"/>
  <c r="C11" i="824"/>
  <c r="D11" i="824"/>
  <c r="E11" i="824"/>
  <c r="F11" i="824"/>
  <c r="G11" i="824"/>
  <c r="I11" i="824"/>
  <c r="J11" i="824"/>
  <c r="L11" i="824"/>
  <c r="M11" i="824"/>
  <c r="N11" i="824"/>
  <c r="O11" i="824"/>
  <c r="C12" i="824"/>
  <c r="D12" i="824"/>
  <c r="E12" i="824"/>
  <c r="F12" i="824"/>
  <c r="G12" i="824"/>
  <c r="I12" i="824"/>
  <c r="J12" i="824"/>
  <c r="L12" i="824"/>
  <c r="M12" i="824"/>
  <c r="N12" i="824"/>
  <c r="O12" i="824"/>
  <c r="C13" i="824"/>
  <c r="D13" i="824"/>
  <c r="E13" i="824"/>
  <c r="F13" i="824"/>
  <c r="G13" i="824"/>
  <c r="I13" i="824"/>
  <c r="J13" i="824"/>
  <c r="L13" i="824"/>
  <c r="M13" i="824"/>
  <c r="N13" i="824"/>
  <c r="O13" i="824"/>
  <c r="C14" i="824"/>
  <c r="D14" i="824"/>
  <c r="E14" i="824"/>
  <c r="F14" i="824"/>
  <c r="G14" i="824"/>
  <c r="I14" i="824"/>
  <c r="J14" i="824"/>
  <c r="L14" i="824"/>
  <c r="M14" i="824"/>
  <c r="N14" i="824"/>
  <c r="O14" i="824"/>
  <c r="C15" i="824"/>
  <c r="D15" i="824"/>
  <c r="E15" i="824"/>
  <c r="F15" i="824"/>
  <c r="G15" i="824"/>
  <c r="I15" i="824"/>
  <c r="J15" i="824"/>
  <c r="L15" i="824"/>
  <c r="M15" i="824"/>
  <c r="N15" i="824"/>
  <c r="O15" i="824"/>
  <c r="C16" i="824"/>
  <c r="D16" i="824"/>
  <c r="E16" i="824"/>
  <c r="F16" i="824"/>
  <c r="G16" i="824"/>
  <c r="I16" i="824"/>
  <c r="J16" i="824"/>
  <c r="L16" i="824"/>
  <c r="M16" i="824"/>
  <c r="N16" i="824"/>
  <c r="O16" i="824"/>
  <c r="F68" i="824"/>
  <c r="L58" i="824"/>
  <c r="AX54" i="824"/>
  <c r="AW54" i="824"/>
  <c r="AV54" i="824"/>
  <c r="AU54" i="824"/>
  <c r="AT54" i="824"/>
  <c r="AS54" i="824"/>
  <c r="AR54" i="824"/>
  <c r="AQ54" i="824"/>
  <c r="AP54" i="824"/>
  <c r="AO54" i="824"/>
  <c r="AN54" i="824"/>
  <c r="AM54" i="824"/>
  <c r="AL54" i="824"/>
  <c r="AK54" i="824"/>
  <c r="AJ54" i="824"/>
  <c r="AI54" i="824"/>
  <c r="AH54" i="824"/>
  <c r="AG54" i="824"/>
  <c r="AF54" i="824"/>
  <c r="AE54" i="824"/>
  <c r="AD54" i="824"/>
  <c r="AC54" i="824"/>
  <c r="AB54" i="824"/>
  <c r="K49" i="824"/>
  <c r="D47" i="824"/>
  <c r="M34" i="824"/>
  <c r="M33" i="824"/>
  <c r="M32" i="824"/>
  <c r="K31" i="824"/>
  <c r="M30" i="824"/>
  <c r="Z29" i="824"/>
  <c r="Y29" i="824"/>
  <c r="X29" i="824"/>
  <c r="W29" i="824"/>
  <c r="V29" i="824"/>
  <c r="U29" i="824"/>
  <c r="T29" i="824"/>
  <c r="S29" i="824"/>
  <c r="R29" i="824"/>
  <c r="Z28" i="824"/>
  <c r="Y28" i="824"/>
  <c r="X28" i="824"/>
  <c r="W28" i="824"/>
  <c r="V28" i="824"/>
  <c r="U28" i="824"/>
  <c r="T28" i="824"/>
  <c r="S28" i="824"/>
  <c r="R28" i="824"/>
  <c r="M28" i="824"/>
  <c r="Z27" i="824"/>
  <c r="Y27" i="824"/>
  <c r="X27" i="824"/>
  <c r="W27" i="824"/>
  <c r="V27" i="824"/>
  <c r="U27" i="824"/>
  <c r="T27" i="824"/>
  <c r="S27" i="824"/>
  <c r="R27" i="824"/>
  <c r="Z26" i="824"/>
  <c r="Y26" i="824"/>
  <c r="X26" i="824"/>
  <c r="W26" i="824"/>
  <c r="V26" i="824"/>
  <c r="U26" i="824"/>
  <c r="T26" i="824"/>
  <c r="S26" i="824"/>
  <c r="R26" i="824"/>
  <c r="Z25" i="824"/>
  <c r="Y25" i="824"/>
  <c r="X25" i="824"/>
  <c r="W25" i="824"/>
  <c r="V25" i="824"/>
  <c r="U25" i="824"/>
  <c r="T25" i="824"/>
  <c r="S25" i="824"/>
  <c r="R25" i="824"/>
  <c r="M25" i="824"/>
  <c r="L25" i="824"/>
  <c r="K25" i="824"/>
  <c r="Z24" i="824"/>
  <c r="Y24" i="824"/>
  <c r="X24" i="824"/>
  <c r="W24" i="824"/>
  <c r="V24" i="824"/>
  <c r="U24" i="824"/>
  <c r="T24" i="824"/>
  <c r="S24" i="824"/>
  <c r="R24" i="824"/>
  <c r="Z23" i="824"/>
  <c r="Y23" i="824"/>
  <c r="X23" i="824"/>
  <c r="W23" i="824"/>
  <c r="V23" i="824"/>
  <c r="U23" i="824"/>
  <c r="T23" i="824"/>
  <c r="S23" i="824"/>
  <c r="R23" i="824"/>
  <c r="Z22" i="824"/>
  <c r="Y22" i="824"/>
  <c r="X22" i="824"/>
  <c r="W22" i="824"/>
  <c r="V22" i="824"/>
  <c r="U22" i="824"/>
  <c r="T22" i="824"/>
  <c r="S22" i="824"/>
  <c r="R22" i="824"/>
  <c r="Z21" i="824"/>
  <c r="Y21" i="824"/>
  <c r="X21" i="824"/>
  <c r="W21" i="824"/>
  <c r="V21" i="824"/>
  <c r="U21" i="824"/>
  <c r="T21" i="824"/>
  <c r="S21" i="824"/>
  <c r="R21" i="824"/>
  <c r="Z20" i="824"/>
  <c r="Y20" i="824"/>
  <c r="X20" i="824"/>
  <c r="W20" i="824"/>
  <c r="V20" i="824"/>
  <c r="U20" i="824"/>
  <c r="T20" i="824"/>
  <c r="S20" i="824"/>
  <c r="R20" i="824"/>
  <c r="Z19" i="824"/>
  <c r="Y19" i="824"/>
  <c r="X19" i="824"/>
  <c r="W19" i="824"/>
  <c r="V19" i="824"/>
  <c r="U19" i="824"/>
  <c r="T19" i="824"/>
  <c r="S19" i="824"/>
  <c r="R19" i="824"/>
  <c r="Z18" i="824"/>
  <c r="Y18" i="824"/>
  <c r="X18" i="824"/>
  <c r="W18" i="824"/>
  <c r="V18" i="824"/>
  <c r="U18" i="824"/>
  <c r="T18" i="824"/>
  <c r="S18" i="824"/>
  <c r="R18" i="824"/>
  <c r="Z17" i="824"/>
  <c r="Y17" i="824"/>
  <c r="X17" i="824"/>
  <c r="W17" i="824"/>
  <c r="V17" i="824"/>
  <c r="U17" i="824"/>
  <c r="T17" i="824"/>
  <c r="S17" i="824"/>
  <c r="R17" i="824"/>
  <c r="Z16" i="824"/>
  <c r="Y16" i="824"/>
  <c r="X16" i="824"/>
  <c r="W16" i="824"/>
  <c r="V16" i="824"/>
  <c r="U16" i="824"/>
  <c r="T16" i="824"/>
  <c r="S16" i="824"/>
  <c r="R16" i="824"/>
  <c r="Z15" i="824"/>
  <c r="Y15" i="824"/>
  <c r="X15" i="824"/>
  <c r="W15" i="824"/>
  <c r="V15" i="824"/>
  <c r="U15" i="824"/>
  <c r="T15" i="824"/>
  <c r="S15" i="824"/>
  <c r="R15" i="824"/>
  <c r="Z14" i="824"/>
  <c r="Y14" i="824"/>
  <c r="X14" i="824"/>
  <c r="W14" i="824"/>
  <c r="V14" i="824"/>
  <c r="U14" i="824"/>
  <c r="T14" i="824"/>
  <c r="S14" i="824"/>
  <c r="R14" i="824"/>
  <c r="Z13" i="824"/>
  <c r="Y13" i="824"/>
  <c r="X13" i="824"/>
  <c r="W13" i="824"/>
  <c r="V13" i="824"/>
  <c r="U13" i="824"/>
  <c r="T13" i="824"/>
  <c r="S13" i="824"/>
  <c r="R13" i="824"/>
  <c r="Z12" i="824"/>
  <c r="Y12" i="824"/>
  <c r="X12" i="824"/>
  <c r="W12" i="824"/>
  <c r="V12" i="824"/>
  <c r="U12" i="824"/>
  <c r="T12" i="824"/>
  <c r="S12" i="824"/>
  <c r="R12" i="824"/>
  <c r="Z11" i="824"/>
  <c r="Y11" i="824"/>
  <c r="X11" i="824"/>
  <c r="W11" i="824"/>
  <c r="V11" i="824"/>
  <c r="U11" i="824"/>
  <c r="T11" i="824"/>
  <c r="S11" i="824"/>
  <c r="R11" i="824"/>
  <c r="Z10" i="824"/>
  <c r="Y10" i="824"/>
  <c r="X10" i="824"/>
  <c r="W10" i="824"/>
  <c r="V10" i="824"/>
  <c r="U10" i="824"/>
  <c r="T10" i="824"/>
  <c r="S10" i="824"/>
  <c r="R10" i="824"/>
  <c r="M38" i="823"/>
  <c r="L38" i="823"/>
  <c r="K38" i="823"/>
  <c r="C20" i="823"/>
  <c r="D20" i="823"/>
  <c r="E20" i="823"/>
  <c r="F20" i="823"/>
  <c r="G20" i="823"/>
  <c r="I20" i="823"/>
  <c r="J20" i="823"/>
  <c r="L20" i="823"/>
  <c r="M20" i="823"/>
  <c r="N20" i="823"/>
  <c r="O20" i="823"/>
  <c r="C21" i="823"/>
  <c r="D21" i="823"/>
  <c r="E21" i="823"/>
  <c r="F21" i="823"/>
  <c r="G21" i="823"/>
  <c r="I21" i="823"/>
  <c r="J21" i="823"/>
  <c r="L21" i="823"/>
  <c r="M21" i="823"/>
  <c r="N21" i="823"/>
  <c r="O21" i="823"/>
  <c r="O19" i="823"/>
  <c r="N19" i="823"/>
  <c r="M19" i="823"/>
  <c r="L19" i="823"/>
  <c r="J19" i="823"/>
  <c r="I19" i="823"/>
  <c r="G19" i="823"/>
  <c r="F19" i="823"/>
  <c r="E19" i="823"/>
  <c r="D19" i="823"/>
  <c r="C19" i="823"/>
  <c r="R11" i="823"/>
  <c r="S11" i="823"/>
  <c r="T11" i="823"/>
  <c r="U11" i="823"/>
  <c r="V11" i="823"/>
  <c r="W11" i="823"/>
  <c r="X11" i="823"/>
  <c r="Y11" i="823"/>
  <c r="Z11" i="823"/>
  <c r="R12" i="823"/>
  <c r="S12" i="823"/>
  <c r="T12" i="823"/>
  <c r="U12" i="823"/>
  <c r="V12" i="823"/>
  <c r="W12" i="823"/>
  <c r="X12" i="823"/>
  <c r="Y12" i="823"/>
  <c r="Z12" i="823"/>
  <c r="R13" i="823"/>
  <c r="S13" i="823"/>
  <c r="T13" i="823"/>
  <c r="U13" i="823"/>
  <c r="V13" i="823"/>
  <c r="W13" i="823"/>
  <c r="X13" i="823"/>
  <c r="Y13" i="823"/>
  <c r="Z13" i="823"/>
  <c r="R14" i="823"/>
  <c r="S14" i="823"/>
  <c r="T14" i="823"/>
  <c r="U14" i="823"/>
  <c r="V14" i="823"/>
  <c r="W14" i="823"/>
  <c r="X14" i="823"/>
  <c r="Y14" i="823"/>
  <c r="Z14" i="823"/>
  <c r="R15" i="823"/>
  <c r="S15" i="823"/>
  <c r="T15" i="823"/>
  <c r="U15" i="823"/>
  <c r="V15" i="823"/>
  <c r="W15" i="823"/>
  <c r="X15" i="823"/>
  <c r="Y15" i="823"/>
  <c r="Z15" i="823"/>
  <c r="R16" i="823"/>
  <c r="S16" i="823"/>
  <c r="T16" i="823"/>
  <c r="U16" i="823"/>
  <c r="V16" i="823"/>
  <c r="W16" i="823"/>
  <c r="X16" i="823"/>
  <c r="Y16" i="823"/>
  <c r="Z16" i="823"/>
  <c r="R17" i="823"/>
  <c r="S17" i="823"/>
  <c r="T17" i="823"/>
  <c r="U17" i="823"/>
  <c r="V17" i="823"/>
  <c r="W17" i="823"/>
  <c r="X17" i="823"/>
  <c r="Y17" i="823"/>
  <c r="Z17" i="823"/>
  <c r="R18" i="823"/>
  <c r="S18" i="823"/>
  <c r="T18" i="823"/>
  <c r="U18" i="823"/>
  <c r="V18" i="823"/>
  <c r="W18" i="823"/>
  <c r="X18" i="823"/>
  <c r="Y18" i="823"/>
  <c r="Z18" i="823"/>
  <c r="R19" i="823"/>
  <c r="S19" i="823"/>
  <c r="T19" i="823"/>
  <c r="U19" i="823"/>
  <c r="V19" i="823"/>
  <c r="W19" i="823"/>
  <c r="X19" i="823"/>
  <c r="Y19" i="823"/>
  <c r="Z19" i="823"/>
  <c r="R20" i="823"/>
  <c r="S20" i="823"/>
  <c r="T20" i="823"/>
  <c r="U20" i="823"/>
  <c r="V20" i="823"/>
  <c r="W20" i="823"/>
  <c r="X20" i="823"/>
  <c r="Y20" i="823"/>
  <c r="Z20" i="823"/>
  <c r="R21" i="823"/>
  <c r="S21" i="823"/>
  <c r="T21" i="823"/>
  <c r="U21" i="823"/>
  <c r="V21" i="823"/>
  <c r="W21" i="823"/>
  <c r="X21" i="823"/>
  <c r="Y21" i="823"/>
  <c r="Z21" i="823"/>
  <c r="R22" i="823"/>
  <c r="S22" i="823"/>
  <c r="T22" i="823"/>
  <c r="U22" i="823"/>
  <c r="V22" i="823"/>
  <c r="W22" i="823"/>
  <c r="X22" i="823"/>
  <c r="Y22" i="823"/>
  <c r="Z22" i="823"/>
  <c r="R23" i="823"/>
  <c r="S23" i="823"/>
  <c r="T23" i="823"/>
  <c r="U23" i="823"/>
  <c r="V23" i="823"/>
  <c r="W23" i="823"/>
  <c r="X23" i="823"/>
  <c r="Y23" i="823"/>
  <c r="Z23" i="823"/>
  <c r="R24" i="823"/>
  <c r="S24" i="823"/>
  <c r="T24" i="823"/>
  <c r="U24" i="823"/>
  <c r="V24" i="823"/>
  <c r="W24" i="823"/>
  <c r="X24" i="823"/>
  <c r="Y24" i="823"/>
  <c r="Z24" i="823"/>
  <c r="R25" i="823"/>
  <c r="S25" i="823"/>
  <c r="T25" i="823"/>
  <c r="U25" i="823"/>
  <c r="V25" i="823"/>
  <c r="W25" i="823"/>
  <c r="X25" i="823"/>
  <c r="Y25" i="823"/>
  <c r="Z25" i="823"/>
  <c r="R26" i="823"/>
  <c r="S26" i="823"/>
  <c r="T26" i="823"/>
  <c r="U26" i="823"/>
  <c r="V26" i="823"/>
  <c r="W26" i="823"/>
  <c r="X26" i="823"/>
  <c r="Y26" i="823"/>
  <c r="Z26" i="823"/>
  <c r="R27" i="823"/>
  <c r="S27" i="823"/>
  <c r="T27" i="823"/>
  <c r="U27" i="823"/>
  <c r="V27" i="823"/>
  <c r="W27" i="823"/>
  <c r="X27" i="823"/>
  <c r="Y27" i="823"/>
  <c r="Z27" i="823"/>
  <c r="R28" i="823"/>
  <c r="S28" i="823"/>
  <c r="T28" i="823"/>
  <c r="U28" i="823"/>
  <c r="V28" i="823"/>
  <c r="W28" i="823"/>
  <c r="X28" i="823"/>
  <c r="Y28" i="823"/>
  <c r="Z28" i="823"/>
  <c r="R29" i="823"/>
  <c r="S29" i="823"/>
  <c r="T29" i="823"/>
  <c r="U29" i="823"/>
  <c r="V29" i="823"/>
  <c r="W29" i="823"/>
  <c r="X29" i="823"/>
  <c r="Y29" i="823"/>
  <c r="Z29" i="823"/>
  <c r="R30" i="823"/>
  <c r="S30" i="823"/>
  <c r="T30" i="823"/>
  <c r="U30" i="823"/>
  <c r="V30" i="823"/>
  <c r="W30" i="823"/>
  <c r="X30" i="823"/>
  <c r="Y30" i="823"/>
  <c r="Z30" i="823"/>
  <c r="R31" i="823"/>
  <c r="S31" i="823"/>
  <c r="T31" i="823"/>
  <c r="U31" i="823"/>
  <c r="V31" i="823"/>
  <c r="W31" i="823"/>
  <c r="X31" i="823"/>
  <c r="Y31" i="823"/>
  <c r="Z31" i="823"/>
  <c r="R32" i="823"/>
  <c r="S32" i="823"/>
  <c r="T32" i="823"/>
  <c r="U32" i="823"/>
  <c r="V32" i="823"/>
  <c r="W32" i="823"/>
  <c r="X32" i="823"/>
  <c r="Y32" i="823"/>
  <c r="Z32" i="823"/>
  <c r="R33" i="823"/>
  <c r="S33" i="823"/>
  <c r="T33" i="823"/>
  <c r="U33" i="823"/>
  <c r="V33" i="823"/>
  <c r="W33" i="823"/>
  <c r="X33" i="823"/>
  <c r="Y33" i="823"/>
  <c r="Z33" i="823"/>
  <c r="R34" i="823"/>
  <c r="S34" i="823"/>
  <c r="T34" i="823"/>
  <c r="U34" i="823"/>
  <c r="V34" i="823"/>
  <c r="W34" i="823"/>
  <c r="X34" i="823"/>
  <c r="Y34" i="823"/>
  <c r="Z34" i="823"/>
  <c r="R35" i="823"/>
  <c r="S35" i="823"/>
  <c r="T35" i="823"/>
  <c r="U35" i="823"/>
  <c r="V35" i="823"/>
  <c r="W35" i="823"/>
  <c r="X35" i="823"/>
  <c r="Y35" i="823"/>
  <c r="Z35" i="823"/>
  <c r="R36" i="823"/>
  <c r="S36" i="823"/>
  <c r="T36" i="823"/>
  <c r="U36" i="823"/>
  <c r="V36" i="823"/>
  <c r="W36" i="823"/>
  <c r="X36" i="823"/>
  <c r="Y36" i="823"/>
  <c r="Z36" i="823"/>
  <c r="C10" i="823"/>
  <c r="D10" i="823"/>
  <c r="E10" i="823"/>
  <c r="F10" i="823"/>
  <c r="G10" i="823"/>
  <c r="I10" i="823"/>
  <c r="J10" i="823"/>
  <c r="K10" i="823"/>
  <c r="L10" i="823"/>
  <c r="M10" i="823"/>
  <c r="N10" i="823"/>
  <c r="O10" i="823"/>
  <c r="R10" i="823"/>
  <c r="S10" i="823"/>
  <c r="T10" i="823"/>
  <c r="U10" i="823"/>
  <c r="V10" i="823"/>
  <c r="W10" i="823"/>
  <c r="X10" i="823"/>
  <c r="Y10" i="823"/>
  <c r="Z10" i="823"/>
  <c r="C11" i="823"/>
  <c r="D11" i="823"/>
  <c r="E11" i="823"/>
  <c r="F11" i="823"/>
  <c r="G11" i="823"/>
  <c r="I11" i="823"/>
  <c r="J11" i="823"/>
  <c r="K11" i="823"/>
  <c r="L11" i="823"/>
  <c r="M11" i="823"/>
  <c r="N11" i="823"/>
  <c r="O11" i="823"/>
  <c r="C12" i="823"/>
  <c r="D12" i="823"/>
  <c r="E12" i="823"/>
  <c r="F12" i="823"/>
  <c r="G12" i="823"/>
  <c r="I12" i="823"/>
  <c r="J12" i="823"/>
  <c r="K12" i="823"/>
  <c r="L12" i="823"/>
  <c r="M12" i="823"/>
  <c r="N12" i="823"/>
  <c r="O12" i="823"/>
  <c r="C13" i="823"/>
  <c r="D13" i="823"/>
  <c r="E13" i="823"/>
  <c r="F13" i="823"/>
  <c r="G13" i="823"/>
  <c r="I13" i="823"/>
  <c r="J13" i="823"/>
  <c r="K13" i="823"/>
  <c r="L13" i="823"/>
  <c r="M13" i="823"/>
  <c r="N13" i="823"/>
  <c r="O13" i="823"/>
  <c r="C14" i="823"/>
  <c r="D14" i="823"/>
  <c r="E14" i="823"/>
  <c r="F14" i="823"/>
  <c r="G14" i="823"/>
  <c r="I14" i="823"/>
  <c r="J14" i="823"/>
  <c r="K14" i="823"/>
  <c r="L14" i="823"/>
  <c r="M14" i="823"/>
  <c r="N14" i="823"/>
  <c r="O14" i="823"/>
  <c r="C15" i="823"/>
  <c r="D15" i="823"/>
  <c r="E15" i="823"/>
  <c r="F15" i="823"/>
  <c r="G15" i="823"/>
  <c r="I15" i="823"/>
  <c r="J15" i="823"/>
  <c r="K15" i="823"/>
  <c r="L15" i="823"/>
  <c r="M15" i="823"/>
  <c r="N15" i="823"/>
  <c r="O15" i="823"/>
  <c r="C16" i="823"/>
  <c r="D16" i="823"/>
  <c r="E16" i="823"/>
  <c r="F16" i="823"/>
  <c r="G16" i="823"/>
  <c r="I16" i="823"/>
  <c r="J16" i="823"/>
  <c r="K16" i="823"/>
  <c r="L16" i="823"/>
  <c r="M16" i="823"/>
  <c r="N16" i="823"/>
  <c r="O16" i="823"/>
  <c r="B28" i="822"/>
  <c r="F80" i="823"/>
  <c r="L70" i="823"/>
  <c r="AX66" i="823"/>
  <c r="AW66" i="823"/>
  <c r="AV66" i="823"/>
  <c r="AU66" i="823"/>
  <c r="AT66" i="823"/>
  <c r="AS66" i="823"/>
  <c r="AR66" i="823"/>
  <c r="AQ66" i="823"/>
  <c r="AP66" i="823"/>
  <c r="AO66" i="823"/>
  <c r="AN66" i="823"/>
  <c r="AM66" i="823"/>
  <c r="AL66" i="823"/>
  <c r="AK66" i="823"/>
  <c r="AJ66" i="823"/>
  <c r="AI66" i="823"/>
  <c r="AH66" i="823"/>
  <c r="AG66" i="823"/>
  <c r="AF66" i="823"/>
  <c r="AE66" i="823"/>
  <c r="AD66" i="823"/>
  <c r="AC66" i="823"/>
  <c r="AB66" i="823"/>
  <c r="K61" i="823"/>
  <c r="D59" i="823"/>
  <c r="M46" i="823"/>
  <c r="M45" i="823"/>
  <c r="M44" i="823"/>
  <c r="K43" i="823"/>
  <c r="M42" i="823"/>
  <c r="Z41" i="823"/>
  <c r="Y41" i="823"/>
  <c r="X41" i="823"/>
  <c r="W41" i="823"/>
  <c r="V41" i="823"/>
  <c r="U41" i="823"/>
  <c r="T41" i="823"/>
  <c r="S41" i="823"/>
  <c r="R41" i="823"/>
  <c r="Z40" i="823"/>
  <c r="Y40" i="823"/>
  <c r="X40" i="823"/>
  <c r="W40" i="823"/>
  <c r="V40" i="823"/>
  <c r="U40" i="823"/>
  <c r="T40" i="823"/>
  <c r="S40" i="823"/>
  <c r="R40" i="823"/>
  <c r="M40" i="823"/>
  <c r="Z39" i="823"/>
  <c r="Y39" i="823"/>
  <c r="X39" i="823"/>
  <c r="W39" i="823"/>
  <c r="V39" i="823"/>
  <c r="U39" i="823"/>
  <c r="T39" i="823"/>
  <c r="S39" i="823"/>
  <c r="R39" i="823"/>
  <c r="Z38" i="823"/>
  <c r="Y38" i="823"/>
  <c r="X38" i="823"/>
  <c r="W38" i="823"/>
  <c r="V38" i="823"/>
  <c r="U38" i="823"/>
  <c r="T38" i="823"/>
  <c r="S38" i="823"/>
  <c r="R38" i="823"/>
  <c r="M37" i="823"/>
  <c r="L37" i="823"/>
  <c r="K37" i="823"/>
  <c r="T37" i="823"/>
  <c r="B57" i="822"/>
  <c r="M28" i="822"/>
  <c r="L28" i="822"/>
  <c r="K28" i="822"/>
  <c r="R10" i="822"/>
  <c r="S10" i="822"/>
  <c r="T10" i="822"/>
  <c r="U10" i="822"/>
  <c r="V10" i="822"/>
  <c r="W10" i="822"/>
  <c r="X10" i="822"/>
  <c r="Y10" i="822"/>
  <c r="Z10" i="822"/>
  <c r="R11" i="822"/>
  <c r="S11" i="822"/>
  <c r="T11" i="822"/>
  <c r="U11" i="822"/>
  <c r="V11" i="822"/>
  <c r="W11" i="822"/>
  <c r="X11" i="822"/>
  <c r="Y11" i="822"/>
  <c r="Z11" i="822"/>
  <c r="R12" i="822"/>
  <c r="S12" i="822"/>
  <c r="T12" i="822"/>
  <c r="U12" i="822"/>
  <c r="V12" i="822"/>
  <c r="W12" i="822"/>
  <c r="X12" i="822"/>
  <c r="Y12" i="822"/>
  <c r="Z12" i="822"/>
  <c r="R13" i="822"/>
  <c r="S13" i="822"/>
  <c r="T13" i="822"/>
  <c r="U13" i="822"/>
  <c r="V13" i="822"/>
  <c r="W13" i="822"/>
  <c r="X13" i="822"/>
  <c r="Y13" i="822"/>
  <c r="Z13" i="822"/>
  <c r="R14" i="822"/>
  <c r="S14" i="822"/>
  <c r="T14" i="822"/>
  <c r="U14" i="822"/>
  <c r="V14" i="822"/>
  <c r="W14" i="822"/>
  <c r="X14" i="822"/>
  <c r="Y14" i="822"/>
  <c r="Z14" i="822"/>
  <c r="R15" i="822"/>
  <c r="S15" i="822"/>
  <c r="T15" i="822"/>
  <c r="U15" i="822"/>
  <c r="V15" i="822"/>
  <c r="W15" i="822"/>
  <c r="X15" i="822"/>
  <c r="Y15" i="822"/>
  <c r="Z15" i="822"/>
  <c r="R16" i="822"/>
  <c r="S16" i="822"/>
  <c r="T16" i="822"/>
  <c r="U16" i="822"/>
  <c r="V16" i="822"/>
  <c r="W16" i="822"/>
  <c r="X16" i="822"/>
  <c r="Y16" i="822"/>
  <c r="Z16" i="822"/>
  <c r="R17" i="822"/>
  <c r="S17" i="822"/>
  <c r="T17" i="822"/>
  <c r="U17" i="822"/>
  <c r="V17" i="822"/>
  <c r="W17" i="822"/>
  <c r="X17" i="822"/>
  <c r="Y17" i="822"/>
  <c r="Z17" i="822"/>
  <c r="R18" i="822"/>
  <c r="S18" i="822"/>
  <c r="T18" i="822"/>
  <c r="U18" i="822"/>
  <c r="V18" i="822"/>
  <c r="W18" i="822"/>
  <c r="X18" i="822"/>
  <c r="Y18" i="822"/>
  <c r="Z18" i="822"/>
  <c r="R19" i="822"/>
  <c r="S19" i="822"/>
  <c r="T19" i="822"/>
  <c r="U19" i="822"/>
  <c r="V19" i="822"/>
  <c r="W19" i="822"/>
  <c r="X19" i="822"/>
  <c r="Y19" i="822"/>
  <c r="Z19" i="822"/>
  <c r="R20" i="822"/>
  <c r="S20" i="822"/>
  <c r="T20" i="822"/>
  <c r="U20" i="822"/>
  <c r="V20" i="822"/>
  <c r="W20" i="822"/>
  <c r="X20" i="822"/>
  <c r="Y20" i="822"/>
  <c r="Z20" i="822"/>
  <c r="R21" i="822"/>
  <c r="S21" i="822"/>
  <c r="T21" i="822"/>
  <c r="U21" i="822"/>
  <c r="V21" i="822"/>
  <c r="W21" i="822"/>
  <c r="X21" i="822"/>
  <c r="Y21" i="822"/>
  <c r="Z21" i="822"/>
  <c r="R22" i="822"/>
  <c r="S22" i="822"/>
  <c r="T22" i="822"/>
  <c r="U22" i="822"/>
  <c r="V22" i="822"/>
  <c r="W22" i="822"/>
  <c r="X22" i="822"/>
  <c r="Y22" i="822"/>
  <c r="Z22" i="822"/>
  <c r="R23" i="822"/>
  <c r="S23" i="822"/>
  <c r="T23" i="822"/>
  <c r="U23" i="822"/>
  <c r="V23" i="822"/>
  <c r="W23" i="822"/>
  <c r="X23" i="822"/>
  <c r="Y23" i="822"/>
  <c r="Z23" i="822"/>
  <c r="R24" i="822"/>
  <c r="S24" i="822"/>
  <c r="T24" i="822"/>
  <c r="U24" i="822"/>
  <c r="V24" i="822"/>
  <c r="W24" i="822"/>
  <c r="X24" i="822"/>
  <c r="Y24" i="822"/>
  <c r="Z24" i="822"/>
  <c r="C10" i="822"/>
  <c r="D10" i="822"/>
  <c r="E10" i="822"/>
  <c r="F10" i="822"/>
  <c r="G10" i="822"/>
  <c r="I10" i="822"/>
  <c r="J10" i="822"/>
  <c r="K10" i="822"/>
  <c r="L10" i="822"/>
  <c r="M10" i="822"/>
  <c r="N10" i="822"/>
  <c r="O10" i="822"/>
  <c r="C11" i="822"/>
  <c r="D11" i="822"/>
  <c r="E11" i="822"/>
  <c r="F11" i="822"/>
  <c r="G11" i="822"/>
  <c r="I11" i="822"/>
  <c r="J11" i="822"/>
  <c r="K11" i="822"/>
  <c r="L11" i="822"/>
  <c r="M11" i="822"/>
  <c r="N11" i="822"/>
  <c r="O11" i="822"/>
  <c r="C12" i="822"/>
  <c r="D12" i="822"/>
  <c r="E12" i="822"/>
  <c r="F12" i="822"/>
  <c r="G12" i="822"/>
  <c r="I12" i="822"/>
  <c r="J12" i="822"/>
  <c r="K12" i="822"/>
  <c r="L12" i="822"/>
  <c r="M12" i="822"/>
  <c r="N12" i="822"/>
  <c r="O12" i="822"/>
  <c r="C13" i="822"/>
  <c r="D13" i="822"/>
  <c r="E13" i="822"/>
  <c r="F13" i="822"/>
  <c r="G13" i="822"/>
  <c r="I13" i="822"/>
  <c r="J13" i="822"/>
  <c r="K13" i="822"/>
  <c r="L13" i="822"/>
  <c r="M13" i="822"/>
  <c r="N13" i="822"/>
  <c r="O13" i="822"/>
  <c r="C14" i="822"/>
  <c r="D14" i="822"/>
  <c r="E14" i="822"/>
  <c r="F14" i="822"/>
  <c r="G14" i="822"/>
  <c r="I14" i="822"/>
  <c r="J14" i="822"/>
  <c r="K14" i="822"/>
  <c r="L14" i="822"/>
  <c r="M14" i="822"/>
  <c r="N14" i="822"/>
  <c r="O14" i="822"/>
  <c r="C15" i="822"/>
  <c r="D15" i="822"/>
  <c r="E15" i="822"/>
  <c r="F15" i="822"/>
  <c r="G15" i="822"/>
  <c r="I15" i="822"/>
  <c r="J15" i="822"/>
  <c r="K15" i="822"/>
  <c r="L15" i="822"/>
  <c r="M15" i="822"/>
  <c r="N15" i="822"/>
  <c r="O15" i="822"/>
  <c r="C16" i="822"/>
  <c r="D16" i="822"/>
  <c r="E16" i="822"/>
  <c r="F16" i="822"/>
  <c r="G16" i="822"/>
  <c r="I16" i="822"/>
  <c r="J16" i="822"/>
  <c r="K16" i="822"/>
  <c r="L16" i="822"/>
  <c r="M16" i="822"/>
  <c r="N16" i="822"/>
  <c r="O16" i="822"/>
  <c r="C17" i="822"/>
  <c r="D17" i="822"/>
  <c r="E17" i="822"/>
  <c r="F17" i="822"/>
  <c r="G17" i="822"/>
  <c r="I17" i="822"/>
  <c r="J17" i="822"/>
  <c r="K17" i="822"/>
  <c r="L17" i="822"/>
  <c r="M17" i="822"/>
  <c r="N17" i="822"/>
  <c r="O17" i="822"/>
  <c r="C18" i="822"/>
  <c r="D18" i="822"/>
  <c r="E18" i="822"/>
  <c r="F18" i="822"/>
  <c r="G18" i="822"/>
  <c r="I18" i="822"/>
  <c r="J18" i="822"/>
  <c r="K18" i="822"/>
  <c r="L18" i="822"/>
  <c r="M18" i="822"/>
  <c r="N18" i="822"/>
  <c r="O18" i="822"/>
  <c r="C19" i="822"/>
  <c r="D19" i="822"/>
  <c r="E19" i="822"/>
  <c r="F19" i="822"/>
  <c r="G19" i="822"/>
  <c r="I19" i="822"/>
  <c r="J19" i="822"/>
  <c r="K19" i="822"/>
  <c r="L19" i="822"/>
  <c r="M19" i="822"/>
  <c r="N19" i="822"/>
  <c r="O19" i="822"/>
  <c r="F71" i="822"/>
  <c r="L61" i="822"/>
  <c r="AX57" i="822"/>
  <c r="AW57" i="822"/>
  <c r="AV57" i="822"/>
  <c r="AU57" i="822"/>
  <c r="AT57" i="822"/>
  <c r="AS57" i="822"/>
  <c r="AR57" i="822"/>
  <c r="AQ57" i="822"/>
  <c r="AP57" i="822"/>
  <c r="AO57" i="822"/>
  <c r="AN57" i="822"/>
  <c r="AM57" i="822"/>
  <c r="AL57" i="822"/>
  <c r="AK57" i="822"/>
  <c r="AJ57" i="822"/>
  <c r="AI57" i="822"/>
  <c r="AH57" i="822"/>
  <c r="AG57" i="822"/>
  <c r="AF57" i="822"/>
  <c r="AE57" i="822"/>
  <c r="AD57" i="822"/>
  <c r="AC57" i="822"/>
  <c r="AB57" i="822"/>
  <c r="K52" i="822"/>
  <c r="D50" i="822"/>
  <c r="M37" i="822"/>
  <c r="M36" i="822"/>
  <c r="M35" i="822"/>
  <c r="K34" i="822"/>
  <c r="M33" i="822"/>
  <c r="Z32" i="822"/>
  <c r="Y32" i="822"/>
  <c r="X32" i="822"/>
  <c r="W32" i="822"/>
  <c r="V32" i="822"/>
  <c r="U32" i="822"/>
  <c r="T32" i="822"/>
  <c r="S32" i="822"/>
  <c r="R32" i="822"/>
  <c r="Z31" i="822"/>
  <c r="Y31" i="822"/>
  <c r="X31" i="822"/>
  <c r="W31" i="822"/>
  <c r="V31" i="822"/>
  <c r="U31" i="822"/>
  <c r="T31" i="822"/>
  <c r="S31" i="822"/>
  <c r="R31" i="822"/>
  <c r="M31" i="822"/>
  <c r="Z30" i="822"/>
  <c r="Y30" i="822"/>
  <c r="X30" i="822"/>
  <c r="W30" i="822"/>
  <c r="V30" i="822"/>
  <c r="U30" i="822"/>
  <c r="T30" i="822"/>
  <c r="S30" i="822"/>
  <c r="R30" i="822"/>
  <c r="Z29" i="822"/>
  <c r="Y29" i="822"/>
  <c r="X29" i="822"/>
  <c r="W29" i="822"/>
  <c r="V29" i="822"/>
  <c r="U29" i="822"/>
  <c r="T29" i="822"/>
  <c r="S29" i="822"/>
  <c r="R29" i="822"/>
  <c r="M29" i="822"/>
  <c r="Z28" i="822"/>
  <c r="Z27" i="822"/>
  <c r="Y27" i="822"/>
  <c r="X27" i="822"/>
  <c r="W27" i="822"/>
  <c r="V27" i="822"/>
  <c r="U27" i="822"/>
  <c r="T27" i="822"/>
  <c r="S27" i="822"/>
  <c r="R27" i="822"/>
  <c r="Z26" i="822"/>
  <c r="Y26" i="822"/>
  <c r="X26" i="822"/>
  <c r="W26" i="822"/>
  <c r="V26" i="822"/>
  <c r="U26" i="822"/>
  <c r="T26" i="822"/>
  <c r="S26" i="822"/>
  <c r="R26" i="822"/>
  <c r="Z25" i="822"/>
  <c r="Y25" i="822"/>
  <c r="X25" i="822"/>
  <c r="W25" i="822"/>
  <c r="V25" i="822"/>
  <c r="U25" i="822"/>
  <c r="T25" i="822"/>
  <c r="S25" i="822"/>
  <c r="R25" i="822"/>
  <c r="M27" i="821"/>
  <c r="L27" i="821"/>
  <c r="K27" i="821"/>
  <c r="K33" i="821"/>
  <c r="B27" i="821"/>
  <c r="X27" i="821" s="1"/>
  <c r="C16" i="821"/>
  <c r="D16" i="821"/>
  <c r="E16" i="821"/>
  <c r="F16" i="821"/>
  <c r="G16" i="821"/>
  <c r="I16" i="821"/>
  <c r="J16" i="821"/>
  <c r="K16" i="821"/>
  <c r="L16" i="821"/>
  <c r="M16" i="821"/>
  <c r="N16" i="821"/>
  <c r="O16" i="821"/>
  <c r="C17" i="821"/>
  <c r="D17" i="821"/>
  <c r="E17" i="821"/>
  <c r="F17" i="821"/>
  <c r="G17" i="821"/>
  <c r="I17" i="821"/>
  <c r="J17" i="821"/>
  <c r="K17" i="821"/>
  <c r="L17" i="821"/>
  <c r="M17" i="821"/>
  <c r="N17" i="821"/>
  <c r="O17" i="821"/>
  <c r="C18" i="821"/>
  <c r="D18" i="821"/>
  <c r="E18" i="821"/>
  <c r="F18" i="821"/>
  <c r="G18" i="821"/>
  <c r="I18" i="821"/>
  <c r="J18" i="821"/>
  <c r="K18" i="821"/>
  <c r="L18" i="821"/>
  <c r="M18" i="821"/>
  <c r="N18" i="821"/>
  <c r="O18" i="821"/>
  <c r="R11" i="821"/>
  <c r="S11" i="821"/>
  <c r="T11" i="821"/>
  <c r="U11" i="821"/>
  <c r="V11" i="821"/>
  <c r="W11" i="821"/>
  <c r="X11" i="821"/>
  <c r="Y11" i="821"/>
  <c r="Z11" i="821"/>
  <c r="R12" i="821"/>
  <c r="S12" i="821"/>
  <c r="T12" i="821"/>
  <c r="U12" i="821"/>
  <c r="V12" i="821"/>
  <c r="W12" i="821"/>
  <c r="X12" i="821"/>
  <c r="Y12" i="821"/>
  <c r="Z12" i="821"/>
  <c r="R13" i="821"/>
  <c r="S13" i="821"/>
  <c r="T13" i="821"/>
  <c r="U13" i="821"/>
  <c r="V13" i="821"/>
  <c r="W13" i="821"/>
  <c r="X13" i="821"/>
  <c r="Y13" i="821"/>
  <c r="Z13" i="821"/>
  <c r="R14" i="821"/>
  <c r="S14" i="821"/>
  <c r="T14" i="821"/>
  <c r="U14" i="821"/>
  <c r="V14" i="821"/>
  <c r="W14" i="821"/>
  <c r="X14" i="821"/>
  <c r="Y14" i="821"/>
  <c r="Z14" i="821"/>
  <c r="R15" i="821"/>
  <c r="S15" i="821"/>
  <c r="T15" i="821"/>
  <c r="U15" i="821"/>
  <c r="V15" i="821"/>
  <c r="W15" i="821"/>
  <c r="X15" i="821"/>
  <c r="Y15" i="821"/>
  <c r="Z15" i="821"/>
  <c r="C12" i="821"/>
  <c r="D12" i="821"/>
  <c r="E12" i="821"/>
  <c r="F12" i="821"/>
  <c r="G12" i="821"/>
  <c r="I12" i="821"/>
  <c r="J12" i="821"/>
  <c r="L12" i="821"/>
  <c r="M12" i="821"/>
  <c r="N12" i="821"/>
  <c r="O12" i="821"/>
  <c r="C13" i="821"/>
  <c r="D13" i="821"/>
  <c r="E13" i="821"/>
  <c r="F13" i="821"/>
  <c r="G13" i="821"/>
  <c r="I13" i="821"/>
  <c r="J13" i="821"/>
  <c r="L13" i="821"/>
  <c r="M13" i="821"/>
  <c r="N13" i="821"/>
  <c r="O13" i="821"/>
  <c r="C14" i="821"/>
  <c r="D14" i="821"/>
  <c r="E14" i="821"/>
  <c r="F14" i="821"/>
  <c r="G14" i="821"/>
  <c r="L14" i="821"/>
  <c r="M14" i="821"/>
  <c r="N14" i="821"/>
  <c r="O14" i="821"/>
  <c r="C10" i="821"/>
  <c r="D10" i="821"/>
  <c r="E10" i="821"/>
  <c r="F10" i="821"/>
  <c r="G10" i="821"/>
  <c r="I10" i="821"/>
  <c r="J10" i="821"/>
  <c r="L10" i="821"/>
  <c r="M10" i="821"/>
  <c r="N10" i="821"/>
  <c r="O10" i="821"/>
  <c r="C11" i="821"/>
  <c r="D11" i="821"/>
  <c r="E11" i="821"/>
  <c r="F11" i="821"/>
  <c r="G11" i="821"/>
  <c r="I11" i="821"/>
  <c r="J11" i="821"/>
  <c r="L11" i="821"/>
  <c r="M11" i="821"/>
  <c r="N11" i="821"/>
  <c r="O11" i="821"/>
  <c r="B56" i="821"/>
  <c r="F70" i="821"/>
  <c r="L60" i="821"/>
  <c r="AX56" i="821"/>
  <c r="AW56" i="821"/>
  <c r="AV56" i="821"/>
  <c r="AU56" i="821"/>
  <c r="AT56" i="821"/>
  <c r="AS56" i="821"/>
  <c r="AR56" i="821"/>
  <c r="AQ56" i="821"/>
  <c r="AP56" i="821"/>
  <c r="AO56" i="821"/>
  <c r="AN56" i="821"/>
  <c r="AM56" i="821"/>
  <c r="AL56" i="821"/>
  <c r="AK56" i="821"/>
  <c r="AJ56" i="821"/>
  <c r="AI56" i="821"/>
  <c r="AH56" i="821"/>
  <c r="AG56" i="821"/>
  <c r="AF56" i="821"/>
  <c r="AE56" i="821"/>
  <c r="AD56" i="821"/>
  <c r="AC56" i="821"/>
  <c r="AB56" i="821"/>
  <c r="D49" i="821"/>
  <c r="K51" i="821"/>
  <c r="M36" i="821"/>
  <c r="M35" i="821"/>
  <c r="M34" i="821"/>
  <c r="M32" i="821"/>
  <c r="Z31" i="821"/>
  <c r="Y31" i="821"/>
  <c r="X31" i="821"/>
  <c r="W31" i="821"/>
  <c r="V31" i="821"/>
  <c r="U31" i="821"/>
  <c r="T31" i="821"/>
  <c r="S31" i="821"/>
  <c r="R31" i="821"/>
  <c r="Z30" i="821"/>
  <c r="Y30" i="821"/>
  <c r="X30" i="821"/>
  <c r="W30" i="821"/>
  <c r="V30" i="821"/>
  <c r="U30" i="821"/>
  <c r="T30" i="821"/>
  <c r="S30" i="821"/>
  <c r="R30" i="821"/>
  <c r="M30" i="821"/>
  <c r="Z29" i="821"/>
  <c r="Y29" i="821"/>
  <c r="X29" i="821"/>
  <c r="W29" i="821"/>
  <c r="V29" i="821"/>
  <c r="U29" i="821"/>
  <c r="T29" i="821"/>
  <c r="S29" i="821"/>
  <c r="R29" i="821"/>
  <c r="Z28" i="821"/>
  <c r="Y28" i="821"/>
  <c r="X28" i="821"/>
  <c r="W28" i="821"/>
  <c r="V28" i="821"/>
  <c r="U28" i="821"/>
  <c r="T28" i="821"/>
  <c r="S28" i="821"/>
  <c r="R28" i="821"/>
  <c r="M28" i="821"/>
  <c r="Z26" i="821"/>
  <c r="Y26" i="821"/>
  <c r="X26" i="821"/>
  <c r="W26" i="821"/>
  <c r="V26" i="821"/>
  <c r="U26" i="821"/>
  <c r="T26" i="821"/>
  <c r="S26" i="821"/>
  <c r="R26" i="821"/>
  <c r="Z25" i="821"/>
  <c r="Y25" i="821"/>
  <c r="X25" i="821"/>
  <c r="W25" i="821"/>
  <c r="V25" i="821"/>
  <c r="U25" i="821"/>
  <c r="T25" i="821"/>
  <c r="S25" i="821"/>
  <c r="R25" i="821"/>
  <c r="Z24" i="821"/>
  <c r="Y24" i="821"/>
  <c r="X24" i="821"/>
  <c r="W24" i="821"/>
  <c r="V24" i="821"/>
  <c r="U24" i="821"/>
  <c r="T24" i="821"/>
  <c r="S24" i="821"/>
  <c r="R24" i="821"/>
  <c r="Z23" i="821"/>
  <c r="Y23" i="821"/>
  <c r="X23" i="821"/>
  <c r="W23" i="821"/>
  <c r="V23" i="821"/>
  <c r="U23" i="821"/>
  <c r="T23" i="821"/>
  <c r="S23" i="821"/>
  <c r="R23" i="821"/>
  <c r="Z22" i="821"/>
  <c r="Y22" i="821"/>
  <c r="X22" i="821"/>
  <c r="W22" i="821"/>
  <c r="V22" i="821"/>
  <c r="U22" i="821"/>
  <c r="T22" i="821"/>
  <c r="S22" i="821"/>
  <c r="R22" i="821"/>
  <c r="Z21" i="821"/>
  <c r="Y21" i="821"/>
  <c r="X21" i="821"/>
  <c r="W21" i="821"/>
  <c r="V21" i="821"/>
  <c r="U21" i="821"/>
  <c r="T21" i="821"/>
  <c r="S21" i="821"/>
  <c r="R21" i="821"/>
  <c r="Z20" i="821"/>
  <c r="Y20" i="821"/>
  <c r="X20" i="821"/>
  <c r="W20" i="821"/>
  <c r="V20" i="821"/>
  <c r="U20" i="821"/>
  <c r="T20" i="821"/>
  <c r="S20" i="821"/>
  <c r="R20" i="821"/>
  <c r="Z10" i="821"/>
  <c r="Y10" i="821"/>
  <c r="X10" i="821"/>
  <c r="W10" i="821"/>
  <c r="V10" i="821"/>
  <c r="U10" i="821"/>
  <c r="T10" i="821"/>
  <c r="S10" i="821"/>
  <c r="R10" i="821"/>
  <c r="Z19" i="821"/>
  <c r="Y19" i="821"/>
  <c r="X19" i="821"/>
  <c r="W19" i="821"/>
  <c r="V19" i="821"/>
  <c r="U19" i="821"/>
  <c r="T19" i="821"/>
  <c r="S19" i="821"/>
  <c r="R19" i="821"/>
  <c r="Z18" i="821"/>
  <c r="Y18" i="821"/>
  <c r="X18" i="821"/>
  <c r="W18" i="821"/>
  <c r="V18" i="821"/>
  <c r="U18" i="821"/>
  <c r="T18" i="821"/>
  <c r="S18" i="821"/>
  <c r="R18" i="821"/>
  <c r="Z17" i="821"/>
  <c r="Y17" i="821"/>
  <c r="X17" i="821"/>
  <c r="W17" i="821"/>
  <c r="V17" i="821"/>
  <c r="U17" i="821"/>
  <c r="T17" i="821"/>
  <c r="S17" i="821"/>
  <c r="R17" i="821"/>
  <c r="Z16" i="821"/>
  <c r="Y16" i="821"/>
  <c r="X16" i="821"/>
  <c r="W16" i="821"/>
  <c r="V16" i="821"/>
  <c r="U16" i="821"/>
  <c r="T16" i="821"/>
  <c r="S16" i="821"/>
  <c r="R16" i="821"/>
  <c r="B58" i="819"/>
  <c r="R15" i="819"/>
  <c r="S15" i="819"/>
  <c r="T15" i="819"/>
  <c r="U15" i="819"/>
  <c r="V15" i="819"/>
  <c r="W15" i="819"/>
  <c r="X15" i="819"/>
  <c r="Y15" i="819"/>
  <c r="Z15" i="819"/>
  <c r="R16" i="819"/>
  <c r="S16" i="819"/>
  <c r="T16" i="819"/>
  <c r="U16" i="819"/>
  <c r="V16" i="819"/>
  <c r="W16" i="819"/>
  <c r="X16" i="819"/>
  <c r="Y16" i="819"/>
  <c r="Z16" i="819"/>
  <c r="R17" i="819"/>
  <c r="S17" i="819"/>
  <c r="T17" i="819"/>
  <c r="U17" i="819"/>
  <c r="V17" i="819"/>
  <c r="W17" i="819"/>
  <c r="X17" i="819"/>
  <c r="Y17" i="819"/>
  <c r="Z17" i="819"/>
  <c r="R18" i="819"/>
  <c r="S18" i="819"/>
  <c r="T18" i="819"/>
  <c r="U18" i="819"/>
  <c r="V18" i="819"/>
  <c r="W18" i="819"/>
  <c r="X18" i="819"/>
  <c r="Y18" i="819"/>
  <c r="Z18" i="819"/>
  <c r="R19" i="819"/>
  <c r="S19" i="819"/>
  <c r="T19" i="819"/>
  <c r="U19" i="819"/>
  <c r="V19" i="819"/>
  <c r="W19" i="819"/>
  <c r="X19" i="819"/>
  <c r="Y19" i="819"/>
  <c r="Z19" i="819"/>
  <c r="R20" i="819"/>
  <c r="S20" i="819"/>
  <c r="T20" i="819"/>
  <c r="U20" i="819"/>
  <c r="V20" i="819"/>
  <c r="W20" i="819"/>
  <c r="X20" i="819"/>
  <c r="Y20" i="819"/>
  <c r="Z20" i="819"/>
  <c r="R21" i="819"/>
  <c r="S21" i="819"/>
  <c r="T21" i="819"/>
  <c r="U21" i="819"/>
  <c r="V21" i="819"/>
  <c r="W21" i="819"/>
  <c r="X21" i="819"/>
  <c r="Y21" i="819"/>
  <c r="Z21" i="819"/>
  <c r="R22" i="819"/>
  <c r="S22" i="819"/>
  <c r="T22" i="819"/>
  <c r="U22" i="819"/>
  <c r="V22" i="819"/>
  <c r="W22" i="819"/>
  <c r="X22" i="819"/>
  <c r="Y22" i="819"/>
  <c r="Z22" i="819"/>
  <c r="R23" i="819"/>
  <c r="S23" i="819"/>
  <c r="T23" i="819"/>
  <c r="U23" i="819"/>
  <c r="V23" i="819"/>
  <c r="W23" i="819"/>
  <c r="X23" i="819"/>
  <c r="Y23" i="819"/>
  <c r="Z23" i="819"/>
  <c r="R24" i="819"/>
  <c r="S24" i="819"/>
  <c r="T24" i="819"/>
  <c r="U24" i="819"/>
  <c r="V24" i="819"/>
  <c r="W24" i="819"/>
  <c r="X24" i="819"/>
  <c r="Y24" i="819"/>
  <c r="Z24" i="819"/>
  <c r="R25" i="819"/>
  <c r="S25" i="819"/>
  <c r="T25" i="819"/>
  <c r="U25" i="819"/>
  <c r="V25" i="819"/>
  <c r="W25" i="819"/>
  <c r="X25" i="819"/>
  <c r="Y25" i="819"/>
  <c r="Z25" i="819"/>
  <c r="R26" i="819"/>
  <c r="S26" i="819"/>
  <c r="T26" i="819"/>
  <c r="U26" i="819"/>
  <c r="V26" i="819"/>
  <c r="W26" i="819"/>
  <c r="X26" i="819"/>
  <c r="Y26" i="819"/>
  <c r="Z26" i="819"/>
  <c r="R27" i="819"/>
  <c r="S27" i="819"/>
  <c r="T27" i="819"/>
  <c r="U27" i="819"/>
  <c r="V27" i="819"/>
  <c r="W27" i="819"/>
  <c r="X27" i="819"/>
  <c r="Y27" i="819"/>
  <c r="Z27" i="819"/>
  <c r="R28" i="819"/>
  <c r="S28" i="819"/>
  <c r="T28" i="819"/>
  <c r="U28" i="819"/>
  <c r="V28" i="819"/>
  <c r="W28" i="819"/>
  <c r="X28" i="819"/>
  <c r="Y28" i="819"/>
  <c r="Z28" i="819"/>
  <c r="R29" i="819"/>
  <c r="S29" i="819"/>
  <c r="T29" i="819"/>
  <c r="U29" i="819"/>
  <c r="V29" i="819"/>
  <c r="W29" i="819"/>
  <c r="X29" i="819"/>
  <c r="Y29" i="819"/>
  <c r="Z29" i="819"/>
  <c r="R30" i="819"/>
  <c r="S30" i="819"/>
  <c r="T30" i="819"/>
  <c r="U30" i="819"/>
  <c r="V30" i="819"/>
  <c r="W30" i="819"/>
  <c r="X30" i="819"/>
  <c r="Y30" i="819"/>
  <c r="Z30" i="819"/>
  <c r="R31" i="819"/>
  <c r="S31" i="819"/>
  <c r="T31" i="819"/>
  <c r="U31" i="819"/>
  <c r="V31" i="819"/>
  <c r="W31" i="819"/>
  <c r="X31" i="819"/>
  <c r="Y31" i="819"/>
  <c r="Z31" i="819"/>
  <c r="R32" i="819"/>
  <c r="S32" i="819"/>
  <c r="T32" i="819"/>
  <c r="U32" i="819"/>
  <c r="V32" i="819"/>
  <c r="W32" i="819"/>
  <c r="X32" i="819"/>
  <c r="Y32" i="819"/>
  <c r="Z32" i="819"/>
  <c r="R33" i="819"/>
  <c r="S33" i="819"/>
  <c r="T33" i="819"/>
  <c r="U33" i="819"/>
  <c r="V33" i="819"/>
  <c r="W33" i="819"/>
  <c r="X33" i="819"/>
  <c r="Y33" i="819"/>
  <c r="Z33" i="819"/>
  <c r="M29" i="819"/>
  <c r="L29" i="819"/>
  <c r="K29" i="819"/>
  <c r="M36" i="819"/>
  <c r="L35" i="819"/>
  <c r="K35" i="819"/>
  <c r="C18" i="819"/>
  <c r="D18" i="819"/>
  <c r="E18" i="819"/>
  <c r="F18" i="819"/>
  <c r="G18" i="819"/>
  <c r="I18" i="819"/>
  <c r="J18" i="819"/>
  <c r="L18" i="819"/>
  <c r="M18" i="819"/>
  <c r="N18" i="819"/>
  <c r="O18" i="819"/>
  <c r="C19" i="819"/>
  <c r="D19" i="819"/>
  <c r="E19" i="819"/>
  <c r="F19" i="819"/>
  <c r="G19" i="819"/>
  <c r="I19" i="819"/>
  <c r="J19" i="819"/>
  <c r="L19" i="819"/>
  <c r="M19" i="819"/>
  <c r="N19" i="819"/>
  <c r="O19" i="819"/>
  <c r="K43" i="819"/>
  <c r="O17" i="819"/>
  <c r="N17" i="819"/>
  <c r="M17" i="819"/>
  <c r="L17" i="819"/>
  <c r="J17" i="819"/>
  <c r="I17" i="819"/>
  <c r="G17" i="819"/>
  <c r="F17" i="819"/>
  <c r="E17" i="819"/>
  <c r="D17" i="819"/>
  <c r="C17" i="819"/>
  <c r="L49" i="831" l="1"/>
  <c r="J20" i="830"/>
  <c r="J38" i="823"/>
  <c r="J26" i="824"/>
  <c r="J30" i="828"/>
  <c r="J35" i="819"/>
  <c r="J29" i="828"/>
  <c r="J37" i="823"/>
  <c r="J27" i="826"/>
  <c r="J28" i="822"/>
  <c r="J27" i="821"/>
  <c r="J35" i="827"/>
  <c r="Z36" i="832"/>
  <c r="U36" i="832"/>
  <c r="V36" i="832"/>
  <c r="Y36" i="832"/>
  <c r="S36" i="832"/>
  <c r="W36" i="832"/>
  <c r="X36" i="832"/>
  <c r="T36" i="832"/>
  <c r="U32" i="831"/>
  <c r="X32" i="831"/>
  <c r="R20" i="831"/>
  <c r="T20" i="831"/>
  <c r="U20" i="831"/>
  <c r="L53" i="831"/>
  <c r="C59" i="831" s="1"/>
  <c r="R32" i="831"/>
  <c r="S32" i="831"/>
  <c r="T32" i="831"/>
  <c r="X20" i="831"/>
  <c r="Y32" i="831"/>
  <c r="J30" i="825"/>
  <c r="K30" i="831"/>
  <c r="S20" i="831"/>
  <c r="V20" i="831"/>
  <c r="W20" i="831"/>
  <c r="Y20" i="831"/>
  <c r="K29" i="830"/>
  <c r="R19" i="830"/>
  <c r="S19" i="830"/>
  <c r="V19" i="830"/>
  <c r="W19" i="830"/>
  <c r="X19" i="830"/>
  <c r="K39" i="829"/>
  <c r="S29" i="828"/>
  <c r="X29" i="828"/>
  <c r="K39" i="828"/>
  <c r="R29" i="828"/>
  <c r="V29" i="828"/>
  <c r="T35" i="827"/>
  <c r="K45" i="827"/>
  <c r="R35" i="827"/>
  <c r="S35" i="827"/>
  <c r="V35" i="827"/>
  <c r="W35" i="827"/>
  <c r="U35" i="827"/>
  <c r="X35" i="827"/>
  <c r="Y35" i="827"/>
  <c r="K37" i="826"/>
  <c r="K37" i="825"/>
  <c r="K35" i="824"/>
  <c r="K47" i="823"/>
  <c r="Z37" i="823"/>
  <c r="R37" i="823"/>
  <c r="S37" i="823"/>
  <c r="U37" i="823"/>
  <c r="V37" i="823"/>
  <c r="W37" i="823"/>
  <c r="X37" i="823"/>
  <c r="Y37" i="823"/>
  <c r="K38" i="822"/>
  <c r="S28" i="822"/>
  <c r="T28" i="822"/>
  <c r="W28" i="822"/>
  <c r="R28" i="822"/>
  <c r="V28" i="822"/>
  <c r="U28" i="822"/>
  <c r="X28" i="822"/>
  <c r="Y28" i="822"/>
  <c r="Y27" i="821"/>
  <c r="Z27" i="821"/>
  <c r="R27" i="821"/>
  <c r="S27" i="821"/>
  <c r="T27" i="821"/>
  <c r="U27" i="821"/>
  <c r="V27" i="821"/>
  <c r="W27" i="821"/>
  <c r="K37" i="821"/>
  <c r="R10" i="819"/>
  <c r="S10" i="819"/>
  <c r="T10" i="819"/>
  <c r="U10" i="819"/>
  <c r="V10" i="819"/>
  <c r="W10" i="819"/>
  <c r="X10" i="819"/>
  <c r="Y10" i="819"/>
  <c r="Z10" i="819"/>
  <c r="R11" i="819"/>
  <c r="S11" i="819"/>
  <c r="T11" i="819"/>
  <c r="U11" i="819"/>
  <c r="V11" i="819"/>
  <c r="W11" i="819"/>
  <c r="X11" i="819"/>
  <c r="Y11" i="819"/>
  <c r="Z11" i="819"/>
  <c r="C14" i="819"/>
  <c r="D14" i="819"/>
  <c r="E14" i="819"/>
  <c r="F14" i="819"/>
  <c r="G14" i="819"/>
  <c r="I14" i="819"/>
  <c r="J14" i="819"/>
  <c r="K14" i="819"/>
  <c r="L14" i="819"/>
  <c r="M14" i="819"/>
  <c r="N14" i="819"/>
  <c r="O14" i="819"/>
  <c r="C15" i="819"/>
  <c r="D15" i="819"/>
  <c r="E15" i="819"/>
  <c r="F15" i="819"/>
  <c r="G15" i="819"/>
  <c r="I15" i="819"/>
  <c r="J15" i="819"/>
  <c r="K15" i="819"/>
  <c r="L15" i="819"/>
  <c r="M15" i="819"/>
  <c r="N15" i="819"/>
  <c r="O15" i="819"/>
  <c r="C10" i="819"/>
  <c r="D10" i="819"/>
  <c r="E10" i="819"/>
  <c r="F10" i="819"/>
  <c r="G10" i="819"/>
  <c r="I10" i="819"/>
  <c r="J10" i="819"/>
  <c r="K10" i="819"/>
  <c r="L10" i="819"/>
  <c r="M10" i="819"/>
  <c r="N10" i="819"/>
  <c r="O10" i="819"/>
  <c r="C11" i="819"/>
  <c r="D11" i="819"/>
  <c r="E11" i="819"/>
  <c r="F11" i="819"/>
  <c r="G11" i="819"/>
  <c r="I11" i="819"/>
  <c r="J11" i="819"/>
  <c r="K11" i="819"/>
  <c r="L11" i="819"/>
  <c r="M11" i="819"/>
  <c r="N11" i="819"/>
  <c r="O11" i="819"/>
  <c r="C12" i="819"/>
  <c r="D12" i="819"/>
  <c r="E12" i="819"/>
  <c r="F12" i="819"/>
  <c r="G12" i="819"/>
  <c r="I12" i="819"/>
  <c r="J12" i="819"/>
  <c r="K12" i="819"/>
  <c r="L12" i="819"/>
  <c r="M12" i="819"/>
  <c r="N12" i="819"/>
  <c r="O12" i="819"/>
  <c r="C13" i="819"/>
  <c r="D13" i="819"/>
  <c r="E13" i="819"/>
  <c r="F13" i="819"/>
  <c r="G13" i="819"/>
  <c r="I13" i="819"/>
  <c r="J13" i="819"/>
  <c r="K13" i="819"/>
  <c r="L13" i="819"/>
  <c r="M13" i="819"/>
  <c r="N13" i="819"/>
  <c r="O13" i="819"/>
  <c r="J64" i="18"/>
  <c r="J63" i="18"/>
  <c r="J61" i="18"/>
  <c r="J60" i="18"/>
  <c r="G64" i="18"/>
  <c r="G63" i="18"/>
  <c r="G60" i="18"/>
  <c r="D64" i="18"/>
  <c r="D63" i="18"/>
  <c r="D60" i="18"/>
  <c r="D57" i="18"/>
  <c r="R11" i="820"/>
  <c r="S11" i="820"/>
  <c r="T11" i="820"/>
  <c r="U11" i="820"/>
  <c r="V11" i="820"/>
  <c r="W11" i="820"/>
  <c r="X11" i="820"/>
  <c r="Y11" i="820"/>
  <c r="Z11" i="820"/>
  <c r="R12" i="820"/>
  <c r="S12" i="820"/>
  <c r="T12" i="820"/>
  <c r="U12" i="820"/>
  <c r="V12" i="820"/>
  <c r="W12" i="820"/>
  <c r="X12" i="820"/>
  <c r="Y12" i="820"/>
  <c r="Z12" i="820"/>
  <c r="R13" i="820"/>
  <c r="S13" i="820"/>
  <c r="T13" i="820"/>
  <c r="U13" i="820"/>
  <c r="V13" i="820"/>
  <c r="W13" i="820"/>
  <c r="X13" i="820"/>
  <c r="Y13" i="820"/>
  <c r="Z13" i="820"/>
  <c r="R14" i="820"/>
  <c r="S14" i="820"/>
  <c r="T14" i="820"/>
  <c r="U14" i="820"/>
  <c r="V14" i="820"/>
  <c r="W14" i="820"/>
  <c r="X14" i="820"/>
  <c r="Y14" i="820"/>
  <c r="Z14" i="820"/>
  <c r="R15" i="820"/>
  <c r="S15" i="820"/>
  <c r="T15" i="820"/>
  <c r="U15" i="820"/>
  <c r="V15" i="820"/>
  <c r="W15" i="820"/>
  <c r="X15" i="820"/>
  <c r="Y15" i="820"/>
  <c r="Z15" i="820"/>
  <c r="R16" i="820"/>
  <c r="S16" i="820"/>
  <c r="T16" i="820"/>
  <c r="U16" i="820"/>
  <c r="V16" i="820"/>
  <c r="W16" i="820"/>
  <c r="X16" i="820"/>
  <c r="Y16" i="820"/>
  <c r="Z16" i="820"/>
  <c r="R17" i="820"/>
  <c r="S17" i="820"/>
  <c r="T17" i="820"/>
  <c r="U17" i="820"/>
  <c r="V17" i="820"/>
  <c r="W17" i="820"/>
  <c r="X17" i="820"/>
  <c r="Y17" i="820"/>
  <c r="Z17" i="820"/>
  <c r="R18" i="820"/>
  <c r="S18" i="820"/>
  <c r="T18" i="820"/>
  <c r="U18" i="820"/>
  <c r="V18" i="820"/>
  <c r="W18" i="820"/>
  <c r="X18" i="820"/>
  <c r="Y18" i="820"/>
  <c r="Z18" i="820"/>
  <c r="R19" i="820"/>
  <c r="S19" i="820"/>
  <c r="T19" i="820"/>
  <c r="U19" i="820"/>
  <c r="V19" i="820"/>
  <c r="W19" i="820"/>
  <c r="X19" i="820"/>
  <c r="Y19" i="820"/>
  <c r="Z19" i="820"/>
  <c r="R20" i="820"/>
  <c r="S20" i="820"/>
  <c r="T20" i="820"/>
  <c r="U20" i="820"/>
  <c r="V20" i="820"/>
  <c r="W20" i="820"/>
  <c r="X20" i="820"/>
  <c r="Y20" i="820"/>
  <c r="Z20" i="820"/>
  <c r="C18" i="820"/>
  <c r="D18" i="820"/>
  <c r="E18" i="820"/>
  <c r="F18" i="820"/>
  <c r="G18" i="820"/>
  <c r="I18" i="820"/>
  <c r="J18" i="820"/>
  <c r="L18" i="820"/>
  <c r="M18" i="820"/>
  <c r="N18" i="820"/>
  <c r="O18" i="820"/>
  <c r="O11" i="820"/>
  <c r="O12" i="820"/>
  <c r="O13" i="820"/>
  <c r="O14" i="820"/>
  <c r="O15" i="820"/>
  <c r="O10" i="820"/>
  <c r="O17" i="820"/>
  <c r="N17" i="820"/>
  <c r="M17" i="820"/>
  <c r="L17" i="820"/>
  <c r="J17" i="820"/>
  <c r="I17" i="820"/>
  <c r="G17" i="820"/>
  <c r="F17" i="820"/>
  <c r="E17" i="820"/>
  <c r="D17" i="820"/>
  <c r="C17" i="820"/>
  <c r="M29" i="820"/>
  <c r="L29" i="820"/>
  <c r="K29" i="820"/>
  <c r="M28" i="820"/>
  <c r="L28" i="820"/>
  <c r="K28" i="820"/>
  <c r="C11" i="820"/>
  <c r="D11" i="820"/>
  <c r="E11" i="820"/>
  <c r="F11" i="820"/>
  <c r="G11" i="820"/>
  <c r="I11" i="820"/>
  <c r="J11" i="820"/>
  <c r="K11" i="820"/>
  <c r="L11" i="820"/>
  <c r="M11" i="820"/>
  <c r="N11" i="820"/>
  <c r="C12" i="820"/>
  <c r="D12" i="820"/>
  <c r="E12" i="820"/>
  <c r="F12" i="820"/>
  <c r="G12" i="820"/>
  <c r="I12" i="820"/>
  <c r="J12" i="820"/>
  <c r="K12" i="820"/>
  <c r="L12" i="820"/>
  <c r="M12" i="820"/>
  <c r="N12" i="820"/>
  <c r="C13" i="820"/>
  <c r="D13" i="820"/>
  <c r="E13" i="820"/>
  <c r="F13" i="820"/>
  <c r="G13" i="820"/>
  <c r="I13" i="820"/>
  <c r="J13" i="820"/>
  <c r="K13" i="820"/>
  <c r="L13" i="820"/>
  <c r="M13" i="820"/>
  <c r="N13" i="820"/>
  <c r="C14" i="820"/>
  <c r="D14" i="820"/>
  <c r="E14" i="820"/>
  <c r="F14" i="820"/>
  <c r="G14" i="820"/>
  <c r="I14" i="820"/>
  <c r="J14" i="820"/>
  <c r="K14" i="820"/>
  <c r="L14" i="820"/>
  <c r="M14" i="820"/>
  <c r="N14" i="820"/>
  <c r="C15" i="820"/>
  <c r="D15" i="820"/>
  <c r="E15" i="820"/>
  <c r="F15" i="820"/>
  <c r="G15" i="820"/>
  <c r="I15" i="820"/>
  <c r="J15" i="820"/>
  <c r="K15" i="820"/>
  <c r="L15" i="820"/>
  <c r="M15" i="820"/>
  <c r="N15" i="820"/>
  <c r="N10" i="820"/>
  <c r="M10" i="820"/>
  <c r="L10" i="820"/>
  <c r="K10" i="820"/>
  <c r="J10" i="820"/>
  <c r="I10" i="820"/>
  <c r="G10" i="820"/>
  <c r="F10" i="820"/>
  <c r="E10" i="820"/>
  <c r="D10" i="820"/>
  <c r="C10" i="820"/>
  <c r="J29" i="820" l="1"/>
  <c r="J28" i="820"/>
  <c r="J29" i="819"/>
  <c r="F71" i="820"/>
  <c r="L61" i="820"/>
  <c r="AX57" i="820"/>
  <c r="AW57" i="820"/>
  <c r="AV57" i="820"/>
  <c r="AU57" i="820"/>
  <c r="AT57" i="820"/>
  <c r="AS57" i="820"/>
  <c r="AR57" i="820"/>
  <c r="AQ57" i="820"/>
  <c r="AP57" i="820"/>
  <c r="AO57" i="820"/>
  <c r="AN57" i="820"/>
  <c r="AM57" i="820"/>
  <c r="AL57" i="820"/>
  <c r="AK57" i="820"/>
  <c r="AJ57" i="820"/>
  <c r="AI57" i="820"/>
  <c r="AH57" i="820"/>
  <c r="AG57" i="820"/>
  <c r="AF57" i="820"/>
  <c r="AE57" i="820"/>
  <c r="AD57" i="820"/>
  <c r="AC57" i="820"/>
  <c r="AB57" i="820"/>
  <c r="K52" i="820"/>
  <c r="L43" i="820" s="1"/>
  <c r="M43" i="820" s="1"/>
  <c r="D50" i="820"/>
  <c r="Z31" i="820"/>
  <c r="Y31" i="820"/>
  <c r="X31" i="820"/>
  <c r="W31" i="820"/>
  <c r="V31" i="820"/>
  <c r="U31" i="820"/>
  <c r="T31" i="820"/>
  <c r="S31" i="820"/>
  <c r="R31" i="820"/>
  <c r="Z30" i="820"/>
  <c r="Y30" i="820"/>
  <c r="X30" i="820"/>
  <c r="W30" i="820"/>
  <c r="V30" i="820"/>
  <c r="U30" i="820"/>
  <c r="T30" i="820"/>
  <c r="S30" i="820"/>
  <c r="R30" i="820"/>
  <c r="Z29" i="820"/>
  <c r="Y29" i="820"/>
  <c r="X29" i="820"/>
  <c r="W29" i="820"/>
  <c r="V29" i="820"/>
  <c r="U29" i="820"/>
  <c r="T29" i="820"/>
  <c r="S29" i="820"/>
  <c r="R29" i="820"/>
  <c r="T28" i="820"/>
  <c r="Z27" i="820"/>
  <c r="Y27" i="820"/>
  <c r="X27" i="820"/>
  <c r="W27" i="820"/>
  <c r="V27" i="820"/>
  <c r="U27" i="820"/>
  <c r="T27" i="820"/>
  <c r="S27" i="820"/>
  <c r="R27" i="820"/>
  <c r="Z26" i="820"/>
  <c r="Y26" i="820"/>
  <c r="X26" i="820"/>
  <c r="W26" i="820"/>
  <c r="V26" i="820"/>
  <c r="U26" i="820"/>
  <c r="T26" i="820"/>
  <c r="S26" i="820"/>
  <c r="R26" i="820"/>
  <c r="Z25" i="820"/>
  <c r="Y25" i="820"/>
  <c r="X25" i="820"/>
  <c r="W25" i="820"/>
  <c r="V25" i="820"/>
  <c r="U25" i="820"/>
  <c r="T25" i="820"/>
  <c r="S25" i="820"/>
  <c r="R25" i="820"/>
  <c r="Z24" i="820"/>
  <c r="Y24" i="820"/>
  <c r="X24" i="820"/>
  <c r="W24" i="820"/>
  <c r="V24" i="820"/>
  <c r="U24" i="820"/>
  <c r="T24" i="820"/>
  <c r="S24" i="820"/>
  <c r="R24" i="820"/>
  <c r="Z23" i="820"/>
  <c r="Y23" i="820"/>
  <c r="X23" i="820"/>
  <c r="W23" i="820"/>
  <c r="V23" i="820"/>
  <c r="U23" i="820"/>
  <c r="T23" i="820"/>
  <c r="S23" i="820"/>
  <c r="R23" i="820"/>
  <c r="Z22" i="820"/>
  <c r="Y22" i="820"/>
  <c r="X22" i="820"/>
  <c r="W22" i="820"/>
  <c r="V22" i="820"/>
  <c r="U22" i="820"/>
  <c r="T22" i="820"/>
  <c r="S22" i="820"/>
  <c r="R22" i="820"/>
  <c r="Z21" i="820"/>
  <c r="Y21" i="820"/>
  <c r="X21" i="820"/>
  <c r="W21" i="820"/>
  <c r="V21" i="820"/>
  <c r="U21" i="820"/>
  <c r="T21" i="820"/>
  <c r="S21" i="820"/>
  <c r="R21" i="820"/>
  <c r="Z10" i="820"/>
  <c r="Y10" i="820"/>
  <c r="X10" i="820"/>
  <c r="W10" i="820"/>
  <c r="V10" i="820"/>
  <c r="U10" i="820"/>
  <c r="T10" i="820"/>
  <c r="S10" i="820"/>
  <c r="R10" i="820"/>
  <c r="R28" i="820" l="1"/>
  <c r="S28" i="820"/>
  <c r="W28" i="820"/>
  <c r="X28" i="820"/>
  <c r="Y28" i="820"/>
  <c r="U28" i="820"/>
  <c r="V28" i="820"/>
  <c r="Z28" i="820"/>
  <c r="K38" i="820"/>
  <c r="F72" i="819" l="1"/>
  <c r="L62" i="819"/>
  <c r="AX58" i="819"/>
  <c r="AW58" i="819"/>
  <c r="AV58" i="819"/>
  <c r="AU58" i="819"/>
  <c r="AT58" i="819"/>
  <c r="AS58" i="819"/>
  <c r="AR58" i="819"/>
  <c r="AQ58" i="819"/>
  <c r="AP58" i="819"/>
  <c r="AO58" i="819"/>
  <c r="AN58" i="819"/>
  <c r="AM58" i="819"/>
  <c r="AL58" i="819"/>
  <c r="AK58" i="819"/>
  <c r="AJ58" i="819"/>
  <c r="AI58" i="819"/>
  <c r="AH58" i="819"/>
  <c r="AG58" i="819"/>
  <c r="AF58" i="819"/>
  <c r="AE58" i="819"/>
  <c r="AD58" i="819"/>
  <c r="AC58" i="819"/>
  <c r="AB58" i="819"/>
  <c r="K53" i="819"/>
  <c r="D51" i="819"/>
  <c r="M38" i="819"/>
  <c r="M37" i="819"/>
  <c r="M34" i="819"/>
  <c r="M32" i="819"/>
  <c r="M30" i="819"/>
  <c r="Z14" i="819"/>
  <c r="Y14" i="819"/>
  <c r="X14" i="819"/>
  <c r="W14" i="819"/>
  <c r="V14" i="819"/>
  <c r="U14" i="819"/>
  <c r="T14" i="819"/>
  <c r="S14" i="819"/>
  <c r="R14" i="819"/>
  <c r="Z13" i="819"/>
  <c r="Y13" i="819"/>
  <c r="X13" i="819"/>
  <c r="W13" i="819"/>
  <c r="V13" i="819"/>
  <c r="U13" i="819"/>
  <c r="T13" i="819"/>
  <c r="S13" i="819"/>
  <c r="R13" i="819"/>
  <c r="Z12" i="819"/>
  <c r="Y12" i="819"/>
  <c r="X12" i="819"/>
  <c r="W12" i="819"/>
  <c r="V12" i="819"/>
  <c r="U12" i="819"/>
  <c r="T12" i="819"/>
  <c r="S12" i="819"/>
  <c r="R12" i="819"/>
  <c r="L44" i="819" l="1"/>
  <c r="M44" i="819" s="1"/>
  <c r="L39" i="832"/>
  <c r="M39" i="832" s="1"/>
  <c r="L42" i="835"/>
  <c r="M42" i="835" s="1"/>
  <c r="L48" i="836"/>
  <c r="M48" i="836" s="1"/>
  <c r="L37" i="833"/>
  <c r="M37" i="833" s="1"/>
  <c r="L35" i="831"/>
  <c r="M35" i="831" s="1"/>
  <c r="L40" i="834"/>
  <c r="M40" i="834" s="1"/>
  <c r="L42" i="826"/>
  <c r="M42" i="826" s="1"/>
  <c r="L50" i="827"/>
  <c r="M50" i="827" s="1"/>
  <c r="L44" i="828"/>
  <c r="M44" i="828" s="1"/>
  <c r="L42" i="825"/>
  <c r="M42" i="825" s="1"/>
  <c r="L40" i="824"/>
  <c r="M40" i="824" s="1"/>
  <c r="L44" i="829"/>
  <c r="M44" i="829" s="1"/>
  <c r="L42" i="821"/>
  <c r="M42" i="821" s="1"/>
  <c r="L34" i="830"/>
  <c r="M34" i="830" s="1"/>
  <c r="L52" i="823"/>
  <c r="M52" i="823" s="1"/>
  <c r="L43" i="822"/>
  <c r="M43" i="822" s="1"/>
  <c r="K39" i="819"/>
  <c r="L39" i="819" s="1"/>
  <c r="M39" i="819" s="1"/>
  <c r="O47" i="21" l="1"/>
  <c r="N47" i="21"/>
  <c r="M47" i="21"/>
  <c r="L47" i="21"/>
  <c r="K47" i="21"/>
  <c r="J47" i="21"/>
  <c r="I47" i="21"/>
  <c r="G47" i="21"/>
  <c r="F47" i="21"/>
  <c r="D47" i="21"/>
  <c r="D45" i="21"/>
  <c r="P45" i="21" s="1"/>
  <c r="F9" i="21" s="1"/>
  <c r="H44" i="21"/>
  <c r="E44" i="21"/>
  <c r="D44" i="21"/>
  <c r="P42" i="21"/>
  <c r="H41" i="21"/>
  <c r="E41" i="21"/>
  <c r="D41" i="21"/>
  <c r="H40" i="21"/>
  <c r="E40" i="21"/>
  <c r="D40" i="21"/>
  <c r="F38" i="21"/>
  <c r="E9" i="21"/>
  <c r="E8" i="21"/>
  <c r="F7" i="21"/>
  <c r="E7" i="21"/>
  <c r="E6" i="21"/>
  <c r="E5" i="21"/>
  <c r="E3" i="21"/>
  <c r="D37" i="19"/>
  <c r="D36" i="19"/>
  <c r="D34" i="19"/>
  <c r="D33" i="19"/>
  <c r="E29" i="19"/>
  <c r="E27" i="19"/>
  <c r="K26" i="19"/>
  <c r="K25" i="19"/>
  <c r="K24" i="19"/>
  <c r="K23" i="19"/>
  <c r="J13" i="19"/>
  <c r="I13" i="19"/>
  <c r="H13" i="19"/>
  <c r="G13" i="19"/>
  <c r="F13" i="19"/>
  <c r="E13" i="19"/>
  <c r="D13" i="19"/>
  <c r="C13" i="19"/>
  <c r="E26" i="19" s="1"/>
  <c r="J12" i="19"/>
  <c r="I12" i="19"/>
  <c r="H12" i="19"/>
  <c r="G12" i="19"/>
  <c r="F12" i="19"/>
  <c r="E12" i="19"/>
  <c r="D12" i="19"/>
  <c r="C12" i="19"/>
  <c r="E25" i="19" s="1"/>
  <c r="J11" i="19"/>
  <c r="I11" i="19"/>
  <c r="H11" i="19"/>
  <c r="G11" i="19"/>
  <c r="F11" i="19"/>
  <c r="E11" i="19"/>
  <c r="D11" i="19"/>
  <c r="C11" i="19"/>
  <c r="E24" i="19" s="1"/>
  <c r="J10" i="19"/>
  <c r="I10" i="19"/>
  <c r="H10" i="19"/>
  <c r="G10" i="19"/>
  <c r="F10" i="19"/>
  <c r="E10" i="19"/>
  <c r="D10" i="19"/>
  <c r="C10" i="19"/>
  <c r="E23" i="19" s="1"/>
  <c r="D37" i="18"/>
  <c r="D36" i="18"/>
  <c r="D34" i="18"/>
  <c r="D33" i="18"/>
  <c r="E29" i="18"/>
  <c r="E27" i="18"/>
  <c r="K26" i="18"/>
  <c r="K25" i="18"/>
  <c r="K24" i="18"/>
  <c r="K23" i="18"/>
  <c r="J13" i="18"/>
  <c r="I13" i="18"/>
  <c r="H13" i="18"/>
  <c r="G13" i="18"/>
  <c r="F13" i="18"/>
  <c r="E13" i="18"/>
  <c r="D13" i="18"/>
  <c r="C13" i="18"/>
  <c r="E26" i="18" s="1"/>
  <c r="J12" i="18"/>
  <c r="I12" i="18"/>
  <c r="H12" i="18"/>
  <c r="G12" i="18"/>
  <c r="F12" i="18"/>
  <c r="E12" i="18"/>
  <c r="D12" i="18"/>
  <c r="C12" i="18"/>
  <c r="E25" i="18" s="1"/>
  <c r="J11" i="18"/>
  <c r="I11" i="18"/>
  <c r="H11" i="18"/>
  <c r="G11" i="18"/>
  <c r="F11" i="18"/>
  <c r="E11" i="18"/>
  <c r="D11" i="18"/>
  <c r="C11" i="18"/>
  <c r="E24" i="18" s="1"/>
  <c r="J10" i="18"/>
  <c r="I10" i="18"/>
  <c r="H10" i="18"/>
  <c r="G10" i="18"/>
  <c r="F10" i="18"/>
  <c r="E10" i="18"/>
  <c r="D10" i="18"/>
  <c r="C10" i="18"/>
  <c r="E23" i="18" s="1"/>
  <c r="F94" i="658"/>
  <c r="G90" i="658"/>
  <c r="AY80" i="658"/>
  <c r="AX80" i="658"/>
  <c r="AW80" i="658"/>
  <c r="AV80" i="658"/>
  <c r="AU80" i="658"/>
  <c r="AT80" i="658"/>
  <c r="AS80" i="658"/>
  <c r="AR80" i="658"/>
  <c r="AQ80" i="658"/>
  <c r="AP80" i="658"/>
  <c r="AO80" i="658"/>
  <c r="AN80" i="658"/>
  <c r="AM80" i="658"/>
  <c r="AL80" i="658"/>
  <c r="AK80" i="658"/>
  <c r="AJ80" i="658"/>
  <c r="AI80" i="658"/>
  <c r="AH80" i="658"/>
  <c r="AG80" i="658"/>
  <c r="AF80" i="658"/>
  <c r="AE80" i="658"/>
  <c r="AD80" i="658"/>
  <c r="AC80" i="658"/>
  <c r="AB80" i="658"/>
  <c r="AA80" i="658"/>
  <c r="Z80" i="658"/>
  <c r="Y80" i="658"/>
  <c r="X80" i="658"/>
  <c r="W80" i="658"/>
  <c r="V80" i="658"/>
  <c r="U80" i="658"/>
  <c r="K79" i="658"/>
  <c r="K90" i="658" s="1"/>
  <c r="G79" i="658"/>
  <c r="D79" i="658"/>
  <c r="K74" i="658"/>
  <c r="D72" i="658"/>
  <c r="M65" i="658"/>
  <c r="L65" i="658"/>
  <c r="M58" i="658"/>
  <c r="M57" i="658"/>
  <c r="M56" i="658"/>
  <c r="L56" i="658"/>
  <c r="K56" i="658"/>
  <c r="M55" i="658"/>
  <c r="M53" i="658"/>
  <c r="L53" i="658"/>
  <c r="K53" i="658"/>
  <c r="M52" i="658"/>
  <c r="L52" i="658"/>
  <c r="K52" i="658"/>
  <c r="M51" i="658"/>
  <c r="L51" i="658"/>
  <c r="K51" i="658"/>
  <c r="M50" i="658"/>
  <c r="L50" i="658"/>
  <c r="K50" i="658"/>
  <c r="AA47" i="658"/>
  <c r="Z47" i="658"/>
  <c r="Y47" i="658"/>
  <c r="X47" i="658"/>
  <c r="W47" i="658"/>
  <c r="V47" i="658"/>
  <c r="U47" i="658"/>
  <c r="T47" i="658"/>
  <c r="S47" i="658"/>
  <c r="AA46" i="658"/>
  <c r="Z46" i="658"/>
  <c r="Y46" i="658"/>
  <c r="X46" i="658"/>
  <c r="W46" i="658"/>
  <c r="V46" i="658"/>
  <c r="U46" i="658"/>
  <c r="T46" i="658"/>
  <c r="S46" i="658"/>
  <c r="AA45" i="658"/>
  <c r="Z45" i="658"/>
  <c r="Y45" i="658"/>
  <c r="X45" i="658"/>
  <c r="W45" i="658"/>
  <c r="V45" i="658"/>
  <c r="U45" i="658"/>
  <c r="T45" i="658"/>
  <c r="S45" i="658"/>
  <c r="AA44" i="658"/>
  <c r="Z44" i="658"/>
  <c r="Y44" i="658"/>
  <c r="X44" i="658"/>
  <c r="W44" i="658"/>
  <c r="V44" i="658"/>
  <c r="U44" i="658"/>
  <c r="T44" i="658"/>
  <c r="S44" i="658"/>
  <c r="AA43" i="658"/>
  <c r="Z43" i="658"/>
  <c r="Y43" i="658"/>
  <c r="X43" i="658"/>
  <c r="W43" i="658"/>
  <c r="V43" i="658"/>
  <c r="U43" i="658"/>
  <c r="T43" i="658"/>
  <c r="S43" i="658"/>
  <c r="AA42" i="658"/>
  <c r="Z42" i="658"/>
  <c r="Y42" i="658"/>
  <c r="X42" i="658"/>
  <c r="W42" i="658"/>
  <c r="V42" i="658"/>
  <c r="U42" i="658"/>
  <c r="T42" i="658"/>
  <c r="S42" i="658"/>
  <c r="AA41" i="658"/>
  <c r="Z41" i="658"/>
  <c r="Y41" i="658"/>
  <c r="X41" i="658"/>
  <c r="W41" i="658"/>
  <c r="V41" i="658"/>
  <c r="U41" i="658"/>
  <c r="T41" i="658"/>
  <c r="S41" i="658"/>
  <c r="AA40" i="658"/>
  <c r="Z40" i="658"/>
  <c r="Y40" i="658"/>
  <c r="X40" i="658"/>
  <c r="W40" i="658"/>
  <c r="V40" i="658"/>
  <c r="U40" i="658"/>
  <c r="T40" i="658"/>
  <c r="S40" i="658"/>
  <c r="AA39" i="658"/>
  <c r="Z39" i="658"/>
  <c r="Y39" i="658"/>
  <c r="X39" i="658"/>
  <c r="W39" i="658"/>
  <c r="V39" i="658"/>
  <c r="U39" i="658"/>
  <c r="T39" i="658"/>
  <c r="S39" i="658"/>
  <c r="AA38" i="658"/>
  <c r="Z38" i="658"/>
  <c r="Y38" i="658"/>
  <c r="X38" i="658"/>
  <c r="W38" i="658"/>
  <c r="V38" i="658"/>
  <c r="U38" i="658"/>
  <c r="T38" i="658"/>
  <c r="S38" i="658"/>
  <c r="AA37" i="658"/>
  <c r="Z37" i="658"/>
  <c r="Y37" i="658"/>
  <c r="X37" i="658"/>
  <c r="W37" i="658"/>
  <c r="V37" i="658"/>
  <c r="U37" i="658"/>
  <c r="T37" i="658"/>
  <c r="S37" i="658"/>
  <c r="AA36" i="658"/>
  <c r="Z36" i="658"/>
  <c r="Y36" i="658"/>
  <c r="X36" i="658"/>
  <c r="W36" i="658"/>
  <c r="V36" i="658"/>
  <c r="U36" i="658"/>
  <c r="T36" i="658"/>
  <c r="S36" i="658"/>
  <c r="AA35" i="658"/>
  <c r="Z35" i="658"/>
  <c r="Y35" i="658"/>
  <c r="X35" i="658"/>
  <c r="W35" i="658"/>
  <c r="V35" i="658"/>
  <c r="U35" i="658"/>
  <c r="T35" i="658"/>
  <c r="S35" i="658"/>
  <c r="AA34" i="658"/>
  <c r="Z34" i="658"/>
  <c r="Y34" i="658"/>
  <c r="X34" i="658"/>
  <c r="W34" i="658"/>
  <c r="V34" i="658"/>
  <c r="U34" i="658"/>
  <c r="T34" i="658"/>
  <c r="S34" i="658"/>
  <c r="AA33" i="658"/>
  <c r="Z33" i="658"/>
  <c r="Y33" i="658"/>
  <c r="X33" i="658"/>
  <c r="W33" i="658"/>
  <c r="V33" i="658"/>
  <c r="U33" i="658"/>
  <c r="T33" i="658"/>
  <c r="S33" i="658"/>
  <c r="AA32" i="658"/>
  <c r="Z32" i="658"/>
  <c r="Y32" i="658"/>
  <c r="X32" i="658"/>
  <c r="W32" i="658"/>
  <c r="V32" i="658"/>
  <c r="U32" i="658"/>
  <c r="T32" i="658"/>
  <c r="S32" i="658"/>
  <c r="AA31" i="658"/>
  <c r="Z31" i="658"/>
  <c r="Y31" i="658"/>
  <c r="X31" i="658"/>
  <c r="W31" i="658"/>
  <c r="V31" i="658"/>
  <c r="U31" i="658"/>
  <c r="T31" i="658"/>
  <c r="S31" i="658"/>
  <c r="AA30" i="658"/>
  <c r="Z30" i="658"/>
  <c r="Y30" i="658"/>
  <c r="X30" i="658"/>
  <c r="W30" i="658"/>
  <c r="V30" i="658"/>
  <c r="U30" i="658"/>
  <c r="T30" i="658"/>
  <c r="S30" i="658"/>
  <c r="AA29" i="658"/>
  <c r="Z29" i="658"/>
  <c r="Y29" i="658"/>
  <c r="X29" i="658"/>
  <c r="W29" i="658"/>
  <c r="V29" i="658"/>
  <c r="U29" i="658"/>
  <c r="T29" i="658"/>
  <c r="S29" i="658"/>
  <c r="AA28" i="658"/>
  <c r="Z28" i="658"/>
  <c r="Y28" i="658"/>
  <c r="X28" i="658"/>
  <c r="W28" i="658"/>
  <c r="V28" i="658"/>
  <c r="U28" i="658"/>
  <c r="T28" i="658"/>
  <c r="S28" i="658"/>
  <c r="AA27" i="658"/>
  <c r="Z27" i="658"/>
  <c r="Y27" i="658"/>
  <c r="X27" i="658"/>
  <c r="W27" i="658"/>
  <c r="V27" i="658"/>
  <c r="U27" i="658"/>
  <c r="T27" i="658"/>
  <c r="S27" i="658"/>
  <c r="AA26" i="658"/>
  <c r="Z26" i="658"/>
  <c r="Y26" i="658"/>
  <c r="X26" i="658"/>
  <c r="W26" i="658"/>
  <c r="V26" i="658"/>
  <c r="U26" i="658"/>
  <c r="T26" i="658"/>
  <c r="S26" i="658"/>
  <c r="AA25" i="658"/>
  <c r="Z25" i="658"/>
  <c r="Y25" i="658"/>
  <c r="X25" i="658"/>
  <c r="W25" i="658"/>
  <c r="V25" i="658"/>
  <c r="U25" i="658"/>
  <c r="T25" i="658"/>
  <c r="S25" i="658"/>
  <c r="AA24" i="658"/>
  <c r="Z24" i="658"/>
  <c r="Y24" i="658"/>
  <c r="X24" i="658"/>
  <c r="W24" i="658"/>
  <c r="V24" i="658"/>
  <c r="U24" i="658"/>
  <c r="T24" i="658"/>
  <c r="S24" i="658"/>
  <c r="AA23" i="658"/>
  <c r="Z23" i="658"/>
  <c r="Y23" i="658"/>
  <c r="X23" i="658"/>
  <c r="W23" i="658"/>
  <c r="V23" i="658"/>
  <c r="U23" i="658"/>
  <c r="T23" i="658"/>
  <c r="S23" i="658"/>
  <c r="AA22" i="658"/>
  <c r="Z22" i="658"/>
  <c r="Y22" i="658"/>
  <c r="X22" i="658"/>
  <c r="W22" i="658"/>
  <c r="V22" i="658"/>
  <c r="U22" i="658"/>
  <c r="T22" i="658"/>
  <c r="S22" i="658"/>
  <c r="AA21" i="658"/>
  <c r="Z21" i="658"/>
  <c r="Y21" i="658"/>
  <c r="X21" i="658"/>
  <c r="W21" i="658"/>
  <c r="V21" i="658"/>
  <c r="U21" i="658"/>
  <c r="T21" i="658"/>
  <c r="S21" i="658"/>
  <c r="AA20" i="658"/>
  <c r="Z20" i="658"/>
  <c r="Y20" i="658"/>
  <c r="X20" i="658"/>
  <c r="W20" i="658"/>
  <c r="V20" i="658"/>
  <c r="U20" i="658"/>
  <c r="T20" i="658"/>
  <c r="S20" i="658"/>
  <c r="AA19" i="658"/>
  <c r="Z19" i="658"/>
  <c r="Y19" i="658"/>
  <c r="X19" i="658"/>
  <c r="W19" i="658"/>
  <c r="V19" i="658"/>
  <c r="U19" i="658"/>
  <c r="T19" i="658"/>
  <c r="S19" i="658"/>
  <c r="AA18" i="658"/>
  <c r="Z18" i="658"/>
  <c r="Y18" i="658"/>
  <c r="X18" i="658"/>
  <c r="W18" i="658"/>
  <c r="V18" i="658"/>
  <c r="U18" i="658"/>
  <c r="T18" i="658"/>
  <c r="S18" i="658"/>
  <c r="AA17" i="658"/>
  <c r="Z17" i="658"/>
  <c r="Y17" i="658"/>
  <c r="X17" i="658"/>
  <c r="W17" i="658"/>
  <c r="V17" i="658"/>
  <c r="U17" i="658"/>
  <c r="T17" i="658"/>
  <c r="S17" i="658"/>
  <c r="AA16" i="658"/>
  <c r="Z16" i="658"/>
  <c r="Y16" i="658"/>
  <c r="X16" i="658"/>
  <c r="W16" i="658"/>
  <c r="V16" i="658"/>
  <c r="U16" i="658"/>
  <c r="T16" i="658"/>
  <c r="S16" i="658"/>
  <c r="AA15" i="658"/>
  <c r="Z15" i="658"/>
  <c r="Y15" i="658"/>
  <c r="X15" i="658"/>
  <c r="W15" i="658"/>
  <c r="V15" i="658"/>
  <c r="U15" i="658"/>
  <c r="T15" i="658"/>
  <c r="S15" i="658"/>
  <c r="AA14" i="658"/>
  <c r="Z14" i="658"/>
  <c r="Y14" i="658"/>
  <c r="X14" i="658"/>
  <c r="W14" i="658"/>
  <c r="V14" i="658"/>
  <c r="U14" i="658"/>
  <c r="T14" i="658"/>
  <c r="S14" i="658"/>
  <c r="AA13" i="658"/>
  <c r="Z13" i="658"/>
  <c r="Y13" i="658"/>
  <c r="X13" i="658"/>
  <c r="W13" i="658"/>
  <c r="V13" i="658"/>
  <c r="U13" i="658"/>
  <c r="T13" i="658"/>
  <c r="S13" i="658"/>
  <c r="AA12" i="658"/>
  <c r="Z12" i="658"/>
  <c r="Y12" i="658"/>
  <c r="X12" i="658"/>
  <c r="W12" i="658"/>
  <c r="V12" i="658"/>
  <c r="U12" i="658"/>
  <c r="T12" i="658"/>
  <c r="S12" i="658"/>
  <c r="AA11" i="658"/>
  <c r="Z11" i="658"/>
  <c r="Y11" i="658"/>
  <c r="X11" i="658"/>
  <c r="W11" i="658"/>
  <c r="V11" i="658"/>
  <c r="U11" i="658"/>
  <c r="T11" i="658"/>
  <c r="S11" i="658"/>
  <c r="AA10" i="658"/>
  <c r="Z10" i="658"/>
  <c r="Y10" i="658"/>
  <c r="X10" i="658"/>
  <c r="W10" i="658"/>
  <c r="V10" i="658"/>
  <c r="U10" i="658"/>
  <c r="T10" i="658"/>
  <c r="S10" i="658"/>
  <c r="K59" i="658" l="1"/>
  <c r="L59" i="658" s="1"/>
  <c r="M59" i="658" s="1"/>
  <c r="C33" i="18"/>
  <c r="P44" i="21"/>
  <c r="F8" i="21" s="1"/>
  <c r="L79" i="658"/>
  <c r="C90" i="658" s="1"/>
  <c r="I20" i="18"/>
  <c r="E10" i="21"/>
  <c r="I20" i="19"/>
  <c r="C33" i="19"/>
  <c r="P40" i="21"/>
  <c r="F5" i="21" s="1"/>
  <c r="E47" i="21"/>
  <c r="H47" i="21"/>
  <c r="P41" i="21"/>
  <c r="F6" i="21" s="1"/>
  <c r="D40" i="18"/>
  <c r="D40" i="19"/>
  <c r="P47" i="21" l="1"/>
  <c r="F10" i="21" s="1"/>
  <c r="K11" i="821" l="1"/>
  <c r="K12" i="821"/>
  <c r="K13" i="821"/>
  <c r="K14" i="821"/>
  <c r="K18" i="819"/>
  <c r="K17" i="819"/>
  <c r="K19" i="819"/>
  <c r="K10" i="821"/>
  <c r="G56" i="826" l="1"/>
  <c r="G64" i="827"/>
  <c r="G57" i="822"/>
  <c r="G56" i="821"/>
  <c r="G54" i="824"/>
  <c r="G56" i="825"/>
  <c r="G58" i="819"/>
  <c r="D58" i="819"/>
  <c r="L58" i="819" l="1"/>
  <c r="C68" i="819" s="1"/>
  <c r="K57" i="822"/>
  <c r="K72" i="822" s="1"/>
  <c r="K54" i="824"/>
  <c r="K63" i="824" s="1"/>
  <c r="K56" i="826"/>
  <c r="K65" i="826" s="1"/>
  <c r="K56" i="821"/>
  <c r="K65" i="821" s="1"/>
  <c r="K58" i="819"/>
  <c r="K68" i="819" s="1"/>
  <c r="G68" i="819"/>
  <c r="K56" i="825" l="1"/>
  <c r="K65" i="825" s="1"/>
  <c r="J57" i="18"/>
  <c r="J56" i="18"/>
  <c r="J62" i="18"/>
  <c r="J59" i="18"/>
  <c r="J58" i="18"/>
  <c r="J65" i="18" l="1"/>
  <c r="J60" i="19" l="1"/>
  <c r="J63" i="19"/>
  <c r="J57" i="19"/>
  <c r="J64" i="19"/>
  <c r="J59" i="19"/>
  <c r="J58" i="19"/>
  <c r="J62" i="19"/>
  <c r="J61" i="19" l="1"/>
  <c r="J65" i="19"/>
  <c r="J56" i="19"/>
  <c r="G57" i="18" l="1"/>
  <c r="D56" i="821" l="1"/>
  <c r="L56" i="821" s="1"/>
  <c r="C65" i="821" s="1"/>
  <c r="G63" i="824" l="1"/>
  <c r="D54" i="824"/>
  <c r="L54" i="824" s="1"/>
  <c r="C63" i="824" s="1"/>
  <c r="G65" i="825"/>
  <c r="D56" i="825"/>
  <c r="L56" i="825" s="1"/>
  <c r="C65" i="825" s="1"/>
  <c r="G65" i="838"/>
  <c r="D56" i="838"/>
  <c r="L56" i="838" s="1"/>
  <c r="C65" i="838" s="1"/>
  <c r="H58" i="831"/>
  <c r="D51" i="831"/>
  <c r="L51" i="831" s="1"/>
  <c r="C58" i="831" s="1"/>
  <c r="G62" i="832"/>
  <c r="D55" i="832"/>
  <c r="L55" i="832" s="1"/>
  <c r="C62" i="832" s="1"/>
  <c r="G60" i="833"/>
  <c r="D53" i="833"/>
  <c r="L53" i="833" s="1"/>
  <c r="C60" i="833" s="1"/>
  <c r="D56" i="834"/>
  <c r="L56" i="834" s="1"/>
  <c r="G65" i="826"/>
  <c r="D56" i="826"/>
  <c r="L56" i="826" s="1"/>
  <c r="C65" i="826" s="1"/>
  <c r="D64" i="836"/>
  <c r="L64" i="836" s="1"/>
  <c r="G65" i="821" l="1"/>
  <c r="G56" i="18" l="1"/>
  <c r="J14" i="821" l="1"/>
  <c r="J11" i="839" l="1"/>
  <c r="I11" i="839" l="1"/>
  <c r="J33" i="839" s="1"/>
  <c r="L33" i="838" l="1"/>
  <c r="L37" i="838" s="1"/>
  <c r="M37" i="838" s="1"/>
  <c r="L34" i="820"/>
  <c r="L38" i="820" s="1"/>
  <c r="M38" i="820" s="1"/>
  <c r="L33" i="835"/>
  <c r="L37" i="835" s="1"/>
  <c r="M37" i="835" s="1"/>
  <c r="L28" i="833"/>
  <c r="L32" i="833" s="1"/>
  <c r="M32" i="833" s="1"/>
  <c r="L39" i="836"/>
  <c r="L43" i="836" s="1"/>
  <c r="M43" i="836" s="1"/>
  <c r="L36" i="837"/>
  <c r="L40" i="837" s="1"/>
  <c r="M40" i="837" s="1"/>
  <c r="L31" i="834"/>
  <c r="L35" i="834" s="1"/>
  <c r="M35" i="834" s="1"/>
  <c r="L30" i="832"/>
  <c r="L34" i="832" s="1"/>
  <c r="M34" i="832" s="1"/>
  <c r="L35" i="829"/>
  <c r="L39" i="829" s="1"/>
  <c r="M39" i="829" s="1"/>
  <c r="L33" i="826"/>
  <c r="L37" i="826" s="1"/>
  <c r="M37" i="826" s="1"/>
  <c r="L26" i="831"/>
  <c r="L30" i="831" s="1"/>
  <c r="M30" i="831" s="1"/>
  <c r="L35" i="828"/>
  <c r="L39" i="828" s="1"/>
  <c r="M39" i="828" s="1"/>
  <c r="L34" i="822"/>
  <c r="L38" i="822" s="1"/>
  <c r="M38" i="822" s="1"/>
  <c r="L41" i="827"/>
  <c r="L45" i="827" s="1"/>
  <c r="M45" i="827" s="1"/>
  <c r="I14" i="821"/>
  <c r="J33" i="821" s="1"/>
  <c r="L33" i="825"/>
  <c r="L37" i="825" s="1"/>
  <c r="M37" i="825" s="1"/>
  <c r="L31" i="824"/>
  <c r="L35" i="824" s="1"/>
  <c r="M35" i="824" s="1"/>
  <c r="L43" i="823"/>
  <c r="L47" i="823" s="1"/>
  <c r="M47" i="823" s="1"/>
  <c r="L25" i="830"/>
  <c r="L29" i="830" s="1"/>
  <c r="M29" i="830" s="1"/>
  <c r="L33" i="821"/>
  <c r="L37" i="821" s="1"/>
  <c r="M37" i="821" s="1"/>
  <c r="L33" i="839"/>
  <c r="L37" i="839" s="1"/>
  <c r="M37" i="839" s="1"/>
  <c r="M29" i="838"/>
  <c r="M35" i="836"/>
  <c r="M26" i="832"/>
  <c r="M32" i="837"/>
  <c r="M24" i="833"/>
  <c r="M27" i="834"/>
  <c r="M30" i="820"/>
  <c r="M29" i="835"/>
  <c r="M31" i="828"/>
  <c r="M29" i="826"/>
  <c r="M37" i="827"/>
  <c r="M39" i="823"/>
  <c r="M31" i="829"/>
  <c r="M27" i="824"/>
  <c r="M29" i="825"/>
  <c r="M30" i="822"/>
  <c r="M29" i="821"/>
  <c r="M21" i="830"/>
  <c r="M22" i="831"/>
  <c r="M31" i="819"/>
  <c r="K12" i="837" l="1"/>
  <c r="K13" i="837"/>
  <c r="K14" i="837"/>
  <c r="K15" i="837"/>
  <c r="K16" i="837"/>
  <c r="K17" i="837"/>
  <c r="K18" i="837"/>
  <c r="K21" i="837"/>
  <c r="K18" i="828"/>
  <c r="K12" i="830"/>
  <c r="K13" i="830"/>
  <c r="K15" i="834"/>
  <c r="K16" i="834"/>
  <c r="K17" i="834"/>
  <c r="K18" i="834"/>
  <c r="K17" i="820"/>
  <c r="K18" i="820"/>
  <c r="K10" i="837"/>
  <c r="K11" i="837"/>
  <c r="K14" i="828"/>
  <c r="K15" i="828"/>
  <c r="K16" i="828"/>
  <c r="K17" i="828"/>
  <c r="K19" i="828"/>
  <c r="K10" i="830"/>
  <c r="K11" i="830"/>
  <c r="K12" i="824"/>
  <c r="K13" i="824"/>
  <c r="K14" i="824"/>
  <c r="K15" i="824"/>
  <c r="K16" i="824"/>
  <c r="K11" i="824"/>
  <c r="K10" i="824"/>
  <c r="K21" i="823"/>
  <c r="K20" i="823"/>
  <c r="K19" i="823"/>
  <c r="K10" i="838" l="1"/>
  <c r="K11" i="838"/>
  <c r="K12" i="838"/>
  <c r="K13" i="838"/>
  <c r="M31" i="840" l="1"/>
  <c r="M33" i="839" l="1"/>
  <c r="M34" i="822"/>
  <c r="M30" i="832"/>
  <c r="M35" i="819"/>
  <c r="M43" i="823"/>
  <c r="M41" i="827"/>
  <c r="M33" i="821"/>
  <c r="M33" i="838"/>
  <c r="M39" i="836"/>
  <c r="M33" i="835"/>
  <c r="M35" i="829"/>
  <c r="M25" i="830"/>
  <c r="M28" i="833"/>
  <c r="M36" i="837"/>
  <c r="M31" i="824"/>
  <c r="M26" i="831"/>
  <c r="M33" i="826"/>
  <c r="M34" i="820"/>
  <c r="M31" i="834"/>
  <c r="M35" i="828"/>
  <c r="M33" i="825"/>
  <c r="D66" i="836" l="1"/>
  <c r="L66" i="836" s="1"/>
  <c r="G70" i="829"/>
  <c r="D58" i="829"/>
  <c r="L58" i="829" s="1"/>
  <c r="C70" i="829" s="1"/>
  <c r="D59" i="837"/>
  <c r="G64" i="19"/>
  <c r="G58" i="18" l="1"/>
  <c r="D64" i="827"/>
  <c r="L64" i="827" s="1"/>
  <c r="C75" i="827" s="1"/>
  <c r="L59" i="837"/>
  <c r="C73" i="837" s="1"/>
  <c r="D58" i="828"/>
  <c r="L58" i="828" s="1"/>
  <c r="C70" i="828" s="1"/>
  <c r="D57" i="822"/>
  <c r="L57" i="822" s="1"/>
  <c r="C72" i="822" s="1"/>
  <c r="D58" i="18"/>
  <c r="G72" i="822"/>
  <c r="G75" i="827"/>
  <c r="G70" i="828" l="1"/>
  <c r="G73" i="837"/>
  <c r="G62" i="18"/>
  <c r="G59" i="18" l="1"/>
  <c r="G61" i="18"/>
  <c r="G65" i="18" l="1"/>
  <c r="G60" i="19"/>
  <c r="G57" i="19"/>
  <c r="G62" i="19" l="1"/>
  <c r="G58" i="19"/>
  <c r="G63" i="19"/>
  <c r="G61" i="19"/>
  <c r="G56" i="19" l="1"/>
  <c r="G65" i="19"/>
  <c r="G59" i="19"/>
  <c r="D64" i="19"/>
  <c r="D63" i="19"/>
  <c r="D60" i="19"/>
  <c r="D59" i="19" l="1"/>
  <c r="D59" i="18"/>
  <c r="F59" i="837"/>
  <c r="D57" i="19"/>
  <c r="D62" i="19"/>
  <c r="D62" i="18" l="1"/>
  <c r="D61" i="19"/>
  <c r="D61" i="18"/>
  <c r="I59" i="837"/>
  <c r="H59" i="837"/>
  <c r="D58" i="19"/>
  <c r="D56" i="18"/>
  <c r="D56" i="19" l="1"/>
  <c r="D65" i="18"/>
  <c r="D65" i="1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EF1F6E66-18DD-4077-9D03-81A5E75AC25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36C2866C-0128-443E-900A-885D0ED885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38040F8-D023-429E-B8F5-09C5137BA51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842231B0-DF58-4498-B8AB-6E631512279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6F888C63-44F1-4C10-BE19-1703D7AA656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30DC34E3-879A-491E-8A28-2320E6267A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388573A8-AFDB-4EC6-8147-E3D5E69861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33B133D5-4EE7-48E7-9932-35D5829D8A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0313F1B7-8B43-4B82-84C2-5D1CF95A9B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EA1037DD-8911-4DFC-A38E-43C64558C9F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63" authorId="0" shapeId="0" xr:uid="{EF0D0E60-B8D7-4708-80DC-7BF0A8CA041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No Cacl2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3DBB79F9-711F-4AE8-BDDC-AF3E3EF7421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E7E6E703-6C55-49C4-843E-F23BB0619D9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4A9CA35D-E811-4CB8-9449-452DDC54F87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99066152-72DF-40CD-8B29-B069605F18A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673207AB-8D3C-43F0-A190-8EF986DCFE4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0BE67390-9B92-4F86-BCE3-0EA7EF1282E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0C27A607-4350-41F3-8455-B5F5E1F9B8F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AAE194DB-0938-41B3-8E06-097458A0D6D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A0C53D7E-933F-4DA9-8960-69516735AA5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07E05FA0-9BD0-4A76-B202-7002C04D41B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AE2FD3DD-B5C9-4A2B-B0EC-0A4AABB56C0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DA914E74-708A-4ED1-BA70-1B82E02506C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2CA57F43-7438-4423-AEBC-DEDF1D897C3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84DC95C7-29D2-49FA-B9E2-1ADC83C414E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D58AAEEC-D56A-4630-93E4-B38AF941F17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22CB8FA1-E5E5-4833-8699-B280EF75A4A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EF3CF704-D4CB-4A02-858D-1CDEAAE74DA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8B8FD3DA-218E-4A27-993C-8959C2AAFAE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2DE0473A-E10B-4330-AE68-CC5297589B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AF18D116-BCF3-4841-8E3B-AE8F1158F1A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DF5BF2C4-D339-44E8-9BFC-D9DBE37153D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90E1D595-C0CB-4252-A530-4F7E8A564D0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783D4383-962F-41B0-8C48-7479536EE3E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88016254-A64D-4250-A600-B7ABFFC0125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BD4B9E9C-D701-4571-BD84-BEA84247CC7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20AC005C-29A0-4F17-98A8-CAB25251E96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DC540DF8-4DB8-4E96-B069-B4D81702227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6BA3D372-0505-4AF2-A3BA-0F7F6CFBE9D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B48BCA83-637D-4DD2-BC12-CF310091103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418FC87F-1469-43C8-84E9-C0A3C52F8A5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C0D90A7F-2369-42DA-AF39-30E79DA6A41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073A5790-964E-4177-82E1-1CC5470D005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32ED23CD-6C90-4B04-89DE-54D2595C945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FEEB76DD-0086-4FE2-BDD5-2657C83851B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6BDC1864-9C12-4239-8687-79C10466AA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D8D42463-4CD2-4651-87BF-18C6241C869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39CFB1E3-F13A-4BE5-98F9-531D8EE74A1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D89962D0-F57B-49E7-B0AC-23C73816332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3371D60D-0652-4997-A852-792E61427CB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11B8D325-5209-4E5F-9A07-DEE7E1F9CC4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17367CAB-B161-47FE-98C5-47617EE6D0D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E473A4B8-DF01-42ED-8D05-B8E70CCA6ED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CB84C3D5-AE02-4311-9B46-B325FA111D6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11BFC5ED-8A8F-402E-BB33-32DCD88533E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2AB6887B-A47D-414E-AEEA-C917B6905CC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933CDAE2-D29B-482B-9D97-515B0E1E06C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FEF35479-EC03-474B-ABE9-B341DE60EE8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B2B4FD2-C98D-4F4C-A62C-E5F234B19BA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0F664A0F-AC0C-400A-8C80-7A67FBF189A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94471FB7-C6F5-42B5-B870-C163C20EF35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7EC65D01-FD6C-4E60-BEE3-2EBCD12814F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31190FDE-76EE-4FEA-BC44-F711F339F0D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AEB1899F-84AC-4FEB-B8B2-6C1D1EC9C7E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5128633C-15C6-4039-A4E2-C770837C097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8CAA8A5C-CEF1-43E2-A763-8FCF1F6F4E6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CBCB43F1-2FE0-4633-8977-3A1F1C0ED3E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97E35364-01E0-420C-86A0-81D222F2D7A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D73F4B22-C80C-4568-953B-2151583BFBF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7B15F584-EC9D-4958-9770-9745F331706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49A1E0E6-5F6B-4DA8-A631-5796448E2F8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A3D58DD1-FE3C-4078-96DE-2C77927305C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4D6D1347-66BD-4871-8883-0B19F9E2064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C77FB646-EDD0-4AE3-AFBC-9E2EAF6F918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D527B9BF-5D69-48CB-A492-8B02AF197C6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3A29BFB0-710C-4A2F-9C47-6CFA58D25FE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0E3B5990-1F48-43D5-B4A9-2AD2613C964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76343BFD-C004-468F-9674-6C7832B9437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D779A7CB-1EAB-40A8-8183-4861295A355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B1A00DEC-8B32-4452-B18E-8E9A828C658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E16148B3-9D6A-4A87-9B01-01C4E21BFCF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49C40544-0705-4199-9AA6-DACA72A6DED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95E880B9-6877-445E-802E-448ABEA19D7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1DD011BE-D903-4B60-AD9C-7DB95B3A26D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264AB538-A9D9-44A9-B30B-290EB0C0399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F5817A94-5293-4048-B8A8-86AC3990C1B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D6858FC2-20E4-4018-98E5-3417B0B5088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79139076-8ACB-4ACE-9CFD-E2D9ACC5695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ECACD94E-7EE3-4A6E-9E97-15EF4116A90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826FA212-A4DD-4B19-94A6-7809B78F053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E11B1575-A0B0-4763-8A0D-24B8CBB8415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0472B12A-1D2D-475C-83B1-D219376D901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E21FCBA9-D6C8-4693-A09E-1E44EDACFF1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E2CBF823-3945-48CE-835F-EA1F88A2907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0E5B3E6A-97FD-4915-A86A-4B0633D383D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EF9DE576-CB3B-417C-92C0-CC421FA997F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09F370A6-8109-4A69-AB3A-31FB4121F9B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F6F8CC02-D1FB-46D7-B945-07B0420D66C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2A3B9655-0C81-4952-89CF-30AF9EC9C62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36D0D5B7-5DA9-4DCD-9AF1-595DCB99249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5C94782C-7239-480B-8A9C-B72C313D4A8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A770302C-4E24-4BE4-BE29-80DE8FD3867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40263FAA-D8D3-4C18-905F-82107D68327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42051CCA-16D1-42EF-8FDF-AEB225283F3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1E8C84D2-4581-40C6-8D2C-D2B0F010FBC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A7E06214-D8F5-49DD-9E6F-77E3A69B1F7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0855C05C-433B-47C6-83DC-52E99FB6520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38EC0945-DD1D-40E7-B131-7934F3BE24A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F4A76140-6EA8-47F9-AF2D-7ED71E37900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24C6EF07-62C6-4725-897C-E17F7A002E5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89F483F7-C471-4E1C-A7E4-7793D8A9A40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00EE954D-0AD1-4E98-8070-2A46FA02108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04F69D92-D07B-4C9A-BF02-D7219849DDB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3249F33A-D07C-4027-A503-088A302E5DF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B8A5487E-3834-4F08-B2B2-E1437F95328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9696C495-6179-4372-A502-A3F3A3B629B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842C4169-2BCE-479A-BAC7-925AAF598FA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124FA67A-D8C2-48F4-A125-468E479C2D8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57A273DC-A1F6-4C3C-8712-D5014D7B83C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F2ED85E8-6463-4D56-B3D5-5E0855A7F22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B7E56D88-1F6E-4F2E-A991-D7E3304F5F0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53" authorId="1" shapeId="0" xr:uid="{4725C5C3-ABC0-44BD-85BE-0092D107A53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tank availability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1B3FF9A5-85B0-49C0-967E-3517D40C66D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3BD8B260-628C-401B-B59C-787EE27FC31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77A33E1B-4BAF-4AE1-873D-56F8251BDB4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DED8BEBD-5A35-4F22-BA6A-26DC489A0F7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A67797A5-1400-4226-B2A0-AC4503EA991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BB2A66E9-BB65-497A-B7E9-77AEE22C6A1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C07CADA1-E6EB-440E-9312-627636BC781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E5322601-1FE4-4C69-A5CF-3CF20B6ABF0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E7FCBB2D-DACE-470B-837C-72417F333AE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9E48951A-9A17-4FC8-B081-169C5289C8D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26966FC7-B83B-4A00-8FF7-8D6C8B190D8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43" authorId="1" shapeId="0" xr:uid="{3F53DE32-AE38-4B6F-ACE1-0D16F330549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tank availability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CD37B7E6-BFB5-4CA9-9B77-1B2689C52CE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84BFF482-49B8-4E32-95FB-BA43A849BC4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DE35FCFD-345A-48DF-9C3A-3909A66919B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3B4E25D3-7197-4241-9A5A-E505A84D72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31B2FE2F-FCCC-48E8-A7EA-951924F479B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1C67BEF9-05AD-4FC4-987E-48A500DE941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498D1F27-BC26-4BCF-AD3C-E01B03856C6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2FFAE472-BBF4-4EA0-82B2-C2F013FFEB8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ADB09CCC-779D-4E94-9FF3-75C5AFBF35A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64BA762D-68CF-4032-A628-3AEC90B5598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E8566D8A-B7B3-4E4E-9CDB-5050952B1AB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7BE73113-F128-4ADE-8429-86606F77662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4C834C23-EAED-4268-A609-2A2C0A4A6E2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7EE3D3D3-08C3-41DE-9430-556AC423540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2940A3A9-5CFE-4435-8B6C-0B128DD338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AB632B00-A4AE-4B86-B2BB-257C7B312B0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36A9AC04-3945-44CB-9417-FE26FB844AD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0E28003D-2D8C-4BC2-A42B-75350078D89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78452A51-8ABF-4F19-BC99-D914BC75221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82F7537D-E324-45C1-939A-4A1C00393E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3F1B428D-E72A-4238-8210-784D27A65D5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E4A74667-1AD2-4A69-8B74-68863DBB1DF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44488DAF-973C-4EC1-B3DE-6E9E69562C6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066DF15E-9423-4BE1-A305-B492C4AA461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56382B87-56BC-4BC0-9A2E-9FDF75762DF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DB5AE01-C5C1-409F-B90A-5C4C4A5F9E9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E59FFB6C-D66A-4C99-A55C-00895701383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61496B54-3792-4C0B-A267-2512EDFA2F9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4D1722CE-123F-48F7-B4B6-A02F0B6DB79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9AC9D4CF-B229-452E-BF5A-0F81A0C8E58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66B6544D-E2DF-4011-AAB1-1C979F8DCB1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05D9055B-2CE0-485B-82CA-FC6CBAFAC0F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0ADF15D6-ADAE-4BB2-A2A7-93CDEAA4539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4B4CC3E0-2291-4A3A-9D98-B4F49B7F9E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A7C54DAF-4F40-4A9C-AECD-59BA1517C19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6795B3DF-3ED9-4919-B808-1CB613DC3E3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1048A030-DF1C-48F3-B490-36A2F0F38B1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A7C9A2D1-2121-4EAC-8816-ECA3C967F5E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D6C601AD-6229-4AA2-B3DE-4800F666BE9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9A0313E9-933D-4299-B02B-D08815284B2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FF2A8CBB-B292-4D1B-9CBE-4DC4D585147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0CDFF668-D383-4944-806E-A2255290BB1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8108A89A-48A3-4632-914F-9827EE4446C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F9D23CFC-55F6-461E-8F90-61BE191075A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A053EB6D-8E2C-4F7E-B02A-2F6004D6C26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A9EE63A5-B1A1-45EA-9AD0-D370C3ABB8E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23AC4437-699A-411C-8A5E-F839FF6E0C8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4847957C-B873-452D-8871-3AC300E7107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B3500BB7-C36C-474B-9CE0-E0C90963959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7C845FFE-ABA8-4118-B02F-A9CD3D49604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DA68A556-BCC4-45B4-8A53-364665B1F3C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DE432A1E-D0CA-4DD8-80CF-A6AA40ED502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D19E4E20-1A8A-4525-A1EF-0D1576048BD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1C8F6CB3-B8E3-495F-8DC3-11DFA13F7D6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2AA07960-9576-466A-8CE3-ED2C0E1D33C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E03F168D-F7C2-4F33-98F3-773BA8A851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0E96AD77-F6FB-4313-A484-630EC6888A8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EFB5F98C-B6DE-43E7-9956-7BE920873D0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25A34F26-B0BC-4A12-AB14-73E00086DCB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896CDAFD-F602-43BE-B0EE-08306822783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C7B1F829-CC82-4701-A6EB-42266CA7FC3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4B16F58B-6A88-4D5F-AD65-E8FAFA14154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E3DCA253-06E6-4282-A94E-039230AE93B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11EE8C69-F777-4893-ABE0-97C00CA39A3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8D17BC63-C8E0-4CE5-8638-09F5D76B166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AFF93A5B-1829-40CC-80BB-C29DFFABFD8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E4C81E4D-CCDC-40AC-975A-897C2009FB5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423215DE-AD9E-4DE4-9420-6726BACB872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EA961608-A275-4BC8-9B4B-40231412CC5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7FB3B6EB-C430-4B99-963C-130F608AF8F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2DDC989C-0A97-4637-8E09-6938D650117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036755C9-D7E0-4107-A325-8E60BD2E027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C45C7286-B87A-46C8-8C98-D874172C607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2125DC67-1D02-402A-9587-A73A4BC71AA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6ECB7637-39C2-4BD1-AC4D-81A565620F6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37B56498-0746-4809-9D29-A66667ECA35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FC4A020A-9351-4861-84C4-F6F8CA05930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0E0152A6-516C-46D5-A0AC-094C18C99CC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893EA32A-DB9C-48F8-87C5-5ADF535A2BE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8664663A-8572-4A0D-A032-FC08A250FCF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86EF3779-B75A-4E62-A472-A9B290A270B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323F085D-74E1-4862-BA7A-D9778D057C7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5DCBE6A2-0F59-49E0-B848-11C5A247EE5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85475BE6-A00C-4C8A-94E8-D0CEF8C5CDB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36AA3BCA-BBA8-434C-9B7A-612D6495305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993D8452-67F5-4738-BA83-3A1B3668A2E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EDC1F2DE-8BD5-441C-96DC-1ED8852FD4A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F58D4F3D-069D-4DF5-94F3-04A1A05C606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0278CB08-65B9-4E97-BE9E-D30A8EE2565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688EDA27-2DBD-4920-8372-ADFC5042385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4A8F76D6-1499-408B-B9D1-2FD2D3BE034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2D0B531F-3565-416A-9535-2845D7212D7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2E0D08A9-D5B1-4A24-88E4-4EF8A91704B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4BE42CB0-D845-4300-9B7D-D6F5FCEA8E6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9A467367-84DA-422F-B34C-742D32EC372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C0D752CA-F61B-4DC0-B2B1-1617C86596C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722EF35C-CFDA-4FF2-9205-5EA647FBF6E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A1F4CA39-F6BA-4137-9248-F2A39B33212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14F38510-88AC-4528-B91E-40E12C3476F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D83249AB-2A49-4BC4-9441-5784BCA74C6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0FA270B6-ACFB-498F-B130-DDA07608F03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4CF2B52B-172E-4DDD-A062-97D03557FFD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622B9ADA-F750-4FD4-BD83-2F5A109FBCD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CCDE3EFA-A6D4-49BD-859D-3BAA51F9D2A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8D4113D1-68C7-4B03-9365-AC7A9C40DB3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6EDF0861-C349-4E6E-A23A-B529BE9690E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61BD2A68-32CC-4688-BB7C-6C5C70B7292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00A8DD59-8217-46CC-B2B1-CD0DA207D4F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26B3B8B4-2FDE-4E33-A523-47D4EFDC8E5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B32CEBC0-28F0-47AA-943B-437A52363D6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8C1CD7A7-957A-4C42-9D42-0A1EB618C04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0B0BB95F-7B3A-4C21-91CB-A6AF281FE81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7D3E4FF8-482D-4049-848E-7E5A0D1F3BD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02D8E1D1-DB56-43BE-8B2D-AB12090D1E8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E675BFF0-FE04-480B-A727-7C21B3853E1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5AF2DA6D-37EC-4A8B-87A0-192EEB6F519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0FD55513-41CC-4C54-BD97-DC58DD901D3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6DBECA01-8390-4375-81FF-8A1B4B83C0E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416275F2-9E22-49FA-8B73-291457BB49F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D5B0041A-6596-4BD0-A825-DBBD6F1FCD1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89236970-AC63-4521-B71B-A8543058569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L31" authorId="1" shapeId="0" xr:uid="{DA414135-125E-42BD-870E-2DD84BFD26A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97.85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G42" authorId="0" shapeId="0" xr:uid="{D8E8AFA0-D691-4A54-AD3E-8CFCB2EDDCE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2days</t>
        </r>
      </text>
    </comment>
    <comment ref="D45" authorId="0" shapeId="0" xr:uid="{FF1551A6-B51A-4CE8-B073-D15FFA344B4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Brewed for 5days</t>
        </r>
      </text>
    </comment>
  </commentList>
</comments>
</file>

<file path=xl/sharedStrings.xml><?xml version="1.0" encoding="utf-8"?>
<sst xmlns="http://schemas.openxmlformats.org/spreadsheetml/2006/main" count="3331" uniqueCount="197">
  <si>
    <t>P.G.</t>
  </si>
  <si>
    <t>Hot Time</t>
  </si>
  <si>
    <t>Process Time</t>
  </si>
  <si>
    <t>Brewing Department Daily Process Loss Report</t>
  </si>
  <si>
    <t>Lower</t>
  </si>
  <si>
    <t>Upper</t>
  </si>
  <si>
    <t>CARIB</t>
  </si>
  <si>
    <t>Date:</t>
  </si>
  <si>
    <r>
      <t xml:space="preserve">Filter Sheets </t>
    </r>
    <r>
      <rPr>
        <b/>
        <i/>
        <sz val="9"/>
        <rFont val="Arial"/>
        <family val="2"/>
      </rPr>
      <t xml:space="preserve">(Target </t>
    </r>
    <r>
      <rPr>
        <b/>
        <i/>
        <u/>
        <sz val="9"/>
        <rFont val="Arial"/>
        <family val="2"/>
      </rPr>
      <t>20</t>
    </r>
    <r>
      <rPr>
        <b/>
        <i/>
        <sz val="9"/>
        <rFont val="Arial"/>
        <family val="2"/>
      </rPr>
      <t xml:space="preserve"> days)</t>
    </r>
  </si>
  <si>
    <t>STAG</t>
  </si>
  <si>
    <t>Double</t>
  </si>
  <si>
    <t>Single</t>
  </si>
  <si>
    <t>GUINNESS</t>
  </si>
  <si>
    <t>Brewhouse:</t>
  </si>
  <si>
    <t>Sheet Day</t>
  </si>
  <si>
    <t>MACKESON</t>
  </si>
  <si>
    <t>STARMALT</t>
  </si>
  <si>
    <t>Brand</t>
  </si>
  <si>
    <t>Brew no.</t>
  </si>
  <si>
    <t>Kett. Hls</t>
  </si>
  <si>
    <t>Wort</t>
  </si>
  <si>
    <t>Cool Time(Mins)</t>
  </si>
  <si>
    <t>Cast. P.G. (Lab Result)</t>
  </si>
  <si>
    <t>Theor. Extr. (77.5%)</t>
  </si>
  <si>
    <t xml:space="preserve"> Boil Time</t>
  </si>
  <si>
    <t>Total Hot</t>
  </si>
  <si>
    <t>Brewing</t>
  </si>
  <si>
    <t>Operator</t>
  </si>
  <si>
    <t>Comments</t>
  </si>
  <si>
    <t>MAXIMALT</t>
  </si>
  <si>
    <t>Meter (Hls)</t>
  </si>
  <si>
    <t>Target(&lt; 60Mins)</t>
  </si>
  <si>
    <t>Time</t>
  </si>
  <si>
    <t>VITAMALT</t>
  </si>
  <si>
    <t>EXTRACT RECOVERY</t>
  </si>
  <si>
    <t>BBT P.G./ O.G</t>
  </si>
  <si>
    <t>Actual</t>
  </si>
  <si>
    <t>MTD</t>
  </si>
  <si>
    <t>YTD</t>
  </si>
  <si>
    <t>Target</t>
  </si>
  <si>
    <t>GUINN</t>
  </si>
  <si>
    <t xml:space="preserve"> </t>
  </si>
  <si>
    <t>Process:</t>
  </si>
  <si>
    <t>Fermentation/Filtration</t>
  </si>
  <si>
    <t>Filt. Date</t>
  </si>
  <si>
    <t>FV Hls</t>
  </si>
  <si>
    <t xml:space="preserve">GFE/ Prim/ Vita Blend (Hls) </t>
  </si>
  <si>
    <t>SV Hls</t>
  </si>
  <si>
    <t>BBT Hls</t>
  </si>
  <si>
    <t xml:space="preserve"> Loss (%) Ferm</t>
  </si>
  <si>
    <t xml:space="preserve"> Loss (%) Filt</t>
  </si>
  <si>
    <t>Throughput</t>
  </si>
  <si>
    <t>Process Loss (%)</t>
  </si>
  <si>
    <t>Filt. Operator</t>
  </si>
  <si>
    <t>hls</t>
  </si>
  <si>
    <t>Process Loss (Volume)</t>
  </si>
  <si>
    <t>Process Loss (Extract)</t>
  </si>
  <si>
    <t>:</t>
  </si>
  <si>
    <t>Process Department Daily Loss Report</t>
  </si>
  <si>
    <t>Date</t>
  </si>
  <si>
    <t>1st Run</t>
  </si>
  <si>
    <r>
      <t xml:space="preserve">Extr. Rec </t>
    </r>
    <r>
      <rPr>
        <b/>
        <sz val="9"/>
        <rFont val="Arial"/>
        <family val="2"/>
      </rPr>
      <t>(79.5%)</t>
    </r>
  </si>
  <si>
    <r>
      <t xml:space="preserve">Theor. Extr. </t>
    </r>
    <r>
      <rPr>
        <b/>
        <sz val="9"/>
        <rFont val="Arial"/>
        <family val="2"/>
      </rPr>
      <t>(</t>
    </r>
    <r>
      <rPr>
        <b/>
        <i/>
        <sz val="9"/>
        <rFont val="Arial"/>
        <family val="2"/>
      </rPr>
      <t>77.5</t>
    </r>
    <r>
      <rPr>
        <b/>
        <sz val="9"/>
        <rFont val="Arial"/>
        <family val="2"/>
      </rPr>
      <t>%)</t>
    </r>
  </si>
  <si>
    <t>Target(65Mins)</t>
  </si>
  <si>
    <t>Carib</t>
  </si>
  <si>
    <t>.</t>
  </si>
  <si>
    <t>Cooling Temperatures</t>
  </si>
  <si>
    <t>RU 5</t>
  </si>
  <si>
    <t>Brew No.</t>
  </si>
  <si>
    <t>Alcohol Temp.</t>
  </si>
  <si>
    <t>Start</t>
  </si>
  <si>
    <t>End</t>
  </si>
  <si>
    <t>Stag</t>
  </si>
  <si>
    <t>Guinn</t>
  </si>
  <si>
    <t>Vitamalt</t>
  </si>
  <si>
    <t>Maximalt</t>
  </si>
  <si>
    <t>Mackeson</t>
  </si>
  <si>
    <t>MaltaCarib</t>
  </si>
  <si>
    <t>Filtration</t>
  </si>
  <si>
    <t>GFE/ Prim</t>
  </si>
  <si>
    <t>Without VitaMalt adjustment</t>
  </si>
  <si>
    <t>Filtration Throughput</t>
  </si>
  <si>
    <t>StarMalt</t>
  </si>
  <si>
    <t>Bad Dog</t>
  </si>
  <si>
    <t>TARGET</t>
  </si>
  <si>
    <t>BRANDS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</si>
  <si>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</si>
  <si>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</si>
  <si>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</si>
  <si>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</si>
  <si>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</si>
  <si>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</si>
  <si>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</si>
  <si>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</si>
  <si>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</si>
  <si>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</si>
  <si>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Guinness</t>
  </si>
  <si>
    <t xml:space="preserve">Maximalt </t>
  </si>
  <si>
    <t>Star Malt</t>
  </si>
  <si>
    <t>OVERALL</t>
  </si>
  <si>
    <t>PROCESS VOLUME LOSSES</t>
  </si>
  <si>
    <t>PROCESS VOLUME EXTRACT</t>
  </si>
  <si>
    <t xml:space="preserve">BREWER PERFORMANCE MTD </t>
  </si>
  <si>
    <t>NAME</t>
  </si>
  <si>
    <t>LAST BREW</t>
  </si>
  <si>
    <t>KEIRAN BENJAMIN</t>
  </si>
  <si>
    <t>JOHNNY GREENIDGE</t>
  </si>
  <si>
    <t>JAMES GRANT</t>
  </si>
  <si>
    <t>RODNEY REGIS</t>
  </si>
  <si>
    <t xml:space="preserve">    OVERALL MONTHLY PROGRESSION</t>
  </si>
  <si>
    <t>TARGET OF 98%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</si>
  <si>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</si>
  <si>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</si>
  <si>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</si>
  <si>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</si>
  <si>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</si>
  <si>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</si>
  <si>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</si>
  <si>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</si>
  <si>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</si>
  <si>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</si>
  <si>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</si>
  <si>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</si>
  <si>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MONTHLY PROGESSION GRAPH</t>
  </si>
  <si>
    <t>Cooling  Time</t>
  </si>
  <si>
    <t>Hurricane Reef</t>
  </si>
  <si>
    <t>Actual Pilsen Malt</t>
  </si>
  <si>
    <t>HURRICANE REEF</t>
  </si>
  <si>
    <t>HR</t>
  </si>
  <si>
    <t>Daily Brewing Plan</t>
  </si>
  <si>
    <t>Total</t>
  </si>
  <si>
    <t>CARIBE</t>
  </si>
  <si>
    <t>DESEAN EMERY</t>
  </si>
  <si>
    <t xml:space="preserve">Date: </t>
  </si>
  <si>
    <t xml:space="preserve">HR- PILSNER </t>
  </si>
  <si>
    <t>HR- PISNER</t>
  </si>
  <si>
    <t>Average Brews per day</t>
  </si>
  <si>
    <t>HR- P</t>
  </si>
  <si>
    <t>MTD No. of Brews</t>
  </si>
  <si>
    <t xml:space="preserve">AVERAGE </t>
  </si>
  <si>
    <t xml:space="preserve">GEMMON MASON </t>
  </si>
  <si>
    <t>CAMULUS PHILLIP</t>
  </si>
  <si>
    <t>Boil Off /Vol.  (4-6%)</t>
  </si>
  <si>
    <t xml:space="preserve">      MTD GRAPH OCTOBER 2022</t>
  </si>
  <si>
    <t>Cast P.G. (Cellar Operator)-gravity</t>
  </si>
  <si>
    <t>BRAND</t>
  </si>
  <si>
    <t xml:space="preserve">Actual </t>
  </si>
  <si>
    <t xml:space="preserve">Brews Achieved </t>
  </si>
  <si>
    <t>HURRICANE REEF- APA</t>
  </si>
  <si>
    <t>HURRICANE REEF- IPA</t>
  </si>
  <si>
    <t>NO BREAK</t>
  </si>
  <si>
    <t xml:space="preserve"> MALT LOT: Lot 8</t>
  </si>
  <si>
    <t>Extr. Rec (79.1%)</t>
  </si>
  <si>
    <t>LOT WORT COLOUR: 3.4</t>
  </si>
  <si>
    <t xml:space="preserve">K.Hosten </t>
  </si>
  <si>
    <t xml:space="preserve">Operator </t>
  </si>
  <si>
    <t>HR- APA</t>
  </si>
  <si>
    <t>HR- IPA</t>
  </si>
  <si>
    <t>HR- Pils</t>
  </si>
  <si>
    <t>HR PILS</t>
  </si>
  <si>
    <t>HR APA</t>
  </si>
  <si>
    <t>HURRICANE REEF PILS</t>
  </si>
  <si>
    <t xml:space="preserve">BRAND </t>
  </si>
  <si>
    <t>NO SBF</t>
  </si>
  <si>
    <t>IPA</t>
  </si>
  <si>
    <t>APA</t>
  </si>
  <si>
    <t>Extr. Rec (77.9%)</t>
  </si>
  <si>
    <t xml:space="preserve"> MALT LOT: Lot #44</t>
  </si>
  <si>
    <t>LOT WORT COLOUR: 3.5</t>
  </si>
  <si>
    <t>brew held back in mash tun (maintenance working on lauter tun circulation pump)</t>
  </si>
  <si>
    <t xml:space="preserve">G. Mason </t>
  </si>
  <si>
    <t>1 BREAK</t>
  </si>
  <si>
    <t xml:space="preserve">Long heat up </t>
  </si>
  <si>
    <t>Waiting to transfer to Whirlpool</t>
  </si>
  <si>
    <t>Held back to avoid backups</t>
  </si>
  <si>
    <t>J. Nelson</t>
  </si>
  <si>
    <t>Sugar hopper issues</t>
  </si>
  <si>
    <t>Copper up in pre run tank</t>
  </si>
  <si>
    <t>4 BREAKS</t>
  </si>
  <si>
    <t>K. Neptune</t>
  </si>
  <si>
    <t xml:space="preserve">15mins extra boil </t>
  </si>
  <si>
    <t>K. Hosten</t>
  </si>
  <si>
    <t>G. Mason</t>
  </si>
  <si>
    <t>4 BREAKS- Water added</t>
  </si>
  <si>
    <t xml:space="preserve">K. Hosten </t>
  </si>
  <si>
    <t xml:space="preserve">NO BREAK </t>
  </si>
  <si>
    <t xml:space="preserve">3 BREAK </t>
  </si>
  <si>
    <t>T. Charles</t>
  </si>
  <si>
    <t>2 SBF</t>
  </si>
  <si>
    <t>1 SBF</t>
  </si>
  <si>
    <t xml:space="preserve">26th Sept </t>
  </si>
  <si>
    <t xml:space="preserve">K. Neptune </t>
  </si>
  <si>
    <t xml:space="preserve"> MALT LOT: Lot #3</t>
  </si>
  <si>
    <t>LOT WORT COLOUR: 3.3</t>
  </si>
  <si>
    <t xml:space="preserve">NO SBF- Water added </t>
  </si>
  <si>
    <t xml:space="preserve">slow heat up steam pressure drop </t>
  </si>
  <si>
    <t>Shandy Sorrel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</si>
</sst>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[$-409]mmmm\ d\,\ yyyy;@"/>
    <numFmt numFmtId="166" formatCode="0.0"/>
    <numFmt numFmtId="167" formatCode="[m]"/>
    <numFmt numFmtId="168" formatCode="0.000"/>
    <numFmt numFmtId="169" formatCode="[$-409]d\-mmm;@"/>
    <numFmt numFmtId="170" formatCode="0.0%"/>
    <numFmt numFmtId="171" formatCode="#,##0.0"/>
  </numFmts>
  <fonts count="8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Tahoma"/>
      <family val="2"/>
    </font>
    <font>
      <sz val="11"/>
      <name val="Tahoma"/>
      <family val="2"/>
    </font>
    <font>
      <b/>
      <sz val="11"/>
      <color rgb="FF963634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i/>
      <u/>
      <sz val="9"/>
      <name val="Arial"/>
      <family val="2"/>
    </font>
    <font>
      <i/>
      <sz val="11"/>
      <name val="Calibri"/>
      <family val="2"/>
    </font>
    <font>
      <b/>
      <sz val="11"/>
      <name val="Tahoma"/>
      <family val="2"/>
    </font>
    <font>
      <b/>
      <u/>
      <sz val="11"/>
      <name val="Arial"/>
      <family val="2"/>
    </font>
    <font>
      <b/>
      <sz val="11"/>
      <color rgb="FF0000FF"/>
      <name val="Arial"/>
      <family val="2"/>
    </font>
    <font>
      <sz val="11"/>
      <color theme="1"/>
      <name val="Arial"/>
      <family val="2"/>
    </font>
    <font>
      <b/>
      <i/>
      <sz val="11"/>
      <name val="Arial"/>
      <family val="2"/>
    </font>
    <font>
      <b/>
      <sz val="11"/>
      <color indexed="53"/>
      <name val="Arial"/>
      <family val="2"/>
    </font>
    <font>
      <sz val="11"/>
      <color theme="0"/>
      <name val="Arial"/>
      <family val="2"/>
    </font>
    <font>
      <i/>
      <sz val="11"/>
      <color theme="1"/>
      <name val="Arial"/>
      <family val="2"/>
    </font>
    <font>
      <b/>
      <sz val="11"/>
      <color indexed="12"/>
      <name val="Arial"/>
      <family val="2"/>
    </font>
    <font>
      <b/>
      <sz val="11"/>
      <color indexed="17"/>
      <name val="Arial"/>
      <family val="2"/>
    </font>
    <font>
      <b/>
      <sz val="11"/>
      <color indexed="10"/>
      <name val="Arial"/>
      <family val="2"/>
    </font>
    <font>
      <b/>
      <sz val="11"/>
      <color indexed="20"/>
      <name val="Arial"/>
      <family val="2"/>
    </font>
    <font>
      <b/>
      <sz val="11"/>
      <color indexed="16"/>
      <name val="Arial"/>
      <family val="2"/>
    </font>
    <font>
      <b/>
      <sz val="11"/>
      <color theme="1"/>
      <name val="Arial"/>
      <family val="2"/>
    </font>
    <font>
      <b/>
      <sz val="11"/>
      <color rgb="FF0070C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 Narrow"/>
      <family val="2"/>
    </font>
    <font>
      <b/>
      <sz val="11"/>
      <color theme="2" tint="-0.89999084444715716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2" tint="-0.89999084444715716"/>
      <name val="Arial"/>
      <family val="2"/>
    </font>
    <font>
      <sz val="12"/>
      <name val="Tahoma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9"/>
      <color indexed="10"/>
      <name val="Arial"/>
      <family val="2"/>
    </font>
    <font>
      <b/>
      <sz val="10"/>
      <color indexed="12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b/>
      <sz val="10"/>
      <color indexed="17"/>
      <name val="Arial"/>
      <family val="2"/>
    </font>
    <font>
      <b/>
      <sz val="10"/>
      <color indexed="10"/>
      <name val="Arial"/>
      <family val="2"/>
    </font>
    <font>
      <b/>
      <sz val="10"/>
      <color indexed="16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color theme="1"/>
      <name val="Arial"/>
      <family val="2"/>
    </font>
    <font>
      <b/>
      <sz val="10"/>
      <color indexed="53"/>
      <name val="Arial"/>
      <family val="2"/>
    </font>
    <font>
      <b/>
      <sz val="10"/>
      <color indexed="20"/>
      <name val="Arial"/>
      <family val="2"/>
    </font>
    <font>
      <b/>
      <sz val="9"/>
      <color indexed="63"/>
      <name val="Arial"/>
      <family val="2"/>
    </font>
    <font>
      <sz val="10"/>
      <color indexed="10"/>
      <name val="Arial"/>
      <family val="2"/>
    </font>
    <font>
      <b/>
      <sz val="8"/>
      <name val="Arial"/>
      <family val="2"/>
    </font>
    <font>
      <b/>
      <sz val="8"/>
      <color theme="2" tint="-0.89999084444715716"/>
      <name val="Arial"/>
      <family val="2"/>
    </font>
    <font>
      <sz val="10"/>
      <color theme="2" tint="-0.899990844447157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BankGothic Lt BT"/>
      <family val="2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4"/>
      <color theme="0"/>
      <name val="BankGothic Md BT"/>
      <family val="2"/>
    </font>
    <font>
      <b/>
      <i/>
      <sz val="14"/>
      <color theme="0"/>
      <name val="Calibri"/>
      <family val="2"/>
      <scheme val="minor"/>
    </font>
    <font>
      <sz val="16"/>
      <color theme="1"/>
      <name val="BankGothic Md BT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Arial"/>
      <family val="2"/>
    </font>
    <font>
      <b/>
      <sz val="11"/>
      <color rgb="FFCC66FF"/>
      <name val="Arial"/>
      <family val="2"/>
    </font>
    <font>
      <b/>
      <sz val="11"/>
      <color rgb="FFFFC000"/>
      <name val="Arial"/>
      <family val="2"/>
    </font>
    <font>
      <b/>
      <sz val="11"/>
      <color rgb="FFFF0000"/>
      <name val="Arial"/>
      <family val="2"/>
    </font>
    <font>
      <b/>
      <sz val="11"/>
      <color rgb="FF008200"/>
      <name val="Arial"/>
      <family val="2"/>
    </font>
    <font>
      <b/>
      <sz val="11"/>
      <color rgb="FF00B050"/>
      <name val="Arial"/>
      <family val="2"/>
    </font>
    <font>
      <b/>
      <sz val="11"/>
      <color theme="8" tint="0.39997558519241921"/>
      <name val="Arial"/>
      <family val="2"/>
    </font>
    <font>
      <b/>
      <sz val="11"/>
      <color rgb="FFFF66FF"/>
      <name val="Arial"/>
      <family val="2"/>
    </font>
    <font>
      <b/>
      <sz val="11"/>
      <color theme="9" tint="0.39997558519241921"/>
      <name val="Arial"/>
      <family val="2"/>
    </font>
    <font>
      <b/>
      <sz val="11"/>
      <color rgb="FFC00000"/>
      <name val="Arial"/>
      <family val="2"/>
    </font>
    <font>
      <b/>
      <sz val="11"/>
      <color theme="5" tint="-0.249977111117893"/>
      <name val="Arial"/>
      <family val="2"/>
    </font>
    <font>
      <b/>
      <sz val="11"/>
      <color theme="5"/>
      <name val="Arial"/>
      <family val="2"/>
    </font>
    <font>
      <b/>
      <sz val="11"/>
      <color rgb="FFFF0066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Dashed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1">
    <xf numFmtId="165" fontId="0" fillId="0" borderId="0"/>
    <xf numFmtId="164" fontId="7" fillId="0" borderId="0" applyFont="0" applyFill="0" applyBorder="0" applyAlignment="0" applyProtection="0"/>
    <xf numFmtId="0" fontId="5" fillId="2" borderId="0" applyNumberFormat="0" applyBorder="0" applyAlignment="0" applyProtection="0"/>
    <xf numFmtId="165" fontId="7" fillId="0" borderId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624">
    <xf numFmtId="165" fontId="0" fillId="0" borderId="0" xfId="0"/>
    <xf numFmtId="165" fontId="9" fillId="0" borderId="0" xfId="3" applyFont="1"/>
    <xf numFmtId="165" fontId="9" fillId="0" borderId="0" xfId="3" applyFont="1" applyAlignment="1">
      <alignment wrapText="1"/>
    </xf>
    <xf numFmtId="165" fontId="10" fillId="3" borderId="1" xfId="0" applyFont="1" applyFill="1" applyBorder="1"/>
    <xf numFmtId="165" fontId="11" fillId="0" borderId="0" xfId="3" applyFont="1" applyAlignment="1">
      <alignment horizontal="center" wrapText="1"/>
    </xf>
    <xf numFmtId="165" fontId="12" fillId="0" borderId="0" xfId="3" applyFont="1"/>
    <xf numFmtId="165" fontId="8" fillId="0" borderId="0" xfId="3" applyFont="1" applyAlignment="1">
      <alignment wrapText="1"/>
    </xf>
    <xf numFmtId="166" fontId="10" fillId="3" borderId="1" xfId="0" applyNumberFormat="1" applyFont="1" applyFill="1" applyBorder="1"/>
    <xf numFmtId="166" fontId="10" fillId="3" borderId="2" xfId="0" applyNumberFormat="1" applyFont="1" applyFill="1" applyBorder="1"/>
    <xf numFmtId="167" fontId="9" fillId="3" borderId="1" xfId="3" applyNumberFormat="1" applyFont="1" applyFill="1" applyBorder="1" applyAlignment="1">
      <alignment horizontal="right"/>
    </xf>
    <xf numFmtId="167" fontId="9" fillId="3" borderId="1" xfId="3" applyNumberFormat="1" applyFont="1" applyFill="1" applyBorder="1" applyAlignment="1">
      <alignment horizontal="right" vertical="center"/>
    </xf>
    <xf numFmtId="166" fontId="8" fillId="0" borderId="0" xfId="3" applyNumberFormat="1" applyFont="1"/>
    <xf numFmtId="165" fontId="9" fillId="0" borderId="0" xfId="3" applyFont="1" applyAlignment="1">
      <alignment horizontal="center" wrapText="1"/>
    </xf>
    <xf numFmtId="165" fontId="9" fillId="0" borderId="0" xfId="3" applyFont="1" applyAlignment="1">
      <alignment vertical="center"/>
    </xf>
    <xf numFmtId="165" fontId="17" fillId="0" borderId="1" xfId="3" applyFont="1" applyBorder="1"/>
    <xf numFmtId="165" fontId="18" fillId="0" borderId="0" xfId="3" applyFont="1"/>
    <xf numFmtId="1" fontId="8" fillId="0" borderId="0" xfId="3" applyNumberFormat="1" applyFont="1" applyAlignment="1">
      <alignment horizontal="center" wrapText="1"/>
    </xf>
    <xf numFmtId="165" fontId="9" fillId="5" borderId="7" xfId="3" applyFont="1" applyFill="1" applyBorder="1" applyAlignment="1">
      <alignment horizontal="center" vertical="center" wrapText="1"/>
    </xf>
    <xf numFmtId="165" fontId="8" fillId="0" borderId="9" xfId="3" applyFont="1" applyBorder="1" applyAlignment="1">
      <alignment horizontal="center"/>
    </xf>
    <xf numFmtId="20" fontId="9" fillId="0" borderId="0" xfId="3" applyNumberFormat="1" applyFont="1"/>
    <xf numFmtId="165" fontId="9" fillId="0" borderId="11" xfId="3" applyFont="1" applyBorder="1" applyAlignment="1">
      <alignment horizontal="center" vertical="top" wrapText="1"/>
    </xf>
    <xf numFmtId="165" fontId="9" fillId="5" borderId="11" xfId="3" applyFont="1" applyFill="1" applyBorder="1" applyAlignment="1">
      <alignment horizontal="center" vertical="top" wrapText="1"/>
    </xf>
    <xf numFmtId="165" fontId="23" fillId="0" borderId="13" xfId="3" applyFont="1" applyBorder="1" applyAlignment="1">
      <alignment horizontal="left"/>
    </xf>
    <xf numFmtId="2" fontId="9" fillId="0" borderId="0" xfId="3" applyNumberFormat="1" applyFont="1"/>
    <xf numFmtId="165" fontId="9" fillId="0" borderId="20" xfId="3" applyFont="1" applyBorder="1" applyAlignment="1">
      <alignment horizontal="left"/>
    </xf>
    <xf numFmtId="165" fontId="9" fillId="0" borderId="21" xfId="3" applyFont="1" applyBorder="1" applyAlignment="1">
      <alignment horizontal="center"/>
    </xf>
    <xf numFmtId="165" fontId="9" fillId="0" borderId="21" xfId="3" applyFont="1" applyBorder="1" applyAlignment="1">
      <alignment horizontal="center" wrapText="1"/>
    </xf>
    <xf numFmtId="165" fontId="9" fillId="0" borderId="22" xfId="3" applyFont="1" applyBorder="1" applyAlignment="1">
      <alignment horizontal="center"/>
    </xf>
    <xf numFmtId="165" fontId="24" fillId="0" borderId="0" xfId="3" applyFont="1"/>
    <xf numFmtId="165" fontId="26" fillId="0" borderId="13" xfId="3" applyFont="1" applyBorder="1" applyAlignment="1">
      <alignment horizontal="left"/>
    </xf>
    <xf numFmtId="166" fontId="8" fillId="0" borderId="15" xfId="3" applyNumberFormat="1" applyFont="1" applyBorder="1"/>
    <xf numFmtId="166" fontId="8" fillId="0" borderId="0" xfId="3" applyNumberFormat="1" applyFont="1" applyAlignment="1">
      <alignment wrapText="1"/>
    </xf>
    <xf numFmtId="2" fontId="8" fillId="0" borderId="0" xfId="3" quotePrefix="1" applyNumberFormat="1" applyFont="1" applyAlignment="1">
      <alignment horizontal="center"/>
    </xf>
    <xf numFmtId="165" fontId="27" fillId="0" borderId="13" xfId="3" applyFont="1" applyBorder="1"/>
    <xf numFmtId="165" fontId="28" fillId="0" borderId="13" xfId="3" applyFont="1" applyBorder="1"/>
    <xf numFmtId="165" fontId="29" fillId="0" borderId="13" xfId="3" applyFont="1" applyBorder="1"/>
    <xf numFmtId="165" fontId="30" fillId="0" borderId="13" xfId="3" applyFont="1" applyBorder="1" applyAlignment="1">
      <alignment horizontal="left"/>
    </xf>
    <xf numFmtId="165" fontId="13" fillId="0" borderId="13" xfId="3" applyFont="1" applyBorder="1"/>
    <xf numFmtId="165" fontId="32" fillId="0" borderId="31" xfId="3" applyFont="1" applyBorder="1"/>
    <xf numFmtId="166" fontId="8" fillId="0" borderId="0" xfId="3" applyNumberFormat="1" applyFont="1" applyAlignment="1">
      <alignment horizontal="right"/>
    </xf>
    <xf numFmtId="166" fontId="8" fillId="4" borderId="0" xfId="3" applyNumberFormat="1" applyFont="1" applyFill="1"/>
    <xf numFmtId="2" fontId="8" fillId="0" borderId="0" xfId="3" applyNumberFormat="1" applyFont="1" applyAlignment="1">
      <alignment horizontal="center"/>
    </xf>
    <xf numFmtId="2" fontId="9" fillId="0" borderId="0" xfId="3" applyNumberFormat="1" applyFont="1" applyAlignment="1">
      <alignment horizontal="center"/>
    </xf>
    <xf numFmtId="166" fontId="9" fillId="0" borderId="0" xfId="3" applyNumberFormat="1" applyFont="1" applyAlignment="1">
      <alignment horizontal="center"/>
    </xf>
    <xf numFmtId="2" fontId="24" fillId="0" borderId="0" xfId="3" applyNumberFormat="1" applyFont="1"/>
    <xf numFmtId="165" fontId="13" fillId="0" borderId="0" xfId="3" applyFont="1"/>
    <xf numFmtId="2" fontId="33" fillId="0" borderId="0" xfId="3" applyNumberFormat="1" applyFont="1" applyAlignment="1">
      <alignment horizontal="center"/>
    </xf>
    <xf numFmtId="165" fontId="8" fillId="0" borderId="4" xfId="3" applyFont="1" applyBorder="1" applyAlignment="1">
      <alignment horizontal="center"/>
    </xf>
    <xf numFmtId="165" fontId="8" fillId="0" borderId="0" xfId="3" applyFont="1" applyAlignment="1">
      <alignment horizontal="center"/>
    </xf>
    <xf numFmtId="165" fontId="8" fillId="0" borderId="0" xfId="3" applyFont="1" applyAlignment="1">
      <alignment horizontal="center" wrapText="1"/>
    </xf>
    <xf numFmtId="165" fontId="9" fillId="0" borderId="0" xfId="3" applyFont="1" applyAlignment="1">
      <alignment horizontal="center" vertical="center" wrapText="1"/>
    </xf>
    <xf numFmtId="169" fontId="34" fillId="0" borderId="41" xfId="0" applyNumberFormat="1" applyFont="1" applyBorder="1" applyAlignment="1">
      <alignment horizontal="center" vertical="center"/>
    </xf>
    <xf numFmtId="170" fontId="8" fillId="0" borderId="42" xfId="4" applyNumberFormat="1" applyFont="1" applyBorder="1" applyAlignment="1">
      <alignment horizontal="center" vertical="center"/>
    </xf>
    <xf numFmtId="2" fontId="31" fillId="0" borderId="2" xfId="3" applyNumberFormat="1" applyFont="1" applyBorder="1" applyAlignment="1">
      <alignment horizontal="center" vertical="center"/>
    </xf>
    <xf numFmtId="165" fontId="8" fillId="0" borderId="0" xfId="3" applyFont="1" applyAlignment="1">
      <alignment horizontal="center" vertical="center"/>
    </xf>
    <xf numFmtId="165" fontId="9" fillId="0" borderId="43" xfId="3" applyFont="1" applyBorder="1" applyAlignment="1">
      <alignment vertical="center" wrapText="1"/>
    </xf>
    <xf numFmtId="165" fontId="9" fillId="0" borderId="0" xfId="3" applyFont="1" applyAlignment="1">
      <alignment vertical="center" wrapText="1"/>
    </xf>
    <xf numFmtId="170" fontId="8" fillId="0" borderId="0" xfId="3" applyNumberFormat="1" applyFont="1" applyAlignment="1">
      <alignment horizontal="center" vertical="center"/>
    </xf>
    <xf numFmtId="165" fontId="9" fillId="0" borderId="44" xfId="3" applyFont="1" applyBorder="1" applyAlignment="1">
      <alignment horizontal="center" shrinkToFit="1"/>
    </xf>
    <xf numFmtId="165" fontId="9" fillId="0" borderId="45" xfId="3" applyFont="1" applyBorder="1" applyAlignment="1">
      <alignment horizontal="center" shrinkToFit="1"/>
    </xf>
    <xf numFmtId="165" fontId="9" fillId="0" borderId="0" xfId="3" applyFont="1" applyAlignment="1">
      <alignment horizontal="center" wrapText="1" shrinkToFit="1"/>
    </xf>
    <xf numFmtId="165" fontId="9" fillId="0" borderId="50" xfId="3" applyFont="1" applyBorder="1" applyAlignment="1">
      <alignment horizontal="left"/>
    </xf>
    <xf numFmtId="165" fontId="9" fillId="0" borderId="10" xfId="3" applyFont="1" applyBorder="1" applyAlignment="1">
      <alignment horizontal="left"/>
    </xf>
    <xf numFmtId="165" fontId="9" fillId="0" borderId="12" xfId="3" applyFont="1" applyBorder="1" applyAlignment="1">
      <alignment horizontal="left"/>
    </xf>
    <xf numFmtId="165" fontId="9" fillId="0" borderId="0" xfId="3" applyFont="1" applyAlignment="1">
      <alignment horizontal="left" wrapText="1"/>
    </xf>
    <xf numFmtId="2" fontId="35" fillId="0" borderId="1" xfId="3" applyNumberFormat="1" applyFont="1" applyBorder="1" applyAlignment="1">
      <alignment horizontal="right"/>
    </xf>
    <xf numFmtId="166" fontId="8" fillId="0" borderId="15" xfId="3" applyNumberFormat="1" applyFont="1" applyBorder="1" applyAlignment="1">
      <alignment horizontal="right"/>
    </xf>
    <xf numFmtId="170" fontId="31" fillId="0" borderId="1" xfId="3" applyNumberFormat="1" applyFont="1" applyBorder="1" applyAlignment="1">
      <alignment horizontal="right"/>
    </xf>
    <xf numFmtId="9" fontId="8" fillId="0" borderId="15" xfId="3" applyNumberFormat="1" applyFont="1" applyBorder="1" applyAlignment="1">
      <alignment horizontal="right"/>
    </xf>
    <xf numFmtId="9" fontId="8" fillId="0" borderId="0" xfId="3" applyNumberFormat="1" applyFont="1" applyAlignment="1">
      <alignment horizontal="right" wrapText="1"/>
    </xf>
    <xf numFmtId="166" fontId="8" fillId="0" borderId="51" xfId="3" applyNumberFormat="1" applyFont="1" applyBorder="1" applyAlignment="1">
      <alignment horizontal="right"/>
    </xf>
    <xf numFmtId="9" fontId="8" fillId="0" borderId="51" xfId="3" applyNumberFormat="1" applyFont="1" applyBorder="1" applyAlignment="1">
      <alignment horizontal="right"/>
    </xf>
    <xf numFmtId="166" fontId="8" fillId="0" borderId="36" xfId="3" applyNumberFormat="1" applyFont="1" applyBorder="1" applyAlignment="1">
      <alignment horizontal="right"/>
    </xf>
    <xf numFmtId="2" fontId="9" fillId="0" borderId="31" xfId="3" applyNumberFormat="1" applyFont="1" applyBorder="1" applyAlignment="1">
      <alignment horizontal="right"/>
    </xf>
    <xf numFmtId="165" fontId="8" fillId="0" borderId="0" xfId="3" applyFont="1" applyAlignment="1">
      <alignment horizontal="right"/>
    </xf>
    <xf numFmtId="165" fontId="8" fillId="0" borderId="0" xfId="3" applyFont="1" applyAlignment="1">
      <alignment horizontal="right" wrapText="1"/>
    </xf>
    <xf numFmtId="2" fontId="38" fillId="0" borderId="1" xfId="3" applyNumberFormat="1" applyFont="1" applyBorder="1" applyAlignment="1">
      <alignment horizontal="right"/>
    </xf>
    <xf numFmtId="165" fontId="9" fillId="0" borderId="37" xfId="3" applyFont="1" applyBorder="1" applyAlignment="1">
      <alignment vertical="center"/>
    </xf>
    <xf numFmtId="165" fontId="7" fillId="0" borderId="0" xfId="3"/>
    <xf numFmtId="165" fontId="39" fillId="0" borderId="0" xfId="3" applyFont="1"/>
    <xf numFmtId="165" fontId="40" fillId="0" borderId="6" xfId="3" applyFont="1" applyBorder="1" applyAlignment="1">
      <alignment horizontal="center" vertical="center" wrapText="1"/>
    </xf>
    <xf numFmtId="165" fontId="14" fillId="0" borderId="6" xfId="3" applyFont="1" applyBorder="1" applyAlignment="1">
      <alignment horizontal="center" vertical="center" wrapText="1"/>
    </xf>
    <xf numFmtId="165" fontId="40" fillId="0" borderId="7" xfId="3" applyFont="1" applyBorder="1" applyAlignment="1">
      <alignment horizontal="center" vertical="center" wrapText="1"/>
    </xf>
    <xf numFmtId="165" fontId="40" fillId="0" borderId="10" xfId="3" applyFont="1" applyBorder="1" applyAlignment="1">
      <alignment horizontal="center" vertical="center" wrapText="1"/>
    </xf>
    <xf numFmtId="165" fontId="42" fillId="0" borderId="10" xfId="3" applyFont="1" applyBorder="1" applyAlignment="1">
      <alignment horizontal="center" vertical="center" wrapText="1"/>
    </xf>
    <xf numFmtId="165" fontId="40" fillId="0" borderId="11" xfId="3" applyFont="1" applyBorder="1" applyAlignment="1">
      <alignment horizontal="center" vertical="center" wrapText="1"/>
    </xf>
    <xf numFmtId="165" fontId="40" fillId="0" borderId="0" xfId="3" applyFont="1" applyAlignment="1">
      <alignment horizontal="left"/>
    </xf>
    <xf numFmtId="165" fontId="43" fillId="0" borderId="13" xfId="3" applyFont="1" applyBorder="1" applyAlignment="1">
      <alignment horizontal="left"/>
    </xf>
    <xf numFmtId="16" fontId="7" fillId="0" borderId="10" xfId="3" applyNumberFormat="1" applyBorder="1" applyAlignment="1">
      <alignment horizontal="center"/>
    </xf>
    <xf numFmtId="166" fontId="44" fillId="0" borderId="1" xfId="3" applyNumberFormat="1" applyFont="1" applyBorder="1" applyAlignment="1">
      <alignment horizontal="center"/>
    </xf>
    <xf numFmtId="1" fontId="44" fillId="0" borderId="10" xfId="3" applyNumberFormat="1" applyFont="1" applyBorder="1" applyAlignment="1">
      <alignment horizontal="center"/>
    </xf>
    <xf numFmtId="166" fontId="45" fillId="0" borderId="10" xfId="3" applyNumberFormat="1" applyFont="1" applyBorder="1" applyAlignment="1">
      <alignment horizontal="center"/>
    </xf>
    <xf numFmtId="166" fontId="7" fillId="0" borderId="1" xfId="3" applyNumberFormat="1" applyBorder="1" applyAlignment="1">
      <alignment horizontal="center"/>
    </xf>
    <xf numFmtId="167" fontId="7" fillId="0" borderId="11" xfId="3" applyNumberFormat="1" applyBorder="1" applyAlignment="1">
      <alignment horizontal="center"/>
    </xf>
    <xf numFmtId="165" fontId="46" fillId="8" borderId="43" xfId="3" applyFont="1" applyFill="1" applyBorder="1" applyAlignment="1">
      <alignment horizontal="center" wrapText="1"/>
    </xf>
    <xf numFmtId="165" fontId="40" fillId="0" borderId="0" xfId="3" applyFont="1"/>
    <xf numFmtId="165" fontId="7" fillId="0" borderId="13" xfId="3" applyBorder="1"/>
    <xf numFmtId="166" fontId="7" fillId="0" borderId="0" xfId="3" applyNumberFormat="1" applyAlignment="1">
      <alignment horizontal="center"/>
    </xf>
    <xf numFmtId="165" fontId="47" fillId="8" borderId="43" xfId="3" applyFont="1" applyFill="1" applyBorder="1" applyAlignment="1">
      <alignment horizontal="center" wrapText="1"/>
    </xf>
    <xf numFmtId="165" fontId="48" fillId="0" borderId="13" xfId="3" applyFont="1" applyBorder="1"/>
    <xf numFmtId="166" fontId="7" fillId="0" borderId="0" xfId="3" applyNumberFormat="1"/>
    <xf numFmtId="165" fontId="49" fillId="0" borderId="13" xfId="3" applyFont="1" applyBorder="1"/>
    <xf numFmtId="165" fontId="50" fillId="0" borderId="52" xfId="3" applyFont="1" applyBorder="1" applyAlignment="1">
      <alignment horizontal="left"/>
    </xf>
    <xf numFmtId="15" fontId="7" fillId="0" borderId="10" xfId="3" applyNumberFormat="1" applyBorder="1" applyAlignment="1">
      <alignment horizontal="center"/>
    </xf>
    <xf numFmtId="166" fontId="7" fillId="8" borderId="1" xfId="3" applyNumberFormat="1" applyFill="1" applyBorder="1" applyAlignment="1">
      <alignment horizontal="center"/>
    </xf>
    <xf numFmtId="166" fontId="7" fillId="8" borderId="11" xfId="3" applyNumberFormat="1" applyFill="1" applyBorder="1" applyAlignment="1">
      <alignment horizontal="center"/>
    </xf>
    <xf numFmtId="165" fontId="14" fillId="8" borderId="43" xfId="3" applyFont="1" applyFill="1" applyBorder="1" applyAlignment="1">
      <alignment horizontal="center"/>
    </xf>
    <xf numFmtId="165" fontId="48" fillId="0" borderId="31" xfId="3" applyFont="1" applyBorder="1"/>
    <xf numFmtId="16" fontId="7" fillId="0" borderId="32" xfId="3" applyNumberFormat="1" applyBorder="1" applyAlignment="1">
      <alignment horizontal="center"/>
    </xf>
    <xf numFmtId="15" fontId="7" fillId="0" borderId="32" xfId="3" applyNumberFormat="1" applyBorder="1" applyAlignment="1">
      <alignment horizontal="center"/>
    </xf>
    <xf numFmtId="166" fontId="7" fillId="0" borderId="32" xfId="3" applyNumberFormat="1" applyBorder="1" applyAlignment="1">
      <alignment horizontal="center"/>
    </xf>
    <xf numFmtId="1" fontId="44" fillId="0" borderId="32" xfId="3" applyNumberFormat="1" applyFont="1" applyBorder="1" applyAlignment="1">
      <alignment horizontal="center"/>
    </xf>
    <xf numFmtId="166" fontId="45" fillId="0" borderId="32" xfId="3" applyNumberFormat="1" applyFont="1" applyBorder="1" applyAlignment="1">
      <alignment horizontal="center"/>
    </xf>
    <xf numFmtId="166" fontId="7" fillId="8" borderId="32" xfId="3" applyNumberFormat="1" applyFill="1" applyBorder="1" applyAlignment="1">
      <alignment horizontal="center"/>
    </xf>
    <xf numFmtId="166" fontId="7" fillId="8" borderId="53" xfId="3" applyNumberFormat="1" applyFill="1" applyBorder="1" applyAlignment="1">
      <alignment horizontal="center"/>
    </xf>
    <xf numFmtId="167" fontId="7" fillId="0" borderId="53" xfId="3" applyNumberFormat="1" applyBorder="1" applyAlignment="1">
      <alignment horizontal="center"/>
    </xf>
    <xf numFmtId="165" fontId="51" fillId="0" borderId="54" xfId="3" applyFont="1" applyBorder="1" applyAlignment="1">
      <alignment horizontal="center"/>
    </xf>
    <xf numFmtId="165" fontId="7" fillId="0" borderId="0" xfId="3" applyAlignment="1">
      <alignment horizontal="center"/>
    </xf>
    <xf numFmtId="15" fontId="7" fillId="0" borderId="0" xfId="3" applyNumberFormat="1" applyAlignment="1">
      <alignment horizontal="center"/>
    </xf>
    <xf numFmtId="166" fontId="52" fillId="0" borderId="0" xfId="3" applyNumberFormat="1" applyFont="1" applyAlignment="1">
      <alignment horizontal="center"/>
    </xf>
    <xf numFmtId="2" fontId="7" fillId="0" borderId="0" xfId="3" applyNumberFormat="1" applyAlignment="1">
      <alignment horizontal="center"/>
    </xf>
    <xf numFmtId="166" fontId="40" fillId="0" borderId="33" xfId="3" applyNumberFormat="1" applyFont="1" applyBorder="1"/>
    <xf numFmtId="165" fontId="51" fillId="0" borderId="0" xfId="3" applyFont="1" applyAlignment="1">
      <alignment horizontal="center"/>
    </xf>
    <xf numFmtId="166" fontId="44" fillId="0" borderId="20" xfId="3" applyNumberFormat="1" applyFont="1" applyBorder="1" applyAlignment="1">
      <alignment horizontal="center"/>
    </xf>
    <xf numFmtId="166" fontId="44" fillId="0" borderId="21" xfId="3" applyNumberFormat="1" applyFont="1" applyBorder="1" applyAlignment="1">
      <alignment horizontal="center"/>
    </xf>
    <xf numFmtId="2" fontId="40" fillId="0" borderId="0" xfId="3" applyNumberFormat="1" applyFont="1" applyAlignment="1">
      <alignment horizontal="center"/>
    </xf>
    <xf numFmtId="2" fontId="40" fillId="0" borderId="57" xfId="3" applyNumberFormat="1" applyFont="1" applyBorder="1" applyAlignment="1">
      <alignment horizontal="center"/>
    </xf>
    <xf numFmtId="166" fontId="7" fillId="0" borderId="13" xfId="3" applyNumberFormat="1" applyBorder="1" applyAlignment="1">
      <alignment horizontal="center"/>
    </xf>
    <xf numFmtId="2" fontId="7" fillId="0" borderId="1" xfId="3" applyNumberFormat="1" applyBorder="1" applyAlignment="1">
      <alignment horizontal="center"/>
    </xf>
    <xf numFmtId="165" fontId="7" fillId="0" borderId="2" xfId="3" applyBorder="1" applyAlignment="1">
      <alignment horizontal="center"/>
    </xf>
    <xf numFmtId="165" fontId="49" fillId="0" borderId="58" xfId="3" applyFont="1" applyBorder="1" applyAlignment="1">
      <alignment horizontal="center"/>
    </xf>
    <xf numFmtId="165" fontId="53" fillId="0" borderId="13" xfId="3" applyFont="1" applyBorder="1" applyAlignment="1">
      <alignment horizontal="center"/>
    </xf>
    <xf numFmtId="2" fontId="45" fillId="0" borderId="15" xfId="3" applyNumberFormat="1" applyFont="1" applyBorder="1" applyAlignment="1">
      <alignment horizontal="center"/>
    </xf>
    <xf numFmtId="2" fontId="45" fillId="0" borderId="2" xfId="3" applyNumberFormat="1" applyFont="1" applyBorder="1" applyAlignment="1">
      <alignment horizontal="center"/>
    </xf>
    <xf numFmtId="166" fontId="40" fillId="0" borderId="0" xfId="3" applyNumberFormat="1" applyFont="1" applyAlignment="1">
      <alignment horizontal="center"/>
    </xf>
    <xf numFmtId="1" fontId="7" fillId="0" borderId="58" xfId="3" applyNumberFormat="1" applyBorder="1" applyAlignment="1">
      <alignment horizontal="center"/>
    </xf>
    <xf numFmtId="166" fontId="54" fillId="0" borderId="59" xfId="3" applyNumberFormat="1" applyFont="1" applyBorder="1" applyAlignment="1">
      <alignment horizontal="center"/>
    </xf>
    <xf numFmtId="15" fontId="7" fillId="0" borderId="31" xfId="3" applyNumberFormat="1" applyBorder="1" applyAlignment="1">
      <alignment horizontal="center"/>
    </xf>
    <xf numFmtId="2" fontId="7" fillId="0" borderId="36" xfId="3" applyNumberFormat="1" applyBorder="1" applyAlignment="1">
      <alignment horizontal="center"/>
    </xf>
    <xf numFmtId="2" fontId="7" fillId="0" borderId="53" xfId="3" applyNumberFormat="1" applyBorder="1" applyAlignment="1">
      <alignment horizontal="center"/>
    </xf>
    <xf numFmtId="166" fontId="7" fillId="0" borderId="61" xfId="3" applyNumberFormat="1" applyBorder="1" applyAlignment="1">
      <alignment horizontal="center"/>
    </xf>
    <xf numFmtId="165" fontId="40" fillId="0" borderId="20" xfId="3" applyFont="1" applyBorder="1" applyAlignment="1">
      <alignment horizontal="left"/>
    </xf>
    <xf numFmtId="165" fontId="40" fillId="0" borderId="21" xfId="3" applyFont="1" applyBorder="1" applyAlignment="1">
      <alignment horizontal="center"/>
    </xf>
    <xf numFmtId="165" fontId="40" fillId="0" borderId="56" xfId="3" applyFont="1" applyBorder="1" applyAlignment="1">
      <alignment horizontal="center"/>
    </xf>
    <xf numFmtId="165" fontId="40" fillId="0" borderId="0" xfId="3" applyFont="1" applyAlignment="1">
      <alignment horizontal="center"/>
    </xf>
    <xf numFmtId="166" fontId="7" fillId="0" borderId="1" xfId="3" applyNumberFormat="1" applyBorder="1" applyAlignment="1">
      <alignment horizontal="right"/>
    </xf>
    <xf numFmtId="166" fontId="40" fillId="0" borderId="1" xfId="3" applyNumberFormat="1" applyFont="1" applyBorder="1" applyAlignment="1">
      <alignment horizontal="right"/>
    </xf>
    <xf numFmtId="166" fontId="7" fillId="0" borderId="59" xfId="3" applyNumberFormat="1" applyBorder="1"/>
    <xf numFmtId="165" fontId="55" fillId="0" borderId="13" xfId="3" applyFont="1" applyBorder="1" applyAlignment="1">
      <alignment horizontal="left"/>
    </xf>
    <xf numFmtId="166" fontId="54" fillId="0" borderId="1" xfId="3" applyNumberFormat="1" applyFont="1" applyBorder="1" applyAlignment="1">
      <alignment horizontal="right"/>
    </xf>
    <xf numFmtId="165" fontId="56" fillId="0" borderId="13" xfId="3" applyFont="1" applyBorder="1"/>
    <xf numFmtId="166" fontId="40" fillId="0" borderId="1" xfId="3" applyNumberFormat="1" applyFont="1" applyBorder="1"/>
    <xf numFmtId="166" fontId="45" fillId="0" borderId="1" xfId="3" applyNumberFormat="1" applyFont="1" applyBorder="1" applyAlignment="1">
      <alignment horizontal="right"/>
    </xf>
    <xf numFmtId="166" fontId="54" fillId="0" borderId="14" xfId="3" applyNumberFormat="1" applyFont="1" applyBorder="1"/>
    <xf numFmtId="165" fontId="57" fillId="0" borderId="31" xfId="3" applyFont="1" applyBorder="1"/>
    <xf numFmtId="166" fontId="7" fillId="0" borderId="32" xfId="3" applyNumberFormat="1" applyBorder="1" applyAlignment="1">
      <alignment horizontal="right"/>
    </xf>
    <xf numFmtId="166" fontId="40" fillId="0" borderId="14" xfId="3" applyNumberFormat="1" applyFont="1" applyBorder="1"/>
    <xf numFmtId="166" fontId="7" fillId="0" borderId="60" xfId="3" applyNumberFormat="1" applyBorder="1"/>
    <xf numFmtId="165" fontId="57" fillId="0" borderId="0" xfId="3" applyFont="1"/>
    <xf numFmtId="166" fontId="7" fillId="0" borderId="0" xfId="3" applyNumberFormat="1" applyAlignment="1">
      <alignment horizontal="right"/>
    </xf>
    <xf numFmtId="16" fontId="7" fillId="0" borderId="10" xfId="3" applyNumberFormat="1" applyBorder="1" applyAlignment="1">
      <alignment horizontal="center" vertical="center"/>
    </xf>
    <xf numFmtId="15" fontId="7" fillId="0" borderId="6" xfId="3" applyNumberFormat="1" applyBorder="1" applyAlignment="1">
      <alignment vertical="center"/>
    </xf>
    <xf numFmtId="2" fontId="7" fillId="0" borderId="1" xfId="3" applyNumberFormat="1" applyBorder="1" applyAlignment="1">
      <alignment horizontal="right" vertical="center"/>
    </xf>
    <xf numFmtId="166" fontId="7" fillId="0" borderId="1" xfId="3" applyNumberFormat="1" applyBorder="1" applyAlignment="1">
      <alignment horizontal="center" vertical="center"/>
    </xf>
    <xf numFmtId="170" fontId="7" fillId="0" borderId="6" xfId="3" applyNumberFormat="1" applyBorder="1" applyAlignment="1">
      <alignment vertical="center"/>
    </xf>
    <xf numFmtId="165" fontId="40" fillId="0" borderId="23" xfId="3" applyFont="1" applyBorder="1" applyAlignment="1">
      <alignment vertical="center" wrapText="1"/>
    </xf>
    <xf numFmtId="165" fontId="58" fillId="0" borderId="0" xfId="3" applyFont="1"/>
    <xf numFmtId="15" fontId="7" fillId="0" borderId="1" xfId="3" applyNumberFormat="1" applyBorder="1" applyAlignment="1">
      <alignment horizontal="center" vertical="center"/>
    </xf>
    <xf numFmtId="165" fontId="7" fillId="0" borderId="1" xfId="3" applyBorder="1"/>
    <xf numFmtId="165" fontId="59" fillId="0" borderId="43" xfId="3" applyFont="1" applyBorder="1" applyAlignment="1">
      <alignment vertical="center" wrapText="1"/>
    </xf>
    <xf numFmtId="2" fontId="7" fillId="0" borderId="1" xfId="3" applyNumberFormat="1" applyBorder="1" applyAlignment="1">
      <alignment horizontal="center" vertical="center"/>
    </xf>
    <xf numFmtId="2" fontId="7" fillId="0" borderId="1" xfId="3" applyNumberFormat="1" applyBorder="1" applyAlignment="1">
      <alignment horizontal="right"/>
    </xf>
    <xf numFmtId="165" fontId="40" fillId="0" borderId="43" xfId="3" applyFont="1" applyBorder="1" applyAlignment="1">
      <alignment vertical="center" wrapText="1"/>
    </xf>
    <xf numFmtId="165" fontId="52" fillId="0" borderId="13" xfId="3" applyFont="1" applyBorder="1"/>
    <xf numFmtId="165" fontId="52" fillId="0" borderId="52" xfId="3" applyFont="1" applyBorder="1"/>
    <xf numFmtId="165" fontId="7" fillId="0" borderId="14" xfId="3" applyBorder="1"/>
    <xf numFmtId="166" fontId="7" fillId="0" borderId="14" xfId="3" applyNumberFormat="1" applyBorder="1" applyAlignment="1">
      <alignment horizontal="right"/>
    </xf>
    <xf numFmtId="165" fontId="40" fillId="0" borderId="66" xfId="3" applyFont="1" applyBorder="1" applyAlignment="1">
      <alignment vertical="center" wrapText="1"/>
    </xf>
    <xf numFmtId="165" fontId="40" fillId="0" borderId="31" xfId="3" applyFont="1" applyBorder="1" applyAlignment="1">
      <alignment horizontal="center" shrinkToFit="1"/>
    </xf>
    <xf numFmtId="165" fontId="7" fillId="0" borderId="32" xfId="3" applyBorder="1" applyAlignment="1">
      <alignment horizontal="center"/>
    </xf>
    <xf numFmtId="15" fontId="7" fillId="0" borderId="39" xfId="3" applyNumberFormat="1" applyBorder="1"/>
    <xf numFmtId="165" fontId="7" fillId="0" borderId="32" xfId="3" applyBorder="1"/>
    <xf numFmtId="165" fontId="7" fillId="0" borderId="32" xfId="3" applyBorder="1" applyAlignment="1">
      <alignment horizontal="right"/>
    </xf>
    <xf numFmtId="165" fontId="40" fillId="0" borderId="54" xfId="3" applyFont="1" applyBorder="1" applyAlignment="1">
      <alignment vertical="center" wrapText="1"/>
    </xf>
    <xf numFmtId="165" fontId="40" fillId="0" borderId="0" xfId="3" applyFont="1" applyAlignment="1">
      <alignment horizontal="center" shrinkToFit="1"/>
    </xf>
    <xf numFmtId="165" fontId="40" fillId="0" borderId="0" xfId="3" applyFont="1" applyAlignment="1">
      <alignment vertical="center" wrapText="1"/>
    </xf>
    <xf numFmtId="165" fontId="38" fillId="0" borderId="50" xfId="3" applyFont="1" applyBorder="1" applyAlignment="1">
      <alignment horizontal="left"/>
    </xf>
    <xf numFmtId="165" fontId="38" fillId="0" borderId="10" xfId="3" applyFont="1" applyBorder="1" applyAlignment="1">
      <alignment horizontal="left"/>
    </xf>
    <xf numFmtId="165" fontId="38" fillId="0" borderId="12" xfId="3" applyFont="1" applyBorder="1" applyAlignment="1">
      <alignment horizontal="left"/>
    </xf>
    <xf numFmtId="165" fontId="40" fillId="0" borderId="10" xfId="3" applyFont="1" applyBorder="1" applyAlignment="1">
      <alignment horizontal="left"/>
    </xf>
    <xf numFmtId="165" fontId="40" fillId="0" borderId="12" xfId="3" applyFont="1" applyBorder="1" applyAlignment="1">
      <alignment horizontal="left"/>
    </xf>
    <xf numFmtId="2" fontId="61" fillId="0" borderId="1" xfId="4" applyNumberFormat="1" applyFont="1" applyBorder="1" applyAlignment="1">
      <alignment horizontal="right"/>
    </xf>
    <xf numFmtId="166" fontId="61" fillId="0" borderId="15" xfId="3" applyNumberFormat="1" applyFont="1" applyBorder="1" applyAlignment="1">
      <alignment horizontal="right"/>
    </xf>
    <xf numFmtId="170" fontId="7" fillId="0" borderId="52" xfId="4" applyNumberFormat="1" applyBorder="1" applyAlignment="1">
      <alignment horizontal="right" vertical="center"/>
    </xf>
    <xf numFmtId="170" fontId="54" fillId="0" borderId="1" xfId="3" applyNumberFormat="1" applyFont="1" applyBorder="1" applyAlignment="1">
      <alignment horizontal="right"/>
    </xf>
    <xf numFmtId="9" fontId="7" fillId="0" borderId="15" xfId="3" applyNumberFormat="1" applyBorder="1" applyAlignment="1">
      <alignment horizontal="right"/>
    </xf>
    <xf numFmtId="170" fontId="7" fillId="0" borderId="1" xfId="4" applyNumberFormat="1" applyBorder="1" applyAlignment="1">
      <alignment horizontal="right"/>
    </xf>
    <xf numFmtId="165" fontId="23" fillId="0" borderId="13" xfId="3" applyFont="1" applyBorder="1"/>
    <xf numFmtId="2" fontId="61" fillId="0" borderId="0" xfId="3" applyNumberFormat="1" applyFont="1" applyAlignment="1">
      <alignment horizontal="right"/>
    </xf>
    <xf numFmtId="165" fontId="30" fillId="0" borderId="52" xfId="3" applyFont="1" applyBorder="1" applyAlignment="1">
      <alignment horizontal="left"/>
    </xf>
    <xf numFmtId="166" fontId="61" fillId="0" borderId="51" xfId="3" applyNumberFormat="1" applyFont="1" applyBorder="1" applyAlignment="1">
      <alignment horizontal="right"/>
    </xf>
    <xf numFmtId="165" fontId="31" fillId="0" borderId="52" xfId="3" applyFont="1" applyBorder="1" applyAlignment="1">
      <alignment horizontal="left"/>
    </xf>
    <xf numFmtId="2" fontId="61" fillId="0" borderId="14" xfId="4" applyNumberFormat="1" applyFont="1" applyBorder="1" applyAlignment="1">
      <alignment horizontal="right"/>
    </xf>
    <xf numFmtId="170" fontId="7" fillId="0" borderId="14" xfId="4" applyNumberFormat="1" applyBorder="1" applyAlignment="1">
      <alignment horizontal="right"/>
    </xf>
    <xf numFmtId="9" fontId="7" fillId="0" borderId="51" xfId="3" applyNumberFormat="1" applyBorder="1" applyAlignment="1">
      <alignment horizontal="right"/>
    </xf>
    <xf numFmtId="2" fontId="61" fillId="0" borderId="32" xfId="3" applyNumberFormat="1" applyFont="1" applyBorder="1" applyAlignment="1">
      <alignment horizontal="right"/>
    </xf>
    <xf numFmtId="166" fontId="61" fillId="0" borderId="36" xfId="3" applyNumberFormat="1" applyFont="1" applyBorder="1" applyAlignment="1">
      <alignment horizontal="right"/>
    </xf>
    <xf numFmtId="170" fontId="7" fillId="0" borderId="32" xfId="3" applyNumberFormat="1" applyBorder="1" applyAlignment="1">
      <alignment horizontal="right"/>
    </xf>
    <xf numFmtId="9" fontId="7" fillId="0" borderId="36" xfId="3" applyNumberFormat="1" applyBorder="1" applyAlignment="1">
      <alignment horizontal="right"/>
    </xf>
    <xf numFmtId="165" fontId="61" fillId="0" borderId="0" xfId="3" applyFont="1"/>
    <xf numFmtId="165" fontId="61" fillId="0" borderId="0" xfId="3" applyFont="1" applyAlignment="1">
      <alignment horizontal="right"/>
    </xf>
    <xf numFmtId="2" fontId="38" fillId="0" borderId="0" xfId="3" applyNumberFormat="1" applyFont="1" applyAlignment="1">
      <alignment horizontal="right"/>
    </xf>
    <xf numFmtId="2" fontId="40" fillId="0" borderId="0" xfId="3" applyNumberFormat="1" applyFont="1" applyAlignment="1">
      <alignment horizontal="right"/>
    </xf>
    <xf numFmtId="165" fontId="7" fillId="0" borderId="0" xfId="3" applyAlignment="1">
      <alignment horizontal="right"/>
    </xf>
    <xf numFmtId="165" fontId="62" fillId="0" borderId="0" xfId="3" applyFont="1"/>
    <xf numFmtId="165" fontId="53" fillId="0" borderId="0" xfId="0" applyFont="1"/>
    <xf numFmtId="165" fontId="53" fillId="0" borderId="0" xfId="0" applyFont="1" applyAlignment="1">
      <alignment horizontal="center"/>
    </xf>
    <xf numFmtId="165" fontId="63" fillId="3" borderId="1" xfId="0" applyFont="1" applyFill="1" applyBorder="1"/>
    <xf numFmtId="165" fontId="63" fillId="9" borderId="1" xfId="0" applyFont="1" applyFill="1" applyBorder="1" applyAlignment="1">
      <alignment horizontal="center"/>
    </xf>
    <xf numFmtId="165" fontId="0" fillId="0" borderId="0" xfId="0" applyAlignment="1">
      <alignment horizontal="center"/>
    </xf>
    <xf numFmtId="166" fontId="53" fillId="3" borderId="1" xfId="0" applyNumberFormat="1" applyFont="1" applyFill="1" applyBorder="1" applyAlignment="1">
      <alignment horizontal="center"/>
    </xf>
    <xf numFmtId="40" fontId="53" fillId="10" borderId="27" xfId="1" applyNumberFormat="1" applyFont="1" applyFill="1" applyBorder="1" applyAlignment="1">
      <alignment horizontal="center"/>
    </xf>
    <xf numFmtId="2" fontId="53" fillId="11" borderId="1" xfId="0" applyNumberFormat="1" applyFont="1" applyFill="1" applyBorder="1" applyAlignment="1">
      <alignment horizontal="center"/>
    </xf>
    <xf numFmtId="2" fontId="53" fillId="0" borderId="1" xfId="0" applyNumberFormat="1" applyFont="1" applyBorder="1" applyAlignment="1">
      <alignment horizontal="center"/>
    </xf>
    <xf numFmtId="40" fontId="53" fillId="12" borderId="27" xfId="1" applyNumberFormat="1" applyFont="1" applyFill="1" applyBorder="1" applyAlignment="1">
      <alignment horizontal="center"/>
    </xf>
    <xf numFmtId="40" fontId="53" fillId="13" borderId="27" xfId="1" applyNumberFormat="1" applyFont="1" applyFill="1" applyBorder="1" applyAlignment="1">
      <alignment horizontal="center"/>
    </xf>
    <xf numFmtId="40" fontId="53" fillId="14" borderId="27" xfId="1" applyNumberFormat="1" applyFont="1" applyFill="1" applyBorder="1" applyAlignment="1">
      <alignment horizontal="center"/>
    </xf>
    <xf numFmtId="40" fontId="53" fillId="15" borderId="27" xfId="1" applyNumberFormat="1" applyFont="1" applyFill="1" applyBorder="1" applyAlignment="1">
      <alignment horizontal="center"/>
    </xf>
    <xf numFmtId="40" fontId="53" fillId="16" borderId="27" xfId="1" applyNumberFormat="1" applyFont="1" applyFill="1" applyBorder="1" applyAlignment="1">
      <alignment horizontal="center"/>
    </xf>
    <xf numFmtId="40" fontId="53" fillId="17" borderId="27" xfId="1" applyNumberFormat="1" applyFont="1" applyFill="1" applyBorder="1" applyAlignment="1">
      <alignment horizontal="center"/>
    </xf>
    <xf numFmtId="40" fontId="53" fillId="18" borderId="27" xfId="1" applyNumberFormat="1" applyFont="1" applyFill="1" applyBorder="1" applyAlignment="1">
      <alignment horizontal="center"/>
    </xf>
    <xf numFmtId="166" fontId="63" fillId="4" borderId="1" xfId="0" applyNumberFormat="1" applyFont="1" applyFill="1" applyBorder="1" applyAlignment="1">
      <alignment horizontal="center"/>
    </xf>
    <xf numFmtId="165" fontId="63" fillId="19" borderId="1" xfId="0" applyFont="1" applyFill="1" applyBorder="1" applyAlignment="1">
      <alignment horizontal="center"/>
    </xf>
    <xf numFmtId="2" fontId="63" fillId="19" borderId="1" xfId="0" applyNumberFormat="1" applyFont="1" applyFill="1" applyBorder="1" applyAlignment="1">
      <alignment horizontal="center"/>
    </xf>
    <xf numFmtId="2" fontId="63" fillId="0" borderId="1" xfId="0" applyNumberFormat="1" applyFont="1" applyBorder="1" applyAlignment="1">
      <alignment horizontal="center"/>
    </xf>
    <xf numFmtId="165" fontId="63" fillId="9" borderId="3" xfId="0" applyFont="1" applyFill="1" applyBorder="1" applyAlignment="1">
      <alignment horizontal="center"/>
    </xf>
    <xf numFmtId="40" fontId="53" fillId="10" borderId="68" xfId="1" applyNumberFormat="1" applyFont="1" applyFill="1" applyBorder="1" applyAlignment="1">
      <alignment horizontal="center"/>
    </xf>
    <xf numFmtId="2" fontId="53" fillId="11" borderId="1" xfId="0" applyNumberFormat="1" applyFont="1" applyFill="1" applyBorder="1"/>
    <xf numFmtId="40" fontId="53" fillId="12" borderId="68" xfId="1" applyNumberFormat="1" applyFont="1" applyFill="1" applyBorder="1" applyAlignment="1">
      <alignment horizontal="center"/>
    </xf>
    <xf numFmtId="2" fontId="53" fillId="0" borderId="1" xfId="0" applyNumberFormat="1" applyFont="1" applyBorder="1"/>
    <xf numFmtId="40" fontId="53" fillId="13" borderId="68" xfId="1" applyNumberFormat="1" applyFont="1" applyFill="1" applyBorder="1" applyAlignment="1">
      <alignment horizontal="center"/>
    </xf>
    <xf numFmtId="40" fontId="53" fillId="14" borderId="68" xfId="1" applyNumberFormat="1" applyFont="1" applyFill="1" applyBorder="1" applyAlignment="1">
      <alignment horizontal="center"/>
    </xf>
    <xf numFmtId="40" fontId="53" fillId="15" borderId="68" xfId="1" applyNumberFormat="1" applyFont="1" applyFill="1" applyBorder="1" applyAlignment="1">
      <alignment horizontal="center"/>
    </xf>
    <xf numFmtId="2" fontId="53" fillId="11" borderId="1" xfId="0" applyNumberFormat="1" applyFont="1" applyFill="1" applyBorder="1" applyAlignment="1">
      <alignment horizontal="right"/>
    </xf>
    <xf numFmtId="40" fontId="53" fillId="16" borderId="68" xfId="1" applyNumberFormat="1" applyFont="1" applyFill="1" applyBorder="1" applyAlignment="1">
      <alignment horizontal="center"/>
    </xf>
    <xf numFmtId="2" fontId="53" fillId="0" borderId="1" xfId="0" applyNumberFormat="1" applyFont="1" applyBorder="1" applyAlignment="1">
      <alignment horizontal="right"/>
    </xf>
    <xf numFmtId="40" fontId="53" fillId="17" borderId="68" xfId="1" applyNumberFormat="1" applyFont="1" applyFill="1" applyBorder="1" applyAlignment="1">
      <alignment horizontal="center"/>
    </xf>
    <xf numFmtId="40" fontId="53" fillId="18" borderId="68" xfId="1" applyNumberFormat="1" applyFont="1" applyFill="1" applyBorder="1" applyAlignment="1">
      <alignment horizontal="center"/>
    </xf>
    <xf numFmtId="165" fontId="63" fillId="19" borderId="3" xfId="0" applyFont="1" applyFill="1" applyBorder="1"/>
    <xf numFmtId="2" fontId="63" fillId="19" borderId="1" xfId="0" applyNumberFormat="1" applyFont="1" applyFill="1" applyBorder="1"/>
    <xf numFmtId="165" fontId="6" fillId="0" borderId="0" xfId="0" applyFont="1"/>
    <xf numFmtId="165" fontId="10" fillId="0" borderId="0" xfId="0" applyFont="1"/>
    <xf numFmtId="165" fontId="65" fillId="0" borderId="0" xfId="0" applyFont="1"/>
    <xf numFmtId="165" fontId="66" fillId="19" borderId="70" xfId="0" applyFont="1" applyFill="1" applyBorder="1" applyAlignment="1">
      <alignment vertical="center"/>
    </xf>
    <xf numFmtId="165" fontId="66" fillId="19" borderId="71" xfId="0" applyFont="1" applyFill="1" applyBorder="1" applyAlignment="1">
      <alignment vertical="center"/>
    </xf>
    <xf numFmtId="165" fontId="66" fillId="19" borderId="72" xfId="0" applyFont="1" applyFill="1" applyBorder="1" applyAlignment="1">
      <alignment vertical="center"/>
    </xf>
    <xf numFmtId="165" fontId="66" fillId="21" borderId="72" xfId="0" applyFont="1" applyFill="1" applyBorder="1" applyAlignment="1">
      <alignment vertical="center"/>
    </xf>
    <xf numFmtId="165" fontId="67" fillId="0" borderId="50" xfId="0" applyFont="1" applyBorder="1"/>
    <xf numFmtId="2" fontId="68" fillId="0" borderId="12" xfId="0" applyNumberFormat="1" applyFont="1" applyBorder="1"/>
    <xf numFmtId="2" fontId="68" fillId="0" borderId="10" xfId="0" applyNumberFormat="1" applyFont="1" applyBorder="1"/>
    <xf numFmtId="2" fontId="68" fillId="6" borderId="10" xfId="0" applyNumberFormat="1" applyFont="1" applyFill="1" applyBorder="1"/>
    <xf numFmtId="166" fontId="67" fillId="21" borderId="12" xfId="0" applyNumberFormat="1" applyFont="1" applyFill="1" applyBorder="1"/>
    <xf numFmtId="2" fontId="69" fillId="0" borderId="73" xfId="0" applyNumberFormat="1" applyFont="1" applyBorder="1"/>
    <xf numFmtId="165" fontId="67" fillId="0" borderId="13" xfId="0" applyFont="1" applyBorder="1"/>
    <xf numFmtId="165" fontId="70" fillId="20" borderId="38" xfId="0" applyFont="1" applyFill="1" applyBorder="1" applyAlignment="1">
      <alignment vertical="center"/>
    </xf>
    <xf numFmtId="2" fontId="71" fillId="20" borderId="39" xfId="0" applyNumberFormat="1" applyFont="1" applyFill="1" applyBorder="1" applyAlignment="1">
      <alignment vertical="center"/>
    </xf>
    <xf numFmtId="165" fontId="66" fillId="22" borderId="72" xfId="0" applyFont="1" applyFill="1" applyBorder="1" applyAlignment="1">
      <alignment vertical="center"/>
    </xf>
    <xf numFmtId="2" fontId="68" fillId="0" borderId="12" xfId="0" applyNumberFormat="1" applyFont="1" applyBorder="1" applyAlignment="1">
      <alignment horizontal="right" vertical="center"/>
    </xf>
    <xf numFmtId="2" fontId="74" fillId="22" borderId="12" xfId="0" applyNumberFormat="1" applyFont="1" applyFill="1" applyBorder="1"/>
    <xf numFmtId="165" fontId="70" fillId="20" borderId="31" xfId="0" applyFont="1" applyFill="1" applyBorder="1" applyAlignment="1">
      <alignment vertical="center"/>
    </xf>
    <xf numFmtId="2" fontId="71" fillId="20" borderId="32" xfId="0" applyNumberFormat="1" applyFont="1" applyFill="1" applyBorder="1" applyAlignment="1">
      <alignment vertical="center"/>
    </xf>
    <xf numFmtId="2" fontId="71" fillId="22" borderId="36" xfId="0" applyNumberFormat="1" applyFont="1" applyFill="1" applyBorder="1" applyAlignment="1">
      <alignment vertical="center"/>
    </xf>
    <xf numFmtId="165" fontId="9" fillId="0" borderId="0" xfId="3" applyFont="1" applyAlignment="1">
      <alignment horizontal="center" vertical="center"/>
    </xf>
    <xf numFmtId="1" fontId="10" fillId="3" borderId="1" xfId="0" applyNumberFormat="1" applyFont="1" applyFill="1" applyBorder="1" applyAlignment="1">
      <alignment horizontal="center"/>
    </xf>
    <xf numFmtId="166" fontId="10" fillId="3" borderId="14" xfId="0" applyNumberFormat="1" applyFont="1" applyFill="1" applyBorder="1"/>
    <xf numFmtId="165" fontId="8" fillId="0" borderId="0" xfId="3" applyFont="1"/>
    <xf numFmtId="1" fontId="8" fillId="0" borderId="1" xfId="3" applyNumberFormat="1" applyFont="1" applyBorder="1" applyAlignment="1">
      <alignment horizontal="center" vertical="center"/>
    </xf>
    <xf numFmtId="165" fontId="8" fillId="0" borderId="0" xfId="3" applyFont="1" applyAlignment="1">
      <alignment vertical="center"/>
    </xf>
    <xf numFmtId="1" fontId="9" fillId="0" borderId="1" xfId="3" applyNumberFormat="1" applyFont="1" applyBorder="1" applyAlignment="1">
      <alignment horizontal="center" vertical="center"/>
    </xf>
    <xf numFmtId="166" fontId="8" fillId="0" borderId="1" xfId="3" applyNumberFormat="1" applyFont="1" applyBorder="1" applyAlignment="1">
      <alignment horizontal="center" vertical="center"/>
    </xf>
    <xf numFmtId="166" fontId="9" fillId="0" borderId="14" xfId="3" applyNumberFormat="1" applyFont="1" applyBorder="1" applyAlignment="1">
      <alignment horizontal="center" vertical="center"/>
    </xf>
    <xf numFmtId="2" fontId="9" fillId="0" borderId="1" xfId="3" applyNumberFormat="1" applyFont="1" applyBorder="1" applyAlignment="1">
      <alignment horizontal="center" vertical="center"/>
    </xf>
    <xf numFmtId="2" fontId="9" fillId="0" borderId="1" xfId="3" applyNumberFormat="1" applyFont="1" applyBorder="1" applyAlignment="1">
      <alignment horizontal="right"/>
    </xf>
    <xf numFmtId="16" fontId="8" fillId="0" borderId="10" xfId="3" applyNumberFormat="1" applyFont="1" applyBorder="1" applyAlignment="1">
      <alignment horizontal="center" vertical="center"/>
    </xf>
    <xf numFmtId="1" fontId="9" fillId="0" borderId="1" xfId="3" applyNumberFormat="1" applyFont="1" applyBorder="1" applyAlignment="1">
      <alignment horizontal="right"/>
    </xf>
    <xf numFmtId="166" fontId="10" fillId="23" borderId="0" xfId="0" applyNumberFormat="1" applyFont="1" applyFill="1"/>
    <xf numFmtId="170" fontId="8" fillId="0" borderId="42" xfId="4" applyNumberFormat="1" applyFont="1" applyFill="1" applyBorder="1" applyAlignment="1">
      <alignment horizontal="center" vertical="center"/>
    </xf>
    <xf numFmtId="165" fontId="26" fillId="4" borderId="1" xfId="3" applyFont="1" applyFill="1" applyBorder="1" applyAlignment="1">
      <alignment horizontal="left"/>
    </xf>
    <xf numFmtId="165" fontId="28" fillId="4" borderId="1" xfId="3" applyFont="1" applyFill="1" applyBorder="1"/>
    <xf numFmtId="165" fontId="23" fillId="4" borderId="1" xfId="3" applyFont="1" applyFill="1" applyBorder="1" applyAlignment="1">
      <alignment horizontal="left"/>
    </xf>
    <xf numFmtId="165" fontId="29" fillId="4" borderId="1" xfId="3" applyFont="1" applyFill="1" applyBorder="1"/>
    <xf numFmtId="165" fontId="30" fillId="4" borderId="1" xfId="3" applyFont="1" applyFill="1" applyBorder="1" applyAlignment="1">
      <alignment horizontal="left"/>
    </xf>
    <xf numFmtId="165" fontId="9" fillId="4" borderId="1" xfId="3" applyFont="1" applyFill="1" applyBorder="1" applyAlignment="1">
      <alignment horizontal="left" vertical="center" wrapText="1"/>
    </xf>
    <xf numFmtId="1" fontId="9" fillId="4" borderId="1" xfId="3" applyNumberFormat="1" applyFont="1" applyFill="1" applyBorder="1" applyAlignment="1">
      <alignment horizontal="center" vertical="center" wrapText="1"/>
    </xf>
    <xf numFmtId="165" fontId="9" fillId="0" borderId="0" xfId="3" applyFont="1" applyAlignment="1">
      <alignment horizontal="center"/>
    </xf>
    <xf numFmtId="165" fontId="77" fillId="4" borderId="1" xfId="3" applyFont="1" applyFill="1" applyBorder="1" applyAlignment="1">
      <alignment horizontal="left"/>
    </xf>
    <xf numFmtId="166" fontId="10" fillId="0" borderId="0" xfId="0" applyNumberFormat="1" applyFont="1" applyAlignment="1">
      <alignment vertical="center"/>
    </xf>
    <xf numFmtId="167" fontId="9" fillId="0" borderId="0" xfId="3" applyNumberFormat="1" applyFont="1" applyAlignment="1">
      <alignment horizontal="right" vertical="center"/>
    </xf>
    <xf numFmtId="166" fontId="71" fillId="20" borderId="39" xfId="0" applyNumberFormat="1" applyFont="1" applyFill="1" applyBorder="1" applyAlignment="1">
      <alignment vertical="center"/>
    </xf>
    <xf numFmtId="166" fontId="69" fillId="0" borderId="73" xfId="0" applyNumberFormat="1" applyFont="1" applyBorder="1"/>
    <xf numFmtId="1" fontId="69" fillId="0" borderId="73" xfId="0" applyNumberFormat="1" applyFont="1" applyBorder="1"/>
    <xf numFmtId="14" fontId="9" fillId="0" borderId="0" xfId="3" applyNumberFormat="1" applyFont="1"/>
    <xf numFmtId="166" fontId="9" fillId="0" borderId="1" xfId="3" applyNumberFormat="1" applyFont="1" applyBorder="1" applyAlignment="1">
      <alignment horizontal="right"/>
    </xf>
    <xf numFmtId="4" fontId="8" fillId="0" borderId="11" xfId="3" applyNumberFormat="1" applyFont="1" applyBorder="1" applyAlignment="1">
      <alignment horizontal="center" vertical="center"/>
    </xf>
    <xf numFmtId="4" fontId="8" fillId="0" borderId="1" xfId="3" applyNumberFormat="1" applyFont="1" applyBorder="1" applyAlignment="1">
      <alignment horizontal="center" vertical="center"/>
    </xf>
    <xf numFmtId="166" fontId="9" fillId="0" borderId="14" xfId="3" applyNumberFormat="1" applyFont="1" applyBorder="1" applyAlignment="1">
      <alignment horizontal="right"/>
    </xf>
    <xf numFmtId="165" fontId="78" fillId="0" borderId="52" xfId="3" applyFont="1" applyBorder="1"/>
    <xf numFmtId="20" fontId="9" fillId="4" borderId="18" xfId="0" applyNumberFormat="1" applyFont="1" applyFill="1" applyBorder="1" applyAlignment="1">
      <alignment horizontal="center" vertical="center" wrapText="1"/>
    </xf>
    <xf numFmtId="1" fontId="9" fillId="0" borderId="63" xfId="3" applyNumberFormat="1" applyFont="1" applyBorder="1" applyAlignment="1">
      <alignment horizontal="center"/>
    </xf>
    <xf numFmtId="16" fontId="8" fillId="0" borderId="77" xfId="3" applyNumberFormat="1" applyFont="1" applyBorder="1" applyAlignment="1">
      <alignment vertical="center"/>
    </xf>
    <xf numFmtId="16" fontId="8" fillId="0" borderId="32" xfId="3" applyNumberFormat="1" applyFont="1" applyBorder="1" applyAlignment="1">
      <alignment vertical="center"/>
    </xf>
    <xf numFmtId="165" fontId="9" fillId="0" borderId="3" xfId="3" applyFont="1" applyBorder="1" applyAlignment="1">
      <alignment horizontal="center"/>
    </xf>
    <xf numFmtId="2" fontId="9" fillId="7" borderId="34" xfId="3" applyNumberFormat="1" applyFont="1" applyFill="1" applyBorder="1" applyAlignment="1">
      <alignment horizontal="center" vertical="center"/>
    </xf>
    <xf numFmtId="2" fontId="25" fillId="7" borderId="34" xfId="3" applyNumberFormat="1" applyFont="1" applyFill="1" applyBorder="1" applyAlignment="1">
      <alignment horizontal="center" vertical="center"/>
    </xf>
    <xf numFmtId="2" fontId="79" fillId="0" borderId="1" xfId="3" applyNumberFormat="1" applyFont="1" applyBorder="1" applyAlignment="1">
      <alignment horizontal="center" vertical="center"/>
    </xf>
    <xf numFmtId="2" fontId="8" fillId="0" borderId="0" xfId="3" applyNumberFormat="1" applyFont="1"/>
    <xf numFmtId="165" fontId="67" fillId="0" borderId="52" xfId="0" applyFont="1" applyBorder="1"/>
    <xf numFmtId="2" fontId="68" fillId="0" borderId="76" xfId="0" applyNumberFormat="1" applyFont="1" applyBorder="1"/>
    <xf numFmtId="2" fontId="68" fillId="0" borderId="80" xfId="0" applyNumberFormat="1" applyFont="1" applyBorder="1"/>
    <xf numFmtId="2" fontId="74" fillId="22" borderId="81" xfId="0" applyNumberFormat="1" applyFont="1" applyFill="1" applyBorder="1"/>
    <xf numFmtId="2" fontId="31" fillId="0" borderId="10" xfId="4" applyNumberFormat="1" applyFont="1" applyFill="1" applyBorder="1" applyAlignment="1">
      <alignment horizontal="center" vertical="center"/>
    </xf>
    <xf numFmtId="2" fontId="31" fillId="0" borderId="2" xfId="4" applyNumberFormat="1" applyFont="1" applyBorder="1" applyAlignment="1">
      <alignment horizontal="center" vertical="center"/>
    </xf>
    <xf numFmtId="2" fontId="31" fillId="0" borderId="2" xfId="4" applyNumberFormat="1" applyFont="1" applyFill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/>
    </xf>
    <xf numFmtId="1" fontId="9" fillId="0" borderId="1" xfId="3" applyNumberFormat="1" applyFont="1" applyBorder="1" applyAlignment="1">
      <alignment horizontal="center"/>
    </xf>
    <xf numFmtId="1" fontId="9" fillId="0" borderId="18" xfId="3" applyNumberFormat="1" applyFont="1" applyBorder="1" applyAlignment="1">
      <alignment horizontal="center"/>
    </xf>
    <xf numFmtId="166" fontId="9" fillId="0" borderId="14" xfId="3" applyNumberFormat="1" applyFont="1" applyBorder="1" applyAlignment="1">
      <alignment horizontal="center"/>
    </xf>
    <xf numFmtId="166" fontId="9" fillId="0" borderId="32" xfId="3" applyNumberFormat="1" applyFont="1" applyBorder="1" applyAlignment="1">
      <alignment horizontal="center"/>
    </xf>
    <xf numFmtId="166" fontId="9" fillId="0" borderId="14" xfId="3" applyNumberFormat="1" applyFont="1" applyBorder="1"/>
    <xf numFmtId="166" fontId="9" fillId="4" borderId="33" xfId="3" applyNumberFormat="1" applyFont="1" applyFill="1" applyBorder="1"/>
    <xf numFmtId="1" fontId="9" fillId="4" borderId="33" xfId="3" applyNumberFormat="1" applyFont="1" applyFill="1" applyBorder="1"/>
    <xf numFmtId="2" fontId="68" fillId="4" borderId="12" xfId="0" applyNumberFormat="1" applyFont="1" applyFill="1" applyBorder="1"/>
    <xf numFmtId="2" fontId="68" fillId="4" borderId="12" xfId="0" quotePrefix="1" applyNumberFormat="1" applyFont="1" applyFill="1" applyBorder="1"/>
    <xf numFmtId="2" fontId="68" fillId="4" borderId="80" xfId="0" applyNumberFormat="1" applyFont="1" applyFill="1" applyBorder="1"/>
    <xf numFmtId="2" fontId="8" fillId="0" borderId="0" xfId="3" applyNumberFormat="1" applyFont="1" applyAlignment="1">
      <alignment wrapText="1"/>
    </xf>
    <xf numFmtId="165" fontId="7" fillId="0" borderId="0" xfId="3" applyAlignment="1">
      <alignment horizontal="left"/>
    </xf>
    <xf numFmtId="2" fontId="7" fillId="0" borderId="60" xfId="3" applyNumberFormat="1" applyBorder="1" applyAlignment="1">
      <alignment horizontal="center"/>
    </xf>
    <xf numFmtId="2" fontId="40" fillId="0" borderId="26" xfId="3" applyNumberFormat="1" applyFont="1" applyBorder="1" applyAlignment="1">
      <alignment horizontal="center"/>
    </xf>
    <xf numFmtId="165" fontId="7" fillId="0" borderId="56" xfId="3" applyBorder="1" applyAlignment="1">
      <alignment horizontal="center"/>
    </xf>
    <xf numFmtId="165" fontId="9" fillId="0" borderId="1" xfId="3" applyFont="1" applyBorder="1" applyAlignment="1">
      <alignment horizontal="center" vertical="center" wrapText="1"/>
    </xf>
    <xf numFmtId="1" fontId="8" fillId="0" borderId="1" xfId="3" applyNumberFormat="1" applyFont="1" applyBorder="1"/>
    <xf numFmtId="2" fontId="35" fillId="23" borderId="1" xfId="3" applyNumberFormat="1" applyFont="1" applyFill="1" applyBorder="1" applyAlignment="1">
      <alignment horizontal="right"/>
    </xf>
    <xf numFmtId="2" fontId="9" fillId="23" borderId="21" xfId="3" applyNumberFormat="1" applyFont="1" applyFill="1" applyBorder="1" applyAlignment="1">
      <alignment horizontal="right"/>
    </xf>
    <xf numFmtId="20" fontId="9" fillId="4" borderId="17" xfId="0" applyNumberFormat="1" applyFont="1" applyFill="1" applyBorder="1" applyAlignment="1">
      <alignment horizontal="center" vertical="center" wrapText="1"/>
    </xf>
    <xf numFmtId="1" fontId="9" fillId="0" borderId="19" xfId="3" applyNumberFormat="1" applyFont="1" applyBorder="1" applyAlignment="1">
      <alignment horizontal="center"/>
    </xf>
    <xf numFmtId="165" fontId="27" fillId="4" borderId="1" xfId="3" applyFont="1" applyFill="1" applyBorder="1"/>
    <xf numFmtId="2" fontId="76" fillId="6" borderId="1" xfId="3" applyNumberFormat="1" applyFont="1" applyFill="1" applyBorder="1"/>
    <xf numFmtId="0" fontId="22" fillId="0" borderId="59" xfId="3" applyNumberFormat="1" applyFont="1" applyBorder="1" applyAlignment="1">
      <alignment vertical="top" wrapText="1"/>
    </xf>
    <xf numFmtId="166" fontId="9" fillId="0" borderId="0" xfId="3" applyNumberFormat="1" applyFont="1"/>
    <xf numFmtId="2" fontId="25" fillId="0" borderId="43" xfId="3" applyNumberFormat="1" applyFont="1" applyBorder="1" applyAlignment="1">
      <alignment horizontal="center" vertical="center"/>
    </xf>
    <xf numFmtId="2" fontId="25" fillId="0" borderId="54" xfId="3" applyNumberFormat="1" applyFont="1" applyBorder="1" applyAlignment="1">
      <alignment horizontal="center" vertical="center"/>
    </xf>
    <xf numFmtId="1" fontId="9" fillId="0" borderId="0" xfId="3" applyNumberFormat="1" applyFont="1"/>
    <xf numFmtId="2" fontId="9" fillId="0" borderId="76" xfId="6" applyNumberFormat="1" applyFont="1" applyBorder="1" applyAlignment="1">
      <alignment horizontal="center" vertical="center"/>
    </xf>
    <xf numFmtId="2" fontId="9" fillId="0" borderId="80" xfId="3" applyNumberFormat="1" applyFont="1" applyBorder="1" applyAlignment="1">
      <alignment horizontal="center" vertical="center"/>
    </xf>
    <xf numFmtId="165" fontId="9" fillId="0" borderId="1" xfId="3" applyFont="1" applyBorder="1" applyAlignment="1">
      <alignment vertical="center" wrapText="1"/>
    </xf>
    <xf numFmtId="165" fontId="9" fillId="0" borderId="0" xfId="3" applyFont="1" applyAlignment="1">
      <alignment horizontal="left"/>
    </xf>
    <xf numFmtId="165" fontId="9" fillId="0" borderId="6" xfId="3" applyFont="1" applyBorder="1" applyAlignment="1">
      <alignment horizontal="center" vertical="center" wrapText="1"/>
    </xf>
    <xf numFmtId="165" fontId="9" fillId="0" borderId="10" xfId="3" applyFont="1" applyBorder="1" applyAlignment="1">
      <alignment horizontal="center" vertical="center" wrapText="1"/>
    </xf>
    <xf numFmtId="165" fontId="9" fillId="0" borderId="4" xfId="3" applyFont="1" applyBorder="1" applyAlignment="1">
      <alignment horizontal="center"/>
    </xf>
    <xf numFmtId="165" fontId="9" fillId="0" borderId="7" xfId="3" applyFont="1" applyBorder="1" applyAlignment="1">
      <alignment horizontal="center" vertical="center" wrapText="1"/>
    </xf>
    <xf numFmtId="2" fontId="9" fillId="4" borderId="23" xfId="3" applyNumberFormat="1" applyFont="1" applyFill="1" applyBorder="1" applyAlignment="1">
      <alignment horizontal="center" vertical="center"/>
    </xf>
    <xf numFmtId="165" fontId="26" fillId="0" borderId="13" xfId="3" applyFont="1" applyBorder="1" applyAlignment="1">
      <alignment horizontal="left" vertical="center"/>
    </xf>
    <xf numFmtId="2" fontId="25" fillId="0" borderId="35" xfId="3" applyNumberFormat="1" applyFont="1" applyBorder="1" applyAlignment="1">
      <alignment horizontal="center" vertical="center"/>
    </xf>
    <xf numFmtId="2" fontId="9" fillId="7" borderId="0" xfId="3" applyNumberFormat="1" applyFont="1" applyFill="1" applyAlignment="1">
      <alignment horizontal="center" vertical="center"/>
    </xf>
    <xf numFmtId="2" fontId="25" fillId="7" borderId="0" xfId="3" applyNumberFormat="1" applyFont="1" applyFill="1" applyAlignment="1">
      <alignment horizontal="center" vertical="center"/>
    </xf>
    <xf numFmtId="166" fontId="9" fillId="7" borderId="0" xfId="3" applyNumberFormat="1" applyFont="1" applyFill="1" applyAlignment="1">
      <alignment horizontal="center" vertical="center"/>
    </xf>
    <xf numFmtId="16" fontId="8" fillId="0" borderId="1" xfId="3" applyNumberFormat="1" applyFont="1" applyBorder="1" applyAlignment="1">
      <alignment horizontal="center" vertical="center"/>
    </xf>
    <xf numFmtId="166" fontId="8" fillId="4" borderId="1" xfId="3" applyNumberFormat="1" applyFont="1" applyFill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 vertical="center"/>
    </xf>
    <xf numFmtId="1" fontId="31" fillId="0" borderId="1" xfId="3" applyNumberFormat="1" applyFont="1" applyBorder="1" applyAlignment="1">
      <alignment vertical="center" wrapText="1"/>
    </xf>
    <xf numFmtId="167" fontId="21" fillId="5" borderId="11" xfId="3" applyNumberFormat="1" applyFont="1" applyFill="1" applyBorder="1" applyAlignment="1">
      <alignment horizontal="center" vertical="center"/>
    </xf>
    <xf numFmtId="165" fontId="8" fillId="0" borderId="2" xfId="3" applyFont="1" applyBorder="1" applyAlignment="1">
      <alignment vertical="center"/>
    </xf>
    <xf numFmtId="170" fontId="8" fillId="0" borderId="1" xfId="4" applyNumberFormat="1" applyFont="1" applyBorder="1" applyAlignment="1">
      <alignment horizontal="center" vertical="center"/>
    </xf>
    <xf numFmtId="165" fontId="20" fillId="0" borderId="13" xfId="3" applyFont="1" applyBorder="1"/>
    <xf numFmtId="167" fontId="21" fillId="0" borderId="11" xfId="3" applyNumberFormat="1" applyFont="1" applyBorder="1" applyAlignment="1">
      <alignment horizontal="center" vertical="center"/>
    </xf>
    <xf numFmtId="1" fontId="31" fillId="0" borderId="51" xfId="3" applyNumberFormat="1" applyFont="1" applyBorder="1" applyAlignment="1">
      <alignment vertical="center" wrapText="1"/>
    </xf>
    <xf numFmtId="170" fontId="8" fillId="0" borderId="3" xfId="4" applyNumberFormat="1" applyFont="1" applyBorder="1" applyAlignment="1">
      <alignment horizontal="center" vertical="center"/>
    </xf>
    <xf numFmtId="4" fontId="8" fillId="0" borderId="10" xfId="3" applyNumberFormat="1" applyFont="1" applyBorder="1" applyAlignment="1">
      <alignment horizontal="center" vertical="center"/>
    </xf>
    <xf numFmtId="171" fontId="8" fillId="0" borderId="10" xfId="3" applyNumberFormat="1" applyFont="1" applyBorder="1" applyAlignment="1">
      <alignment horizontal="center" vertical="center"/>
    </xf>
    <xf numFmtId="2" fontId="8" fillId="0" borderId="10" xfId="3" applyNumberFormat="1" applyFont="1" applyBorder="1" applyAlignment="1">
      <alignment horizontal="center" vertical="center"/>
    </xf>
    <xf numFmtId="170" fontId="8" fillId="0" borderId="10" xfId="4" applyNumberFormat="1" applyFont="1" applyBorder="1" applyAlignment="1">
      <alignment horizontal="center" vertical="center"/>
    </xf>
    <xf numFmtId="2" fontId="31" fillId="0" borderId="1" xfId="4" applyNumberFormat="1" applyFont="1" applyFill="1" applyBorder="1" applyAlignment="1">
      <alignment horizontal="center" vertical="center"/>
    </xf>
    <xf numFmtId="2" fontId="31" fillId="0" borderId="1" xfId="4" applyNumberFormat="1" applyFont="1" applyBorder="1" applyAlignment="1">
      <alignment horizontal="center" vertical="center"/>
    </xf>
    <xf numFmtId="166" fontId="8" fillId="0" borderId="1" xfId="3" applyNumberFormat="1" applyFont="1" applyBorder="1" applyAlignment="1">
      <alignment horizontal="center"/>
    </xf>
    <xf numFmtId="2" fontId="9" fillId="0" borderId="1" xfId="3" applyNumberFormat="1" applyFont="1" applyBorder="1" applyAlignment="1">
      <alignment horizontal="left" vertical="center"/>
    </xf>
    <xf numFmtId="165" fontId="27" fillId="0" borderId="13" xfId="3" applyFont="1" applyBorder="1" applyAlignment="1">
      <alignment vertical="center"/>
    </xf>
    <xf numFmtId="170" fontId="9" fillId="23" borderId="1" xfId="3" applyNumberFormat="1" applyFont="1" applyFill="1" applyBorder="1" applyAlignment="1">
      <alignment horizontal="right"/>
    </xf>
    <xf numFmtId="165" fontId="26" fillId="0" borderId="13" xfId="3" applyFont="1" applyBorder="1" applyAlignment="1">
      <alignment horizontal="center" vertical="center"/>
    </xf>
    <xf numFmtId="165" fontId="9" fillId="0" borderId="18" xfId="3" applyFont="1" applyBorder="1"/>
    <xf numFmtId="2" fontId="9" fillId="0" borderId="10" xfId="3" applyNumberFormat="1" applyFont="1" applyBorder="1" applyAlignment="1">
      <alignment horizontal="center" vertical="center"/>
    </xf>
    <xf numFmtId="2" fontId="9" fillId="4" borderId="18" xfId="3" applyNumberFormat="1" applyFont="1" applyFill="1" applyBorder="1" applyAlignment="1">
      <alignment horizontal="center" vertical="center"/>
    </xf>
    <xf numFmtId="2" fontId="31" fillId="0" borderId="1" xfId="3" applyNumberFormat="1" applyFont="1" applyBorder="1" applyAlignment="1">
      <alignment horizontal="center" vertical="center"/>
    </xf>
    <xf numFmtId="2" fontId="9" fillId="4" borderId="1" xfId="3" applyNumberFormat="1" applyFont="1" applyFill="1" applyBorder="1" applyAlignment="1">
      <alignment horizontal="center" vertical="center"/>
    </xf>
    <xf numFmtId="165" fontId="27" fillId="0" borderId="1" xfId="3" applyFont="1" applyBorder="1" applyAlignment="1">
      <alignment vertical="center"/>
    </xf>
    <xf numFmtId="166" fontId="21" fillId="4" borderId="1" xfId="3" applyNumberFormat="1" applyFont="1" applyFill="1" applyBorder="1" applyAlignment="1">
      <alignment horizontal="center" vertical="center"/>
    </xf>
    <xf numFmtId="167" fontId="8" fillId="0" borderId="1" xfId="3" applyNumberFormat="1" applyFont="1" applyBorder="1" applyAlignment="1">
      <alignment horizontal="center" vertical="center"/>
    </xf>
    <xf numFmtId="166" fontId="8" fillId="7" borderId="1" xfId="3" applyNumberFormat="1" applyFont="1" applyFill="1" applyBorder="1" applyAlignment="1">
      <alignment horizontal="center" vertical="center"/>
    </xf>
    <xf numFmtId="167" fontId="8" fillId="0" borderId="11" xfId="3" applyNumberFormat="1" applyFont="1" applyBorder="1" applyAlignment="1">
      <alignment horizontal="center"/>
    </xf>
    <xf numFmtId="165" fontId="13" fillId="4" borderId="0" xfId="3" applyFont="1" applyFill="1" applyAlignment="1">
      <alignment horizontal="center" vertical="center"/>
    </xf>
    <xf numFmtId="165" fontId="13" fillId="4" borderId="25" xfId="3" applyFont="1" applyFill="1" applyBorder="1" applyAlignment="1">
      <alignment horizontal="center" vertical="center"/>
    </xf>
    <xf numFmtId="165" fontId="13" fillId="4" borderId="26" xfId="3" applyFont="1" applyFill="1" applyBorder="1" applyAlignment="1">
      <alignment horizontal="center" vertical="center"/>
    </xf>
    <xf numFmtId="165" fontId="13" fillId="4" borderId="75" xfId="3" applyFont="1" applyFill="1" applyBorder="1" applyAlignment="1">
      <alignment horizontal="center" vertical="center"/>
    </xf>
    <xf numFmtId="165" fontId="13" fillId="4" borderId="63" xfId="3" applyFont="1" applyFill="1" applyBorder="1" applyAlignment="1">
      <alignment horizontal="center" vertical="center"/>
    </xf>
    <xf numFmtId="165" fontId="13" fillId="4" borderId="4" xfId="3" applyFont="1" applyFill="1" applyBorder="1" applyAlignment="1">
      <alignment horizontal="center" vertical="center"/>
    </xf>
    <xf numFmtId="1" fontId="9" fillId="4" borderId="34" xfId="3" applyNumberFormat="1" applyFont="1" applyFill="1" applyBorder="1"/>
    <xf numFmtId="166" fontId="9" fillId="4" borderId="34" xfId="3" applyNumberFormat="1" applyFont="1" applyFill="1" applyBorder="1"/>
    <xf numFmtId="165" fontId="78" fillId="0" borderId="31" xfId="3" applyFont="1" applyBorder="1"/>
    <xf numFmtId="1" fontId="9" fillId="0" borderId="32" xfId="3" applyNumberFormat="1" applyFont="1" applyBorder="1" applyAlignment="1">
      <alignment horizontal="right"/>
    </xf>
    <xf numFmtId="166" fontId="9" fillId="0" borderId="32" xfId="3" applyNumberFormat="1" applyFont="1" applyBorder="1"/>
    <xf numFmtId="166" fontId="8" fillId="0" borderId="36" xfId="3" applyNumberFormat="1" applyFont="1" applyBorder="1"/>
    <xf numFmtId="165" fontId="81" fillId="0" borderId="52" xfId="3" applyFont="1" applyBorder="1"/>
    <xf numFmtId="165" fontId="82" fillId="0" borderId="52" xfId="3" applyFont="1" applyBorder="1"/>
    <xf numFmtId="170" fontId="7" fillId="0" borderId="0" xfId="3" applyNumberFormat="1" applyAlignment="1">
      <alignment horizontal="right"/>
    </xf>
    <xf numFmtId="165" fontId="83" fillId="0" borderId="31" xfId="3" applyFont="1" applyBorder="1"/>
    <xf numFmtId="165" fontId="84" fillId="0" borderId="31" xfId="3" applyFont="1" applyBorder="1"/>
    <xf numFmtId="166" fontId="8" fillId="0" borderId="0" xfId="3" applyNumberFormat="1" applyFont="1" applyAlignment="1">
      <alignment horizontal="center" vertical="center"/>
    </xf>
    <xf numFmtId="166" fontId="9" fillId="26" borderId="63" xfId="3" applyNumberFormat="1" applyFont="1" applyFill="1" applyBorder="1" applyAlignment="1">
      <alignment horizontal="center"/>
    </xf>
    <xf numFmtId="0" fontId="9" fillId="0" borderId="0" xfId="3" applyNumberFormat="1" applyFont="1" applyAlignment="1">
      <alignment horizontal="center"/>
    </xf>
    <xf numFmtId="0" fontId="22" fillId="0" borderId="1" xfId="3" applyNumberFormat="1" applyFont="1" applyBorder="1" applyAlignment="1">
      <alignment vertical="top" wrapText="1"/>
    </xf>
    <xf numFmtId="165" fontId="8" fillId="0" borderId="0" xfId="3" applyFont="1" applyAlignment="1">
      <alignment horizontal="left" vertical="center"/>
    </xf>
    <xf numFmtId="166" fontId="9" fillId="23" borderId="1" xfId="3" applyNumberFormat="1" applyFont="1" applyFill="1" applyBorder="1" applyAlignment="1">
      <alignment horizontal="center" vertical="center"/>
    </xf>
    <xf numFmtId="165" fontId="8" fillId="23" borderId="2" xfId="3" applyFont="1" applyFill="1" applyBorder="1" applyAlignment="1">
      <alignment vertical="center"/>
    </xf>
    <xf numFmtId="165" fontId="9" fillId="0" borderId="81" xfId="3" applyFont="1" applyBorder="1" applyAlignment="1">
      <alignment vertical="center" wrapText="1"/>
    </xf>
    <xf numFmtId="165" fontId="9" fillId="0" borderId="40" xfId="3" applyFont="1" applyBorder="1" applyAlignment="1">
      <alignment horizontal="center" vertical="center" wrapText="1"/>
    </xf>
    <xf numFmtId="16" fontId="8" fillId="0" borderId="39" xfId="3" applyNumberFormat="1" applyFont="1" applyBorder="1" applyAlignment="1">
      <alignment horizontal="center" vertical="center"/>
    </xf>
    <xf numFmtId="4" fontId="8" fillId="0" borderId="39" xfId="3" applyNumberFormat="1" applyFont="1" applyBorder="1" applyAlignment="1">
      <alignment horizontal="center" vertical="center"/>
    </xf>
    <xf numFmtId="171" fontId="8" fillId="0" borderId="39" xfId="3" applyNumberFormat="1" applyFont="1" applyBorder="1" applyAlignment="1">
      <alignment horizontal="center" vertical="center"/>
    </xf>
    <xf numFmtId="2" fontId="8" fillId="0" borderId="39" xfId="3" applyNumberFormat="1" applyFont="1" applyBorder="1" applyAlignment="1">
      <alignment horizontal="center" vertical="center"/>
    </xf>
    <xf numFmtId="4" fontId="8" fillId="0" borderId="62" xfId="3" applyNumberFormat="1" applyFont="1" applyBorder="1" applyAlignment="1">
      <alignment horizontal="center" vertical="center"/>
    </xf>
    <xf numFmtId="2" fontId="31" fillId="0" borderId="39" xfId="4" applyNumberFormat="1" applyFont="1" applyFill="1" applyBorder="1" applyAlignment="1">
      <alignment horizontal="center" vertical="center"/>
    </xf>
    <xf numFmtId="170" fontId="8" fillId="0" borderId="79" xfId="4" applyNumberFormat="1" applyFont="1" applyFill="1" applyBorder="1" applyAlignment="1">
      <alignment horizontal="center" vertical="center"/>
    </xf>
    <xf numFmtId="16" fontId="9" fillId="0" borderId="76" xfId="3" applyNumberFormat="1" applyFont="1" applyBorder="1" applyAlignment="1">
      <alignment horizontal="center" vertical="center"/>
    </xf>
    <xf numFmtId="4" fontId="8" fillId="0" borderId="76" xfId="3" applyNumberFormat="1" applyFont="1" applyBorder="1" applyAlignment="1">
      <alignment horizontal="center" vertical="center"/>
    </xf>
    <xf numFmtId="171" fontId="8" fillId="0" borderId="76" xfId="3" applyNumberFormat="1" applyFont="1" applyBorder="1" applyAlignment="1">
      <alignment horizontal="center" vertical="center"/>
    </xf>
    <xf numFmtId="2" fontId="8" fillId="0" borderId="76" xfId="3" applyNumberFormat="1" applyFont="1" applyBorder="1" applyAlignment="1">
      <alignment horizontal="center" vertical="center"/>
    </xf>
    <xf numFmtId="4" fontId="8" fillId="0" borderId="80" xfId="3" applyNumberFormat="1" applyFont="1" applyBorder="1" applyAlignment="1">
      <alignment horizontal="center" vertical="center"/>
    </xf>
    <xf numFmtId="2" fontId="31" fillId="0" borderId="76" xfId="4" applyNumberFormat="1" applyFont="1" applyFill="1" applyBorder="1" applyAlignment="1">
      <alignment horizontal="center" vertical="center"/>
    </xf>
    <xf numFmtId="170" fontId="8" fillId="0" borderId="9" xfId="4" applyNumberFormat="1" applyFont="1" applyFill="1" applyBorder="1" applyAlignment="1">
      <alignment horizontal="center" vertical="center"/>
    </xf>
    <xf numFmtId="165" fontId="85" fillId="0" borderId="38" xfId="3" applyFont="1" applyBorder="1" applyAlignment="1">
      <alignment horizontal="center" vertical="center"/>
    </xf>
    <xf numFmtId="2" fontId="31" fillId="0" borderId="62" xfId="4" applyNumberFormat="1" applyFont="1" applyFill="1" applyBorder="1" applyAlignment="1">
      <alignment horizontal="center" vertical="center"/>
    </xf>
    <xf numFmtId="2" fontId="9" fillId="0" borderId="39" xfId="3" applyNumberFormat="1" applyFont="1" applyBorder="1" applyAlignment="1">
      <alignment horizontal="center" vertical="center"/>
    </xf>
    <xf numFmtId="2" fontId="79" fillId="0" borderId="39" xfId="3" applyNumberFormat="1" applyFont="1" applyBorder="1" applyAlignment="1">
      <alignment horizontal="center" vertical="center"/>
    </xf>
    <xf numFmtId="16" fontId="9" fillId="0" borderId="84" xfId="3" applyNumberFormat="1" applyFont="1" applyBorder="1" applyAlignment="1">
      <alignment horizontal="center" vertical="center"/>
    </xf>
    <xf numFmtId="4" fontId="8" fillId="0" borderId="84" xfId="3" applyNumberFormat="1" applyFont="1" applyBorder="1" applyAlignment="1">
      <alignment horizontal="center" vertical="center"/>
    </xf>
    <xf numFmtId="171" fontId="8" fillId="0" borderId="84" xfId="3" applyNumberFormat="1" applyFont="1" applyBorder="1" applyAlignment="1">
      <alignment horizontal="center" vertical="center"/>
    </xf>
    <xf numFmtId="2" fontId="8" fillId="0" borderId="84" xfId="3" applyNumberFormat="1" applyFont="1" applyBorder="1" applyAlignment="1">
      <alignment horizontal="center" vertical="center"/>
    </xf>
    <xf numFmtId="4" fontId="8" fillId="0" borderId="85" xfId="3" applyNumberFormat="1" applyFont="1" applyBorder="1" applyAlignment="1">
      <alignment horizontal="center" vertical="center"/>
    </xf>
    <xf numFmtId="2" fontId="31" fillId="0" borderId="84" xfId="4" applyNumberFormat="1" applyFont="1" applyFill="1" applyBorder="1" applyAlignment="1">
      <alignment horizontal="center" vertical="center"/>
    </xf>
    <xf numFmtId="2" fontId="31" fillId="0" borderId="85" xfId="4" applyNumberFormat="1" applyFont="1" applyFill="1" applyBorder="1" applyAlignment="1">
      <alignment horizontal="center" vertical="center"/>
    </xf>
    <xf numFmtId="2" fontId="9" fillId="4" borderId="84" xfId="3" applyNumberFormat="1" applyFont="1" applyFill="1" applyBorder="1" applyAlignment="1">
      <alignment horizontal="center" vertical="center"/>
    </xf>
    <xf numFmtId="170" fontId="8" fillId="0" borderId="86" xfId="4" applyNumberFormat="1" applyFont="1" applyFill="1" applyBorder="1" applyAlignment="1">
      <alignment horizontal="center" vertical="center"/>
    </xf>
    <xf numFmtId="2" fontId="31" fillId="0" borderId="80" xfId="4" applyNumberFormat="1" applyFont="1" applyFill="1" applyBorder="1" applyAlignment="1">
      <alignment horizontal="center" vertical="center"/>
    </xf>
    <xf numFmtId="2" fontId="9" fillId="0" borderId="76" xfId="3" applyNumberFormat="1" applyFont="1" applyBorder="1" applyAlignment="1">
      <alignment horizontal="center" vertical="center"/>
    </xf>
    <xf numFmtId="2" fontId="79" fillId="0" borderId="76" xfId="3" applyNumberFormat="1" applyFont="1" applyBorder="1" applyAlignment="1">
      <alignment horizontal="center" vertical="center"/>
    </xf>
    <xf numFmtId="165" fontId="86" fillId="0" borderId="88" xfId="3" applyFont="1" applyBorder="1" applyAlignment="1">
      <alignment horizontal="center" vertical="center"/>
    </xf>
    <xf numFmtId="2" fontId="9" fillId="0" borderId="84" xfId="3" applyNumberFormat="1" applyFont="1" applyBorder="1" applyAlignment="1">
      <alignment horizontal="center" vertical="center"/>
    </xf>
    <xf numFmtId="165" fontId="9" fillId="0" borderId="87" xfId="3" applyFont="1" applyBorder="1" applyAlignment="1">
      <alignment horizontal="center" vertical="center" wrapText="1"/>
    </xf>
    <xf numFmtId="165" fontId="9" fillId="0" borderId="18" xfId="3" applyFont="1" applyBorder="1" applyAlignment="1">
      <alignment horizontal="center" vertical="center" wrapText="1"/>
    </xf>
    <xf numFmtId="2" fontId="79" fillId="0" borderId="85" xfId="3" applyNumberFormat="1" applyFont="1" applyBorder="1" applyAlignment="1">
      <alignment horizontal="center" vertical="center"/>
    </xf>
    <xf numFmtId="165" fontId="82" fillId="0" borderId="88" xfId="3" applyFont="1" applyBorder="1" applyAlignment="1">
      <alignment horizontal="center" vertical="center"/>
    </xf>
    <xf numFmtId="165" fontId="80" fillId="0" borderId="13" xfId="3" applyFont="1" applyBorder="1" applyAlignment="1">
      <alignment horizontal="center" vertical="center"/>
    </xf>
    <xf numFmtId="165" fontId="20" fillId="0" borderId="13" xfId="3" applyFont="1" applyBorder="1" applyAlignment="1">
      <alignment horizontal="center" vertical="center"/>
    </xf>
    <xf numFmtId="2" fontId="9" fillId="23" borderId="1" xfId="3" applyNumberFormat="1" applyFont="1" applyFill="1" applyBorder="1" applyAlignment="1">
      <alignment horizontal="center" vertical="center"/>
    </xf>
    <xf numFmtId="2" fontId="31" fillId="0" borderId="32" xfId="4" applyNumberFormat="1" applyFont="1" applyFill="1" applyBorder="1" applyAlignment="1">
      <alignment horizontal="center" vertical="center"/>
    </xf>
    <xf numFmtId="2" fontId="79" fillId="0" borderId="84" xfId="3" applyNumberFormat="1" applyFont="1" applyBorder="1" applyAlignment="1">
      <alignment horizontal="center" vertical="center"/>
    </xf>
    <xf numFmtId="165" fontId="85" fillId="0" borderId="13" xfId="3" applyFont="1" applyBorder="1" applyAlignment="1">
      <alignment horizontal="center" vertical="center"/>
    </xf>
    <xf numFmtId="165" fontId="79" fillId="0" borderId="13" xfId="3" applyFont="1" applyBorder="1" applyAlignment="1">
      <alignment horizontal="center" vertical="center"/>
    </xf>
    <xf numFmtId="165" fontId="87" fillId="0" borderId="13" xfId="3" applyFont="1" applyBorder="1" applyAlignment="1">
      <alignment horizontal="center" vertical="center"/>
    </xf>
    <xf numFmtId="165" fontId="31" fillId="0" borderId="13" xfId="3" applyFont="1" applyBorder="1"/>
    <xf numFmtId="165" fontId="30" fillId="0" borderId="13" xfId="3" applyFont="1" applyBorder="1" applyAlignment="1">
      <alignment horizontal="center" vertical="center"/>
    </xf>
    <xf numFmtId="2" fontId="31" fillId="0" borderId="84" xfId="4" applyNumberFormat="1" applyFont="1" applyBorder="1" applyAlignment="1">
      <alignment horizontal="center" vertical="center"/>
    </xf>
    <xf numFmtId="2" fontId="31" fillId="0" borderId="84" xfId="3" applyNumberFormat="1" applyFont="1" applyBorder="1" applyAlignment="1">
      <alignment horizontal="center" vertical="center"/>
    </xf>
    <xf numFmtId="165" fontId="9" fillId="0" borderId="23" xfId="3" applyFont="1" applyBorder="1" applyAlignment="1">
      <alignment horizontal="center" vertical="center"/>
    </xf>
    <xf numFmtId="165" fontId="9" fillId="0" borderId="34" xfId="3" applyFont="1" applyBorder="1" applyAlignment="1">
      <alignment horizontal="center" vertical="center"/>
    </xf>
    <xf numFmtId="165" fontId="9" fillId="0" borderId="46" xfId="3" applyFont="1" applyBorder="1" applyAlignment="1">
      <alignment horizontal="center" vertical="center"/>
    </xf>
    <xf numFmtId="165" fontId="9" fillId="0" borderId="47" xfId="3" applyFont="1" applyBorder="1" applyAlignment="1">
      <alignment horizontal="center" vertical="center"/>
    </xf>
    <xf numFmtId="165" fontId="9" fillId="0" borderId="48" xfId="3" applyFont="1" applyBorder="1" applyAlignment="1">
      <alignment horizontal="center" vertical="center"/>
    </xf>
    <xf numFmtId="165" fontId="9" fillId="0" borderId="49" xfId="3" applyFont="1" applyBorder="1" applyAlignment="1">
      <alignment horizontal="center" vertical="center"/>
    </xf>
    <xf numFmtId="165" fontId="9" fillId="0" borderId="25" xfId="3" applyFont="1" applyBorder="1" applyAlignment="1">
      <alignment horizontal="center" vertical="center" wrapText="1"/>
    </xf>
    <xf numFmtId="165" fontId="9" fillId="0" borderId="75" xfId="3" applyFont="1" applyBorder="1" applyAlignment="1">
      <alignment horizontal="center" vertical="center" wrapText="1"/>
    </xf>
    <xf numFmtId="165" fontId="9" fillId="0" borderId="23" xfId="3" applyFont="1" applyBorder="1" applyAlignment="1">
      <alignment horizontal="center" vertical="center" wrapText="1"/>
    </xf>
    <xf numFmtId="165" fontId="9" fillId="0" borderId="34" xfId="3" applyFont="1" applyBorder="1" applyAlignment="1">
      <alignment horizontal="center" vertical="center" wrapText="1"/>
    </xf>
    <xf numFmtId="165" fontId="9" fillId="0" borderId="26" xfId="3" applyFont="1" applyBorder="1" applyAlignment="1">
      <alignment horizontal="center" vertical="center" wrapText="1"/>
    </xf>
    <xf numFmtId="165" fontId="9" fillId="0" borderId="63" xfId="3" applyFont="1" applyBorder="1" applyAlignment="1">
      <alignment horizontal="center" vertical="center" wrapText="1"/>
    </xf>
    <xf numFmtId="165" fontId="9" fillId="0" borderId="5" xfId="3" applyFont="1" applyBorder="1" applyAlignment="1">
      <alignment horizontal="center" vertical="center" wrapText="1"/>
    </xf>
    <xf numFmtId="165" fontId="9" fillId="0" borderId="38" xfId="3" applyFont="1" applyBorder="1" applyAlignment="1">
      <alignment horizontal="center" vertical="center" wrapText="1"/>
    </xf>
    <xf numFmtId="165" fontId="9" fillId="0" borderId="8" xfId="3" applyFont="1" applyBorder="1" applyAlignment="1">
      <alignment horizontal="center" vertical="center" wrapText="1"/>
    </xf>
    <xf numFmtId="165" fontId="9" fillId="0" borderId="40" xfId="3" applyFont="1" applyBorder="1" applyAlignment="1">
      <alignment horizontal="center" vertical="center" wrapText="1"/>
    </xf>
    <xf numFmtId="165" fontId="9" fillId="0" borderId="7" xfId="3" applyFont="1" applyBorder="1" applyAlignment="1">
      <alignment horizontal="center" vertical="center" wrapText="1"/>
    </xf>
    <xf numFmtId="165" fontId="9" fillId="0" borderId="62" xfId="3" applyFont="1" applyBorder="1" applyAlignment="1">
      <alignment horizontal="center" vertical="center" wrapText="1"/>
    </xf>
    <xf numFmtId="166" fontId="9" fillId="7" borderId="75" xfId="3" applyNumberFormat="1" applyFont="1" applyFill="1" applyBorder="1" applyAlignment="1">
      <alignment horizontal="center" vertical="center"/>
    </xf>
    <xf numFmtId="166" fontId="9" fillId="7" borderId="63" xfId="3" applyNumberFormat="1" applyFont="1" applyFill="1" applyBorder="1" applyAlignment="1">
      <alignment horizontal="center" vertical="center"/>
    </xf>
    <xf numFmtId="168" fontId="9" fillId="0" borderId="78" xfId="3" applyNumberFormat="1" applyFont="1" applyBorder="1" applyAlignment="1">
      <alignment horizontal="center" vertical="center" wrapText="1"/>
    </xf>
    <xf numFmtId="168" fontId="9" fillId="0" borderId="79" xfId="3" applyNumberFormat="1" applyFont="1" applyBorder="1" applyAlignment="1">
      <alignment horizontal="center" vertical="center" wrapText="1"/>
    </xf>
    <xf numFmtId="165" fontId="9" fillId="0" borderId="6" xfId="3" applyFont="1" applyBorder="1" applyAlignment="1">
      <alignment horizontal="center" vertical="center" wrapText="1"/>
    </xf>
    <xf numFmtId="165" fontId="9" fillId="0" borderId="39" xfId="3" applyFont="1" applyBorder="1" applyAlignment="1">
      <alignment horizontal="center" vertical="center" wrapText="1"/>
    </xf>
    <xf numFmtId="165" fontId="26" fillId="0" borderId="66" xfId="3" applyFont="1" applyBorder="1" applyAlignment="1">
      <alignment horizontal="center" vertical="center"/>
    </xf>
    <xf numFmtId="165" fontId="26" fillId="0" borderId="27" xfId="3" applyFont="1" applyBorder="1" applyAlignment="1">
      <alignment horizontal="center" vertical="center"/>
    </xf>
    <xf numFmtId="165" fontId="26" fillId="0" borderId="35" xfId="3" applyFont="1" applyBorder="1" applyAlignment="1">
      <alignment horizontal="center" vertical="center"/>
    </xf>
    <xf numFmtId="166" fontId="8" fillId="0" borderId="25" xfId="3" applyNumberFormat="1" applyFont="1" applyBorder="1" applyAlignment="1">
      <alignment horizontal="center" vertical="center"/>
    </xf>
    <xf numFmtId="166" fontId="8" fillId="0" borderId="26" xfId="3" applyNumberFormat="1" applyFont="1" applyBorder="1" applyAlignment="1">
      <alignment horizontal="center" vertical="center"/>
    </xf>
    <xf numFmtId="166" fontId="8" fillId="0" borderId="28" xfId="3" applyNumberFormat="1" applyFont="1" applyBorder="1" applyAlignment="1">
      <alignment horizontal="center" vertical="center"/>
    </xf>
    <xf numFmtId="166" fontId="8" fillId="0" borderId="24" xfId="3" applyNumberFormat="1" applyFont="1" applyBorder="1" applyAlignment="1">
      <alignment horizontal="center" vertical="center"/>
    </xf>
    <xf numFmtId="2" fontId="31" fillId="24" borderId="74" xfId="3" applyNumberFormat="1" applyFont="1" applyFill="1" applyBorder="1" applyAlignment="1">
      <alignment horizontal="center"/>
    </xf>
    <xf numFmtId="165" fontId="9" fillId="25" borderId="16" xfId="3" applyFont="1" applyFill="1" applyBorder="1" applyAlignment="1">
      <alignment horizontal="center"/>
    </xf>
    <xf numFmtId="165" fontId="9" fillId="25" borderId="19" xfId="3" applyFont="1" applyFill="1" applyBorder="1" applyAlignment="1">
      <alignment horizontal="center"/>
    </xf>
    <xf numFmtId="166" fontId="8" fillId="0" borderId="37" xfId="3" applyNumberFormat="1" applyFont="1" applyBorder="1" applyAlignment="1">
      <alignment horizontal="center" vertical="center"/>
    </xf>
    <xf numFmtId="166" fontId="8" fillId="0" borderId="68" xfId="3" applyNumberFormat="1" applyFont="1" applyBorder="1" applyAlignment="1">
      <alignment horizontal="center" vertical="center"/>
    </xf>
    <xf numFmtId="166" fontId="8" fillId="0" borderId="29" xfId="3" applyNumberFormat="1" applyFont="1" applyBorder="1" applyAlignment="1">
      <alignment horizontal="center"/>
    </xf>
    <xf numFmtId="166" fontId="8" fillId="0" borderId="30" xfId="3" applyNumberFormat="1" applyFont="1" applyBorder="1" applyAlignment="1">
      <alignment horizontal="center"/>
    </xf>
    <xf numFmtId="166" fontId="8" fillId="0" borderId="75" xfId="3" applyNumberFormat="1" applyFont="1" applyBorder="1" applyAlignment="1">
      <alignment horizontal="center"/>
    </xf>
    <xf numFmtId="166" fontId="8" fillId="0" borderId="63" xfId="3" applyNumberFormat="1" applyFont="1" applyBorder="1" applyAlignment="1">
      <alignment horizontal="center"/>
    </xf>
    <xf numFmtId="165" fontId="9" fillId="0" borderId="78" xfId="3" applyFont="1" applyBorder="1" applyAlignment="1">
      <alignment horizontal="center" vertical="center" wrapText="1"/>
    </xf>
    <xf numFmtId="165" fontId="9" fillId="0" borderId="42" xfId="3" applyFont="1" applyBorder="1" applyAlignment="1">
      <alignment horizontal="center" vertical="center" wrapText="1"/>
    </xf>
    <xf numFmtId="165" fontId="9" fillId="0" borderId="4" xfId="3" applyFont="1" applyBorder="1" applyAlignment="1">
      <alignment horizontal="center"/>
    </xf>
    <xf numFmtId="165" fontId="80" fillId="0" borderId="23" xfId="3" applyFont="1" applyBorder="1" applyAlignment="1">
      <alignment horizontal="center" vertical="center"/>
    </xf>
    <xf numFmtId="165" fontId="80" fillId="0" borderId="27" xfId="3" applyFont="1" applyBorder="1" applyAlignment="1">
      <alignment horizontal="center" vertical="center"/>
    </xf>
    <xf numFmtId="165" fontId="80" fillId="0" borderId="35" xfId="3" applyFont="1" applyBorder="1" applyAlignment="1">
      <alignment horizontal="center" vertical="center"/>
    </xf>
    <xf numFmtId="166" fontId="8" fillId="0" borderId="0" xfId="3" applyNumberFormat="1" applyFont="1" applyAlignment="1">
      <alignment horizontal="center" vertical="center"/>
    </xf>
    <xf numFmtId="166" fontId="8" fillId="0" borderId="74" xfId="3" applyNumberFormat="1" applyFont="1" applyBorder="1" applyAlignment="1">
      <alignment horizontal="center" vertical="center"/>
    </xf>
    <xf numFmtId="166" fontId="8" fillId="0" borderId="82" xfId="3" applyNumberFormat="1" applyFont="1" applyBorder="1" applyAlignment="1">
      <alignment horizontal="center"/>
    </xf>
    <xf numFmtId="166" fontId="8" fillId="0" borderId="74" xfId="3" applyNumberFormat="1" applyFont="1" applyBorder="1" applyAlignment="1">
      <alignment horizontal="center"/>
    </xf>
    <xf numFmtId="166" fontId="8" fillId="0" borderId="24" xfId="3" applyNumberFormat="1" applyFont="1" applyBorder="1" applyAlignment="1">
      <alignment horizontal="center"/>
    </xf>
    <xf numFmtId="166" fontId="8" fillId="0" borderId="0" xfId="3" applyNumberFormat="1" applyFont="1" applyAlignment="1">
      <alignment horizontal="center"/>
    </xf>
    <xf numFmtId="166" fontId="8" fillId="0" borderId="68" xfId="3" applyNumberFormat="1" applyFont="1" applyBorder="1" applyAlignment="1">
      <alignment horizontal="center"/>
    </xf>
    <xf numFmtId="165" fontId="10" fillId="3" borderId="1" xfId="0" applyFont="1" applyFill="1" applyBorder="1" applyAlignment="1">
      <alignment horizontal="center"/>
    </xf>
    <xf numFmtId="165" fontId="11" fillId="0" borderId="0" xfId="3" applyFont="1" applyAlignment="1">
      <alignment horizontal="center"/>
    </xf>
    <xf numFmtId="165" fontId="9" fillId="0" borderId="83" xfId="3" applyFont="1" applyBorder="1" applyAlignment="1">
      <alignment horizontal="center" wrapText="1"/>
    </xf>
    <xf numFmtId="165" fontId="9" fillId="0" borderId="19" xfId="3" applyFont="1" applyBorder="1" applyAlignment="1">
      <alignment horizontal="center" wrapText="1"/>
    </xf>
    <xf numFmtId="165" fontId="13" fillId="4" borderId="25" xfId="3" applyFont="1" applyFill="1" applyBorder="1" applyAlignment="1">
      <alignment horizontal="center" vertical="center"/>
    </xf>
    <xf numFmtId="165" fontId="13" fillId="4" borderId="26" xfId="3" applyFont="1" applyFill="1" applyBorder="1" applyAlignment="1">
      <alignment horizontal="center" vertical="center"/>
    </xf>
    <xf numFmtId="165" fontId="13" fillId="4" borderId="75" xfId="3" applyFont="1" applyFill="1" applyBorder="1" applyAlignment="1">
      <alignment horizontal="center" vertical="center"/>
    </xf>
    <xf numFmtId="165" fontId="13" fillId="4" borderId="63" xfId="3" applyFont="1" applyFill="1" applyBorder="1" applyAlignment="1">
      <alignment horizontal="center" vertical="center"/>
    </xf>
    <xf numFmtId="165" fontId="9" fillId="0" borderId="50" xfId="3" applyFont="1" applyBorder="1" applyAlignment="1">
      <alignment horizontal="center" vertical="center" wrapText="1"/>
    </xf>
    <xf numFmtId="165" fontId="9" fillId="0" borderId="10" xfId="3" applyFont="1" applyBorder="1" applyAlignment="1">
      <alignment horizontal="center" vertical="center" wrapText="1"/>
    </xf>
    <xf numFmtId="165" fontId="9" fillId="7" borderId="6" xfId="3" applyFont="1" applyFill="1" applyBorder="1" applyAlignment="1">
      <alignment horizontal="center" vertical="center" wrapText="1"/>
    </xf>
    <xf numFmtId="165" fontId="9" fillId="7" borderId="10" xfId="3" applyFont="1" applyFill="1" applyBorder="1" applyAlignment="1">
      <alignment horizontal="center" vertical="center" wrapText="1"/>
    </xf>
    <xf numFmtId="165" fontId="5" fillId="2" borderId="6" xfId="2" applyNumberFormat="1" applyBorder="1" applyAlignment="1">
      <alignment horizontal="center" vertical="center" wrapText="1"/>
    </xf>
    <xf numFmtId="165" fontId="5" fillId="2" borderId="10" xfId="2" applyNumberFormat="1" applyBorder="1" applyAlignment="1">
      <alignment horizontal="center" vertical="center" wrapText="1"/>
    </xf>
    <xf numFmtId="165" fontId="9" fillId="4" borderId="6" xfId="3" applyFont="1" applyFill="1" applyBorder="1" applyAlignment="1">
      <alignment horizontal="center" vertical="center" wrapText="1"/>
    </xf>
    <xf numFmtId="165" fontId="9" fillId="4" borderId="10" xfId="3" applyFont="1" applyFill="1" applyBorder="1" applyAlignment="1">
      <alignment horizontal="center" vertical="center" wrapText="1"/>
    </xf>
    <xf numFmtId="165" fontId="19" fillId="0" borderId="6" xfId="3" applyFont="1" applyBorder="1" applyAlignment="1">
      <alignment horizontal="center" vertical="center" wrapText="1"/>
    </xf>
    <xf numFmtId="165" fontId="19" fillId="0" borderId="10" xfId="3" applyFont="1" applyBorder="1" applyAlignment="1">
      <alignment horizontal="center" vertical="center" wrapText="1"/>
    </xf>
    <xf numFmtId="165" fontId="9" fillId="0" borderId="12" xfId="3" applyFont="1" applyBorder="1" applyAlignment="1">
      <alignment horizontal="center" vertical="center" wrapText="1"/>
    </xf>
    <xf numFmtId="165" fontId="9" fillId="0" borderId="0" xfId="3" applyFont="1" applyAlignment="1">
      <alignment horizontal="left"/>
    </xf>
    <xf numFmtId="165" fontId="13" fillId="4" borderId="0" xfId="3" applyFont="1" applyFill="1" applyAlignment="1">
      <alignment horizontal="center" vertical="center"/>
    </xf>
    <xf numFmtId="165" fontId="13" fillId="4" borderId="4" xfId="3" applyFont="1" applyFill="1" applyBorder="1" applyAlignment="1">
      <alignment horizontal="center" vertical="center"/>
    </xf>
    <xf numFmtId="165" fontId="14" fillId="0" borderId="2" xfId="3" applyFont="1" applyBorder="1" applyAlignment="1">
      <alignment horizontal="center" wrapText="1"/>
    </xf>
    <xf numFmtId="165" fontId="14" fillId="0" borderId="3" xfId="3" applyFont="1" applyBorder="1" applyAlignment="1">
      <alignment horizontal="center" wrapText="1"/>
    </xf>
    <xf numFmtId="165" fontId="9" fillId="0" borderId="27" xfId="3" applyFont="1" applyBorder="1" applyAlignment="1">
      <alignment horizontal="center" vertical="center" wrapText="1"/>
    </xf>
    <xf numFmtId="166" fontId="9" fillId="7" borderId="83" xfId="3" applyNumberFormat="1" applyFont="1" applyFill="1" applyBorder="1" applyAlignment="1">
      <alignment horizontal="center" vertical="center"/>
    </xf>
    <xf numFmtId="166" fontId="9" fillId="7" borderId="19" xfId="3" applyNumberFormat="1" applyFont="1" applyFill="1" applyBorder="1" applyAlignment="1">
      <alignment horizontal="center" vertical="center"/>
    </xf>
    <xf numFmtId="165" fontId="80" fillId="0" borderId="66" xfId="3" applyFont="1" applyBorder="1" applyAlignment="1">
      <alignment horizontal="center" vertical="center"/>
    </xf>
    <xf numFmtId="2" fontId="31" fillId="24" borderId="1" xfId="3" applyNumberFormat="1" applyFont="1" applyFill="1" applyBorder="1" applyAlignment="1">
      <alignment horizontal="center"/>
    </xf>
    <xf numFmtId="166" fontId="8" fillId="0" borderId="29" xfId="3" applyNumberFormat="1" applyFont="1" applyBorder="1" applyAlignment="1">
      <alignment horizontal="center" vertical="center"/>
    </xf>
    <xf numFmtId="166" fontId="8" fillId="0" borderId="30" xfId="3" applyNumberFormat="1" applyFont="1" applyBorder="1" applyAlignment="1">
      <alignment horizontal="center" vertical="center"/>
    </xf>
    <xf numFmtId="166" fontId="8" fillId="0" borderId="75" xfId="3" applyNumberFormat="1" applyFont="1" applyBorder="1" applyAlignment="1">
      <alignment horizontal="center" vertical="center"/>
    </xf>
    <xf numFmtId="166" fontId="8" fillId="0" borderId="63" xfId="3" applyNumberFormat="1" applyFont="1" applyBorder="1" applyAlignment="1">
      <alignment horizontal="center" vertical="center"/>
    </xf>
    <xf numFmtId="165" fontId="20" fillId="0" borderId="23" xfId="3" applyFont="1" applyBorder="1" applyAlignment="1">
      <alignment horizontal="center" vertical="center"/>
    </xf>
    <xf numFmtId="165" fontId="20" fillId="0" borderId="27" xfId="3" applyFont="1" applyBorder="1" applyAlignment="1">
      <alignment horizontal="center" vertical="center"/>
    </xf>
    <xf numFmtId="165" fontId="20" fillId="0" borderId="35" xfId="3" applyFont="1" applyBorder="1" applyAlignment="1">
      <alignment horizontal="center" vertical="center"/>
    </xf>
    <xf numFmtId="165" fontId="9" fillId="0" borderId="1" xfId="3" applyFont="1" applyBorder="1" applyAlignment="1">
      <alignment horizontal="center" vertical="center" wrapText="1"/>
    </xf>
    <xf numFmtId="165" fontId="85" fillId="0" borderId="23" xfId="3" applyFont="1" applyBorder="1" applyAlignment="1">
      <alignment horizontal="center" vertical="center"/>
    </xf>
    <xf numFmtId="165" fontId="85" fillId="0" borderId="27" xfId="3" applyFont="1" applyBorder="1" applyAlignment="1">
      <alignment horizontal="center" vertical="center"/>
    </xf>
    <xf numFmtId="165" fontId="85" fillId="0" borderId="35" xfId="3" applyFont="1" applyBorder="1" applyAlignment="1">
      <alignment horizontal="center" vertical="center"/>
    </xf>
    <xf numFmtId="165" fontId="79" fillId="0" borderId="23" xfId="3" applyFont="1" applyBorder="1" applyAlignment="1">
      <alignment horizontal="center" vertical="center"/>
    </xf>
    <xf numFmtId="165" fontId="79" fillId="0" borderId="27" xfId="3" applyFont="1" applyBorder="1" applyAlignment="1">
      <alignment horizontal="center" vertical="center"/>
    </xf>
    <xf numFmtId="165" fontId="79" fillId="0" borderId="35" xfId="3" applyFont="1" applyBorder="1" applyAlignment="1">
      <alignment horizontal="center" vertical="center"/>
    </xf>
    <xf numFmtId="165" fontId="87" fillId="0" borderId="23" xfId="3" applyFont="1" applyBorder="1" applyAlignment="1">
      <alignment horizontal="center" vertical="center"/>
    </xf>
    <xf numFmtId="165" fontId="87" fillId="0" borderId="27" xfId="3" applyFont="1" applyBorder="1" applyAlignment="1">
      <alignment horizontal="center" vertical="center"/>
    </xf>
    <xf numFmtId="165" fontId="87" fillId="0" borderId="35" xfId="3" applyFont="1" applyBorder="1" applyAlignment="1">
      <alignment horizontal="center" vertical="center"/>
    </xf>
    <xf numFmtId="165" fontId="20" fillId="0" borderId="66" xfId="3" applyFont="1" applyBorder="1" applyAlignment="1">
      <alignment horizontal="center" vertical="center"/>
    </xf>
    <xf numFmtId="165" fontId="79" fillId="0" borderId="66" xfId="3" applyFont="1" applyBorder="1" applyAlignment="1">
      <alignment horizontal="center" vertical="center"/>
    </xf>
    <xf numFmtId="165" fontId="9" fillId="0" borderId="11" xfId="3" applyFont="1" applyBorder="1" applyAlignment="1">
      <alignment horizontal="center" vertical="center" wrapText="1"/>
    </xf>
    <xf numFmtId="165" fontId="30" fillId="0" borderId="23" xfId="3" applyFont="1" applyBorder="1" applyAlignment="1">
      <alignment horizontal="center" vertical="center"/>
    </xf>
    <xf numFmtId="165" fontId="30" fillId="0" borderId="27" xfId="3" applyFont="1" applyBorder="1" applyAlignment="1">
      <alignment horizontal="center" vertical="center"/>
    </xf>
    <xf numFmtId="165" fontId="30" fillId="0" borderId="35" xfId="3" applyFont="1" applyBorder="1" applyAlignment="1">
      <alignment horizontal="center" vertical="center"/>
    </xf>
    <xf numFmtId="165" fontId="26" fillId="0" borderId="23" xfId="3" applyFont="1" applyBorder="1" applyAlignment="1">
      <alignment horizontal="center" vertical="center"/>
    </xf>
    <xf numFmtId="165" fontId="88" fillId="0" borderId="23" xfId="3" applyFont="1" applyBorder="1" applyAlignment="1">
      <alignment horizontal="center" vertical="center"/>
    </xf>
    <xf numFmtId="165" fontId="88" fillId="0" borderId="27" xfId="3" applyFont="1" applyBorder="1" applyAlignment="1">
      <alignment horizontal="center" vertical="center"/>
    </xf>
    <xf numFmtId="165" fontId="88" fillId="0" borderId="35" xfId="3" applyFont="1" applyBorder="1" applyAlignment="1">
      <alignment horizontal="center" vertical="center"/>
    </xf>
    <xf numFmtId="165" fontId="7" fillId="0" borderId="53" xfId="3" applyBorder="1" applyAlignment="1">
      <alignment horizontal="center"/>
    </xf>
    <xf numFmtId="165" fontId="7" fillId="0" borderId="67" xfId="3" applyBorder="1" applyAlignment="1">
      <alignment horizontal="center"/>
    </xf>
    <xf numFmtId="15" fontId="40" fillId="0" borderId="44" xfId="3" applyNumberFormat="1" applyFont="1" applyBorder="1" applyAlignment="1">
      <alignment horizontal="center"/>
    </xf>
    <xf numFmtId="165" fontId="60" fillId="0" borderId="46" xfId="3" applyFont="1" applyBorder="1" applyAlignment="1">
      <alignment horizontal="center" vertical="center"/>
    </xf>
    <xf numFmtId="165" fontId="60" fillId="0" borderId="47" xfId="3" applyFont="1" applyBorder="1" applyAlignment="1">
      <alignment horizontal="center" vertical="center"/>
    </xf>
    <xf numFmtId="165" fontId="60" fillId="0" borderId="48" xfId="3" applyFont="1" applyBorder="1" applyAlignment="1">
      <alignment horizontal="center" vertical="center"/>
    </xf>
    <xf numFmtId="165" fontId="59" fillId="0" borderId="46" xfId="3" applyFont="1" applyBorder="1" applyAlignment="1">
      <alignment horizontal="center" vertical="center"/>
    </xf>
    <xf numFmtId="165" fontId="59" fillId="0" borderId="47" xfId="3" applyFont="1" applyBorder="1" applyAlignment="1">
      <alignment horizontal="center" vertical="center"/>
    </xf>
    <xf numFmtId="165" fontId="59" fillId="0" borderId="48" xfId="3" applyFont="1" applyBorder="1" applyAlignment="1">
      <alignment horizontal="center" vertical="center"/>
    </xf>
    <xf numFmtId="165" fontId="7" fillId="0" borderId="2" xfId="3" applyBorder="1" applyAlignment="1">
      <alignment horizontal="center"/>
    </xf>
    <xf numFmtId="165" fontId="7" fillId="0" borderId="65" xfId="3" applyBorder="1" applyAlignment="1">
      <alignment horizontal="center"/>
    </xf>
    <xf numFmtId="165" fontId="40" fillId="0" borderId="6" xfId="3" applyFont="1" applyBorder="1" applyAlignment="1">
      <alignment horizontal="center" vertical="center" wrapText="1"/>
    </xf>
    <xf numFmtId="165" fontId="40" fillId="0" borderId="39" xfId="3" applyFont="1" applyBorder="1" applyAlignment="1">
      <alignment horizontal="center" vertical="center" wrapText="1"/>
    </xf>
    <xf numFmtId="165" fontId="40" fillId="0" borderId="7" xfId="3" applyFont="1" applyBorder="1" applyAlignment="1">
      <alignment horizontal="center" vertical="center" wrapText="1"/>
    </xf>
    <xf numFmtId="165" fontId="40" fillId="0" borderId="17" xfId="3" applyFont="1" applyBorder="1" applyAlignment="1">
      <alignment horizontal="center" vertical="center" wrapText="1"/>
    </xf>
    <xf numFmtId="165" fontId="40" fillId="0" borderId="62" xfId="3" applyFont="1" applyBorder="1" applyAlignment="1">
      <alignment horizontal="center" vertical="center" wrapText="1"/>
    </xf>
    <xf numFmtId="165" fontId="40" fillId="0" borderId="4" xfId="3" applyFont="1" applyBorder="1" applyAlignment="1">
      <alignment horizontal="center" vertical="center" wrapText="1"/>
    </xf>
    <xf numFmtId="165" fontId="40" fillId="0" borderId="2" xfId="3" applyFont="1" applyBorder="1" applyAlignment="1">
      <alignment horizontal="center"/>
    </xf>
    <xf numFmtId="165" fontId="40" fillId="0" borderId="65" xfId="3" applyFont="1" applyBorder="1" applyAlignment="1">
      <alignment horizontal="center"/>
    </xf>
    <xf numFmtId="2" fontId="7" fillId="0" borderId="55" xfId="3" applyNumberFormat="1" applyBorder="1" applyAlignment="1">
      <alignment horizontal="center"/>
    </xf>
    <xf numFmtId="2" fontId="7" fillId="0" borderId="56" xfId="3" applyNumberFormat="1" applyBorder="1" applyAlignment="1">
      <alignment horizontal="center"/>
    </xf>
    <xf numFmtId="165" fontId="40" fillId="0" borderId="23" xfId="3" applyFont="1" applyBorder="1" applyAlignment="1">
      <alignment horizontal="center" vertical="center"/>
    </xf>
    <xf numFmtId="165" fontId="40" fillId="0" borderId="34" xfId="3" applyFont="1" applyBorder="1" applyAlignment="1">
      <alignment horizontal="center" vertical="center"/>
    </xf>
    <xf numFmtId="165" fontId="40" fillId="0" borderId="55" xfId="3" applyFont="1" applyBorder="1" applyAlignment="1">
      <alignment horizontal="center" vertical="center"/>
    </xf>
    <xf numFmtId="165" fontId="40" fillId="0" borderId="64" xfId="3" applyFont="1" applyBorder="1" applyAlignment="1">
      <alignment horizontal="center" vertical="center"/>
    </xf>
    <xf numFmtId="165" fontId="40" fillId="0" borderId="5" xfId="3" applyFont="1" applyBorder="1" applyAlignment="1">
      <alignment horizontal="center" vertical="center" wrapText="1"/>
    </xf>
    <xf numFmtId="165" fontId="40" fillId="0" borderId="38" xfId="3" applyFont="1" applyBorder="1" applyAlignment="1">
      <alignment horizontal="center" vertical="center" wrapText="1"/>
    </xf>
    <xf numFmtId="165" fontId="39" fillId="0" borderId="0" xfId="3" applyFont="1" applyAlignment="1">
      <alignment horizontal="center"/>
    </xf>
    <xf numFmtId="165" fontId="7" fillId="0" borderId="0" xfId="3" applyAlignment="1">
      <alignment horizontal="left"/>
    </xf>
    <xf numFmtId="165" fontId="40" fillId="0" borderId="50" xfId="3" applyFont="1" applyBorder="1" applyAlignment="1">
      <alignment horizontal="center" vertical="center" wrapText="1"/>
    </xf>
    <xf numFmtId="165" fontId="40" fillId="0" borderId="10" xfId="3" applyFont="1" applyBorder="1" applyAlignment="1">
      <alignment horizontal="center" vertical="center" wrapText="1"/>
    </xf>
    <xf numFmtId="165" fontId="41" fillId="0" borderId="6" xfId="3" applyFont="1" applyBorder="1" applyAlignment="1">
      <alignment horizontal="center" vertical="center" wrapText="1"/>
    </xf>
    <xf numFmtId="165" fontId="41" fillId="0" borderId="10" xfId="3" applyFont="1" applyBorder="1" applyAlignment="1">
      <alignment horizontal="center" vertical="center" wrapText="1"/>
    </xf>
    <xf numFmtId="165" fontId="40" fillId="0" borderId="35" xfId="3" applyFont="1" applyBorder="1" applyAlignment="1">
      <alignment horizontal="center" vertical="center"/>
    </xf>
    <xf numFmtId="165" fontId="63" fillId="4" borderId="0" xfId="0" applyFont="1" applyFill="1" applyAlignment="1">
      <alignment horizontal="center"/>
    </xf>
    <xf numFmtId="165" fontId="75" fillId="0" borderId="0" xfId="0" applyFont="1" applyAlignment="1">
      <alignment horizontal="center" vertical="top"/>
    </xf>
    <xf numFmtId="165" fontId="64" fillId="20" borderId="41" xfId="0" applyFont="1" applyFill="1" applyBorder="1" applyAlignment="1">
      <alignment horizontal="left" vertical="center"/>
    </xf>
    <xf numFmtId="165" fontId="64" fillId="20" borderId="69" xfId="0" applyFont="1" applyFill="1" applyBorder="1" applyAlignment="1">
      <alignment horizontal="left" vertical="center"/>
    </xf>
    <xf numFmtId="165" fontId="64" fillId="20" borderId="69" xfId="0" applyFont="1" applyFill="1" applyBorder="1" applyAlignment="1">
      <alignment horizontal="center" vertical="center"/>
    </xf>
    <xf numFmtId="165" fontId="72" fillId="0" borderId="0" xfId="0" applyFont="1" applyAlignment="1">
      <alignment horizontal="center" vertical="top"/>
    </xf>
    <xf numFmtId="165" fontId="64" fillId="20" borderId="4" xfId="0" applyFont="1" applyFill="1" applyBorder="1" applyAlignment="1">
      <alignment horizontal="center" vertical="center"/>
    </xf>
    <xf numFmtId="165" fontId="64" fillId="20" borderId="4" xfId="0" applyFont="1" applyFill="1" applyBorder="1" applyAlignment="1">
      <alignment horizontal="left" vertical="center"/>
    </xf>
    <xf numFmtId="165" fontId="73" fillId="20" borderId="4" xfId="0" applyFont="1" applyFill="1" applyBorder="1" applyAlignment="1">
      <alignment horizontal="right" vertical="center"/>
    </xf>
  </cellXfs>
  <cellStyles count="11">
    <cellStyle name="Comma" xfId="1" builtinId="3"/>
    <cellStyle name="Neutral" xfId="2" builtinId="28"/>
    <cellStyle name="Normal" xfId="0" builtinId="0"/>
    <cellStyle name="Normal 2" xfId="3" xr:uid="{C80A2C66-3E2C-4179-9159-DBCA8D9B0E56}"/>
    <cellStyle name="Normal 3" xfId="9" xr:uid="{CF2ABADC-5070-4BF5-85BE-C6735585C6D9}"/>
    <cellStyle name="Percent 2" xfId="4" xr:uid="{CE2CDC16-AD31-4ED8-AE2A-FCD60A61219D}"/>
    <cellStyle name="Percent 3" xfId="5" xr:uid="{146671D8-AF93-4F7C-A417-29B4344625B7}"/>
    <cellStyle name="Percent 3 2" xfId="7" xr:uid="{D9E4557F-C4B0-46CD-A4D0-A5F6371463AD}"/>
    <cellStyle name="Percent 4" xfId="6" xr:uid="{4AD98EB2-9BB4-4842-A408-0E56A74ED11E}"/>
    <cellStyle name="Percent 4 2" xfId="8" xr:uid="{4E10984A-3ADE-4C2D-B6E7-76DD6D94E726}"/>
    <cellStyle name="Percent 4 3" xfId="10" xr:uid="{01053475-F444-4128-81F2-2F08DC4F4A0B}"/>
  </cellStyles>
  <dxfs count="3731"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0066"/>
      <color rgb="FF008200"/>
      <color rgb="FF0000FF"/>
      <color rgb="FFFF66FF"/>
      <color rgb="FFCC66FF"/>
      <color rgb="FFC288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63" Type="http://schemas.openxmlformats.org/officeDocument/2006/relationships/externalLink" Target="externalLinks/externalLink36.xml"/><Relationship Id="rId68" Type="http://schemas.openxmlformats.org/officeDocument/2006/relationships/externalLink" Target="externalLinks/externalLink4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externalLink" Target="externalLinks/externalLink26.xml"/><Relationship Id="rId58" Type="http://schemas.openxmlformats.org/officeDocument/2006/relationships/externalLink" Target="externalLinks/externalLink31.xml"/><Relationship Id="rId66" Type="http://schemas.openxmlformats.org/officeDocument/2006/relationships/externalLink" Target="externalLinks/externalLink39.xml"/><Relationship Id="rId74" Type="http://schemas.openxmlformats.org/officeDocument/2006/relationships/externalLink" Target="externalLinks/externalLink47.xml"/><Relationship Id="rId79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34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56" Type="http://schemas.openxmlformats.org/officeDocument/2006/relationships/externalLink" Target="externalLinks/externalLink29.xml"/><Relationship Id="rId64" Type="http://schemas.openxmlformats.org/officeDocument/2006/relationships/externalLink" Target="externalLinks/externalLink37.xml"/><Relationship Id="rId69" Type="http://schemas.openxmlformats.org/officeDocument/2006/relationships/externalLink" Target="externalLinks/externalLink42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4.xml"/><Relationship Id="rId72" Type="http://schemas.openxmlformats.org/officeDocument/2006/relationships/externalLink" Target="externalLinks/externalLink4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59" Type="http://schemas.openxmlformats.org/officeDocument/2006/relationships/externalLink" Target="externalLinks/externalLink32.xml"/><Relationship Id="rId67" Type="http://schemas.openxmlformats.org/officeDocument/2006/relationships/externalLink" Target="externalLinks/externalLink4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54" Type="http://schemas.openxmlformats.org/officeDocument/2006/relationships/externalLink" Target="externalLinks/externalLink27.xml"/><Relationship Id="rId62" Type="http://schemas.openxmlformats.org/officeDocument/2006/relationships/externalLink" Target="externalLinks/externalLink35.xml"/><Relationship Id="rId70" Type="http://schemas.openxmlformats.org/officeDocument/2006/relationships/externalLink" Target="externalLinks/externalLink43.xml"/><Relationship Id="rId75" Type="http://schemas.openxmlformats.org/officeDocument/2006/relationships/externalLink" Target="externalLinks/externalLink4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Relationship Id="rId57" Type="http://schemas.openxmlformats.org/officeDocument/2006/relationships/externalLink" Target="externalLinks/externalLink30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externalLink" Target="externalLinks/externalLink25.xml"/><Relationship Id="rId60" Type="http://schemas.openxmlformats.org/officeDocument/2006/relationships/externalLink" Target="externalLinks/externalLink33.xml"/><Relationship Id="rId65" Type="http://schemas.openxmlformats.org/officeDocument/2006/relationships/externalLink" Target="externalLinks/externalLink38.xml"/><Relationship Id="rId73" Type="http://schemas.openxmlformats.org/officeDocument/2006/relationships/externalLink" Target="externalLinks/externalLink46.xml"/><Relationship Id="rId7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2.xml"/><Relationship Id="rId34" Type="http://schemas.openxmlformats.org/officeDocument/2006/relationships/externalLink" Target="externalLinks/externalLink7.xml"/><Relationship Id="rId50" Type="http://schemas.openxmlformats.org/officeDocument/2006/relationships/externalLink" Target="externalLinks/externalLink23.xml"/><Relationship Id="rId55" Type="http://schemas.openxmlformats.org/officeDocument/2006/relationships/externalLink" Target="externalLinks/externalLink28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44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'Brewer Performance'!$E$4</c:f>
              <c:strCache>
                <c:ptCount val="1"/>
                <c:pt idx="0">
                  <c:v>MTD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invertIfNegative val="0"/>
          <c:cat>
            <c:strRef>
              <c:f>'Brewer Performance'!$C$5:$C$9</c:f>
              <c:strCache>
                <c:ptCount val="5"/>
                <c:pt idx="0">
                  <c:v>KEIRAN BENJAMIN</c:v>
                </c:pt>
                <c:pt idx="1">
                  <c:v>JOHNNY GREENIDGE</c:v>
                </c:pt>
                <c:pt idx="2">
                  <c:v>JAMES GRANT</c:v>
                </c:pt>
                <c:pt idx="3">
                  <c:v>RODNEY REGIS</c:v>
                </c:pt>
                <c:pt idx="4">
                  <c:v>DESEAN EMERY</c:v>
                </c:pt>
              </c:strCache>
            </c:strRef>
          </c:cat>
          <c:val>
            <c:numRef>
              <c:f>'Brewer Performance'!$E$5:$E$9</c:f>
              <c:numCache>
                <c:formatCode>0.00</c:formatCode>
                <c:ptCount val="5"/>
                <c:pt idx="0">
                  <c:v>98.214734207097663</c:v>
                </c:pt>
                <c:pt idx="1">
                  <c:v>97.831216272750581</c:v>
                </c:pt>
                <c:pt idx="2">
                  <c:v>100.82497251003979</c:v>
                </c:pt>
                <c:pt idx="3">
                  <c:v>97.759800403711807</c:v>
                </c:pt>
                <c:pt idx="4">
                  <c:v>98.186950219332687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2-4AB4-ABF6-AFB5CBFC3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3214208"/>
        <c:axId val="37321600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'Brewer Performance'!$G$4</c15:sqref>
                        </c15:formulaRef>
                      </c:ext>
                    </c:extLst>
                    <c:strCache>
                      <c:ptCount val="1"/>
                      <c:pt idx="0">
                        <c:v>TARGET</c:v>
                      </c:pt>
                    </c:strCache>
                  </c:strRef>
                </c:tx>
                <c:spPr>
                  <a:solidFill>
                    <a:schemeClr val="accent3">
                      <a:lumMod val="75000"/>
                    </a:schemeClr>
                  </a:solidFill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'Brewer Performance'!$C$5:$C$9</c15:sqref>
                        </c15:formulaRef>
                      </c:ext>
                    </c:extLst>
                    <c:strCache>
                      <c:ptCount val="5"/>
                      <c:pt idx="0">
                        <c:v>KEIRAN BENJAMIN</c:v>
                      </c:pt>
                      <c:pt idx="1">
                        <c:v>JOHNNY GREENIDGE</c:v>
                      </c:pt>
                      <c:pt idx="2">
                        <c:v>JAMES GRANT</c:v>
                      </c:pt>
                      <c:pt idx="3">
                        <c:v>RODNEY REGIS</c:v>
                      </c:pt>
                      <c:pt idx="4">
                        <c:v>DESEAN EMERY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Performance'!$G$5:$G$9</c15:sqref>
                        </c15:formulaRef>
                      </c:ext>
                    </c:extLst>
                    <c:numCache>
                      <c:formatCode>0.0</c:formatCode>
                      <c:ptCount val="5"/>
                      <c:pt idx="0">
                        <c:v>98</c:v>
                      </c:pt>
                      <c:pt idx="1">
                        <c:v>98</c:v>
                      </c:pt>
                      <c:pt idx="2">
                        <c:v>98</c:v>
                      </c:pt>
                      <c:pt idx="3">
                        <c:v>98</c:v>
                      </c:pt>
                      <c:pt idx="4">
                        <c:v>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F12-4AB4-ABF6-AFB5CBFC33A6}"/>
                  </c:ext>
                </c:extLst>
              </c15:ser>
            </c15:filteredBarSeries>
          </c:ext>
        </c:extLst>
      </c:barChart>
      <c:catAx>
        <c:axId val="37321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6000"/>
        <c:crosses val="autoZero"/>
        <c:auto val="1"/>
        <c:lblAlgn val="ctr"/>
        <c:lblOffset val="100"/>
        <c:noMultiLvlLbl val="0"/>
      </c:catAx>
      <c:valAx>
        <c:axId val="373216000"/>
        <c:scaling>
          <c:orientation val="minMax"/>
          <c:max val="100"/>
          <c:min val="9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42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100"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" l="0.70000000000000062" r="0.70000000000000062" t="0.750000000000002" header="0.30000000000000032" footer="0.30000000000000032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'Brewer Performance'!$C$40</c:f>
              <c:strCache>
                <c:ptCount val="1"/>
                <c:pt idx="0">
                  <c:v>KEIRAN BENJAMIN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Performance'!$D$40:$O$40</c:f>
              <c:numCache>
                <c:formatCode>0.00</c:formatCode>
                <c:ptCount val="12"/>
                <c:pt idx="0">
                  <c:v>96.507822129582451</c:v>
                </c:pt>
                <c:pt idx="1">
                  <c:v>98.284801217583563</c:v>
                </c:pt>
                <c:pt idx="2">
                  <c:v>98.226686244092193</c:v>
                </c:pt>
                <c:pt idx="3">
                  <c:v>98.210530202427222</c:v>
                </c:pt>
                <c:pt idx="4">
                  <c:v>98.517352497406634</c:v>
                </c:pt>
                <c:pt idx="5">
                  <c:v>98.214734207097663</c:v>
                </c:pt>
                <c:pt idx="6">
                  <c:v>98.198803831827249</c:v>
                </c:pt>
                <c:pt idx="7">
                  <c:v>97.486490472733735</c:v>
                </c:pt>
                <c:pt idx="8">
                  <c:v>97.932459358923822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C4-4B61-A360-434F4872A4EA}"/>
            </c:ext>
          </c:extLst>
        </c:ser>
        <c:ser>
          <c:idx val="1"/>
          <c:order val="1"/>
          <c:tx>
            <c:strRef>
              <c:f>'Brewer Performance'!$C$41</c:f>
              <c:strCache>
                <c:ptCount val="1"/>
                <c:pt idx="0">
                  <c:v>JOHNNY GREENIDGE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Performance'!$D$41:$O$41</c:f>
              <c:numCache>
                <c:formatCode>0.00</c:formatCode>
                <c:ptCount val="12"/>
                <c:pt idx="0">
                  <c:v>97.99738587335284</c:v>
                </c:pt>
                <c:pt idx="1">
                  <c:v>97.918121549662388</c:v>
                </c:pt>
                <c:pt idx="2">
                  <c:v>98.070081368185257</c:v>
                </c:pt>
                <c:pt idx="3">
                  <c:v>97.79453968977019</c:v>
                </c:pt>
                <c:pt idx="4">
                  <c:v>98.442574874312371</c:v>
                </c:pt>
                <c:pt idx="5">
                  <c:v>97.831216272750581</c:v>
                </c:pt>
                <c:pt idx="6">
                  <c:v>98.459260197488078</c:v>
                </c:pt>
                <c:pt idx="7">
                  <c:v>98.711428992063503</c:v>
                </c:pt>
                <c:pt idx="8">
                  <c:v>97.854862054451985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C4-4B61-A360-434F4872A4EA}"/>
            </c:ext>
          </c:extLst>
        </c:ser>
        <c:ser>
          <c:idx val="2"/>
          <c:order val="2"/>
          <c:tx>
            <c:strRef>
              <c:f>'Brewer Performance'!$C$42</c:f>
              <c:strCache>
                <c:ptCount val="1"/>
                <c:pt idx="0">
                  <c:v>JAMES GRANT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Performance'!$D$42:$O$42</c:f>
              <c:numCache>
                <c:formatCode>0.00</c:formatCode>
                <c:ptCount val="12"/>
                <c:pt idx="3">
                  <c:v>98.305001734453086</c:v>
                </c:pt>
                <c:pt idx="5">
                  <c:v>100.82497251003979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C4-4B61-A360-434F4872A4EA}"/>
            </c:ext>
          </c:extLst>
        </c:ser>
        <c:ser>
          <c:idx val="3"/>
          <c:order val="3"/>
          <c:tx>
            <c:strRef>
              <c:f>'Brewer Performance'!$C$44</c:f>
              <c:strCache>
                <c:ptCount val="1"/>
                <c:pt idx="0">
                  <c:v>RODNEY REGIS</c:v>
                </c:pt>
              </c:strCache>
              <c:extLst xmlns:c15="http://schemas.microsoft.com/office/drawing/2012/chart"/>
            </c:strRef>
          </c:tx>
          <c:marker>
            <c:spPr>
              <a:solidFill>
                <a:srgbClr val="7030A0"/>
              </a:solidFill>
            </c:spPr>
          </c:marker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Performance'!$D$44:$O$44</c:f>
              <c:numCache>
                <c:formatCode>0.00</c:formatCode>
                <c:ptCount val="12"/>
                <c:pt idx="0">
                  <c:v>98.304611060419475</c:v>
                </c:pt>
                <c:pt idx="1">
                  <c:v>97.289162940824014</c:v>
                </c:pt>
                <c:pt idx="2">
                  <c:v>98.163642226187022</c:v>
                </c:pt>
                <c:pt idx="3">
                  <c:v>97.964054285784258</c:v>
                </c:pt>
                <c:pt idx="4">
                  <c:v>98.685415156420575</c:v>
                </c:pt>
                <c:pt idx="5">
                  <c:v>97.759800403711807</c:v>
                </c:pt>
                <c:pt idx="6">
                  <c:v>98.532266745142223</c:v>
                </c:pt>
                <c:pt idx="7">
                  <c:v>98.484140672420295</c:v>
                </c:pt>
                <c:pt idx="8">
                  <c:v>97.916815501712691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AEC4-4B61-A360-434F4872A4EA}"/>
            </c:ext>
          </c:extLst>
        </c:ser>
        <c:ser>
          <c:idx val="4"/>
          <c:order val="4"/>
          <c:tx>
            <c:strRef>
              <c:f>'Brewer Performance'!$C$45</c:f>
              <c:strCache>
                <c:ptCount val="1"/>
                <c:pt idx="0">
                  <c:v>DESEAN EMERY</c:v>
                </c:pt>
              </c:strCache>
              <c:extLst xmlns:c15="http://schemas.microsoft.com/office/drawing/2012/chart"/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Performance'!$D$45:$O$45</c:f>
              <c:numCache>
                <c:formatCode>0.00</c:formatCode>
                <c:ptCount val="12"/>
                <c:pt idx="0">
                  <c:v>98.673584433402866</c:v>
                </c:pt>
                <c:pt idx="5">
                  <c:v>98.186950219332687</c:v>
                </c:pt>
                <c:pt idx="6">
                  <c:v>97.888270164748889</c:v>
                </c:pt>
                <c:pt idx="7">
                  <c:v>97.609604379501235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AEC4-4B61-A360-434F4872A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286016"/>
        <c:axId val="373287552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>
                      <c:ext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EC4-4B61-A360-434F4872A4E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marker>
                  <c:spPr>
                    <a:solidFill>
                      <a:srgbClr val="FFFF99"/>
                    </a:solidFill>
                    <a:ln>
                      <a:solidFill>
                        <a:srgbClr val="FFFF00"/>
                      </a:solidFill>
                    </a:ln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C4-4B61-A360-434F4872A4EA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C4-4B61-A360-434F4872A4EA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C4-4B61-A360-434F4872A4EA}"/>
                  </c:ext>
                </c:extLst>
              </c15:ser>
            </c15:filteredLineSeries>
          </c:ext>
        </c:extLst>
      </c:lineChart>
      <c:catAx>
        <c:axId val="373286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en-US"/>
          </a:p>
        </c:txPr>
        <c:crossAx val="373287552"/>
        <c:crosses val="autoZero"/>
        <c:auto val="1"/>
        <c:lblAlgn val="ctr"/>
        <c:lblOffset val="100"/>
        <c:noMultiLvlLbl val="0"/>
      </c:catAx>
      <c:valAx>
        <c:axId val="373287552"/>
        <c:scaling>
          <c:orientation val="minMax"/>
          <c:max val="100"/>
          <c:min val="90.5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300" b="1"/>
            </a:pPr>
            <a:endParaRPr lang="en-US"/>
          </a:p>
        </c:txPr>
        <c:crossAx val="373286016"/>
        <c:crosses val="autoZero"/>
        <c:crossBetween val="between"/>
      </c:valAx>
      <c:spPr>
        <a:gradFill rotWithShape="1">
          <a:gsLst>
            <a:gs pos="0">
              <a:schemeClr val="dk1">
                <a:tint val="50000"/>
                <a:satMod val="300000"/>
              </a:schemeClr>
            </a:gs>
            <a:gs pos="35000">
              <a:schemeClr val="dk1">
                <a:tint val="37000"/>
                <a:satMod val="300000"/>
              </a:schemeClr>
            </a:gs>
            <a:gs pos="100000">
              <a:schemeClr val="dk1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dk1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</c:plotArea>
    <c:legend>
      <c:legendPos val="r"/>
      <c:overlay val="0"/>
      <c:txPr>
        <a:bodyPr/>
        <a:lstStyle/>
        <a:p>
          <a:pPr>
            <a:defRPr sz="1400" b="1" i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352283</xdr:colOff>
      <xdr:row>14</xdr:row>
      <xdr:rowOff>16246</xdr:rowOff>
    </xdr:from>
    <xdr:to>
      <xdr:col>8</xdr:col>
      <xdr:colOff>27873</xdr:colOff>
      <xdr:row>33</xdr:row>
      <xdr:rowOff>106174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51162C-1400-4B7D-927D-16D885EB38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251011</xdr:colOff>
      <xdr:row>48</xdr:row>
      <xdr:rowOff>79841</xdr:rowOff>
    </xdr:from>
    <xdr:to>
      <xdr:col>15</xdr:col>
      <xdr:colOff>679636</xdr:colOff>
      <xdr:row>75</xdr:row>
      <xdr:rowOff>36979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3D5D15-1D00-488B-99AD-7941550F4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May'18%20Daily%20Process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January'20%20Daily%20Process%20Repor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CaribLog2022.xlsx" TargetMode="External"/><Relationship Id="rId1" Type="http://schemas.openxmlformats.org/officeDocument/2006/relationships/externalLinkPath" Target="/Operations/Brewing/Logbooks/Logbooks%202022/NewCaribLog202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StagLog2022.xls" TargetMode="External"/><Relationship Id="rId1" Type="http://schemas.openxmlformats.org/officeDocument/2006/relationships/externalLinkPath" Target="/Operations/Brewing/Logbooks/Logbooks%202022/NewStagLog2022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GuinnLog2022.xls" TargetMode="External"/><Relationship Id="rId1" Type="http://schemas.openxmlformats.org/officeDocument/2006/relationships/externalLinkPath" Target="/Operations/Brewing/Logbooks/Logbooks%202022/NewGuinnLog2022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VMaltLog2022.xls" TargetMode="External"/><Relationship Id="rId1" Type="http://schemas.openxmlformats.org/officeDocument/2006/relationships/externalLinkPath" Target="/Operations/Brewing/Logbooks/Logbooks%202022/NewVMaltLog2022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MackLog2022.xls" TargetMode="External"/><Relationship Id="rId1" Type="http://schemas.openxmlformats.org/officeDocument/2006/relationships/externalLinkPath" Target="/Operations/Brewing/Logbooks/Logbooks%202022/NewMackLog2022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SMaltLog2022.xls" TargetMode="External"/><Relationship Id="rId1" Type="http://schemas.openxmlformats.org/officeDocument/2006/relationships/externalLinkPath" Target="/Operations/Brewing/Logbooks/Logbooks%202022/NewSMaltLog2022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HRLog2022.xls" TargetMode="External"/><Relationship Id="rId1" Type="http://schemas.openxmlformats.org/officeDocument/2006/relationships/externalLinkPath" Target="/Operations/Brewing/Logbooks/Logbooks%202022/NewHRLog2022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Jan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anuary%20'23%20Daily%20Process%20Report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Febr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February%20'23%20Daily%20Process%20Report%20202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3%20Daily%20Process%20Report/March%20'23%20Daily%20Process%20Report%20202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3%20Daily%20Process%20Report/April%20'23%20Daily%20Process%20Report%202023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June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ne%20'23%20Daily%20Process%20Report%202023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Jul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ly%20'23%20Daily%20Process%20Report%202023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August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August%20'23%20Daily%20Process%20Report%202023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October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October%20'23%20Daily%20Process%20Report%202023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Daily_Brewhouse_Efficiency\Daily_Brewhouse_Efficiency_2023.xls" TargetMode="External"/><Relationship Id="rId1" Type="http://schemas.openxmlformats.org/officeDocument/2006/relationships/externalLinkPath" Target="/Operations/Reshelle/Brewing/Daily_Brewhouse_Efficiency/Daily_Brewhouse_Efficiency_2023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Filtration_Throughput\Filtration_Throughput_2023.xlsx" TargetMode="External"/><Relationship Id="rId1" Type="http://schemas.openxmlformats.org/officeDocument/2006/relationships/externalLinkPath" Target="/Operations/Reshelle/Brewing/Filtration_Throughput/Filtration_Throughput_2023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Royd/Brewing/Filtration_Throughput/Filtration_Throughput_2019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Royd/Brewing/Daily_Brewhouse_Efficiency/Daily_Brewhouse_Efficiency_2022.xls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CaribLog2025.xlsx" TargetMode="External"/><Relationship Id="rId1" Type="http://schemas.openxmlformats.org/officeDocument/2006/relationships/externalLinkPath" Target="/Operations/Brewing/Logbooks/Logbooks%202025/NewCaribLog2025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SMaltLog2025.xls" TargetMode="External"/><Relationship Id="rId1" Type="http://schemas.openxmlformats.org/officeDocument/2006/relationships/externalLinkPath" Target="/Operations/Brewing/Logbooks/Logbooks%202025/NewSMaltLog2025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StagLog2025.xls" TargetMode="External"/><Relationship Id="rId1" Type="http://schemas.openxmlformats.org/officeDocument/2006/relationships/externalLinkPath" Target="/Operations/Brewing/Logbooks/Logbooks%202025/NewStagLog2025.xls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GuinnLog2025.xls" TargetMode="External"/><Relationship Id="rId1" Type="http://schemas.openxmlformats.org/officeDocument/2006/relationships/externalLinkPath" Target="/Operations/Brewing/Logbooks/Logbooks%202025/NewGuinnLog2025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VMaltLog2025.xls" TargetMode="External"/><Relationship Id="rId1" Type="http://schemas.openxmlformats.org/officeDocument/2006/relationships/externalLinkPath" Target="/Operations/Brewing/Logbooks/Logbooks%202025/NewVMaltLog2025.xls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MackLog2025.xls" TargetMode="External"/><Relationship Id="rId1" Type="http://schemas.openxmlformats.org/officeDocument/2006/relationships/externalLinkPath" Target="/Operations/Brewing/Logbooks/Logbooks%202025/NewMackLog2025.xls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HRPilsLog2025.xlsx" TargetMode="External"/><Relationship Id="rId1" Type="http://schemas.openxmlformats.org/officeDocument/2006/relationships/externalLinkPath" Target="/Operations/Brewing/Logbooks/Logbooks%202025/NewHRPilsLog2025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HRLog2025-%20IPA.xls" TargetMode="External"/><Relationship Id="rId1" Type="http://schemas.openxmlformats.org/officeDocument/2006/relationships/externalLinkPath" Target="/Operations/Brewing/Logbooks/Logbooks%202025/NewHRLog2025-%20IPA.xls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HRLog2025-%20APA.xls" TargetMode="External"/><Relationship Id="rId1" Type="http://schemas.openxmlformats.org/officeDocument/2006/relationships/externalLinkPath" Target="/Operations/Brewing/Logbooks/Logbooks%202025/NewHRLog2025-%20APA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January'25%20Daily%20Process%20Report%202025.xlsx" TargetMode="External"/><Relationship Id="rId1" Type="http://schemas.openxmlformats.org/officeDocument/2006/relationships/externalLinkPath" Target="January'25%20Daily%20Process%20Report%202025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February'25%20Daily%20Process%20Report%202025.xlsx" TargetMode="External"/><Relationship Id="rId1" Type="http://schemas.openxmlformats.org/officeDocument/2006/relationships/externalLinkPath" Target="February'25%20Daily%20Process%20Report%202025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March'25%20Daily%20Process%20Report%202025.xlsx" TargetMode="External"/><Relationship Id="rId1" Type="http://schemas.openxmlformats.org/officeDocument/2006/relationships/externalLinkPath" Target="March'25%20Daily%20Process%20Report%202025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April%20'25%20Daily%20Process%20Report%202025.xlsx" TargetMode="External"/><Relationship Id="rId1" Type="http://schemas.openxmlformats.org/officeDocument/2006/relationships/externalLinkPath" Target="April%20'25%20Daily%20Process%20Report%202025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May%20'25%20Daily%20Process%20Report%202025.xlsx" TargetMode="External"/><Relationship Id="rId1" Type="http://schemas.openxmlformats.org/officeDocument/2006/relationships/externalLinkPath" Target="May%20'25%20Daily%20Process%20Report%202025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June%20'25%20Daily%20Process%20Report%202025.xlsx" TargetMode="External"/><Relationship Id="rId1" Type="http://schemas.openxmlformats.org/officeDocument/2006/relationships/externalLinkPath" Target="June%20'25%20Daily%20Process%20Report%202025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July%20'25%20Daily%20Process%20Report%202025.xlsx" TargetMode="External"/><Relationship Id="rId1" Type="http://schemas.openxmlformats.org/officeDocument/2006/relationships/externalLinkPath" Target="July%20'25%20Daily%20Process%20Report%202025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August%20'25%20Daily%20Process%20Report%202025.xlsx" TargetMode="External"/><Relationship Id="rId1" Type="http://schemas.openxmlformats.org/officeDocument/2006/relationships/externalLinkPath" Target="August%20'25%20Daily%20Process%20Report%202025.xlsx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Daily_Brewhouse_Efficiency\Daily_Brewhouse_Efficiency_2025.xls" TargetMode="External"/><Relationship Id="rId1" Type="http://schemas.openxmlformats.org/officeDocument/2006/relationships/externalLinkPath" Target="/Operations/Reshelle/Brewing/Daily_Brewhouse_Efficiency/Daily_Brewhouse_Efficiency_2025.xls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Filtration_Throughput\Filtration_Throughput_2025.xlsx" TargetMode="External"/><Relationship Id="rId1" Type="http://schemas.openxmlformats.org/officeDocument/2006/relationships/externalLinkPath" Target="/Operations/Reshelle/Brewing/Filtration_Throughput/Filtration_Throughput_2025.xlsx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Losses%202025\September_2025.xls" TargetMode="External"/><Relationship Id="rId1" Type="http://schemas.openxmlformats.org/officeDocument/2006/relationships/externalLinkPath" Target="/Operations/Brewing/Reports%20Local/Losses%202025/September_2025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CaribLog2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StagLog2.xls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NewVMaltLog.xls" TargetMode="External"/><Relationship Id="rId1" Type="http://schemas.openxmlformats.org/officeDocument/2006/relationships/externalLinkPath" Target="/Operations/Brewing/Logbooks/NewVMaltLog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Logbooks/NewMMaltLog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2%20Daily%20Process%20Report/January%20'22%20Daily%20Process%20Report%202022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2%20Daily%20Process%20Report/February%20'22%20Daily%20Process%20Report%202022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2%20Daily%20Process%20Report/May%20'22%20Daily%20Process%20Report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MTD_Links"/>
      <sheetName val="YTD_Link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10">
          <cell r="I10">
            <v>99.750932208295694</v>
          </cell>
        </row>
      </sheetData>
      <sheetData sheetId="137">
        <row r="10">
          <cell r="I10">
            <v>92.554657395524345</v>
          </cell>
        </row>
      </sheetData>
      <sheetData sheetId="138">
        <row r="10">
          <cell r="I10">
            <v>93.061018396064128</v>
          </cell>
        </row>
      </sheetData>
      <sheetData sheetId="139">
        <row r="10">
          <cell r="I10">
            <v>94.662435717962396</v>
          </cell>
        </row>
      </sheetData>
      <sheetData sheetId="140">
        <row r="10">
          <cell r="I10">
            <v>92.045957227088977</v>
          </cell>
        </row>
      </sheetData>
      <sheetData sheetId="141">
        <row r="10">
          <cell r="I10">
            <v>91.890983117060841</v>
          </cell>
        </row>
      </sheetData>
      <sheetData sheetId="142">
        <row r="10">
          <cell r="I10">
            <v>91.025110697731037</v>
          </cell>
        </row>
      </sheetData>
      <sheetData sheetId="143"/>
      <sheetData sheetId="144">
        <row r="10">
          <cell r="I10">
            <v>90.366953732682646</v>
          </cell>
        </row>
      </sheetData>
      <sheetData sheetId="145">
        <row r="10">
          <cell r="I10">
            <v>97.702971903640275</v>
          </cell>
        </row>
      </sheetData>
      <sheetData sheetId="146">
        <row r="10">
          <cell r="I10">
            <v>99.810032745121021</v>
          </cell>
        </row>
      </sheetData>
      <sheetData sheetId="147">
        <row r="10">
          <cell r="I10">
            <v>94.627590963754557</v>
          </cell>
        </row>
      </sheetData>
      <sheetData sheetId="148">
        <row r="10">
          <cell r="I10">
            <v>94.899173579696182</v>
          </cell>
        </row>
      </sheetData>
      <sheetData sheetId="149"/>
      <sheetData sheetId="150">
        <row r="10">
          <cell r="I10">
            <v>96.082518252933426</v>
          </cell>
        </row>
      </sheetData>
      <sheetData sheetId="151">
        <row r="10">
          <cell r="I10">
            <v>93.775699444109193</v>
          </cell>
        </row>
      </sheetData>
      <sheetData sheetId="152">
        <row r="11">
          <cell r="I11">
            <v>96.926141806735757</v>
          </cell>
        </row>
      </sheetData>
      <sheetData sheetId="153"/>
      <sheetData sheetId="154">
        <row r="10">
          <cell r="I10">
            <v>94.523973772447604</v>
          </cell>
        </row>
      </sheetData>
      <sheetData sheetId="155">
        <row r="10">
          <cell r="I10">
            <v>94.570474921386278</v>
          </cell>
        </row>
      </sheetData>
      <sheetData sheetId="156">
        <row r="10">
          <cell r="I10">
            <v>93.068442573487985</v>
          </cell>
        </row>
      </sheetData>
      <sheetData sheetId="157"/>
      <sheetData sheetId="158">
        <row r="10">
          <cell r="I10">
            <v>93.966969001465571</v>
          </cell>
        </row>
      </sheetData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>
        <row r="10">
          <cell r="I10">
            <v>94.746744496090514</v>
          </cell>
        </row>
      </sheetData>
      <sheetData sheetId="181">
        <row r="10">
          <cell r="I10">
            <v>81.610633396186259</v>
          </cell>
        </row>
      </sheetData>
      <sheetData sheetId="182">
        <row r="10">
          <cell r="I10">
            <v>89.881069793572991</v>
          </cell>
        </row>
      </sheetData>
      <sheetData sheetId="183">
        <row r="10">
          <cell r="I10">
            <v>92.308295030910401</v>
          </cell>
        </row>
      </sheetData>
      <sheetData sheetId="184">
        <row r="10">
          <cell r="I10">
            <v>90.815839711253389</v>
          </cell>
        </row>
      </sheetData>
      <sheetData sheetId="185">
        <row r="10">
          <cell r="I10">
            <v>93.204137247268804</v>
          </cell>
        </row>
      </sheetData>
      <sheetData sheetId="186">
        <row r="10">
          <cell r="I10">
            <v>92.808947037217479</v>
          </cell>
        </row>
      </sheetData>
      <sheetData sheetId="187">
        <row r="10">
          <cell r="I10">
            <v>95.493653491136698</v>
          </cell>
        </row>
      </sheetData>
      <sheetData sheetId="188">
        <row r="10">
          <cell r="I10">
            <v>93.032943465571279</v>
          </cell>
        </row>
      </sheetData>
      <sheetData sheetId="189">
        <row r="10">
          <cell r="I10">
            <v>95.082477249706741</v>
          </cell>
        </row>
      </sheetData>
      <sheetData sheetId="190">
        <row r="10">
          <cell r="I10">
            <v>94.086430493781364</v>
          </cell>
        </row>
      </sheetData>
      <sheetData sheetId="191">
        <row r="10">
          <cell r="I10">
            <v>95.237068907803788</v>
          </cell>
        </row>
      </sheetData>
      <sheetData sheetId="192">
        <row r="10">
          <cell r="I10">
            <v>93.696594322135354</v>
          </cell>
        </row>
      </sheetData>
      <sheetData sheetId="193">
        <row r="10">
          <cell r="I10">
            <v>95.035429294750102</v>
          </cell>
        </row>
      </sheetData>
      <sheetData sheetId="194">
        <row r="10">
          <cell r="I10">
            <v>95.845120933176332</v>
          </cell>
        </row>
      </sheetData>
      <sheetData sheetId="195">
        <row r="10">
          <cell r="I10">
            <v>96.575612538518712</v>
          </cell>
        </row>
      </sheetData>
      <sheetData sheetId="196">
        <row r="10">
          <cell r="I10">
            <v>95.60390348648707</v>
          </cell>
        </row>
      </sheetData>
      <sheetData sheetId="197">
        <row r="10">
          <cell r="I10">
            <v>94.900683340102304</v>
          </cell>
        </row>
      </sheetData>
      <sheetData sheetId="198">
        <row r="10">
          <cell r="I10">
            <v>93.675056093360212</v>
          </cell>
        </row>
      </sheetData>
      <sheetData sheetId="199">
        <row r="10">
          <cell r="I10">
            <v>94.141326868887788</v>
          </cell>
        </row>
      </sheetData>
      <sheetData sheetId="200">
        <row r="10">
          <cell r="I10">
            <v>94.400570300845345</v>
          </cell>
        </row>
      </sheetData>
      <sheetData sheetId="201">
        <row r="11">
          <cell r="I11">
            <v>94.497356214098588</v>
          </cell>
        </row>
      </sheetData>
      <sheetData sheetId="202">
        <row r="10">
          <cell r="I10">
            <v>91.531580743624872</v>
          </cell>
        </row>
      </sheetData>
      <sheetData sheetId="203">
        <row r="10">
          <cell r="I10">
            <v>93.571794724463402</v>
          </cell>
        </row>
      </sheetData>
      <sheetData sheetId="204">
        <row r="10">
          <cell r="I10">
            <v>95.684805072230873</v>
          </cell>
        </row>
      </sheetData>
      <sheetData sheetId="205">
        <row r="10">
          <cell r="I10">
            <v>94.899817680638733</v>
          </cell>
        </row>
      </sheetData>
      <sheetData sheetId="206">
        <row r="10">
          <cell r="I10">
            <v>98.148777849881043</v>
          </cell>
        </row>
      </sheetData>
      <sheetData sheetId="207">
        <row r="10">
          <cell r="I10">
            <v>91.33164066384883</v>
          </cell>
        </row>
      </sheetData>
      <sheetData sheetId="208">
        <row r="10">
          <cell r="I10">
            <v>95.746955675971961</v>
          </cell>
        </row>
      </sheetData>
      <sheetData sheetId="209">
        <row r="10">
          <cell r="I10">
            <v>95.863617376516174</v>
          </cell>
        </row>
      </sheetData>
      <sheetData sheetId="210"/>
      <sheetData sheetId="211">
        <row r="10">
          <cell r="I10">
            <v>93.577418863812994</v>
          </cell>
        </row>
      </sheetData>
      <sheetData sheetId="212">
        <row r="10">
          <cell r="I10">
            <v>95.118868459634214</v>
          </cell>
        </row>
      </sheetData>
      <sheetData sheetId="213">
        <row r="10">
          <cell r="I10">
            <v>93.134820383580376</v>
          </cell>
        </row>
      </sheetData>
      <sheetData sheetId="214">
        <row r="10">
          <cell r="I10">
            <v>95.49640692397216</v>
          </cell>
        </row>
      </sheetData>
      <sheetData sheetId="215">
        <row r="10">
          <cell r="I10">
            <v>91.053396528745949</v>
          </cell>
        </row>
      </sheetData>
      <sheetData sheetId="216">
        <row r="10">
          <cell r="I10">
            <v>95.765002805481018</v>
          </cell>
        </row>
      </sheetData>
      <sheetData sheetId="217">
        <row r="10">
          <cell r="I10">
            <v>92.921491614246094</v>
          </cell>
        </row>
      </sheetData>
      <sheetData sheetId="218">
        <row r="10">
          <cell r="I10">
            <v>92.833655936590446</v>
          </cell>
        </row>
      </sheetData>
      <sheetData sheetId="219">
        <row r="10">
          <cell r="I10">
            <v>86.080188720816224</v>
          </cell>
        </row>
      </sheetData>
      <sheetData sheetId="220">
        <row r="10">
          <cell r="I10">
            <v>98.758814208396146</v>
          </cell>
        </row>
      </sheetData>
      <sheetData sheetId="221">
        <row r="10">
          <cell r="I10">
            <v>95.215143108531947</v>
          </cell>
        </row>
      </sheetData>
      <sheetData sheetId="222">
        <row r="10">
          <cell r="I10">
            <v>94.448105220636052</v>
          </cell>
        </row>
      </sheetData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>
        <row r="10">
          <cell r="I10">
            <v>92.662727799254284</v>
          </cell>
        </row>
      </sheetData>
      <sheetData sheetId="235">
        <row r="10">
          <cell r="I10">
            <v>85.997635221262584</v>
          </cell>
        </row>
      </sheetData>
      <sheetData sheetId="236">
        <row r="10">
          <cell r="I10">
            <v>93.392916824918487</v>
          </cell>
        </row>
      </sheetData>
      <sheetData sheetId="237">
        <row r="10">
          <cell r="I10">
            <v>98.419688132633198</v>
          </cell>
        </row>
      </sheetData>
      <sheetData sheetId="238">
        <row r="10">
          <cell r="I10">
            <v>98.896182519195435</v>
          </cell>
        </row>
      </sheetData>
      <sheetData sheetId="239">
        <row r="10">
          <cell r="I10">
            <v>89.706959355738562</v>
          </cell>
        </row>
      </sheetData>
      <sheetData sheetId="240">
        <row r="10">
          <cell r="I10">
            <v>92.665294455101332</v>
          </cell>
        </row>
      </sheetData>
      <sheetData sheetId="241">
        <row r="10">
          <cell r="I10">
            <v>93.157946425620224</v>
          </cell>
        </row>
      </sheetData>
      <sheetData sheetId="242">
        <row r="10">
          <cell r="I10">
            <v>93.127008978016477</v>
          </cell>
        </row>
      </sheetData>
      <sheetData sheetId="243">
        <row r="10">
          <cell r="I10">
            <v>89.118933714764424</v>
          </cell>
        </row>
      </sheetData>
      <sheetData sheetId="244">
        <row r="10">
          <cell r="I10">
            <v>92.080920589691559</v>
          </cell>
        </row>
      </sheetData>
      <sheetData sheetId="245">
        <row r="10">
          <cell r="I10">
            <v>83.486440442093041</v>
          </cell>
        </row>
      </sheetData>
      <sheetData sheetId="246">
        <row r="10">
          <cell r="I10">
            <v>93.388712454229619</v>
          </cell>
        </row>
      </sheetData>
      <sheetData sheetId="247">
        <row r="10">
          <cell r="I10">
            <v>97.30268556743809</v>
          </cell>
        </row>
      </sheetData>
      <sheetData sheetId="248">
        <row r="10">
          <cell r="I10">
            <v>91.263443885169522</v>
          </cell>
        </row>
      </sheetData>
      <sheetData sheetId="249">
        <row r="10">
          <cell r="I10">
            <v>97.225481973555304</v>
          </cell>
        </row>
      </sheetData>
      <sheetData sheetId="250">
        <row r="10">
          <cell r="I10">
            <v>97.225481973555304</v>
          </cell>
        </row>
      </sheetData>
      <sheetData sheetId="251"/>
      <sheetData sheetId="252"/>
      <sheetData sheetId="25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wer Performance (2)"/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June 1"/>
      <sheetName val="June 4"/>
      <sheetName val="June 5"/>
      <sheetName val="June 6"/>
      <sheetName val="June 7"/>
      <sheetName val="June 8"/>
      <sheetName val="June 11"/>
      <sheetName val="June 12"/>
      <sheetName val="June 16"/>
      <sheetName val="June 17"/>
      <sheetName val="June 18"/>
      <sheetName val="June 19"/>
      <sheetName val="June 20"/>
      <sheetName val="June 21"/>
      <sheetName val="June 22"/>
      <sheetName val="June 24"/>
      <sheetName val="June 25"/>
      <sheetName val="June 26"/>
      <sheetName val="June 27"/>
      <sheetName val="June 28"/>
      <sheetName val="June 29"/>
      <sheetName val="July 1"/>
      <sheetName val="July 2"/>
      <sheetName val="July 3"/>
      <sheetName val="July4"/>
      <sheetName val="July5"/>
      <sheetName val="July 8"/>
      <sheetName val="July 9"/>
      <sheetName val="July10"/>
      <sheetName val="July 11"/>
      <sheetName val="July 12"/>
      <sheetName val="July 13"/>
      <sheetName val="July 14 &amp;15"/>
      <sheetName val="July 16"/>
      <sheetName val="July 17"/>
      <sheetName val="July 18"/>
      <sheetName val="July 19"/>
      <sheetName val="July 21&amp;22"/>
      <sheetName val="July23"/>
      <sheetName val="July 24&amp;25"/>
      <sheetName val="July 25"/>
      <sheetName val="July 26"/>
      <sheetName val="July 27"/>
      <sheetName val="July 29"/>
      <sheetName val="July 30"/>
      <sheetName val="July 31"/>
      <sheetName val="Aug1"/>
      <sheetName val="Aug2"/>
      <sheetName val="Aug3&amp;4"/>
      <sheetName val="Aug7"/>
      <sheetName val="Aug8"/>
      <sheetName val="Aug9"/>
      <sheetName val="Aug10"/>
      <sheetName val="Aug15"/>
      <sheetName val="Aug16"/>
      <sheetName val="Aug17"/>
      <sheetName val="Aug20"/>
      <sheetName val="Aug21"/>
      <sheetName val="Aug22"/>
      <sheetName val="Aug27"/>
      <sheetName val="Aug28"/>
      <sheetName val="Aug29"/>
      <sheetName val="Aug30"/>
      <sheetName val="Aug31"/>
      <sheetName val="September2"/>
      <sheetName val="September3"/>
      <sheetName val="Sept.4"/>
      <sheetName val="Sept.5"/>
      <sheetName val="Sept.6"/>
      <sheetName val="Sept.7 &amp;8"/>
      <sheetName val="Sept.10"/>
      <sheetName val="Sept.11"/>
      <sheetName val="Sept.12"/>
      <sheetName val="Sept.13"/>
      <sheetName val="Sept.14"/>
      <sheetName val="Sept.17"/>
      <sheetName val="Sept.18"/>
      <sheetName val="Sept.19"/>
      <sheetName val="Sept.20"/>
      <sheetName val="Sept.21"/>
      <sheetName val="Sept.22"/>
      <sheetName val="Sept.23"/>
      <sheetName val="Sept.24"/>
      <sheetName val="Sept.25"/>
      <sheetName val="Sept.26"/>
      <sheetName val="Sept.27"/>
      <sheetName val="Sept.28"/>
      <sheetName val="Sept.29"/>
      <sheetName val="Oct.1"/>
      <sheetName val="Oct.2"/>
      <sheetName val="Oct.3"/>
      <sheetName val="Oct.4"/>
      <sheetName val="Oct.5"/>
      <sheetName val="Oct.6"/>
      <sheetName val="Oct.7"/>
      <sheetName val="Oct.8"/>
      <sheetName val="Oct.9"/>
      <sheetName val="Oct.10"/>
      <sheetName val="Oct.11"/>
      <sheetName val="Oct.12"/>
      <sheetName val="Oct.13"/>
      <sheetName val="Oct.15"/>
      <sheetName val="Oct.16"/>
      <sheetName val="Oct.17"/>
      <sheetName val="Oct.18"/>
      <sheetName val="Oct.19"/>
      <sheetName val="Oct.21"/>
      <sheetName val="Oct.22"/>
      <sheetName val="Oct.23"/>
      <sheetName val="Oct.24"/>
      <sheetName val="Oct.26"/>
      <sheetName val="Oct.28"/>
      <sheetName val="Oct.29"/>
      <sheetName val="Oct.30"/>
      <sheetName val="Oct.31"/>
      <sheetName val="Nov. 1"/>
      <sheetName val="Nov. 2,3 &amp;4"/>
      <sheetName val="Nov. 5"/>
      <sheetName val="Nov. 6"/>
      <sheetName val="Nov. 8"/>
      <sheetName val="Nov. 9"/>
      <sheetName val="Nov. 10"/>
      <sheetName val="Nov. 11"/>
      <sheetName val="Nov. 12&amp;13"/>
      <sheetName val="Nov. 14"/>
      <sheetName val="Nov. 15"/>
      <sheetName val="Nov. 16&amp;17"/>
      <sheetName val="Nov. 19"/>
      <sheetName val="Nov. 20"/>
      <sheetName val="Nov. 21"/>
      <sheetName val="Nov. 22"/>
      <sheetName val="Nov. 23"/>
      <sheetName val="Nov.24"/>
      <sheetName val="Nov.25"/>
      <sheetName val="Nov.26"/>
      <sheetName val="Nov.27&amp;28th"/>
      <sheetName val="Nov.29"/>
      <sheetName val="Nov.30"/>
      <sheetName val="Dec.1 &amp;2"/>
      <sheetName val="Dec.3"/>
      <sheetName val="Dec. 4"/>
      <sheetName val="Dec. 5"/>
      <sheetName val="Dec. 6 "/>
      <sheetName val="Dec. 7"/>
      <sheetName val="Dec. 8 "/>
      <sheetName val="Dec. 9"/>
      <sheetName val="Dec. 10"/>
      <sheetName val="Dec. 11"/>
      <sheetName val="Dec. 12"/>
      <sheetName val="Dec. 13"/>
      <sheetName val="Dec. 14"/>
      <sheetName val="Dec. 15"/>
      <sheetName val="Dec. 17"/>
      <sheetName val="Dec. 18"/>
      <sheetName val="Dec. 19"/>
      <sheetName val="Dec. 20"/>
      <sheetName val="Dec. 21"/>
      <sheetName val="Dec. 22"/>
      <sheetName val="Dec. 26"/>
      <sheetName val="Dec. 27"/>
      <sheetName val="Dec. 28"/>
      <sheetName val="Dec. 31"/>
      <sheetName val="Jan. 02"/>
      <sheetName val="Jan. 03"/>
      <sheetName val="Jan. 04"/>
      <sheetName val="Jan. 07"/>
      <sheetName val="Jan. 08"/>
      <sheetName val="Jan. 09"/>
      <sheetName val="Jan. 10"/>
      <sheetName val="Jan. 11"/>
      <sheetName val="Jan. 13"/>
      <sheetName val="Jan. 14"/>
      <sheetName val="Jan. 15"/>
      <sheetName val="Jan. 16"/>
      <sheetName val="Jan. 17"/>
      <sheetName val="Jan. 18"/>
      <sheetName val="Jan. 21"/>
      <sheetName val="Jan. 22"/>
      <sheetName val="Jan. 23"/>
      <sheetName val="Jan. 24"/>
      <sheetName val="Jan. 25"/>
      <sheetName val="Jan. 28"/>
      <sheetName val="Jan. 29"/>
      <sheetName val="Jan. 30"/>
      <sheetName val="Feb. 3"/>
      <sheetName val="Feb. 4"/>
      <sheetName val="Feb. 5"/>
      <sheetName val="Feb.6"/>
      <sheetName val="Feb.8"/>
      <sheetName val="Feb. 9"/>
      <sheetName val="Feb. 11"/>
      <sheetName val="Feb. 14"/>
      <sheetName val="Feb. 17"/>
      <sheetName val="Feb. 18"/>
      <sheetName val="Feb. 19"/>
      <sheetName val="Feb.20"/>
      <sheetName val="Feb.21"/>
      <sheetName val="Feb.22"/>
      <sheetName val="Feb.24"/>
      <sheetName val="Feb.25"/>
      <sheetName val="Feb.26"/>
      <sheetName val="Feb.27"/>
      <sheetName val="Feb.28"/>
      <sheetName val="March.1"/>
      <sheetName val="March.3"/>
      <sheetName val="March.4"/>
      <sheetName val="March.6"/>
      <sheetName val="March.7"/>
      <sheetName val="March.8"/>
      <sheetName val="March.11"/>
      <sheetName val="March.12"/>
      <sheetName val="March.13"/>
      <sheetName val="March.14"/>
      <sheetName val="March.15"/>
      <sheetName val="March.16"/>
      <sheetName val="March.18"/>
      <sheetName val="March.19"/>
      <sheetName val="March.20"/>
      <sheetName val="March.21"/>
      <sheetName val="March.22"/>
      <sheetName val="March.24"/>
      <sheetName val="March.25"/>
      <sheetName val="March.26"/>
      <sheetName val="March.27"/>
      <sheetName val="March.28"/>
      <sheetName val="March.29"/>
      <sheetName val="March.31"/>
      <sheetName val="April.1"/>
      <sheetName val="April.2"/>
      <sheetName val="April.3"/>
      <sheetName val="April.4"/>
      <sheetName val="April.5"/>
      <sheetName val="April.8"/>
      <sheetName val="April.9"/>
      <sheetName val="April.10"/>
      <sheetName val="April.11"/>
      <sheetName val="April.12"/>
      <sheetName val="April.14"/>
      <sheetName val="April.15"/>
      <sheetName val="April.16"/>
      <sheetName val="April.17"/>
      <sheetName val="April.18"/>
      <sheetName val="April.23"/>
      <sheetName val="April.24"/>
      <sheetName val="April.25"/>
      <sheetName val="April.26"/>
      <sheetName val="April.28"/>
      <sheetName val="April.29"/>
      <sheetName val="April.30"/>
      <sheetName val="May.1&amp;2"/>
      <sheetName val="May.3"/>
      <sheetName val="May.5"/>
      <sheetName val="May.6 "/>
      <sheetName val="May.7"/>
      <sheetName val="May.8"/>
      <sheetName val="May.9"/>
      <sheetName val="May.10"/>
      <sheetName val="May.11"/>
      <sheetName val="May.13"/>
      <sheetName val="May.14"/>
      <sheetName val="May.15"/>
      <sheetName val="May.16"/>
      <sheetName val="May.17"/>
      <sheetName val="May.18"/>
      <sheetName val="May.19"/>
      <sheetName val="May.20"/>
      <sheetName val="May.21"/>
      <sheetName val="May.22"/>
      <sheetName val="May.23"/>
      <sheetName val="May.31"/>
      <sheetName val="June1"/>
      <sheetName val="June3"/>
      <sheetName val="June4"/>
      <sheetName val="June5"/>
      <sheetName val="June6"/>
      <sheetName val="June7"/>
      <sheetName val="June8"/>
      <sheetName val="June11"/>
      <sheetName val="June12"/>
      <sheetName val="June13"/>
      <sheetName val="June14"/>
      <sheetName val="June17"/>
      <sheetName val="June18"/>
      <sheetName val="June19"/>
      <sheetName val="June21"/>
      <sheetName val="June22"/>
      <sheetName val="June23"/>
      <sheetName val="June24"/>
      <sheetName val="June25"/>
      <sheetName val="June26"/>
      <sheetName val="June27"/>
      <sheetName val="June28"/>
      <sheetName val="July1"/>
      <sheetName val="July2"/>
      <sheetName val="July03"/>
      <sheetName val="July04"/>
      <sheetName val="July05"/>
      <sheetName val="July08"/>
      <sheetName val="July09"/>
      <sheetName val="July-10"/>
      <sheetName val="July-11"/>
      <sheetName val="July-12"/>
      <sheetName val="July-15"/>
      <sheetName val="July-16"/>
      <sheetName val="July-17"/>
      <sheetName val="July-18"/>
      <sheetName val="July-19"/>
      <sheetName val="July-22 "/>
      <sheetName val="July-23"/>
      <sheetName val="July-24 "/>
      <sheetName val="July-25 "/>
      <sheetName val="July-27 "/>
      <sheetName val="July-29 "/>
      <sheetName val="July-30 "/>
      <sheetName val="July-31 "/>
      <sheetName val="August-1"/>
      <sheetName val="August-2"/>
      <sheetName val="August-3"/>
      <sheetName val="August-6"/>
      <sheetName val="August-7"/>
      <sheetName val="August-8"/>
      <sheetName val="August-9"/>
      <sheetName val="August-14"/>
      <sheetName val="August-15"/>
      <sheetName val="August-16"/>
      <sheetName val="August-19"/>
      <sheetName val="August-20"/>
      <sheetName val="August-21"/>
      <sheetName val="August-22"/>
      <sheetName val="August-23"/>
      <sheetName val="August-26"/>
      <sheetName val="August-27"/>
      <sheetName val="August-28 "/>
      <sheetName val="August-30 "/>
      <sheetName val="September-2"/>
      <sheetName val="September-3"/>
      <sheetName val="September-4"/>
      <sheetName val="September-5"/>
      <sheetName val="September-6"/>
      <sheetName val="September-9"/>
      <sheetName val="September-10"/>
      <sheetName val="September-11"/>
      <sheetName val="September-12"/>
      <sheetName val="September-13"/>
      <sheetName val="September-16"/>
      <sheetName val="September-17"/>
      <sheetName val="September-18"/>
      <sheetName val="September-19"/>
      <sheetName val="September-20"/>
      <sheetName val="September-23"/>
      <sheetName val="September-24"/>
      <sheetName val="September-25"/>
      <sheetName val="September-26"/>
      <sheetName val="September-30"/>
      <sheetName val="October-1"/>
      <sheetName val="October-2"/>
      <sheetName val="October-3"/>
      <sheetName val="October-4"/>
      <sheetName val="October-7"/>
      <sheetName val="October-8"/>
      <sheetName val="October-9"/>
      <sheetName val="October-10"/>
      <sheetName val="October-11"/>
      <sheetName val="October-12"/>
      <sheetName val="October-14"/>
      <sheetName val="October-15"/>
      <sheetName val="October-16"/>
      <sheetName val="October-17"/>
      <sheetName val="October-18"/>
      <sheetName val="October-21"/>
      <sheetName val="October-22"/>
      <sheetName val="October-23"/>
      <sheetName val="October-24"/>
      <sheetName val="October-26"/>
      <sheetName val="October-27"/>
      <sheetName val="October-28"/>
      <sheetName val="October-29"/>
      <sheetName val="November-4"/>
      <sheetName val="November-5"/>
      <sheetName val="November-6"/>
      <sheetName val="November-7"/>
      <sheetName val="November-8"/>
      <sheetName val="November-9"/>
      <sheetName val="November-10"/>
      <sheetName val="November-11"/>
      <sheetName val="November-12"/>
      <sheetName val="November-13"/>
      <sheetName val="November-14"/>
      <sheetName val="November-15"/>
      <sheetName val="November-16"/>
      <sheetName val="November-17"/>
      <sheetName val="November-18"/>
      <sheetName val="November-19"/>
      <sheetName val="November-20"/>
      <sheetName val="November-21"/>
      <sheetName val="November-22"/>
      <sheetName val="November-23"/>
      <sheetName val="November-24"/>
      <sheetName val="November-25"/>
      <sheetName val="November-26"/>
      <sheetName val="November-27"/>
      <sheetName val="November-28"/>
      <sheetName val="November-29"/>
      <sheetName val="December-1"/>
      <sheetName val="December-2"/>
      <sheetName val="December-3"/>
      <sheetName val="December-4"/>
      <sheetName val="December-5"/>
      <sheetName val="December-6"/>
      <sheetName val="December-9"/>
      <sheetName val="December-10"/>
      <sheetName val="December-11"/>
      <sheetName val="December-12"/>
      <sheetName val="December-13"/>
      <sheetName val="December-14"/>
      <sheetName val="December-16"/>
      <sheetName val="December-17"/>
      <sheetName val="December-18"/>
      <sheetName val="December-19"/>
      <sheetName val="December-20"/>
      <sheetName val="December-22"/>
      <sheetName val="December-23"/>
      <sheetName val="December-24"/>
      <sheetName val="December-27"/>
      <sheetName val="December-30"/>
      <sheetName val="December-31"/>
      <sheetName val="January-2 "/>
      <sheetName val="January-3"/>
      <sheetName val="January-4"/>
      <sheetName val="January-7"/>
      <sheetName val="January-8"/>
      <sheetName val="January-9"/>
      <sheetName val="January-10"/>
      <sheetName val="January-11"/>
      <sheetName val="January-13"/>
      <sheetName val="January-14"/>
      <sheetName val="January-15"/>
      <sheetName val="January-16"/>
      <sheetName val="January-17"/>
      <sheetName val="January-20"/>
      <sheetName val="January-21"/>
      <sheetName val="January-22"/>
      <sheetName val="Janurary-23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/>
      <sheetData sheetId="697" refreshError="1"/>
      <sheetData sheetId="698">
        <row r="4">
          <cell r="E4" t="str">
            <v>MTD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"/>
      <sheetName val="Summary September '23"/>
      <sheetName val="Summary August '23"/>
      <sheetName val="Summary July '23 "/>
      <sheetName val="Summary June '23"/>
      <sheetName val="Summary May '23 "/>
      <sheetName val="Summary April '23 "/>
      <sheetName val="Summary March '23 "/>
      <sheetName val="Summary February '23"/>
      <sheetName val="Summary January '23"/>
      <sheetName val="Summary December '22  "/>
      <sheetName val="Summary November '22   "/>
      <sheetName val="Summary October '22  "/>
      <sheetName val="Summary September '22  "/>
      <sheetName val="Summary August '22 "/>
      <sheetName val="Summary July '22 "/>
      <sheetName val="Summary June '22"/>
      <sheetName val="Summary May '22"/>
      <sheetName val="Summary April '22"/>
      <sheetName val="Summary March '22"/>
      <sheetName val="Summary February '22"/>
      <sheetName val="Summary January '22"/>
      <sheetName val="Summary December '21  "/>
    </sheetNames>
    <sheetDataSet>
      <sheetData sheetId="0"/>
      <sheetData sheetId="1"/>
      <sheetData sheetId="2"/>
      <sheetData sheetId="3"/>
      <sheetData sheetId="4"/>
      <sheetData sheetId="5">
        <row r="39">
          <cell r="AI39">
            <v>53</v>
          </cell>
        </row>
        <row r="849">
          <cell r="AU849">
            <v>95.663863833483461</v>
          </cell>
        </row>
        <row r="850">
          <cell r="AU850">
            <v>98.161203140703776</v>
          </cell>
        </row>
        <row r="851">
          <cell r="AU851">
            <v>99.759332436323248</v>
          </cell>
        </row>
        <row r="852">
          <cell r="AU852">
            <v>98.333283107625732</v>
          </cell>
        </row>
        <row r="853">
          <cell r="AU853">
            <v>98.502602722865149</v>
          </cell>
        </row>
        <row r="854">
          <cell r="AU854">
            <v>98.818687834716542</v>
          </cell>
        </row>
        <row r="855">
          <cell r="AU855">
            <v>97.298297014350211</v>
          </cell>
        </row>
        <row r="856">
          <cell r="AU856">
            <v>99.281443283645203</v>
          </cell>
        </row>
        <row r="857">
          <cell r="AU857">
            <v>96.092752278453332</v>
          </cell>
        </row>
        <row r="858">
          <cell r="AU858">
            <v>98.055003537976447</v>
          </cell>
        </row>
        <row r="859">
          <cell r="AU859">
            <v>100.91885920195962</v>
          </cell>
        </row>
        <row r="860">
          <cell r="AU860">
            <v>99.63105429686064</v>
          </cell>
        </row>
        <row r="861">
          <cell r="AU861">
            <v>96.873994166896026</v>
          </cell>
        </row>
        <row r="862">
          <cell r="AU862">
            <v>98.919847621112098</v>
          </cell>
        </row>
        <row r="863">
          <cell r="AU863">
            <v>98.631788415892132</v>
          </cell>
        </row>
        <row r="864">
          <cell r="AU864">
            <v>98.525744642541923</v>
          </cell>
        </row>
        <row r="865">
          <cell r="AU865">
            <v>97.946144197753199</v>
          </cell>
        </row>
        <row r="866">
          <cell r="AU866">
            <v>99.535261451801944</v>
          </cell>
        </row>
        <row r="867">
          <cell r="AU867">
            <v>99.041877420655766</v>
          </cell>
        </row>
        <row r="868">
          <cell r="AU868">
            <v>98.619710487506779</v>
          </cell>
        </row>
        <row r="869">
          <cell r="AU869">
            <v>94.871478991746045</v>
          </cell>
        </row>
        <row r="870">
          <cell r="AU870">
            <v>99.145590755635325</v>
          </cell>
        </row>
        <row r="871">
          <cell r="AU871">
            <v>97.414766781431112</v>
          </cell>
        </row>
        <row r="872">
          <cell r="AU872">
            <v>98.168689841970789</v>
          </cell>
        </row>
        <row r="873">
          <cell r="AU873">
            <v>94.708468285483022</v>
          </cell>
        </row>
        <row r="874">
          <cell r="AU874">
            <v>98.19572334957715</v>
          </cell>
        </row>
        <row r="875">
          <cell r="AU875">
            <v>98.090148410725448</v>
          </cell>
        </row>
        <row r="876">
          <cell r="AU876">
            <v>95.118761951292143</v>
          </cell>
        </row>
        <row r="877">
          <cell r="AU877">
            <v>100.60583188656503</v>
          </cell>
        </row>
        <row r="878">
          <cell r="AU878">
            <v>97.290406760145842</v>
          </cell>
        </row>
        <row r="879">
          <cell r="AU879">
            <v>104.72566854096057</v>
          </cell>
        </row>
        <row r="880">
          <cell r="AU880">
            <v>103.17490716902564</v>
          </cell>
        </row>
        <row r="881">
          <cell r="AU881">
            <v>97.832871362942271</v>
          </cell>
        </row>
        <row r="882">
          <cell r="AU882">
            <v>98.196537042622353</v>
          </cell>
        </row>
        <row r="883">
          <cell r="AU883">
            <v>92.067139526743475</v>
          </cell>
        </row>
        <row r="884">
          <cell r="AU884">
            <v>98.407062059761429</v>
          </cell>
        </row>
        <row r="885">
          <cell r="AU885">
            <v>99.192747185987045</v>
          </cell>
        </row>
        <row r="886">
          <cell r="AU886">
            <v>97.51961651056078</v>
          </cell>
        </row>
        <row r="887">
          <cell r="AU887">
            <v>95.491313123678665</v>
          </cell>
        </row>
        <row r="888">
          <cell r="AU888">
            <v>100.23142048831002</v>
          </cell>
        </row>
        <row r="889">
          <cell r="AU889">
            <v>98.187310276793937</v>
          </cell>
        </row>
        <row r="890">
          <cell r="AU890">
            <v>101.25839273474642</v>
          </cell>
        </row>
        <row r="891">
          <cell r="AU891">
            <v>95.290840272543946</v>
          </cell>
        </row>
        <row r="892">
          <cell r="AU892">
            <v>102.08768838931368</v>
          </cell>
        </row>
        <row r="893">
          <cell r="AU893">
            <v>97.360408780157954</v>
          </cell>
        </row>
        <row r="894">
          <cell r="AU894">
            <v>99.045402987088693</v>
          </cell>
        </row>
        <row r="895">
          <cell r="AU895">
            <v>98.034529195153198</v>
          </cell>
        </row>
        <row r="896">
          <cell r="AU896">
            <v>99.66368637303772</v>
          </cell>
        </row>
        <row r="897">
          <cell r="AU897">
            <v>96.39159653002244</v>
          </cell>
        </row>
        <row r="898">
          <cell r="AU898">
            <v>99.215504360195723</v>
          </cell>
        </row>
        <row r="899">
          <cell r="AU899">
            <v>100.22728441960062</v>
          </cell>
        </row>
        <row r="900">
          <cell r="AU900">
            <v>98.989483943049265</v>
          </cell>
        </row>
        <row r="901">
          <cell r="AU901">
            <v>96.280432251303537</v>
          </cell>
        </row>
        <row r="902">
          <cell r="AU902">
            <v>99.202811624094949</v>
          </cell>
        </row>
        <row r="903">
          <cell r="AU903">
            <v>98.506489670004697</v>
          </cell>
        </row>
        <row r="904">
          <cell r="AU904">
            <v>99.769040261812833</v>
          </cell>
        </row>
        <row r="905">
          <cell r="AU905">
            <v>98.326320918982461</v>
          </cell>
        </row>
        <row r="906">
          <cell r="AU906">
            <v>98.719626202658404</v>
          </cell>
        </row>
        <row r="907">
          <cell r="AU907">
            <v>99.117823502588735</v>
          </cell>
        </row>
        <row r="908">
          <cell r="AU908">
            <v>98.631008731909759</v>
          </cell>
        </row>
        <row r="909">
          <cell r="AU909">
            <v>93.901686844433655</v>
          </cell>
        </row>
        <row r="910">
          <cell r="AU910">
            <v>98.42963897912486</v>
          </cell>
        </row>
        <row r="911">
          <cell r="AU911">
            <v>99.240374252811307</v>
          </cell>
        </row>
        <row r="912">
          <cell r="AU912">
            <v>99.893905017469535</v>
          </cell>
        </row>
        <row r="913">
          <cell r="AU913">
            <v>99.245314300729845</v>
          </cell>
        </row>
        <row r="914">
          <cell r="AU914">
            <v>98.818173928722587</v>
          </cell>
        </row>
        <row r="915">
          <cell r="AU915">
            <v>98.331257677886271</v>
          </cell>
        </row>
        <row r="916">
          <cell r="AU916">
            <v>98.612545635425107</v>
          </cell>
        </row>
        <row r="917">
          <cell r="AU917">
            <v>98.631417127445459</v>
          </cell>
        </row>
        <row r="918">
          <cell r="AU918">
            <v>98.07782155982369</v>
          </cell>
        </row>
        <row r="919">
          <cell r="AU919">
            <v>98.33388042408815</v>
          </cell>
        </row>
        <row r="920">
          <cell r="AU920">
            <v>95.468071678126762</v>
          </cell>
        </row>
        <row r="921">
          <cell r="AU921">
            <v>101.41851984313148</v>
          </cell>
        </row>
        <row r="922">
          <cell r="AU922">
            <v>98.594095369450585</v>
          </cell>
        </row>
        <row r="923">
          <cell r="AU923">
            <v>101.0306887695094</v>
          </cell>
        </row>
        <row r="924">
          <cell r="AU924">
            <v>97.117338355034519</v>
          </cell>
        </row>
        <row r="926">
          <cell r="AU926">
            <v>93.014529112498508</v>
          </cell>
        </row>
        <row r="927">
          <cell r="AU927">
            <v>94.905180294691831</v>
          </cell>
        </row>
        <row r="928">
          <cell r="AU928">
            <v>98.612734606795939</v>
          </cell>
        </row>
        <row r="929">
          <cell r="AU929">
            <v>98.193089516568449</v>
          </cell>
        </row>
        <row r="930">
          <cell r="AU930">
            <v>99.166902562351495</v>
          </cell>
        </row>
        <row r="931">
          <cell r="AU931">
            <v>98.545871344503041</v>
          </cell>
        </row>
        <row r="932">
          <cell r="AU932">
            <v>96.633045006550262</v>
          </cell>
        </row>
        <row r="933">
          <cell r="AU933">
            <v>97.21114174432509</v>
          </cell>
        </row>
        <row r="934">
          <cell r="AU934">
            <v>99.369101617770809</v>
          </cell>
        </row>
        <row r="935">
          <cell r="AU935">
            <v>98.036954958046238</v>
          </cell>
        </row>
        <row r="936">
          <cell r="AU936">
            <v>91.207086008373878</v>
          </cell>
        </row>
        <row r="937">
          <cell r="AU937">
            <v>95.860786445249929</v>
          </cell>
        </row>
        <row r="938">
          <cell r="AU938">
            <v>97.986863363409327</v>
          </cell>
        </row>
        <row r="939">
          <cell r="AU939">
            <v>95.87755710705413</v>
          </cell>
        </row>
        <row r="940">
          <cell r="AU940">
            <v>96.069312221268248</v>
          </cell>
        </row>
        <row r="941">
          <cell r="AU941">
            <v>94.699654196675027</v>
          </cell>
        </row>
        <row r="942">
          <cell r="AU942">
            <v>101.67252999852943</v>
          </cell>
        </row>
        <row r="943">
          <cell r="AU943">
            <v>101.17913775574701</v>
          </cell>
        </row>
        <row r="944">
          <cell r="AU944">
            <v>100.86273713130642</v>
          </cell>
        </row>
        <row r="945">
          <cell r="AU945">
            <v>100.10873722587988</v>
          </cell>
        </row>
        <row r="946">
          <cell r="AU946">
            <v>95.50082306179263</v>
          </cell>
        </row>
        <row r="947">
          <cell r="AU947">
            <v>98.277382858959044</v>
          </cell>
        </row>
        <row r="948">
          <cell r="AU948">
            <v>93.3808876329188</v>
          </cell>
        </row>
        <row r="949">
          <cell r="AU949">
            <v>96.175569134464126</v>
          </cell>
        </row>
        <row r="950">
          <cell r="AU950">
            <v>97.078303486097681</v>
          </cell>
        </row>
        <row r="951">
          <cell r="AU951">
            <v>101.56030805211434</v>
          </cell>
        </row>
        <row r="952">
          <cell r="AU952">
            <v>91.935041652671885</v>
          </cell>
        </row>
        <row r="953">
          <cell r="AU953">
            <v>97.123997414216163</v>
          </cell>
        </row>
        <row r="954">
          <cell r="AU954">
            <v>95.617584994183886</v>
          </cell>
        </row>
        <row r="955">
          <cell r="AU955">
            <v>96.610674074757526</v>
          </cell>
        </row>
        <row r="956">
          <cell r="AU956">
            <v>97.487635532948119</v>
          </cell>
        </row>
        <row r="957">
          <cell r="AU957">
            <v>97.412227635198136</v>
          </cell>
        </row>
        <row r="958">
          <cell r="AU958">
            <v>97.20950210143495</v>
          </cell>
        </row>
        <row r="959">
          <cell r="AU959">
            <v>99.297987498145474</v>
          </cell>
        </row>
        <row r="960">
          <cell r="AU960">
            <v>97.024782991571257</v>
          </cell>
        </row>
        <row r="961">
          <cell r="AU961">
            <v>97.243298870014883</v>
          </cell>
        </row>
        <row r="962">
          <cell r="AU962">
            <v>97.023260123118732</v>
          </cell>
        </row>
        <row r="963">
          <cell r="AU963">
            <v>100.22026650558166</v>
          </cell>
        </row>
        <row r="964">
          <cell r="AU964">
            <v>100.00923853982306</v>
          </cell>
        </row>
        <row r="965">
          <cell r="AU965">
            <v>99.906331130627905</v>
          </cell>
        </row>
        <row r="966">
          <cell r="AU966">
            <v>98.850227095727348</v>
          </cell>
        </row>
        <row r="967">
          <cell r="AU967">
            <v>99.441114455440584</v>
          </cell>
        </row>
        <row r="968">
          <cell r="AU968">
            <v>98.304977340690357</v>
          </cell>
        </row>
        <row r="969">
          <cell r="AU969">
            <v>98.86983616014237</v>
          </cell>
        </row>
        <row r="970">
          <cell r="AU970">
            <v>98.488143394733228</v>
          </cell>
        </row>
        <row r="971">
          <cell r="AU971">
            <v>99.471038525077589</v>
          </cell>
        </row>
        <row r="973">
          <cell r="AU973">
            <v>95.888708244918675</v>
          </cell>
        </row>
        <row r="974">
          <cell r="AU974">
            <v>96.395259825577298</v>
          </cell>
        </row>
        <row r="975">
          <cell r="AU975">
            <v>99.192144221194894</v>
          </cell>
        </row>
        <row r="976">
          <cell r="AU976">
            <v>100.49472440540761</v>
          </cell>
        </row>
        <row r="977">
          <cell r="AU977">
            <v>99.145148742060812</v>
          </cell>
        </row>
        <row r="978">
          <cell r="AU978">
            <v>98.313224898090724</v>
          </cell>
        </row>
        <row r="979">
          <cell r="AU979">
            <v>98.891816600796247</v>
          </cell>
        </row>
        <row r="980">
          <cell r="AU980">
            <v>97.007802280437417</v>
          </cell>
        </row>
        <row r="981">
          <cell r="AU981">
            <v>100.03609063865832</v>
          </cell>
        </row>
        <row r="982">
          <cell r="AU982">
            <v>99.262117016695768</v>
          </cell>
        </row>
        <row r="983">
          <cell r="AU983">
            <v>98.760316095676714</v>
          </cell>
        </row>
        <row r="984">
          <cell r="AU984">
            <v>99.083839545652168</v>
          </cell>
        </row>
        <row r="985">
          <cell r="AU985">
            <v>98.648533109164021</v>
          </cell>
        </row>
        <row r="986">
          <cell r="AU986">
            <v>98.395181345142205</v>
          </cell>
        </row>
        <row r="987">
          <cell r="AU987">
            <v>99.66128871437337</v>
          </cell>
        </row>
        <row r="988">
          <cell r="AU988">
            <v>98.814121830608798</v>
          </cell>
        </row>
        <row r="989">
          <cell r="AU989">
            <v>98.703252611359233</v>
          </cell>
        </row>
        <row r="990">
          <cell r="AU990">
            <v>101.08312040923842</v>
          </cell>
        </row>
        <row r="991">
          <cell r="AU991">
            <v>96.089556432038236</v>
          </cell>
        </row>
        <row r="992">
          <cell r="AU992">
            <v>96.950696980249873</v>
          </cell>
        </row>
        <row r="993">
          <cell r="AU993">
            <v>98.421661720388187</v>
          </cell>
        </row>
        <row r="994">
          <cell r="AU994">
            <v>97.938417583872493</v>
          </cell>
        </row>
        <row r="995">
          <cell r="AU995">
            <v>97.650858846700444</v>
          </cell>
        </row>
        <row r="996">
          <cell r="AU996">
            <v>98.704675821172387</v>
          </cell>
        </row>
        <row r="997">
          <cell r="AU997">
            <v>98.77401974110343</v>
          </cell>
        </row>
        <row r="998">
          <cell r="AU998">
            <v>100.39222978751012</v>
          </cell>
        </row>
        <row r="999">
          <cell r="AU999">
            <v>97.59336349013391</v>
          </cell>
        </row>
        <row r="1000">
          <cell r="AU1000">
            <v>101.5239334145885</v>
          </cell>
        </row>
        <row r="1001">
          <cell r="AU1001">
            <v>98.465315588133734</v>
          </cell>
        </row>
        <row r="1002">
          <cell r="AU1002">
            <v>96.186092769917465</v>
          </cell>
        </row>
        <row r="1003">
          <cell r="AU1003">
            <v>94.13399521979872</v>
          </cell>
        </row>
        <row r="1004">
          <cell r="AU1004">
            <v>97.393648773101731</v>
          </cell>
        </row>
        <row r="1005">
          <cell r="AU1005">
            <v>100.84475180839827</v>
          </cell>
        </row>
        <row r="1006">
          <cell r="AU1006">
            <v>96.923784228632613</v>
          </cell>
        </row>
        <row r="1007">
          <cell r="AU1007">
            <v>98.943374580547371</v>
          </cell>
        </row>
        <row r="1008">
          <cell r="AU1008">
            <v>97.616244018038586</v>
          </cell>
        </row>
        <row r="1009">
          <cell r="AU1009">
            <v>97.200120753042128</v>
          </cell>
        </row>
        <row r="1010">
          <cell r="AU1010">
            <v>98.309661023974598</v>
          </cell>
        </row>
        <row r="1011">
          <cell r="AU1011">
            <v>98.11180818418508</v>
          </cell>
        </row>
        <row r="1012">
          <cell r="AU1012">
            <v>95.802126010985702</v>
          </cell>
        </row>
        <row r="1013">
          <cell r="AU1013">
            <v>97.933739877262411</v>
          </cell>
        </row>
        <row r="1014">
          <cell r="AU1014">
            <v>98.390432949172776</v>
          </cell>
        </row>
        <row r="1015">
          <cell r="AU1015">
            <v>97.811665696530596</v>
          </cell>
        </row>
        <row r="1016">
          <cell r="AU1016">
            <v>95.923441158121605</v>
          </cell>
        </row>
        <row r="1017">
          <cell r="AU1017">
            <v>100.63802460760101</v>
          </cell>
        </row>
        <row r="1018">
          <cell r="AU1018">
            <v>97.734702345258398</v>
          </cell>
        </row>
        <row r="1019">
          <cell r="AU1019">
            <v>93.252429030364738</v>
          </cell>
        </row>
        <row r="1020">
          <cell r="AU1020">
            <v>99.384746343388471</v>
          </cell>
        </row>
        <row r="1021">
          <cell r="AU1021">
            <v>98.117256569111035</v>
          </cell>
        </row>
        <row r="1022">
          <cell r="AU1022">
            <v>98.116637806062727</v>
          </cell>
        </row>
        <row r="1023">
          <cell r="AU1023">
            <v>97.657860016366371</v>
          </cell>
        </row>
        <row r="1024">
          <cell r="AU1024">
            <v>97.972529900423893</v>
          </cell>
        </row>
        <row r="1025">
          <cell r="AU1025">
            <v>98.310667164973324</v>
          </cell>
        </row>
        <row r="1026">
          <cell r="AU1026">
            <v>99.134259503986243</v>
          </cell>
        </row>
        <row r="1027">
          <cell r="AU1027">
            <v>97.265959206532798</v>
          </cell>
        </row>
        <row r="1028">
          <cell r="AU1028">
            <v>98.760591325256911</v>
          </cell>
        </row>
        <row r="1029">
          <cell r="AU1029">
            <v>98.74404787856021</v>
          </cell>
        </row>
        <row r="1030">
          <cell r="AU1030">
            <v>98.23571717622653</v>
          </cell>
        </row>
        <row r="1031">
          <cell r="AU1031">
            <v>95.983832685957111</v>
          </cell>
        </row>
        <row r="1032">
          <cell r="AU1032">
            <v>96.780419003256441</v>
          </cell>
        </row>
        <row r="1033">
          <cell r="AU1033">
            <v>98.118278383828581</v>
          </cell>
        </row>
        <row r="1034">
          <cell r="AU1034">
            <v>98.40572115021881</v>
          </cell>
        </row>
        <row r="1035">
          <cell r="AU1035">
            <v>98.528391993821813</v>
          </cell>
        </row>
        <row r="1036">
          <cell r="AU1036">
            <v>97.465240963079651</v>
          </cell>
        </row>
        <row r="1037">
          <cell r="AU1037">
            <v>97.173958918165667</v>
          </cell>
        </row>
        <row r="1038">
          <cell r="AU1038">
            <v>98.211277757924051</v>
          </cell>
        </row>
        <row r="1039">
          <cell r="AU1039">
            <v>94.563206145249396</v>
          </cell>
        </row>
        <row r="1040">
          <cell r="AU1040">
            <v>95.635088600851034</v>
          </cell>
        </row>
        <row r="1041">
          <cell r="AU1041">
            <v>98.498414606864543</v>
          </cell>
        </row>
        <row r="1042">
          <cell r="AU1042">
            <v>91.938484218600379</v>
          </cell>
        </row>
        <row r="1043">
          <cell r="AU1043">
            <v>91.492245116111022</v>
          </cell>
        </row>
        <row r="1044">
          <cell r="AU1044">
            <v>101.15378252437304</v>
          </cell>
        </row>
        <row r="1045">
          <cell r="AU1045">
            <v>101.1444879830546</v>
          </cell>
        </row>
        <row r="1046">
          <cell r="AU1046">
            <v>101.75764547610389</v>
          </cell>
        </row>
        <row r="1047">
          <cell r="AU1047">
            <v>102.02807739161611</v>
          </cell>
        </row>
        <row r="1048">
          <cell r="AU1048">
            <v>102.33822588732673</v>
          </cell>
        </row>
        <row r="1049">
          <cell r="AU1049">
            <v>98.392068701489933</v>
          </cell>
        </row>
        <row r="1050">
          <cell r="AU1050">
            <v>102.06536408817584</v>
          </cell>
        </row>
        <row r="1051">
          <cell r="AU1051">
            <v>101.99297305280595</v>
          </cell>
        </row>
        <row r="1052">
          <cell r="AU1052">
            <v>102.04523247984621</v>
          </cell>
        </row>
        <row r="1053">
          <cell r="AU1053">
            <v>102.06637748595027</v>
          </cell>
        </row>
        <row r="1054">
          <cell r="AU1054">
            <v>100.85142188790077</v>
          </cell>
        </row>
        <row r="1055">
          <cell r="AU1055">
            <v>98.583226688478646</v>
          </cell>
        </row>
        <row r="1056">
          <cell r="AU1056">
            <v>101.06682882622262</v>
          </cell>
        </row>
        <row r="1057">
          <cell r="AU1057">
            <v>102.15521087119062</v>
          </cell>
        </row>
        <row r="1058">
          <cell r="AU1058">
            <v>99.285782200097586</v>
          </cell>
        </row>
        <row r="1059">
          <cell r="AU1059">
            <v>105.62916732880055</v>
          </cell>
        </row>
        <row r="1060">
          <cell r="AU1060">
            <v>101.36255994882586</v>
          </cell>
        </row>
        <row r="1061">
          <cell r="AU1061">
            <v>102.6647233531194</v>
          </cell>
        </row>
        <row r="1062">
          <cell r="AU1062">
            <v>101.83246684789979</v>
          </cell>
        </row>
        <row r="1063">
          <cell r="AU1063">
            <v>101.53192838019653</v>
          </cell>
        </row>
        <row r="1064">
          <cell r="AU1064">
            <v>102.44706710711155</v>
          </cell>
        </row>
        <row r="1065">
          <cell r="AU1065">
            <v>101.93933661160513</v>
          </cell>
        </row>
        <row r="1066">
          <cell r="AU1066">
            <v>105.97819225470263</v>
          </cell>
        </row>
        <row r="1068">
          <cell r="AU1068">
            <v>98.849674543469746</v>
          </cell>
        </row>
        <row r="1069">
          <cell r="AU1069">
            <v>100.1446862302372</v>
          </cell>
        </row>
        <row r="1070">
          <cell r="AU1070">
            <v>101.6362578559</v>
          </cell>
        </row>
        <row r="1071">
          <cell r="AU1071">
            <v>99.778769949625442</v>
          </cell>
        </row>
        <row r="1072">
          <cell r="AU1072">
            <v>103.16967203867529</v>
          </cell>
        </row>
        <row r="1073">
          <cell r="AU1073">
            <v>102.73418524015567</v>
          </cell>
        </row>
        <row r="1074">
          <cell r="AU1074">
            <v>101.54191229732984</v>
          </cell>
        </row>
        <row r="1075">
          <cell r="AU1075">
            <v>102.73418524015567</v>
          </cell>
        </row>
        <row r="1076">
          <cell r="AU1076">
            <v>101.80414267915592</v>
          </cell>
        </row>
        <row r="1077">
          <cell r="AU1077">
            <v>101.43225651769654</v>
          </cell>
        </row>
        <row r="1078">
          <cell r="AU1078">
            <v>97.320280453397089</v>
          </cell>
        </row>
        <row r="1079">
          <cell r="AU1079">
            <v>97.857959507039951</v>
          </cell>
        </row>
        <row r="1080">
          <cell r="AU1080">
            <v>95.535610244737128</v>
          </cell>
        </row>
        <row r="1081">
          <cell r="AU1081">
            <v>100.5392960523547</v>
          </cell>
        </row>
        <row r="1082">
          <cell r="AU1082">
            <v>99.599362260640163</v>
          </cell>
        </row>
        <row r="1083">
          <cell r="AU1083">
            <v>99.529676899631809</v>
          </cell>
        </row>
        <row r="1084">
          <cell r="AU1084">
            <v>98.65805869904662</v>
          </cell>
        </row>
        <row r="1085">
          <cell r="AU1085">
            <v>97.900683336699984</v>
          </cell>
        </row>
        <row r="1086">
          <cell r="AU1086">
            <v>96.022081664943912</v>
          </cell>
        </row>
        <row r="1087">
          <cell r="AU1087">
            <v>97.304624413158848</v>
          </cell>
        </row>
        <row r="1088">
          <cell r="AU1088">
            <v>95.35734626639821</v>
          </cell>
        </row>
        <row r="1089">
          <cell r="AU1089">
            <v>97.495031010465411</v>
          </cell>
        </row>
        <row r="1090">
          <cell r="AU1090">
            <v>99.297715486103399</v>
          </cell>
        </row>
        <row r="1091">
          <cell r="AU1091">
            <v>105.06246935933015</v>
          </cell>
        </row>
        <row r="1092">
          <cell r="AU1092">
            <v>97.34355913227499</v>
          </cell>
        </row>
        <row r="1093">
          <cell r="AU1093">
            <v>97.997395733282133</v>
          </cell>
        </row>
        <row r="1094">
          <cell r="AU1094">
            <v>96.614488908385596</v>
          </cell>
        </row>
        <row r="1095">
          <cell r="AU1095">
            <v>99.082583941163421</v>
          </cell>
        </row>
        <row r="1096">
          <cell r="AU1096">
            <v>98.29841509955078</v>
          </cell>
        </row>
        <row r="1097">
          <cell r="AU1097">
            <v>96.453761885803175</v>
          </cell>
        </row>
        <row r="1098">
          <cell r="AU1098">
            <v>98.75856341553218</v>
          </cell>
        </row>
        <row r="1099">
          <cell r="AU1099">
            <v>97.435426934039398</v>
          </cell>
        </row>
        <row r="1100">
          <cell r="AU1100">
            <v>97.927954392332211</v>
          </cell>
        </row>
        <row r="1101">
          <cell r="AU1101">
            <v>96.858355595507177</v>
          </cell>
        </row>
        <row r="1102">
          <cell r="AU1102">
            <v>98.313322709326911</v>
          </cell>
        </row>
        <row r="1103">
          <cell r="AU1103">
            <v>96.213262583906172</v>
          </cell>
        </row>
        <row r="1104">
          <cell r="AU1104">
            <v>99.205057766702964</v>
          </cell>
        </row>
        <row r="1105">
          <cell r="AU1105">
            <v>98.616510565062583</v>
          </cell>
        </row>
        <row r="1106">
          <cell r="AU1106">
            <v>99.62335715244869</v>
          </cell>
        </row>
        <row r="1107">
          <cell r="AU1107">
            <v>98.353854199762637</v>
          </cell>
        </row>
        <row r="1108">
          <cell r="AU1108">
            <v>97.851876301229794</v>
          </cell>
        </row>
        <row r="1109">
          <cell r="AU1109">
            <v>96.784826520048185</v>
          </cell>
        </row>
        <row r="1110">
          <cell r="AU1110">
            <v>99.306008905273842</v>
          </cell>
        </row>
        <row r="1111">
          <cell r="AU1111">
            <v>103.8755853825819</v>
          </cell>
        </row>
        <row r="1113">
          <cell r="AU1113">
            <v>94.594411695767121</v>
          </cell>
        </row>
        <row r="1114">
          <cell r="AU1114">
            <v>95.442259414411609</v>
          </cell>
        </row>
        <row r="1115">
          <cell r="AU1115">
            <v>97.799087255527326</v>
          </cell>
        </row>
        <row r="1116">
          <cell r="AU1116">
            <v>99.719532753381543</v>
          </cell>
        </row>
        <row r="1117">
          <cell r="AU1117">
            <v>97.267166338056526</v>
          </cell>
        </row>
        <row r="1118">
          <cell r="AU1118">
            <v>100.44764077118069</v>
          </cell>
        </row>
        <row r="1119">
          <cell r="AU1119">
            <v>93.827567421687206</v>
          </cell>
        </row>
        <row r="1120">
          <cell r="AU1120">
            <v>96.394036031473647</v>
          </cell>
        </row>
        <row r="1121">
          <cell r="AU1121">
            <v>97.578305165931454</v>
          </cell>
        </row>
        <row r="1122">
          <cell r="AU1122">
            <v>96.932364975155807</v>
          </cell>
        </row>
        <row r="1123">
          <cell r="AU1123">
            <v>97.997104085958256</v>
          </cell>
        </row>
        <row r="1124">
          <cell r="AU1124">
            <v>97.759544843715418</v>
          </cell>
        </row>
        <row r="1125">
          <cell r="AU1125">
            <v>94.633810861424649</v>
          </cell>
        </row>
        <row r="1126">
          <cell r="AU1126">
            <v>96.862779824852581</v>
          </cell>
        </row>
        <row r="1127">
          <cell r="AU1127">
            <v>97.346818027874249</v>
          </cell>
        </row>
        <row r="1128">
          <cell r="AU1128">
            <v>97.629135536293958</v>
          </cell>
        </row>
        <row r="1129">
          <cell r="AU1129">
            <v>96.246567851915756</v>
          </cell>
        </row>
        <row r="1130">
          <cell r="AU1130">
            <v>99.254098267973902</v>
          </cell>
        </row>
        <row r="1131">
          <cell r="AU1131">
            <v>99.144169147157214</v>
          </cell>
        </row>
        <row r="1132">
          <cell r="AU1132">
            <v>99.23496199785825</v>
          </cell>
        </row>
        <row r="1134">
          <cell r="AU1134">
            <v>99.19314463412546</v>
          </cell>
        </row>
        <row r="1135">
          <cell r="AU1135">
            <v>102.92280154888711</v>
          </cell>
        </row>
        <row r="1136">
          <cell r="AU1136">
            <v>99.829359344619434</v>
          </cell>
        </row>
        <row r="1137">
          <cell r="AU1137">
            <v>99.761609789296614</v>
          </cell>
        </row>
        <row r="1138">
          <cell r="AU1138">
            <v>99.596399217459179</v>
          </cell>
        </row>
        <row r="1139">
          <cell r="AU1139">
            <v>100.37908211897162</v>
          </cell>
        </row>
        <row r="1140">
          <cell r="AU1140">
            <v>97.418312766765041</v>
          </cell>
        </row>
        <row r="1141">
          <cell r="AU1141">
            <v>97.968907607982743</v>
          </cell>
        </row>
        <row r="1142">
          <cell r="AU1142">
            <v>100.17029027008138</v>
          </cell>
        </row>
        <row r="1143">
          <cell r="AU1143">
            <v>99.993228708722555</v>
          </cell>
        </row>
        <row r="1144">
          <cell r="AU1144">
            <v>97.765751264487974</v>
          </cell>
        </row>
        <row r="1145">
          <cell r="AU1145">
            <v>100.62180093955595</v>
          </cell>
        </row>
        <row r="1146">
          <cell r="AU1146">
            <v>99.629475486503139</v>
          </cell>
        </row>
        <row r="1147">
          <cell r="AU1147">
            <v>102.31969069772103</v>
          </cell>
        </row>
        <row r="1148">
          <cell r="AU1148">
            <v>99.701418936924441</v>
          </cell>
        </row>
        <row r="1149">
          <cell r="AU1149">
            <v>102.89444634839793</v>
          </cell>
        </row>
        <row r="1150">
          <cell r="AU1150">
            <v>98.3471950616252</v>
          </cell>
        </row>
        <row r="1151">
          <cell r="AU1151">
            <v>105.60928359110704</v>
          </cell>
        </row>
        <row r="1152">
          <cell r="AU1152">
            <v>99.212780781016363</v>
          </cell>
        </row>
        <row r="1153">
          <cell r="AU1153">
            <v>100.63709509811707</v>
          </cell>
        </row>
        <row r="1154">
          <cell r="AU1154">
            <v>103.96526783220462</v>
          </cell>
        </row>
        <row r="1155">
          <cell r="AU1155">
            <v>102.33610142522622</v>
          </cell>
        </row>
        <row r="1156">
          <cell r="AU1156">
            <v>99.64102382490708</v>
          </cell>
        </row>
        <row r="1157">
          <cell r="AU1157">
            <v>97.359035191556657</v>
          </cell>
        </row>
        <row r="1158">
          <cell r="AU1158">
            <v>97.039812457212648</v>
          </cell>
        </row>
        <row r="1159">
          <cell r="AU1159">
            <v>99.191907080373852</v>
          </cell>
        </row>
        <row r="1160">
          <cell r="AU1160">
            <v>97.085988871154981</v>
          </cell>
        </row>
        <row r="1161">
          <cell r="AU1161">
            <v>98.839848274994736</v>
          </cell>
        </row>
        <row r="1162">
          <cell r="AU1162">
            <v>97.093900728710452</v>
          </cell>
        </row>
        <row r="1163">
          <cell r="AU1163">
            <v>98.663229460189456</v>
          </cell>
        </row>
        <row r="1164">
          <cell r="AU1164">
            <v>98.007580302489345</v>
          </cell>
        </row>
        <row r="1165">
          <cell r="AU1165">
            <v>96.82899132340151</v>
          </cell>
        </row>
        <row r="1166">
          <cell r="AU1166">
            <v>98.296064945454376</v>
          </cell>
        </row>
        <row r="1167">
          <cell r="AU1167">
            <v>101.25530046681963</v>
          </cell>
        </row>
        <row r="1169">
          <cell r="AU1169">
            <v>98.660529574241494</v>
          </cell>
        </row>
        <row r="1170">
          <cell r="AU1170">
            <v>98.683683341984477</v>
          </cell>
        </row>
        <row r="1171">
          <cell r="AU1171">
            <v>96.46565272128187</v>
          </cell>
        </row>
        <row r="1172">
          <cell r="AU1172">
            <v>98.213482405754576</v>
          </cell>
        </row>
        <row r="1173">
          <cell r="AU1173">
            <v>98.248215187248647</v>
          </cell>
        </row>
        <row r="1174">
          <cell r="AU1174">
            <v>99.347419892330862</v>
          </cell>
        </row>
        <row r="1175">
          <cell r="AU1175">
            <v>95.129579928527363</v>
          </cell>
        </row>
        <row r="1176">
          <cell r="AU1176">
            <v>97.379668362256893</v>
          </cell>
        </row>
        <row r="1177">
          <cell r="AU1177">
            <v>99.069063562092396</v>
          </cell>
        </row>
        <row r="1178">
          <cell r="AU1178">
            <v>98.284977928895344</v>
          </cell>
        </row>
        <row r="1179">
          <cell r="AU1179">
            <v>97.697220967368324</v>
          </cell>
        </row>
        <row r="1180">
          <cell r="AU1180">
            <v>101.77283360791213</v>
          </cell>
        </row>
        <row r="1181">
          <cell r="AU1181">
            <v>100.11664075277199</v>
          </cell>
        </row>
        <row r="1182">
          <cell r="AU1182">
            <v>98.96717887047059</v>
          </cell>
        </row>
        <row r="1183">
          <cell r="AU1183">
            <v>101.63639408836093</v>
          </cell>
        </row>
        <row r="1184">
          <cell r="AU1184">
            <v>98.708712830779419</v>
          </cell>
        </row>
        <row r="1185">
          <cell r="AU1185">
            <v>101.97508681628864</v>
          </cell>
        </row>
        <row r="1186">
          <cell r="AU1186">
            <v>100.72072842071967</v>
          </cell>
        </row>
        <row r="1187">
          <cell r="AU1187">
            <v>97.365017903467503</v>
          </cell>
        </row>
        <row r="1188">
          <cell r="AU1188">
            <v>101.01311282542125</v>
          </cell>
        </row>
        <row r="1189">
          <cell r="AU1189">
            <v>100.53358360397915</v>
          </cell>
        </row>
        <row r="1190">
          <cell r="AU1190">
            <v>100.26027269838312</v>
          </cell>
        </row>
        <row r="1191">
          <cell r="AU1191">
            <v>100.63192255012645</v>
          </cell>
        </row>
        <row r="1192">
          <cell r="AU1192">
            <v>99.244367423501714</v>
          </cell>
        </row>
        <row r="1193">
          <cell r="AU1193">
            <v>100.38350189359957</v>
          </cell>
        </row>
        <row r="1194">
          <cell r="AU1194">
            <v>99.785915212785909</v>
          </cell>
        </row>
        <row r="1195">
          <cell r="AU1195">
            <v>97.50865977837762</v>
          </cell>
        </row>
        <row r="1196">
          <cell r="AU1196">
            <v>100.0636839283863</v>
          </cell>
        </row>
        <row r="1197">
          <cell r="AU1197">
            <v>99.399695194472216</v>
          </cell>
        </row>
        <row r="1198">
          <cell r="AU1198">
            <v>100.80828631126168</v>
          </cell>
        </row>
        <row r="1199">
          <cell r="AU1199">
            <v>104.29383532084293</v>
          </cell>
        </row>
        <row r="1200">
          <cell r="AU1200">
            <v>102.06806155794258</v>
          </cell>
        </row>
        <row r="1201">
          <cell r="AU1201">
            <v>98.068435070509224</v>
          </cell>
        </row>
        <row r="1202">
          <cell r="AU1202">
            <v>99.818028096023355</v>
          </cell>
        </row>
        <row r="1203">
          <cell r="AU1203">
            <v>105.43737145342024</v>
          </cell>
        </row>
        <row r="1204">
          <cell r="AU1204">
            <v>97.871405694667857</v>
          </cell>
        </row>
        <row r="1205">
          <cell r="AU1205">
            <v>96.721541095846874</v>
          </cell>
        </row>
        <row r="1206">
          <cell r="AU1206">
            <v>102.17987166054657</v>
          </cell>
        </row>
        <row r="1207">
          <cell r="AU1207">
            <v>96.176672749058383</v>
          </cell>
        </row>
        <row r="1208">
          <cell r="AU1208">
            <v>99.766559934627637</v>
          </cell>
        </row>
        <row r="1209">
          <cell r="AU1209">
            <v>100.49829989218999</v>
          </cell>
        </row>
        <row r="1210">
          <cell r="AU1210">
            <v>99.790091501759747</v>
          </cell>
        </row>
        <row r="1211">
          <cell r="AU1211">
            <v>100.55981487206185</v>
          </cell>
        </row>
        <row r="1212">
          <cell r="AU1212">
            <v>97.788116609006309</v>
          </cell>
        </row>
        <row r="1213">
          <cell r="AU1213">
            <v>101.98103091751247</v>
          </cell>
        </row>
        <row r="1214">
          <cell r="AU1214">
            <v>99.012001119679738</v>
          </cell>
        </row>
        <row r="1215">
          <cell r="AU1215">
            <v>91.261489968985217</v>
          </cell>
        </row>
        <row r="1216">
          <cell r="AU1216">
            <v>99.707698219426462</v>
          </cell>
        </row>
        <row r="1217">
          <cell r="AU1217">
            <v>99.614769231653739</v>
          </cell>
        </row>
        <row r="1218">
          <cell r="AU1218">
            <v>99.614769231653739</v>
          </cell>
        </row>
        <row r="1219">
          <cell r="AU1219">
            <v>97.686659012038731</v>
          </cell>
        </row>
        <row r="1220">
          <cell r="AU1220">
            <v>99.41593735693985</v>
          </cell>
        </row>
        <row r="1221">
          <cell r="AU1221">
            <v>100.33556993750601</v>
          </cell>
        </row>
        <row r="1222">
          <cell r="AU1222">
            <v>100.36284236973283</v>
          </cell>
        </row>
        <row r="1223">
          <cell r="AU1223">
            <v>96.707064243265734</v>
          </cell>
        </row>
        <row r="1224">
          <cell r="AU1224">
            <v>98.684983751011956</v>
          </cell>
        </row>
        <row r="1225">
          <cell r="AU1225">
            <v>100.32666613792978</v>
          </cell>
        </row>
        <row r="1226">
          <cell r="AU1226">
            <v>99.075472038593162</v>
          </cell>
        </row>
        <row r="1227">
          <cell r="AU1227">
            <v>100.36025727184756</v>
          </cell>
        </row>
        <row r="1228">
          <cell r="AU1228">
            <v>98.501847436225248</v>
          </cell>
        </row>
        <row r="1229">
          <cell r="AU1229">
            <v>98.135747551553138</v>
          </cell>
        </row>
        <row r="1230">
          <cell r="AU1230">
            <v>96.024350814782196</v>
          </cell>
        </row>
        <row r="1232">
          <cell r="AU1232">
            <v>98.179789785028689</v>
          </cell>
        </row>
        <row r="1233">
          <cell r="AU1233">
            <v>98.291928859171279</v>
          </cell>
        </row>
        <row r="1234">
          <cell r="AU1234">
            <v>97.797767256682306</v>
          </cell>
        </row>
        <row r="1235">
          <cell r="AU1235">
            <v>100.58641598521527</v>
          </cell>
        </row>
        <row r="1236">
          <cell r="AU1236">
            <v>96.111582389487964</v>
          </cell>
        </row>
        <row r="1237">
          <cell r="AU1237">
            <v>98.073236826407097</v>
          </cell>
        </row>
        <row r="1238">
          <cell r="AU1238">
            <v>97.333813603818271</v>
          </cell>
        </row>
        <row r="1239">
          <cell r="AU1239">
            <v>97.488035418419599</v>
          </cell>
        </row>
        <row r="1240">
          <cell r="AU1240">
            <v>96.443069000306991</v>
          </cell>
        </row>
        <row r="1241">
          <cell r="AU1241">
            <v>97.660098295963977</v>
          </cell>
        </row>
        <row r="1242">
          <cell r="AU1242">
            <v>100.1925094291288</v>
          </cell>
        </row>
        <row r="1243">
          <cell r="AU1243">
            <v>102.02975819555886</v>
          </cell>
        </row>
        <row r="1244">
          <cell r="AU1244">
            <v>99.251334851868066</v>
          </cell>
        </row>
        <row r="1245">
          <cell r="AU1245">
            <v>98.988031079610636</v>
          </cell>
        </row>
        <row r="1246">
          <cell r="AU1246">
            <v>93.84492272914629</v>
          </cell>
        </row>
        <row r="1247">
          <cell r="AU1247">
            <v>97.675973893190388</v>
          </cell>
        </row>
        <row r="1248">
          <cell r="AU1248">
            <v>96.128859563942299</v>
          </cell>
        </row>
        <row r="1249">
          <cell r="AU1249">
            <v>96.23019957287525</v>
          </cell>
        </row>
        <row r="1250">
          <cell r="AU1250">
            <v>95.554648042025462</v>
          </cell>
        </row>
        <row r="1251">
          <cell r="AU1251">
            <v>98.040839419924865</v>
          </cell>
        </row>
        <row r="1252">
          <cell r="AU1252">
            <v>96.199420039592823</v>
          </cell>
        </row>
        <row r="1253">
          <cell r="AU1253">
            <v>97.234243270288488</v>
          </cell>
        </row>
        <row r="1254">
          <cell r="AU1254">
            <v>98.44605815756691</v>
          </cell>
        </row>
        <row r="1255">
          <cell r="AU1255">
            <v>97.382459789895933</v>
          </cell>
        </row>
        <row r="1256">
          <cell r="AU1256">
            <v>98.328884904956453</v>
          </cell>
        </row>
        <row r="1257">
          <cell r="AU1257">
            <v>99.176349471390083</v>
          </cell>
        </row>
        <row r="1258">
          <cell r="AU1258">
            <v>99.725213620870562</v>
          </cell>
        </row>
        <row r="1259">
          <cell r="AU1259">
            <v>100.48066422868867</v>
          </cell>
        </row>
        <row r="1260">
          <cell r="AU1260">
            <v>101.04881107834257</v>
          </cell>
        </row>
        <row r="1261">
          <cell r="AU1261">
            <v>96.684054663353407</v>
          </cell>
        </row>
        <row r="1262">
          <cell r="AU1262">
            <v>100.11748114942228</v>
          </cell>
        </row>
        <row r="1263">
          <cell r="AU1263">
            <v>100.51795107401998</v>
          </cell>
        </row>
        <row r="1264">
          <cell r="AU1264">
            <v>99.207896402187785</v>
          </cell>
        </row>
        <row r="1265">
          <cell r="AU1265">
            <v>100.95368553039596</v>
          </cell>
        </row>
        <row r="1266">
          <cell r="AU1266">
            <v>97.17675724343205</v>
          </cell>
        </row>
        <row r="1267">
          <cell r="AU1267">
            <v>100.27568850272728</v>
          </cell>
        </row>
        <row r="1268">
          <cell r="AU1268">
            <v>95.840653755436676</v>
          </cell>
        </row>
        <row r="1269">
          <cell r="AU1269">
            <v>97.856182069825209</v>
          </cell>
        </row>
        <row r="1270">
          <cell r="AU1270">
            <v>96.19901229369458</v>
          </cell>
        </row>
        <row r="1271">
          <cell r="AU1271">
            <v>99.768698757120475</v>
          </cell>
        </row>
        <row r="1272">
          <cell r="AU1272">
            <v>96.963110760980143</v>
          </cell>
        </row>
        <row r="1273">
          <cell r="AU1273">
            <v>95.387189095245446</v>
          </cell>
        </row>
        <row r="1274">
          <cell r="AU1274">
            <v>97.66276675900059</v>
          </cell>
        </row>
        <row r="1275">
          <cell r="AU1275">
            <v>96.722609742578882</v>
          </cell>
        </row>
        <row r="1276">
          <cell r="AU1276">
            <v>95.21341030938089</v>
          </cell>
        </row>
        <row r="1277">
          <cell r="AU1277">
            <v>100.58641598521527</v>
          </cell>
        </row>
        <row r="1278">
          <cell r="AU1278">
            <v>98.728481909993832</v>
          </cell>
        </row>
        <row r="1279">
          <cell r="AU1279">
            <v>97.363389883580609</v>
          </cell>
        </row>
        <row r="1280">
          <cell r="AU1280">
            <v>96.368222565528768</v>
          </cell>
        </row>
        <row r="1281">
          <cell r="AU1281">
            <v>99.403685713959135</v>
          </cell>
        </row>
        <row r="1282">
          <cell r="AU1282">
            <v>99.376781450914166</v>
          </cell>
        </row>
        <row r="1283">
          <cell r="AU1283">
            <v>100.1873369871003</v>
          </cell>
        </row>
        <row r="1284">
          <cell r="AU1284">
            <v>99.697907762622791</v>
          </cell>
        </row>
        <row r="1285">
          <cell r="AU1285">
            <v>100.26548026974599</v>
          </cell>
        </row>
        <row r="1286">
          <cell r="AU1286">
            <v>102.4523707111142</v>
          </cell>
        </row>
        <row r="1287">
          <cell r="AU1287">
            <v>100.73490880151181</v>
          </cell>
        </row>
        <row r="1288">
          <cell r="AU1288">
            <v>99.528027585112525</v>
          </cell>
        </row>
        <row r="1289">
          <cell r="AU1289">
            <v>100.40167185692117</v>
          </cell>
        </row>
        <row r="1290">
          <cell r="AU1290">
            <v>95.757943444168916</v>
          </cell>
        </row>
        <row r="1291">
          <cell r="AU1291">
            <v>100.64852804849632</v>
          </cell>
        </row>
        <row r="1292">
          <cell r="AU1292">
            <v>98.923494874166224</v>
          </cell>
        </row>
        <row r="1293">
          <cell r="AU1293">
            <v>100.60809464584524</v>
          </cell>
        </row>
        <row r="1294">
          <cell r="AU1294">
            <v>101.56245729868796</v>
          </cell>
        </row>
        <row r="1295">
          <cell r="AU1295">
            <v>100.73265147899326</v>
          </cell>
        </row>
        <row r="1296">
          <cell r="AU1296">
            <v>96.496722132654568</v>
          </cell>
        </row>
        <row r="1297">
          <cell r="AU1297">
            <v>104.73769347324765</v>
          </cell>
        </row>
        <row r="1298">
          <cell r="AU1298">
            <v>106.35297340389174</v>
          </cell>
        </row>
        <row r="1299">
          <cell r="AU1299">
            <v>97.675981598068034</v>
          </cell>
        </row>
        <row r="1301">
          <cell r="AU1301">
            <v>100.69636349625802</v>
          </cell>
        </row>
        <row r="1302">
          <cell r="AU1302">
            <v>98.184391941531558</v>
          </cell>
        </row>
        <row r="1303">
          <cell r="AU1303">
            <v>100.28460594143462</v>
          </cell>
        </row>
        <row r="1304">
          <cell r="AU1304">
            <v>99.054172804783235</v>
          </cell>
        </row>
        <row r="1305">
          <cell r="AU1305">
            <v>97.279357172003117</v>
          </cell>
        </row>
        <row r="1306">
          <cell r="AU1306">
            <v>99.364064980818199</v>
          </cell>
        </row>
        <row r="1307">
          <cell r="AU1307">
            <v>96.124556479651858</v>
          </cell>
        </row>
        <row r="1308">
          <cell r="AU1308">
            <v>94.991504047027817</v>
          </cell>
        </row>
        <row r="1309">
          <cell r="AU1309">
            <v>99.356858720757813</v>
          </cell>
        </row>
        <row r="1310">
          <cell r="AU1310">
            <v>99.85019705163522</v>
          </cell>
        </row>
        <row r="1311">
          <cell r="AU1311">
            <v>99.172910782795725</v>
          </cell>
        </row>
        <row r="1312">
          <cell r="AU1312">
            <v>96.169426096286429</v>
          </cell>
        </row>
        <row r="1313">
          <cell r="AU1313">
            <v>98.505525515629415</v>
          </cell>
        </row>
        <row r="1314">
          <cell r="AU1314">
            <v>96.258588846991714</v>
          </cell>
        </row>
        <row r="1315">
          <cell r="AU1315">
            <v>94.232141766092681</v>
          </cell>
        </row>
        <row r="1316">
          <cell r="AU1316">
            <v>95.570750074834052</v>
          </cell>
        </row>
        <row r="1317">
          <cell r="AU1317">
            <v>96.288795653844687</v>
          </cell>
        </row>
        <row r="1318">
          <cell r="AU1318">
            <v>95.645642237820567</v>
          </cell>
        </row>
        <row r="1319">
          <cell r="AU1319">
            <v>96.403544949878381</v>
          </cell>
        </row>
        <row r="1320">
          <cell r="AU1320">
            <v>97.131757704740778</v>
          </cell>
        </row>
        <row r="1321">
          <cell r="AU1321">
            <v>99.958438788996091</v>
          </cell>
        </row>
        <row r="1322">
          <cell r="AU1322">
            <v>97.297010458054217</v>
          </cell>
        </row>
        <row r="1323">
          <cell r="AU1323">
            <v>98.657901147288669</v>
          </cell>
        </row>
        <row r="1324">
          <cell r="AU1324">
            <v>99.981282874675273</v>
          </cell>
        </row>
        <row r="1325">
          <cell r="AU1325">
            <v>99.580050341134651</v>
          </cell>
        </row>
        <row r="1326">
          <cell r="AU1326">
            <v>96.929558501285911</v>
          </cell>
        </row>
        <row r="1327">
          <cell r="AU1327">
            <v>100.30553206082334</v>
          </cell>
        </row>
        <row r="1328">
          <cell r="AU1328">
            <v>99.722360362795285</v>
          </cell>
        </row>
        <row r="1329">
          <cell r="AU1329">
            <v>98.944798098757886</v>
          </cell>
        </row>
        <row r="1330">
          <cell r="AU1330">
            <v>95.580638204051326</v>
          </cell>
        </row>
        <row r="1331">
          <cell r="AU1331">
            <v>98.735458005641846</v>
          </cell>
        </row>
        <row r="1332">
          <cell r="AU1332">
            <v>99.650000628755876</v>
          </cell>
        </row>
        <row r="1333">
          <cell r="AU1333">
            <v>101.84109606479639</v>
          </cell>
        </row>
        <row r="1334">
          <cell r="AU1334">
            <v>96.796751766607542</v>
          </cell>
        </row>
        <row r="1335">
          <cell r="AU1335">
            <v>98.193610604613141</v>
          </cell>
        </row>
        <row r="1336">
          <cell r="AU1336">
            <v>98.093894811424491</v>
          </cell>
        </row>
        <row r="1337">
          <cell r="AU1337">
            <v>99.544408891882213</v>
          </cell>
        </row>
        <row r="1338">
          <cell r="AU1338">
            <v>95.943650597628519</v>
          </cell>
        </row>
        <row r="1339">
          <cell r="AU1339">
            <v>98.489487551374054</v>
          </cell>
        </row>
        <row r="1340">
          <cell r="AU1340">
            <v>99.461015338477637</v>
          </cell>
        </row>
        <row r="1341">
          <cell r="AU1341">
            <v>98.205094303313913</v>
          </cell>
        </row>
        <row r="1342">
          <cell r="AU1342">
            <v>96.57736653253302</v>
          </cell>
        </row>
        <row r="1343">
          <cell r="AU1343">
            <v>99.162258965139586</v>
          </cell>
        </row>
        <row r="1344">
          <cell r="AU1344">
            <v>97.752006327292591</v>
          </cell>
        </row>
        <row r="1345">
          <cell r="AU1345">
            <v>98.25226189331751</v>
          </cell>
        </row>
        <row r="1346">
          <cell r="AU1346">
            <v>92.330641979085215</v>
          </cell>
        </row>
        <row r="1347">
          <cell r="AU1347">
            <v>96.92616235214588</v>
          </cell>
        </row>
        <row r="1348">
          <cell r="AU1348">
            <v>98.250904314108695</v>
          </cell>
        </row>
        <row r="1349">
          <cell r="AU1349">
            <v>97.226742284610296</v>
          </cell>
        </row>
        <row r="1350">
          <cell r="AU1350">
            <v>97.131846766978995</v>
          </cell>
        </row>
        <row r="1351">
          <cell r="AU1351">
            <v>96.993217019795154</v>
          </cell>
        </row>
        <row r="1352">
          <cell r="AU1352">
            <v>98.417594218830985</v>
          </cell>
        </row>
        <row r="1353">
          <cell r="AU1353">
            <v>102.82252082705443</v>
          </cell>
        </row>
        <row r="1354">
          <cell r="AU1354">
            <v>98.816203939292336</v>
          </cell>
        </row>
        <row r="1355">
          <cell r="AU1355">
            <v>96.798324627985608</v>
          </cell>
        </row>
        <row r="1356">
          <cell r="AU1356">
            <v>94.452452072698932</v>
          </cell>
        </row>
        <row r="1357">
          <cell r="AU1357">
            <v>97.56033572665082</v>
          </cell>
        </row>
        <row r="1358">
          <cell r="AU1358">
            <v>98.27460163662704</v>
          </cell>
        </row>
        <row r="1359">
          <cell r="AU1359">
            <v>97.762952703699071</v>
          </cell>
        </row>
        <row r="1360">
          <cell r="AU1360">
            <v>98.536776457125086</v>
          </cell>
        </row>
        <row r="1361">
          <cell r="AU1361">
            <v>98.239874351747247</v>
          </cell>
        </row>
        <row r="1362">
          <cell r="AU1362">
            <v>98.540391691402434</v>
          </cell>
        </row>
        <row r="1363">
          <cell r="AU1363">
            <v>98.858098536373518</v>
          </cell>
        </row>
        <row r="1365">
          <cell r="AU1365">
            <v>100.41719648574204</v>
          </cell>
        </row>
        <row r="1366">
          <cell r="AU1366">
            <v>99.322262234372474</v>
          </cell>
        </row>
        <row r="1367">
          <cell r="AU1367">
            <v>101.39091759147669</v>
          </cell>
        </row>
        <row r="1368">
          <cell r="AU1368">
            <v>97.734817712523011</v>
          </cell>
        </row>
        <row r="1369">
          <cell r="AU1369">
            <v>99.071270960746133</v>
          </cell>
        </row>
        <row r="1370">
          <cell r="AU1370">
            <v>99.447784717664206</v>
          </cell>
        </row>
        <row r="1371">
          <cell r="AU1371">
            <v>93.59468551560397</v>
          </cell>
        </row>
        <row r="1372">
          <cell r="AU1372">
            <v>94.563283703778581</v>
          </cell>
        </row>
        <row r="1373">
          <cell r="AU1373">
            <v>98.67921311815266</v>
          </cell>
        </row>
        <row r="1374">
          <cell r="AU1374">
            <v>96.36809033051874</v>
          </cell>
        </row>
        <row r="1375">
          <cell r="AU1375">
            <v>96.920303781973502</v>
          </cell>
        </row>
        <row r="1376">
          <cell r="AU1376">
            <v>102.56831615190862</v>
          </cell>
        </row>
        <row r="1377">
          <cell r="AU1377">
            <v>98.929739255873997</v>
          </cell>
        </row>
        <row r="1378">
          <cell r="AU1378">
            <v>99.322262234372474</v>
          </cell>
        </row>
        <row r="1379">
          <cell r="AU1379">
            <v>95.465966670266354</v>
          </cell>
        </row>
        <row r="1380">
          <cell r="AU1380">
            <v>97.114144389537444</v>
          </cell>
        </row>
        <row r="1381">
          <cell r="AU1381">
            <v>97.159907020096412</v>
          </cell>
        </row>
        <row r="1382">
          <cell r="AU1382">
            <v>98.101341699400351</v>
          </cell>
        </row>
        <row r="1383">
          <cell r="AU1383">
            <v>97.478202149506544</v>
          </cell>
        </row>
        <row r="1384">
          <cell r="AU1384">
            <v>98.929739255873997</v>
          </cell>
        </row>
        <row r="1385">
          <cell r="AU1385">
            <v>98.623493119770274</v>
          </cell>
        </row>
        <row r="1386">
          <cell r="AU1386">
            <v>98.431618619537275</v>
          </cell>
        </row>
        <row r="1387">
          <cell r="AU1387">
            <v>99.671010145829698</v>
          </cell>
        </row>
        <row r="1388">
          <cell r="AU1388">
            <v>101.88601915572946</v>
          </cell>
        </row>
        <row r="1389">
          <cell r="AU1389">
            <v>94.965720341288431</v>
          </cell>
        </row>
        <row r="1390">
          <cell r="AU1390">
            <v>96.435091480311513</v>
          </cell>
        </row>
        <row r="1391">
          <cell r="AU1391">
            <v>97.482674355194135</v>
          </cell>
        </row>
        <row r="1392">
          <cell r="AU1392">
            <v>98.364442828340316</v>
          </cell>
        </row>
        <row r="1393">
          <cell r="AU1393">
            <v>98.267944863963734</v>
          </cell>
        </row>
        <row r="1394">
          <cell r="AU1394">
            <v>97.750930172236252</v>
          </cell>
        </row>
        <row r="1395">
          <cell r="AU1395">
            <v>97.737910056068699</v>
          </cell>
        </row>
        <row r="1396">
          <cell r="AU1396">
            <v>96.540559150897863</v>
          </cell>
        </row>
        <row r="1397">
          <cell r="AU1397">
            <v>97.822972408587717</v>
          </cell>
        </row>
        <row r="1398">
          <cell r="AU1398">
            <v>98.261703641432518</v>
          </cell>
        </row>
        <row r="1399">
          <cell r="AU1399">
            <v>95.461164108361956</v>
          </cell>
        </row>
        <row r="1400">
          <cell r="AU1400">
            <v>96.415086891174909</v>
          </cell>
        </row>
        <row r="1401">
          <cell r="AU1401">
            <v>99.640125910776376</v>
          </cell>
        </row>
        <row r="1402">
          <cell r="AU1402">
            <v>96.114626501610672</v>
          </cell>
        </row>
        <row r="1403">
          <cell r="AU1403">
            <v>97.097205687046483</v>
          </cell>
        </row>
        <row r="1404">
          <cell r="AU1404">
            <v>97.933176072044361</v>
          </cell>
        </row>
        <row r="1405">
          <cell r="AU1405">
            <v>97.359348868497207</v>
          </cell>
        </row>
        <row r="1406">
          <cell r="AU1406">
            <v>95.274933067771656</v>
          </cell>
        </row>
        <row r="1407">
          <cell r="AU1407">
            <v>96.905759405529636</v>
          </cell>
        </row>
        <row r="1408">
          <cell r="AU1408">
            <v>98.743467786078526</v>
          </cell>
        </row>
        <row r="1409">
          <cell r="AU1409">
            <v>98.336500376686118</v>
          </cell>
        </row>
        <row r="1410">
          <cell r="AU1410">
            <v>97.914891452662474</v>
          </cell>
        </row>
        <row r="1411">
          <cell r="AU1411">
            <v>99.253173965491797</v>
          </cell>
        </row>
        <row r="1412">
          <cell r="AU1412">
            <v>99.409086961911157</v>
          </cell>
        </row>
        <row r="1413">
          <cell r="AU1413">
            <v>95.652853192916908</v>
          </cell>
        </row>
        <row r="1414">
          <cell r="AU1414">
            <v>98.479270074922681</v>
          </cell>
        </row>
        <row r="1415">
          <cell r="AU1415">
            <v>98.176669890806309</v>
          </cell>
        </row>
        <row r="1416">
          <cell r="AU1416">
            <v>96.714179234632098</v>
          </cell>
        </row>
        <row r="1417">
          <cell r="AU1417">
            <v>99.115564785646797</v>
          </cell>
        </row>
        <row r="1418">
          <cell r="AU1418">
            <v>98.541044413027265</v>
          </cell>
        </row>
        <row r="1419">
          <cell r="AU1419">
            <v>97.452215171322351</v>
          </cell>
        </row>
        <row r="1420">
          <cell r="AU1420">
            <v>98.648885620396499</v>
          </cell>
        </row>
        <row r="1421">
          <cell r="AU1421">
            <v>98.936703535170665</v>
          </cell>
        </row>
        <row r="1422">
          <cell r="AU1422">
            <v>99.623676980281815</v>
          </cell>
        </row>
        <row r="1423">
          <cell r="AU1423">
            <v>98.120445907560153</v>
          </cell>
        </row>
        <row r="1424">
          <cell r="AU1424">
            <v>98.572209097474968</v>
          </cell>
        </row>
        <row r="1425">
          <cell r="AU1425">
            <v>95.646266460157364</v>
          </cell>
        </row>
        <row r="1426">
          <cell r="AU1426">
            <v>97.742482894211975</v>
          </cell>
        </row>
        <row r="1427">
          <cell r="AU1427">
            <v>98.330113051892596</v>
          </cell>
        </row>
        <row r="1428">
          <cell r="AU1428">
            <v>97.169799152857877</v>
          </cell>
        </row>
        <row r="1429">
          <cell r="AU1429">
            <v>99.208647670497314</v>
          </cell>
        </row>
        <row r="1430">
          <cell r="AU1430">
            <v>98.525989771119455</v>
          </cell>
        </row>
        <row r="1431">
          <cell r="AU1431">
            <v>98.461659837743611</v>
          </cell>
        </row>
        <row r="1432">
          <cell r="AU1432">
            <v>98.62620942585643</v>
          </cell>
        </row>
        <row r="1433">
          <cell r="AU1433">
            <v>100.21609106830478</v>
          </cell>
        </row>
        <row r="1434">
          <cell r="AU1434">
            <v>89.640220918832952</v>
          </cell>
        </row>
        <row r="1435">
          <cell r="AU1435">
            <v>93.282679447096996</v>
          </cell>
        </row>
        <row r="1436">
          <cell r="AU1436">
            <v>107.10597490816951</v>
          </cell>
        </row>
        <row r="1437">
          <cell r="AU1437">
            <v>96.299726205571716</v>
          </cell>
        </row>
        <row r="1438">
          <cell r="AU1438">
            <v>98.309867057290148</v>
          </cell>
        </row>
        <row r="1439">
          <cell r="AU1439">
            <v>99.629209558382172</v>
          </cell>
        </row>
        <row r="1440">
          <cell r="AU1440">
            <v>98.060245628328929</v>
          </cell>
        </row>
        <row r="1441">
          <cell r="AU1441">
            <v>98.94333918173038</v>
          </cell>
        </row>
        <row r="1442">
          <cell r="AU1442">
            <v>98.871999428059297</v>
          </cell>
        </row>
        <row r="1443">
          <cell r="AU1443">
            <v>98.554563782195103</v>
          </cell>
        </row>
        <row r="1444">
          <cell r="AU1444">
            <v>98.69767718374888</v>
          </cell>
        </row>
        <row r="1446">
          <cell r="AU1446">
            <v>98.403676881234972</v>
          </cell>
        </row>
        <row r="1447">
          <cell r="AU1447">
            <v>98.208043328787198</v>
          </cell>
        </row>
        <row r="1448">
          <cell r="AU1448">
            <v>97.971400682892167</v>
          </cell>
        </row>
        <row r="1449">
          <cell r="AU1449">
            <v>97.602470858445898</v>
          </cell>
        </row>
        <row r="1450">
          <cell r="AU1450">
            <v>94.959570970106483</v>
          </cell>
        </row>
        <row r="1451">
          <cell r="AU1451">
            <v>95.939132123377576</v>
          </cell>
        </row>
        <row r="1452">
          <cell r="AU1452">
            <v>97.349907896919447</v>
          </cell>
        </row>
        <row r="1453">
          <cell r="AU1453">
            <v>102.89636630362016</v>
          </cell>
        </row>
        <row r="1454">
          <cell r="AU1454">
            <v>95.461604124855526</v>
          </cell>
        </row>
        <row r="1455">
          <cell r="AU1455">
            <v>97.647870047840527</v>
          </cell>
        </row>
        <row r="1456">
          <cell r="AU1456">
            <v>98.432063344309483</v>
          </cell>
        </row>
        <row r="1457">
          <cell r="AU1457">
            <v>96.068380428080829</v>
          </cell>
        </row>
        <row r="1458">
          <cell r="AU1458">
            <v>99.788621268905345</v>
          </cell>
        </row>
        <row r="1459">
          <cell r="AU1459">
            <v>99.171782801163587</v>
          </cell>
        </row>
        <row r="1460">
          <cell r="AU1460">
            <v>97.849625099668586</v>
          </cell>
        </row>
        <row r="1461">
          <cell r="AU1461">
            <v>98.820355507403406</v>
          </cell>
        </row>
        <row r="1462">
          <cell r="AU1462">
            <v>98.013249025769767</v>
          </cell>
        </row>
        <row r="1463">
          <cell r="AU1463">
            <v>97.816776223891637</v>
          </cell>
        </row>
        <row r="1464">
          <cell r="AU1464">
            <v>95.104846006797871</v>
          </cell>
        </row>
        <row r="1465">
          <cell r="AU1465">
            <v>97.801074685859348</v>
          </cell>
        </row>
        <row r="1466">
          <cell r="AU1466">
            <v>96.232788591939283</v>
          </cell>
        </row>
        <row r="1467">
          <cell r="AU1467">
            <v>98.97820607044973</v>
          </cell>
        </row>
        <row r="1468">
          <cell r="AU1468">
            <v>97.713592048259329</v>
          </cell>
        </row>
        <row r="1469">
          <cell r="AU1469">
            <v>98.768967717547937</v>
          </cell>
        </row>
        <row r="1470">
          <cell r="AU1470">
            <v>97.849625099668586</v>
          </cell>
        </row>
        <row r="1471">
          <cell r="AU1471">
            <v>94.116046142772348</v>
          </cell>
        </row>
        <row r="1472">
          <cell r="AU1472">
            <v>98.888478397355001</v>
          </cell>
        </row>
        <row r="1473">
          <cell r="AU1473">
            <v>96.988435329123845</v>
          </cell>
        </row>
        <row r="1474">
          <cell r="AU1474">
            <v>95.732299004591454</v>
          </cell>
        </row>
        <row r="1475">
          <cell r="AU1475">
            <v>98.377484500921341</v>
          </cell>
        </row>
        <row r="1476">
          <cell r="AU1476">
            <v>100.05551202869533</v>
          </cell>
        </row>
        <row r="1477">
          <cell r="AU1477">
            <v>98.424375293096418</v>
          </cell>
        </row>
        <row r="1478">
          <cell r="AU1478">
            <v>97.811296698949192</v>
          </cell>
        </row>
        <row r="1479">
          <cell r="AU1479">
            <v>98.634699122165827</v>
          </cell>
        </row>
        <row r="1480">
          <cell r="AU1480">
            <v>98.235349044445485</v>
          </cell>
        </row>
        <row r="1481">
          <cell r="AU1481">
            <v>98.200208415446014</v>
          </cell>
        </row>
        <row r="1482">
          <cell r="AU1482">
            <v>98.22247134082383</v>
          </cell>
        </row>
        <row r="1483">
          <cell r="AU1483">
            <v>98.022782936884127</v>
          </cell>
        </row>
        <row r="1484">
          <cell r="AU1484">
            <v>107.52183094840358</v>
          </cell>
        </row>
        <row r="1485">
          <cell r="AU1485">
            <v>98.538852324222177</v>
          </cell>
        </row>
        <row r="1486">
          <cell r="AU1486">
            <v>98.214233684807724</v>
          </cell>
        </row>
        <row r="1487">
          <cell r="AU1487">
            <v>98.825308599286103</v>
          </cell>
        </row>
        <row r="1488">
          <cell r="AU1488">
            <v>97.839545060236915</v>
          </cell>
        </row>
        <row r="1489">
          <cell r="AU1489">
            <v>97.92367945623333</v>
          </cell>
        </row>
        <row r="1490">
          <cell r="AU1490">
            <v>96.732530464388148</v>
          </cell>
        </row>
        <row r="1491">
          <cell r="AU1491">
            <v>98.003054578841031</v>
          </cell>
        </row>
        <row r="1492">
          <cell r="AU1492">
            <v>99.071222574861054</v>
          </cell>
        </row>
        <row r="1493">
          <cell r="AU1493">
            <v>99.190386905250023</v>
          </cell>
        </row>
        <row r="1494">
          <cell r="AU1494">
            <v>94.679848778277758</v>
          </cell>
        </row>
        <row r="1495">
          <cell r="AU1495">
            <v>97.590582017147952</v>
          </cell>
        </row>
        <row r="1496">
          <cell r="AU1496">
            <v>99.140905281436531</v>
          </cell>
        </row>
        <row r="1497">
          <cell r="AU1497">
            <v>102.13728013602423</v>
          </cell>
        </row>
        <row r="1498">
          <cell r="AU1498">
            <v>95.017154952630335</v>
          </cell>
        </row>
        <row r="1499">
          <cell r="AU1499">
            <v>99.494185297436474</v>
          </cell>
        </row>
        <row r="1500">
          <cell r="AU1500">
            <v>98.303188897575154</v>
          </cell>
        </row>
        <row r="1501">
          <cell r="AU1501">
            <v>97.497104151681953</v>
          </cell>
        </row>
        <row r="1502">
          <cell r="AU1502">
            <v>98.154558638154512</v>
          </cell>
        </row>
        <row r="1503">
          <cell r="AU1503">
            <v>97.859878257858369</v>
          </cell>
        </row>
        <row r="1504">
          <cell r="AU1504">
            <v>98.978031848439642</v>
          </cell>
        </row>
        <row r="1505">
          <cell r="AU1505">
            <v>97.469998264799159</v>
          </cell>
        </row>
        <row r="1506">
          <cell r="AU1506">
            <v>93.791761347926894</v>
          </cell>
        </row>
        <row r="1507">
          <cell r="AU1507">
            <v>95.268532624941997</v>
          </cell>
        </row>
        <row r="1508">
          <cell r="AU1508">
            <v>96.513617944475655</v>
          </cell>
        </row>
        <row r="1509">
          <cell r="AU1509">
            <v>97.248358280048336</v>
          </cell>
        </row>
        <row r="1510">
          <cell r="AU1510">
            <v>93.198485438419098</v>
          </cell>
        </row>
        <row r="1511">
          <cell r="AU1511">
            <v>96.777213485441976</v>
          </cell>
        </row>
        <row r="1512">
          <cell r="AU1512">
            <v>97.664938261328771</v>
          </cell>
        </row>
        <row r="1513">
          <cell r="AU1513">
            <v>98.18014861875028</v>
          </cell>
        </row>
        <row r="1514">
          <cell r="AU1514">
            <v>96.846983069370367</v>
          </cell>
        </row>
        <row r="1515">
          <cell r="AU1515">
            <v>101.76554486222224</v>
          </cell>
        </row>
        <row r="1516">
          <cell r="AU1516">
            <v>96.733120964420081</v>
          </cell>
        </row>
        <row r="1517">
          <cell r="AU1517">
            <v>96.375325079354994</v>
          </cell>
        </row>
        <row r="1518">
          <cell r="AU1518">
            <v>93.164094726996794</v>
          </cell>
        </row>
        <row r="1519">
          <cell r="AU1519">
            <v>98.762583234484524</v>
          </cell>
        </row>
        <row r="1520">
          <cell r="AU1520">
            <v>96.244744743561299</v>
          </cell>
        </row>
        <row r="1521">
          <cell r="AU1521">
            <v>97.139838277575777</v>
          </cell>
        </row>
        <row r="1522">
          <cell r="AU1522">
            <v>96.354517751252075</v>
          </cell>
        </row>
        <row r="1523">
          <cell r="AU1523">
            <v>95.509845236065445</v>
          </cell>
        </row>
        <row r="1524">
          <cell r="AU1524">
            <v>97.067635434515111</v>
          </cell>
        </row>
        <row r="1525">
          <cell r="AU1525">
            <v>95.891884617009708</v>
          </cell>
        </row>
        <row r="1526">
          <cell r="AU1526">
            <v>96.657398300051142</v>
          </cell>
        </row>
        <row r="1527">
          <cell r="AU1527">
            <v>96.623887599326139</v>
          </cell>
        </row>
        <row r="1529">
          <cell r="AU1529">
            <v>95.888750997466246</v>
          </cell>
        </row>
        <row r="1531">
          <cell r="AU1531">
            <v>97.358845453483937</v>
          </cell>
        </row>
        <row r="1532">
          <cell r="AU1532">
            <v>97.787993076807993</v>
          </cell>
        </row>
        <row r="1533">
          <cell r="AU1533">
            <v>100.77221550889792</v>
          </cell>
        </row>
        <row r="1534">
          <cell r="AU1534">
            <v>100.09537521022919</v>
          </cell>
        </row>
        <row r="1535">
          <cell r="AU1535">
            <v>98.57435184706199</v>
          </cell>
        </row>
        <row r="1536">
          <cell r="AU1536">
            <v>99.846927004097182</v>
          </cell>
        </row>
        <row r="1537">
          <cell r="AU1537">
            <v>96.692192927553478</v>
          </cell>
        </row>
        <row r="1538">
          <cell r="AU1538">
            <v>99.379452386908071</v>
          </cell>
        </row>
        <row r="1539">
          <cell r="AU1539">
            <v>96.468737875235774</v>
          </cell>
        </row>
        <row r="1540">
          <cell r="AU1540">
            <v>98.530094641761735</v>
          </cell>
        </row>
        <row r="1541">
          <cell r="AU1541">
            <v>99.945184755444359</v>
          </cell>
        </row>
        <row r="1542">
          <cell r="AU1542">
            <v>98.272858173411109</v>
          </cell>
        </row>
        <row r="1543">
          <cell r="AU1543">
            <v>98.746806466395398</v>
          </cell>
        </row>
        <row r="1544">
          <cell r="AU1544">
            <v>96.892528769528354</v>
          </cell>
        </row>
        <row r="1545">
          <cell r="AU1545">
            <v>99.329779569836703</v>
          </cell>
        </row>
        <row r="1546">
          <cell r="AU1546">
            <v>99.358891682499532</v>
          </cell>
        </row>
        <row r="1547">
          <cell r="AU1547">
            <v>98.070660675032357</v>
          </cell>
        </row>
        <row r="1548">
          <cell r="AU1548">
            <v>88.286344931162546</v>
          </cell>
        </row>
        <row r="1549">
          <cell r="AU1549">
            <v>98.933858232911817</v>
          </cell>
        </row>
        <row r="1550">
          <cell r="AU1550">
            <v>98.78625201233416</v>
          </cell>
        </row>
        <row r="1551">
          <cell r="AU1551">
            <v>99.187212042641292</v>
          </cell>
        </row>
        <row r="1552">
          <cell r="AU1552">
            <v>99.413670162626218</v>
          </cell>
        </row>
        <row r="1553">
          <cell r="AU1553">
            <v>99.773815293205345</v>
          </cell>
        </row>
        <row r="1554">
          <cell r="AU1554">
            <v>98.936394304213565</v>
          </cell>
        </row>
        <row r="1555">
          <cell r="AU1555">
            <v>97.793709002359662</v>
          </cell>
        </row>
        <row r="1556">
          <cell r="AU1556">
            <v>99.385581117917994</v>
          </cell>
        </row>
        <row r="1557">
          <cell r="AU1557">
            <v>99.648210827388539</v>
          </cell>
        </row>
        <row r="1558">
          <cell r="AU1558">
            <v>99.453053524791059</v>
          </cell>
        </row>
        <row r="1559">
          <cell r="AU1559">
            <v>99.231986204607509</v>
          </cell>
        </row>
        <row r="1560">
          <cell r="AU1560">
            <v>96.222035971414087</v>
          </cell>
        </row>
        <row r="1561">
          <cell r="AU1561">
            <v>94.663130443127486</v>
          </cell>
        </row>
        <row r="1562">
          <cell r="AU1562">
            <v>96.516010017933652</v>
          </cell>
        </row>
        <row r="1563">
          <cell r="AU1563">
            <v>102.73678009446101</v>
          </cell>
        </row>
        <row r="1564">
          <cell r="AU1564">
            <v>95.090687552741997</v>
          </cell>
        </row>
        <row r="1565">
          <cell r="AU1565">
            <v>100.06817952322191</v>
          </cell>
        </row>
        <row r="1566">
          <cell r="AU1566">
            <v>98.700115637317481</v>
          </cell>
        </row>
        <row r="1567">
          <cell r="AU1567">
            <v>93.610559392957626</v>
          </cell>
        </row>
        <row r="1568">
          <cell r="AU1568">
            <v>95.294477877540658</v>
          </cell>
        </row>
        <row r="1569">
          <cell r="AU1569">
            <v>97.613203013475982</v>
          </cell>
        </row>
        <row r="1570">
          <cell r="AU1570">
            <v>99.916594677284749</v>
          </cell>
        </row>
        <row r="1571">
          <cell r="AU1571">
            <v>91.390694141109606</v>
          </cell>
        </row>
        <row r="1572">
          <cell r="AU1572">
            <v>101.32228077167503</v>
          </cell>
        </row>
        <row r="1573">
          <cell r="AU1573">
            <v>90.434272634553253</v>
          </cell>
        </row>
        <row r="1574">
          <cell r="AU1574">
            <v>97.259954723457597</v>
          </cell>
        </row>
        <row r="1575">
          <cell r="AU1575">
            <v>98.9853434339648</v>
          </cell>
        </row>
        <row r="1576">
          <cell r="AU1576">
            <v>98.86278199656256</v>
          </cell>
        </row>
        <row r="1577">
          <cell r="AU1577">
            <v>98.499331655873206</v>
          </cell>
        </row>
        <row r="1578">
          <cell r="AU1578">
            <v>98.499331655873206</v>
          </cell>
        </row>
        <row r="1579">
          <cell r="AU1579">
            <v>98.312959470172288</v>
          </cell>
        </row>
        <row r="1580">
          <cell r="AU1580">
            <v>99.490286512588028</v>
          </cell>
        </row>
        <row r="1581">
          <cell r="AU1581">
            <v>99.391995087405974</v>
          </cell>
        </row>
        <row r="1582">
          <cell r="AU1582">
            <v>99.223765625776068</v>
          </cell>
        </row>
        <row r="1583">
          <cell r="AU1583">
            <v>99.509173515320853</v>
          </cell>
        </row>
        <row r="1584">
          <cell r="AU1584">
            <v>98.814760108037234</v>
          </cell>
        </row>
        <row r="1585">
          <cell r="AU1585">
            <v>95.512404307838978</v>
          </cell>
        </row>
        <row r="1586">
          <cell r="AU1586">
            <v>99.394444364848241</v>
          </cell>
        </row>
        <row r="1587">
          <cell r="AU1587">
            <v>95.108679119700511</v>
          </cell>
        </row>
        <row r="1588">
          <cell r="AU1588">
            <v>99.050098791613507</v>
          </cell>
        </row>
        <row r="1589">
          <cell r="AU1589">
            <v>99.897881224365065</v>
          </cell>
        </row>
        <row r="1590">
          <cell r="AU1590">
            <v>100.71733673028096</v>
          </cell>
        </row>
        <row r="1591">
          <cell r="AU1591">
            <v>97.993617253854779</v>
          </cell>
        </row>
        <row r="1592">
          <cell r="AU1592">
            <v>99.123599290834477</v>
          </cell>
        </row>
        <row r="1593">
          <cell r="AU1593">
            <v>100.91355866471055</v>
          </cell>
        </row>
        <row r="1594">
          <cell r="AU1594">
            <v>98.239258499914229</v>
          </cell>
        </row>
        <row r="1596">
          <cell r="A1596" t="str">
            <v>CA737</v>
          </cell>
          <cell r="AU1596">
            <v>96.140007674122913</v>
          </cell>
        </row>
        <row r="1597">
          <cell r="A1597" t="str">
            <v>CA738</v>
          </cell>
          <cell r="AU1597">
            <v>98.862127909667777</v>
          </cell>
        </row>
        <row r="1598">
          <cell r="A1598" t="str">
            <v>CA739</v>
          </cell>
          <cell r="AU1598">
            <v>99.196916635814219</v>
          </cell>
        </row>
        <row r="1599">
          <cell r="A1599" t="str">
            <v>CA740</v>
          </cell>
          <cell r="AU1599">
            <v>102.87694546953874</v>
          </cell>
        </row>
        <row r="1600">
          <cell r="A1600" t="str">
            <v>CA741</v>
          </cell>
          <cell r="AU1600">
            <v>96.591695445097898</v>
          </cell>
        </row>
        <row r="1601">
          <cell r="A1601" t="str">
            <v>CA742</v>
          </cell>
          <cell r="AU1601">
            <v>97.778380143088455</v>
          </cell>
        </row>
        <row r="1602">
          <cell r="A1602" t="str">
            <v>CA743</v>
          </cell>
          <cell r="AU1602">
            <v>98.483754072592433</v>
          </cell>
        </row>
        <row r="1603">
          <cell r="A1603" t="str">
            <v>CA744</v>
          </cell>
          <cell r="AU1603">
            <v>102.64449836329833</v>
          </cell>
        </row>
        <row r="1604">
          <cell r="A1604" t="str">
            <v>CA745</v>
          </cell>
          <cell r="AU1604">
            <v>97.459769969122391</v>
          </cell>
        </row>
        <row r="1605">
          <cell r="A1605" t="str">
            <v>CA746</v>
          </cell>
          <cell r="AU1605">
            <v>98.47106395112759</v>
          </cell>
        </row>
        <row r="1606">
          <cell r="A1606" t="str">
            <v>CA747</v>
          </cell>
          <cell r="AU1606">
            <v>98.368893630377599</v>
          </cell>
        </row>
        <row r="1607">
          <cell r="A1607" t="str">
            <v>CA748</v>
          </cell>
          <cell r="AU1607">
            <v>98.0656739447262</v>
          </cell>
        </row>
        <row r="1608">
          <cell r="A1608" t="str">
            <v>CA749</v>
          </cell>
          <cell r="AU1608">
            <v>98.328536151991386</v>
          </cell>
        </row>
        <row r="1609">
          <cell r="A1609" t="str">
            <v>CA750</v>
          </cell>
          <cell r="AU1609">
            <v>98.610869614426989</v>
          </cell>
        </row>
        <row r="1610">
          <cell r="A1610" t="str">
            <v>CA751</v>
          </cell>
          <cell r="AU1610">
            <v>98.181504213358579</v>
          </cell>
        </row>
        <row r="1611">
          <cell r="A1611" t="str">
            <v>CA752</v>
          </cell>
          <cell r="AU1611">
            <v>97.771873602277154</v>
          </cell>
        </row>
        <row r="1612">
          <cell r="A1612" t="str">
            <v>CA753</v>
          </cell>
          <cell r="AU1612">
            <v>98.518334591745614</v>
          </cell>
        </row>
        <row r="1613">
          <cell r="A1613" t="str">
            <v>CA754</v>
          </cell>
          <cell r="AU1613">
            <v>98.060255244619768</v>
          </cell>
        </row>
        <row r="1614">
          <cell r="A1614" t="str">
            <v>CA755</v>
          </cell>
          <cell r="AU1614">
            <v>98.789089698523057</v>
          </cell>
        </row>
        <row r="1615">
          <cell r="A1615" t="str">
            <v>CA756</v>
          </cell>
          <cell r="AU1615">
            <v>98.004244968244933</v>
          </cell>
        </row>
        <row r="1616">
          <cell r="A1616" t="str">
            <v>CA757</v>
          </cell>
          <cell r="AU1616">
            <v>95.930243309637774</v>
          </cell>
        </row>
        <row r="1617">
          <cell r="A1617" t="str">
            <v>CA758</v>
          </cell>
          <cell r="AU1617">
            <v>98.685384517162291</v>
          </cell>
        </row>
        <row r="1618">
          <cell r="A1618" t="str">
            <v>CA759</v>
          </cell>
          <cell r="AU1618">
            <v>98.743419762147283</v>
          </cell>
        </row>
        <row r="1619">
          <cell r="A1619" t="str">
            <v>CA760</v>
          </cell>
          <cell r="AU1619">
            <v>98.527956697616446</v>
          </cell>
        </row>
      </sheetData>
      <sheetData sheetId="6">
        <row r="6">
          <cell r="D6">
            <v>11.6</v>
          </cell>
        </row>
      </sheetData>
      <sheetData sheetId="7"/>
      <sheetData sheetId="8"/>
      <sheetData sheetId="9">
        <row r="6">
          <cell r="H6">
            <v>2008.7500000000005</v>
          </cell>
        </row>
      </sheetData>
      <sheetData sheetId="10">
        <row r="6">
          <cell r="P6"/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 "/>
      <sheetName val="Summary September '23 "/>
      <sheetName val="Summary August '23"/>
      <sheetName val="Summary July '23"/>
      <sheetName val="Summary June '23 "/>
      <sheetName val="Summary May '23"/>
      <sheetName val="Summary April '23   "/>
      <sheetName val="Summary March '23  "/>
      <sheetName val="Summary February '23 "/>
      <sheetName val="Summary January '23"/>
      <sheetName val="Summary December '22   "/>
      <sheetName val="Summary November '22  "/>
      <sheetName val="Summary October '22 "/>
      <sheetName val="Summary September '22 "/>
      <sheetName val="Summary August '22 "/>
      <sheetName val="Summary July '22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"/>
    </sheetNames>
    <sheetDataSet>
      <sheetData sheetId="0"/>
      <sheetData sheetId="1"/>
      <sheetData sheetId="2"/>
      <sheetData sheetId="3"/>
      <sheetData sheetId="4" refreshError="1"/>
      <sheetData sheetId="5"/>
      <sheetData sheetId="6">
        <row r="76">
          <cell r="AS76">
            <v>93.401228986840337</v>
          </cell>
        </row>
        <row r="577">
          <cell r="AS577">
            <v>96.252483291748931</v>
          </cell>
        </row>
        <row r="578">
          <cell r="AS578">
            <v>96.763055268385216</v>
          </cell>
        </row>
        <row r="579">
          <cell r="AS579">
            <v>99.07159368104702</v>
          </cell>
        </row>
        <row r="580">
          <cell r="AS580">
            <v>99.474323736661034</v>
          </cell>
        </row>
        <row r="581">
          <cell r="AS581">
            <v>99.055509044316352</v>
          </cell>
        </row>
        <row r="582">
          <cell r="AS582">
            <v>93.192210426599971</v>
          </cell>
        </row>
        <row r="583">
          <cell r="AS583">
            <v>99.214524668093944</v>
          </cell>
        </row>
        <row r="584">
          <cell r="AS584">
            <v>100.47597500168524</v>
          </cell>
        </row>
        <row r="585">
          <cell r="AS585">
            <v>99.267847045753157</v>
          </cell>
        </row>
        <row r="586">
          <cell r="AS586">
            <v>99.258908446871416</v>
          </cell>
        </row>
        <row r="587">
          <cell r="AS587">
            <v>97.107849520154573</v>
          </cell>
        </row>
        <row r="588">
          <cell r="AS588">
            <v>98.668863625433005</v>
          </cell>
        </row>
        <row r="589">
          <cell r="AS589">
            <v>98.142973914193277</v>
          </cell>
        </row>
        <row r="590">
          <cell r="AS590">
            <v>98.888083030736681</v>
          </cell>
        </row>
        <row r="591">
          <cell r="AS591">
            <v>98.795858839752356</v>
          </cell>
        </row>
        <row r="592">
          <cell r="AS592">
            <v>91.889557472352934</v>
          </cell>
        </row>
        <row r="593">
          <cell r="AS593">
            <v>98.277925070817602</v>
          </cell>
        </row>
        <row r="594">
          <cell r="AS594">
            <v>107.23727799236048</v>
          </cell>
        </row>
        <row r="595">
          <cell r="AS595">
            <v>96.947059611002658</v>
          </cell>
        </row>
        <row r="596">
          <cell r="AS596">
            <v>99.069170741587214</v>
          </cell>
        </row>
        <row r="597">
          <cell r="AS597">
            <v>98.950757400048701</v>
          </cell>
        </row>
        <row r="598">
          <cell r="AS598">
            <v>98.750452223125535</v>
          </cell>
        </row>
        <row r="599">
          <cell r="AS599">
            <v>98.797669427914244</v>
          </cell>
        </row>
        <row r="600">
          <cell r="AS600">
            <v>98.951450980542759</v>
          </cell>
        </row>
        <row r="601">
          <cell r="AS601">
            <v>98.358927321976608</v>
          </cell>
        </row>
        <row r="602">
          <cell r="AS602">
            <v>99.324019004612524</v>
          </cell>
        </row>
        <row r="603">
          <cell r="AS603">
            <v>95.711826504698735</v>
          </cell>
        </row>
        <row r="604">
          <cell r="AS604">
            <v>97.25483690737326</v>
          </cell>
        </row>
        <row r="605">
          <cell r="AS605">
            <v>99.197396562770763</v>
          </cell>
        </row>
        <row r="606">
          <cell r="AS606">
            <v>98.964857855624871</v>
          </cell>
        </row>
        <row r="607">
          <cell r="AS607">
            <v>98.670900841589486</v>
          </cell>
        </row>
        <row r="608">
          <cell r="AS608">
            <v>99.087053728189062</v>
          </cell>
        </row>
        <row r="609">
          <cell r="AS609">
            <v>98.611632976203893</v>
          </cell>
        </row>
        <row r="610">
          <cell r="AS610">
            <v>99.407921699666332</v>
          </cell>
        </row>
        <row r="611">
          <cell r="AS611">
            <v>94.124926180840106</v>
          </cell>
        </row>
        <row r="612">
          <cell r="AS612">
            <v>98.397610268960591</v>
          </cell>
        </row>
        <row r="613">
          <cell r="AS613">
            <v>98.595593388214027</v>
          </cell>
        </row>
        <row r="614">
          <cell r="AS614">
            <v>99.479970950945599</v>
          </cell>
        </row>
        <row r="615">
          <cell r="AS615">
            <v>99.087084140183208</v>
          </cell>
        </row>
        <row r="616">
          <cell r="AS616">
            <v>98.153313875331278</v>
          </cell>
        </row>
        <row r="617">
          <cell r="AS617">
            <v>99.059044031723758</v>
          </cell>
        </row>
        <row r="618">
          <cell r="AS618">
            <v>101.95499860919848</v>
          </cell>
        </row>
        <row r="620">
          <cell r="AS620">
            <v>96.869096710983925</v>
          </cell>
        </row>
        <row r="621">
          <cell r="AS621">
            <v>99.547292209557895</v>
          </cell>
        </row>
        <row r="622">
          <cell r="AS622">
            <v>99.147503887431171</v>
          </cell>
        </row>
        <row r="623">
          <cell r="AS623">
            <v>99.620723106468503</v>
          </cell>
        </row>
        <row r="624">
          <cell r="AS624">
            <v>98.668324843238935</v>
          </cell>
        </row>
        <row r="625">
          <cell r="AS625">
            <v>98.878395024922369</v>
          </cell>
        </row>
        <row r="626">
          <cell r="AS626">
            <v>98.954136148816616</v>
          </cell>
        </row>
        <row r="627">
          <cell r="AS627">
            <v>99.271695094228932</v>
          </cell>
        </row>
        <row r="628">
          <cell r="AS628">
            <v>101.89668600638116</v>
          </cell>
        </row>
        <row r="629">
          <cell r="AS629">
            <v>95.119246955670206</v>
          </cell>
        </row>
        <row r="630">
          <cell r="AS630">
            <v>98.490589508289219</v>
          </cell>
        </row>
        <row r="631">
          <cell r="AS631">
            <v>96.628314379016032</v>
          </cell>
        </row>
        <row r="632">
          <cell r="AS632">
            <v>94.847826299850496</v>
          </cell>
        </row>
        <row r="633">
          <cell r="AS633">
            <v>96.093928131654877</v>
          </cell>
        </row>
        <row r="634">
          <cell r="AS634">
            <v>99.093782747396475</v>
          </cell>
        </row>
        <row r="635">
          <cell r="AS635">
            <v>96.829566042226901</v>
          </cell>
        </row>
        <row r="636">
          <cell r="AS636">
            <v>92.651350322380281</v>
          </cell>
        </row>
        <row r="637">
          <cell r="AS637">
            <v>97.966465095398789</v>
          </cell>
        </row>
        <row r="638">
          <cell r="AS638">
            <v>96.902732836089029</v>
          </cell>
        </row>
        <row r="639">
          <cell r="AS639">
            <v>98.199317114722348</v>
          </cell>
        </row>
        <row r="640">
          <cell r="AS640">
            <v>97.961385739540034</v>
          </cell>
        </row>
        <row r="641">
          <cell r="AS641">
            <v>98.446315281893988</v>
          </cell>
        </row>
        <row r="642">
          <cell r="AS642">
            <v>97.257828578289633</v>
          </cell>
        </row>
        <row r="643">
          <cell r="AS643">
            <v>96.848003938337612</v>
          </cell>
        </row>
        <row r="644">
          <cell r="AS644">
            <v>94.268489640003139</v>
          </cell>
        </row>
        <row r="645">
          <cell r="AS645">
            <v>95.831746861950919</v>
          </cell>
        </row>
        <row r="646">
          <cell r="AS646">
            <v>94.58421149597136</v>
          </cell>
        </row>
        <row r="647">
          <cell r="AS647">
            <v>94.58421149597136</v>
          </cell>
        </row>
        <row r="648">
          <cell r="AS648">
            <v>96.15161614729854</v>
          </cell>
        </row>
        <row r="649">
          <cell r="AS649">
            <v>96.847824985200191</v>
          </cell>
        </row>
        <row r="650">
          <cell r="AS650">
            <v>99.045523542150946</v>
          </cell>
        </row>
        <row r="651">
          <cell r="AS651">
            <v>98.806499870618765</v>
          </cell>
        </row>
        <row r="653">
          <cell r="AS653">
            <v>94.97910754548144</v>
          </cell>
        </row>
        <row r="654">
          <cell r="AS654">
            <v>100.24919512912089</v>
          </cell>
        </row>
        <row r="655">
          <cell r="AS655">
            <v>99.670803955960778</v>
          </cell>
        </row>
        <row r="656">
          <cell r="AS656">
            <v>98.879686910798952</v>
          </cell>
        </row>
        <row r="657">
          <cell r="AS657">
            <v>99.590889443663684</v>
          </cell>
        </row>
        <row r="658">
          <cell r="AS658">
            <v>100.09856640654033</v>
          </cell>
        </row>
        <row r="659">
          <cell r="AS659">
            <v>99.619880103820094</v>
          </cell>
        </row>
        <row r="660">
          <cell r="AS660">
            <v>97.647209210675157</v>
          </cell>
        </row>
        <row r="661">
          <cell r="AS661">
            <v>99.625318640384748</v>
          </cell>
        </row>
        <row r="662">
          <cell r="AS662">
            <v>99.822596499078585</v>
          </cell>
        </row>
        <row r="663">
          <cell r="AS663">
            <v>96.66615075997727</v>
          </cell>
        </row>
        <row r="664">
          <cell r="AS664">
            <v>99.42804078169091</v>
          </cell>
        </row>
        <row r="665">
          <cell r="AS665">
            <v>98.619884998487549</v>
          </cell>
        </row>
        <row r="666">
          <cell r="AS666">
            <v>99.696020271350051</v>
          </cell>
        </row>
        <row r="667">
          <cell r="AS667">
            <v>99.401032602435976</v>
          </cell>
        </row>
        <row r="668">
          <cell r="AS668">
            <v>100.09007568744232</v>
          </cell>
        </row>
        <row r="669">
          <cell r="AS669">
            <v>99.596319503423089</v>
          </cell>
        </row>
        <row r="670">
          <cell r="AS670">
            <v>99.401032602435976</v>
          </cell>
        </row>
        <row r="671">
          <cell r="AS671">
            <v>97.07287270411102</v>
          </cell>
        </row>
        <row r="672">
          <cell r="AS672">
            <v>97.985891681833053</v>
          </cell>
        </row>
        <row r="673">
          <cell r="AS673">
            <v>98.776100485718814</v>
          </cell>
        </row>
        <row r="674">
          <cell r="AS674">
            <v>98.973652686690244</v>
          </cell>
        </row>
        <row r="675">
          <cell r="AS675">
            <v>99.278502850194101</v>
          </cell>
        </row>
        <row r="676">
          <cell r="AS676">
            <v>98.561912949528178</v>
          </cell>
        </row>
        <row r="677">
          <cell r="AS677">
            <v>99.861447517561885</v>
          </cell>
        </row>
        <row r="678">
          <cell r="AS678">
            <v>99.861447517561885</v>
          </cell>
        </row>
        <row r="679">
          <cell r="AS679">
            <v>101.21133303492269</v>
          </cell>
        </row>
        <row r="680">
          <cell r="AS680">
            <v>96.698904908769507</v>
          </cell>
        </row>
        <row r="681">
          <cell r="AS681">
            <v>102.00606382936222</v>
          </cell>
        </row>
        <row r="682">
          <cell r="AS682">
            <v>97.427677408967256</v>
          </cell>
        </row>
        <row r="683">
          <cell r="AS683">
            <v>98.108921308356997</v>
          </cell>
        </row>
        <row r="684">
          <cell r="AS684">
            <v>98.694063980176225</v>
          </cell>
        </row>
        <row r="685">
          <cell r="AS685">
            <v>100.2652450226567</v>
          </cell>
        </row>
        <row r="686">
          <cell r="AS686">
            <v>100.74539413116692</v>
          </cell>
        </row>
        <row r="687">
          <cell r="AS687">
            <v>101.27598337973996</v>
          </cell>
        </row>
        <row r="688">
          <cell r="AS688">
            <v>102.20244053927394</v>
          </cell>
        </row>
        <row r="689">
          <cell r="AS689">
            <v>99.163481197267728</v>
          </cell>
        </row>
        <row r="690">
          <cell r="AS690">
            <v>101.59733613737035</v>
          </cell>
        </row>
        <row r="691">
          <cell r="AS691">
            <v>102.18443014405814</v>
          </cell>
        </row>
        <row r="692">
          <cell r="AS692">
            <v>99.719071879528798</v>
          </cell>
        </row>
        <row r="693">
          <cell r="AS693">
            <v>100.84603073482505</v>
          </cell>
        </row>
        <row r="694">
          <cell r="AS694">
            <v>103.38659991045883</v>
          </cell>
        </row>
        <row r="695">
          <cell r="AS695">
            <v>103.24183379000793</v>
          </cell>
        </row>
        <row r="696">
          <cell r="AS696">
            <v>102.1830837779485</v>
          </cell>
        </row>
        <row r="698">
          <cell r="AS698">
            <v>96.429908671540403</v>
          </cell>
        </row>
        <row r="699">
          <cell r="AS699">
            <v>95.810688139372886</v>
          </cell>
        </row>
        <row r="700">
          <cell r="AS700">
            <v>96.451517171751576</v>
          </cell>
        </row>
        <row r="701">
          <cell r="AS701">
            <v>98.91585168536264</v>
          </cell>
        </row>
        <row r="702">
          <cell r="AS702">
            <v>98.741297270858453</v>
          </cell>
        </row>
        <row r="703">
          <cell r="AS703">
            <v>98.639026691655275</v>
          </cell>
        </row>
        <row r="704">
          <cell r="AS704">
            <v>99.708764324123052</v>
          </cell>
        </row>
        <row r="705">
          <cell r="AS705">
            <v>96.393313724689648</v>
          </cell>
        </row>
        <row r="706">
          <cell r="AS706">
            <v>99.872119258602709</v>
          </cell>
        </row>
        <row r="707">
          <cell r="AS707">
            <v>95.475287240863395</v>
          </cell>
        </row>
        <row r="708">
          <cell r="AS708">
            <v>100.07702758723762</v>
          </cell>
        </row>
        <row r="710">
          <cell r="AS710">
            <v>98.599223019705548</v>
          </cell>
        </row>
        <row r="711">
          <cell r="AS711">
            <v>95.550338344212662</v>
          </cell>
        </row>
        <row r="712">
          <cell r="AS712">
            <v>101.78290005234547</v>
          </cell>
        </row>
        <row r="713">
          <cell r="AS713">
            <v>99.28115997304883</v>
          </cell>
        </row>
        <row r="714">
          <cell r="AS714">
            <v>99.405266910839558</v>
          </cell>
        </row>
        <row r="715">
          <cell r="AS715">
            <v>100.88361338521632</v>
          </cell>
        </row>
        <row r="716">
          <cell r="AS716">
            <v>97.505342034239277</v>
          </cell>
        </row>
        <row r="717">
          <cell r="AS717">
            <v>99.114393178251547</v>
          </cell>
        </row>
        <row r="718">
          <cell r="AS718">
            <v>100.25044099616535</v>
          </cell>
        </row>
        <row r="719">
          <cell r="AS719">
            <v>98.090470150181261</v>
          </cell>
        </row>
        <row r="720">
          <cell r="AS720">
            <v>100.10522064350327</v>
          </cell>
        </row>
        <row r="721">
          <cell r="AS721">
            <v>99.700868877531136</v>
          </cell>
        </row>
        <row r="722">
          <cell r="AS722">
            <v>99.158966709289359</v>
          </cell>
        </row>
        <row r="723">
          <cell r="AS723">
            <v>101.64126027501119</v>
          </cell>
        </row>
        <row r="724">
          <cell r="AS724">
            <v>98.030709113713215</v>
          </cell>
        </row>
        <row r="725">
          <cell r="AS725">
            <v>103.30273119645332</v>
          </cell>
        </row>
        <row r="726">
          <cell r="AS726">
            <v>101.15019753270298</v>
          </cell>
        </row>
        <row r="727">
          <cell r="AS727">
            <v>105.78508118562733</v>
          </cell>
        </row>
        <row r="728">
          <cell r="AS728">
            <v>104.23720728533692</v>
          </cell>
        </row>
        <row r="729">
          <cell r="AS729">
            <v>103.57495308095812</v>
          </cell>
        </row>
        <row r="730">
          <cell r="AS730">
            <v>96.457778749263497</v>
          </cell>
        </row>
        <row r="731">
          <cell r="AS731">
            <v>98.26394823520674</v>
          </cell>
        </row>
        <row r="732">
          <cell r="AS732">
            <v>96.781019314036527</v>
          </cell>
        </row>
        <row r="733">
          <cell r="AS733">
            <v>98.535206939635856</v>
          </cell>
        </row>
        <row r="735">
          <cell r="AS735">
            <v>98.95536987190583</v>
          </cell>
        </row>
        <row r="736">
          <cell r="AS736">
            <v>100.69991425551854</v>
          </cell>
        </row>
        <row r="737">
          <cell r="AS737">
            <v>97.491795209253013</v>
          </cell>
        </row>
        <row r="738">
          <cell r="AS738">
            <v>99.907901362483045</v>
          </cell>
        </row>
        <row r="739">
          <cell r="AS739">
            <v>95.681008986054323</v>
          </cell>
        </row>
        <row r="740">
          <cell r="AS740">
            <v>101.34178018250964</v>
          </cell>
        </row>
        <row r="741">
          <cell r="AS741">
            <v>97.155168767938704</v>
          </cell>
        </row>
        <row r="742">
          <cell r="AS742">
            <v>98.829691341458499</v>
          </cell>
        </row>
        <row r="743">
          <cell r="AS743">
            <v>97.46378758207527</v>
          </cell>
        </row>
        <row r="744">
          <cell r="AS744">
            <v>95.215943842430946</v>
          </cell>
        </row>
        <row r="745">
          <cell r="AS745">
            <v>97.760584286850658</v>
          </cell>
        </row>
        <row r="746">
          <cell r="AS746">
            <v>100.17576788642711</v>
          </cell>
        </row>
        <row r="747">
          <cell r="AS747">
            <v>99.164002830183804</v>
          </cell>
        </row>
        <row r="748">
          <cell r="AS748">
            <v>98.282647159217547</v>
          </cell>
        </row>
        <row r="749">
          <cell r="AS749">
            <v>0</v>
          </cell>
        </row>
        <row r="750">
          <cell r="AS750">
            <v>98.310617012597305</v>
          </cell>
        </row>
        <row r="751">
          <cell r="AS751">
            <v>102.08679626615999</v>
          </cell>
        </row>
        <row r="752">
          <cell r="AS752">
            <v>100.5755863884288</v>
          </cell>
        </row>
        <row r="753">
          <cell r="AS753">
            <v>100.22177492564568</v>
          </cell>
        </row>
        <row r="754">
          <cell r="AS754">
            <v>101.02676910175529</v>
          </cell>
        </row>
        <row r="755">
          <cell r="AS755">
            <v>97.404295309262068</v>
          </cell>
        </row>
        <row r="756">
          <cell r="AS756">
            <v>96.82326614378033</v>
          </cell>
        </row>
        <row r="757">
          <cell r="AS757">
            <v>99.687040472011219</v>
          </cell>
        </row>
        <row r="758">
          <cell r="AS758">
            <v>98.111807696210434</v>
          </cell>
        </row>
        <row r="759">
          <cell r="AS759">
            <v>100.85106845139266</v>
          </cell>
        </row>
        <row r="760">
          <cell r="AS760">
            <v>100.21828140142605</v>
          </cell>
        </row>
        <row r="761">
          <cell r="AS761">
            <v>100.80172659044324</v>
          </cell>
        </row>
        <row r="762">
          <cell r="AS762">
            <v>101.5570974757542</v>
          </cell>
        </row>
        <row r="763">
          <cell r="AS763">
            <v>100.90521204600731</v>
          </cell>
        </row>
        <row r="764">
          <cell r="AS764">
            <v>100.54979181092753</v>
          </cell>
        </row>
        <row r="765">
          <cell r="AS765">
            <v>100.16529365581646</v>
          </cell>
        </row>
        <row r="766">
          <cell r="AS766">
            <v>98.790466396560987</v>
          </cell>
        </row>
        <row r="767">
          <cell r="AS767">
            <v>99.598542228550073</v>
          </cell>
        </row>
        <row r="768">
          <cell r="AS768">
            <v>97.527184757292375</v>
          </cell>
        </row>
        <row r="769">
          <cell r="AS769">
            <v>98.373863755008472</v>
          </cell>
        </row>
        <row r="770">
          <cell r="AS770">
            <v>99.931009421690447</v>
          </cell>
        </row>
        <row r="771">
          <cell r="AS771">
            <v>95.744176615880463</v>
          </cell>
        </row>
        <row r="772">
          <cell r="AS772">
            <v>101.39705127935868</v>
          </cell>
        </row>
        <row r="773">
          <cell r="AS773">
            <v>99.847915705494756</v>
          </cell>
        </row>
        <row r="774">
          <cell r="AS774">
            <v>93.951214784385911</v>
          </cell>
        </row>
        <row r="775">
          <cell r="AS775">
            <v>104.00634438574011</v>
          </cell>
        </row>
        <row r="776">
          <cell r="AS776">
            <v>96.391641700304547</v>
          </cell>
        </row>
        <row r="777">
          <cell r="AS777">
            <v>99.213409957842245</v>
          </cell>
        </row>
        <row r="779">
          <cell r="AS779">
            <v>97.077069258769328</v>
          </cell>
        </row>
        <row r="780">
          <cell r="AS780">
            <v>98.5575805155583</v>
          </cell>
        </row>
        <row r="781">
          <cell r="AS781">
            <v>97.286594404390684</v>
          </cell>
        </row>
        <row r="782">
          <cell r="AS782">
            <v>98.856766711971432</v>
          </cell>
        </row>
        <row r="783">
          <cell r="AS783">
            <v>101.26297533851098</v>
          </cell>
        </row>
        <row r="784">
          <cell r="AS784">
            <v>101.14713620940017</v>
          </cell>
        </row>
        <row r="785">
          <cell r="AS785">
            <v>97.0937677333973</v>
          </cell>
        </row>
        <row r="786">
          <cell r="AS786">
            <v>100.28174495732387</v>
          </cell>
        </row>
        <row r="787">
          <cell r="AS787">
            <v>95.812766380910489</v>
          </cell>
        </row>
        <row r="788">
          <cell r="AS788">
            <v>101.65546749098584</v>
          </cell>
        </row>
        <row r="789">
          <cell r="AS789">
            <v>97.853490599541431</v>
          </cell>
        </row>
        <row r="790">
          <cell r="AS790">
            <v>98.55010674540874</v>
          </cell>
        </row>
        <row r="791">
          <cell r="AS791">
            <v>97.613412018070761</v>
          </cell>
        </row>
        <row r="792">
          <cell r="AS792">
            <v>99.561158181986798</v>
          </cell>
        </row>
        <row r="793">
          <cell r="AS793">
            <v>100.24613889822621</v>
          </cell>
        </row>
        <row r="794">
          <cell r="AS794">
            <v>100.37170454522671</v>
          </cell>
        </row>
        <row r="795">
          <cell r="AS795">
            <v>100.70061057164963</v>
          </cell>
        </row>
        <row r="796">
          <cell r="AS796">
            <v>100.47480022325537</v>
          </cell>
        </row>
        <row r="797">
          <cell r="AS797">
            <v>99.841103993586884</v>
          </cell>
        </row>
        <row r="798">
          <cell r="AS798">
            <v>100.27740375916254</v>
          </cell>
        </row>
        <row r="799">
          <cell r="AS799">
            <v>97.48002702939435</v>
          </cell>
        </row>
        <row r="800">
          <cell r="AS800">
            <v>98.598067999045995</v>
          </cell>
        </row>
        <row r="801">
          <cell r="AS801">
            <v>100.85369125518513</v>
          </cell>
        </row>
        <row r="802">
          <cell r="AS802">
            <v>100.51892746653148</v>
          </cell>
        </row>
        <row r="803">
          <cell r="AS803">
            <v>101.64201292749718</v>
          </cell>
        </row>
        <row r="804">
          <cell r="AS804">
            <v>98.677122821490286</v>
          </cell>
        </row>
        <row r="805">
          <cell r="AS805">
            <v>94.602663444886986</v>
          </cell>
        </row>
        <row r="806">
          <cell r="AS806">
            <v>98.947982015755926</v>
          </cell>
        </row>
        <row r="807">
          <cell r="AS807">
            <v>99.1420270769014</v>
          </cell>
        </row>
        <row r="808">
          <cell r="AS808">
            <v>97.516997840525605</v>
          </cell>
        </row>
        <row r="809">
          <cell r="AS809">
            <v>99.751255694747158</v>
          </cell>
        </row>
        <row r="810">
          <cell r="AS810">
            <v>96.891431370869441</v>
          </cell>
        </row>
        <row r="811">
          <cell r="AS811">
            <v>100.18085577032127</v>
          </cell>
        </row>
        <row r="812">
          <cell r="AS812">
            <v>99.659757981465702</v>
          </cell>
        </row>
        <row r="813">
          <cell r="AS813">
            <v>107.34365755487836</v>
          </cell>
        </row>
        <row r="814">
          <cell r="AS814">
            <v>99.968736134069019</v>
          </cell>
        </row>
        <row r="815">
          <cell r="AS815">
            <v>99.217726998153125</v>
          </cell>
        </row>
        <row r="816">
          <cell r="AS816">
            <v>99.27225455813722</v>
          </cell>
        </row>
        <row r="817">
          <cell r="AS817">
            <v>97.215757839186651</v>
          </cell>
        </row>
        <row r="818">
          <cell r="AS818">
            <v>97.999909522417397</v>
          </cell>
        </row>
        <row r="819">
          <cell r="AS819">
            <v>99.644096363428588</v>
          </cell>
        </row>
        <row r="820">
          <cell r="AS820">
            <v>100.2807941835346</v>
          </cell>
        </row>
        <row r="821">
          <cell r="AS821">
            <v>98.168564653147371</v>
          </cell>
        </row>
        <row r="822">
          <cell r="AS822">
            <v>99.822806736202935</v>
          </cell>
        </row>
        <row r="824">
          <cell r="AS824">
            <v>99.414978940495374</v>
          </cell>
        </row>
        <row r="825">
          <cell r="AS825">
            <v>94.676492860195467</v>
          </cell>
        </row>
        <row r="826">
          <cell r="AS826">
            <v>101.52790626522442</v>
          </cell>
        </row>
        <row r="827">
          <cell r="AS827">
            <v>98.660106268344649</v>
          </cell>
        </row>
        <row r="828">
          <cell r="AS828">
            <v>97.981976311886754</v>
          </cell>
        </row>
        <row r="829">
          <cell r="AS829">
            <v>100.54504817750203</v>
          </cell>
        </row>
        <row r="830">
          <cell r="AS830">
            <v>99.549781561862332</v>
          </cell>
        </row>
        <row r="831">
          <cell r="AS831">
            <v>97.870128246333465</v>
          </cell>
        </row>
        <row r="832">
          <cell r="AS832">
            <v>98.918044513526468</v>
          </cell>
        </row>
        <row r="833">
          <cell r="AS833">
            <v>100.23810470072885</v>
          </cell>
        </row>
        <row r="834">
          <cell r="AS834">
            <v>98.141058126939669</v>
          </cell>
        </row>
        <row r="835">
          <cell r="AS835">
            <v>99.464351820346025</v>
          </cell>
        </row>
        <row r="836">
          <cell r="AS836">
            <v>99.891260601944538</v>
          </cell>
        </row>
        <row r="837">
          <cell r="AS837">
            <v>98.825303504106472</v>
          </cell>
        </row>
        <row r="838">
          <cell r="AS838">
            <v>99.811583978199351</v>
          </cell>
        </row>
        <row r="839">
          <cell r="AS839">
            <v>100.14229891746602</v>
          </cell>
        </row>
        <row r="840">
          <cell r="AS840">
            <v>96.508807516019175</v>
          </cell>
        </row>
        <row r="841">
          <cell r="AS841">
            <v>101.43378785819282</v>
          </cell>
        </row>
        <row r="842">
          <cell r="AS842">
            <v>97.423134038373789</v>
          </cell>
        </row>
        <row r="843">
          <cell r="AS843">
            <v>98.971240412158565</v>
          </cell>
        </row>
        <row r="844">
          <cell r="AS844">
            <v>99.48938955321573</v>
          </cell>
        </row>
        <row r="845">
          <cell r="AS845">
            <v>102.57854383778138</v>
          </cell>
        </row>
        <row r="846">
          <cell r="AS846">
            <v>98.992760119033306</v>
          </cell>
        </row>
        <row r="847">
          <cell r="AS847">
            <v>98.504346092292792</v>
          </cell>
        </row>
        <row r="848">
          <cell r="AS848">
            <v>96.413335590373151</v>
          </cell>
        </row>
        <row r="849">
          <cell r="AS849">
            <v>98.159547445229293</v>
          </cell>
        </row>
        <row r="850">
          <cell r="AS850">
            <v>99.986663333079832</v>
          </cell>
        </row>
        <row r="851">
          <cell r="AS851">
            <v>99.625287378566313</v>
          </cell>
        </row>
        <row r="852">
          <cell r="AS852">
            <v>95.365817891823511</v>
          </cell>
        </row>
        <row r="853">
          <cell r="AS853">
            <v>98.859846723026621</v>
          </cell>
        </row>
        <row r="854">
          <cell r="AS854">
            <v>98.241036026878831</v>
          </cell>
        </row>
        <row r="855">
          <cell r="AS855">
            <v>99.825568866022024</v>
          </cell>
        </row>
        <row r="856">
          <cell r="AS856">
            <v>98.645282808431347</v>
          </cell>
        </row>
        <row r="857">
          <cell r="AS857">
            <v>98.914939752442152</v>
          </cell>
        </row>
        <row r="858">
          <cell r="AS858">
            <v>97.758039872296649</v>
          </cell>
        </row>
        <row r="859">
          <cell r="AS859">
            <v>99.744802672280059</v>
          </cell>
        </row>
        <row r="860">
          <cell r="AS860">
            <v>94.213153736760106</v>
          </cell>
        </row>
        <row r="861">
          <cell r="AS861">
            <v>97.33408636572112</v>
          </cell>
        </row>
        <row r="862">
          <cell r="AS862">
            <v>98.687851500360367</v>
          </cell>
        </row>
        <row r="863">
          <cell r="AS863">
            <v>98.15830941278702</v>
          </cell>
        </row>
        <row r="865">
          <cell r="AS865">
            <v>95.322225589235501</v>
          </cell>
        </row>
        <row r="866">
          <cell r="AS866">
            <v>98.967121553081768</v>
          </cell>
        </row>
        <row r="867">
          <cell r="AS867">
            <v>99.238723942766654</v>
          </cell>
        </row>
        <row r="868">
          <cell r="AS868">
            <v>98.002274187869418</v>
          </cell>
        </row>
        <row r="869">
          <cell r="AS869">
            <v>99.648174106091631</v>
          </cell>
        </row>
        <row r="870">
          <cell r="AS870">
            <v>98.585621058035315</v>
          </cell>
        </row>
        <row r="871">
          <cell r="AS871">
            <v>98.936161390139659</v>
          </cell>
        </row>
        <row r="872">
          <cell r="AS872">
            <v>99.298623297788069</v>
          </cell>
        </row>
        <row r="873">
          <cell r="AS873">
            <v>95.78908667395234</v>
          </cell>
        </row>
        <row r="874">
          <cell r="AS874">
            <v>97.043689776083454</v>
          </cell>
        </row>
        <row r="875">
          <cell r="AS875">
            <v>99.899219809669859</v>
          </cell>
        </row>
        <row r="876">
          <cell r="AS876">
            <v>99.613745193751541</v>
          </cell>
        </row>
        <row r="877">
          <cell r="AS877">
            <v>97.024100682701572</v>
          </cell>
        </row>
        <row r="878">
          <cell r="AS878">
            <v>99.401026369834483</v>
          </cell>
        </row>
        <row r="879">
          <cell r="AS879">
            <v>99.42119726743698</v>
          </cell>
        </row>
        <row r="880">
          <cell r="AS880">
            <v>99.42119726743698</v>
          </cell>
        </row>
        <row r="881">
          <cell r="AS881">
            <v>99.934567640109535</v>
          </cell>
        </row>
        <row r="882">
          <cell r="AS882">
            <v>98.222358072958968</v>
          </cell>
        </row>
        <row r="883">
          <cell r="AS883">
            <v>99.47232737989826</v>
          </cell>
        </row>
        <row r="884">
          <cell r="AS884">
            <v>100.16108688972618</v>
          </cell>
        </row>
        <row r="885">
          <cell r="AS885">
            <v>97.436742232158792</v>
          </cell>
        </row>
        <row r="886">
          <cell r="AS886">
            <v>97.469417997799923</v>
          </cell>
        </row>
        <row r="887">
          <cell r="AS887">
            <v>100.01653377802042</v>
          </cell>
        </row>
        <row r="888">
          <cell r="AS888">
            <v>97.541487691308987</v>
          </cell>
        </row>
        <row r="889">
          <cell r="AS889">
            <v>99.793915802126293</v>
          </cell>
        </row>
        <row r="890">
          <cell r="AS890">
            <v>99.544198235265355</v>
          </cell>
        </row>
        <row r="891">
          <cell r="AS891">
            <v>99.434422211804062</v>
          </cell>
        </row>
        <row r="892">
          <cell r="AS892">
            <v>99.320165825298616</v>
          </cell>
        </row>
        <row r="893">
          <cell r="AS893">
            <v>96.667344780276736</v>
          </cell>
        </row>
        <row r="894">
          <cell r="AS894">
            <v>97.898322636248054</v>
          </cell>
        </row>
        <row r="895">
          <cell r="AS895">
            <v>98.729354665356169</v>
          </cell>
        </row>
        <row r="896">
          <cell r="AS896">
            <v>96.885068018319615</v>
          </cell>
        </row>
        <row r="897">
          <cell r="AS897">
            <v>99.160395090357554</v>
          </cell>
        </row>
        <row r="898">
          <cell r="AS898">
            <v>98.888094805680922</v>
          </cell>
        </row>
        <row r="899">
          <cell r="AS899">
            <v>99.712714771584814</v>
          </cell>
        </row>
        <row r="900">
          <cell r="AS900">
            <v>99.287176443605802</v>
          </cell>
        </row>
        <row r="901">
          <cell r="AS901">
            <v>97.739565481027867</v>
          </cell>
        </row>
        <row r="902">
          <cell r="AS902">
            <v>98.776041662093803</v>
          </cell>
        </row>
        <row r="903">
          <cell r="AS903">
            <v>100.04976276206206</v>
          </cell>
        </row>
        <row r="904">
          <cell r="AS904">
            <v>98.960447208711898</v>
          </cell>
        </row>
        <row r="905">
          <cell r="AS905">
            <v>91.188634381833737</v>
          </cell>
        </row>
        <row r="906">
          <cell r="AS906">
            <v>97.51764886680489</v>
          </cell>
        </row>
        <row r="907">
          <cell r="AS907">
            <v>93.374743432540484</v>
          </cell>
        </row>
        <row r="908">
          <cell r="AS908">
            <v>96.532622110574522</v>
          </cell>
        </row>
        <row r="909">
          <cell r="AS909">
            <v>98.302894296350672</v>
          </cell>
        </row>
        <row r="910">
          <cell r="AS910">
            <v>95.819139923451573</v>
          </cell>
        </row>
        <row r="911">
          <cell r="AS911">
            <v>98.815899469497609</v>
          </cell>
        </row>
        <row r="912">
          <cell r="AS912">
            <v>98.646048448871909</v>
          </cell>
        </row>
        <row r="913">
          <cell r="AS913">
            <v>99.820406168501322</v>
          </cell>
        </row>
        <row r="914">
          <cell r="AS914">
            <v>98.912440266800218</v>
          </cell>
        </row>
        <row r="915">
          <cell r="AS915">
            <v>99.698457329259341</v>
          </cell>
        </row>
        <row r="916">
          <cell r="AS916">
            <v>98.111238801725193</v>
          </cell>
        </row>
        <row r="917">
          <cell r="AS917">
            <v>99.424312497735059</v>
          </cell>
        </row>
        <row r="918">
          <cell r="AS918">
            <v>97.398766236179426</v>
          </cell>
        </row>
        <row r="919">
          <cell r="AS919">
            <v>99.073036673111616</v>
          </cell>
        </row>
        <row r="920">
          <cell r="AS920">
            <v>96.99725046263336</v>
          </cell>
        </row>
        <row r="921">
          <cell r="AS921">
            <v>99.014735311838592</v>
          </cell>
        </row>
        <row r="922">
          <cell r="AS922">
            <v>99.905301205894347</v>
          </cell>
        </row>
        <row r="923">
          <cell r="AS923">
            <v>99.584353447659552</v>
          </cell>
        </row>
        <row r="924">
          <cell r="AS924">
            <v>99.150286529956631</v>
          </cell>
        </row>
        <row r="925">
          <cell r="AS925">
            <v>94.442580550045619</v>
          </cell>
        </row>
        <row r="926">
          <cell r="AS926">
            <v>98.425890832697604</v>
          </cell>
        </row>
        <row r="927">
          <cell r="AS927">
            <v>96.309744781187845</v>
          </cell>
        </row>
        <row r="928">
          <cell r="AS928">
            <v>98.046206145005172</v>
          </cell>
        </row>
        <row r="929">
          <cell r="AS929">
            <v>98.295512714820589</v>
          </cell>
        </row>
        <row r="930">
          <cell r="AS930">
            <v>98.418510288190774</v>
          </cell>
        </row>
        <row r="931">
          <cell r="AS931">
            <v>98.353066766503787</v>
          </cell>
        </row>
        <row r="932">
          <cell r="AS932">
            <v>99.738823521857796</v>
          </cell>
        </row>
        <row r="933">
          <cell r="AS933">
            <v>95.285092230611866</v>
          </cell>
        </row>
        <row r="934">
          <cell r="AS934">
            <v>93.46325576838143</v>
          </cell>
        </row>
        <row r="935">
          <cell r="AS935">
            <v>97.692294560648392</v>
          </cell>
        </row>
        <row r="936">
          <cell r="AS936">
            <v>99.372075719358918</v>
          </cell>
        </row>
        <row r="937">
          <cell r="AS937">
            <v>98.77103493879828</v>
          </cell>
        </row>
        <row r="938">
          <cell r="AS938">
            <v>98.026774266751971</v>
          </cell>
        </row>
        <row r="939">
          <cell r="AS939">
            <v>99.321626062749729</v>
          </cell>
        </row>
        <row r="940">
          <cell r="AS940">
            <v>99.884127061726787</v>
          </cell>
        </row>
        <row r="941">
          <cell r="AS941">
            <v>94.752766498544304</v>
          </cell>
        </row>
        <row r="942">
          <cell r="AS942">
            <v>98.508753446513779</v>
          </cell>
        </row>
        <row r="943">
          <cell r="AS943">
            <v>101.68061311991168</v>
          </cell>
        </row>
        <row r="944">
          <cell r="AS944">
            <v>98.570688011944725</v>
          </cell>
        </row>
        <row r="945">
          <cell r="AS945">
            <v>99.162557027956495</v>
          </cell>
        </row>
        <row r="946">
          <cell r="AS946">
            <v>99.897543560915992</v>
          </cell>
        </row>
        <row r="947">
          <cell r="AS947">
            <v>97.786032279928818</v>
          </cell>
        </row>
        <row r="948">
          <cell r="AS948">
            <v>99.458598669556125</v>
          </cell>
        </row>
        <row r="949">
          <cell r="AS949">
            <v>98.98951864826472</v>
          </cell>
        </row>
        <row r="950">
          <cell r="AS950">
            <v>99.795950572079505</v>
          </cell>
        </row>
        <row r="951">
          <cell r="AS951">
            <v>100.03354018722838</v>
          </cell>
        </row>
        <row r="952">
          <cell r="AS952">
            <v>95.509530117217736</v>
          </cell>
        </row>
        <row r="953">
          <cell r="AS953">
            <v>98.628019884552387</v>
          </cell>
        </row>
        <row r="954">
          <cell r="AS954">
            <v>99.50828870315982</v>
          </cell>
        </row>
        <row r="955">
          <cell r="AS955">
            <v>97.44554981572918</v>
          </cell>
        </row>
        <row r="956">
          <cell r="AS956">
            <v>99.235165302311827</v>
          </cell>
        </row>
        <row r="957">
          <cell r="AS957">
            <v>99.345922764916011</v>
          </cell>
        </row>
        <row r="958">
          <cell r="AS958">
            <v>99.812648191819761</v>
          </cell>
        </row>
        <row r="959">
          <cell r="AS959">
            <v>99.110255548347155</v>
          </cell>
        </row>
        <row r="960">
          <cell r="AS960">
            <v>99.313907853259352</v>
          </cell>
        </row>
        <row r="961">
          <cell r="AS961">
            <v>99.459186839916782</v>
          </cell>
        </row>
        <row r="962">
          <cell r="AS962">
            <v>100.26127705636773</v>
          </cell>
        </row>
        <row r="963">
          <cell r="AS963">
            <v>95.275709637646131</v>
          </cell>
        </row>
        <row r="964">
          <cell r="AS964">
            <v>97.991827926819525</v>
          </cell>
        </row>
        <row r="965">
          <cell r="AS965">
            <v>99.059893854825532</v>
          </cell>
        </row>
        <row r="966">
          <cell r="AS966">
            <v>99.584378575324806</v>
          </cell>
        </row>
        <row r="967">
          <cell r="AS967">
            <v>98.761833735786624</v>
          </cell>
        </row>
        <row r="968">
          <cell r="AS968">
            <v>97.606431269436612</v>
          </cell>
        </row>
        <row r="969">
          <cell r="AS969">
            <v>96.421062953071228</v>
          </cell>
        </row>
        <row r="970">
          <cell r="AS970">
            <v>94.252076084576643</v>
          </cell>
        </row>
        <row r="971">
          <cell r="AS971">
            <v>97.076888940242085</v>
          </cell>
        </row>
        <row r="972">
          <cell r="AS972">
            <v>99.141534843347159</v>
          </cell>
        </row>
        <row r="973">
          <cell r="AS973">
            <v>99.634376452290198</v>
          </cell>
        </row>
        <row r="974">
          <cell r="AS974">
            <v>100.5587546462191</v>
          </cell>
        </row>
        <row r="976">
          <cell r="A976" t="str">
            <v>ST389</v>
          </cell>
          <cell r="AS976">
            <v>95.84769954565148</v>
          </cell>
        </row>
        <row r="977">
          <cell r="A977" t="str">
            <v>ST390</v>
          </cell>
          <cell r="AS977">
            <v>100.26238441701008</v>
          </cell>
        </row>
        <row r="978">
          <cell r="A978" t="str">
            <v>ST391</v>
          </cell>
          <cell r="AS978">
            <v>98.835712833337951</v>
          </cell>
        </row>
        <row r="979">
          <cell r="A979" t="str">
            <v>ST392</v>
          </cell>
          <cell r="AS979">
            <v>99.563123412098136</v>
          </cell>
        </row>
        <row r="980">
          <cell r="A980" t="str">
            <v>ST393</v>
          </cell>
        </row>
        <row r="981">
          <cell r="A981" t="str">
            <v>ST394</v>
          </cell>
          <cell r="AS981">
            <v>99.438369618907075</v>
          </cell>
        </row>
        <row r="982">
          <cell r="A982" t="str">
            <v>ST395</v>
          </cell>
          <cell r="AS982">
            <v>98.642275622859415</v>
          </cell>
        </row>
        <row r="983">
          <cell r="A983" t="str">
            <v>ST396</v>
          </cell>
          <cell r="AS983">
            <v>99.614073029250193</v>
          </cell>
        </row>
        <row r="984">
          <cell r="A984" t="str">
            <v>ST397</v>
          </cell>
          <cell r="AS984">
            <v>99.740392122501049</v>
          </cell>
        </row>
        <row r="985">
          <cell r="A985" t="str">
            <v>ST398</v>
          </cell>
          <cell r="AS985">
            <v>100.69666248352205</v>
          </cell>
        </row>
        <row r="986">
          <cell r="A986" t="str">
            <v>ST399</v>
          </cell>
          <cell r="AS986">
            <v>100.31792758418116</v>
          </cell>
        </row>
        <row r="987">
          <cell r="A987" t="str">
            <v>ST400</v>
          </cell>
          <cell r="AS987">
            <v>100.84109483792494</v>
          </cell>
        </row>
        <row r="988">
          <cell r="A988" t="str">
            <v>ST401</v>
          </cell>
          <cell r="AS988">
            <v>95.905620939078773</v>
          </cell>
        </row>
        <row r="989">
          <cell r="A989" t="str">
            <v>ST402</v>
          </cell>
          <cell r="AS989">
            <v>96.760533281323376</v>
          </cell>
        </row>
        <row r="990">
          <cell r="A990" t="str">
            <v>ST403</v>
          </cell>
          <cell r="AS990">
            <v>99.090851111924238</v>
          </cell>
        </row>
        <row r="991">
          <cell r="A991" t="str">
            <v>ST404</v>
          </cell>
          <cell r="AS991">
            <v>100.28953076247171</v>
          </cell>
        </row>
        <row r="992">
          <cell r="A992" t="str">
            <v>ST405</v>
          </cell>
          <cell r="AS992">
            <v>98.68100870163795</v>
          </cell>
        </row>
        <row r="993">
          <cell r="A993" t="str">
            <v>ST406</v>
          </cell>
          <cell r="AS993">
            <v>98.657011703724478</v>
          </cell>
        </row>
        <row r="994">
          <cell r="A994" t="str">
            <v>ST407</v>
          </cell>
          <cell r="AS994">
            <v>98.539725565001788</v>
          </cell>
        </row>
        <row r="995">
          <cell r="A995" t="str">
            <v>ST408</v>
          </cell>
          <cell r="AS995">
            <v>98.853539615484877</v>
          </cell>
        </row>
        <row r="996">
          <cell r="A996" t="str">
            <v>ST409</v>
          </cell>
          <cell r="AS996">
            <v>97.026739234878065</v>
          </cell>
        </row>
        <row r="997">
          <cell r="A997" t="str">
            <v>ST410</v>
          </cell>
          <cell r="AS997">
            <v>99.348173755912001</v>
          </cell>
        </row>
        <row r="998">
          <cell r="A998" t="str">
            <v>ST411</v>
          </cell>
          <cell r="AS998">
            <v>97.865007404547399</v>
          </cell>
        </row>
        <row r="999">
          <cell r="A999" t="str">
            <v>ST412</v>
          </cell>
          <cell r="AS999">
            <v>99.015667179643799</v>
          </cell>
        </row>
        <row r="1000">
          <cell r="A1000" t="str">
            <v>ST413</v>
          </cell>
          <cell r="AS1000">
            <v>92.840729271609433</v>
          </cell>
        </row>
        <row r="1001">
          <cell r="A1001" t="str">
            <v>ST414</v>
          </cell>
          <cell r="AS1001">
            <v>96.937453604595234</v>
          </cell>
        </row>
        <row r="1002">
          <cell r="A1002" t="str">
            <v>ST415</v>
          </cell>
          <cell r="AS1002">
            <v>96.267168950908413</v>
          </cell>
        </row>
        <row r="1003">
          <cell r="A1003" t="str">
            <v>ST416</v>
          </cell>
          <cell r="AS1003">
            <v>102.55783677768659</v>
          </cell>
        </row>
        <row r="1004">
          <cell r="A1004" t="str">
            <v>ST417</v>
          </cell>
          <cell r="AS1004">
            <v>101.12268847023552</v>
          </cell>
        </row>
        <row r="1005">
          <cell r="A1005" t="str">
            <v>ST418</v>
          </cell>
          <cell r="AS1005">
            <v>98.872876183901013</v>
          </cell>
        </row>
        <row r="1006">
          <cell r="A1006" t="str">
            <v>ST419</v>
          </cell>
          <cell r="AS1006">
            <v>97.893936815743572</v>
          </cell>
        </row>
        <row r="1007">
          <cell r="A1007" t="str">
            <v>ST420</v>
          </cell>
          <cell r="AS1007">
            <v>94.369755090376813</v>
          </cell>
        </row>
      </sheetData>
      <sheetData sheetId="7">
        <row r="16">
          <cell r="D16">
            <v>11.8</v>
          </cell>
        </row>
      </sheetData>
      <sheetData sheetId="8"/>
      <sheetData sheetId="9"/>
      <sheetData sheetId="10">
        <row r="6">
          <cell r="H6">
            <v>1387.6999999999996</v>
          </cell>
        </row>
      </sheetData>
      <sheetData sheetId="11">
        <row r="18">
          <cell r="E18">
            <v>26275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ewMaterials"/>
      <sheetName val="Brewhouse"/>
      <sheetName val="Process"/>
      <sheetName val="Guinnbottling"/>
      <sheetName val="Summary December '23"/>
      <sheetName val="Summary November '23"/>
      <sheetName val="Summary October '23"/>
      <sheetName val="Summary August '23"/>
      <sheetName val="Summary July '23  "/>
      <sheetName val="Summary June '23 "/>
      <sheetName val="Summary May '23 "/>
      <sheetName val="Summary April '23"/>
      <sheetName val="Summary March '23 "/>
      <sheetName val="Summary February '23 "/>
      <sheetName val="Summary January '23"/>
      <sheetName val="Summary December '22  "/>
      <sheetName val="Summary November '22 "/>
      <sheetName val="Summary October '22  "/>
      <sheetName val="Summary September '22 "/>
      <sheetName val="Summary August '22"/>
      <sheetName val="Summary July '22"/>
      <sheetName val="Summary June '22 "/>
      <sheetName val="Summary May '22"/>
      <sheetName val="Summary April '22"/>
      <sheetName val="Summary March '22 "/>
      <sheetName val="Summary February '22"/>
      <sheetName val="Summary January '22  "/>
      <sheetName val="Summary December '21  "/>
      <sheetName val="Brew Time"/>
    </sheetNames>
    <sheetDataSet>
      <sheetData sheetId="0"/>
      <sheetData sheetId="1">
        <row r="15">
          <cell r="A15" t="str">
            <v>GU001</v>
          </cell>
        </row>
        <row r="161">
          <cell r="AU161">
            <v>93.965368107965062</v>
          </cell>
        </row>
        <row r="162">
          <cell r="AU162">
            <v>96.592804250515826</v>
          </cell>
        </row>
        <row r="163">
          <cell r="AU163">
            <v>96.855226146869683</v>
          </cell>
        </row>
        <row r="164">
          <cell r="AU164">
            <v>99.719563433141545</v>
          </cell>
        </row>
        <row r="165">
          <cell r="AU165">
            <v>93.977747984844711</v>
          </cell>
        </row>
        <row r="166">
          <cell r="AU166">
            <v>96.800755402267797</v>
          </cell>
        </row>
        <row r="167">
          <cell r="AU167">
            <v>99.262577009986543</v>
          </cell>
        </row>
        <row r="168">
          <cell r="AU168">
            <v>97.617284872705341</v>
          </cell>
        </row>
        <row r="169">
          <cell r="AU169">
            <v>93.882081223571518</v>
          </cell>
        </row>
        <row r="170">
          <cell r="AU170">
            <v>96.880311362448069</v>
          </cell>
        </row>
        <row r="171">
          <cell r="AU171">
            <v>96.195289997407556</v>
          </cell>
        </row>
        <row r="172">
          <cell r="AU172">
            <v>94.522516586223233</v>
          </cell>
        </row>
        <row r="173">
          <cell r="AU173">
            <v>96.272098390562704</v>
          </cell>
        </row>
        <row r="174">
          <cell r="AU174">
            <v>97.145205727107424</v>
          </cell>
        </row>
        <row r="175">
          <cell r="AU175">
            <v>96.638158603901061</v>
          </cell>
        </row>
        <row r="176">
          <cell r="AU176">
            <v>97.558522019176309</v>
          </cell>
        </row>
        <row r="178">
          <cell r="AU178">
            <v>95.219650212398349</v>
          </cell>
        </row>
        <row r="179">
          <cell r="AU179">
            <v>96.915732176693737</v>
          </cell>
        </row>
        <row r="180">
          <cell r="AU180">
            <v>97.113229437227318</v>
          </cell>
        </row>
        <row r="181">
          <cell r="AU181">
            <v>96.11289270970039</v>
          </cell>
        </row>
        <row r="182">
          <cell r="AU182">
            <v>97.124856870387418</v>
          </cell>
        </row>
        <row r="183">
          <cell r="AU183">
            <v>95.95234352237965</v>
          </cell>
        </row>
        <row r="184">
          <cell r="AU184">
            <v>96.235994895137281</v>
          </cell>
        </row>
        <row r="185">
          <cell r="AU185">
            <v>96.793019114599005</v>
          </cell>
        </row>
        <row r="186">
          <cell r="AU186">
            <v>92.695309482159786</v>
          </cell>
        </row>
        <row r="187">
          <cell r="AU187">
            <v>97.112578466227518</v>
          </cell>
        </row>
        <row r="188">
          <cell r="AU188">
            <v>95.415425829106212</v>
          </cell>
        </row>
        <row r="189">
          <cell r="AU189">
            <v>94.650398073167125</v>
          </cell>
        </row>
        <row r="190">
          <cell r="AU190">
            <v>94.570799056132827</v>
          </cell>
        </row>
        <row r="191">
          <cell r="AU191">
            <v>94.719124067077729</v>
          </cell>
        </row>
        <row r="192">
          <cell r="AU192">
            <v>98.306178948356205</v>
          </cell>
        </row>
        <row r="193">
          <cell r="AU193">
            <v>97.925390388444455</v>
          </cell>
        </row>
        <row r="194">
          <cell r="AU194">
            <v>97.460735039452615</v>
          </cell>
        </row>
        <row r="195">
          <cell r="AU195">
            <v>98.199690790562769</v>
          </cell>
        </row>
        <row r="197">
          <cell r="AU197">
            <v>94.088744814062039</v>
          </cell>
        </row>
        <row r="198">
          <cell r="AU198">
            <v>96.46704124616916</v>
          </cell>
        </row>
        <row r="199">
          <cell r="AU199">
            <v>98.170890958243888</v>
          </cell>
        </row>
        <row r="200">
          <cell r="AU200">
            <v>94.209226425483408</v>
          </cell>
        </row>
        <row r="201">
          <cell r="AU201">
            <v>96.562972599320716</v>
          </cell>
        </row>
        <row r="202">
          <cell r="AU202">
            <v>97.230417534132712</v>
          </cell>
        </row>
        <row r="203">
          <cell r="AU203">
            <v>96.409854967197631</v>
          </cell>
        </row>
        <row r="204">
          <cell r="AU204">
            <v>96.223735556064042</v>
          </cell>
        </row>
        <row r="205">
          <cell r="AU205">
            <v>92.795938408997429</v>
          </cell>
        </row>
        <row r="206">
          <cell r="AU206">
            <v>98.244249996615551</v>
          </cell>
        </row>
        <row r="207">
          <cell r="AU207">
            <v>95.836438954768568</v>
          </cell>
        </row>
        <row r="208">
          <cell r="AU208">
            <v>95.89152658101861</v>
          </cell>
        </row>
        <row r="210">
          <cell r="AU210">
            <v>98.635700007401397</v>
          </cell>
        </row>
        <row r="211">
          <cell r="AU211">
            <v>99.515247118434473</v>
          </cell>
        </row>
        <row r="212">
          <cell r="AU212">
            <v>100.24798044319473</v>
          </cell>
        </row>
        <row r="213">
          <cell r="AU213">
            <v>98.642482588617568</v>
          </cell>
        </row>
        <row r="214">
          <cell r="AU214">
            <v>96.251461303435718</v>
          </cell>
        </row>
        <row r="215">
          <cell r="AU215">
            <v>98.419763453677945</v>
          </cell>
        </row>
        <row r="216">
          <cell r="AU216">
            <v>99.357094534189159</v>
          </cell>
        </row>
        <row r="217">
          <cell r="AU217">
            <v>99.078260666012184</v>
          </cell>
        </row>
        <row r="218">
          <cell r="AU218">
            <v>98.607229669780182</v>
          </cell>
        </row>
        <row r="219">
          <cell r="AU219">
            <v>100.06017468228244</v>
          </cell>
        </row>
        <row r="220">
          <cell r="AU220">
            <v>98.260147384785725</v>
          </cell>
        </row>
        <row r="221">
          <cell r="AU221">
            <v>99.115469296800924</v>
          </cell>
        </row>
        <row r="223">
          <cell r="AU223">
            <v>94.742021388622192</v>
          </cell>
        </row>
        <row r="224">
          <cell r="AU224">
            <v>95.167484764134443</v>
          </cell>
        </row>
        <row r="225">
          <cell r="AU225">
            <v>94.895677912202714</v>
          </cell>
        </row>
        <row r="226">
          <cell r="AU226">
            <v>96.401077155647016</v>
          </cell>
        </row>
        <row r="227">
          <cell r="AU227">
            <v>97.302930067568894</v>
          </cell>
        </row>
        <row r="228">
          <cell r="AU228">
            <v>96.314203603781138</v>
          </cell>
        </row>
        <row r="229">
          <cell r="AU229">
            <v>95.483762066712103</v>
          </cell>
        </row>
        <row r="230">
          <cell r="AU230">
            <v>96.625516268419005</v>
          </cell>
        </row>
        <row r="231">
          <cell r="AU231">
            <v>98.898456815142168</v>
          </cell>
        </row>
        <row r="232">
          <cell r="AU232">
            <v>98.225452926077566</v>
          </cell>
        </row>
        <row r="234">
          <cell r="AU234">
            <v>95.896677174536023</v>
          </cell>
        </row>
        <row r="235">
          <cell r="AU235">
            <v>97.936062938846518</v>
          </cell>
        </row>
        <row r="236">
          <cell r="AU236">
            <v>97.583693826153464</v>
          </cell>
        </row>
        <row r="237">
          <cell r="AU237">
            <v>98.994098566320872</v>
          </cell>
        </row>
        <row r="238">
          <cell r="AU238">
            <v>95.502837408186139</v>
          </cell>
        </row>
        <row r="239">
          <cell r="AU239">
            <v>98.869439166620126</v>
          </cell>
        </row>
        <row r="240">
          <cell r="AU240">
            <v>88.436653657881806</v>
          </cell>
        </row>
        <row r="241">
          <cell r="AU241">
            <v>102.62330939701198</v>
          </cell>
        </row>
        <row r="242">
          <cell r="AU242">
            <v>96.980346516944635</v>
          </cell>
        </row>
        <row r="243">
          <cell r="AU243">
            <v>94.08944508824446</v>
          </cell>
        </row>
        <row r="244">
          <cell r="AU244">
            <v>96.737333077403832</v>
          </cell>
        </row>
        <row r="245">
          <cell r="AU245">
            <v>94.446876631568699</v>
          </cell>
        </row>
        <row r="246">
          <cell r="AU246">
            <v>97.049787257774071</v>
          </cell>
        </row>
        <row r="247">
          <cell r="AU247">
            <v>97.142174485894344</v>
          </cell>
        </row>
        <row r="248">
          <cell r="AU248">
            <v>95.941599519115414</v>
          </cell>
        </row>
        <row r="249">
          <cell r="AU249">
            <v>96.627463359556657</v>
          </cell>
        </row>
        <row r="250">
          <cell r="AU250">
            <v>97.242672763693818</v>
          </cell>
        </row>
        <row r="251">
          <cell r="AU251">
            <v>98.084098750403911</v>
          </cell>
        </row>
        <row r="252">
          <cell r="AU252">
            <v>97.275212826418226</v>
          </cell>
        </row>
        <row r="253">
          <cell r="AU253">
            <v>96.463666376007339</v>
          </cell>
        </row>
        <row r="254">
          <cell r="AU254">
            <v>94.809860277644958</v>
          </cell>
        </row>
        <row r="255">
          <cell r="AU255">
            <v>95.372531830954301</v>
          </cell>
        </row>
        <row r="256">
          <cell r="AU256">
            <v>97.104793218026899</v>
          </cell>
        </row>
        <row r="257">
          <cell r="AU257">
            <v>101.15481250823689</v>
          </cell>
        </row>
        <row r="258">
          <cell r="AU258">
            <v>97.136421299139741</v>
          </cell>
        </row>
        <row r="259">
          <cell r="AU259">
            <v>97.470434535510464</v>
          </cell>
        </row>
        <row r="260">
          <cell r="AU260">
            <v>93.220228527399556</v>
          </cell>
        </row>
        <row r="261">
          <cell r="AU261">
            <v>97.417353739920216</v>
          </cell>
        </row>
        <row r="262">
          <cell r="AU262">
            <v>102.56453826919012</v>
          </cell>
        </row>
        <row r="263">
          <cell r="AU263">
            <v>94.2191347002763</v>
          </cell>
        </row>
        <row r="264">
          <cell r="AU264">
            <v>97.225537612550042</v>
          </cell>
        </row>
        <row r="265">
          <cell r="AU265">
            <v>95.46204926037683</v>
          </cell>
        </row>
        <row r="266">
          <cell r="AU266">
            <v>96.295198372398715</v>
          </cell>
        </row>
        <row r="267">
          <cell r="AU267">
            <v>94.766322071054688</v>
          </cell>
        </row>
        <row r="268">
          <cell r="AU268">
            <v>96.729944015905701</v>
          </cell>
        </row>
        <row r="269">
          <cell r="AU269">
            <v>93.515968326362071</v>
          </cell>
        </row>
        <row r="270">
          <cell r="AU270">
            <v>95.326405402124465</v>
          </cell>
        </row>
        <row r="271">
          <cell r="AU271">
            <v>96.578493608349746</v>
          </cell>
        </row>
        <row r="272">
          <cell r="AU272">
            <v>96.612052964288281</v>
          </cell>
        </row>
        <row r="273">
          <cell r="AU273">
            <v>95.101201382387686</v>
          </cell>
        </row>
        <row r="274">
          <cell r="AU274">
            <v>97.42245815143751</v>
          </cell>
        </row>
        <row r="275">
          <cell r="AU275">
            <v>96.319562398779738</v>
          </cell>
        </row>
        <row r="276">
          <cell r="AU276">
            <v>96.224117927496195</v>
          </cell>
        </row>
        <row r="277">
          <cell r="AU277">
            <v>94.401983484097656</v>
          </cell>
        </row>
        <row r="278">
          <cell r="AU278">
            <v>99.387627351361019</v>
          </cell>
        </row>
        <row r="279">
          <cell r="AU279">
            <v>96.627570521050842</v>
          </cell>
        </row>
        <row r="282">
          <cell r="A282" t="str">
            <v>GU113</v>
          </cell>
          <cell r="AU282">
            <v>93.663100829572898</v>
          </cell>
        </row>
        <row r="283">
          <cell r="A283" t="str">
            <v>GU114</v>
          </cell>
          <cell r="AU283">
            <v>97.254070900973858</v>
          </cell>
        </row>
        <row r="284">
          <cell r="A284" t="str">
            <v>GU115</v>
          </cell>
          <cell r="AU284">
            <v>99.149861756743334</v>
          </cell>
        </row>
        <row r="285">
          <cell r="A285" t="str">
            <v>GU116</v>
          </cell>
          <cell r="AU285">
            <v>94.471130452224315</v>
          </cell>
        </row>
        <row r="286">
          <cell r="A286" t="str">
            <v>GU117</v>
          </cell>
          <cell r="AU286">
            <v>97.247994648231</v>
          </cell>
        </row>
        <row r="287">
          <cell r="A287" t="str">
            <v>GU118</v>
          </cell>
          <cell r="AU287">
            <v>94.48140281101675</v>
          </cell>
        </row>
        <row r="288">
          <cell r="A288" t="str">
            <v>GU119</v>
          </cell>
          <cell r="AU288">
            <v>97.045557790227846</v>
          </cell>
        </row>
        <row r="289">
          <cell r="A289" t="str">
            <v>GU120</v>
          </cell>
          <cell r="AU289">
            <v>96.706799632100712</v>
          </cell>
        </row>
      </sheetData>
      <sheetData sheetId="2">
        <row r="5">
          <cell r="D5">
            <v>17.2</v>
          </cell>
        </row>
      </sheetData>
      <sheetData sheetId="3"/>
      <sheetData sheetId="4"/>
      <sheetData sheetId="5">
        <row r="7">
          <cell r="H7">
            <v>313.3</v>
          </cell>
        </row>
      </sheetData>
      <sheetData sheetId="6">
        <row r="19">
          <cell r="E19">
            <v>4299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9">
          <cell r="E19">
            <v>5839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VitaMalt - Operator Performance"/>
      <sheetName val="BrewMaterials"/>
      <sheetName val="Brewhouse"/>
      <sheetName val="Process"/>
      <sheetName val="Packaging"/>
      <sheetName val="Summary December '23"/>
      <sheetName val="Summary September '23"/>
      <sheetName val="Summary August '23"/>
      <sheetName val="Summary July '23"/>
      <sheetName val="Summary June '23 "/>
      <sheetName val="Summary May '23 "/>
      <sheetName val="Summary April '23"/>
      <sheetName val="Summary March '23"/>
      <sheetName val="Summary August '22"/>
      <sheetName val="Summary July '22 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 "/>
      <sheetName val="Summary January '22 "/>
      <sheetName val="Summary December '21  "/>
    </sheetNames>
    <sheetDataSet>
      <sheetData sheetId="0" refreshError="1"/>
      <sheetData sheetId="1"/>
      <sheetData sheetId="2"/>
      <sheetData sheetId="3">
        <row r="5">
          <cell r="B5">
            <v>44558</v>
          </cell>
        </row>
        <row r="92">
          <cell r="AU92">
            <v>92.976230173617424</v>
          </cell>
        </row>
        <row r="93">
          <cell r="AU93">
            <v>97.891128934292908</v>
          </cell>
        </row>
        <row r="94">
          <cell r="AU94">
            <v>97.973301157018028</v>
          </cell>
        </row>
        <row r="95">
          <cell r="AU95">
            <v>98.096408180762808</v>
          </cell>
        </row>
        <row r="96">
          <cell r="AU96">
            <v>96.60797006312923</v>
          </cell>
        </row>
        <row r="97">
          <cell r="AU97">
            <v>95.944323197552052</v>
          </cell>
        </row>
        <row r="98">
          <cell r="AU98">
            <v>97.96934029451829</v>
          </cell>
        </row>
        <row r="99">
          <cell r="AU99">
            <v>97.61931982421288</v>
          </cell>
        </row>
        <row r="100">
          <cell r="AU100">
            <v>96.832510902681079</v>
          </cell>
        </row>
        <row r="101">
          <cell r="AU101">
            <v>97.477315897621679</v>
          </cell>
        </row>
        <row r="103">
          <cell r="AU103">
            <v>97.93333635326627</v>
          </cell>
        </row>
        <row r="104">
          <cell r="AU104">
            <v>97.891046918081088</v>
          </cell>
        </row>
        <row r="105">
          <cell r="AU105">
            <v>99.033412354868091</v>
          </cell>
        </row>
        <row r="106">
          <cell r="AU106">
            <v>97.512358148572076</v>
          </cell>
        </row>
        <row r="107">
          <cell r="AU107">
            <v>95.87273211620672</v>
          </cell>
        </row>
        <row r="108">
          <cell r="AU108">
            <v>98.818321955908743</v>
          </cell>
        </row>
        <row r="109">
          <cell r="AU109">
            <v>98.005339225475495</v>
          </cell>
        </row>
        <row r="110">
          <cell r="AU110">
            <v>97.743136116212952</v>
          </cell>
        </row>
        <row r="111">
          <cell r="AU111">
            <v>96.815316848596865</v>
          </cell>
        </row>
        <row r="112">
          <cell r="AU112">
            <v>95.263079291761272</v>
          </cell>
        </row>
        <row r="114">
          <cell r="AU114">
            <v>98.814785799478145</v>
          </cell>
        </row>
        <row r="115">
          <cell r="AU115">
            <v>95.902564497676096</v>
          </cell>
        </row>
        <row r="116">
          <cell r="AU116">
            <v>98.175518315541183</v>
          </cell>
        </row>
        <row r="117">
          <cell r="AU117">
            <v>96.874026079753961</v>
          </cell>
        </row>
        <row r="118">
          <cell r="AU118">
            <v>96.210568758972599</v>
          </cell>
        </row>
        <row r="119">
          <cell r="AU119">
            <v>98.185551655182479</v>
          </cell>
        </row>
        <row r="120">
          <cell r="AU120">
            <v>98.090666634651427</v>
          </cell>
        </row>
        <row r="121">
          <cell r="AU121">
            <v>97.545012872669332</v>
          </cell>
        </row>
        <row r="122">
          <cell r="AU122">
            <v>95.071812655510129</v>
          </cell>
        </row>
        <row r="123">
          <cell r="AU123">
            <v>99.43552908729977</v>
          </cell>
        </row>
        <row r="125">
          <cell r="AU125">
            <v>89.924292290392472</v>
          </cell>
        </row>
        <row r="126">
          <cell r="AU126">
            <v>94.537695289743212</v>
          </cell>
        </row>
        <row r="127">
          <cell r="AU127">
            <v>98.000013979580487</v>
          </cell>
        </row>
        <row r="128">
          <cell r="AU128">
            <v>95.186842986970504</v>
          </cell>
        </row>
        <row r="129">
          <cell r="AU129">
            <v>96.696641173491798</v>
          </cell>
        </row>
        <row r="130">
          <cell r="AU130">
            <v>95.944138129340132</v>
          </cell>
        </row>
        <row r="131">
          <cell r="AU131">
            <v>93.413051544866548</v>
          </cell>
        </row>
        <row r="132">
          <cell r="AU132">
            <v>96.069102087559131</v>
          </cell>
        </row>
        <row r="133">
          <cell r="AU133">
            <v>98.137125811557496</v>
          </cell>
        </row>
        <row r="134">
          <cell r="AU134">
            <v>97.168379942866267</v>
          </cell>
        </row>
        <row r="136">
          <cell r="AU136">
            <v>94.124868174530278</v>
          </cell>
        </row>
        <row r="137">
          <cell r="AU137">
            <v>95.154601054457146</v>
          </cell>
        </row>
        <row r="138">
          <cell r="AU138">
            <v>96.220811022939529</v>
          </cell>
        </row>
        <row r="139">
          <cell r="AU139">
            <v>97.517216436709603</v>
          </cell>
        </row>
        <row r="140">
          <cell r="AU140">
            <v>96.281980045545069</v>
          </cell>
        </row>
        <row r="141">
          <cell r="AU141">
            <v>95.840387117370994</v>
          </cell>
        </row>
        <row r="142">
          <cell r="AU142">
            <v>95.62272817509934</v>
          </cell>
        </row>
        <row r="143">
          <cell r="AU143">
            <v>97.419625508620229</v>
          </cell>
        </row>
        <row r="144">
          <cell r="AU144">
            <v>96.095204819099521</v>
          </cell>
        </row>
        <row r="145">
          <cell r="AU145">
            <v>95.427155830154973</v>
          </cell>
        </row>
        <row r="147">
          <cell r="AU147">
            <v>91.160130162104309</v>
          </cell>
        </row>
        <row r="148">
          <cell r="AU148">
            <v>96.404323693454927</v>
          </cell>
        </row>
        <row r="149">
          <cell r="AU149">
            <v>95.683417143594824</v>
          </cell>
        </row>
        <row r="150">
          <cell r="AU150">
            <v>95.809489237012428</v>
          </cell>
        </row>
        <row r="151">
          <cell r="AU151">
            <v>97.090758279891048</v>
          </cell>
        </row>
        <row r="152">
          <cell r="AU152">
            <v>94.091899893433379</v>
          </cell>
        </row>
        <row r="153">
          <cell r="AU153">
            <v>96.193480056158236</v>
          </cell>
        </row>
        <row r="154">
          <cell r="AU154">
            <v>94.865416286743525</v>
          </cell>
        </row>
        <row r="155">
          <cell r="AU155">
            <v>94.951993001600584</v>
          </cell>
        </row>
        <row r="156">
          <cell r="AU156">
            <v>94.607872565715482</v>
          </cell>
        </row>
        <row r="158">
          <cell r="A158" t="str">
            <v>VM061</v>
          </cell>
          <cell r="AU158">
            <v>93.00523973792491</v>
          </cell>
        </row>
        <row r="159">
          <cell r="A159" t="str">
            <v>VM062</v>
          </cell>
          <cell r="AU159">
            <v>95.154968494234055</v>
          </cell>
        </row>
        <row r="160">
          <cell r="A160" t="str">
            <v>VM063</v>
          </cell>
          <cell r="AU160">
            <v>97.138427856424443</v>
          </cell>
        </row>
        <row r="161">
          <cell r="A161" t="str">
            <v>VM064</v>
          </cell>
          <cell r="AU161">
            <v>95.267023489278699</v>
          </cell>
        </row>
        <row r="162">
          <cell r="A162" t="str">
            <v>VM065</v>
          </cell>
          <cell r="AU162">
            <v>98.162235648460509</v>
          </cell>
        </row>
        <row r="163">
          <cell r="A163" t="str">
            <v>VM066</v>
          </cell>
          <cell r="AU163">
            <v>88.890405461826575</v>
          </cell>
        </row>
      </sheetData>
      <sheetData sheetId="4">
        <row r="5">
          <cell r="C5" t="str">
            <v>DPV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8">
          <cell r="H8">
            <v>403.40000000000003</v>
          </cell>
        </row>
      </sheetData>
      <sheetData sheetId="23" refreshError="1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September '23 "/>
      <sheetName val="Summary August '23 "/>
      <sheetName val="Summary July '23"/>
      <sheetName val="Summary January '23"/>
      <sheetName val="Summary December '22  "/>
      <sheetName val="Summary November '22  "/>
      <sheetName val="Summary October '22 "/>
      <sheetName val="Summary September '22 "/>
      <sheetName val="Summary August '22 "/>
      <sheetName val="Summary July '22 "/>
      <sheetName val="Summary June '22 "/>
      <sheetName val="Summary May '22 "/>
      <sheetName val="Summary April '22 "/>
      <sheetName val="Summary March '22 "/>
      <sheetName val="Summary February '22 "/>
      <sheetName val="Summary January '22 "/>
      <sheetName val="Summary December '21 "/>
      <sheetName val="Summary November '21 "/>
      <sheetName val="Summary September '21 "/>
      <sheetName val="Summary August '21"/>
      <sheetName val="Summary July'21"/>
      <sheetName val="Summary June '21 "/>
      <sheetName val="Summary May '21"/>
      <sheetName val="Summary April '21 "/>
      <sheetName val="Summary March '21"/>
      <sheetName val="Summary February '21"/>
      <sheetName val="Summary January '21"/>
      <sheetName val="Summary December '20 "/>
      <sheetName val="Summary November '20  "/>
      <sheetName val="Summary October '20 "/>
      <sheetName val="Summary September '20 "/>
      <sheetName val="Summary August '20  "/>
      <sheetName val="Summary July'20  "/>
      <sheetName val="Summary June'20 "/>
      <sheetName val="Summary May'20 "/>
      <sheetName val="Summary March'20 "/>
      <sheetName val="Summary February'20"/>
      <sheetName val="Summary January'20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">
          <cell r="AT11">
            <v>90.812413514896079</v>
          </cell>
        </row>
        <row r="74">
          <cell r="AT74">
            <v>97.150248014703294</v>
          </cell>
        </row>
        <row r="75">
          <cell r="AT75">
            <v>95.674742958147831</v>
          </cell>
        </row>
        <row r="76">
          <cell r="AT76">
            <v>100.84803557336481</v>
          </cell>
        </row>
        <row r="77">
          <cell r="AT77">
            <v>88.652151049519262</v>
          </cell>
        </row>
        <row r="78">
          <cell r="AT78">
            <v>91.164092280279334</v>
          </cell>
        </row>
        <row r="79">
          <cell r="AT79">
            <v>90.269749115607993</v>
          </cell>
        </row>
      </sheetData>
      <sheetData sheetId="8">
        <row r="4">
          <cell r="D4">
            <v>13.5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Apr'14"/>
      <sheetName val="Summary May'14"/>
      <sheetName val="BrewMaterials"/>
      <sheetName val="Brewhouse"/>
      <sheetName val="Process"/>
      <sheetName val="Packaging"/>
      <sheetName val="Summary December ' 23 "/>
      <sheetName val="Summary November ' 23 "/>
      <sheetName val="Summary October ' 23  "/>
      <sheetName val="Summary September ' 23  "/>
      <sheetName val="Summary August ' 23 "/>
      <sheetName val="Summary July ' 23 "/>
      <sheetName val="Summary June ' 23"/>
      <sheetName val="Summary May ' 23 "/>
      <sheetName val="Summary April ' 23"/>
      <sheetName val="Summary March ' 23 "/>
      <sheetName val="Summary February ' 23 "/>
      <sheetName val="Summary January ' 23"/>
      <sheetName val="Summary December ' 22"/>
      <sheetName val="Summary November ' 22"/>
      <sheetName val="Summary October ' 22"/>
      <sheetName val="Summary September ' 22"/>
      <sheetName val="Summary August' 22"/>
      <sheetName val="Summary July' 22"/>
      <sheetName val="Summary June' 22"/>
      <sheetName val="Summary May' 22 "/>
      <sheetName val="Summary April' 22 "/>
      <sheetName val="Summary March' 22"/>
      <sheetName val="Summary February' 22"/>
      <sheetName val="Summary January' 22"/>
      <sheetName val="Summary December' 21 "/>
      <sheetName val="Summary November' 21"/>
      <sheetName val="Summary October' 21  "/>
      <sheetName val="Summary August' 21 "/>
      <sheetName val="Summary July' 21"/>
      <sheetName val="Summary April' 21"/>
      <sheetName val="Summary March' 21  "/>
      <sheetName val="Summary February' 21 "/>
      <sheetName val="Summary January' 21  "/>
      <sheetName val="Summary December' 20  "/>
      <sheetName val="Summary November' 20  "/>
      <sheetName val="Summary September' 20  "/>
      <sheetName val="Summary August' 20  "/>
      <sheetName val="Summary July' 20 "/>
      <sheetName val="Summary June' 20 "/>
      <sheetName val="Summary May' 20 "/>
      <sheetName val="Summary March' 20 "/>
      <sheetName val="Summary February' 20"/>
      <sheetName val="Summary January' 20   "/>
    </sheetNames>
    <sheetDataSet>
      <sheetData sheetId="0"/>
      <sheetData sheetId="1"/>
      <sheetData sheetId="2"/>
      <sheetData sheetId="3">
        <row r="11">
          <cell r="A11">
            <v>6</v>
          </cell>
        </row>
        <row r="138">
          <cell r="AY138">
            <v>96.857330707129194</v>
          </cell>
        </row>
        <row r="139">
          <cell r="AY139">
            <v>98.558634236722384</v>
          </cell>
        </row>
        <row r="140">
          <cell r="AY140">
            <v>99.06939404796357</v>
          </cell>
        </row>
        <row r="141">
          <cell r="AY141">
            <v>97.738542500229343</v>
          </cell>
        </row>
        <row r="142">
          <cell r="AY142">
            <v>98.88256763553963</v>
          </cell>
        </row>
        <row r="143">
          <cell r="AY143">
            <v>97.355423733832453</v>
          </cell>
        </row>
        <row r="145">
          <cell r="AY145">
            <v>93.537197811356393</v>
          </cell>
        </row>
        <row r="146">
          <cell r="AY146">
            <v>97.637568539650758</v>
          </cell>
        </row>
        <row r="147">
          <cell r="AY147">
            <v>97.44649697695084</v>
          </cell>
        </row>
        <row r="148">
          <cell r="AY148">
            <v>98.773382829033523</v>
          </cell>
        </row>
        <row r="149">
          <cell r="AY149">
            <v>98.071154008854393</v>
          </cell>
        </row>
        <row r="150">
          <cell r="AY150">
            <v>97.063843510838709</v>
          </cell>
        </row>
        <row r="151">
          <cell r="AY151">
            <v>97.828640102350647</v>
          </cell>
        </row>
        <row r="152">
          <cell r="AY152">
            <v>98.087689047934177</v>
          </cell>
        </row>
        <row r="153">
          <cell r="AY153">
            <v>97.828640102350647</v>
          </cell>
        </row>
        <row r="155">
          <cell r="AY155">
            <v>99.698842686065035</v>
          </cell>
        </row>
        <row r="156">
          <cell r="AY156">
            <v>97.271717302321889</v>
          </cell>
        </row>
        <row r="157">
          <cell r="AY157">
            <v>98.289192483980855</v>
          </cell>
        </row>
        <row r="158">
          <cell r="AY158">
            <v>99.439999141619637</v>
          </cell>
        </row>
        <row r="159">
          <cell r="AY159">
            <v>96.974002051291038</v>
          </cell>
        </row>
        <row r="160">
          <cell r="AY160">
            <v>98.975628221718509</v>
          </cell>
        </row>
        <row r="161">
          <cell r="AY161">
            <v>101.59530290991161</v>
          </cell>
        </row>
        <row r="162">
          <cell r="AY162">
            <v>100.37351945912778</v>
          </cell>
        </row>
        <row r="163">
          <cell r="AY163">
            <v>99.626623297989596</v>
          </cell>
        </row>
        <row r="164">
          <cell r="AY164">
            <v>99.801046914684065</v>
          </cell>
        </row>
        <row r="165">
          <cell r="AY165">
            <v>100.42261588043316</v>
          </cell>
        </row>
        <row r="166">
          <cell r="AY166">
            <v>100.59254189240451</v>
          </cell>
        </row>
        <row r="167">
          <cell r="AY167">
            <v>102.82818274430574</v>
          </cell>
        </row>
        <row r="168">
          <cell r="AY168">
            <v>100.73932467067223</v>
          </cell>
        </row>
        <row r="169">
          <cell r="AY169">
            <v>102.03003131939195</v>
          </cell>
        </row>
        <row r="170">
          <cell r="AY170">
            <v>100.72183263222499</v>
          </cell>
        </row>
        <row r="171">
          <cell r="AY171">
            <v>99.794955739547987</v>
          </cell>
        </row>
        <row r="172">
          <cell r="AY172">
            <v>99.174713278737329</v>
          </cell>
        </row>
        <row r="173">
          <cell r="AY173">
            <v>99.745776886868242</v>
          </cell>
        </row>
        <row r="174">
          <cell r="AY174">
            <v>101.45896771126101</v>
          </cell>
        </row>
        <row r="176">
          <cell r="AY176">
            <v>98.50164878062526</v>
          </cell>
        </row>
        <row r="177">
          <cell r="AY177">
            <v>97.864376229539815</v>
          </cell>
        </row>
        <row r="178">
          <cell r="AY178">
            <v>96.213174293907031</v>
          </cell>
        </row>
        <row r="179">
          <cell r="AY179">
            <v>96.737733426605146</v>
          </cell>
        </row>
        <row r="180">
          <cell r="AY180">
            <v>98.671919625154061</v>
          </cell>
        </row>
        <row r="181">
          <cell r="AY181">
            <v>98.678382046481531</v>
          </cell>
        </row>
        <row r="182">
          <cell r="AY182">
            <v>97.166069677953075</v>
          </cell>
        </row>
        <row r="183">
          <cell r="AY183">
            <v>98.512845152088531</v>
          </cell>
        </row>
        <row r="184">
          <cell r="AY184">
            <v>98.221762980912644</v>
          </cell>
        </row>
        <row r="185">
          <cell r="AY185">
            <v>96.458672125242785</v>
          </cell>
        </row>
        <row r="187">
          <cell r="AY187">
            <v>99.38661333018382</v>
          </cell>
        </row>
        <row r="188">
          <cell r="AY188">
            <v>99.646849535565863</v>
          </cell>
        </row>
        <row r="189">
          <cell r="AY189">
            <v>96.44315275935341</v>
          </cell>
        </row>
        <row r="190">
          <cell r="AY190">
            <v>95.740088181090002</v>
          </cell>
        </row>
        <row r="191">
          <cell r="AY191">
            <v>101.96087155142641</v>
          </cell>
        </row>
        <row r="192">
          <cell r="AY192">
            <v>100.87431145241574</v>
          </cell>
        </row>
        <row r="193">
          <cell r="AY193">
            <v>100.77276941900652</v>
          </cell>
        </row>
        <row r="194">
          <cell r="AY194">
            <v>99.308077161646651</v>
          </cell>
        </row>
        <row r="195">
          <cell r="AY195">
            <v>97.966049625236295</v>
          </cell>
        </row>
        <row r="196">
          <cell r="AY196">
            <v>99.036532823513113</v>
          </cell>
        </row>
        <row r="197">
          <cell r="AY197">
            <v>99.829910580594287</v>
          </cell>
        </row>
        <row r="198">
          <cell r="AY198">
            <v>101.34551268586694</v>
          </cell>
        </row>
        <row r="200">
          <cell r="AY200">
            <v>95.787719035267713</v>
          </cell>
        </row>
        <row r="201">
          <cell r="AY201">
            <v>98.6328988085925</v>
          </cell>
        </row>
        <row r="202">
          <cell r="AY202">
            <v>94.459968474382819</v>
          </cell>
        </row>
        <row r="203">
          <cell r="AY203">
            <v>106.3879873741687</v>
          </cell>
        </row>
        <row r="204">
          <cell r="AY204">
            <v>98.690694600233016</v>
          </cell>
        </row>
        <row r="205">
          <cell r="AY205">
            <v>98.776855194864339</v>
          </cell>
        </row>
        <row r="206">
          <cell r="AY206">
            <v>97.717380143030724</v>
          </cell>
        </row>
        <row r="207">
          <cell r="AY207">
            <v>98.298402403340631</v>
          </cell>
        </row>
        <row r="208">
          <cell r="AY208">
            <v>99.150475857619696</v>
          </cell>
        </row>
        <row r="209">
          <cell r="AY209">
            <v>98.480851582747462</v>
          </cell>
        </row>
        <row r="210">
          <cell r="AY210">
            <v>98.900294442784613</v>
          </cell>
        </row>
        <row r="211">
          <cell r="AY211">
            <v>99.774000543159772</v>
          </cell>
        </row>
        <row r="212">
          <cell r="AY212">
            <v>100.01290942200356</v>
          </cell>
        </row>
        <row r="213">
          <cell r="AY213">
            <v>98.851572144784257</v>
          </cell>
        </row>
        <row r="214">
          <cell r="AY214">
            <v>95.961586054602336</v>
          </cell>
        </row>
        <row r="215">
          <cell r="AY215">
            <v>97.742034692393759</v>
          </cell>
        </row>
        <row r="216">
          <cell r="AY216">
            <v>98.204218222146736</v>
          </cell>
        </row>
        <row r="217">
          <cell r="AY217">
            <v>97.636227486705479</v>
          </cell>
        </row>
        <row r="218">
          <cell r="AY218">
            <v>97.478600605828163</v>
          </cell>
        </row>
        <row r="219">
          <cell r="AY219">
            <v>98.717661711315671</v>
          </cell>
        </row>
        <row r="220">
          <cell r="AY220">
            <v>98.398499623008561</v>
          </cell>
        </row>
        <row r="221">
          <cell r="AY221">
            <v>98.42316068921798</v>
          </cell>
        </row>
        <row r="222">
          <cell r="AY222">
            <v>95.64281835332649</v>
          </cell>
        </row>
        <row r="223">
          <cell r="AY223">
            <v>100.30596808204508</v>
          </cell>
        </row>
        <row r="224">
          <cell r="AY224">
            <v>97.851077552059024</v>
          </cell>
        </row>
        <row r="225">
          <cell r="AY225">
            <v>96.158768386089662</v>
          </cell>
        </row>
        <row r="226">
          <cell r="AY226">
            <v>102.14052505286946</v>
          </cell>
        </row>
        <row r="227">
          <cell r="AY227">
            <v>97.431150141503139</v>
          </cell>
        </row>
        <row r="228">
          <cell r="AY228">
            <v>100.92420324719012</v>
          </cell>
        </row>
        <row r="229">
          <cell r="AY229">
            <v>99.872915840059974</v>
          </cell>
        </row>
        <row r="230">
          <cell r="AY230">
            <v>98.084502197854505</v>
          </cell>
        </row>
        <row r="231">
          <cell r="AY231">
            <v>93.702421135620355</v>
          </cell>
        </row>
        <row r="232">
          <cell r="AY232">
            <v>98.855100098271564</v>
          </cell>
        </row>
        <row r="233">
          <cell r="AY233">
            <v>98.396198262432364</v>
          </cell>
        </row>
        <row r="234">
          <cell r="AY234">
            <v>97.777907843168137</v>
          </cell>
        </row>
        <row r="235">
          <cell r="AY235">
            <v>99.308677437581736</v>
          </cell>
        </row>
        <row r="236">
          <cell r="AY236">
            <v>98.038546530836541</v>
          </cell>
        </row>
        <row r="237">
          <cell r="AY237">
            <v>99.401997081305353</v>
          </cell>
        </row>
        <row r="238">
          <cell r="AY238">
            <v>97.48935368165435</v>
          </cell>
        </row>
        <row r="239">
          <cell r="AY239">
            <v>99.898950116799284</v>
          </cell>
        </row>
        <row r="240">
          <cell r="AY240">
            <v>99.398999137874881</v>
          </cell>
        </row>
        <row r="241">
          <cell r="AY241">
            <v>100.7519165779202</v>
          </cell>
        </row>
        <row r="242">
          <cell r="AY242">
            <v>93.544301682511559</v>
          </cell>
        </row>
        <row r="243">
          <cell r="AY243">
            <v>101.0188654292426</v>
          </cell>
        </row>
        <row r="244">
          <cell r="AY244">
            <v>99.528763203902798</v>
          </cell>
        </row>
        <row r="245">
          <cell r="AY245">
            <v>100.66092013193017</v>
          </cell>
        </row>
        <row r="246">
          <cell r="AY246">
            <v>100.08424635979156</v>
          </cell>
        </row>
        <row r="247">
          <cell r="AY247">
            <v>99.518279181903651</v>
          </cell>
        </row>
        <row r="249">
          <cell r="A249" t="str">
            <v>SM103</v>
          </cell>
          <cell r="AY249">
            <v>99.163679317628919</v>
          </cell>
        </row>
        <row r="250">
          <cell r="A250" t="str">
            <v>SM104</v>
          </cell>
          <cell r="AY250">
            <v>100.11534610570595</v>
          </cell>
        </row>
        <row r="251">
          <cell r="A251" t="str">
            <v>SM105</v>
          </cell>
          <cell r="AY251">
            <v>100.73961911513112</v>
          </cell>
        </row>
        <row r="252">
          <cell r="A252" t="str">
            <v>SM106</v>
          </cell>
          <cell r="AY252">
            <v>99.354012675244334</v>
          </cell>
        </row>
        <row r="253">
          <cell r="A253" t="str">
            <v>SM107</v>
          </cell>
          <cell r="AY253">
            <v>99.145167583223554</v>
          </cell>
        </row>
        <row r="254">
          <cell r="A254" t="str">
            <v>SM108</v>
          </cell>
          <cell r="AY254">
            <v>99.57415406203171</v>
          </cell>
        </row>
      </sheetData>
      <sheetData sheetId="4">
        <row r="5">
          <cell r="D5">
            <v>17.260000000000002</v>
          </cell>
        </row>
      </sheetData>
      <sheetData sheetId="5"/>
      <sheetData sheetId="6"/>
      <sheetData sheetId="7">
        <row r="10">
          <cell r="H10">
            <v>306.60000000000002</v>
          </cell>
        </row>
      </sheetData>
      <sheetData sheetId="8">
        <row r="22">
          <cell r="E22">
            <v>5897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2">
          <cell r="E22">
            <v>7513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Operator Performance '18"/>
      <sheetName val="BrewMaterials"/>
      <sheetName val="Brewhouse"/>
      <sheetName val="Process"/>
      <sheetName val="Packaging"/>
      <sheetName val="Summary July '23"/>
      <sheetName val="Summary March '23"/>
      <sheetName val="Summary February '23"/>
      <sheetName val="Summary November '22 "/>
      <sheetName val="Summary October '22 "/>
      <sheetName val="Summary March '22"/>
      <sheetName val="Summary February '22 "/>
      <sheetName val="Summary August '21 "/>
      <sheetName val="Summary July '21"/>
      <sheetName val="Summary October '20 "/>
      <sheetName val="Summary September '20  "/>
      <sheetName val="Summary August '20 "/>
      <sheetName val="Summary July '20"/>
      <sheetName val="Summary June '20 "/>
    </sheetNames>
    <sheetDataSet>
      <sheetData sheetId="0"/>
      <sheetData sheetId="1"/>
      <sheetData sheetId="2"/>
      <sheetData sheetId="3">
        <row r="5">
          <cell r="A5" t="str">
            <v>HR001</v>
          </cell>
        </row>
        <row r="13">
          <cell r="AW13">
            <v>84.648574567528044</v>
          </cell>
        </row>
        <row r="14">
          <cell r="AW14">
            <v>92.105311967909813</v>
          </cell>
        </row>
        <row r="16">
          <cell r="AW16">
            <v>95.019583228533136</v>
          </cell>
        </row>
        <row r="17">
          <cell r="AW17">
            <v>96.397043172756128</v>
          </cell>
        </row>
      </sheetData>
      <sheetData sheetId="4">
        <row r="4">
          <cell r="C4" t="str">
            <v>FV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. 3rd  "/>
      <sheetName val="Jan. 4th"/>
      <sheetName val="Jan.5th"/>
      <sheetName val="Jan.6th"/>
      <sheetName val="Jan.7th "/>
      <sheetName val="Jan.8th "/>
      <sheetName val="Jan.9th  "/>
      <sheetName val="Jan.10th  "/>
      <sheetName val="Jan.11th "/>
      <sheetName val="Jan.12th "/>
      <sheetName val="Jan.13th "/>
      <sheetName val="Jan.14th  "/>
      <sheetName val="Jan.16th &amp;17th  "/>
      <sheetName val="Closing- January 2023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2">
          <cell r="L42">
            <v>98.191435797113996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. 6th"/>
      <sheetName val="Feb. 8th"/>
      <sheetName val="Feb Summ. to 24th"/>
      <sheetName val="Feb. 27th"/>
      <sheetName val="Feb.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>
        <row r="42">
          <cell r="L42">
            <v>97.281713730188258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ch 1st"/>
      <sheetName val="March 2nd"/>
      <sheetName val="March 3rd"/>
      <sheetName val="March 6th"/>
      <sheetName val="March 7th "/>
      <sheetName val="March 8th"/>
      <sheetName val="March 9th"/>
      <sheetName val="March10th "/>
      <sheetName val="March11th  "/>
      <sheetName val="March13th"/>
      <sheetName val="March14th "/>
      <sheetName val="March15th"/>
      <sheetName val="March 16th &amp;18th "/>
      <sheetName val="March 20th"/>
      <sheetName val="March 21st"/>
      <sheetName val="March 22nd"/>
      <sheetName val="March 23"/>
      <sheetName val="March 24 &amp; 25th &amp; 26th"/>
      <sheetName val="March 27th"/>
      <sheetName val="March 28th "/>
      <sheetName val="March 29th "/>
      <sheetName val="March 30th "/>
      <sheetName val="March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75">
          <cell r="L75">
            <v>98.782352819681904</v>
          </cell>
        </row>
        <row r="80">
          <cell r="L80">
            <v>7.04</v>
          </cell>
        </row>
      </sheetData>
      <sheetData sheetId="23"/>
      <sheetData sheetId="24"/>
      <sheetData sheetId="25"/>
      <sheetData sheetId="2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1  "/>
      <sheetName val="April 3th "/>
      <sheetName val="April 4th "/>
      <sheetName val="April 5th "/>
      <sheetName val="April 6th"/>
      <sheetName val="Apri 8th"/>
      <sheetName val="Apri 11th"/>
      <sheetName val="Apri 12th "/>
      <sheetName val="Apri 13th "/>
      <sheetName val="Apri 14th  "/>
      <sheetName val="Apri 15th"/>
      <sheetName val="Apri 16th "/>
      <sheetName val="Apri 17th  "/>
      <sheetName val="Apri 18th "/>
      <sheetName val="Apri 19th"/>
      <sheetName val="Apri 20th &amp; 24th "/>
      <sheetName val="Apri 26th - 27th"/>
      <sheetName val="Apri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1">
          <cell r="L51">
            <v>98.125375133213936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e 1st"/>
      <sheetName val="June 6th"/>
      <sheetName val="June 12th"/>
      <sheetName val="June 13th "/>
      <sheetName val="June 14th "/>
      <sheetName val="June 15th"/>
      <sheetName val="June 16th"/>
      <sheetName val="June 19th"/>
      <sheetName val="June 20th"/>
      <sheetName val="June 21st"/>
      <sheetName val="June 22nd"/>
      <sheetName val="June 23rd"/>
      <sheetName val="June 26th"/>
      <sheetName val="June 27th "/>
      <sheetName val="June 28th "/>
      <sheetName val="June 29th  "/>
      <sheetName val="June 30th  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65">
          <cell r="L65">
            <v>98.889709416663237</v>
          </cell>
        </row>
        <row r="71">
          <cell r="L71">
            <v>7.3888888888888893</v>
          </cell>
        </row>
      </sheetData>
      <sheetData sheetId="17"/>
      <sheetData sheetId="18"/>
      <sheetData sheetId="19"/>
      <sheetData sheetId="2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y 3rd  "/>
      <sheetName val="July 5th"/>
      <sheetName val="July 6th"/>
      <sheetName val="July 7 &amp; 8th"/>
      <sheetName val="July 10th"/>
      <sheetName val="July 11th"/>
      <sheetName val="July 12th"/>
      <sheetName val="July 13th "/>
      <sheetName val="July 14th &amp; 15th  "/>
      <sheetName val="July 17th"/>
      <sheetName val="July 18th "/>
      <sheetName val="July 19th "/>
      <sheetName val="July 20th "/>
      <sheetName val="July 21st &amp;22nd"/>
      <sheetName val="July 24th"/>
      <sheetName val="July 25th"/>
      <sheetName val="July 26th "/>
      <sheetName val="July 27th"/>
      <sheetName val="July 28th "/>
      <sheetName val="Jul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02">
          <cell r="L102">
            <v>98.494349010083567</v>
          </cell>
        </row>
        <row r="108">
          <cell r="L108">
            <v>6.5909090909090908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 1st"/>
      <sheetName val="Aug 2nd"/>
      <sheetName val="Aug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>
        <row r="118">
          <cell r="L118">
            <v>97.795315149035787</v>
          </cell>
        </row>
        <row r="124">
          <cell r="L124">
            <v>4.5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.2nd "/>
      <sheetName val="Oct.3rd"/>
      <sheetName val="Oct. 4th"/>
      <sheetName val="Oct. 5th "/>
      <sheetName val="Oct. 6th &amp;7th"/>
      <sheetName val="Oct. 9th"/>
      <sheetName val="Oct. 10th"/>
      <sheetName val="Oct. 11th"/>
      <sheetName val="Oct. 12th"/>
      <sheetName val="Oct. 13th &amp; 14th"/>
      <sheetName val="Oct. 16th"/>
      <sheetName val="Oct. 17th"/>
      <sheetName val="Oct. 18th"/>
      <sheetName val="Oct. 20th"/>
      <sheetName val="Oct. 23th"/>
      <sheetName val="Oct. 24th "/>
      <sheetName val="Oct. 26th  "/>
      <sheetName val="Oct. 27th &amp; 28th "/>
      <sheetName val="Oct.30th"/>
      <sheetName val="Oct.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5">
          <cell r="L45">
            <v>97.702105534902586</v>
          </cell>
        </row>
        <row r="51">
          <cell r="L51">
            <v>5.291666666666667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18  (2)"/>
      <sheetName val="August_2023"/>
      <sheetName val="September_2023"/>
      <sheetName val="October_2023"/>
      <sheetName val="November_2023"/>
      <sheetName val="December_2023"/>
      <sheetName val="Average"/>
      <sheetName val="October_2022"/>
      <sheetName val="November_2022"/>
      <sheetName val="December_2022"/>
      <sheetName val="September_2022"/>
      <sheetName val="August_2022"/>
    </sheetNames>
    <sheetDataSet>
      <sheetData sheetId="0"/>
      <sheetData sheetId="1"/>
      <sheetData sheetId="2">
        <row r="7">
          <cell r="J7">
            <v>283.29999999999995</v>
          </cell>
        </row>
      </sheetData>
      <sheetData sheetId="3">
        <row r="7">
          <cell r="G7">
            <v>369.9</v>
          </cell>
        </row>
      </sheetData>
      <sheetData sheetId="4">
        <row r="7">
          <cell r="AA7">
            <v>264.39999999999998</v>
          </cell>
        </row>
      </sheetData>
      <sheetData sheetId="5">
        <row r="3">
          <cell r="O3">
            <v>317.7</v>
          </cell>
        </row>
      </sheetData>
      <sheetData sheetId="6">
        <row r="3">
          <cell r="F3">
            <v>406</v>
          </cell>
        </row>
      </sheetData>
      <sheetData sheetId="7"/>
      <sheetData sheetId="8">
        <row r="3">
          <cell r="D3">
            <v>208.10000000000002</v>
          </cell>
        </row>
      </sheetData>
      <sheetData sheetId="9">
        <row r="7">
          <cell r="I7">
            <v>278.8</v>
          </cell>
        </row>
      </sheetData>
      <sheetData sheetId="10">
        <row r="3">
          <cell r="G3">
            <v>304.60000000000002</v>
          </cell>
        </row>
      </sheetData>
      <sheetData sheetId="11">
        <row r="3">
          <cell r="D3">
            <v>212.5</v>
          </cell>
        </row>
      </sheetData>
      <sheetData sheetId="12">
        <row r="3">
          <cell r="I3">
            <v>305.05</v>
          </cell>
        </row>
        <row r="13">
          <cell r="U13">
            <v>150.4</v>
          </cell>
        </row>
        <row r="17">
          <cell r="U17">
            <v>120.8</v>
          </cell>
        </row>
        <row r="21">
          <cell r="U21">
            <v>19.680851063829799</v>
          </cell>
        </row>
      </sheetData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23"/>
      <sheetName val="August_2018 (2)"/>
      <sheetName val="September_2023"/>
      <sheetName val="October_2023"/>
      <sheetName val="November_2023"/>
      <sheetName val="December_2023"/>
      <sheetName val="October_2022"/>
      <sheetName val="November_2022"/>
      <sheetName val="December_2022"/>
      <sheetName val="September_2022"/>
      <sheetName val="August_20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3">
          <cell r="AN13">
            <v>0.67939571150097466</v>
          </cell>
        </row>
        <row r="25">
          <cell r="U25">
            <v>0.42385964912280699</v>
          </cell>
        </row>
      </sheetData>
      <sheetData sheetId="13"/>
      <sheetData sheetId="14"/>
      <sheetData sheetId="15"/>
      <sheetData sheetId="16" refreshError="1"/>
      <sheetData sheetId="1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_2019"/>
      <sheetName val="February_2019"/>
      <sheetName val="March_2019"/>
      <sheetName val="April_2019"/>
      <sheetName val="May_2019"/>
      <sheetName val="June_2019"/>
      <sheetName val="July_2019"/>
      <sheetName val="August_2019"/>
      <sheetName val="August_2018 (2)"/>
      <sheetName val="September_2019"/>
      <sheetName val="October_2019"/>
      <sheetName val="November_2019"/>
      <sheetName val="December_2019"/>
    </sheetNames>
    <sheetDataSet>
      <sheetData sheetId="0">
        <row r="7">
          <cell r="D7">
            <v>0</v>
          </cell>
          <cell r="L7">
            <v>285.8</v>
          </cell>
          <cell r="M7">
            <v>508.1</v>
          </cell>
          <cell r="N7">
            <v>0</v>
          </cell>
          <cell r="O7">
            <v>0</v>
          </cell>
          <cell r="P7">
            <v>109.56666666666666</v>
          </cell>
          <cell r="Q7">
            <v>297.64999999999998</v>
          </cell>
          <cell r="R7">
            <v>122.3</v>
          </cell>
          <cell r="S7">
            <v>0</v>
          </cell>
          <cell r="T7">
            <v>294.7</v>
          </cell>
          <cell r="U7">
            <v>280.5</v>
          </cell>
          <cell r="V7">
            <v>0</v>
          </cell>
          <cell r="W7">
            <v>0</v>
          </cell>
          <cell r="X7">
            <v>188.25</v>
          </cell>
          <cell r="Y7">
            <v>295.7</v>
          </cell>
          <cell r="Z7">
            <v>257.8</v>
          </cell>
          <cell r="AA7">
            <v>291.2</v>
          </cell>
          <cell r="AB7">
            <v>187</v>
          </cell>
          <cell r="AC7">
            <v>0</v>
          </cell>
          <cell r="AD7">
            <v>0</v>
          </cell>
          <cell r="AE7">
            <v>485.1</v>
          </cell>
          <cell r="AF7">
            <v>171.55</v>
          </cell>
          <cell r="AG7">
            <v>423.8</v>
          </cell>
          <cell r="AH7">
            <v>0</v>
          </cell>
        </row>
        <row r="8">
          <cell r="D8" t="e">
            <v>#DIV/0!</v>
          </cell>
          <cell r="E8">
            <v>1.0319298245614037</v>
          </cell>
          <cell r="F8">
            <v>1.7789473684210526</v>
          </cell>
          <cell r="G8">
            <v>0.51929824561403504</v>
          </cell>
          <cell r="H8" t="e">
            <v>#DIV/0!</v>
          </cell>
          <cell r="I8" t="e">
            <v>#DIV/0!</v>
          </cell>
          <cell r="J8">
            <v>1.365263157894737</v>
          </cell>
          <cell r="K8" t="e">
            <v>#DIV/0!</v>
          </cell>
          <cell r="L8">
            <v>1.0028070175438597</v>
          </cell>
          <cell r="M8">
            <v>1.7828070175438597</v>
          </cell>
          <cell r="N8" t="e">
            <v>#DIV/0!</v>
          </cell>
          <cell r="O8" t="e">
            <v>#DIV/0!</v>
          </cell>
          <cell r="P8">
            <v>0.19222222222222221</v>
          </cell>
          <cell r="Q8">
            <v>0.52219298245614032</v>
          </cell>
          <cell r="R8">
            <v>0.42912280701754385</v>
          </cell>
          <cell r="S8" t="e">
            <v>#DIV/0!</v>
          </cell>
          <cell r="T8">
            <v>1.0340350877192983</v>
          </cell>
          <cell r="U8">
            <v>0.98421052631578942</v>
          </cell>
          <cell r="V8" t="e">
            <v>#DIV/0!</v>
          </cell>
          <cell r="W8" t="e">
            <v>#DIV/0!</v>
          </cell>
          <cell r="X8">
            <v>0.66052631578947374</v>
          </cell>
          <cell r="Y8">
            <v>1.0375438596491227</v>
          </cell>
          <cell r="Z8">
            <v>0.90456140350877201</v>
          </cell>
          <cell r="AA8">
            <v>1.0217543859649123</v>
          </cell>
          <cell r="AB8">
            <v>0.65614035087719302</v>
          </cell>
          <cell r="AC8" t="e">
            <v>#DIV/0!</v>
          </cell>
          <cell r="AD8" t="e">
            <v>#DIV/0!</v>
          </cell>
          <cell r="AE8">
            <v>1.7021052631578948</v>
          </cell>
          <cell r="AF8">
            <v>0.60192982456140354</v>
          </cell>
          <cell r="AG8">
            <v>1.4870175438596491</v>
          </cell>
          <cell r="AH8" t="e">
            <v>#DIV/0!</v>
          </cell>
        </row>
      </sheetData>
      <sheetData sheetId="1">
        <row r="13">
          <cell r="AN13">
            <v>0.94034030952171987</v>
          </cell>
        </row>
      </sheetData>
      <sheetData sheetId="2">
        <row r="13">
          <cell r="AQ13">
            <v>0.93551267438402086</v>
          </cell>
        </row>
      </sheetData>
      <sheetData sheetId="3">
        <row r="18">
          <cell r="G18">
            <v>1.0103508771929826</v>
          </cell>
        </row>
      </sheetData>
      <sheetData sheetId="4">
        <row r="13">
          <cell r="AN13">
            <v>0.87062818515015106</v>
          </cell>
        </row>
      </sheetData>
      <sheetData sheetId="5">
        <row r="13">
          <cell r="AN13">
            <v>0.94807447713221704</v>
          </cell>
        </row>
      </sheetData>
      <sheetData sheetId="6">
        <row r="13">
          <cell r="AN13">
            <v>1.0800362929336174</v>
          </cell>
        </row>
      </sheetData>
      <sheetData sheetId="7">
        <row r="13">
          <cell r="AN13">
            <v>1.1456090225563909</v>
          </cell>
        </row>
      </sheetData>
      <sheetData sheetId="8"/>
      <sheetData sheetId="9">
        <row r="13">
          <cell r="AM13">
            <v>1.1586666666666667</v>
          </cell>
        </row>
      </sheetData>
      <sheetData sheetId="10">
        <row r="13">
          <cell r="AN13">
            <v>0.7340526315789474</v>
          </cell>
        </row>
      </sheetData>
      <sheetData sheetId="11">
        <row r="13">
          <cell r="AN13">
            <v>0.98266798418972334</v>
          </cell>
        </row>
      </sheetData>
      <sheetData sheetId="12">
        <row r="13">
          <cell r="AN13">
            <v>0.83754385964912292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_2022"/>
      <sheetName val="February_2022"/>
      <sheetName val="March_2022"/>
      <sheetName val="April_2022"/>
      <sheetName val="May_2022"/>
      <sheetName val="July_2022"/>
      <sheetName val="June_2022"/>
      <sheetName val="August_2018  (2)"/>
      <sheetName val="August_2022"/>
      <sheetName val="September_2022"/>
      <sheetName val="October_2022"/>
      <sheetName val="November_2022"/>
      <sheetName val="December_2022"/>
      <sheetName val="Average"/>
      <sheetName val="March_2021"/>
      <sheetName val="April_2021"/>
      <sheetName val="May_2021"/>
      <sheetName val="June_2021"/>
      <sheetName val="July_2021"/>
      <sheetName val="August_2021"/>
      <sheetName val="September_2021"/>
      <sheetName val="October_2021"/>
      <sheetName val="November_2021"/>
      <sheetName val="December_2021"/>
    </sheetNames>
    <sheetDataSet>
      <sheetData sheetId="0">
        <row r="7">
          <cell r="F7">
            <v>90.5</v>
          </cell>
        </row>
      </sheetData>
      <sheetData sheetId="1">
        <row r="3">
          <cell r="D3">
            <v>410.59999999999997</v>
          </cell>
        </row>
      </sheetData>
      <sheetData sheetId="2">
        <row r="7">
          <cell r="D7">
            <v>199.8</v>
          </cell>
        </row>
      </sheetData>
      <sheetData sheetId="3">
        <row r="7">
          <cell r="G7">
            <v>266.8</v>
          </cell>
        </row>
      </sheetData>
      <sheetData sheetId="4">
        <row r="7">
          <cell r="E7">
            <v>291.89999999999998</v>
          </cell>
        </row>
        <row r="43">
          <cell r="M43">
            <v>3.4878406700073312</v>
          </cell>
        </row>
      </sheetData>
      <sheetData sheetId="5">
        <row r="3">
          <cell r="G3">
            <v>319.81</v>
          </cell>
        </row>
      </sheetData>
      <sheetData sheetId="6">
        <row r="7">
          <cell r="D7">
            <v>190.7</v>
          </cell>
        </row>
      </sheetData>
      <sheetData sheetId="7"/>
      <sheetData sheetId="8">
        <row r="7">
          <cell r="E7">
            <v>293.3</v>
          </cell>
        </row>
      </sheetData>
      <sheetData sheetId="9">
        <row r="7">
          <cell r="E7">
            <v>374.7</v>
          </cell>
        </row>
      </sheetData>
      <sheetData sheetId="10">
        <row r="3">
          <cell r="G3">
            <v>207.23000000000002</v>
          </cell>
        </row>
      </sheetData>
      <sheetData sheetId="11">
        <row r="7">
          <cell r="E7">
            <v>572.10000000000014</v>
          </cell>
        </row>
      </sheetData>
      <sheetData sheetId="12">
        <row r="3">
          <cell r="D3">
            <v>315.21000000000004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September '25"/>
      <sheetName val="Summary August '25 "/>
      <sheetName val="Summary July '25"/>
      <sheetName val="Summary June'25"/>
      <sheetName val="Summary May '25"/>
      <sheetName val="Summary April '25"/>
      <sheetName val="Summary March '25 "/>
      <sheetName val="Summary February '25 "/>
      <sheetName val="Summary January '25"/>
      <sheetName val="Summary December '24 "/>
    </sheetNames>
    <sheetDataSet>
      <sheetData sheetId="0"/>
      <sheetData sheetId="1"/>
      <sheetData sheetId="2"/>
      <sheetData sheetId="3"/>
      <sheetData sheetId="4"/>
      <sheetData sheetId="5">
        <row r="102">
          <cell r="AU102">
            <v>92.721004414750013</v>
          </cell>
        </row>
        <row r="103">
          <cell r="AU103">
            <v>95.183546542203274</v>
          </cell>
        </row>
        <row r="104">
          <cell r="AU104">
            <v>95.186026119258216</v>
          </cell>
        </row>
        <row r="105">
          <cell r="AU105">
            <v>95.834588221072792</v>
          </cell>
        </row>
        <row r="106">
          <cell r="AU106">
            <v>95.701714072534301</v>
          </cell>
        </row>
        <row r="107">
          <cell r="AU107">
            <v>92.798968247797376</v>
          </cell>
        </row>
        <row r="108">
          <cell r="AU108">
            <v>95.637869985017701</v>
          </cell>
        </row>
        <row r="109">
          <cell r="AU109">
            <v>96.273574518798767</v>
          </cell>
        </row>
        <row r="110">
          <cell r="AU110">
            <v>94.86612185107694</v>
          </cell>
        </row>
        <row r="111">
          <cell r="AU111">
            <v>90.396256118959755</v>
          </cell>
        </row>
        <row r="112">
          <cell r="AU112">
            <v>96.811385381152121</v>
          </cell>
        </row>
        <row r="113">
          <cell r="AU113">
            <v>93.316641237557349</v>
          </cell>
        </row>
        <row r="114">
          <cell r="AU114">
            <v>97.63400510059688</v>
          </cell>
        </row>
        <row r="115">
          <cell r="AU115">
            <v>99.134858630299789</v>
          </cell>
        </row>
        <row r="116">
          <cell r="AU116">
            <v>92.554167304143249</v>
          </cell>
        </row>
        <row r="117">
          <cell r="AU117">
            <v>94.723161458360067</v>
          </cell>
        </row>
        <row r="118">
          <cell r="AU118">
            <v>94.836688212040571</v>
          </cell>
        </row>
        <row r="119">
          <cell r="AU119">
            <v>88.825216186637164</v>
          </cell>
        </row>
        <row r="120">
          <cell r="AU120">
            <v>93.256832532072352</v>
          </cell>
        </row>
        <row r="121">
          <cell r="AU121">
            <v>96.271194795735298</v>
          </cell>
        </row>
        <row r="122">
          <cell r="AU122">
            <v>90.611883285060202</v>
          </cell>
        </row>
        <row r="123">
          <cell r="AU123">
            <v>96.544443432374834</v>
          </cell>
        </row>
        <row r="124">
          <cell r="AU124">
            <v>94.232258322472063</v>
          </cell>
        </row>
        <row r="125">
          <cell r="AU125">
            <v>95.957942302884106</v>
          </cell>
        </row>
        <row r="126">
          <cell r="AU126">
            <v>95.337604364892485</v>
          </cell>
        </row>
        <row r="127">
          <cell r="AU127">
            <v>89.580178011311446</v>
          </cell>
        </row>
        <row r="128">
          <cell r="AU128">
            <v>90.548707098481913</v>
          </cell>
        </row>
        <row r="129">
          <cell r="AU129">
            <v>94.451373889375304</v>
          </cell>
        </row>
        <row r="130">
          <cell r="AU130">
            <v>92.379727168907181</v>
          </cell>
        </row>
        <row r="131">
          <cell r="AU131">
            <v>99.165328369665957</v>
          </cell>
        </row>
        <row r="132">
          <cell r="AU132">
            <v>93.744354514117632</v>
          </cell>
        </row>
        <row r="133">
          <cell r="AU133">
            <v>93.755953364927763</v>
          </cell>
        </row>
        <row r="134">
          <cell r="AU134">
            <v>94.510748705987353</v>
          </cell>
        </row>
        <row r="135">
          <cell r="AU135">
            <v>94.653823201385563</v>
          </cell>
        </row>
        <row r="136">
          <cell r="AU136">
            <v>94.703434335224557</v>
          </cell>
        </row>
        <row r="137">
          <cell r="AU137">
            <v>94.045467052799196</v>
          </cell>
        </row>
        <row r="138">
          <cell r="AU138">
            <v>95.023430747802905</v>
          </cell>
        </row>
        <row r="139">
          <cell r="AU139">
            <v>95.149931915355324</v>
          </cell>
        </row>
        <row r="140">
          <cell r="AU140">
            <v>92.54089949084161</v>
          </cell>
        </row>
        <row r="141">
          <cell r="AU141">
            <v>94.468287382263057</v>
          </cell>
        </row>
        <row r="142">
          <cell r="AU142">
            <v>90.693632481516147</v>
          </cell>
        </row>
        <row r="143">
          <cell r="AU143">
            <v>93.387729203040266</v>
          </cell>
        </row>
        <row r="144">
          <cell r="AU144">
            <v>92.301580285213745</v>
          </cell>
        </row>
        <row r="145">
          <cell r="AU145">
            <v>95.47146892959492</v>
          </cell>
        </row>
        <row r="146">
          <cell r="AU146">
            <v>95.327861606040415</v>
          </cell>
        </row>
        <row r="147">
          <cell r="AU147">
            <v>96.037505306647844</v>
          </cell>
        </row>
        <row r="148">
          <cell r="AU148">
            <v>90.435403081015338</v>
          </cell>
        </row>
        <row r="149">
          <cell r="AU149">
            <v>91.935604428876957</v>
          </cell>
        </row>
        <row r="150">
          <cell r="AU150">
            <v>90.096176580018806</v>
          </cell>
        </row>
        <row r="151">
          <cell r="AU151">
            <v>91.160984251356965</v>
          </cell>
        </row>
        <row r="152">
          <cell r="AU152">
            <v>97.110207612864656</v>
          </cell>
        </row>
        <row r="153">
          <cell r="AU153">
            <v>93.955688908867202</v>
          </cell>
        </row>
        <row r="154">
          <cell r="AU154">
            <v>93.201117045963912</v>
          </cell>
        </row>
        <row r="155">
          <cell r="AU155">
            <v>98.594401379338521</v>
          </cell>
        </row>
        <row r="156">
          <cell r="AU156">
            <v>92.001421037013401</v>
          </cell>
        </row>
        <row r="157">
          <cell r="AU157">
            <v>98.547841921632482</v>
          </cell>
        </row>
        <row r="158">
          <cell r="AU158">
            <v>95.30958953671977</v>
          </cell>
        </row>
        <row r="159">
          <cell r="AU159">
            <v>94.916368405240789</v>
          </cell>
        </row>
        <row r="160">
          <cell r="AU160">
            <v>94.672690305430109</v>
          </cell>
        </row>
        <row r="161">
          <cell r="AU161">
            <v>95.964139881158587</v>
          </cell>
        </row>
        <row r="162">
          <cell r="AU162">
            <v>96.907424929882168</v>
          </cell>
        </row>
        <row r="163">
          <cell r="AU163">
            <v>94.283239341838936</v>
          </cell>
        </row>
        <row r="164">
          <cell r="AU164">
            <v>89.622426366714592</v>
          </cell>
        </row>
        <row r="165">
          <cell r="AU165">
            <v>95.468836285735648</v>
          </cell>
        </row>
        <row r="166">
          <cell r="AU166">
            <v>95.468836285735648</v>
          </cell>
        </row>
        <row r="167">
          <cell r="AU167">
            <v>95.411155352297129</v>
          </cell>
        </row>
        <row r="168">
          <cell r="AU168">
            <v>97.574485486208175</v>
          </cell>
        </row>
        <row r="169">
          <cell r="AU169">
            <v>101.10646423110623</v>
          </cell>
        </row>
        <row r="170">
          <cell r="AU170">
            <v>98.374430517533199</v>
          </cell>
        </row>
        <row r="171">
          <cell r="AU171">
            <v>101.61477490794771</v>
          </cell>
        </row>
        <row r="173">
          <cell r="AU173">
            <v>91.322447267719596</v>
          </cell>
        </row>
        <row r="174">
          <cell r="AU174">
            <v>94.643337024811686</v>
          </cell>
        </row>
        <row r="175">
          <cell r="AU175">
            <v>90.625657788599028</v>
          </cell>
        </row>
        <row r="176">
          <cell r="AU176">
            <v>96.877995805558157</v>
          </cell>
        </row>
        <row r="177">
          <cell r="AU177">
            <v>92.135214898662127</v>
          </cell>
        </row>
        <row r="178">
          <cell r="AU178">
            <v>93.533472030969435</v>
          </cell>
        </row>
        <row r="179">
          <cell r="AU179">
            <v>94.139723416562532</v>
          </cell>
        </row>
        <row r="180">
          <cell r="AU180">
            <v>95.023430747802905</v>
          </cell>
        </row>
        <row r="181">
          <cell r="AU181">
            <v>88.206051282479294</v>
          </cell>
        </row>
        <row r="182">
          <cell r="AU182">
            <v>98.770467000417625</v>
          </cell>
        </row>
        <row r="183">
          <cell r="AU183">
            <v>92.689746877485774</v>
          </cell>
        </row>
        <row r="184">
          <cell r="AU184">
            <v>94.673754897931531</v>
          </cell>
        </row>
        <row r="185">
          <cell r="AU185">
            <v>98.858629653014077</v>
          </cell>
        </row>
        <row r="186">
          <cell r="AU186">
            <v>93.560901765557716</v>
          </cell>
        </row>
        <row r="187">
          <cell r="AU187">
            <v>94.294712759797378</v>
          </cell>
        </row>
        <row r="188">
          <cell r="AU188">
            <v>94.907296083516144</v>
          </cell>
        </row>
        <row r="189">
          <cell r="AU189">
            <v>98.512665561743688</v>
          </cell>
        </row>
        <row r="190">
          <cell r="AU190">
            <v>94.487755379468013</v>
          </cell>
        </row>
        <row r="191">
          <cell r="AU191">
            <v>95.057455440135968</v>
          </cell>
        </row>
        <row r="192">
          <cell r="AU192">
            <v>96.4155793854151</v>
          </cell>
        </row>
        <row r="193">
          <cell r="AU193">
            <v>93.674736941647851</v>
          </cell>
        </row>
        <row r="194">
          <cell r="AU194">
            <v>93.610787987459005</v>
          </cell>
        </row>
        <row r="195">
          <cell r="AU195">
            <v>99.406324820701613</v>
          </cell>
        </row>
        <row r="196">
          <cell r="AU196">
            <v>94.417924348057809</v>
          </cell>
        </row>
        <row r="197">
          <cell r="AU197">
            <v>98.829665455011778</v>
          </cell>
        </row>
        <row r="198">
          <cell r="AU198">
            <v>95.665215493250571</v>
          </cell>
        </row>
        <row r="199">
          <cell r="AU199">
            <v>95.72152488146294</v>
          </cell>
        </row>
        <row r="200">
          <cell r="AU200">
            <v>97.277748156420813</v>
          </cell>
        </row>
        <row r="201">
          <cell r="AU201">
            <v>95.45407223763587</v>
          </cell>
        </row>
        <row r="202">
          <cell r="AU202">
            <v>99.8213249704677</v>
          </cell>
        </row>
        <row r="203">
          <cell r="AU203">
            <v>97.307715934041752</v>
          </cell>
        </row>
        <row r="204">
          <cell r="AU204">
            <v>93.460879869520596</v>
          </cell>
        </row>
        <row r="205">
          <cell r="AU205">
            <v>95.737208896757963</v>
          </cell>
        </row>
        <row r="206">
          <cell r="AU206">
            <v>95.337604364892485</v>
          </cell>
        </row>
        <row r="207">
          <cell r="AU207">
            <v>95.008376934499935</v>
          </cell>
        </row>
        <row r="208">
          <cell r="AU208">
            <v>97.702216395203862</v>
          </cell>
        </row>
        <row r="209">
          <cell r="AU209">
            <v>96.725169759375845</v>
          </cell>
        </row>
        <row r="210">
          <cell r="AU210">
            <v>99.447332347643368</v>
          </cell>
        </row>
        <row r="211">
          <cell r="AU211">
            <v>99.011995036913419</v>
          </cell>
        </row>
        <row r="212">
          <cell r="AU212">
            <v>93.718965445074957</v>
          </cell>
        </row>
        <row r="213">
          <cell r="AU213">
            <v>95.16847300232179</v>
          </cell>
        </row>
        <row r="214">
          <cell r="AU214">
            <v>94.541944861235876</v>
          </cell>
        </row>
        <row r="215">
          <cell r="AU215">
            <v>98.338605562583197</v>
          </cell>
        </row>
        <row r="216">
          <cell r="AU216">
            <v>98.527718265588177</v>
          </cell>
        </row>
        <row r="217">
          <cell r="AU217">
            <v>96.039629364456829</v>
          </cell>
        </row>
        <row r="218">
          <cell r="AU218">
            <v>98.156085088814663</v>
          </cell>
        </row>
        <row r="219">
          <cell r="AU219">
            <v>100.09976994205851</v>
          </cell>
        </row>
        <row r="220">
          <cell r="AU220">
            <v>96.463639062115632</v>
          </cell>
        </row>
        <row r="221">
          <cell r="AU221">
            <v>95.879175892818452</v>
          </cell>
        </row>
        <row r="222">
          <cell r="AU222">
            <v>99.27872580517348</v>
          </cell>
        </row>
        <row r="223">
          <cell r="AU223">
            <v>94.977580053808055</v>
          </cell>
        </row>
        <row r="224">
          <cell r="AU224">
            <v>95.149931915355324</v>
          </cell>
        </row>
        <row r="225">
          <cell r="AU225">
            <v>99.623016105347048</v>
          </cell>
        </row>
        <row r="226">
          <cell r="AU226">
            <v>101.83502113105483</v>
          </cell>
        </row>
        <row r="227">
          <cell r="AU227">
            <v>103.48472802945992</v>
          </cell>
        </row>
        <row r="228">
          <cell r="AU228">
            <v>98.072332728747526</v>
          </cell>
        </row>
        <row r="229">
          <cell r="AU229">
            <v>94.067699935148468</v>
          </cell>
        </row>
        <row r="230">
          <cell r="AU230">
            <v>96.685102054151599</v>
          </cell>
        </row>
        <row r="231">
          <cell r="AU231">
            <v>99.351193785447862</v>
          </cell>
        </row>
        <row r="232">
          <cell r="AU232">
            <v>99.514424291923262</v>
          </cell>
        </row>
        <row r="233">
          <cell r="AU233">
            <v>93.800836048721479</v>
          </cell>
        </row>
        <row r="234">
          <cell r="AU234">
            <v>92.003521130299475</v>
          </cell>
        </row>
        <row r="235">
          <cell r="AU235">
            <v>94.351751735386642</v>
          </cell>
        </row>
        <row r="236">
          <cell r="AU236">
            <v>91.887467769179437</v>
          </cell>
        </row>
        <row r="237">
          <cell r="AU237">
            <v>94.651122076969358</v>
          </cell>
        </row>
        <row r="238">
          <cell r="AU238">
            <v>94.196420875147751</v>
          </cell>
        </row>
        <row r="239">
          <cell r="AU239">
            <v>94.983564269611392</v>
          </cell>
        </row>
        <row r="240">
          <cell r="AU240">
            <v>95.614884373859567</v>
          </cell>
        </row>
        <row r="241">
          <cell r="AU241">
            <v>92.238813509883116</v>
          </cell>
        </row>
        <row r="242">
          <cell r="AU242">
            <v>98.233595160056836</v>
          </cell>
        </row>
        <row r="243">
          <cell r="AU243">
            <v>97.914776616343687</v>
          </cell>
        </row>
        <row r="244">
          <cell r="AU244">
            <v>102.78475439772893</v>
          </cell>
        </row>
        <row r="245">
          <cell r="AU245">
            <v>98.608987287762162</v>
          </cell>
        </row>
        <row r="246">
          <cell r="AU246">
            <v>99.968040047087285</v>
          </cell>
        </row>
        <row r="247">
          <cell r="AU247">
            <v>100.63117662235325</v>
          </cell>
        </row>
        <row r="248">
          <cell r="AU248">
            <v>102.40288760061762</v>
          </cell>
        </row>
        <row r="249">
          <cell r="AU249">
            <v>98.753578648455701</v>
          </cell>
        </row>
        <row r="250">
          <cell r="AU250">
            <v>98.30806761549934</v>
          </cell>
        </row>
        <row r="251">
          <cell r="AU251">
            <v>100.19018778186395</v>
          </cell>
        </row>
        <row r="252">
          <cell r="AU252">
            <v>98.900119917031091</v>
          </cell>
        </row>
        <row r="253">
          <cell r="AU253">
            <v>104.59013374354345</v>
          </cell>
        </row>
        <row r="255">
          <cell r="AU255">
            <v>102.72900962852634</v>
          </cell>
        </row>
        <row r="256">
          <cell r="AU256">
            <v>97.709347146924856</v>
          </cell>
        </row>
        <row r="257">
          <cell r="AU257">
            <v>97.039020012695659</v>
          </cell>
        </row>
        <row r="258">
          <cell r="AU258">
            <v>100.56008067857034</v>
          </cell>
        </row>
        <row r="259">
          <cell r="AU259">
            <v>100.13520638196576</v>
          </cell>
        </row>
        <row r="260">
          <cell r="AU260">
            <v>99.006072770899991</v>
          </cell>
        </row>
        <row r="261">
          <cell r="AU261">
            <v>99.476489650339886</v>
          </cell>
        </row>
        <row r="262">
          <cell r="AU262">
            <v>103.44040315564746</v>
          </cell>
        </row>
        <row r="263">
          <cell r="AU263">
            <v>103.55524050594897</v>
          </cell>
        </row>
        <row r="264">
          <cell r="AU264">
            <v>103.31964719473716</v>
          </cell>
        </row>
        <row r="265">
          <cell r="AU265">
            <v>95.931616007214288</v>
          </cell>
        </row>
        <row r="266">
          <cell r="AU266">
            <v>106.48989247788745</v>
          </cell>
        </row>
        <row r="267">
          <cell r="AU267">
            <v>102.73439130971231</v>
          </cell>
        </row>
        <row r="268">
          <cell r="AU268">
            <v>101.93738806144394</v>
          </cell>
        </row>
        <row r="269">
          <cell r="AU269">
            <v>94.916087726339811</v>
          </cell>
        </row>
        <row r="270">
          <cell r="AU270">
            <v>96.181647145113629</v>
          </cell>
        </row>
        <row r="271">
          <cell r="AU271">
            <v>97.888884805156863</v>
          </cell>
        </row>
        <row r="272">
          <cell r="AU272">
            <v>96.606945507027518</v>
          </cell>
        </row>
        <row r="273">
          <cell r="AU273">
            <v>100.84824136478873</v>
          </cell>
        </row>
        <row r="274">
          <cell r="AU274">
            <v>96.736277075978393</v>
          </cell>
        </row>
        <row r="275">
          <cell r="AU275">
            <v>99.866724046583627</v>
          </cell>
        </row>
        <row r="276">
          <cell r="AU276">
            <v>97.312963605074586</v>
          </cell>
        </row>
        <row r="277">
          <cell r="AU277">
            <v>97.751802809548707</v>
          </cell>
        </row>
        <row r="278">
          <cell r="AU278">
            <v>108.34535319131975</v>
          </cell>
        </row>
        <row r="279">
          <cell r="AU279">
            <v>97.455960743822175</v>
          </cell>
        </row>
        <row r="280">
          <cell r="AU280">
            <v>96.084434808486492</v>
          </cell>
        </row>
        <row r="281">
          <cell r="AU281">
            <v>98.233712305667396</v>
          </cell>
        </row>
        <row r="282">
          <cell r="AU282">
            <v>98.24308419119933</v>
          </cell>
        </row>
        <row r="283">
          <cell r="AU283">
            <v>98.332506588615331</v>
          </cell>
        </row>
        <row r="284">
          <cell r="AU284">
            <v>92.662463281061918</v>
          </cell>
        </row>
        <row r="285">
          <cell r="AU285">
            <v>97.346014307803912</v>
          </cell>
        </row>
        <row r="286">
          <cell r="AU286">
            <v>98.678864505842682</v>
          </cell>
        </row>
        <row r="287">
          <cell r="AU287">
            <v>91.779024513115218</v>
          </cell>
        </row>
        <row r="288">
          <cell r="AU288">
            <v>93.197398193182465</v>
          </cell>
        </row>
        <row r="289">
          <cell r="AU289">
            <v>89.6398714567338</v>
          </cell>
        </row>
        <row r="290">
          <cell r="AU290">
            <v>100.14422471363589</v>
          </cell>
        </row>
        <row r="291">
          <cell r="AU291">
            <v>96.721958172382543</v>
          </cell>
        </row>
        <row r="292">
          <cell r="AU292">
            <v>99.66467104367139</v>
          </cell>
        </row>
        <row r="293">
          <cell r="AU293">
            <v>101.46018254984246</v>
          </cell>
        </row>
        <row r="294">
          <cell r="AU294">
            <v>102.67780014140652</v>
          </cell>
        </row>
        <row r="295">
          <cell r="AU295">
            <v>101.8514455792621</v>
          </cell>
        </row>
        <row r="296">
          <cell r="AU296">
            <v>100.31098207591012</v>
          </cell>
        </row>
        <row r="297">
          <cell r="AU297">
            <v>102.74010817185233</v>
          </cell>
        </row>
        <row r="298">
          <cell r="AU298">
            <v>98.313519336144523</v>
          </cell>
        </row>
        <row r="299">
          <cell r="AU299">
            <v>96.991620603991933</v>
          </cell>
        </row>
        <row r="300">
          <cell r="AU300">
            <v>98.291339046896496</v>
          </cell>
        </row>
        <row r="301">
          <cell r="AU301">
            <v>98.955013733627396</v>
          </cell>
        </row>
        <row r="302">
          <cell r="AU302">
            <v>99.112393932911999</v>
          </cell>
        </row>
        <row r="303">
          <cell r="AU303">
            <v>98.049377375814046</v>
          </cell>
        </row>
        <row r="304">
          <cell r="AU304">
            <v>97.140907627227477</v>
          </cell>
        </row>
        <row r="305">
          <cell r="AU305">
            <v>97.108675302847075</v>
          </cell>
        </row>
        <row r="306">
          <cell r="AU306">
            <v>99.955896952490676</v>
          </cell>
        </row>
        <row r="307">
          <cell r="AU307">
            <v>96.285477000540993</v>
          </cell>
        </row>
        <row r="308">
          <cell r="AU308">
            <v>95.136209191041715</v>
          </cell>
        </row>
        <row r="309">
          <cell r="AU309">
            <v>104.12720344993677</v>
          </cell>
        </row>
        <row r="310">
          <cell r="AU310">
            <v>99.544031672518045</v>
          </cell>
        </row>
        <row r="311">
          <cell r="AU311">
            <v>97.107689466916568</v>
          </cell>
        </row>
        <row r="312">
          <cell r="AU312">
            <v>95.640781997288045</v>
          </cell>
        </row>
        <row r="313">
          <cell r="AU313">
            <v>98.925414914366613</v>
          </cell>
        </row>
        <row r="314">
          <cell r="AU314">
            <v>100.41166904509818</v>
          </cell>
        </row>
        <row r="315">
          <cell r="AU315">
            <v>100.10153958094506</v>
          </cell>
        </row>
        <row r="316">
          <cell r="AU316">
            <v>102.1345698780635</v>
          </cell>
        </row>
        <row r="317">
          <cell r="AU317">
            <v>102.61615796495992</v>
          </cell>
        </row>
        <row r="318">
          <cell r="AU318">
            <v>103.66246391386404</v>
          </cell>
        </row>
        <row r="319">
          <cell r="AU319">
            <v>106.95998042120141</v>
          </cell>
        </row>
        <row r="320">
          <cell r="AU320">
            <v>94.2893537985222</v>
          </cell>
        </row>
        <row r="321">
          <cell r="AU321">
            <v>98.710610505273081</v>
          </cell>
        </row>
        <row r="322">
          <cell r="AU322">
            <v>96.128929587864761</v>
          </cell>
        </row>
        <row r="323">
          <cell r="AU323">
            <v>97.94439772053714</v>
          </cell>
        </row>
        <row r="324">
          <cell r="AU324">
            <v>97.705041554039269</v>
          </cell>
        </row>
        <row r="325">
          <cell r="AU325">
            <v>97.542503945319154</v>
          </cell>
        </row>
        <row r="326">
          <cell r="AU326">
            <v>97.820735625935143</v>
          </cell>
        </row>
        <row r="327">
          <cell r="AU327">
            <v>98.296844040938197</v>
          </cell>
        </row>
        <row r="328">
          <cell r="AU328">
            <v>97.046163433641169</v>
          </cell>
        </row>
        <row r="329">
          <cell r="AU329">
            <v>98.107009642147446</v>
          </cell>
        </row>
        <row r="330">
          <cell r="AU330">
            <v>97.822477372642041</v>
          </cell>
        </row>
        <row r="331">
          <cell r="AU331">
            <v>96.841006194248607</v>
          </cell>
        </row>
        <row r="332">
          <cell r="AU332">
            <v>94.353846621380328</v>
          </cell>
        </row>
        <row r="333">
          <cell r="AU333">
            <v>99.52869748499829</v>
          </cell>
        </row>
        <row r="334">
          <cell r="AU334">
            <v>98.285972690602023</v>
          </cell>
        </row>
        <row r="335">
          <cell r="AU335">
            <v>101.59569981419895</v>
          </cell>
        </row>
        <row r="336">
          <cell r="AU336">
            <v>100.35668628710914</v>
          </cell>
        </row>
        <row r="337">
          <cell r="AU337">
            <v>100.31331285198578</v>
          </cell>
        </row>
        <row r="338">
          <cell r="AU338">
            <v>99.745226951365936</v>
          </cell>
        </row>
        <row r="339">
          <cell r="AU339">
            <v>98.609928325637725</v>
          </cell>
        </row>
        <row r="341">
          <cell r="AU341">
            <v>95.054951532926523</v>
          </cell>
        </row>
        <row r="342">
          <cell r="AU342">
            <v>98.197263980295986</v>
          </cell>
        </row>
        <row r="343">
          <cell r="AU343">
            <v>97.89069649116648</v>
          </cell>
        </row>
        <row r="344">
          <cell r="AU344">
            <v>97.267564374285826</v>
          </cell>
        </row>
        <row r="345">
          <cell r="AU345">
            <v>100.78902433175921</v>
          </cell>
        </row>
        <row r="346">
          <cell r="AU346">
            <v>97.092129616887718</v>
          </cell>
        </row>
        <row r="348">
          <cell r="AU348">
            <v>96.346070116552426</v>
          </cell>
        </row>
        <row r="349">
          <cell r="AU349">
            <v>95.167732750673323</v>
          </cell>
        </row>
        <row r="350">
          <cell r="AU350">
            <v>99.535417664292453</v>
          </cell>
        </row>
        <row r="351">
          <cell r="AU351">
            <v>98.272039728735081</v>
          </cell>
        </row>
        <row r="352">
          <cell r="AU352">
            <v>97.452426605983504</v>
          </cell>
        </row>
        <row r="353">
          <cell r="AU353">
            <v>99.224854122831672</v>
          </cell>
        </row>
        <row r="354">
          <cell r="AU354">
            <v>99.637549112347273</v>
          </cell>
        </row>
        <row r="355">
          <cell r="AU355">
            <v>98.440467924232209</v>
          </cell>
        </row>
        <row r="356">
          <cell r="AU356">
            <v>99.13510971387187</v>
          </cell>
        </row>
        <row r="357">
          <cell r="AU357">
            <v>95.843374606839177</v>
          </cell>
        </row>
        <row r="358">
          <cell r="AU358">
            <v>100.8345162679376</v>
          </cell>
        </row>
        <row r="359">
          <cell r="AU359">
            <v>99.271537216316347</v>
          </cell>
        </row>
        <row r="360">
          <cell r="AU360">
            <v>98.251005719348782</v>
          </cell>
        </row>
        <row r="361">
          <cell r="AU361">
            <v>98.519246414669013</v>
          </cell>
        </row>
        <row r="362">
          <cell r="AU362">
            <v>99.544031672518045</v>
          </cell>
        </row>
        <row r="363">
          <cell r="AU363">
            <v>96.768319863223013</v>
          </cell>
        </row>
        <row r="364">
          <cell r="AU364">
            <v>99.07258993276939</v>
          </cell>
        </row>
        <row r="365">
          <cell r="AU365">
            <v>99.857323318375492</v>
          </cell>
        </row>
        <row r="366">
          <cell r="AU366">
            <v>98.374607891386887</v>
          </cell>
        </row>
        <row r="367">
          <cell r="AU367">
            <v>99.488368097360109</v>
          </cell>
        </row>
        <row r="368">
          <cell r="AU368">
            <v>98.731758097232401</v>
          </cell>
        </row>
        <row r="369">
          <cell r="AU369">
            <v>100.21736158844494</v>
          </cell>
        </row>
        <row r="370">
          <cell r="AU370">
            <v>103.18823199126446</v>
          </cell>
        </row>
        <row r="371">
          <cell r="AU371">
            <v>100.97805319324719</v>
          </cell>
        </row>
        <row r="372">
          <cell r="AU372">
            <v>99.240317373165226</v>
          </cell>
        </row>
        <row r="373">
          <cell r="AU373">
            <v>100.01930356159028</v>
          </cell>
        </row>
        <row r="374">
          <cell r="AU374">
            <v>99.117134605566818</v>
          </cell>
        </row>
        <row r="375">
          <cell r="AU375">
            <v>98.53409263729877</v>
          </cell>
        </row>
        <row r="376">
          <cell r="AU376">
            <v>98.267373085193</v>
          </cell>
        </row>
        <row r="377">
          <cell r="AU377">
            <v>99.400995056811297</v>
          </cell>
        </row>
        <row r="378">
          <cell r="AU378">
            <v>98.240672157315458</v>
          </cell>
        </row>
        <row r="379">
          <cell r="AU379">
            <v>100.08308943032193</v>
          </cell>
        </row>
        <row r="380">
          <cell r="AU380">
            <v>99.429215913383217</v>
          </cell>
        </row>
        <row r="381">
          <cell r="AU381">
            <v>99.082241304611145</v>
          </cell>
        </row>
        <row r="382">
          <cell r="AU382">
            <v>98.955478462844866</v>
          </cell>
        </row>
        <row r="383">
          <cell r="AU383">
            <v>103.64536563023121</v>
          </cell>
        </row>
        <row r="384">
          <cell r="AU384">
            <v>99.556372614317851</v>
          </cell>
        </row>
        <row r="385">
          <cell r="AU385">
            <v>100.23457211367787</v>
          </cell>
        </row>
        <row r="386">
          <cell r="AU386">
            <v>99.664904263017561</v>
          </cell>
        </row>
        <row r="387">
          <cell r="AU387">
            <v>110.18976831746323</v>
          </cell>
        </row>
        <row r="388">
          <cell r="AU388">
            <v>103.07975259792097</v>
          </cell>
        </row>
        <row r="389">
          <cell r="AU389">
            <v>104.26734312107473</v>
          </cell>
        </row>
        <row r="390">
          <cell r="AU390">
            <v>98.579471202485308</v>
          </cell>
        </row>
        <row r="391">
          <cell r="AU391">
            <v>95.963693495592068</v>
          </cell>
        </row>
        <row r="392">
          <cell r="AU392">
            <v>99.238971902138758</v>
          </cell>
        </row>
        <row r="393">
          <cell r="AU393">
            <v>99.040551339905747</v>
          </cell>
        </row>
        <row r="394">
          <cell r="AU394">
            <v>98.963144227374542</v>
          </cell>
        </row>
        <row r="395">
          <cell r="AU395">
            <v>99.471522456377443</v>
          </cell>
        </row>
        <row r="396">
          <cell r="AU396">
            <v>110.11836123964689</v>
          </cell>
        </row>
        <row r="397">
          <cell r="AU397">
            <v>100.93888664190121</v>
          </cell>
        </row>
        <row r="398">
          <cell r="AU398">
            <v>102.6092819559459</v>
          </cell>
        </row>
        <row r="399">
          <cell r="AU399">
            <v>103.4487635068831</v>
          </cell>
        </row>
        <row r="400">
          <cell r="AU400">
            <v>103.49216064482762</v>
          </cell>
        </row>
        <row r="401">
          <cell r="AU401">
            <v>95.297118868006976</v>
          </cell>
        </row>
        <row r="402">
          <cell r="AU402">
            <v>97.971265135622474</v>
          </cell>
        </row>
        <row r="403">
          <cell r="AU403">
            <v>101.35082928790086</v>
          </cell>
        </row>
        <row r="404">
          <cell r="AU404">
            <v>98.32516426656413</v>
          </cell>
        </row>
        <row r="405">
          <cell r="AU405">
            <v>96.338703059118458</v>
          </cell>
        </row>
        <row r="406">
          <cell r="AU406">
            <v>103.61202517173329</v>
          </cell>
        </row>
        <row r="408">
          <cell r="AU408">
            <v>95.631382328480186</v>
          </cell>
        </row>
        <row r="409">
          <cell r="AU409">
            <v>99.607341973685323</v>
          </cell>
        </row>
        <row r="410">
          <cell r="AU410">
            <v>96.93353609459146</v>
          </cell>
        </row>
        <row r="411">
          <cell r="AU411">
            <v>93.91214847753632</v>
          </cell>
        </row>
        <row r="412">
          <cell r="AU412">
            <v>100.64036643332561</v>
          </cell>
        </row>
        <row r="413">
          <cell r="AU413">
            <v>100.74250758539831</v>
          </cell>
        </row>
        <row r="414">
          <cell r="AU414">
            <v>98.561750329588534</v>
          </cell>
        </row>
        <row r="415">
          <cell r="AU415">
            <v>97.017660095904347</v>
          </cell>
        </row>
        <row r="416">
          <cell r="AU416">
            <v>96.889012952960968</v>
          </cell>
        </row>
        <row r="417">
          <cell r="AU417">
            <v>99.141806688132675</v>
          </cell>
        </row>
        <row r="418">
          <cell r="AU418">
            <v>97.782920706629895</v>
          </cell>
        </row>
        <row r="419">
          <cell r="AU419">
            <v>99.202738493744974</v>
          </cell>
        </row>
        <row r="420">
          <cell r="AU420">
            <v>98.938732278713488</v>
          </cell>
        </row>
        <row r="421">
          <cell r="AU421">
            <v>95.251170553166219</v>
          </cell>
        </row>
        <row r="422">
          <cell r="AU422">
            <v>98.855650959942864</v>
          </cell>
        </row>
        <row r="423">
          <cell r="AU423">
            <v>99.296756798842424</v>
          </cell>
        </row>
        <row r="424">
          <cell r="AU424">
            <v>99.532128761708009</v>
          </cell>
        </row>
        <row r="425">
          <cell r="AU425">
            <v>98.677368246025509</v>
          </cell>
        </row>
        <row r="426">
          <cell r="AU426">
            <v>97.970840467406703</v>
          </cell>
        </row>
        <row r="427">
          <cell r="AU427">
            <v>89.72285586899315</v>
          </cell>
        </row>
        <row r="428">
          <cell r="AU428">
            <v>91.480560970611876</v>
          </cell>
        </row>
        <row r="429">
          <cell r="AU429">
            <v>102.81572231933967</v>
          </cell>
        </row>
        <row r="430">
          <cell r="AU430">
            <v>97.53246147842853</v>
          </cell>
        </row>
        <row r="431">
          <cell r="AU431">
            <v>101.4764845382836</v>
          </cell>
        </row>
        <row r="432">
          <cell r="AU432">
            <v>94.420432024783196</v>
          </cell>
        </row>
        <row r="433">
          <cell r="AU433">
            <v>98.691400341941531</v>
          </cell>
        </row>
        <row r="434">
          <cell r="AU434">
            <v>103.55060702259473</v>
          </cell>
        </row>
        <row r="435">
          <cell r="AU435">
            <v>102.15777570295772</v>
          </cell>
        </row>
        <row r="436">
          <cell r="AU436">
            <v>100.70383723233678</v>
          </cell>
        </row>
        <row r="437">
          <cell r="AU437">
            <v>97.232300097496136</v>
          </cell>
        </row>
        <row r="438">
          <cell r="AU438">
            <v>92.382202778407148</v>
          </cell>
        </row>
        <row r="439">
          <cell r="AU439">
            <v>97.59305095768498</v>
          </cell>
        </row>
        <row r="440">
          <cell r="AU440">
            <v>99.114352131140947</v>
          </cell>
        </row>
        <row r="441">
          <cell r="AU441">
            <v>101.74773831876141</v>
          </cell>
        </row>
        <row r="442">
          <cell r="AU442">
            <v>101.15075411390035</v>
          </cell>
        </row>
        <row r="443">
          <cell r="AU443">
            <v>100.7608150740576</v>
          </cell>
        </row>
        <row r="444">
          <cell r="AU444">
            <v>102.11087687430556</v>
          </cell>
        </row>
        <row r="445">
          <cell r="AU445">
            <v>97.714774385845217</v>
          </cell>
        </row>
        <row r="446">
          <cell r="AU446">
            <v>99.152464501194331</v>
          </cell>
        </row>
        <row r="447">
          <cell r="AU447">
            <v>100.20719306291083</v>
          </cell>
        </row>
        <row r="448">
          <cell r="AU448">
            <v>99.43566641619546</v>
          </cell>
        </row>
        <row r="449">
          <cell r="AU449">
            <v>99.805050917955171</v>
          </cell>
        </row>
        <row r="450">
          <cell r="AU450">
            <v>95.136570676243821</v>
          </cell>
        </row>
        <row r="451">
          <cell r="AU451">
            <v>97.36416377322503</v>
          </cell>
        </row>
        <row r="452">
          <cell r="AU452">
            <v>97.862623391351264</v>
          </cell>
        </row>
        <row r="453">
          <cell r="AU453">
            <v>97.800609434185759</v>
          </cell>
        </row>
        <row r="454">
          <cell r="AU454">
            <v>98.95270542785191</v>
          </cell>
        </row>
        <row r="455">
          <cell r="AU455">
            <v>100.51724226058469</v>
          </cell>
        </row>
        <row r="456">
          <cell r="AU456">
            <v>101.27782496495649</v>
          </cell>
        </row>
        <row r="457">
          <cell r="AU457">
            <v>102.5837050649381</v>
          </cell>
        </row>
        <row r="458">
          <cell r="AU458">
            <v>104.66984401683426</v>
          </cell>
        </row>
        <row r="459">
          <cell r="AU459">
            <v>98.304019498125228</v>
          </cell>
        </row>
        <row r="460">
          <cell r="AU460">
            <v>97.014683349877245</v>
          </cell>
        </row>
        <row r="461">
          <cell r="AU461">
            <v>97.447580490241648</v>
          </cell>
        </row>
        <row r="462">
          <cell r="AU462">
            <v>98.167333053044118</v>
          </cell>
        </row>
        <row r="463">
          <cell r="AU463">
            <v>98.296729895830666</v>
          </cell>
        </row>
        <row r="464">
          <cell r="AU464">
            <v>98.689372310249198</v>
          </cell>
        </row>
        <row r="465">
          <cell r="AU465">
            <v>102.41364770585815</v>
          </cell>
        </row>
        <row r="466">
          <cell r="AU466">
            <v>102.28996596570761</v>
          </cell>
        </row>
        <row r="467">
          <cell r="AU467">
            <v>98.146891722866016</v>
          </cell>
        </row>
        <row r="468">
          <cell r="AU468">
            <v>100.07512142272587</v>
          </cell>
        </row>
        <row r="469">
          <cell r="AU469">
            <v>99.410866604727133</v>
          </cell>
        </row>
        <row r="470">
          <cell r="AU470">
            <v>99.216324791410642</v>
          </cell>
        </row>
        <row r="471">
          <cell r="AU471">
            <v>99.85305901163683</v>
          </cell>
        </row>
        <row r="472">
          <cell r="AU472">
            <v>100.20325573917277</v>
          </cell>
        </row>
        <row r="473">
          <cell r="AU473">
            <v>96.242512503008982</v>
          </cell>
        </row>
        <row r="474">
          <cell r="AU474">
            <v>101.54386197711933</v>
          </cell>
        </row>
        <row r="475">
          <cell r="AU475">
            <v>101.92914166114666</v>
          </cell>
        </row>
        <row r="476">
          <cell r="AU476">
            <v>98.425622276353863</v>
          </cell>
        </row>
        <row r="477">
          <cell r="AU477">
            <v>96.914288345047083</v>
          </cell>
        </row>
        <row r="478">
          <cell r="AU478">
            <v>95.899416163198268</v>
          </cell>
        </row>
        <row r="479">
          <cell r="AU479">
            <v>93.818758218829061</v>
          </cell>
        </row>
        <row r="480">
          <cell r="AU480">
            <v>105.11814064156511</v>
          </cell>
        </row>
        <row r="481">
          <cell r="AU481">
            <v>99.052319134021872</v>
          </cell>
        </row>
        <row r="482">
          <cell r="AU482">
            <v>99.40938324534325</v>
          </cell>
        </row>
        <row r="483">
          <cell r="AU483">
            <v>98.439685453285023</v>
          </cell>
        </row>
        <row r="484">
          <cell r="AU484">
            <v>93.25149539820049</v>
          </cell>
        </row>
        <row r="485">
          <cell r="AU485">
            <v>99.168858867652744</v>
          </cell>
        </row>
        <row r="486">
          <cell r="AU486">
            <v>97.222637281827019</v>
          </cell>
        </row>
        <row r="487">
          <cell r="AU487">
            <v>97.331325024657417</v>
          </cell>
        </row>
        <row r="488">
          <cell r="AU488">
            <v>98.000559608173816</v>
          </cell>
        </row>
        <row r="489">
          <cell r="AU489">
            <v>97.533420912359546</v>
          </cell>
        </row>
        <row r="490">
          <cell r="AU490">
            <v>97.584116231539213</v>
          </cell>
        </row>
        <row r="491">
          <cell r="AU491">
            <v>94.959218637198205</v>
          </cell>
        </row>
        <row r="493">
          <cell r="AU493">
            <v>94.264410009304427</v>
          </cell>
        </row>
        <row r="494">
          <cell r="AU494">
            <v>98.3990612176312</v>
          </cell>
        </row>
        <row r="495">
          <cell r="AU495">
            <v>94.297173444430044</v>
          </cell>
        </row>
        <row r="496">
          <cell r="AU496">
            <v>119.86186934898069</v>
          </cell>
        </row>
        <row r="497">
          <cell r="AU497">
            <v>92.79563444744052</v>
          </cell>
        </row>
        <row r="498">
          <cell r="AU498">
            <v>98.531405738757485</v>
          </cell>
        </row>
        <row r="499">
          <cell r="AU499">
            <v>98.232112519036946</v>
          </cell>
        </row>
        <row r="500">
          <cell r="AU500">
            <v>97.476480884275105</v>
          </cell>
        </row>
        <row r="501">
          <cell r="AU501">
            <v>95.636317134607069</v>
          </cell>
        </row>
        <row r="502">
          <cell r="AU502">
            <v>96.480040939898842</v>
          </cell>
        </row>
        <row r="503">
          <cell r="AU503">
            <v>97.20406658494251</v>
          </cell>
        </row>
        <row r="504">
          <cell r="AU504">
            <v>98.20551375276743</v>
          </cell>
        </row>
        <row r="505">
          <cell r="AU505">
            <v>97.425305329060635</v>
          </cell>
        </row>
        <row r="506">
          <cell r="AU506">
            <v>98.005016161360899</v>
          </cell>
        </row>
        <row r="507">
          <cell r="AU507">
            <v>97.308789773401159</v>
          </cell>
        </row>
        <row r="508">
          <cell r="AU508">
            <v>97.963623821913586</v>
          </cell>
        </row>
        <row r="509">
          <cell r="AU509">
            <v>95.193774896809018</v>
          </cell>
        </row>
        <row r="510">
          <cell r="AU510">
            <v>101.54691869481707</v>
          </cell>
        </row>
        <row r="511">
          <cell r="AU511">
            <v>98.522946643117706</v>
          </cell>
        </row>
        <row r="512">
          <cell r="AU512">
            <v>98.826663752636136</v>
          </cell>
        </row>
        <row r="513">
          <cell r="AU513">
            <v>95.464164524325369</v>
          </cell>
        </row>
        <row r="514">
          <cell r="AU514">
            <v>97.517026447740761</v>
          </cell>
        </row>
        <row r="515">
          <cell r="AU515">
            <v>96.153051693044588</v>
          </cell>
        </row>
        <row r="516">
          <cell r="AU516">
            <v>98.680823909592263</v>
          </cell>
        </row>
        <row r="517">
          <cell r="AU517">
            <v>97.011248461874814</v>
          </cell>
        </row>
        <row r="518">
          <cell r="AU518">
            <v>98.283916514367903</v>
          </cell>
        </row>
        <row r="519">
          <cell r="AU519">
            <v>98.396014539498395</v>
          </cell>
        </row>
        <row r="520">
          <cell r="AU520">
            <v>97.854296701656025</v>
          </cell>
        </row>
        <row r="521">
          <cell r="AU521">
            <v>95.428407789866725</v>
          </cell>
        </row>
        <row r="522">
          <cell r="AU522">
            <v>97.99538000287356</v>
          </cell>
        </row>
        <row r="523">
          <cell r="AU523">
            <v>95.729634833153412</v>
          </cell>
        </row>
        <row r="524">
          <cell r="AU524">
            <v>96.651238339921917</v>
          </cell>
        </row>
        <row r="525">
          <cell r="AU525">
            <v>95.154518668294898</v>
          </cell>
        </row>
        <row r="526">
          <cell r="AU526">
            <v>98.892713086542798</v>
          </cell>
        </row>
        <row r="527">
          <cell r="AU527">
            <v>97.520711041698107</v>
          </cell>
        </row>
        <row r="528">
          <cell r="AU528">
            <v>97.450970277914166</v>
          </cell>
        </row>
        <row r="529">
          <cell r="AU529">
            <v>97.733634215304093</v>
          </cell>
        </row>
        <row r="530">
          <cell r="AU530">
            <v>99.525778970395052</v>
          </cell>
        </row>
        <row r="531">
          <cell r="AU531">
            <v>98.681008627727124</v>
          </cell>
        </row>
        <row r="532">
          <cell r="AU532">
            <v>102.14224681645948</v>
          </cell>
        </row>
        <row r="533">
          <cell r="AU533">
            <v>94.522395450056479</v>
          </cell>
        </row>
        <row r="534">
          <cell r="AU534">
            <v>98.098897075542141</v>
          </cell>
        </row>
        <row r="535">
          <cell r="AU535">
            <v>97.520430517125718</v>
          </cell>
        </row>
        <row r="536">
          <cell r="AU536">
            <v>98.116820172982628</v>
          </cell>
        </row>
        <row r="537">
          <cell r="AU537">
            <v>99.289078263260194</v>
          </cell>
        </row>
        <row r="538">
          <cell r="AU538">
            <v>97.939517976186764</v>
          </cell>
        </row>
        <row r="539">
          <cell r="AU539">
            <v>99.02629043970073</v>
          </cell>
        </row>
        <row r="540">
          <cell r="AU540">
            <v>92.480657542018434</v>
          </cell>
        </row>
        <row r="541">
          <cell r="AU541">
            <v>99.412357848822381</v>
          </cell>
        </row>
        <row r="542">
          <cell r="AU542">
            <v>96.49844356306086</v>
          </cell>
        </row>
        <row r="543">
          <cell r="AU543">
            <v>96.942525007854016</v>
          </cell>
        </row>
        <row r="544">
          <cell r="AU544">
            <v>97.91935961128155</v>
          </cell>
        </row>
        <row r="545">
          <cell r="AU545">
            <v>98.363446655942425</v>
          </cell>
        </row>
        <row r="546">
          <cell r="AU546">
            <v>101.03394439430311</v>
          </cell>
        </row>
        <row r="547">
          <cell r="AU547">
            <v>99.732285524420973</v>
          </cell>
        </row>
        <row r="548">
          <cell r="AU548">
            <v>97.47590491831717</v>
          </cell>
        </row>
        <row r="549">
          <cell r="AU549">
            <v>99.289078263260194</v>
          </cell>
        </row>
        <row r="550">
          <cell r="AU550">
            <v>103.6522838624015</v>
          </cell>
        </row>
        <row r="551">
          <cell r="AU551">
            <v>98.416232687970393</v>
          </cell>
        </row>
        <row r="552">
          <cell r="AU552">
            <v>97.710255322201732</v>
          </cell>
        </row>
        <row r="553">
          <cell r="AU553">
            <v>100.99146882475272</v>
          </cell>
        </row>
        <row r="554">
          <cell r="AU554">
            <v>96.949674647987464</v>
          </cell>
        </row>
        <row r="555">
          <cell r="AU555">
            <v>101.72160029026291</v>
          </cell>
        </row>
        <row r="556">
          <cell r="AU556">
            <v>97.553132584643137</v>
          </cell>
        </row>
        <row r="557">
          <cell r="AU557">
            <v>99.5590993434582</v>
          </cell>
        </row>
        <row r="558">
          <cell r="AU558">
            <v>98.012550227443327</v>
          </cell>
        </row>
        <row r="559">
          <cell r="AU559">
            <v>96.331969753365684</v>
          </cell>
        </row>
        <row r="560">
          <cell r="AU560">
            <v>97.974745026258816</v>
          </cell>
        </row>
        <row r="561">
          <cell r="AU561">
            <v>97.469441737692662</v>
          </cell>
        </row>
        <row r="562">
          <cell r="AU562">
            <v>98.110462198248086</v>
          </cell>
        </row>
        <row r="563">
          <cell r="AU563">
            <v>98.709564869595852</v>
          </cell>
        </row>
        <row r="564">
          <cell r="AU564">
            <v>99.532596918424787</v>
          </cell>
        </row>
        <row r="565">
          <cell r="AU565">
            <v>98.714479401126994</v>
          </cell>
        </row>
        <row r="566">
          <cell r="AU566">
            <v>100.74778296899167</v>
          </cell>
        </row>
        <row r="567">
          <cell r="AU567">
            <v>95.259026995380694</v>
          </cell>
        </row>
        <row r="568">
          <cell r="AU568">
            <v>99.207063166935825</v>
          </cell>
        </row>
        <row r="569">
          <cell r="AU569">
            <v>96.139471578525743</v>
          </cell>
        </row>
        <row r="570">
          <cell r="AU570">
            <v>98.449159710442089</v>
          </cell>
        </row>
        <row r="571">
          <cell r="AU571">
            <v>99.224349944382595</v>
          </cell>
        </row>
        <row r="572">
          <cell r="AU572">
            <v>98.642957268927205</v>
          </cell>
        </row>
        <row r="573">
          <cell r="AU573">
            <v>98.174932925496933</v>
          </cell>
        </row>
        <row r="574">
          <cell r="AU574">
            <v>100.46060714075915</v>
          </cell>
        </row>
        <row r="575">
          <cell r="AU575">
            <v>96.755045495948551</v>
          </cell>
        </row>
        <row r="576">
          <cell r="AU576">
            <v>99.853992090356243</v>
          </cell>
        </row>
        <row r="577">
          <cell r="AU577">
            <v>96.738729431574484</v>
          </cell>
        </row>
        <row r="578">
          <cell r="AU578">
            <v>97.695306890721909</v>
          </cell>
        </row>
        <row r="580">
          <cell r="AU580">
            <v>102.69776412900535</v>
          </cell>
        </row>
        <row r="581">
          <cell r="AU581">
            <v>97.88686631599785</v>
          </cell>
        </row>
        <row r="582">
          <cell r="AU582">
            <v>98.571257731235903</v>
          </cell>
        </row>
        <row r="583">
          <cell r="AU583">
            <v>98.571043835715642</v>
          </cell>
        </row>
        <row r="584">
          <cell r="AU584">
            <v>95.185471356899995</v>
          </cell>
        </row>
        <row r="585">
          <cell r="AU585">
            <v>99.17946707080003</v>
          </cell>
        </row>
        <row r="586">
          <cell r="AU586">
            <v>99.543727878925864</v>
          </cell>
        </row>
        <row r="587">
          <cell r="AU587">
            <v>97.889917934748922</v>
          </cell>
        </row>
        <row r="588">
          <cell r="AU588">
            <v>95.859275440725924</v>
          </cell>
        </row>
        <row r="589">
          <cell r="AU589">
            <v>96.645007206633522</v>
          </cell>
        </row>
        <row r="590">
          <cell r="AU590">
            <v>97.963146495004423</v>
          </cell>
        </row>
        <row r="591">
          <cell r="AU591">
            <v>99.511669092016191</v>
          </cell>
        </row>
        <row r="592">
          <cell r="AU592">
            <v>98.972456085637489</v>
          </cell>
        </row>
        <row r="593">
          <cell r="AU593">
            <v>98.415610512021729</v>
          </cell>
        </row>
        <row r="594">
          <cell r="AU594">
            <v>92.972627372087828</v>
          </cell>
        </row>
        <row r="595">
          <cell r="AU595">
            <v>98.283084887352516</v>
          </cell>
        </row>
        <row r="596">
          <cell r="AU596">
            <v>95.916153578466137</v>
          </cell>
        </row>
        <row r="597">
          <cell r="AU597">
            <v>99.582809845661828</v>
          </cell>
        </row>
        <row r="598">
          <cell r="AU598">
            <v>98.686815200406429</v>
          </cell>
        </row>
        <row r="599">
          <cell r="AU599">
            <v>98.396971333088018</v>
          </cell>
        </row>
        <row r="600">
          <cell r="AU600">
            <v>99.186447868618828</v>
          </cell>
        </row>
        <row r="601">
          <cell r="AU601">
            <v>98.626813340527619</v>
          </cell>
        </row>
        <row r="602">
          <cell r="AU602">
            <v>99.453237334018112</v>
          </cell>
        </row>
        <row r="603">
          <cell r="AU603">
            <v>97.788737373526942</v>
          </cell>
        </row>
        <row r="604">
          <cell r="AU604">
            <v>102.03955950290941</v>
          </cell>
        </row>
        <row r="605">
          <cell r="AU605">
            <v>102.10932922097018</v>
          </cell>
        </row>
        <row r="606">
          <cell r="AU606">
            <v>100.02277176135468</v>
          </cell>
        </row>
        <row r="607">
          <cell r="AU607">
            <v>99.31851681214593</v>
          </cell>
        </row>
        <row r="608">
          <cell r="AU608">
            <v>104.17809812254752</v>
          </cell>
        </row>
        <row r="609">
          <cell r="AU609">
            <v>99.244839917035478</v>
          </cell>
        </row>
        <row r="610">
          <cell r="AU610">
            <v>100.18083762081626</v>
          </cell>
        </row>
        <row r="611">
          <cell r="AU611">
            <v>98.931213213201133</v>
          </cell>
        </row>
        <row r="612">
          <cell r="AU612">
            <v>95.871754585259907</v>
          </cell>
        </row>
        <row r="613">
          <cell r="AU613">
            <v>96.469806047070719</v>
          </cell>
        </row>
        <row r="614">
          <cell r="AU614">
            <v>99.97962239398484</v>
          </cell>
        </row>
        <row r="615">
          <cell r="AU615">
            <v>100.43692372257216</v>
          </cell>
        </row>
        <row r="616">
          <cell r="AU616">
            <v>103.89768567471857</v>
          </cell>
        </row>
        <row r="617">
          <cell r="AU617">
            <v>99.462259754574006</v>
          </cell>
        </row>
        <row r="618">
          <cell r="AU618">
            <v>105.95914769207411</v>
          </cell>
        </row>
        <row r="619">
          <cell r="AU619">
            <v>99.880376931714494</v>
          </cell>
        </row>
        <row r="620">
          <cell r="AU620">
            <v>97.789021546474856</v>
          </cell>
        </row>
        <row r="621">
          <cell r="AU621">
            <v>99.121390865142828</v>
          </cell>
        </row>
        <row r="622">
          <cell r="AU622">
            <v>100.60238313741721</v>
          </cell>
        </row>
        <row r="623">
          <cell r="AU623">
            <v>99.619937989590866</v>
          </cell>
        </row>
        <row r="624">
          <cell r="AU624">
            <v>96.02723351981524</v>
          </cell>
        </row>
        <row r="625">
          <cell r="AU625">
            <v>100.34637549466056</v>
          </cell>
        </row>
        <row r="626">
          <cell r="AU626">
            <v>99.024059657078709</v>
          </cell>
        </row>
        <row r="627">
          <cell r="AU627">
            <v>100.72779578911953</v>
          </cell>
        </row>
        <row r="628">
          <cell r="AU628">
            <v>95.062413786977345</v>
          </cell>
        </row>
        <row r="629">
          <cell r="AU629">
            <v>100.19998827600605</v>
          </cell>
        </row>
        <row r="630">
          <cell r="AU630">
            <v>96.770453619089452</v>
          </cell>
        </row>
        <row r="631">
          <cell r="AU631">
            <v>98.89554470892142</v>
          </cell>
        </row>
        <row r="632">
          <cell r="AU632">
            <v>100.67434879413655</v>
          </cell>
        </row>
        <row r="633">
          <cell r="AU633">
            <v>100.86706866858944</v>
          </cell>
        </row>
        <row r="634">
          <cell r="AU634">
            <v>98.908486249601395</v>
          </cell>
        </row>
        <row r="635">
          <cell r="AU635">
            <v>97.04819842597729</v>
          </cell>
        </row>
        <row r="636">
          <cell r="AU636">
            <v>94.762519708980534</v>
          </cell>
        </row>
        <row r="637">
          <cell r="AU637">
            <v>97.914703316763664</v>
          </cell>
        </row>
        <row r="638">
          <cell r="AU638">
            <v>99.055189518738786</v>
          </cell>
        </row>
        <row r="639">
          <cell r="AU639">
            <v>99.280004783298395</v>
          </cell>
        </row>
        <row r="640">
          <cell r="AU640">
            <v>97.703493169177563</v>
          </cell>
        </row>
        <row r="641">
          <cell r="AU641">
            <v>98.395012844387324</v>
          </cell>
        </row>
        <row r="642">
          <cell r="AU642">
            <v>99.267754869638566</v>
          </cell>
        </row>
        <row r="643">
          <cell r="AU643">
            <v>98.363616167337554</v>
          </cell>
        </row>
        <row r="644">
          <cell r="AU644">
            <v>95.518861174528027</v>
          </cell>
        </row>
        <row r="645">
          <cell r="AU645">
            <v>97.110774474396919</v>
          </cell>
        </row>
        <row r="646">
          <cell r="AU646">
            <v>99.389923122874848</v>
          </cell>
        </row>
        <row r="647">
          <cell r="AU647">
            <v>97.540187032709667</v>
          </cell>
        </row>
        <row r="648">
          <cell r="AU648">
            <v>97.365271655099377</v>
          </cell>
        </row>
        <row r="649">
          <cell r="AU649">
            <v>97.631449601667157</v>
          </cell>
        </row>
        <row r="650">
          <cell r="AU650">
            <v>96.689090831338149</v>
          </cell>
        </row>
        <row r="651">
          <cell r="AU651">
            <v>97.882815113244646</v>
          </cell>
        </row>
        <row r="652">
          <cell r="AU652">
            <v>96.445959569089808</v>
          </cell>
        </row>
        <row r="655">
          <cell r="AU655">
            <v>96.304712396353338</v>
          </cell>
        </row>
        <row r="656">
          <cell r="AU656">
            <v>99.118181278953728</v>
          </cell>
        </row>
        <row r="657">
          <cell r="AU657">
            <v>97.615120353834655</v>
          </cell>
        </row>
        <row r="658">
          <cell r="AU658">
            <v>103.15419336170059</v>
          </cell>
        </row>
        <row r="659">
          <cell r="AU659">
            <v>98.649637600523405</v>
          </cell>
        </row>
        <row r="660">
          <cell r="AU660">
            <v>97.957124540291332</v>
          </cell>
        </row>
        <row r="661">
          <cell r="AU661">
            <v>96.012096709224608</v>
          </cell>
        </row>
        <row r="662">
          <cell r="AU662">
            <v>98.848570813828061</v>
          </cell>
        </row>
        <row r="663">
          <cell r="AU663">
            <v>95.560563500415711</v>
          </cell>
        </row>
        <row r="664">
          <cell r="AU664">
            <v>96.767185693620888</v>
          </cell>
        </row>
        <row r="665">
          <cell r="AU665">
            <v>98.867593495342305</v>
          </cell>
        </row>
        <row r="666">
          <cell r="AU666">
            <v>97.323462586589443</v>
          </cell>
        </row>
        <row r="667">
          <cell r="AU667">
            <v>99.15607004057388</v>
          </cell>
        </row>
        <row r="668">
          <cell r="AU668">
            <v>97.637464665363979</v>
          </cell>
        </row>
        <row r="669">
          <cell r="AU669">
            <v>97.705873048619281</v>
          </cell>
        </row>
        <row r="670">
          <cell r="AU670">
            <v>94.605058854812228</v>
          </cell>
        </row>
        <row r="671">
          <cell r="AU671">
            <v>95.083980735081909</v>
          </cell>
        </row>
        <row r="672">
          <cell r="AU672">
            <v>98.919122365093997</v>
          </cell>
        </row>
        <row r="673">
          <cell r="AU673">
            <v>97.638634437393492</v>
          </cell>
        </row>
        <row r="674">
          <cell r="AU674">
            <v>98.930528450895224</v>
          </cell>
        </row>
        <row r="675">
          <cell r="AU675">
            <v>94.474085231602828</v>
          </cell>
        </row>
        <row r="676">
          <cell r="AU676">
            <v>94.381470916534838</v>
          </cell>
        </row>
        <row r="677">
          <cell r="AU677">
            <v>96.558973422687743</v>
          </cell>
        </row>
        <row r="678">
          <cell r="AU678">
            <v>97.902606175842621</v>
          </cell>
        </row>
        <row r="679">
          <cell r="AU679">
            <v>95.140303221190877</v>
          </cell>
        </row>
        <row r="680">
          <cell r="AU680">
            <v>94.898144488922568</v>
          </cell>
        </row>
        <row r="681">
          <cell r="AU681">
            <v>99.426283632825474</v>
          </cell>
        </row>
        <row r="682">
          <cell r="AU682">
            <v>91.882136575823367</v>
          </cell>
        </row>
        <row r="683">
          <cell r="AU683">
            <v>112.50466711601209</v>
          </cell>
        </row>
        <row r="684">
          <cell r="AU684">
            <v>95.622664620561409</v>
          </cell>
        </row>
        <row r="685">
          <cell r="AU685">
            <v>92.823695592109161</v>
          </cell>
        </row>
        <row r="686">
          <cell r="AU686">
            <v>92.782356776262588</v>
          </cell>
        </row>
        <row r="687">
          <cell r="AU687">
            <v>93.553154889493129</v>
          </cell>
        </row>
        <row r="688">
          <cell r="AU688">
            <v>86.147235929491302</v>
          </cell>
        </row>
        <row r="689">
          <cell r="AU689">
            <v>100.87711898473853</v>
          </cell>
        </row>
        <row r="690">
          <cell r="AU690">
            <v>100.18232401839731</v>
          </cell>
        </row>
        <row r="691">
          <cell r="AU691">
            <v>99.246837552545273</v>
          </cell>
        </row>
        <row r="692">
          <cell r="AU692">
            <v>92.680701282459751</v>
          </cell>
        </row>
        <row r="693">
          <cell r="AU693">
            <v>93.065078130770544</v>
          </cell>
        </row>
        <row r="694">
          <cell r="AU694">
            <v>94.459926054325564</v>
          </cell>
        </row>
        <row r="695">
          <cell r="AU695">
            <v>92.774524142416354</v>
          </cell>
        </row>
        <row r="696">
          <cell r="AU696">
            <v>93.352893936370009</v>
          </cell>
        </row>
        <row r="697">
          <cell r="AU697">
            <v>98.340629704081778</v>
          </cell>
        </row>
        <row r="698">
          <cell r="AU698">
            <v>92.796721886775444</v>
          </cell>
        </row>
        <row r="699">
          <cell r="AU699">
            <v>94.00701375647705</v>
          </cell>
        </row>
        <row r="700">
          <cell r="AU700">
            <v>94.62095793854931</v>
          </cell>
        </row>
        <row r="701">
          <cell r="AU701">
            <v>93.044640016207893</v>
          </cell>
        </row>
        <row r="702">
          <cell r="AU702">
            <v>93.369220627052428</v>
          </cell>
        </row>
        <row r="703">
          <cell r="AU703">
            <v>99.089598150267804</v>
          </cell>
        </row>
        <row r="704">
          <cell r="AU704">
            <v>93.045734095158593</v>
          </cell>
        </row>
        <row r="705">
          <cell r="AU705">
            <v>96.969115359934918</v>
          </cell>
        </row>
        <row r="706">
          <cell r="AU706">
            <v>99.506348908438042</v>
          </cell>
        </row>
        <row r="707">
          <cell r="AU707">
            <v>99.772692532303708</v>
          </cell>
        </row>
        <row r="708">
          <cell r="AU708">
            <v>102.73068573958028</v>
          </cell>
        </row>
        <row r="709">
          <cell r="AU709">
            <v>102.76795002442545</v>
          </cell>
        </row>
        <row r="710">
          <cell r="AU710">
            <v>98.105830728967618</v>
          </cell>
        </row>
        <row r="711">
          <cell r="AU711">
            <v>96.329138070428243</v>
          </cell>
        </row>
        <row r="712">
          <cell r="AU712">
            <v>94.406883962835934</v>
          </cell>
        </row>
        <row r="713">
          <cell r="AU713">
            <v>91.254953718205954</v>
          </cell>
        </row>
        <row r="714">
          <cell r="AU714">
            <v>100.66658270876239</v>
          </cell>
        </row>
        <row r="715">
          <cell r="AU715">
            <v>95.672180304079035</v>
          </cell>
        </row>
        <row r="716">
          <cell r="AU716">
            <v>100.24168624444627</v>
          </cell>
        </row>
        <row r="717">
          <cell r="AU717">
            <v>95.855441016502525</v>
          </cell>
        </row>
        <row r="718">
          <cell r="AU718">
            <v>95.829213866646711</v>
          </cell>
        </row>
        <row r="719">
          <cell r="AU719">
            <v>96.5946434748966</v>
          </cell>
        </row>
        <row r="720">
          <cell r="AU720">
            <v>98.766868880380287</v>
          </cell>
        </row>
        <row r="721">
          <cell r="AU721">
            <v>92.984654156961994</v>
          </cell>
        </row>
        <row r="722">
          <cell r="AU722">
            <v>93.891733112726655</v>
          </cell>
        </row>
        <row r="723">
          <cell r="AU723">
            <v>95.328941787599831</v>
          </cell>
        </row>
        <row r="724">
          <cell r="AU724">
            <v>90.068244804867078</v>
          </cell>
        </row>
        <row r="725">
          <cell r="AU725">
            <v>94.067285834427324</v>
          </cell>
        </row>
        <row r="726">
          <cell r="AU726">
            <v>97.447717155036315</v>
          </cell>
        </row>
        <row r="727">
          <cell r="AU727">
            <v>96.91430580541217</v>
          </cell>
        </row>
        <row r="728">
          <cell r="AU728">
            <v>98.270733122829682</v>
          </cell>
        </row>
        <row r="729">
          <cell r="AU729">
            <v>100.68465189715201</v>
          </cell>
        </row>
        <row r="730">
          <cell r="AU730">
            <v>97.576513945686116</v>
          </cell>
        </row>
        <row r="731">
          <cell r="AU731">
            <v>100.1904434842934</v>
          </cell>
        </row>
        <row r="732">
          <cell r="AU732">
            <v>96.382789717284254</v>
          </cell>
        </row>
        <row r="733">
          <cell r="AU733">
            <v>92.804231078083191</v>
          </cell>
        </row>
        <row r="734">
          <cell r="AU734">
            <v>97.518932621613743</v>
          </cell>
        </row>
        <row r="735">
          <cell r="AU735">
            <v>95.319316778775942</v>
          </cell>
        </row>
        <row r="736">
          <cell r="AU736">
            <v>96.013932215448122</v>
          </cell>
        </row>
        <row r="737">
          <cell r="AU737">
            <v>96.039117326010768</v>
          </cell>
        </row>
        <row r="738">
          <cell r="AU738">
            <v>98.325106629636323</v>
          </cell>
        </row>
        <row r="739">
          <cell r="AU739">
            <v>96.7</v>
          </cell>
        </row>
        <row r="740">
          <cell r="A740" t="str">
            <v>CA631</v>
          </cell>
          <cell r="P740">
            <v>59</v>
          </cell>
          <cell r="Q740">
            <v>10.415094339622634</v>
          </cell>
          <cell r="T740">
            <v>0.24236111111111111</v>
          </cell>
          <cell r="U740">
            <v>0.36249999999999999</v>
          </cell>
          <cell r="V740">
            <v>60</v>
          </cell>
          <cell r="Z740">
            <v>0.24791666666666667</v>
          </cell>
          <cell r="AF740">
            <v>48.2</v>
          </cell>
          <cell r="AG740">
            <v>11.6</v>
          </cell>
          <cell r="AI740">
            <v>48.8</v>
          </cell>
          <cell r="AU740">
            <v>95.362732388132287</v>
          </cell>
          <cell r="AV740">
            <v>97.566417832182964</v>
          </cell>
          <cell r="AX740" t="str">
            <v>K.Benjamin</v>
          </cell>
        </row>
        <row r="741">
          <cell r="A741" t="str">
            <v>CA632</v>
          </cell>
          <cell r="P741">
            <v>61</v>
          </cell>
          <cell r="Q741">
            <v>3.622641509433965</v>
          </cell>
          <cell r="T741">
            <v>0.34097222222222223</v>
          </cell>
          <cell r="U741">
            <v>0.44791666666666669</v>
          </cell>
          <cell r="V741">
            <v>62</v>
          </cell>
          <cell r="Z741">
            <v>0.25</v>
          </cell>
          <cell r="AF741">
            <v>51.8</v>
          </cell>
          <cell r="AG741">
            <v>11.9</v>
          </cell>
          <cell r="AI741">
            <v>51.4</v>
          </cell>
          <cell r="AU741">
            <v>99.363542914423661</v>
          </cell>
          <cell r="AV741">
            <v>101.66355917071739</v>
          </cell>
          <cell r="AX741" t="str">
            <v>R. Regis</v>
          </cell>
        </row>
        <row r="742">
          <cell r="A742" t="str">
            <v>CA633</v>
          </cell>
          <cell r="P742">
            <v>59</v>
          </cell>
          <cell r="Q742">
            <v>2.6792452830188709</v>
          </cell>
          <cell r="T742">
            <v>0.42291666666666666</v>
          </cell>
          <cell r="U742">
            <v>0.52986111111111112</v>
          </cell>
          <cell r="V742">
            <v>57</v>
          </cell>
          <cell r="Z742">
            <v>0.24861111111111112</v>
          </cell>
          <cell r="AF742">
            <v>53.6</v>
          </cell>
          <cell r="AG742">
            <v>11.8</v>
          </cell>
          <cell r="AI742">
            <v>52.8</v>
          </cell>
          <cell r="AU742">
            <v>101.92179600811302</v>
          </cell>
          <cell r="AV742">
            <v>104.28025745561777</v>
          </cell>
          <cell r="AX742" t="str">
            <v>R. Regis</v>
          </cell>
        </row>
        <row r="743">
          <cell r="A743" t="str">
            <v>CA634</v>
          </cell>
          <cell r="P743">
            <v>60</v>
          </cell>
          <cell r="Q743">
            <v>2.4905660377358494</v>
          </cell>
          <cell r="T743">
            <v>0.52152777777777781</v>
          </cell>
          <cell r="U743">
            <v>0.62986111111111109</v>
          </cell>
          <cell r="V743">
            <v>62</v>
          </cell>
          <cell r="Z743">
            <v>0.2409722222222222</v>
          </cell>
          <cell r="AF743">
            <v>52.8</v>
          </cell>
          <cell r="AG743">
            <v>11.8</v>
          </cell>
          <cell r="AI743">
            <v>51.4</v>
          </cell>
          <cell r="AU743">
            <v>102.52919132530714</v>
          </cell>
          <cell r="AV743">
            <v>104.89820483554071</v>
          </cell>
          <cell r="AX743" t="str">
            <v>R. Regis</v>
          </cell>
        </row>
        <row r="744">
          <cell r="A744" t="str">
            <v>CA635</v>
          </cell>
          <cell r="P744">
            <v>61</v>
          </cell>
          <cell r="Q744">
            <v>2.6792452830188709</v>
          </cell>
          <cell r="T744">
            <v>0.69861111111111107</v>
          </cell>
          <cell r="U744">
            <v>0.72291666666666665</v>
          </cell>
          <cell r="V744">
            <v>63</v>
          </cell>
          <cell r="Z744">
            <v>0.24722222222222223</v>
          </cell>
          <cell r="AF744">
            <v>52.3</v>
          </cell>
          <cell r="AG744">
            <v>11.8</v>
          </cell>
          <cell r="AI744">
            <v>50.4</v>
          </cell>
          <cell r="AU744">
            <v>97.168340669287645</v>
          </cell>
          <cell r="AV744">
            <v>99.416930991590704</v>
          </cell>
          <cell r="AX744" t="str">
            <v>R. Regis</v>
          </cell>
        </row>
        <row r="745">
          <cell r="A745" t="str">
            <v>CA636</v>
          </cell>
          <cell r="P745">
            <v>57</v>
          </cell>
          <cell r="Q745">
            <v>3.5555555555555589</v>
          </cell>
          <cell r="T745">
            <v>0.70208333333333328</v>
          </cell>
          <cell r="U745">
            <v>0.80486111111111114</v>
          </cell>
          <cell r="V745">
            <v>58</v>
          </cell>
          <cell r="Z745">
            <v>0.24236111111111114</v>
          </cell>
          <cell r="AF745">
            <v>52.8</v>
          </cell>
          <cell r="AG745">
            <v>11.6</v>
          </cell>
          <cell r="AI745">
            <v>51.4</v>
          </cell>
          <cell r="AU745">
            <v>96.849171385572703</v>
          </cell>
          <cell r="AV745">
            <v>99.090864761628623</v>
          </cell>
          <cell r="AX745" t="str">
            <v>R.Sookram</v>
          </cell>
        </row>
        <row r="746">
          <cell r="A746" t="str">
            <v>CA637</v>
          </cell>
          <cell r="P746">
            <v>60</v>
          </cell>
          <cell r="Q746">
            <v>9.2962962962962887</v>
          </cell>
          <cell r="T746">
            <v>0.92777777777777781</v>
          </cell>
          <cell r="U746">
            <v>1.03125</v>
          </cell>
          <cell r="V746">
            <v>49</v>
          </cell>
          <cell r="Z746">
            <v>0.23263888888888884</v>
          </cell>
          <cell r="AF746">
            <v>50.9</v>
          </cell>
          <cell r="AG746">
            <v>11.8</v>
          </cell>
          <cell r="AI746">
            <v>48.7</v>
          </cell>
          <cell r="AU746">
            <v>93.373778368097376</v>
          </cell>
          <cell r="AV746">
            <v>95.4456711445049</v>
          </cell>
          <cell r="AX746" t="str">
            <v>R.Sookram</v>
          </cell>
        </row>
        <row r="747">
          <cell r="A747" t="str">
            <v>CA638</v>
          </cell>
          <cell r="P747">
            <v>60</v>
          </cell>
          <cell r="Q747">
            <v>5.6981132075471628</v>
          </cell>
          <cell r="T747">
            <v>1.0131944444444445</v>
          </cell>
          <cell r="U747">
            <v>1.1208333333333333</v>
          </cell>
          <cell r="V747">
            <v>52</v>
          </cell>
          <cell r="Z747">
            <v>0.23888888888888893</v>
          </cell>
          <cell r="AF747">
            <v>52.4</v>
          </cell>
          <cell r="AG747">
            <v>11.9</v>
          </cell>
          <cell r="AI747">
            <v>49.7</v>
          </cell>
          <cell r="AU747">
            <v>95.78615294016592</v>
          </cell>
          <cell r="AV747">
            <v>97.912270782605574</v>
          </cell>
          <cell r="AX747" t="str">
            <v>K.Benjamin</v>
          </cell>
        </row>
        <row r="748">
          <cell r="A748" t="str">
            <v>CA639</v>
          </cell>
          <cell r="P748">
            <v>60</v>
          </cell>
          <cell r="Q748">
            <v>3.622641509433965</v>
          </cell>
          <cell r="T748">
            <v>1.1034722222222222</v>
          </cell>
          <cell r="U748">
            <v>1.2083333333333333</v>
          </cell>
          <cell r="V748">
            <v>53</v>
          </cell>
          <cell r="Z748">
            <v>0.24305555555555547</v>
          </cell>
          <cell r="AF748">
            <v>52.3</v>
          </cell>
          <cell r="AG748">
            <v>11.9</v>
          </cell>
          <cell r="AI748">
            <v>50.7</v>
          </cell>
          <cell r="AU748">
            <v>98.495904658829232</v>
          </cell>
          <cell r="AV748">
            <v>100.77534117421787</v>
          </cell>
          <cell r="AX748" t="str">
            <v>K.Benjamin</v>
          </cell>
        </row>
        <row r="749">
          <cell r="A749" t="str">
            <v>CA640</v>
          </cell>
          <cell r="P749">
            <v>60</v>
          </cell>
          <cell r="Q749">
            <v>7.5849056603773519</v>
          </cell>
          <cell r="T749">
            <v>0.19791666666666666</v>
          </cell>
          <cell r="U749">
            <v>0.31597222222222221</v>
          </cell>
          <cell r="V749">
            <v>57</v>
          </cell>
          <cell r="Z749">
            <v>0.24652777777777776</v>
          </cell>
          <cell r="AF749">
            <v>49.7</v>
          </cell>
          <cell r="AG749">
            <v>11.9</v>
          </cell>
          <cell r="AI749">
            <v>49.7</v>
          </cell>
          <cell r="AU749">
            <v>96.913279660846712</v>
          </cell>
          <cell r="AV749">
            <v>99.155721080550038</v>
          </cell>
          <cell r="AX749" t="str">
            <v>K.Benjamin</v>
          </cell>
        </row>
        <row r="750">
          <cell r="A750" t="str">
            <v>CA641</v>
          </cell>
          <cell r="P750">
            <v>60</v>
          </cell>
          <cell r="Q750">
            <v>6.0640301318267396</v>
          </cell>
          <cell r="T750">
            <v>0.34444444444444444</v>
          </cell>
          <cell r="U750">
            <v>0.45833333333333331</v>
          </cell>
          <cell r="V750">
            <v>58</v>
          </cell>
          <cell r="Z750">
            <v>0.24999999999999997</v>
          </cell>
          <cell r="AF750">
            <v>50.6</v>
          </cell>
          <cell r="AG750">
            <v>11.7</v>
          </cell>
          <cell r="AI750">
            <v>48.9</v>
          </cell>
          <cell r="AU750">
            <v>92.692854429866827</v>
          </cell>
          <cell r="AV750">
            <v>94.750087796960187</v>
          </cell>
          <cell r="AX750" t="str">
            <v>R. Regis</v>
          </cell>
        </row>
        <row r="751">
          <cell r="A751" t="str">
            <v>CA642</v>
          </cell>
          <cell r="P751">
            <v>60</v>
          </cell>
          <cell r="Q751">
            <v>2.2975517890772106</v>
          </cell>
          <cell r="T751">
            <v>0.43680555555555556</v>
          </cell>
          <cell r="U751">
            <v>0.5493055555555556</v>
          </cell>
          <cell r="V751">
            <v>65</v>
          </cell>
          <cell r="Z751">
            <v>0.24375000000000002</v>
          </cell>
          <cell r="AF751">
            <v>53.5</v>
          </cell>
          <cell r="AG751">
            <v>11.6</v>
          </cell>
          <cell r="AI751">
            <v>52.7</v>
          </cell>
          <cell r="AU751">
            <v>98.754508614792641</v>
          </cell>
          <cell r="AV751">
            <v>100.94675170584908</v>
          </cell>
          <cell r="AX751" t="str">
            <v>R. Regis</v>
          </cell>
        </row>
        <row r="752">
          <cell r="A752" t="str">
            <v>CA643</v>
          </cell>
          <cell r="P752">
            <v>60</v>
          </cell>
          <cell r="Q752">
            <v>2.4905660377358494</v>
          </cell>
          <cell r="T752">
            <v>0.53333333333333333</v>
          </cell>
          <cell r="U752">
            <v>0.64513888888888893</v>
          </cell>
          <cell r="V752">
            <v>64</v>
          </cell>
          <cell r="Z752">
            <v>0.25625000000000003</v>
          </cell>
          <cell r="AF752">
            <v>52.4</v>
          </cell>
          <cell r="AG752">
            <v>11.9</v>
          </cell>
          <cell r="AI752">
            <v>50.4</v>
          </cell>
          <cell r="AU752">
            <v>96.897137107466193</v>
          </cell>
          <cell r="AV752">
            <v>99.048381639608507</v>
          </cell>
          <cell r="AX752" t="str">
            <v>R. Regis</v>
          </cell>
        </row>
        <row r="753">
          <cell r="A753" t="str">
            <v>CA644</v>
          </cell>
          <cell r="P753">
            <v>57</v>
          </cell>
          <cell r="Q753">
            <v>1.5471698113207553</v>
          </cell>
          <cell r="T753">
            <v>0.63055555555555554</v>
          </cell>
          <cell r="U753">
            <v>0.73958333333333337</v>
          </cell>
          <cell r="V753">
            <v>62</v>
          </cell>
          <cell r="Z753">
            <v>0.26041666666666669</v>
          </cell>
          <cell r="AF753">
            <v>53.3</v>
          </cell>
          <cell r="AG753">
            <v>11.7</v>
          </cell>
          <cell r="AI753">
            <v>51.9</v>
          </cell>
          <cell r="AU753">
            <v>98.379532615748218</v>
          </cell>
          <cell r="AV753">
            <v>100.56297661885958</v>
          </cell>
          <cell r="AX753" t="str">
            <v>R. Regis</v>
          </cell>
        </row>
        <row r="754">
          <cell r="A754" t="str">
            <v>CA645</v>
          </cell>
          <cell r="P754">
            <v>57</v>
          </cell>
          <cell r="Q754">
            <v>3.1851851851851833</v>
          </cell>
          <cell r="T754">
            <v>0.72361111111111109</v>
          </cell>
          <cell r="U754">
            <v>0.82430555555555551</v>
          </cell>
          <cell r="V754">
            <v>63</v>
          </cell>
          <cell r="Z754">
            <v>0.24791666666666667</v>
          </cell>
          <cell r="AF754">
            <v>53</v>
          </cell>
          <cell r="AG754">
            <v>11.6</v>
          </cell>
          <cell r="AI754">
            <v>51.1</v>
          </cell>
          <cell r="AU754">
            <v>96.881645310422897</v>
          </cell>
          <cell r="AV754">
            <v>99.123478111497889</v>
          </cell>
          <cell r="AX754" t="str">
            <v>R.Sookram</v>
          </cell>
        </row>
        <row r="755">
          <cell r="A755" t="str">
            <v>CA646</v>
          </cell>
          <cell r="P755">
            <v>58</v>
          </cell>
          <cell r="Q755">
            <v>2.6296296296296329</v>
          </cell>
          <cell r="T755">
            <v>0.80972222222222223</v>
          </cell>
          <cell r="U755">
            <v>0.91805555555555551</v>
          </cell>
          <cell r="V755">
            <v>71</v>
          </cell>
          <cell r="Z755">
            <v>0.2583333333333333</v>
          </cell>
          <cell r="AF755">
            <v>53.3</v>
          </cell>
          <cell r="AG755">
            <v>11.6</v>
          </cell>
          <cell r="AI755">
            <v>51.6</v>
          </cell>
          <cell r="AU755">
            <v>97.829606614830169</v>
          </cell>
          <cell r="AV755">
            <v>100.09337515759864</v>
          </cell>
          <cell r="AX755" t="str">
            <v>R.Sookram</v>
          </cell>
        </row>
        <row r="756">
          <cell r="A756" t="str">
            <v>CA647</v>
          </cell>
          <cell r="P756">
            <v>58</v>
          </cell>
          <cell r="Q756">
            <v>2.4444444444444451</v>
          </cell>
          <cell r="T756">
            <v>0.89652777777777781</v>
          </cell>
          <cell r="U756">
            <v>1.0006944444444446</v>
          </cell>
          <cell r="V756">
            <v>57</v>
          </cell>
          <cell r="Z756">
            <v>0.25069444444444455</v>
          </cell>
          <cell r="AF756">
            <v>53.8</v>
          </cell>
          <cell r="AG756">
            <v>11.9</v>
          </cell>
          <cell r="AI756">
            <v>52</v>
          </cell>
          <cell r="AU756">
            <v>101.39820004756599</v>
          </cell>
          <cell r="AV756">
            <v>103.74441642230587</v>
          </cell>
          <cell r="AX756" t="str">
            <v>R.Sookram</v>
          </cell>
        </row>
        <row r="757">
          <cell r="A757" t="str">
            <v>CA648</v>
          </cell>
          <cell r="P757">
            <v>63</v>
          </cell>
          <cell r="Q757">
            <v>3.2452830188679229</v>
          </cell>
          <cell r="T757">
            <v>0.98333333333333328</v>
          </cell>
          <cell r="U757">
            <v>1.1027777777777779</v>
          </cell>
          <cell r="V757">
            <v>58</v>
          </cell>
          <cell r="Z757">
            <v>0.26250000000000007</v>
          </cell>
          <cell r="AF757">
            <v>52</v>
          </cell>
          <cell r="AG757">
            <v>11.8</v>
          </cell>
          <cell r="AI757">
            <v>51</v>
          </cell>
          <cell r="AU757">
            <v>98.447189326018275</v>
          </cell>
          <cell r="AV757">
            <v>100.72524867872173</v>
          </cell>
          <cell r="AX757" t="str">
            <v>K.Benjamin</v>
          </cell>
        </row>
        <row r="758">
          <cell r="A758" t="str">
            <v>CA649</v>
          </cell>
          <cell r="P758">
            <v>59</v>
          </cell>
          <cell r="Q758">
            <v>1.9245283018867849</v>
          </cell>
          <cell r="T758">
            <v>1.1381944444444445</v>
          </cell>
          <cell r="U758">
            <v>1.2465277777777777</v>
          </cell>
          <cell r="V758">
            <v>55</v>
          </cell>
          <cell r="Z758">
            <v>0.24999999999999989</v>
          </cell>
          <cell r="AF758">
            <v>52.7</v>
          </cell>
          <cell r="AG758">
            <v>11.7</v>
          </cell>
          <cell r="AI758">
            <v>49.8</v>
          </cell>
          <cell r="AU758">
            <v>94.631693413188884</v>
          </cell>
          <cell r="AV758">
            <v>96.73149836302251</v>
          </cell>
          <cell r="AX758" t="str">
            <v>K.Benjamin</v>
          </cell>
        </row>
        <row r="759">
          <cell r="A759" t="str">
            <v>CA650</v>
          </cell>
          <cell r="P759">
            <v>60</v>
          </cell>
          <cell r="Q759">
            <v>2.8679245283018791</v>
          </cell>
          <cell r="T759">
            <v>0.23125000000000001</v>
          </cell>
          <cell r="U759">
            <v>0.34305555555555556</v>
          </cell>
          <cell r="V759">
            <v>64</v>
          </cell>
          <cell r="Z759">
            <v>0.24236111111111111</v>
          </cell>
          <cell r="AF759">
            <v>52.2</v>
          </cell>
          <cell r="AG759">
            <v>11.7</v>
          </cell>
          <cell r="AI759">
            <v>51.3</v>
          </cell>
          <cell r="AU759">
            <v>97.723080372972419</v>
          </cell>
          <cell r="AV759">
            <v>99.891004315756788</v>
          </cell>
          <cell r="AX759" t="str">
            <v>K.Benjamin</v>
          </cell>
        </row>
        <row r="760">
          <cell r="A760" t="str">
            <v>CA651</v>
          </cell>
          <cell r="P760">
            <v>61</v>
          </cell>
          <cell r="Q760">
            <v>0.60263653483992519</v>
          </cell>
          <cell r="T760">
            <v>0.32291666666666669</v>
          </cell>
          <cell r="U760">
            <v>0.43263888888888891</v>
          </cell>
          <cell r="V760">
            <v>62</v>
          </cell>
          <cell r="Z760">
            <v>0.25555555555555554</v>
          </cell>
          <cell r="AF760">
            <v>53.5</v>
          </cell>
          <cell r="AG760">
            <v>11.6</v>
          </cell>
          <cell r="AI760">
            <v>51.7</v>
          </cell>
          <cell r="AU760">
            <v>97.599251917880025</v>
          </cell>
          <cell r="AV760">
            <v>99.764428805704924</v>
          </cell>
          <cell r="AX760" t="str">
            <v>R. Regis</v>
          </cell>
        </row>
        <row r="761">
          <cell r="A761" t="str">
            <v>CA652</v>
          </cell>
          <cell r="P761">
            <v>61</v>
          </cell>
          <cell r="Q761">
            <v>1.1676082862523494</v>
          </cell>
          <cell r="T761">
            <v>0.42638888888888887</v>
          </cell>
          <cell r="U761">
            <v>0.5395833333333333</v>
          </cell>
          <cell r="V761">
            <v>63</v>
          </cell>
          <cell r="Z761">
            <v>0.27569444444444441</v>
          </cell>
          <cell r="AF761">
            <v>53.2</v>
          </cell>
          <cell r="AG761">
            <v>11.7</v>
          </cell>
          <cell r="AI761">
            <v>51.3</v>
          </cell>
          <cell r="AU761">
            <v>97.482045624429517</v>
          </cell>
          <cell r="AV761">
            <v>99.64509771130632</v>
          </cell>
          <cell r="AX761" t="str">
            <v>R. Regis</v>
          </cell>
        </row>
        <row r="762">
          <cell r="A762" t="str">
            <v>CA653</v>
          </cell>
          <cell r="P762">
            <v>58</v>
          </cell>
          <cell r="Q762">
            <v>3.7664783427501181E-2</v>
          </cell>
          <cell r="T762">
            <v>0.52361111111111114</v>
          </cell>
          <cell r="U762">
            <v>0.62708333333333333</v>
          </cell>
          <cell r="V762">
            <v>66</v>
          </cell>
          <cell r="Z762">
            <v>0.26597222222222222</v>
          </cell>
          <cell r="AF762">
            <v>53.8</v>
          </cell>
          <cell r="AG762">
            <v>12</v>
          </cell>
          <cell r="AI762">
            <v>52.2</v>
          </cell>
          <cell r="AU762">
            <v>102.68752655790206</v>
          </cell>
          <cell r="AV762">
            <v>105.06357619368127</v>
          </cell>
          <cell r="AX762" t="str">
            <v>R.Sookram</v>
          </cell>
        </row>
        <row r="763">
          <cell r="A763" t="str">
            <v>CA654</v>
          </cell>
          <cell r="P763">
            <v>58</v>
          </cell>
          <cell r="Q763">
            <v>-0.52830188679245493</v>
          </cell>
          <cell r="T763">
            <v>0.61458333333333337</v>
          </cell>
          <cell r="U763">
            <v>0.71944444444444444</v>
          </cell>
          <cell r="V763">
            <v>62</v>
          </cell>
          <cell r="Z763">
            <v>0.25416666666666665</v>
          </cell>
          <cell r="AF763">
            <v>54.5</v>
          </cell>
          <cell r="AG763">
            <v>11.9</v>
          </cell>
          <cell r="AI763">
            <v>51.3</v>
          </cell>
          <cell r="AU763">
            <v>99.785125254630671</v>
          </cell>
          <cell r="AV763">
            <v>102.09427106706173</v>
          </cell>
          <cell r="AX763" t="str">
            <v>R.Sookram</v>
          </cell>
        </row>
        <row r="764">
          <cell r="A764" t="str">
            <v>CA655</v>
          </cell>
          <cell r="P764">
            <v>58</v>
          </cell>
          <cell r="Q764">
            <v>-0.52730696798493615</v>
          </cell>
          <cell r="T764">
            <v>0.7055555555555556</v>
          </cell>
          <cell r="U764">
            <v>0.81319444444444444</v>
          </cell>
          <cell r="V764">
            <v>66</v>
          </cell>
          <cell r="Z764">
            <v>0.25763888888888886</v>
          </cell>
          <cell r="AF764">
            <v>55</v>
          </cell>
          <cell r="AG764">
            <v>11.4</v>
          </cell>
          <cell r="AI764">
            <v>53.4</v>
          </cell>
          <cell r="AU764">
            <v>99.651996772847255</v>
          </cell>
          <cell r="AV764">
            <v>101.95768117972683</v>
          </cell>
          <cell r="AX764" t="str">
            <v>R.Sookram</v>
          </cell>
        </row>
        <row r="765">
          <cell r="A765" t="str">
            <v>CA656</v>
          </cell>
          <cell r="P765">
            <v>58</v>
          </cell>
          <cell r="Q765">
            <v>0.60377358490566091</v>
          </cell>
          <cell r="T765">
            <v>0.79791666666666672</v>
          </cell>
          <cell r="U765">
            <v>0.90069444444444446</v>
          </cell>
          <cell r="V765">
            <v>67</v>
          </cell>
          <cell r="Z765">
            <v>0.25486111111111109</v>
          </cell>
          <cell r="AF765">
            <v>53.4</v>
          </cell>
          <cell r="AG765">
            <v>11.8</v>
          </cell>
          <cell r="AI765">
            <v>52.5</v>
          </cell>
          <cell r="AU765">
            <v>101.34269489443058</v>
          </cell>
          <cell r="AV765">
            <v>103.68775599280178</v>
          </cell>
          <cell r="AX765" t="str">
            <v>R.Sookram</v>
          </cell>
        </row>
        <row r="766">
          <cell r="A766" t="str">
            <v>CA657</v>
          </cell>
          <cell r="P766">
            <v>61</v>
          </cell>
          <cell r="Q766">
            <v>7.5849056603773519</v>
          </cell>
          <cell r="T766">
            <v>0.37986111111111109</v>
          </cell>
          <cell r="U766">
            <v>0.48541666666666666</v>
          </cell>
          <cell r="V766">
            <v>55</v>
          </cell>
          <cell r="Z766">
            <v>0.23194444444444445</v>
          </cell>
          <cell r="AF766">
            <v>49.7</v>
          </cell>
          <cell r="AG766">
            <v>12</v>
          </cell>
          <cell r="AI766">
            <v>47.5</v>
          </cell>
          <cell r="AU766">
            <v>93.620315619787959</v>
          </cell>
          <cell r="AV766">
            <v>95.695839189824568</v>
          </cell>
          <cell r="AX766" t="str">
            <v>K.Benjamin</v>
          </cell>
        </row>
        <row r="767">
          <cell r="A767" t="str">
            <v>CA658</v>
          </cell>
          <cell r="P767">
            <v>61</v>
          </cell>
          <cell r="Q767">
            <v>10.226415094339627</v>
          </cell>
          <cell r="T767">
            <v>0.46597222222222223</v>
          </cell>
          <cell r="U767">
            <v>0.57499999999999996</v>
          </cell>
          <cell r="V767">
            <v>51</v>
          </cell>
          <cell r="Z767">
            <v>0.24166666666666664</v>
          </cell>
          <cell r="AF767">
            <v>48.3</v>
          </cell>
          <cell r="AG767">
            <v>11.9</v>
          </cell>
          <cell r="AI767">
            <v>48.9</v>
          </cell>
          <cell r="AU767">
            <v>95.654703935410836</v>
          </cell>
          <cell r="AV767">
            <v>97.775091461679722</v>
          </cell>
          <cell r="AX767" t="str">
            <v>K.Benjamin</v>
          </cell>
        </row>
        <row r="768">
          <cell r="A768" t="str">
            <v>CA659</v>
          </cell>
          <cell r="P768">
            <v>59</v>
          </cell>
          <cell r="Q768">
            <v>3.8113207547169736</v>
          </cell>
          <cell r="T768">
            <v>0.55277777777777781</v>
          </cell>
          <cell r="U768">
            <v>0.65069444444444446</v>
          </cell>
          <cell r="V768">
            <v>53</v>
          </cell>
          <cell r="Z768">
            <v>0.23750000000000004</v>
          </cell>
          <cell r="AF768">
            <v>51.7</v>
          </cell>
          <cell r="AG768">
            <v>11.7</v>
          </cell>
          <cell r="AI768">
            <v>49.7</v>
          </cell>
          <cell r="AU768">
            <v>95.740465303030746</v>
          </cell>
          <cell r="AV768">
            <v>97.862276525870712</v>
          </cell>
          <cell r="AX768" t="str">
            <v>K.Benjamin</v>
          </cell>
        </row>
        <row r="769">
          <cell r="A769" t="str">
            <v>CA660</v>
          </cell>
          <cell r="P769">
            <v>60</v>
          </cell>
          <cell r="Q769">
            <v>3.2452830188679229</v>
          </cell>
          <cell r="T769">
            <v>0.63124999999999998</v>
          </cell>
          <cell r="U769">
            <v>0.73750000000000004</v>
          </cell>
          <cell r="V769">
            <v>53</v>
          </cell>
          <cell r="Z769">
            <v>0.24444444444444446</v>
          </cell>
          <cell r="AF769">
            <v>52</v>
          </cell>
          <cell r="AG769">
            <v>11.7</v>
          </cell>
          <cell r="AI769">
            <v>50.1</v>
          </cell>
          <cell r="AU769">
            <v>96.270295348127476</v>
          </cell>
          <cell r="AV769">
            <v>98.404328751693555</v>
          </cell>
          <cell r="AX769" t="str">
            <v>K.Benjamin</v>
          </cell>
        </row>
        <row r="770">
          <cell r="A770" t="str">
            <v>CA661</v>
          </cell>
          <cell r="P770">
            <v>60</v>
          </cell>
          <cell r="Q770">
            <v>2.8679245283018791</v>
          </cell>
          <cell r="T770">
            <v>0.71944444444444444</v>
          </cell>
          <cell r="U770">
            <v>0.83194444444444449</v>
          </cell>
          <cell r="V770">
            <v>63</v>
          </cell>
          <cell r="Z770">
            <v>0.25902777777777786</v>
          </cell>
          <cell r="AF770">
            <v>52.2</v>
          </cell>
          <cell r="AG770">
            <v>11.7</v>
          </cell>
          <cell r="AI770">
            <v>50.5</v>
          </cell>
          <cell r="AU770">
            <v>98.198080994074218</v>
          </cell>
          <cell r="AV770">
            <v>100.46872597739835</v>
          </cell>
          <cell r="AX770" t="str">
            <v>R. Regis</v>
          </cell>
        </row>
        <row r="771">
          <cell r="A771" t="str">
            <v>CA662</v>
          </cell>
          <cell r="P771">
            <v>60</v>
          </cell>
          <cell r="Q771">
            <v>7.2075471698113205</v>
          </cell>
          <cell r="T771">
            <v>0.80972222222222223</v>
          </cell>
          <cell r="U771">
            <v>0.91805555555555551</v>
          </cell>
          <cell r="V771">
            <v>55</v>
          </cell>
          <cell r="Z771">
            <v>0.24444444444444435</v>
          </cell>
          <cell r="AF771">
            <v>49.9</v>
          </cell>
          <cell r="AG771">
            <v>11.8</v>
          </cell>
          <cell r="AI771">
            <v>49.9</v>
          </cell>
          <cell r="AU771">
            <v>98.151831893576741</v>
          </cell>
          <cell r="AV771">
            <v>100.42114891321027</v>
          </cell>
          <cell r="AX771" t="str">
            <v>R. Regis</v>
          </cell>
        </row>
        <row r="772">
          <cell r="A772" t="str">
            <v>CA663</v>
          </cell>
          <cell r="P772">
            <v>60</v>
          </cell>
          <cell r="Q772">
            <v>5.8867924528301838</v>
          </cell>
          <cell r="T772">
            <v>0.90625</v>
          </cell>
          <cell r="U772">
            <v>1.0784722222222223</v>
          </cell>
          <cell r="V772">
            <v>151</v>
          </cell>
          <cell r="Z772">
            <v>0.30763888888888891</v>
          </cell>
          <cell r="AF772">
            <v>50.6</v>
          </cell>
          <cell r="AG772">
            <v>11.7</v>
          </cell>
          <cell r="AI772">
            <v>47.7</v>
          </cell>
          <cell r="AU772">
            <v>92.519915989135797</v>
          </cell>
          <cell r="AV772">
            <v>94.659506620900046</v>
          </cell>
          <cell r="AX772" t="str">
            <v>R. Regis</v>
          </cell>
        </row>
        <row r="773">
          <cell r="A773" t="str">
            <v>CA664</v>
          </cell>
          <cell r="P773">
            <v>57</v>
          </cell>
          <cell r="Q773">
            <v>3.4274952919020718</v>
          </cell>
          <cell r="T773">
            <v>0.99652777777777779</v>
          </cell>
          <cell r="U773">
            <v>1.1229166666666666</v>
          </cell>
          <cell r="V773">
            <v>64</v>
          </cell>
          <cell r="Z773">
            <v>0.2618055555555554</v>
          </cell>
          <cell r="AF773">
            <v>52</v>
          </cell>
          <cell r="AG773">
            <v>11.7</v>
          </cell>
          <cell r="AI773">
            <v>51.5</v>
          </cell>
          <cell r="AU773">
            <v>99.639619531797223</v>
          </cell>
          <cell r="AV773">
            <v>101.94411833721229</v>
          </cell>
          <cell r="AX773" t="str">
            <v>D. Gomez</v>
          </cell>
        </row>
        <row r="774">
          <cell r="A774" t="str">
            <v>CA665</v>
          </cell>
          <cell r="P774">
            <v>61</v>
          </cell>
          <cell r="Q774">
            <v>7.0056497175141219</v>
          </cell>
          <cell r="T774">
            <v>0.29444444444444445</v>
          </cell>
          <cell r="U774">
            <v>0.40694444444444444</v>
          </cell>
          <cell r="V774">
            <v>49</v>
          </cell>
          <cell r="Z774">
            <v>0.24027777777777778</v>
          </cell>
          <cell r="AF774">
            <v>50.1</v>
          </cell>
          <cell r="AG774">
            <v>11.6</v>
          </cell>
          <cell r="AI774">
            <v>48.3</v>
          </cell>
          <cell r="AU774">
            <v>92.206691377262715</v>
          </cell>
          <cell r="AV774">
            <v>94.250186695213969</v>
          </cell>
          <cell r="AX774" t="str">
            <v>K.Benjamin</v>
          </cell>
        </row>
        <row r="775">
          <cell r="A775" t="str">
            <v>CA666</v>
          </cell>
          <cell r="P775">
            <v>60</v>
          </cell>
          <cell r="Q775">
            <v>10.226415094339627</v>
          </cell>
          <cell r="T775">
            <v>0.3840277777777778</v>
          </cell>
          <cell r="U775">
            <v>0.49027777777777776</v>
          </cell>
          <cell r="V775">
            <v>55</v>
          </cell>
          <cell r="Z775">
            <v>0.24027777777777776</v>
          </cell>
          <cell r="AF775">
            <v>48.3</v>
          </cell>
          <cell r="AG775">
            <v>11.7</v>
          </cell>
          <cell r="AI775">
            <v>48.9</v>
          </cell>
          <cell r="AU775">
            <v>94.317288096622562</v>
          </cell>
          <cell r="AV775">
            <v>96.407322676890558</v>
          </cell>
          <cell r="AX775" t="str">
            <v>K.Benjamin</v>
          </cell>
        </row>
        <row r="776">
          <cell r="A776" t="str">
            <v>CA667</v>
          </cell>
          <cell r="P776">
            <v>62</v>
          </cell>
          <cell r="Q776">
            <v>10.777777777777779</v>
          </cell>
          <cell r="T776">
            <v>0.46458333333333335</v>
          </cell>
          <cell r="U776">
            <v>0.58333333333333337</v>
          </cell>
          <cell r="V776">
            <v>57</v>
          </cell>
          <cell r="Z776">
            <v>0.25347222222222227</v>
          </cell>
          <cell r="AF776">
            <v>48.9</v>
          </cell>
          <cell r="AG776">
            <v>11.8</v>
          </cell>
          <cell r="AI776">
            <v>50.2</v>
          </cell>
          <cell r="AU776">
            <v>97.81801532617618</v>
          </cell>
          <cell r="AV776">
            <v>99.985379268024147</v>
          </cell>
          <cell r="AX776" t="str">
            <v>K.Benjamin</v>
          </cell>
        </row>
        <row r="777">
          <cell r="A777" t="str">
            <v>CA668</v>
          </cell>
          <cell r="P777">
            <v>61</v>
          </cell>
          <cell r="Q777">
            <v>9.4814814814814774</v>
          </cell>
          <cell r="T777">
            <v>0.55347222222222225</v>
          </cell>
          <cell r="U777">
            <v>0.66249999999999998</v>
          </cell>
          <cell r="V777">
            <v>58</v>
          </cell>
          <cell r="Z777">
            <v>0.24930555555555556</v>
          </cell>
          <cell r="AF777">
            <v>49.6</v>
          </cell>
          <cell r="AG777">
            <v>11.8</v>
          </cell>
          <cell r="AI777">
            <v>49.8</v>
          </cell>
          <cell r="AU777">
            <v>96.795950887009838</v>
          </cell>
          <cell r="AV777">
            <v>98.941153902970342</v>
          </cell>
          <cell r="AX777" t="str">
            <v>K.Benjamin</v>
          </cell>
        </row>
        <row r="778">
          <cell r="A778" t="str">
            <v>CA669</v>
          </cell>
          <cell r="P778">
            <v>75</v>
          </cell>
          <cell r="Q778">
            <v>3.5555555555555589</v>
          </cell>
          <cell r="T778">
            <v>0.64166666666666672</v>
          </cell>
          <cell r="U778">
            <v>0.77013888888888893</v>
          </cell>
          <cell r="V778">
            <v>61</v>
          </cell>
          <cell r="Z778">
            <v>0.27013888888888893</v>
          </cell>
          <cell r="AF778">
            <v>52.8</v>
          </cell>
          <cell r="AG778">
            <v>12</v>
          </cell>
          <cell r="AI778">
            <v>50.9</v>
          </cell>
          <cell r="AU778">
            <v>98.121693935066816</v>
          </cell>
          <cell r="AV778">
            <v>100.30129674629336</v>
          </cell>
          <cell r="AX778" t="str">
            <v>R. Regis</v>
          </cell>
        </row>
        <row r="779">
          <cell r="A779" t="str">
            <v>CA670</v>
          </cell>
          <cell r="P779">
            <v>61</v>
          </cell>
          <cell r="Q779">
            <v>3.3013435700575791</v>
          </cell>
          <cell r="T779">
            <v>0.6645833333333333</v>
          </cell>
          <cell r="U779">
            <v>0.86041666666666672</v>
          </cell>
          <cell r="V779">
            <v>60</v>
          </cell>
          <cell r="Z779">
            <v>0.2597222222222223</v>
          </cell>
          <cell r="AF779">
            <v>52</v>
          </cell>
          <cell r="AG779">
            <v>11.7</v>
          </cell>
          <cell r="AI779">
            <v>51.5</v>
          </cell>
          <cell r="AU779">
            <v>98.526186101385562</v>
          </cell>
          <cell r="AV779">
            <v>100.80607343256345</v>
          </cell>
          <cell r="AX779" t="str">
            <v>R. Regis</v>
          </cell>
        </row>
        <row r="780">
          <cell r="A780" t="str">
            <v>CA671</v>
          </cell>
          <cell r="P780">
            <v>60</v>
          </cell>
          <cell r="Q780">
            <v>3.8314176245216713E-2</v>
          </cell>
          <cell r="T780">
            <v>0.86388888888888893</v>
          </cell>
          <cell r="U780">
            <v>0.97986111111111107</v>
          </cell>
          <cell r="V780">
            <v>65</v>
          </cell>
          <cell r="Z780">
            <v>0.2715277777777777</v>
          </cell>
          <cell r="AF780">
            <v>52.9</v>
          </cell>
          <cell r="AG780">
            <v>11.7</v>
          </cell>
          <cell r="AI780">
            <v>49.3</v>
          </cell>
          <cell r="AU780">
            <v>94.434552577200165</v>
          </cell>
          <cell r="AV780">
            <v>96.619639625036584</v>
          </cell>
          <cell r="AX780" t="str">
            <v>R. Regis</v>
          </cell>
        </row>
        <row r="781">
          <cell r="A781" t="str">
            <v>CA672</v>
          </cell>
          <cell r="P781">
            <v>59</v>
          </cell>
          <cell r="Q781">
            <v>1.3584905660377338</v>
          </cell>
          <cell r="T781">
            <v>0.94861111111111107</v>
          </cell>
          <cell r="U781">
            <v>1.0555555555555556</v>
          </cell>
          <cell r="V781">
            <v>62</v>
          </cell>
          <cell r="Z781">
            <v>0.25694444444444442</v>
          </cell>
          <cell r="AF781">
            <v>53</v>
          </cell>
          <cell r="AG781">
            <v>11.7</v>
          </cell>
          <cell r="AI781">
            <v>51.6</v>
          </cell>
          <cell r="AU781">
            <v>98.472966518916749</v>
          </cell>
          <cell r="AV781">
            <v>100.75187218955715</v>
          </cell>
          <cell r="AX781" t="str">
            <v>R.Sookram</v>
          </cell>
        </row>
        <row r="782">
          <cell r="A782" t="str">
            <v>CA673</v>
          </cell>
          <cell r="P782">
            <v>58</v>
          </cell>
          <cell r="Q782">
            <v>6.1481481481481488</v>
          </cell>
          <cell r="T782">
            <v>1.1180555555555556</v>
          </cell>
          <cell r="U782">
            <v>1.2319444444444445</v>
          </cell>
          <cell r="V782">
            <v>63</v>
          </cell>
          <cell r="Z782">
            <v>0.24583333333333335</v>
          </cell>
          <cell r="AF782">
            <v>52.2</v>
          </cell>
          <cell r="AG782">
            <v>11.6</v>
          </cell>
          <cell r="AI782">
            <v>51.2</v>
          </cell>
          <cell r="AU782">
            <v>96.17972276313948</v>
          </cell>
          <cell r="AV782">
            <v>98.314343992824732</v>
          </cell>
          <cell r="AX782" t="str">
            <v>R.Sookram</v>
          </cell>
        </row>
        <row r="783">
          <cell r="A783" t="str">
            <v>CA674</v>
          </cell>
          <cell r="P783">
            <v>56</v>
          </cell>
          <cell r="Q783">
            <v>4.666666666666659</v>
          </cell>
          <cell r="T783">
            <v>0.21805555555555556</v>
          </cell>
          <cell r="U783">
            <v>0.31944444444444442</v>
          </cell>
          <cell r="V783">
            <v>57</v>
          </cell>
          <cell r="Z783">
            <v>0.24999999999999997</v>
          </cell>
          <cell r="AF783">
            <v>52.2</v>
          </cell>
          <cell r="AG783">
            <v>11.8</v>
          </cell>
          <cell r="AI783">
            <v>50.4</v>
          </cell>
          <cell r="AU783">
            <v>97.409933495185356</v>
          </cell>
          <cell r="AV783">
            <v>99.663866808809431</v>
          </cell>
          <cell r="AX783" t="str">
            <v>R.Sookram</v>
          </cell>
        </row>
        <row r="784">
          <cell r="A784" t="str">
            <v>CA675</v>
          </cell>
          <cell r="P784">
            <v>60</v>
          </cell>
          <cell r="Q784">
            <v>-0.33333333333333282</v>
          </cell>
          <cell r="T784">
            <v>0.31666666666666665</v>
          </cell>
          <cell r="U784">
            <v>0.43263888888888891</v>
          </cell>
          <cell r="V784">
            <v>59</v>
          </cell>
          <cell r="Z784">
            <v>0.25208333333333333</v>
          </cell>
          <cell r="AF784">
            <v>54.9</v>
          </cell>
          <cell r="AG784">
            <v>11.4</v>
          </cell>
          <cell r="AI784">
            <v>52.9</v>
          </cell>
          <cell r="AU784">
            <v>98.59620159398095</v>
          </cell>
          <cell r="AV784">
            <v>100.87758353723476</v>
          </cell>
          <cell r="AX784" t="str">
            <v>K.Benjamin</v>
          </cell>
        </row>
        <row r="785">
          <cell r="A785" t="str">
            <v>CA676</v>
          </cell>
          <cell r="P785">
            <v>61</v>
          </cell>
          <cell r="Q785">
            <v>6.8888888888888875</v>
          </cell>
          <cell r="T785">
            <v>0.41319444444444442</v>
          </cell>
          <cell r="U785">
            <v>0.53194444444444444</v>
          </cell>
          <cell r="V785">
            <v>57</v>
          </cell>
          <cell r="Z785">
            <v>0.27500000000000002</v>
          </cell>
          <cell r="AF785">
            <v>51</v>
          </cell>
          <cell r="AG785">
            <v>12.2</v>
          </cell>
          <cell r="AI785">
            <v>51.4</v>
          </cell>
          <cell r="AU785">
            <v>102.88487245234124</v>
          </cell>
          <cell r="AV785">
            <v>105.26548840358565</v>
          </cell>
          <cell r="AX785" t="str">
            <v>K.Benjamin</v>
          </cell>
        </row>
        <row r="786">
          <cell r="A786" t="str">
            <v>CA677</v>
          </cell>
          <cell r="P786">
            <v>61</v>
          </cell>
          <cell r="Q786">
            <v>14.064748201438848</v>
          </cell>
          <cell r="T786">
            <v>1.1506944444444445</v>
          </cell>
          <cell r="U786">
            <v>1.2694444444444444</v>
          </cell>
          <cell r="V786">
            <v>58</v>
          </cell>
          <cell r="Z786">
            <v>0.24861111111111112</v>
          </cell>
          <cell r="AF786">
            <v>48.5</v>
          </cell>
          <cell r="AG786">
            <v>12</v>
          </cell>
          <cell r="AI786">
            <v>47.6</v>
          </cell>
          <cell r="AU786">
            <v>96.825643973550442</v>
          </cell>
          <cell r="AV786">
            <v>98.622160058360365</v>
          </cell>
          <cell r="AX786" t="str">
            <v>R. Regis</v>
          </cell>
        </row>
        <row r="787">
          <cell r="A787" t="str">
            <v>CA678</v>
          </cell>
          <cell r="P787">
            <v>61</v>
          </cell>
          <cell r="Q787">
            <v>4.1807909604519748</v>
          </cell>
          <cell r="T787">
            <v>0.23819444444444443</v>
          </cell>
          <cell r="U787">
            <v>0.35208333333333336</v>
          </cell>
          <cell r="V787">
            <v>64</v>
          </cell>
          <cell r="Z787">
            <v>0.24097222222222225</v>
          </cell>
          <cell r="AF787">
            <v>52</v>
          </cell>
          <cell r="AG787">
            <v>11.7</v>
          </cell>
          <cell r="AI787">
            <v>51.6</v>
          </cell>
          <cell r="AU787">
            <v>98.110557430749992</v>
          </cell>
          <cell r="AV787">
            <v>99.859075575117103</v>
          </cell>
          <cell r="AX787" t="str">
            <v>R. Regis</v>
          </cell>
        </row>
        <row r="788">
          <cell r="A788" t="str">
            <v>CA679</v>
          </cell>
          <cell r="P788">
            <v>60</v>
          </cell>
          <cell r="Q788">
            <v>5.2222222222222223</v>
          </cell>
          <cell r="T788">
            <v>0.33333333333333331</v>
          </cell>
          <cell r="U788">
            <v>0.44305555555555554</v>
          </cell>
          <cell r="V788">
            <v>59</v>
          </cell>
          <cell r="Z788">
            <v>0.24166666666666664</v>
          </cell>
          <cell r="AF788">
            <v>52.7</v>
          </cell>
          <cell r="AG788">
            <v>11.7</v>
          </cell>
          <cell r="AI788">
            <v>51.5</v>
          </cell>
          <cell r="AU788">
            <v>97.851940748827133</v>
          </cell>
          <cell r="AV788">
            <v>99.787924775939658</v>
          </cell>
          <cell r="AX788" t="str">
            <v>R.Sookram</v>
          </cell>
        </row>
        <row r="789">
          <cell r="A789" t="str">
            <v>CA680</v>
          </cell>
          <cell r="P789">
            <v>58</v>
          </cell>
          <cell r="Q789">
            <v>3.7407407407407334</v>
          </cell>
          <cell r="T789">
            <v>0.43402777777777779</v>
          </cell>
          <cell r="U789">
            <v>0.54027777777777775</v>
          </cell>
          <cell r="V789">
            <v>64</v>
          </cell>
          <cell r="Z789">
            <v>0.25555555555555554</v>
          </cell>
          <cell r="AF789">
            <v>53.1</v>
          </cell>
          <cell r="AG789">
            <v>11.8</v>
          </cell>
          <cell r="AI789">
            <v>51</v>
          </cell>
          <cell r="AU789">
            <v>98.082850265996697</v>
          </cell>
          <cell r="AV789">
            <v>99.830493424880132</v>
          </cell>
          <cell r="AX789" t="str">
            <v>R.Sookram</v>
          </cell>
        </row>
        <row r="790">
          <cell r="A790" t="str">
            <v>CA681</v>
          </cell>
          <cell r="P790">
            <v>57</v>
          </cell>
          <cell r="Q790">
            <v>4.1111111111111089</v>
          </cell>
          <cell r="T790">
            <v>0.52500000000000002</v>
          </cell>
          <cell r="U790">
            <v>0.63194444444444442</v>
          </cell>
          <cell r="V790">
            <v>62</v>
          </cell>
          <cell r="Z790">
            <v>0.24652777777777773</v>
          </cell>
          <cell r="AF790">
            <v>52.5</v>
          </cell>
          <cell r="AG790">
            <v>11.6</v>
          </cell>
          <cell r="AI790">
            <v>50.8</v>
          </cell>
          <cell r="AU790">
            <v>97.592137471095853</v>
          </cell>
          <cell r="AV790">
            <v>99.404636465147235</v>
          </cell>
          <cell r="AX790" t="str">
            <v>R.Sookram</v>
          </cell>
        </row>
        <row r="791">
          <cell r="A791" t="str">
            <v>CA682</v>
          </cell>
          <cell r="P791">
            <v>57</v>
          </cell>
          <cell r="Q791">
            <v>5.8867924528301838</v>
          </cell>
          <cell r="T791">
            <v>0.72569444444444442</v>
          </cell>
          <cell r="U791">
            <v>0.84375</v>
          </cell>
          <cell r="V791">
            <v>61</v>
          </cell>
          <cell r="Z791">
            <v>0.25277777777777777</v>
          </cell>
          <cell r="AF791">
            <v>50.6</v>
          </cell>
          <cell r="AG791">
            <v>11.6</v>
          </cell>
          <cell r="AI791">
            <v>50.2</v>
          </cell>
          <cell r="AU791">
            <v>96.43947443009867</v>
          </cell>
          <cell r="AV791">
            <v>98.230565955716372</v>
          </cell>
          <cell r="AX791" t="str">
            <v>K.Benjamin</v>
          </cell>
        </row>
        <row r="792">
          <cell r="A792" t="str">
            <v>CA683</v>
          </cell>
          <cell r="P792">
            <v>60</v>
          </cell>
          <cell r="Q792">
            <v>5.6981132075471628</v>
          </cell>
          <cell r="T792">
            <v>0.89930555555555558</v>
          </cell>
          <cell r="U792">
            <v>1.0111111111111111</v>
          </cell>
          <cell r="V792">
            <v>64</v>
          </cell>
          <cell r="Z792">
            <v>0.2402777777777777</v>
          </cell>
          <cell r="AF792">
            <v>50.7</v>
          </cell>
          <cell r="AG792">
            <v>11.6</v>
          </cell>
          <cell r="AI792">
            <v>50.6</v>
          </cell>
          <cell r="AU792">
            <v>96.482983401253932</v>
          </cell>
          <cell r="AV792">
            <v>98.27547999403825</v>
          </cell>
          <cell r="AX792" t="str">
            <v>K.Benjamin</v>
          </cell>
        </row>
        <row r="793">
          <cell r="A793" t="str">
            <v>CA684</v>
          </cell>
          <cell r="P793">
            <v>57</v>
          </cell>
          <cell r="Q793">
            <v>5.1320754716981112</v>
          </cell>
          <cell r="T793">
            <v>0.98611111111111116</v>
          </cell>
          <cell r="U793">
            <v>1.0965277777777778</v>
          </cell>
          <cell r="V793">
            <v>65</v>
          </cell>
          <cell r="Z793">
            <v>0.24236111111111114</v>
          </cell>
          <cell r="AF793">
            <v>51</v>
          </cell>
          <cell r="AG793">
            <v>11.6</v>
          </cell>
          <cell r="AI793">
            <v>51.3</v>
          </cell>
          <cell r="AU793">
            <v>97.696299031841932</v>
          </cell>
          <cell r="AV793">
            <v>99.511436929938185</v>
          </cell>
          <cell r="AX793" t="str">
            <v>R. Regis</v>
          </cell>
        </row>
        <row r="794">
          <cell r="A794" t="str">
            <v>CA685</v>
          </cell>
          <cell r="P794">
            <v>60</v>
          </cell>
          <cell r="Q794">
            <v>8.9056603773584886</v>
          </cell>
          <cell r="T794">
            <v>1.1298611111111112</v>
          </cell>
          <cell r="U794">
            <v>1.273611111111111</v>
          </cell>
          <cell r="V794">
            <v>55</v>
          </cell>
          <cell r="Z794">
            <v>0.27361111111111103</v>
          </cell>
          <cell r="AF794">
            <v>49</v>
          </cell>
          <cell r="AG794">
            <v>12</v>
          </cell>
          <cell r="AI794">
            <v>46.6</v>
          </cell>
          <cell r="AU794">
            <v>91.443762977090188</v>
          </cell>
          <cell r="AV794">
            <v>93.072753539768797</v>
          </cell>
          <cell r="AX794" t="str">
            <v>R. Regis</v>
          </cell>
        </row>
        <row r="795">
          <cell r="A795" t="str">
            <v>CA686</v>
          </cell>
          <cell r="P795">
            <v>61</v>
          </cell>
          <cell r="Q795">
            <v>2.2975517890772106</v>
          </cell>
          <cell r="T795">
            <v>0.25</v>
          </cell>
          <cell r="U795">
            <v>0.36319444444444443</v>
          </cell>
          <cell r="V795">
            <v>63</v>
          </cell>
          <cell r="Z795">
            <v>0.27986111111111112</v>
          </cell>
          <cell r="AF795">
            <v>53.9</v>
          </cell>
          <cell r="AG795">
            <v>11.6</v>
          </cell>
          <cell r="AI795">
            <v>52.4</v>
          </cell>
          <cell r="AU795">
            <v>98.978677995568859</v>
          </cell>
          <cell r="AV795">
            <v>100.74228303972457</v>
          </cell>
          <cell r="AX795" t="str">
            <v>R.Sookram</v>
          </cell>
        </row>
        <row r="796">
          <cell r="A796" t="str">
            <v>CA687</v>
          </cell>
          <cell r="P796">
            <v>55</v>
          </cell>
          <cell r="Q796">
            <v>2.6296296296296329</v>
          </cell>
          <cell r="T796">
            <v>0.34930555555555554</v>
          </cell>
          <cell r="U796">
            <v>0.45347222222222222</v>
          </cell>
          <cell r="V796">
            <v>63</v>
          </cell>
          <cell r="Z796">
            <v>0.23819444444444443</v>
          </cell>
          <cell r="AF796">
            <v>53.3</v>
          </cell>
          <cell r="AG796">
            <v>11.6</v>
          </cell>
          <cell r="AI796">
            <v>51.2</v>
          </cell>
          <cell r="AU796">
            <v>97.627050398106746</v>
          </cell>
          <cell r="AV796">
            <v>99.440801891200763</v>
          </cell>
          <cell r="AX796" t="str">
            <v>R.Sookram</v>
          </cell>
        </row>
        <row r="797">
          <cell r="A797" t="str">
            <v>CA688</v>
          </cell>
          <cell r="P797">
            <v>61</v>
          </cell>
          <cell r="Q797">
            <v>-0.15094339622641187</v>
          </cell>
          <cell r="T797">
            <v>0.46458333333333335</v>
          </cell>
          <cell r="U797">
            <v>0.65138888888888891</v>
          </cell>
          <cell r="V797">
            <v>59</v>
          </cell>
          <cell r="Z797">
            <v>0.34930555555555559</v>
          </cell>
          <cell r="AF797">
            <v>54.2</v>
          </cell>
          <cell r="AG797">
            <v>11.9</v>
          </cell>
          <cell r="AI797">
            <v>51.9</v>
          </cell>
          <cell r="AU797">
            <v>101.53010521960353</v>
          </cell>
          <cell r="AV797">
            <v>103.41647290812507</v>
          </cell>
          <cell r="AX797" t="str">
            <v>R.Sookram</v>
          </cell>
        </row>
        <row r="798">
          <cell r="A798" t="str">
            <v>CA689</v>
          </cell>
          <cell r="P798">
            <v>60</v>
          </cell>
          <cell r="Q798">
            <v>5.1224105461393572</v>
          </cell>
          <cell r="T798">
            <v>0.40972222222222221</v>
          </cell>
          <cell r="U798">
            <v>0.52013888888888893</v>
          </cell>
          <cell r="V798">
            <v>49</v>
          </cell>
          <cell r="Z798">
            <v>0.24930555555555561</v>
          </cell>
          <cell r="AF798">
            <v>51.1</v>
          </cell>
          <cell r="AG798">
            <v>11.9</v>
          </cell>
          <cell r="AI798">
            <v>49.1</v>
          </cell>
          <cell r="AU798">
            <v>95.036498768168116</v>
          </cell>
          <cell r="AV798">
            <v>96.730231296296438</v>
          </cell>
          <cell r="AX798" t="str">
            <v>R. Regis</v>
          </cell>
        </row>
        <row r="799">
          <cell r="A799" t="str">
            <v>CA690</v>
          </cell>
          <cell r="P799">
            <v>61</v>
          </cell>
          <cell r="Q799">
            <v>3.2391713747645925</v>
          </cell>
          <cell r="T799">
            <v>0.49236111111111114</v>
          </cell>
          <cell r="U799">
            <v>0.59861111111111109</v>
          </cell>
          <cell r="V799">
            <v>62</v>
          </cell>
          <cell r="Z799">
            <v>0.23402777777777778</v>
          </cell>
          <cell r="AF799">
            <v>52.1</v>
          </cell>
          <cell r="AG799">
            <v>11.8</v>
          </cell>
          <cell r="AI799">
            <v>50.2</v>
          </cell>
          <cell r="AU799">
            <v>96.425569328615808</v>
          </cell>
          <cell r="AV799">
            <v>98.143870611184965</v>
          </cell>
          <cell r="AX799" t="str">
            <v>R. Regis</v>
          </cell>
        </row>
        <row r="800">
          <cell r="A800" t="str">
            <v>CA691</v>
          </cell>
          <cell r="P800">
            <v>60</v>
          </cell>
          <cell r="Q800">
            <v>2.8625235404896481</v>
          </cell>
          <cell r="T800">
            <v>0.57916666666666672</v>
          </cell>
          <cell r="U800">
            <v>0.68541666666666667</v>
          </cell>
          <cell r="V800">
            <v>62</v>
          </cell>
          <cell r="Z800">
            <v>0.23749999999999999</v>
          </cell>
          <cell r="AF800">
            <v>52.3</v>
          </cell>
          <cell r="AG800">
            <v>11.6</v>
          </cell>
          <cell r="AI800">
            <v>50.4</v>
          </cell>
          <cell r="AU800">
            <v>95.200865858333401</v>
          </cell>
          <cell r="AV800">
            <v>96.897157732864855</v>
          </cell>
          <cell r="AX800" t="str">
            <v>R. Regis</v>
          </cell>
        </row>
        <row r="801">
          <cell r="A801" t="str">
            <v>CA692</v>
          </cell>
          <cell r="P801">
            <v>58</v>
          </cell>
          <cell r="Q801">
            <v>1.7325800376647864</v>
          </cell>
          <cell r="T801">
            <v>0.66527777777777775</v>
          </cell>
          <cell r="U801">
            <v>0.77430555555555558</v>
          </cell>
          <cell r="V801">
            <v>64</v>
          </cell>
          <cell r="Z801">
            <v>0.24305555555555558</v>
          </cell>
          <cell r="AF801">
            <v>53.3</v>
          </cell>
          <cell r="AG801">
            <v>11.6</v>
          </cell>
          <cell r="AI801">
            <v>51.1</v>
          </cell>
          <cell r="AU801">
            <v>96.40439974854273</v>
          </cell>
          <cell r="AV801">
            <v>98.122323789713747</v>
          </cell>
          <cell r="AX801" t="str">
            <v>R.Sookram</v>
          </cell>
        </row>
        <row r="802">
          <cell r="A802" t="str">
            <v>CA693</v>
          </cell>
          <cell r="P802">
            <v>57</v>
          </cell>
          <cell r="Q802">
            <v>1.3559322033898284</v>
          </cell>
          <cell r="T802">
            <v>0.75624999999999998</v>
          </cell>
          <cell r="U802">
            <v>0.85</v>
          </cell>
          <cell r="V802">
            <v>64</v>
          </cell>
          <cell r="Z802">
            <v>0.22499999999999998</v>
          </cell>
          <cell r="AF802">
            <v>53.1</v>
          </cell>
          <cell r="AG802">
            <v>11.5</v>
          </cell>
          <cell r="AI802">
            <v>51.1</v>
          </cell>
          <cell r="AU802">
            <v>95.412108221907957</v>
          </cell>
          <cell r="AV802">
            <v>97.112534830288794</v>
          </cell>
          <cell r="AX802" t="str">
            <v>R.Sookram</v>
          </cell>
        </row>
        <row r="803">
          <cell r="A803" t="str">
            <v>CA694</v>
          </cell>
          <cell r="P803">
            <v>61</v>
          </cell>
          <cell r="Q803">
            <v>1.1698113207547121</v>
          </cell>
          <cell r="T803">
            <v>0.84444444444444444</v>
          </cell>
          <cell r="U803">
            <v>0.9555555555555556</v>
          </cell>
          <cell r="V803">
            <v>62</v>
          </cell>
          <cell r="Z803">
            <v>0.24722222222222223</v>
          </cell>
          <cell r="AF803">
            <v>53.1</v>
          </cell>
          <cell r="AG803">
            <v>11.8</v>
          </cell>
          <cell r="AI803">
            <v>50.9</v>
          </cell>
          <cell r="AU803">
            <v>98.816741628882468</v>
          </cell>
          <cell r="AV803">
            <v>100.65259564619842</v>
          </cell>
          <cell r="AX803" t="str">
            <v>R.Sookram</v>
          </cell>
        </row>
        <row r="804">
          <cell r="A804" t="str">
            <v>CA695</v>
          </cell>
          <cell r="P804">
            <v>60</v>
          </cell>
          <cell r="Q804">
            <v>4.1886792452830166</v>
          </cell>
          <cell r="T804">
            <v>0.9375</v>
          </cell>
          <cell r="U804">
            <v>1.0444444444444445</v>
          </cell>
          <cell r="V804">
            <v>58</v>
          </cell>
          <cell r="Z804">
            <v>0.25277777777777788</v>
          </cell>
          <cell r="AF804">
            <v>51.5</v>
          </cell>
          <cell r="AG804">
            <v>11.6</v>
          </cell>
          <cell r="AI804">
            <v>50.9</v>
          </cell>
          <cell r="AU804">
            <v>96.574875486049706</v>
          </cell>
          <cell r="AV804">
            <v>98.36947274697377</v>
          </cell>
          <cell r="AX804" t="str">
            <v>K.Benjamin</v>
          </cell>
        </row>
        <row r="805">
          <cell r="A805" t="str">
            <v>CA696</v>
          </cell>
          <cell r="P805">
            <v>61</v>
          </cell>
          <cell r="Q805">
            <v>2.1132075471698064</v>
          </cell>
          <cell r="T805">
            <v>1.0125</v>
          </cell>
          <cell r="U805">
            <v>1.1277777777777778</v>
          </cell>
          <cell r="V805">
            <v>66</v>
          </cell>
          <cell r="Z805">
            <v>0.25277777777777777</v>
          </cell>
          <cell r="AF805">
            <v>52.6</v>
          </cell>
          <cell r="AG805">
            <v>11.6</v>
          </cell>
          <cell r="AI805">
            <v>52.2</v>
          </cell>
          <cell r="AU805">
            <v>98.919083581728628</v>
          </cell>
          <cell r="AV805">
            <v>100.75734209105826</v>
          </cell>
          <cell r="AX805" t="str">
            <v>K.Benjamin</v>
          </cell>
        </row>
        <row r="806">
          <cell r="A806" t="str">
            <v>CA697</v>
          </cell>
          <cell r="P806">
            <v>61</v>
          </cell>
          <cell r="Q806">
            <v>4.3773584905660385</v>
          </cell>
          <cell r="T806">
            <v>1.1270833333333334</v>
          </cell>
          <cell r="U806">
            <v>1.2437499999999999</v>
          </cell>
          <cell r="V806">
            <v>60</v>
          </cell>
          <cell r="Z806">
            <v>0.24374999999999991</v>
          </cell>
          <cell r="AF806">
            <v>51.4</v>
          </cell>
          <cell r="AG806">
            <v>11.7</v>
          </cell>
          <cell r="AI806">
            <v>49</v>
          </cell>
          <cell r="AU806">
            <v>93.511569158584635</v>
          </cell>
          <cell r="AV806">
            <v>95.177578710604465</v>
          </cell>
          <cell r="AX806" t="str">
            <v>K.Benjamin</v>
          </cell>
        </row>
        <row r="807">
          <cell r="A807" t="str">
            <v>CA698</v>
          </cell>
          <cell r="P807">
            <v>60</v>
          </cell>
          <cell r="Q807">
            <v>3.4339622641509435</v>
          </cell>
          <cell r="T807">
            <v>0.21527777777777779</v>
          </cell>
          <cell r="U807">
            <v>0.3298611111111111</v>
          </cell>
          <cell r="V807">
            <v>60</v>
          </cell>
          <cell r="Z807">
            <v>0.24652777777777779</v>
          </cell>
          <cell r="AF807">
            <v>51.9</v>
          </cell>
          <cell r="AG807">
            <v>11.9</v>
          </cell>
          <cell r="AI807">
            <v>49.9</v>
          </cell>
          <cell r="AU807">
            <v>96.703731384428565</v>
          </cell>
          <cell r="AV807">
            <v>98.426989508016078</v>
          </cell>
          <cell r="AX807" t="str">
            <v>K.Benjamin</v>
          </cell>
        </row>
        <row r="808">
          <cell r="A808" t="str">
            <v>CA699</v>
          </cell>
          <cell r="P808">
            <v>60</v>
          </cell>
          <cell r="Q808">
            <v>3.992467043314496</v>
          </cell>
          <cell r="T808">
            <v>0.33819444444444446</v>
          </cell>
          <cell r="U808">
            <v>0.44305555555555554</v>
          </cell>
          <cell r="V808">
            <v>58</v>
          </cell>
          <cell r="Z808">
            <v>0.26944444444444443</v>
          </cell>
          <cell r="AF808">
            <v>51.7</v>
          </cell>
          <cell r="AG808">
            <v>11.6</v>
          </cell>
          <cell r="AI808">
            <v>49.8</v>
          </cell>
          <cell r="AU808">
            <v>97.877259607909451</v>
          </cell>
          <cell r="AV808">
            <v>99.693181209451993</v>
          </cell>
          <cell r="AX808" t="str">
            <v>R. Regis</v>
          </cell>
        </row>
        <row r="809">
          <cell r="A809" t="str">
            <v>CA700</v>
          </cell>
          <cell r="P809">
            <v>61</v>
          </cell>
          <cell r="Q809">
            <v>6.0640301318267396</v>
          </cell>
          <cell r="T809">
            <v>0.42986111111111114</v>
          </cell>
          <cell r="U809">
            <v>0.54166666666666663</v>
          </cell>
          <cell r="V809">
            <v>57</v>
          </cell>
          <cell r="Z809">
            <v>0.24999999999999994</v>
          </cell>
          <cell r="AF809">
            <v>50.6</v>
          </cell>
          <cell r="AG809">
            <v>11.8</v>
          </cell>
          <cell r="AI809">
            <v>49.9</v>
          </cell>
          <cell r="AU809">
            <v>96.875351812990857</v>
          </cell>
          <cell r="AV809">
            <v>98.675137971420455</v>
          </cell>
          <cell r="AX809" t="str">
            <v>R. Regis</v>
          </cell>
        </row>
        <row r="810">
          <cell r="A810" t="str">
            <v>CA701</v>
          </cell>
          <cell r="P810">
            <v>60</v>
          </cell>
          <cell r="Q810">
            <v>7.5491949910554537</v>
          </cell>
          <cell r="T810">
            <v>0.55555555555555558</v>
          </cell>
          <cell r="U810">
            <v>0.66388888888888886</v>
          </cell>
          <cell r="V810">
            <v>61</v>
          </cell>
          <cell r="Z810">
            <v>0.28194444444444444</v>
          </cell>
          <cell r="AF810">
            <v>52.4</v>
          </cell>
          <cell r="AG810">
            <v>11.6</v>
          </cell>
          <cell r="AI810">
            <v>50.6</v>
          </cell>
          <cell r="AU810">
            <v>96.29000410379318</v>
          </cell>
          <cell r="AV810">
            <v>98.004568483873939</v>
          </cell>
          <cell r="AX810" t="str">
            <v>R. Regis</v>
          </cell>
        </row>
        <row r="811">
          <cell r="A811" t="str">
            <v>CA702</v>
          </cell>
          <cell r="P811">
            <v>59</v>
          </cell>
          <cell r="Q811">
            <v>6.5107913669064699</v>
          </cell>
          <cell r="T811">
            <v>0.71597222222222223</v>
          </cell>
          <cell r="U811">
            <v>0.82638888888888884</v>
          </cell>
          <cell r="V811">
            <v>63</v>
          </cell>
          <cell r="Z811">
            <v>0.31944444444444442</v>
          </cell>
          <cell r="AF811">
            <v>53.4</v>
          </cell>
          <cell r="AG811">
            <v>11.5</v>
          </cell>
          <cell r="AI811">
            <v>52.1</v>
          </cell>
          <cell r="AU811">
            <v>98.319318070920374</v>
          </cell>
          <cell r="AV811">
            <v>100.14603128435891</v>
          </cell>
          <cell r="AX811" t="str">
            <v>R.Sookram</v>
          </cell>
        </row>
        <row r="812">
          <cell r="A812" t="str">
            <v>CA703</v>
          </cell>
          <cell r="P812">
            <v>57</v>
          </cell>
          <cell r="Q812">
            <v>5.1086956521739131</v>
          </cell>
          <cell r="T812">
            <v>0.82152777777777775</v>
          </cell>
          <cell r="U812">
            <v>0.92986111111111114</v>
          </cell>
          <cell r="V812">
            <v>66</v>
          </cell>
          <cell r="Z812">
            <v>0.26319444444444451</v>
          </cell>
          <cell r="AF812">
            <v>53.1</v>
          </cell>
          <cell r="AG812">
            <v>11.8</v>
          </cell>
          <cell r="AI812">
            <v>51.2</v>
          </cell>
          <cell r="AU812">
            <v>99.152679830501285</v>
          </cell>
          <cell r="AV812">
            <v>100.99497751526675</v>
          </cell>
          <cell r="AX812" t="str">
            <v>R.Sookram</v>
          </cell>
        </row>
        <row r="813">
          <cell r="A813" t="str">
            <v>CA704</v>
          </cell>
          <cell r="P813">
            <v>63</v>
          </cell>
          <cell r="Q813">
            <v>5.0902527075812287</v>
          </cell>
          <cell r="T813">
            <v>0.91805555555555551</v>
          </cell>
          <cell r="U813">
            <v>1.0263888888888888</v>
          </cell>
          <cell r="V813">
            <v>59</v>
          </cell>
          <cell r="Z813">
            <v>0.24861111111111101</v>
          </cell>
          <cell r="AF813">
            <v>53.3</v>
          </cell>
          <cell r="AG813">
            <v>11.8</v>
          </cell>
          <cell r="AI813">
            <v>51.3</v>
          </cell>
          <cell r="AU813">
            <v>99.469664195786237</v>
          </cell>
          <cell r="AV813">
            <v>101.31775014153772</v>
          </cell>
          <cell r="AX813" t="str">
            <v>K.Benjamin</v>
          </cell>
        </row>
        <row r="814">
          <cell r="A814" t="str">
            <v>CA705</v>
          </cell>
          <cell r="P814">
            <v>58</v>
          </cell>
          <cell r="Q814">
            <v>7.2432432432432359</v>
          </cell>
          <cell r="T814">
            <v>1.0687500000000001</v>
          </cell>
          <cell r="U814">
            <v>1.1833333333333333</v>
          </cell>
          <cell r="V814">
            <v>52</v>
          </cell>
          <cell r="Z814">
            <v>0.24583333333333335</v>
          </cell>
          <cell r="AF814">
            <v>52.2</v>
          </cell>
          <cell r="AG814">
            <v>11.7</v>
          </cell>
          <cell r="AI814">
            <v>49.4</v>
          </cell>
          <cell r="AU814">
            <v>93.927549168198638</v>
          </cell>
          <cell r="AV814">
            <v>95.601518089356304</v>
          </cell>
          <cell r="AX814" t="str">
            <v>K.Benjamin</v>
          </cell>
        </row>
        <row r="815">
          <cell r="A815" t="str">
            <v>CA706</v>
          </cell>
          <cell r="P815">
            <v>64</v>
          </cell>
          <cell r="Q815">
            <v>4.623853211009167</v>
          </cell>
          <cell r="T815">
            <v>1.1555555555555554</v>
          </cell>
          <cell r="U815">
            <v>1.2694444444444444</v>
          </cell>
          <cell r="V815">
            <v>59</v>
          </cell>
          <cell r="Z815">
            <v>0.24861111111111112</v>
          </cell>
          <cell r="AF815">
            <v>52.7</v>
          </cell>
          <cell r="AG815">
            <v>11.7</v>
          </cell>
          <cell r="AI815">
            <v>50.7</v>
          </cell>
          <cell r="AU815">
            <v>96.517874924081369</v>
          </cell>
          <cell r="AV815">
            <v>98.237821090099814</v>
          </cell>
          <cell r="AX815" t="str">
            <v>K.Benjamin</v>
          </cell>
        </row>
        <row r="816">
          <cell r="A816" t="str">
            <v>CA707</v>
          </cell>
          <cell r="P816">
            <v>59</v>
          </cell>
          <cell r="Q816">
            <v>3.9999999999999951</v>
          </cell>
          <cell r="T816">
            <v>0.25694444444444442</v>
          </cell>
          <cell r="U816">
            <v>0.36805555555555558</v>
          </cell>
          <cell r="V816">
            <v>60</v>
          </cell>
          <cell r="Z816">
            <v>0.25694444444444448</v>
          </cell>
          <cell r="AF816">
            <v>51.6</v>
          </cell>
          <cell r="AG816">
            <v>11.6</v>
          </cell>
          <cell r="AI816">
            <v>50.9</v>
          </cell>
          <cell r="AU816">
            <v>96.145318892642251</v>
          </cell>
          <cell r="AV816">
            <v>97.858439059579766</v>
          </cell>
          <cell r="AX816" t="str">
            <v>K.Benjamin</v>
          </cell>
        </row>
        <row r="817">
          <cell r="A817" t="str">
            <v>CA708</v>
          </cell>
          <cell r="P817">
            <v>60</v>
          </cell>
          <cell r="Q817">
            <v>3.80414312617703</v>
          </cell>
          <cell r="T817">
            <v>0.35972222222222222</v>
          </cell>
          <cell r="U817">
            <v>0.47847222222222224</v>
          </cell>
          <cell r="V817">
            <v>62</v>
          </cell>
          <cell r="Z817">
            <v>0.27013888888888893</v>
          </cell>
          <cell r="AF817">
            <v>51.8</v>
          </cell>
          <cell r="AG817">
            <v>11.6</v>
          </cell>
          <cell r="AI817">
            <v>50.6</v>
          </cell>
          <cell r="AU817">
            <v>95.81459536454382</v>
          </cell>
          <cell r="AV817">
            <v>97.521448478788656</v>
          </cell>
          <cell r="AX817" t="str">
            <v>R. Regis</v>
          </cell>
        </row>
        <row r="818">
          <cell r="A818" t="str">
            <v>CA709</v>
          </cell>
          <cell r="P818">
            <v>61</v>
          </cell>
          <cell r="Q818">
            <v>0.22598870056496695</v>
          </cell>
          <cell r="T818">
            <v>0.60763888888888884</v>
          </cell>
          <cell r="U818">
            <v>0.72152777777777777</v>
          </cell>
          <cell r="V818">
            <v>65</v>
          </cell>
          <cell r="Z818">
            <v>0.39861111111111108</v>
          </cell>
          <cell r="AF818">
            <v>54.6</v>
          </cell>
          <cell r="AG818">
            <v>11.6</v>
          </cell>
          <cell r="AI818">
            <v>53</v>
          </cell>
          <cell r="AU818">
            <v>97.16698636101701</v>
          </cell>
          <cell r="AV818">
            <v>99.093909333768792</v>
          </cell>
          <cell r="AX818" t="str">
            <v>R. Regis</v>
          </cell>
        </row>
        <row r="819">
          <cell r="A819" t="str">
            <v>CA710</v>
          </cell>
          <cell r="P819">
            <v>58</v>
          </cell>
          <cell r="Q819">
            <v>3.7664783427501181E-2</v>
          </cell>
          <cell r="T819">
            <v>0.7055555555555556</v>
          </cell>
          <cell r="U819">
            <v>0.81527777777777777</v>
          </cell>
          <cell r="V819">
            <v>64</v>
          </cell>
          <cell r="Z819">
            <v>0.24930555555555556</v>
          </cell>
          <cell r="AF819">
            <v>55.1</v>
          </cell>
          <cell r="AG819">
            <v>11.7</v>
          </cell>
          <cell r="AI819">
            <v>53.8</v>
          </cell>
          <cell r="AU819">
            <v>99.172551864504896</v>
          </cell>
          <cell r="AV819">
            <v>101.13985368610552</v>
          </cell>
          <cell r="AX819" t="str">
            <v>R.Sookram</v>
          </cell>
        </row>
        <row r="820">
          <cell r="A820" t="str">
            <v>CA711</v>
          </cell>
          <cell r="P820">
            <v>56</v>
          </cell>
          <cell r="Q820">
            <v>0.60263653483992519</v>
          </cell>
          <cell r="T820">
            <v>0.7993055555555556</v>
          </cell>
          <cell r="U820">
            <v>0.91111111111111109</v>
          </cell>
          <cell r="V820">
            <v>63</v>
          </cell>
          <cell r="Z820">
            <v>0.2631944444444444</v>
          </cell>
          <cell r="AF820">
            <v>53.9</v>
          </cell>
          <cell r="AG820">
            <v>11.8</v>
          </cell>
          <cell r="AI820">
            <v>51.8</v>
          </cell>
          <cell r="AU820">
            <v>96.229837243022104</v>
          </cell>
          <cell r="AV820">
            <v>98.138959160441502</v>
          </cell>
          <cell r="AX820" t="str">
            <v>R.Sookram</v>
          </cell>
        </row>
        <row r="821">
          <cell r="A821" t="str">
            <v>CA712</v>
          </cell>
          <cell r="P821">
            <v>59</v>
          </cell>
          <cell r="Q821">
            <v>3.7664783427501181E-2</v>
          </cell>
          <cell r="T821">
            <v>0.89444444444444449</v>
          </cell>
          <cell r="U821">
            <v>1.0062500000000001</v>
          </cell>
          <cell r="V821">
            <v>67</v>
          </cell>
          <cell r="Z821">
            <v>0.27013888888888893</v>
          </cell>
          <cell r="AF821">
            <v>55.1</v>
          </cell>
          <cell r="AG821">
            <v>11.8</v>
          </cell>
          <cell r="AI821">
            <v>53.7</v>
          </cell>
          <cell r="AU821">
            <v>99.640745954923631</v>
          </cell>
          <cell r="AV821">
            <v>101.61773917087402</v>
          </cell>
          <cell r="AX821" t="str">
            <v>R.Sookram</v>
          </cell>
        </row>
      </sheetData>
      <sheetData sheetId="6">
        <row r="679">
          <cell r="C679" t="str">
            <v>FV2</v>
          </cell>
        </row>
        <row r="758">
          <cell r="D758">
            <v>11.7</v>
          </cell>
        </row>
        <row r="759">
          <cell r="D759">
            <v>11.7</v>
          </cell>
        </row>
        <row r="760">
          <cell r="D760">
            <v>11.6</v>
          </cell>
        </row>
        <row r="761">
          <cell r="D761">
            <v>11.7</v>
          </cell>
        </row>
        <row r="762">
          <cell r="D762">
            <v>12</v>
          </cell>
        </row>
        <row r="763">
          <cell r="D763">
            <v>11.9</v>
          </cell>
        </row>
        <row r="764">
          <cell r="D764">
            <v>11.4</v>
          </cell>
        </row>
        <row r="765">
          <cell r="D765">
            <v>11.8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Apr'14"/>
      <sheetName val="Summary May'14"/>
      <sheetName val="BrewMaterials"/>
      <sheetName val="Brewhouse"/>
      <sheetName val="Process"/>
      <sheetName val="Packaging"/>
      <sheetName val="Summary September ' 25"/>
      <sheetName val="Summary August ' 25 "/>
      <sheetName val="Summary July ' 25"/>
      <sheetName val="Summary June ' 25"/>
      <sheetName val="Summary May ' 25"/>
      <sheetName val="Summary April ' 25"/>
      <sheetName val="Summary March ' 25"/>
      <sheetName val="Summary February ' 25 "/>
      <sheetName val="Summary January ' 25"/>
      <sheetName val="Summary December ' 24"/>
    </sheetNames>
    <sheetDataSet>
      <sheetData sheetId="0" refreshError="1"/>
      <sheetData sheetId="1" refreshError="1"/>
      <sheetData sheetId="2" refreshError="1"/>
      <sheetData sheetId="3">
        <row r="6">
          <cell r="AY6">
            <v>92.614349283942801</v>
          </cell>
        </row>
        <row r="7">
          <cell r="AY7">
            <v>95.540360033399878</v>
          </cell>
        </row>
        <row r="8">
          <cell r="AY8">
            <v>94.754877612732329</v>
          </cell>
        </row>
        <row r="9">
          <cell r="AY9">
            <v>95.371776201789885</v>
          </cell>
        </row>
        <row r="10">
          <cell r="AY10">
            <v>90.190794188520044</v>
          </cell>
        </row>
        <row r="11">
          <cell r="AY11">
            <v>93.224568939148085</v>
          </cell>
        </row>
        <row r="12">
          <cell r="AY12">
            <v>93.116630380109711</v>
          </cell>
        </row>
        <row r="13">
          <cell r="AY13">
            <v>89.945088045838986</v>
          </cell>
        </row>
        <row r="15">
          <cell r="AY15">
            <v>93.593045496219816</v>
          </cell>
        </row>
        <row r="16">
          <cell r="AY16">
            <v>94.802596635458585</v>
          </cell>
        </row>
        <row r="17">
          <cell r="AY17">
            <v>96.778271105563348</v>
          </cell>
        </row>
        <row r="18">
          <cell r="AY18">
            <v>96.30416399645047</v>
          </cell>
        </row>
        <row r="19">
          <cell r="AY19">
            <v>96.620028354806905</v>
          </cell>
        </row>
        <row r="20">
          <cell r="AY20">
            <v>97.146950233584548</v>
          </cell>
        </row>
        <row r="22">
          <cell r="AY22">
            <v>94.953130139836233</v>
          </cell>
        </row>
        <row r="23">
          <cell r="AY23">
            <v>100.2179588674224</v>
          </cell>
        </row>
        <row r="24">
          <cell r="AY24">
            <v>92.417462104672595</v>
          </cell>
        </row>
        <row r="25">
          <cell r="AY25">
            <v>98.212353766599264</v>
          </cell>
        </row>
        <row r="26">
          <cell r="AY26">
            <v>100.17660084193123</v>
          </cell>
        </row>
        <row r="27">
          <cell r="AY27">
            <v>101.7139711841882</v>
          </cell>
        </row>
        <row r="28">
          <cell r="AY28">
            <v>97.028254502167584</v>
          </cell>
        </row>
        <row r="29">
          <cell r="AY29">
            <v>99.806942496410372</v>
          </cell>
        </row>
        <row r="31">
          <cell r="AY31">
            <v>97.699494944251768</v>
          </cell>
        </row>
        <row r="32">
          <cell r="AY32">
            <v>98.002211653180524</v>
          </cell>
        </row>
        <row r="33">
          <cell r="AY33">
            <v>98.900740579253281</v>
          </cell>
        </row>
        <row r="34">
          <cell r="AY34">
            <v>100.01046742421136</v>
          </cell>
        </row>
        <row r="36">
          <cell r="AY36">
            <v>98.749264772100105</v>
          </cell>
        </row>
        <row r="37">
          <cell r="AY37">
            <v>96.781968082736597</v>
          </cell>
        </row>
        <row r="38">
          <cell r="AY38">
            <v>97.813869443605739</v>
          </cell>
        </row>
        <row r="39">
          <cell r="AY39">
            <v>99.68712102254257</v>
          </cell>
        </row>
        <row r="40">
          <cell r="AY40">
            <v>98.326953759607903</v>
          </cell>
        </row>
        <row r="41">
          <cell r="AY41">
            <v>98.820483734504066</v>
          </cell>
        </row>
        <row r="42">
          <cell r="AY42">
            <v>95.562254007954607</v>
          </cell>
        </row>
        <row r="43">
          <cell r="AY43">
            <v>101.88657891836674</v>
          </cell>
        </row>
        <row r="45">
          <cell r="AY45">
            <v>97.680078712303157</v>
          </cell>
        </row>
        <row r="46">
          <cell r="AY46">
            <v>96.032533546760064</v>
          </cell>
        </row>
        <row r="47">
          <cell r="AY47">
            <v>96.368177969102391</v>
          </cell>
        </row>
        <row r="48">
          <cell r="AY48">
            <v>96.127420872417986</v>
          </cell>
        </row>
        <row r="49">
          <cell r="AY49">
            <v>94.281558174494734</v>
          </cell>
        </row>
        <row r="50">
          <cell r="AY50">
            <v>97.243639355509373</v>
          </cell>
        </row>
        <row r="56">
          <cell r="AY56">
            <v>98.181053939282549</v>
          </cell>
        </row>
        <row r="57">
          <cell r="AY57">
            <v>87.428386701544582</v>
          </cell>
        </row>
        <row r="58">
          <cell r="AY58">
            <v>110.11827495393527</v>
          </cell>
        </row>
        <row r="59">
          <cell r="AY59">
            <v>98.787376054162792</v>
          </cell>
        </row>
        <row r="60">
          <cell r="AY60">
            <v>99.593723178345229</v>
          </cell>
        </row>
        <row r="61">
          <cell r="AY61">
            <v>99.702836872398194</v>
          </cell>
        </row>
        <row r="62">
          <cell r="AY62">
            <v>99.503394936483232</v>
          </cell>
        </row>
        <row r="63">
          <cell r="AY63">
            <v>100.14787259716714</v>
          </cell>
        </row>
        <row r="64">
          <cell r="AY64">
            <v>98.857519359317735</v>
          </cell>
        </row>
        <row r="65">
          <cell r="AY65">
            <v>100.43456778341326</v>
          </cell>
        </row>
        <row r="66">
          <cell r="AY66">
            <v>94.119623769471843</v>
          </cell>
        </row>
        <row r="67">
          <cell r="AY67">
            <v>99.044919151670612</v>
          </cell>
        </row>
        <row r="68">
          <cell r="AY68">
            <v>98.26555370627031</v>
          </cell>
        </row>
        <row r="69">
          <cell r="AY69">
            <v>98.569967614948013</v>
          </cell>
        </row>
        <row r="70">
          <cell r="AY70">
            <v>98.132256373549936</v>
          </cell>
        </row>
        <row r="71">
          <cell r="AY71">
            <v>100.03514094829396</v>
          </cell>
        </row>
        <row r="72">
          <cell r="AY72">
            <v>99.39273336749045</v>
          </cell>
        </row>
        <row r="73">
          <cell r="AY73">
            <v>102.27737633882425</v>
          </cell>
        </row>
        <row r="75">
          <cell r="A75" t="str">
            <v>SM063</v>
          </cell>
          <cell r="T75">
            <v>60</v>
          </cell>
          <cell r="U75">
            <v>8.0754716981132102</v>
          </cell>
          <cell r="X75">
            <v>0.88402777777777775</v>
          </cell>
          <cell r="Y75">
            <v>1.0131944444444445</v>
          </cell>
          <cell r="Z75">
            <v>65</v>
          </cell>
          <cell r="AD75">
            <v>0.27708333333333335</v>
          </cell>
          <cell r="AH75">
            <v>53</v>
          </cell>
          <cell r="AK75">
            <v>17.100000000000001</v>
          </cell>
          <cell r="AM75">
            <v>49.5</v>
          </cell>
          <cell r="AY75">
            <v>92.872717053233544</v>
          </cell>
          <cell r="AZ75">
            <v>93.905773684141664</v>
          </cell>
          <cell r="BC75" t="str">
            <v>R.Sookram</v>
          </cell>
        </row>
        <row r="76">
          <cell r="A76" t="str">
            <v>SM064</v>
          </cell>
          <cell r="T76">
            <v>62</v>
          </cell>
          <cell r="U76">
            <v>7.3207547169811367</v>
          </cell>
          <cell r="X76">
            <v>0.9868055555555556</v>
          </cell>
          <cell r="Y76">
            <v>1.1145833333333333</v>
          </cell>
          <cell r="Z76">
            <v>64</v>
          </cell>
          <cell r="AD76">
            <v>0.28124999999999989</v>
          </cell>
          <cell r="AH76">
            <v>53</v>
          </cell>
          <cell r="AK76">
            <v>17.2</v>
          </cell>
          <cell r="AM76">
            <v>51.7</v>
          </cell>
          <cell r="AY76">
            <v>97.504936022825035</v>
          </cell>
          <cell r="AZ76">
            <v>98.590540995369722</v>
          </cell>
          <cell r="BC76" t="str">
            <v>K. Benjamin</v>
          </cell>
        </row>
        <row r="77">
          <cell r="A77" t="str">
            <v>SM065</v>
          </cell>
          <cell r="T77">
            <v>61</v>
          </cell>
          <cell r="U77">
            <v>6</v>
          </cell>
          <cell r="X77">
            <v>1.0854166666666667</v>
          </cell>
          <cell r="Y77">
            <v>1.2124999999999999</v>
          </cell>
          <cell r="Z77">
            <v>70</v>
          </cell>
          <cell r="AD77">
            <v>0.27499999999999991</v>
          </cell>
          <cell r="AH77">
            <v>53</v>
          </cell>
          <cell r="AK77">
            <v>17.2</v>
          </cell>
          <cell r="AM77">
            <v>51.9</v>
          </cell>
          <cell r="AY77">
            <v>97.882131133164776</v>
          </cell>
          <cell r="AZ77">
            <v>98.971935738098423</v>
          </cell>
          <cell r="BC77" t="str">
            <v>K. Benjamin</v>
          </cell>
        </row>
        <row r="78">
          <cell r="A78" t="str">
            <v>SM066</v>
          </cell>
          <cell r="T78">
            <v>60</v>
          </cell>
          <cell r="U78">
            <v>5.6226415094339695</v>
          </cell>
          <cell r="X78">
            <v>1.1833333333333333</v>
          </cell>
          <cell r="Y78">
            <v>1.3138888888888889</v>
          </cell>
          <cell r="Z78">
            <v>73</v>
          </cell>
          <cell r="AD78">
            <v>0.27916666666666656</v>
          </cell>
          <cell r="AH78">
            <v>53</v>
          </cell>
          <cell r="AK78">
            <v>17.2</v>
          </cell>
          <cell r="AM78">
            <v>51.9</v>
          </cell>
          <cell r="AY78">
            <v>97.485149222479478</v>
          </cell>
          <cell r="AZ78">
            <v>98.575620813681169</v>
          </cell>
          <cell r="BC78" t="str">
            <v>K. Benjamin</v>
          </cell>
        </row>
        <row r="79">
          <cell r="A79" t="str">
            <v>SM067</v>
          </cell>
          <cell r="T79">
            <v>62</v>
          </cell>
          <cell r="U79">
            <v>15.433962264150944</v>
          </cell>
          <cell r="X79">
            <v>0.28541666666666665</v>
          </cell>
          <cell r="Y79">
            <v>0.49166666666666664</v>
          </cell>
          <cell r="Z79">
            <v>67</v>
          </cell>
          <cell r="AD79">
            <v>0.36319444444444443</v>
          </cell>
          <cell r="AH79">
            <v>53</v>
          </cell>
          <cell r="AK79">
            <v>17.600000000000001</v>
          </cell>
          <cell r="AM79">
            <v>52</v>
          </cell>
          <cell r="AY79">
            <v>99.793675801118255</v>
          </cell>
          <cell r="AZ79">
            <v>100.91410661122954</v>
          </cell>
          <cell r="BC79" t="str">
            <v>K. Benjamin</v>
          </cell>
        </row>
        <row r="80">
          <cell r="A80" t="str">
            <v>SM068</v>
          </cell>
          <cell r="T80">
            <v>59</v>
          </cell>
          <cell r="U80">
            <v>5.4237288135593271</v>
          </cell>
          <cell r="X80">
            <v>0.50972222222222219</v>
          </cell>
          <cell r="Y80">
            <v>0.64166666666666672</v>
          </cell>
          <cell r="Z80">
            <v>71</v>
          </cell>
          <cell r="AD80">
            <v>0.41250000000000009</v>
          </cell>
          <cell r="AH80">
            <v>53.1</v>
          </cell>
          <cell r="AK80">
            <v>16.899999999999999</v>
          </cell>
          <cell r="AM80">
            <v>53.4</v>
          </cell>
          <cell r="AY80">
            <v>98.208221312724632</v>
          </cell>
          <cell r="AZ80">
            <v>99.309836347464426</v>
          </cell>
          <cell r="BC80" t="str">
            <v>R. Regis</v>
          </cell>
        </row>
        <row r="81">
          <cell r="A81" t="str">
            <v>SM069</v>
          </cell>
          <cell r="T81">
            <v>70</v>
          </cell>
          <cell r="U81">
            <v>4.1054613935969995</v>
          </cell>
          <cell r="X81">
            <v>0.62222222222222223</v>
          </cell>
          <cell r="Y81">
            <v>0.77430555555555558</v>
          </cell>
          <cell r="Z81">
            <v>65</v>
          </cell>
          <cell r="AD81">
            <v>0.31597222222222227</v>
          </cell>
          <cell r="AH81">
            <v>53.1</v>
          </cell>
          <cell r="AK81">
            <v>17.2</v>
          </cell>
          <cell r="AM81">
            <v>53.4</v>
          </cell>
          <cell r="AY81">
            <v>100.22134526565291</v>
          </cell>
          <cell r="AZ81">
            <v>101.3434649401413</v>
          </cell>
          <cell r="BC81" t="str">
            <v>R. Regis</v>
          </cell>
        </row>
        <row r="82">
          <cell r="A82" t="str">
            <v>SM070</v>
          </cell>
          <cell r="T82">
            <v>69</v>
          </cell>
          <cell r="U82">
            <v>4.2937853107344655</v>
          </cell>
          <cell r="X82">
            <v>0.74513888888888891</v>
          </cell>
          <cell r="Y82">
            <v>0.88888888888888884</v>
          </cell>
          <cell r="Z82">
            <v>80</v>
          </cell>
          <cell r="AD82">
            <v>0.31944444444444442</v>
          </cell>
          <cell r="AH82">
            <v>53.1</v>
          </cell>
          <cell r="AK82">
            <v>17.100000000000001</v>
          </cell>
          <cell r="AM82">
            <v>52.5</v>
          </cell>
          <cell r="AY82">
            <v>97.942529175156437</v>
          </cell>
          <cell r="AZ82">
            <v>99.039134281237168</v>
          </cell>
          <cell r="BC82" t="str">
            <v>R.Sookram</v>
          </cell>
        </row>
        <row r="83">
          <cell r="A83" t="str">
            <v>SM071</v>
          </cell>
          <cell r="T83">
            <v>61</v>
          </cell>
          <cell r="U83">
            <v>12.015065913371002</v>
          </cell>
          <cell r="X83">
            <v>0.9458333333333333</v>
          </cell>
          <cell r="Y83">
            <v>1.0513888888888889</v>
          </cell>
          <cell r="Z83">
            <v>62</v>
          </cell>
          <cell r="AD83">
            <v>0.29444444444444451</v>
          </cell>
          <cell r="AH83">
            <v>53.1</v>
          </cell>
          <cell r="AK83">
            <v>17.3</v>
          </cell>
          <cell r="AM83">
            <v>49.7</v>
          </cell>
          <cell r="AY83">
            <v>94.151553219284494</v>
          </cell>
          <cell r="AZ83">
            <v>95.089534845720081</v>
          </cell>
          <cell r="BC83" t="str">
            <v>R. Regis</v>
          </cell>
        </row>
        <row r="84">
          <cell r="A84" t="str">
            <v>SM072</v>
          </cell>
          <cell r="T84">
            <v>70</v>
          </cell>
          <cell r="U84">
            <v>9.5668549905838152</v>
          </cell>
          <cell r="X84">
            <v>1.0381944444444444</v>
          </cell>
          <cell r="Y84">
            <v>1.1666666666666667</v>
          </cell>
          <cell r="Z84">
            <v>66</v>
          </cell>
          <cell r="AD84">
            <v>0.28125000000000011</v>
          </cell>
          <cell r="AH84">
            <v>53.1</v>
          </cell>
          <cell r="AK84">
            <v>17.7</v>
          </cell>
          <cell r="AM84">
            <v>50.05</v>
          </cell>
          <cell r="AY84">
            <v>97.042221616983554</v>
          </cell>
          <cell r="AZ84">
            <v>98.00990135638331</v>
          </cell>
          <cell r="BC84" t="str">
            <v>R.Sookram</v>
          </cell>
        </row>
        <row r="85">
          <cell r="A85" t="str">
            <v>SM073</v>
          </cell>
          <cell r="U85">
            <v>10.508474576271198</v>
          </cell>
          <cell r="Y85">
            <v>1.2902777777777779</v>
          </cell>
          <cell r="Z85">
            <v>78</v>
          </cell>
          <cell r="AD85">
            <v>0.31805555555555565</v>
          </cell>
          <cell r="AH85">
            <v>53.1</v>
          </cell>
          <cell r="AK85">
            <v>17.399999999999999</v>
          </cell>
          <cell r="AM85">
            <v>50.7</v>
          </cell>
          <cell r="AY85">
            <v>96.460634470657212</v>
          </cell>
          <cell r="AZ85">
            <v>97.423407877574846</v>
          </cell>
          <cell r="BC85" t="str">
            <v>R.Sookram</v>
          </cell>
        </row>
        <row r="86">
          <cell r="A86" t="str">
            <v>SM074</v>
          </cell>
          <cell r="T86">
            <v>60</v>
          </cell>
          <cell r="U86">
            <v>10.131826741996237</v>
          </cell>
          <cell r="X86">
            <v>0.29583333333333334</v>
          </cell>
          <cell r="Y86">
            <v>0.42152777777777778</v>
          </cell>
          <cell r="Z86">
            <v>63</v>
          </cell>
          <cell r="AD86">
            <v>0.32430555555555557</v>
          </cell>
          <cell r="AH86">
            <v>53.1</v>
          </cell>
          <cell r="AK86">
            <v>17.5</v>
          </cell>
          <cell r="AM86">
            <v>50.8</v>
          </cell>
          <cell r="AY86">
            <v>97.300929934901561</v>
          </cell>
          <cell r="AZ86">
            <v>98.27118944621391</v>
          </cell>
          <cell r="BC86" t="str">
            <v>R. Regis</v>
          </cell>
        </row>
        <row r="87">
          <cell r="A87" t="str">
            <v>SM075</v>
          </cell>
          <cell r="T87">
            <v>62</v>
          </cell>
          <cell r="U87">
            <v>7.5094339622641586</v>
          </cell>
          <cell r="X87">
            <v>0.4284722222222222</v>
          </cell>
          <cell r="Y87">
            <v>0.56874999999999998</v>
          </cell>
          <cell r="Z87">
            <v>67</v>
          </cell>
          <cell r="AD87">
            <v>0.28402777777777777</v>
          </cell>
          <cell r="AH87">
            <v>53</v>
          </cell>
          <cell r="AK87">
            <v>17.2</v>
          </cell>
          <cell r="AM87">
            <v>52.1</v>
          </cell>
          <cell r="AY87">
            <v>98.456995928070882</v>
          </cell>
          <cell r="AZ87">
            <v>99.433283097407227</v>
          </cell>
          <cell r="BC87" t="str">
            <v>R. Regis</v>
          </cell>
        </row>
        <row r="88">
          <cell r="A88" t="str">
            <v>SM076</v>
          </cell>
          <cell r="T88">
            <v>61</v>
          </cell>
          <cell r="U88">
            <v>5.0470809792843818</v>
          </cell>
          <cell r="X88">
            <v>0.53333333333333333</v>
          </cell>
          <cell r="Y88">
            <v>0.67500000000000004</v>
          </cell>
          <cell r="Z88">
            <v>70</v>
          </cell>
          <cell r="AD88">
            <v>0.30000000000000004</v>
          </cell>
          <cell r="AH88">
            <v>53.1</v>
          </cell>
          <cell r="AK88">
            <v>17.399999999999999</v>
          </cell>
          <cell r="AM88">
            <v>52.4</v>
          </cell>
          <cell r="AY88">
            <v>100.01882858314821</v>
          </cell>
          <cell r="AZ88">
            <v>101.01340320835052</v>
          </cell>
          <cell r="BC88" t="str">
            <v>R. Regis</v>
          </cell>
        </row>
        <row r="89">
          <cell r="A89" t="str">
            <v>SM077</v>
          </cell>
          <cell r="T89">
            <v>61</v>
          </cell>
          <cell r="U89">
            <v>6.7419962335216672</v>
          </cell>
          <cell r="X89">
            <v>0.64097222222222228</v>
          </cell>
          <cell r="Y89">
            <v>0.77777777777777779</v>
          </cell>
          <cell r="Z89">
            <v>71</v>
          </cell>
          <cell r="AD89">
            <v>0.30208333333333337</v>
          </cell>
          <cell r="AH89">
            <v>53.1</v>
          </cell>
          <cell r="AK89">
            <v>17.100000000000001</v>
          </cell>
          <cell r="AM89">
            <v>52.4</v>
          </cell>
          <cell r="AY89">
            <v>98.0323031936218</v>
          </cell>
          <cell r="AZ89">
            <v>99.00894665885086</v>
          </cell>
          <cell r="BC89" t="str">
            <v>R. Regis</v>
          </cell>
        </row>
        <row r="90">
          <cell r="A90" t="str">
            <v>SM078</v>
          </cell>
          <cell r="T90">
            <v>61</v>
          </cell>
          <cell r="U90">
            <v>4.4821092278719448</v>
          </cell>
          <cell r="X90">
            <v>0.74583333333333335</v>
          </cell>
          <cell r="Y90">
            <v>0.88402777777777775</v>
          </cell>
          <cell r="Z90">
            <v>79</v>
          </cell>
          <cell r="AD90">
            <v>0.30763888888888891</v>
          </cell>
          <cell r="AH90">
            <v>53.1</v>
          </cell>
          <cell r="AK90">
            <v>17</v>
          </cell>
          <cell r="AM90">
            <v>52.9</v>
          </cell>
          <cell r="AY90">
            <v>98.397461899198319</v>
          </cell>
          <cell r="AZ90">
            <v>99.376829285711466</v>
          </cell>
          <cell r="BC90" t="str">
            <v>R. Regis</v>
          </cell>
        </row>
        <row r="91">
          <cell r="A91" t="str">
            <v>SM079</v>
          </cell>
          <cell r="T91">
            <v>61</v>
          </cell>
          <cell r="U91">
            <v>4.8679245283018968</v>
          </cell>
          <cell r="X91">
            <v>0.85624999999999996</v>
          </cell>
          <cell r="Y91">
            <v>0.99444444444444446</v>
          </cell>
          <cell r="Z91">
            <v>83</v>
          </cell>
          <cell r="AD91">
            <v>0.30694444444444446</v>
          </cell>
          <cell r="AH91">
            <v>53</v>
          </cell>
          <cell r="AK91">
            <v>17.2</v>
          </cell>
          <cell r="AM91">
            <v>52.6</v>
          </cell>
          <cell r="AY91">
            <v>98.998957891963272</v>
          </cell>
          <cell r="AZ91">
            <v>99.985231621539</v>
          </cell>
          <cell r="BC91" t="str">
            <v>R. Regis</v>
          </cell>
        </row>
        <row r="92">
          <cell r="A92" t="str">
            <v>SM080</v>
          </cell>
          <cell r="T92">
            <v>66</v>
          </cell>
          <cell r="U92">
            <v>5.9887005649717642</v>
          </cell>
          <cell r="X92">
            <v>0.9604166666666667</v>
          </cell>
          <cell r="Y92">
            <v>1.1145833333333333</v>
          </cell>
          <cell r="Z92">
            <v>100</v>
          </cell>
          <cell r="AD92">
            <v>0.30902777777777768</v>
          </cell>
          <cell r="AH92">
            <v>53.1</v>
          </cell>
          <cell r="AK92">
            <v>17.100000000000001</v>
          </cell>
          <cell r="AM92">
            <v>53.6</v>
          </cell>
          <cell r="AY92">
            <v>100.44017037572831</v>
          </cell>
          <cell r="AZ92">
            <v>101.43893477061073</v>
          </cell>
          <cell r="BC92" t="str">
            <v>R.Sookram</v>
          </cell>
        </row>
      </sheetData>
      <sheetData sheetId="4">
        <row r="74">
          <cell r="B74">
            <v>45901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Packaging"/>
      <sheetName val="Summary September '25"/>
      <sheetName val="Summary August '25 "/>
      <sheetName val="Summary July '25"/>
      <sheetName val="Summary June '25"/>
      <sheetName val="Summary May '25"/>
      <sheetName val="Summary April '25"/>
      <sheetName val="Summary March '25"/>
      <sheetName val="Summary February '25"/>
      <sheetName val="Summary January '25"/>
      <sheetName val="Summary December '24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5">
          <cell r="AS15">
            <v>93.952909228354414</v>
          </cell>
        </row>
        <row r="16">
          <cell r="AS16">
            <v>96.305388330846725</v>
          </cell>
        </row>
        <row r="17">
          <cell r="AS17">
            <v>97.317556311342841</v>
          </cell>
        </row>
        <row r="18">
          <cell r="AS18">
            <v>96.740574752184699</v>
          </cell>
        </row>
        <row r="19">
          <cell r="AS19">
            <v>95.662513854103381</v>
          </cell>
        </row>
        <row r="20">
          <cell r="AS20">
            <v>96.762676801570322</v>
          </cell>
        </row>
        <row r="21">
          <cell r="AS21">
            <v>94.359297157598206</v>
          </cell>
        </row>
        <row r="22">
          <cell r="AS22">
            <v>95.89985711119165</v>
          </cell>
        </row>
        <row r="23">
          <cell r="AS23">
            <v>96.050597074606841</v>
          </cell>
        </row>
        <row r="24">
          <cell r="AS24">
            <v>96.050597074606841</v>
          </cell>
        </row>
        <row r="25">
          <cell r="AS25">
            <v>93.400253634983798</v>
          </cell>
        </row>
        <row r="26">
          <cell r="AS26">
            <v>96.426665032854629</v>
          </cell>
        </row>
        <row r="27">
          <cell r="AS27">
            <v>96.328598952006701</v>
          </cell>
        </row>
        <row r="28">
          <cell r="AS28">
            <v>97.60292995662067</v>
          </cell>
        </row>
        <row r="29">
          <cell r="AS29">
            <v>92.363806479823964</v>
          </cell>
        </row>
        <row r="30">
          <cell r="AS30">
            <v>97.071554839885479</v>
          </cell>
        </row>
        <row r="31">
          <cell r="AS31">
            <v>93.180885322057676</v>
          </cell>
        </row>
        <row r="32">
          <cell r="AS32">
            <v>93.104069106683397</v>
          </cell>
        </row>
        <row r="33">
          <cell r="AS33">
            <v>96.914841762663983</v>
          </cell>
        </row>
        <row r="34">
          <cell r="AS34">
            <v>100.133600634603</v>
          </cell>
        </row>
        <row r="35">
          <cell r="AS35">
            <v>97.985541190514951</v>
          </cell>
        </row>
        <row r="36">
          <cell r="AS36">
            <v>97.465856823914748</v>
          </cell>
        </row>
        <row r="37">
          <cell r="AS37">
            <v>93.269474250821958</v>
          </cell>
        </row>
        <row r="38">
          <cell r="AS38">
            <v>95.729858121698229</v>
          </cell>
        </row>
        <row r="39">
          <cell r="AS39">
            <v>96.776757210948887</v>
          </cell>
        </row>
        <row r="40">
          <cell r="AS40">
            <v>96.149254375240844</v>
          </cell>
        </row>
        <row r="41">
          <cell r="AS41">
            <v>95.703229726515019</v>
          </cell>
        </row>
        <row r="42">
          <cell r="AS42">
            <v>96.392332863581075</v>
          </cell>
        </row>
        <row r="43">
          <cell r="AS43">
            <v>96.042495052644043</v>
          </cell>
        </row>
        <row r="44">
          <cell r="AS44">
            <v>96.528726855243008</v>
          </cell>
        </row>
        <row r="45">
          <cell r="AS45">
            <v>99.057134588670351</v>
          </cell>
        </row>
        <row r="46">
          <cell r="AS46">
            <v>97.66120802841786</v>
          </cell>
        </row>
        <row r="47">
          <cell r="AS47">
            <v>99.956949475386367</v>
          </cell>
        </row>
        <row r="48">
          <cell r="AS48">
            <v>101.54928414912592</v>
          </cell>
        </row>
        <row r="49">
          <cell r="AS49">
            <v>97.80064193750701</v>
          </cell>
        </row>
        <row r="50">
          <cell r="AS50">
            <v>96.518971677208299</v>
          </cell>
        </row>
        <row r="51">
          <cell r="AS51">
            <v>95.561137165761352</v>
          </cell>
        </row>
        <row r="52">
          <cell r="AS52">
            <v>95.558880444994585</v>
          </cell>
        </row>
        <row r="53">
          <cell r="AS53">
            <v>95.952410461648014</v>
          </cell>
        </row>
        <row r="54">
          <cell r="AS54">
            <v>95.30638126018755</v>
          </cell>
        </row>
        <row r="55">
          <cell r="AS55">
            <v>94.732040280520366</v>
          </cell>
        </row>
        <row r="56">
          <cell r="AS56">
            <v>93.077322691564333</v>
          </cell>
        </row>
        <row r="57">
          <cell r="AS57">
            <v>94.371821342410584</v>
          </cell>
        </row>
        <row r="58">
          <cell r="AS58">
            <v>98.856173802431272</v>
          </cell>
        </row>
        <row r="59">
          <cell r="AS59">
            <v>95.30638126018755</v>
          </cell>
        </row>
        <row r="60">
          <cell r="AS60">
            <v>97.2646053460942</v>
          </cell>
        </row>
        <row r="61">
          <cell r="AS61">
            <v>93.552519520813476</v>
          </cell>
        </row>
        <row r="62">
          <cell r="AS62">
            <v>94.825567674202887</v>
          </cell>
        </row>
        <row r="63">
          <cell r="AS63">
            <v>92.656238601066747</v>
          </cell>
        </row>
        <row r="64">
          <cell r="AS64">
            <v>96.628236432962609</v>
          </cell>
        </row>
        <row r="66">
          <cell r="AS66">
            <v>92.002637422262225</v>
          </cell>
        </row>
        <row r="67">
          <cell r="AS67">
            <v>95.885984924603306</v>
          </cell>
        </row>
        <row r="68">
          <cell r="AS68">
            <v>95.012866791826809</v>
          </cell>
        </row>
        <row r="69">
          <cell r="AS69">
            <v>95.834500872564547</v>
          </cell>
        </row>
        <row r="70">
          <cell r="AS70">
            <v>95.943381714424419</v>
          </cell>
        </row>
        <row r="71">
          <cell r="AS71">
            <v>96.860953695286469</v>
          </cell>
        </row>
        <row r="72">
          <cell r="AS72">
            <v>96.412978745034764</v>
          </cell>
        </row>
        <row r="73">
          <cell r="AS73">
            <v>96.134503988755924</v>
          </cell>
        </row>
        <row r="74">
          <cell r="AS74">
            <v>92.715017057588085</v>
          </cell>
        </row>
        <row r="75">
          <cell r="AS75">
            <v>96.097642480416468</v>
          </cell>
        </row>
        <row r="76">
          <cell r="AS76">
            <v>96.605804702524836</v>
          </cell>
        </row>
        <row r="77">
          <cell r="AS77">
            <v>97.184282574995024</v>
          </cell>
        </row>
        <row r="78">
          <cell r="AS78">
            <v>97.663482183408107</v>
          </cell>
        </row>
        <row r="79">
          <cell r="AS79">
            <v>93.680020965087763</v>
          </cell>
        </row>
        <row r="80">
          <cell r="AS80">
            <v>97.133695082094221</v>
          </cell>
        </row>
        <row r="81">
          <cell r="AS81">
            <v>96.430423472800626</v>
          </cell>
        </row>
        <row r="82">
          <cell r="AS82">
            <v>90.175237312660769</v>
          </cell>
        </row>
        <row r="83">
          <cell r="AS83">
            <v>98.394986562676721</v>
          </cell>
        </row>
        <row r="84">
          <cell r="AS84">
            <v>97.621745017979862</v>
          </cell>
        </row>
        <row r="85">
          <cell r="AS85">
            <v>95.99281388436242</v>
          </cell>
        </row>
        <row r="86">
          <cell r="AS86">
            <v>95.681023720581877</v>
          </cell>
        </row>
        <row r="87">
          <cell r="AS87">
            <v>95.907156934495333</v>
          </cell>
        </row>
        <row r="88">
          <cell r="AS88">
            <v>95.275297184535674</v>
          </cell>
        </row>
        <row r="89">
          <cell r="AS89">
            <v>95.059784463588144</v>
          </cell>
        </row>
        <row r="90">
          <cell r="AS90">
            <v>96.727001848613199</v>
          </cell>
        </row>
        <row r="91">
          <cell r="AS91">
            <v>104.009149649091</v>
          </cell>
        </row>
        <row r="92">
          <cell r="AS92">
            <v>92.550439614588157</v>
          </cell>
        </row>
        <row r="93">
          <cell r="AS93">
            <v>96.999636851732902</v>
          </cell>
        </row>
        <row r="94">
          <cell r="AS94">
            <v>95.770454909660813</v>
          </cell>
        </row>
        <row r="95">
          <cell r="AS95">
            <v>94.428562140000224</v>
          </cell>
        </row>
        <row r="96">
          <cell r="AS96">
            <v>93.741070270083767</v>
          </cell>
        </row>
        <row r="97">
          <cell r="AS97">
            <v>94.687949767761395</v>
          </cell>
        </row>
        <row r="98">
          <cell r="AS98">
            <v>96.284997099590015</v>
          </cell>
        </row>
        <row r="99">
          <cell r="AS99">
            <v>97.212508885391316</v>
          </cell>
        </row>
        <row r="100">
          <cell r="AS100">
            <v>93.636382272815794</v>
          </cell>
        </row>
        <row r="101">
          <cell r="AS101">
            <v>94.671387189089145</v>
          </cell>
        </row>
        <row r="102">
          <cell r="AS102">
            <v>93.244451097177674</v>
          </cell>
        </row>
        <row r="103">
          <cell r="AS103">
            <v>94.598152318138133</v>
          </cell>
        </row>
        <row r="105">
          <cell r="AS105">
            <v>96.818003369761513</v>
          </cell>
        </row>
        <row r="106">
          <cell r="AS106">
            <v>96.728268188487093</v>
          </cell>
        </row>
        <row r="107">
          <cell r="AS107">
            <v>94.725921358787076</v>
          </cell>
        </row>
        <row r="108">
          <cell r="AS108">
            <v>96.728268188487093</v>
          </cell>
        </row>
        <row r="109">
          <cell r="AS109">
            <v>98.026213210604823</v>
          </cell>
        </row>
        <row r="110">
          <cell r="AS110">
            <v>98.897348757551114</v>
          </cell>
        </row>
        <row r="111">
          <cell r="AS111">
            <v>98.846181723282257</v>
          </cell>
        </row>
        <row r="112">
          <cell r="AS112">
            <v>99.65424616729544</v>
          </cell>
        </row>
        <row r="113">
          <cell r="AS113">
            <v>99.065888617269223</v>
          </cell>
        </row>
        <row r="114">
          <cell r="AS114">
            <v>99.602654863491452</v>
          </cell>
        </row>
        <row r="115">
          <cell r="AS115">
            <v>99.164950119073353</v>
          </cell>
        </row>
        <row r="116">
          <cell r="AS116">
            <v>97.38390073907243</v>
          </cell>
        </row>
        <row r="117">
          <cell r="AS117">
            <v>97.938471627804731</v>
          </cell>
        </row>
        <row r="118">
          <cell r="AS118">
            <v>102.00584482183068</v>
          </cell>
        </row>
        <row r="119">
          <cell r="AS119">
            <v>93.711849834287406</v>
          </cell>
        </row>
        <row r="120">
          <cell r="AS120">
            <v>104.41201107512165</v>
          </cell>
        </row>
        <row r="121">
          <cell r="AS121">
            <v>101.34183343248617</v>
          </cell>
        </row>
        <row r="122">
          <cell r="AS122">
            <v>103.02428455849693</v>
          </cell>
        </row>
        <row r="123">
          <cell r="AS123">
            <v>98.371980498141809</v>
          </cell>
        </row>
        <row r="124">
          <cell r="AS124">
            <v>97.480302480496775</v>
          </cell>
        </row>
        <row r="125">
          <cell r="AS125">
            <v>99.211017553113123</v>
          </cell>
        </row>
        <row r="126">
          <cell r="AS126">
            <v>98.111702404981273</v>
          </cell>
        </row>
        <row r="127">
          <cell r="AS127">
            <v>98.934461309721527</v>
          </cell>
        </row>
        <row r="128">
          <cell r="AS128">
            <v>98.841782508267997</v>
          </cell>
        </row>
        <row r="129">
          <cell r="AS129">
            <v>103.23164333167807</v>
          </cell>
        </row>
        <row r="130">
          <cell r="AS130">
            <v>98.533330895870236</v>
          </cell>
        </row>
        <row r="131">
          <cell r="AS131">
            <v>98.055764357108799</v>
          </cell>
        </row>
        <row r="132">
          <cell r="AS132">
            <v>98.965495815775583</v>
          </cell>
        </row>
        <row r="133">
          <cell r="AS133">
            <v>98.136818497898929</v>
          </cell>
        </row>
        <row r="134">
          <cell r="AS134">
            <v>99.594814290107152</v>
          </cell>
        </row>
        <row r="135">
          <cell r="AS135">
            <v>98.47330071154957</v>
          </cell>
        </row>
        <row r="136">
          <cell r="AS136">
            <v>103.36052848626758</v>
          </cell>
        </row>
        <row r="137">
          <cell r="AS137">
            <v>94.448940517191943</v>
          </cell>
        </row>
        <row r="138">
          <cell r="AS138">
            <v>96.922261553729911</v>
          </cell>
        </row>
        <row r="139">
          <cell r="AS139">
            <v>97.203701282276711</v>
          </cell>
        </row>
        <row r="140">
          <cell r="AS140">
            <v>97.400469908354196</v>
          </cell>
        </row>
        <row r="142">
          <cell r="AS142">
            <v>97.215215171736631</v>
          </cell>
        </row>
        <row r="143">
          <cell r="AS143">
            <v>100.22635814188384</v>
          </cell>
        </row>
        <row r="144">
          <cell r="AS144">
            <v>99.612902884689717</v>
          </cell>
        </row>
        <row r="145">
          <cell r="AS145">
            <v>98.872380781910195</v>
          </cell>
        </row>
        <row r="146">
          <cell r="AS146">
            <v>98.164307604461925</v>
          </cell>
        </row>
        <row r="147">
          <cell r="AS147">
            <v>96.764330157536619</v>
          </cell>
        </row>
        <row r="148">
          <cell r="AS148">
            <v>98.581081664819095</v>
          </cell>
        </row>
        <row r="149">
          <cell r="AS149">
            <v>98.654179974952328</v>
          </cell>
        </row>
        <row r="150">
          <cell r="AS150">
            <v>96.687242116034184</v>
          </cell>
        </row>
        <row r="151">
          <cell r="AS151">
            <v>99.203898650029743</v>
          </cell>
        </row>
        <row r="152">
          <cell r="AS152">
            <v>99.653052105402068</v>
          </cell>
        </row>
        <row r="153">
          <cell r="AS153">
            <v>100.04618853247267</v>
          </cell>
        </row>
        <row r="154">
          <cell r="AS154">
            <v>103.48583389849561</v>
          </cell>
        </row>
        <row r="155">
          <cell r="AS155">
            <v>98.880284002650114</v>
          </cell>
        </row>
        <row r="156">
          <cell r="AS156">
            <v>97.662755281529215</v>
          </cell>
        </row>
        <row r="157">
          <cell r="AS157">
            <v>101.20397725184486</v>
          </cell>
        </row>
        <row r="158">
          <cell r="AS158">
            <v>97.163133476785902</v>
          </cell>
        </row>
        <row r="159">
          <cell r="AS159">
            <v>99.680986353901574</v>
          </cell>
        </row>
        <row r="160">
          <cell r="AS160">
            <v>100.32468935826775</v>
          </cell>
        </row>
        <row r="161">
          <cell r="AS161">
            <v>99.06474164379361</v>
          </cell>
        </row>
        <row r="162">
          <cell r="AS162">
            <v>98.019922797995775</v>
          </cell>
        </row>
        <row r="163">
          <cell r="AS163">
            <v>99.773758394779009</v>
          </cell>
        </row>
        <row r="164">
          <cell r="AS164">
            <v>97.507731951946184</v>
          </cell>
        </row>
        <row r="165">
          <cell r="AS165">
            <v>98.581120174708957</v>
          </cell>
        </row>
        <row r="166">
          <cell r="AS166">
            <v>95.004403103029915</v>
          </cell>
        </row>
        <row r="167">
          <cell r="AS167">
            <v>99.803912080322945</v>
          </cell>
        </row>
        <row r="168">
          <cell r="AS168">
            <v>99.261754930640222</v>
          </cell>
        </row>
        <row r="169">
          <cell r="AS169">
            <v>97.650134196033449</v>
          </cell>
        </row>
        <row r="170">
          <cell r="AS170">
            <v>97.774353948870356</v>
          </cell>
        </row>
        <row r="171">
          <cell r="AS171">
            <v>100.34851077545073</v>
          </cell>
        </row>
        <row r="172">
          <cell r="AS172">
            <v>100.17584029377748</v>
          </cell>
        </row>
        <row r="173">
          <cell r="AS173">
            <v>99.593422617650873</v>
          </cell>
        </row>
        <row r="174">
          <cell r="AS174">
            <v>96.450818305435675</v>
          </cell>
        </row>
        <row r="175">
          <cell r="AS175">
            <v>104.47252079158716</v>
          </cell>
        </row>
        <row r="176">
          <cell r="AS176">
            <v>97.021410313288342</v>
          </cell>
        </row>
        <row r="177">
          <cell r="AS177">
            <v>111.42233703913573</v>
          </cell>
        </row>
        <row r="178">
          <cell r="AS178">
            <v>96.024912228115227</v>
          </cell>
        </row>
        <row r="179">
          <cell r="AS179">
            <v>100.88096411971219</v>
          </cell>
        </row>
        <row r="180">
          <cell r="AS180">
            <v>98.35750118912209</v>
          </cell>
        </row>
        <row r="181">
          <cell r="AS181">
            <v>99.955757308619226</v>
          </cell>
        </row>
        <row r="182">
          <cell r="AS182">
            <v>100.0542639520425</v>
          </cell>
        </row>
        <row r="183">
          <cell r="AS183">
            <v>97.894867203057146</v>
          </cell>
        </row>
        <row r="184">
          <cell r="AS184">
            <v>101.26478844270513</v>
          </cell>
        </row>
        <row r="185">
          <cell r="AS185">
            <v>100.87304844872946</v>
          </cell>
        </row>
        <row r="186">
          <cell r="AS186">
            <v>97.739128496924266</v>
          </cell>
        </row>
        <row r="187">
          <cell r="AS187">
            <v>98.608395095224694</v>
          </cell>
        </row>
        <row r="188">
          <cell r="AS188">
            <v>99.473816674074172</v>
          </cell>
        </row>
        <row r="189">
          <cell r="AS189">
            <v>96.771677377330477</v>
          </cell>
        </row>
        <row r="190">
          <cell r="AS190">
            <v>98.031246107368958</v>
          </cell>
        </row>
        <row r="191">
          <cell r="AS191">
            <v>98.226139240783183</v>
          </cell>
        </row>
        <row r="192">
          <cell r="AS192">
            <v>99.142807989788679</v>
          </cell>
        </row>
        <row r="193">
          <cell r="AS193">
            <v>102.23697824835402</v>
          </cell>
        </row>
        <row r="195">
          <cell r="AS195">
            <v>94.420068663376142</v>
          </cell>
        </row>
        <row r="196">
          <cell r="AS196">
            <v>101.4475035128455</v>
          </cell>
        </row>
        <row r="197">
          <cell r="AS197">
            <v>103.33938935492559</v>
          </cell>
        </row>
        <row r="198">
          <cell r="AS198">
            <v>98.251296837034474</v>
          </cell>
        </row>
        <row r="199">
          <cell r="AS199">
            <v>100.42613023056258</v>
          </cell>
        </row>
        <row r="200">
          <cell r="AS200">
            <v>100.62499385478152</v>
          </cell>
        </row>
        <row r="201">
          <cell r="AS201">
            <v>98.297689553042517</v>
          </cell>
        </row>
        <row r="202">
          <cell r="AS202">
            <v>100.3048487527348</v>
          </cell>
        </row>
        <row r="203">
          <cell r="AS203">
            <v>101.79315931615676</v>
          </cell>
        </row>
        <row r="204">
          <cell r="AS204">
            <v>104.73648096630129</v>
          </cell>
        </row>
        <row r="205">
          <cell r="AS205">
            <v>104.07643263107897</v>
          </cell>
        </row>
        <row r="206">
          <cell r="AS206">
            <v>104.01329640324821</v>
          </cell>
        </row>
        <row r="207">
          <cell r="AS207">
            <v>105.77821094217738</v>
          </cell>
        </row>
        <row r="208">
          <cell r="AS208">
            <v>102.42416344927454</v>
          </cell>
        </row>
        <row r="209">
          <cell r="AS209">
            <v>101.51921100112835</v>
          </cell>
        </row>
        <row r="210">
          <cell r="AS210">
            <v>102.44000842463204</v>
          </cell>
        </row>
        <row r="211">
          <cell r="AS211">
            <v>98.867922657162993</v>
          </cell>
        </row>
        <row r="212">
          <cell r="AS212">
            <v>97.867502708764803</v>
          </cell>
        </row>
        <row r="213">
          <cell r="AS213">
            <v>100.37302685675083</v>
          </cell>
        </row>
        <row r="214">
          <cell r="AS214">
            <v>98.153626645427877</v>
          </cell>
        </row>
        <row r="215">
          <cell r="AS215">
            <v>98.115990931121161</v>
          </cell>
        </row>
        <row r="216">
          <cell r="AS216">
            <v>98.809112005591132</v>
          </cell>
        </row>
        <row r="217">
          <cell r="AS217">
            <v>101.08067316566927</v>
          </cell>
        </row>
        <row r="218">
          <cell r="AS218">
            <v>100.42130937950147</v>
          </cell>
        </row>
        <row r="219">
          <cell r="AS219">
            <v>97.675605644629954</v>
          </cell>
        </row>
        <row r="220">
          <cell r="AS220">
            <v>95.681687628441722</v>
          </cell>
        </row>
        <row r="221">
          <cell r="AS221">
            <v>97.885552432619079</v>
          </cell>
        </row>
        <row r="222">
          <cell r="AS222">
            <v>95.870530359639602</v>
          </cell>
        </row>
        <row r="223">
          <cell r="AS223">
            <v>100.16797995065821</v>
          </cell>
        </row>
        <row r="224">
          <cell r="AS224">
            <v>99.91135688893435</v>
          </cell>
        </row>
        <row r="225">
          <cell r="AS225">
            <v>98.49752950633092</v>
          </cell>
        </row>
        <row r="226">
          <cell r="AS226">
            <v>100.08956846077814</v>
          </cell>
        </row>
        <row r="227">
          <cell r="AS227">
            <v>92.80227957183709</v>
          </cell>
        </row>
        <row r="228">
          <cell r="AS228">
            <v>101.36025128712886</v>
          </cell>
        </row>
        <row r="229">
          <cell r="AS229">
            <v>104.17219224910809</v>
          </cell>
        </row>
        <row r="230">
          <cell r="AS230">
            <v>98.018130850466463</v>
          </cell>
        </row>
        <row r="231">
          <cell r="AS231">
            <v>101.29164628597466</v>
          </cell>
        </row>
        <row r="232">
          <cell r="AS232">
            <v>98.717568355226533</v>
          </cell>
        </row>
        <row r="233">
          <cell r="AS233">
            <v>94.373621092817032</v>
          </cell>
        </row>
        <row r="234">
          <cell r="AS234">
            <v>94.757253698885393</v>
          </cell>
        </row>
        <row r="235">
          <cell r="AS235">
            <v>96.356247062990235</v>
          </cell>
        </row>
        <row r="236">
          <cell r="AS236">
            <v>97.895175175059975</v>
          </cell>
        </row>
        <row r="237">
          <cell r="AS237">
            <v>97.406620295015315</v>
          </cell>
        </row>
        <row r="238">
          <cell r="AS238">
            <v>96.710712657442159</v>
          </cell>
        </row>
        <row r="239">
          <cell r="AS239">
            <v>99.641893083846412</v>
          </cell>
        </row>
        <row r="240">
          <cell r="AS240">
            <v>100.47209138244359</v>
          </cell>
        </row>
        <row r="242">
          <cell r="AS242">
            <v>95.024171381581283</v>
          </cell>
        </row>
        <row r="243">
          <cell r="AS243">
            <v>95.603326677587518</v>
          </cell>
        </row>
        <row r="244">
          <cell r="AS244">
            <v>97.891004589246791</v>
          </cell>
        </row>
        <row r="245">
          <cell r="AS245">
            <v>96.127502387330068</v>
          </cell>
        </row>
        <row r="246">
          <cell r="AS246">
            <v>96.919863670702682</v>
          </cell>
        </row>
        <row r="247">
          <cell r="AS247">
            <v>98.103519034372525</v>
          </cell>
        </row>
        <row r="248">
          <cell r="AS248">
            <v>98.807821942068728</v>
          </cell>
        </row>
        <row r="249">
          <cell r="AS249">
            <v>97.839117805381775</v>
          </cell>
        </row>
        <row r="250">
          <cell r="AS250">
            <v>97.502548221829173</v>
          </cell>
        </row>
        <row r="251">
          <cell r="AS251">
            <v>97.980878408450792</v>
          </cell>
        </row>
        <row r="252">
          <cell r="AS252">
            <v>99.44483005891739</v>
          </cell>
        </row>
        <row r="253">
          <cell r="AS253">
            <v>98.558368850936759</v>
          </cell>
        </row>
        <row r="254">
          <cell r="AS254">
            <v>94.844423775739514</v>
          </cell>
        </row>
        <row r="255">
          <cell r="AS255">
            <v>98.490515164685618</v>
          </cell>
        </row>
        <row r="256">
          <cell r="AS256">
            <v>98.197131955684057</v>
          </cell>
        </row>
        <row r="257">
          <cell r="AS257">
            <v>97.136028708589762</v>
          </cell>
        </row>
        <row r="258">
          <cell r="AS258">
            <v>98.349989106466737</v>
          </cell>
        </row>
        <row r="259">
          <cell r="AS259">
            <v>98.882895456577998</v>
          </cell>
        </row>
        <row r="260">
          <cell r="AS260">
            <v>97.980878408450792</v>
          </cell>
        </row>
        <row r="261">
          <cell r="AS261">
            <v>98.816500310647015</v>
          </cell>
        </row>
        <row r="262">
          <cell r="AS262">
            <v>95.242586332157259</v>
          </cell>
        </row>
        <row r="263">
          <cell r="AS263">
            <v>97.297864805711271</v>
          </cell>
        </row>
        <row r="264">
          <cell r="AS264">
            <v>98.830948870010644</v>
          </cell>
        </row>
        <row r="265">
          <cell r="AS265">
            <v>96.960481671797865</v>
          </cell>
        </row>
        <row r="266">
          <cell r="AS266">
            <v>98.920822376514678</v>
          </cell>
        </row>
        <row r="267">
          <cell r="AS267">
            <v>95.218043199829722</v>
          </cell>
        </row>
        <row r="268">
          <cell r="AS268">
            <v>102.91252288333963</v>
          </cell>
        </row>
        <row r="269">
          <cell r="AS269">
            <v>99.840554631081304</v>
          </cell>
        </row>
        <row r="270">
          <cell r="AS270">
            <v>95.545616911541998</v>
          </cell>
        </row>
        <row r="271">
          <cell r="AS271">
            <v>99.49940457072266</v>
          </cell>
        </row>
        <row r="272">
          <cell r="AS272">
            <v>97.046216145736423</v>
          </cell>
        </row>
        <row r="273">
          <cell r="AS273">
            <v>102.38078795174074</v>
          </cell>
        </row>
        <row r="275">
          <cell r="AS275">
            <v>100.83968282378231</v>
          </cell>
        </row>
        <row r="276">
          <cell r="AS276">
            <v>98.000691311781651</v>
          </cell>
        </row>
        <row r="277">
          <cell r="AS277">
            <v>95.275370361295259</v>
          </cell>
        </row>
        <row r="278">
          <cell r="AS278">
            <v>99.435001915530592</v>
          </cell>
        </row>
        <row r="279">
          <cell r="AS279">
            <v>97.94507238785738</v>
          </cell>
        </row>
        <row r="280">
          <cell r="AS280">
            <v>99.110223835402621</v>
          </cell>
        </row>
        <row r="281">
          <cell r="AS281">
            <v>100.65592417780644</v>
          </cell>
        </row>
        <row r="282">
          <cell r="AS282">
            <v>100.79115794415183</v>
          </cell>
        </row>
        <row r="283">
          <cell r="AS283">
            <v>95.671525747412886</v>
          </cell>
        </row>
        <row r="284">
          <cell r="AS284">
            <v>100.15485918919744</v>
          </cell>
        </row>
        <row r="285">
          <cell r="AS285">
            <v>99.466530990769641</v>
          </cell>
        </row>
        <row r="286">
          <cell r="AS286">
            <v>99.322856790756248</v>
          </cell>
        </row>
        <row r="287">
          <cell r="AS287">
            <v>100.43952535225938</v>
          </cell>
        </row>
        <row r="288">
          <cell r="AS288">
            <v>100.37889099709263</v>
          </cell>
        </row>
        <row r="289">
          <cell r="AS289">
            <v>101.16617641667767</v>
          </cell>
        </row>
        <row r="290">
          <cell r="AS290">
            <v>101.03912436611778</v>
          </cell>
        </row>
        <row r="291">
          <cell r="AS291">
            <v>96.474643951399159</v>
          </cell>
        </row>
        <row r="292">
          <cell r="AS292">
            <v>98.534580149559787</v>
          </cell>
        </row>
        <row r="293">
          <cell r="AS293">
            <v>99.21410144378406</v>
          </cell>
        </row>
        <row r="294">
          <cell r="AS294">
            <v>98.988095579595708</v>
          </cell>
        </row>
        <row r="295">
          <cell r="AS295">
            <v>99.851352600758617</v>
          </cell>
        </row>
        <row r="296">
          <cell r="AS296">
            <v>100.36291507352458</v>
          </cell>
        </row>
        <row r="297">
          <cell r="AS297">
            <v>100.11017578568983</v>
          </cell>
        </row>
        <row r="298">
          <cell r="AS298">
            <v>99.78653482584231</v>
          </cell>
        </row>
        <row r="299">
          <cell r="AS299">
            <v>97.131691546615258</v>
          </cell>
        </row>
        <row r="300">
          <cell r="AS300">
            <v>100.50822817449973</v>
          </cell>
        </row>
        <row r="301">
          <cell r="AS301">
            <v>99.547251884193614</v>
          </cell>
        </row>
        <row r="302">
          <cell r="AS302">
            <v>100.38565192460212</v>
          </cell>
        </row>
        <row r="303">
          <cell r="AS303">
            <v>102.86759733937893</v>
          </cell>
        </row>
        <row r="304">
          <cell r="AS304">
            <v>93.690612514496564</v>
          </cell>
        </row>
        <row r="305">
          <cell r="AS305">
            <v>94.202503008813892</v>
          </cell>
        </row>
        <row r="306">
          <cell r="AS306">
            <v>99.822653073625858</v>
          </cell>
        </row>
        <row r="307">
          <cell r="AS307">
            <v>97.222694469498265</v>
          </cell>
        </row>
        <row r="308">
          <cell r="AS308">
            <v>100.1928378850634</v>
          </cell>
        </row>
        <row r="309">
          <cell r="AS309">
            <v>98.959067698121331</v>
          </cell>
        </row>
        <row r="310">
          <cell r="AS310">
            <v>101.75751144156999</v>
          </cell>
        </row>
        <row r="311">
          <cell r="AS311">
            <v>93.975252209934993</v>
          </cell>
        </row>
        <row r="312">
          <cell r="AS312">
            <v>101.56488400108132</v>
          </cell>
        </row>
        <row r="313">
          <cell r="AS313">
            <v>99.768359962874058</v>
          </cell>
        </row>
        <row r="314">
          <cell r="AS314">
            <v>100.20347494466111</v>
          </cell>
        </row>
        <row r="315">
          <cell r="AS315">
            <v>94.928429491720962</v>
          </cell>
        </row>
        <row r="316">
          <cell r="AS316">
            <v>99.544399636138706</v>
          </cell>
        </row>
        <row r="317">
          <cell r="AS317">
            <v>99.816505716242673</v>
          </cell>
        </row>
        <row r="318">
          <cell r="AS318">
            <v>99.237925273194392</v>
          </cell>
        </row>
        <row r="319">
          <cell r="AS319">
            <v>98.818203292397726</v>
          </cell>
        </row>
        <row r="320">
          <cell r="AS320">
            <v>100.05733894116882</v>
          </cell>
        </row>
        <row r="321">
          <cell r="AS321">
            <v>97.785382132528241</v>
          </cell>
        </row>
        <row r="322">
          <cell r="AS322">
            <v>100.40336592166086</v>
          </cell>
        </row>
        <row r="324">
          <cell r="AS324">
            <v>99.121855899264773</v>
          </cell>
        </row>
        <row r="325">
          <cell r="AS325">
            <v>95.100831252620765</v>
          </cell>
        </row>
        <row r="326">
          <cell r="AS326">
            <v>99.765519886214733</v>
          </cell>
        </row>
        <row r="327">
          <cell r="AS327">
            <v>98.303135744343052</v>
          </cell>
        </row>
        <row r="328">
          <cell r="AS328">
            <v>99.780556584963307</v>
          </cell>
        </row>
        <row r="329">
          <cell r="AS329">
            <v>102.38160745340335</v>
          </cell>
        </row>
        <row r="330">
          <cell r="AS330">
            <v>97.414066657172469</v>
          </cell>
        </row>
        <row r="331">
          <cell r="AS331">
            <v>95.738445955419465</v>
          </cell>
        </row>
        <row r="332">
          <cell r="AS332">
            <v>87.041642336261077</v>
          </cell>
        </row>
        <row r="333">
          <cell r="AS333">
            <v>101.9986872683758</v>
          </cell>
        </row>
        <row r="334">
          <cell r="AS334">
            <v>98.410561007255168</v>
          </cell>
        </row>
        <row r="335">
          <cell r="AS335">
            <v>104.78294066497524</v>
          </cell>
        </row>
        <row r="336">
          <cell r="AS336">
            <v>92.564718768769609</v>
          </cell>
        </row>
        <row r="337">
          <cell r="AS337">
            <v>98.984174791371231</v>
          </cell>
        </row>
        <row r="338">
          <cell r="AS338">
            <v>97.202771278717563</v>
          </cell>
        </row>
        <row r="339">
          <cell r="AS339">
            <v>98.457184785796485</v>
          </cell>
        </row>
        <row r="340">
          <cell r="AS340">
            <v>97.823655817296242</v>
          </cell>
        </row>
        <row r="341">
          <cell r="AS341">
            <v>97.733563925602468</v>
          </cell>
        </row>
        <row r="342">
          <cell r="AS342">
            <v>98.523330098738654</v>
          </cell>
        </row>
        <row r="343">
          <cell r="AS343">
            <v>99.02272240380006</v>
          </cell>
        </row>
        <row r="344">
          <cell r="AS344">
            <v>94.613353191374685</v>
          </cell>
        </row>
        <row r="345">
          <cell r="AS345">
            <v>99.938312405651004</v>
          </cell>
        </row>
        <row r="346">
          <cell r="AS346">
            <v>97.966859207422701</v>
          </cell>
        </row>
        <row r="347">
          <cell r="AS347">
            <v>95.088374890616095</v>
          </cell>
        </row>
        <row r="348">
          <cell r="AS348">
            <v>96.848486613901059</v>
          </cell>
        </row>
        <row r="349">
          <cell r="AS349">
            <v>100.11666028610431</v>
          </cell>
        </row>
        <row r="350">
          <cell r="AS350">
            <v>98.449086685086911</v>
          </cell>
        </row>
        <row r="351">
          <cell r="AS351">
            <v>99.364341668365995</v>
          </cell>
        </row>
        <row r="352">
          <cell r="AS352">
            <v>96.250646252877047</v>
          </cell>
        </row>
        <row r="353">
          <cell r="AS353">
            <v>98.626177673601688</v>
          </cell>
        </row>
        <row r="354">
          <cell r="AS354">
            <v>99.286195716080925</v>
          </cell>
        </row>
        <row r="355">
          <cell r="AS355">
            <v>96.567361522018899</v>
          </cell>
        </row>
        <row r="356">
          <cell r="AS356">
            <v>99.68944278657402</v>
          </cell>
        </row>
        <row r="357">
          <cell r="AS357">
            <v>99.564386645320724</v>
          </cell>
        </row>
        <row r="358">
          <cell r="AS358">
            <v>98.706657837081977</v>
          </cell>
        </row>
        <row r="359">
          <cell r="AS359">
            <v>98.93042550475694</v>
          </cell>
        </row>
        <row r="361">
          <cell r="A361" t="str">
            <v>ST339</v>
          </cell>
          <cell r="P361">
            <v>59</v>
          </cell>
          <cell r="Q361">
            <v>12.884615384615378</v>
          </cell>
          <cell r="T361">
            <v>0.94374999999999998</v>
          </cell>
          <cell r="U361">
            <v>1.0583333333333333</v>
          </cell>
          <cell r="V361">
            <v>53</v>
          </cell>
          <cell r="AD361">
            <v>48</v>
          </cell>
          <cell r="AE361">
            <v>12</v>
          </cell>
          <cell r="AG361">
            <v>47.7</v>
          </cell>
          <cell r="AS361">
            <v>97.12415794993052</v>
          </cell>
          <cell r="AT361">
            <v>98.972144235885935</v>
          </cell>
          <cell r="AV361" t="str">
            <v>R.Sookram</v>
          </cell>
          <cell r="AW361">
            <v>0.25069444444444444</v>
          </cell>
        </row>
        <row r="362">
          <cell r="A362" t="str">
            <v>ST340</v>
          </cell>
          <cell r="P362">
            <v>60</v>
          </cell>
          <cell r="Q362">
            <v>11.923076923076916</v>
          </cell>
          <cell r="T362">
            <v>1.0194444444444444</v>
          </cell>
          <cell r="U362">
            <v>1.1465277777777778</v>
          </cell>
          <cell r="V362">
            <v>72</v>
          </cell>
          <cell r="AD362">
            <v>48.3</v>
          </cell>
          <cell r="AE362">
            <v>11.9</v>
          </cell>
          <cell r="AG362">
            <v>48.9</v>
          </cell>
          <cell r="AS362">
            <v>96.949048686673478</v>
          </cell>
          <cell r="AT362">
            <v>98.80247450777523</v>
          </cell>
          <cell r="AV362" t="str">
            <v>K. Benjamin</v>
          </cell>
          <cell r="AW362">
            <v>0.25763888888888897</v>
          </cell>
        </row>
        <row r="363">
          <cell r="A363" t="str">
            <v>ST341</v>
          </cell>
          <cell r="P363">
            <v>57</v>
          </cell>
          <cell r="Q363">
            <v>11.923076923076916</v>
          </cell>
          <cell r="T363">
            <v>1.1000000000000001</v>
          </cell>
          <cell r="U363">
            <v>1.2201388888888889</v>
          </cell>
          <cell r="V363">
            <v>55</v>
          </cell>
          <cell r="AD363">
            <v>48.6</v>
          </cell>
          <cell r="AE363">
            <v>12</v>
          </cell>
          <cell r="AG363">
            <v>49</v>
          </cell>
          <cell r="AS363">
            <v>98.005638133271461</v>
          </cell>
          <cell r="AT363">
            <v>99.879263329087635</v>
          </cell>
          <cell r="AV363" t="str">
            <v>K. Benjamin</v>
          </cell>
          <cell r="AW363">
            <v>0.24791666666666667</v>
          </cell>
        </row>
        <row r="364">
          <cell r="A364" t="str">
            <v>ST342</v>
          </cell>
          <cell r="P364">
            <v>60</v>
          </cell>
          <cell r="Q364">
            <v>13.076923076923071</v>
          </cell>
          <cell r="T364">
            <v>0.18194444444444444</v>
          </cell>
          <cell r="U364">
            <v>0.35555555555555557</v>
          </cell>
          <cell r="V364">
            <v>85</v>
          </cell>
          <cell r="AD364">
            <v>48.4</v>
          </cell>
          <cell r="AE364">
            <v>11.8</v>
          </cell>
          <cell r="AG364">
            <v>50</v>
          </cell>
          <cell r="AS364">
            <v>98.378407502765299</v>
          </cell>
          <cell r="AT364">
            <v>100.25853377240395</v>
          </cell>
          <cell r="AV364" t="str">
            <v>K. Benjamin</v>
          </cell>
          <cell r="AW364">
            <v>0.30000000000000004</v>
          </cell>
        </row>
        <row r="365">
          <cell r="A365" t="str">
            <v>ST343</v>
          </cell>
          <cell r="P365">
            <v>60</v>
          </cell>
          <cell r="Q365">
            <v>14.038461538461533</v>
          </cell>
          <cell r="T365">
            <v>0.29444444444444445</v>
          </cell>
          <cell r="U365">
            <v>0.43263888888888891</v>
          </cell>
          <cell r="V365">
            <v>60</v>
          </cell>
          <cell r="AD365">
            <v>47.1</v>
          </cell>
          <cell r="AE365">
            <v>12</v>
          </cell>
          <cell r="AG365">
            <v>47.7</v>
          </cell>
          <cell r="AS365">
            <v>96.134556183612816</v>
          </cell>
          <cell r="AT365">
            <v>97.968721148372524</v>
          </cell>
          <cell r="AV365" t="str">
            <v>K. Benjamin</v>
          </cell>
          <cell r="AW365">
            <v>0.29375000000000001</v>
          </cell>
        </row>
        <row r="366">
          <cell r="A366" t="str">
            <v>ST344</v>
          </cell>
          <cell r="P366">
            <v>60</v>
          </cell>
          <cell r="Q366">
            <v>13.269230769230766</v>
          </cell>
          <cell r="T366">
            <v>0.4</v>
          </cell>
          <cell r="U366">
            <v>0.51597222222222228</v>
          </cell>
          <cell r="V366">
            <v>64</v>
          </cell>
          <cell r="AD366">
            <v>47.9</v>
          </cell>
          <cell r="AE366">
            <v>11.9</v>
          </cell>
          <cell r="AG366">
            <v>48.5</v>
          </cell>
          <cell r="AS366">
            <v>96.156009433612752</v>
          </cell>
          <cell r="AT366">
            <v>97.994274307302618</v>
          </cell>
          <cell r="AV366" t="str">
            <v>R. Regis</v>
          </cell>
          <cell r="AW366">
            <v>0.29375000000000007</v>
          </cell>
        </row>
        <row r="367">
          <cell r="A367" t="str">
            <v>ST345</v>
          </cell>
          <cell r="P367">
            <v>60</v>
          </cell>
          <cell r="Q367">
            <v>13.461538461538462</v>
          </cell>
          <cell r="T367">
            <v>0.49652777777777779</v>
          </cell>
          <cell r="U367">
            <v>0.60486111111111107</v>
          </cell>
          <cell r="V367">
            <v>58</v>
          </cell>
          <cell r="AD367">
            <v>47.4</v>
          </cell>
          <cell r="AE367">
            <v>11.9</v>
          </cell>
          <cell r="AG367">
            <v>48.2</v>
          </cell>
          <cell r="AS367">
            <v>95.68216946245451</v>
          </cell>
          <cell r="AT367">
            <v>97.510767474038715</v>
          </cell>
          <cell r="AV367" t="str">
            <v>R. Regis</v>
          </cell>
          <cell r="AW367">
            <v>0.23333333333333328</v>
          </cell>
        </row>
        <row r="368">
          <cell r="A368" t="str">
            <v>ST346</v>
          </cell>
          <cell r="P368">
            <v>59</v>
          </cell>
          <cell r="Q368">
            <v>12.692307692307695</v>
          </cell>
          <cell r="T368">
            <v>0.58819444444444446</v>
          </cell>
          <cell r="U368">
            <v>0.70138888888888884</v>
          </cell>
          <cell r="V368">
            <v>64</v>
          </cell>
          <cell r="AD368">
            <v>48.2</v>
          </cell>
          <cell r="AE368">
            <v>12.2</v>
          </cell>
          <cell r="AG368">
            <v>48.6</v>
          </cell>
          <cell r="AS368">
            <v>98.783378522979277</v>
          </cell>
          <cell r="AT368">
            <v>100.67249854025945</v>
          </cell>
          <cell r="AV368" t="str">
            <v>R.Sookram</v>
          </cell>
          <cell r="AW368">
            <v>0.24305555555555552</v>
          </cell>
        </row>
        <row r="369">
          <cell r="A369" t="str">
            <v>ST347</v>
          </cell>
          <cell r="P369">
            <v>58</v>
          </cell>
          <cell r="Q369">
            <v>10.769230769230772</v>
          </cell>
          <cell r="T369">
            <v>0.67361111111111116</v>
          </cell>
          <cell r="U369">
            <v>0.78611111111111109</v>
          </cell>
          <cell r="V369">
            <v>67</v>
          </cell>
          <cell r="AD369">
            <v>49.7</v>
          </cell>
          <cell r="AE369">
            <v>11.9</v>
          </cell>
          <cell r="AG369">
            <v>50.3</v>
          </cell>
          <cell r="AS369">
            <v>99.598796102027222</v>
          </cell>
          <cell r="AT369">
            <v>101.50351005519067</v>
          </cell>
          <cell r="AV369" t="str">
            <v>R.Sookram</v>
          </cell>
          <cell r="AW369">
            <v>0.24444444444444446</v>
          </cell>
        </row>
        <row r="370">
          <cell r="A370" t="str">
            <v>ST348</v>
          </cell>
          <cell r="P370">
            <v>58</v>
          </cell>
          <cell r="Q370">
            <v>13.269230769230766</v>
          </cell>
          <cell r="T370">
            <v>0.75694444444444442</v>
          </cell>
          <cell r="U370">
            <v>0.86736111111111114</v>
          </cell>
          <cell r="V370">
            <v>62</v>
          </cell>
          <cell r="AD370">
            <v>47.9</v>
          </cell>
          <cell r="AE370">
            <v>11.8</v>
          </cell>
          <cell r="AG370">
            <v>49.2</v>
          </cell>
          <cell r="AS370">
            <v>96.927020956038035</v>
          </cell>
          <cell r="AT370">
            <v>98.77879185198293</v>
          </cell>
          <cell r="AV370" t="str">
            <v>R.Sookram</v>
          </cell>
          <cell r="AW370">
            <v>0.24097222222222225</v>
          </cell>
        </row>
        <row r="371">
          <cell r="A371" t="str">
            <v>ST349</v>
          </cell>
          <cell r="P371">
            <v>51</v>
          </cell>
          <cell r="Q371">
            <v>2.8846153846153846</v>
          </cell>
          <cell r="T371">
            <v>0.54374999999999996</v>
          </cell>
          <cell r="U371">
            <v>0.65555555555555556</v>
          </cell>
          <cell r="V371">
            <v>60</v>
          </cell>
          <cell r="AD371">
            <v>51.4</v>
          </cell>
          <cell r="AE371">
            <v>11.5</v>
          </cell>
          <cell r="AG371">
            <v>50.8</v>
          </cell>
          <cell r="AS371">
            <v>97.234327492356584</v>
          </cell>
          <cell r="AT371">
            <v>99.094438647990131</v>
          </cell>
          <cell r="AV371" t="str">
            <v>K. Benjamin</v>
          </cell>
          <cell r="AW371">
            <v>0.23888888888888887</v>
          </cell>
        </row>
        <row r="372">
          <cell r="A372" t="str">
            <v>ST350</v>
          </cell>
          <cell r="P372">
            <v>59</v>
          </cell>
          <cell r="Q372">
            <v>5.5662188099808034</v>
          </cell>
          <cell r="T372">
            <v>0.63888888888888884</v>
          </cell>
          <cell r="U372">
            <v>0.74652777777777779</v>
          </cell>
          <cell r="V372">
            <v>61</v>
          </cell>
          <cell r="AD372">
            <v>50.1</v>
          </cell>
          <cell r="AE372">
            <v>11.9</v>
          </cell>
          <cell r="AG372">
            <v>49.6</v>
          </cell>
          <cell r="AS372">
            <v>98.088904356977224</v>
          </cell>
          <cell r="AT372">
            <v>99.965363730367002</v>
          </cell>
          <cell r="AV372" t="str">
            <v>R. Regis</v>
          </cell>
          <cell r="AW372">
            <v>0.24652777777777779</v>
          </cell>
        </row>
        <row r="373">
          <cell r="A373" t="str">
            <v>ST351</v>
          </cell>
          <cell r="P373">
            <v>60</v>
          </cell>
          <cell r="Q373">
            <v>5.1823416506717903</v>
          </cell>
          <cell r="T373">
            <v>0.72777777777777775</v>
          </cell>
          <cell r="U373">
            <v>0.83402777777777781</v>
          </cell>
          <cell r="V373">
            <v>58</v>
          </cell>
          <cell r="AD373">
            <v>50.3</v>
          </cell>
          <cell r="AE373">
            <v>11.9</v>
          </cell>
          <cell r="AG373">
            <v>49.7</v>
          </cell>
          <cell r="AS373">
            <v>98.286664244793712</v>
          </cell>
          <cell r="AT373">
            <v>100.16690680240403</v>
          </cell>
          <cell r="AV373" t="str">
            <v>R. Regis</v>
          </cell>
          <cell r="AW373">
            <v>0.25069444444444444</v>
          </cell>
        </row>
        <row r="374">
          <cell r="A374" t="str">
            <v>ST352</v>
          </cell>
          <cell r="P374">
            <v>62</v>
          </cell>
          <cell r="Q374">
            <v>4.0307101727447243</v>
          </cell>
          <cell r="T374">
            <v>0.82152777777777775</v>
          </cell>
          <cell r="U374">
            <v>0.93125000000000002</v>
          </cell>
          <cell r="V374">
            <v>60</v>
          </cell>
          <cell r="AD374">
            <v>50.9</v>
          </cell>
          <cell r="AE374">
            <v>11.9</v>
          </cell>
          <cell r="AG374">
            <v>50.3</v>
          </cell>
          <cell r="AS374">
            <v>99.598796102027222</v>
          </cell>
          <cell r="AT374">
            <v>101.50351005519067</v>
          </cell>
          <cell r="AV374" t="str">
            <v>R. Regis</v>
          </cell>
          <cell r="AW374">
            <v>0.25416666666666665</v>
          </cell>
        </row>
        <row r="375">
          <cell r="A375" t="str">
            <v>ST353</v>
          </cell>
          <cell r="P375">
            <v>74</v>
          </cell>
          <cell r="Q375">
            <v>-0.38461538461539008</v>
          </cell>
          <cell r="T375">
            <v>0.91249999999999998</v>
          </cell>
          <cell r="U375">
            <v>1.0263888888888888</v>
          </cell>
          <cell r="V375">
            <v>62</v>
          </cell>
          <cell r="AD375">
            <v>53.1</v>
          </cell>
          <cell r="AE375">
            <v>11.6</v>
          </cell>
          <cell r="AG375">
            <v>50.9</v>
          </cell>
          <cell r="AS375">
            <v>97.745221120811337</v>
          </cell>
          <cell r="AT375">
            <v>99.616337552162619</v>
          </cell>
          <cell r="AV375" t="str">
            <v>R.Sookram</v>
          </cell>
          <cell r="AW375">
            <v>0.25902777777777763</v>
          </cell>
        </row>
        <row r="376">
          <cell r="A376" t="str">
            <v>ST354</v>
          </cell>
          <cell r="P376">
            <v>60</v>
          </cell>
          <cell r="Q376">
            <v>4.2307692307692228</v>
          </cell>
          <cell r="T376">
            <v>1.0048611111111112</v>
          </cell>
          <cell r="U376">
            <v>1.1090277777777777</v>
          </cell>
          <cell r="V376">
            <v>57</v>
          </cell>
          <cell r="AD376">
            <v>50.7</v>
          </cell>
          <cell r="AE376">
            <v>11.8</v>
          </cell>
          <cell r="AG376">
            <v>49.9</v>
          </cell>
          <cell r="AS376">
            <v>97.933766526241584</v>
          </cell>
          <cell r="AT376">
            <v>99.806638678203157</v>
          </cell>
          <cell r="AV376" t="str">
            <v>R.Sookram</v>
          </cell>
          <cell r="AW376">
            <v>0.25138888888888888</v>
          </cell>
        </row>
        <row r="377">
          <cell r="A377" t="str">
            <v>ST355</v>
          </cell>
          <cell r="P377">
            <v>58</v>
          </cell>
          <cell r="Q377">
            <v>14.999999999999995</v>
          </cell>
          <cell r="T377">
            <v>0.35625000000000001</v>
          </cell>
          <cell r="U377">
            <v>0.46805555555555556</v>
          </cell>
          <cell r="V377">
            <v>58</v>
          </cell>
          <cell r="AD377">
            <v>47.3</v>
          </cell>
          <cell r="AE377">
            <v>12.1</v>
          </cell>
          <cell r="AG377">
            <v>46.4</v>
          </cell>
          <cell r="AS377">
            <v>93.319913077052291</v>
          </cell>
          <cell r="AT377">
            <v>94.93028044840689</v>
          </cell>
          <cell r="AV377" t="str">
            <v>R.Sookram</v>
          </cell>
          <cell r="AW377">
            <v>0.24583333333333335</v>
          </cell>
        </row>
        <row r="378">
          <cell r="A378" t="str">
            <v>ST356</v>
          </cell>
          <cell r="P378">
            <v>60</v>
          </cell>
          <cell r="Q378">
            <v>10.576923076923077</v>
          </cell>
          <cell r="T378">
            <v>0.44166666666666665</v>
          </cell>
          <cell r="U378">
            <v>0.55972222222222223</v>
          </cell>
          <cell r="V378">
            <v>63</v>
          </cell>
          <cell r="AD378">
            <v>51.4</v>
          </cell>
          <cell r="AE378">
            <v>11.9</v>
          </cell>
          <cell r="AG378">
            <v>50.5</v>
          </cell>
          <cell r="AS378">
            <v>99.239577105440517</v>
          </cell>
          <cell r="AT378">
            <v>100.76787613868619</v>
          </cell>
          <cell r="AV378" t="str">
            <v>R.Sookram</v>
          </cell>
          <cell r="AW378">
            <v>0.25416666666666665</v>
          </cell>
        </row>
        <row r="379">
          <cell r="A379" t="str">
            <v>ST357</v>
          </cell>
          <cell r="P379">
            <v>58</v>
          </cell>
          <cell r="Q379">
            <v>9.2307692307692264</v>
          </cell>
          <cell r="T379">
            <v>0.52986111111111112</v>
          </cell>
          <cell r="U379">
            <v>0.63680555555555551</v>
          </cell>
          <cell r="V379">
            <v>59</v>
          </cell>
          <cell r="AD379">
            <v>49.9</v>
          </cell>
          <cell r="AE379">
            <v>11.6</v>
          </cell>
          <cell r="AG379">
            <v>48.6</v>
          </cell>
          <cell r="AS379">
            <v>93.440417849192812</v>
          </cell>
          <cell r="AT379">
            <v>94.877541814883955</v>
          </cell>
          <cell r="AV379" t="str">
            <v>R.Sookram</v>
          </cell>
          <cell r="AW379">
            <v>0.24791666666666662</v>
          </cell>
        </row>
        <row r="380">
          <cell r="A380" t="str">
            <v>ST358</v>
          </cell>
          <cell r="P380">
            <v>60</v>
          </cell>
          <cell r="Q380">
            <v>8.4615384615384599</v>
          </cell>
          <cell r="T380">
            <v>0.6118055555555556</v>
          </cell>
          <cell r="U380">
            <v>0.72291666666666665</v>
          </cell>
          <cell r="V380">
            <v>51</v>
          </cell>
          <cell r="AD380">
            <v>49.3</v>
          </cell>
          <cell r="AE380">
            <v>12</v>
          </cell>
          <cell r="AG380">
            <v>48.9</v>
          </cell>
          <cell r="AS380">
            <v>97.798077676001839</v>
          </cell>
          <cell r="AT380">
            <v>99.300744163835546</v>
          </cell>
          <cell r="AV380" t="str">
            <v>R.Sookram</v>
          </cell>
          <cell r="AW380">
            <v>0.25069444444444444</v>
          </cell>
        </row>
        <row r="381">
          <cell r="A381" t="str">
            <v>ST359</v>
          </cell>
          <cell r="P381">
            <v>59</v>
          </cell>
          <cell r="Q381">
            <v>0</v>
          </cell>
          <cell r="T381">
            <v>0.55763888888888891</v>
          </cell>
          <cell r="U381">
            <v>0.67847222222222225</v>
          </cell>
          <cell r="V381">
            <v>64</v>
          </cell>
          <cell r="AD381">
            <v>53</v>
          </cell>
          <cell r="AE381">
            <v>11.8</v>
          </cell>
          <cell r="AG381">
            <v>50.9</v>
          </cell>
          <cell r="AS381">
            <v>99.514159435199218</v>
          </cell>
          <cell r="AT381">
            <v>101.04519728930545</v>
          </cell>
          <cell r="AV381" t="str">
            <v>K. Benjamin</v>
          </cell>
          <cell r="AW381">
            <v>0.27222222222222225</v>
          </cell>
        </row>
        <row r="382">
          <cell r="A382" t="str">
            <v>ST360</v>
          </cell>
          <cell r="P382">
            <v>61</v>
          </cell>
          <cell r="Q382">
            <v>-1.1538461538461564</v>
          </cell>
          <cell r="T382">
            <v>0.62986111111111109</v>
          </cell>
          <cell r="U382">
            <v>0.74444444444444446</v>
          </cell>
          <cell r="V382">
            <v>60</v>
          </cell>
          <cell r="AD382">
            <v>53.5</v>
          </cell>
          <cell r="AE382">
            <v>11.6</v>
          </cell>
          <cell r="AG382">
            <v>51.4</v>
          </cell>
          <cell r="AS382">
            <v>98.57673064663615</v>
          </cell>
          <cell r="AT382">
            <v>100.09383917927448</v>
          </cell>
          <cell r="AV382" t="str">
            <v>K. Benjamin</v>
          </cell>
          <cell r="AW382">
            <v>0.24791666666666667</v>
          </cell>
        </row>
        <row r="383">
          <cell r="A383" t="str">
            <v>ST361</v>
          </cell>
          <cell r="P383">
            <v>60</v>
          </cell>
          <cell r="Q383">
            <v>-1</v>
          </cell>
          <cell r="T383">
            <v>0.70694444444444449</v>
          </cell>
          <cell r="U383">
            <v>0.81527777777777777</v>
          </cell>
          <cell r="V383">
            <v>59</v>
          </cell>
          <cell r="AD383">
            <v>52.2</v>
          </cell>
          <cell r="AE383">
            <v>11.8</v>
          </cell>
          <cell r="AG383">
            <v>50.8</v>
          </cell>
          <cell r="AS383">
            <v>99.443122984760095</v>
          </cell>
          <cell r="AT383">
            <v>100.97256921963482</v>
          </cell>
          <cell r="AV383" t="str">
            <v>K. Benjamin</v>
          </cell>
          <cell r="AW383">
            <v>0.23888888888888893</v>
          </cell>
        </row>
        <row r="384">
          <cell r="A384" t="str">
            <v>ST362</v>
          </cell>
          <cell r="P384">
            <v>60</v>
          </cell>
          <cell r="Q384">
            <v>-1.4000000000000057</v>
          </cell>
          <cell r="T384">
            <v>0.77986111111111112</v>
          </cell>
          <cell r="U384">
            <v>0.88541666666666663</v>
          </cell>
          <cell r="V384">
            <v>59</v>
          </cell>
          <cell r="AD384">
            <v>52</v>
          </cell>
          <cell r="AE384">
            <v>11.7</v>
          </cell>
          <cell r="AG384">
            <v>50.7</v>
          </cell>
          <cell r="AS384">
            <v>98.486097080031854</v>
          </cell>
          <cell r="AT384">
            <v>100.00032900097113</v>
          </cell>
          <cell r="AV384" t="str">
            <v>K. Benjamin</v>
          </cell>
          <cell r="AW384">
            <v>0.22916666666666663</v>
          </cell>
        </row>
        <row r="385">
          <cell r="A385" t="str">
            <v>ST363</v>
          </cell>
          <cell r="P385">
            <v>61</v>
          </cell>
          <cell r="Q385">
            <v>8.2692307692307629</v>
          </cell>
          <cell r="T385">
            <v>1.0479166666666666</v>
          </cell>
          <cell r="U385">
            <v>1.1652777777777779</v>
          </cell>
          <cell r="V385">
            <v>55</v>
          </cell>
          <cell r="AD385">
            <v>50.2</v>
          </cell>
          <cell r="AE385">
            <v>12</v>
          </cell>
          <cell r="AG385">
            <v>47.9</v>
          </cell>
          <cell r="AS385">
            <v>95.159494775120166</v>
          </cell>
          <cell r="AT385">
            <v>96.784962687796508</v>
          </cell>
          <cell r="AV385" t="str">
            <v>K. Benjamin</v>
          </cell>
          <cell r="AW385">
            <v>0.25208333333333344</v>
          </cell>
        </row>
        <row r="386">
          <cell r="A386" t="str">
            <v>ST364</v>
          </cell>
          <cell r="P386">
            <v>59</v>
          </cell>
          <cell r="Q386">
            <v>5.0000000000000027</v>
          </cell>
          <cell r="T386">
            <v>1.132638888888889</v>
          </cell>
          <cell r="U386">
            <v>1.2395833333333333</v>
          </cell>
          <cell r="V386">
            <v>54</v>
          </cell>
          <cell r="AD386">
            <v>53.3</v>
          </cell>
          <cell r="AE386">
            <v>12</v>
          </cell>
          <cell r="AG386">
            <v>49.2</v>
          </cell>
          <cell r="AS386">
            <v>97.742111543547239</v>
          </cell>
          <cell r="AT386">
            <v>99.411694451765939</v>
          </cell>
          <cell r="AV386" t="str">
            <v>K. Benjamin</v>
          </cell>
          <cell r="AW386">
            <v>0.24305555555555547</v>
          </cell>
        </row>
        <row r="387">
          <cell r="A387" t="str">
            <v>ST365</v>
          </cell>
          <cell r="P387">
            <v>60</v>
          </cell>
          <cell r="Q387">
            <v>5.1923076923076845</v>
          </cell>
          <cell r="T387">
            <v>0.21944444444444444</v>
          </cell>
          <cell r="U387">
            <v>0.33055555555555555</v>
          </cell>
          <cell r="V387">
            <v>57</v>
          </cell>
          <cell r="AD387">
            <v>51.5</v>
          </cell>
          <cell r="AE387">
            <v>12</v>
          </cell>
          <cell r="AG387">
            <v>50.2</v>
          </cell>
          <cell r="AS387">
            <v>99.47959671281491</v>
          </cell>
          <cell r="AT387">
            <v>101.17996217209169</v>
          </cell>
          <cell r="AV387" t="str">
            <v>K. Benjamin</v>
          </cell>
          <cell r="AW387">
            <v>0.24722222222222223</v>
          </cell>
        </row>
        <row r="388">
          <cell r="A388" t="str">
            <v>ST366</v>
          </cell>
          <cell r="P388">
            <v>61</v>
          </cell>
          <cell r="Q388">
            <v>2.303262955854132</v>
          </cell>
          <cell r="T388">
            <v>0.31180555555555556</v>
          </cell>
          <cell r="U388">
            <v>0.42986111111111114</v>
          </cell>
          <cell r="V388">
            <v>59</v>
          </cell>
          <cell r="AD388">
            <v>51.8</v>
          </cell>
          <cell r="AE388">
            <v>11.6</v>
          </cell>
          <cell r="AG388">
            <v>49.7</v>
          </cell>
          <cell r="AS388">
            <v>95.038520748721737</v>
          </cell>
          <cell r="AT388">
            <v>96.662976650452066</v>
          </cell>
          <cell r="AV388" t="str">
            <v>R. Regis</v>
          </cell>
          <cell r="AW388">
            <v>0.26319444444444451</v>
          </cell>
        </row>
        <row r="389">
          <cell r="A389" t="str">
            <v>ST367</v>
          </cell>
          <cell r="P389">
            <v>60</v>
          </cell>
          <cell r="Q389">
            <v>5.1923076923076845</v>
          </cell>
          <cell r="T389">
            <v>0.4236111111111111</v>
          </cell>
          <cell r="U389">
            <v>0.53541666666666665</v>
          </cell>
          <cell r="V389">
            <v>64</v>
          </cell>
          <cell r="AD389">
            <v>51</v>
          </cell>
          <cell r="AE389">
            <v>11.9</v>
          </cell>
          <cell r="AG389">
            <v>49.7</v>
          </cell>
          <cell r="AS389">
            <v>97.870704600426876</v>
          </cell>
          <cell r="AT389">
            <v>99.542484072301647</v>
          </cell>
          <cell r="AV389" t="str">
            <v>R. Regis</v>
          </cell>
          <cell r="AW389">
            <v>0.27152777777777776</v>
          </cell>
        </row>
        <row r="390">
          <cell r="A390" t="str">
            <v>ST368</v>
          </cell>
          <cell r="P390">
            <v>60</v>
          </cell>
          <cell r="Q390">
            <v>4.423076923076918</v>
          </cell>
          <cell r="T390">
            <v>0.51875000000000004</v>
          </cell>
          <cell r="U390">
            <v>0.62916666666666665</v>
          </cell>
          <cell r="V390">
            <v>66</v>
          </cell>
          <cell r="AD390">
            <v>50.6</v>
          </cell>
          <cell r="AE390">
            <v>12</v>
          </cell>
          <cell r="AG390">
            <v>49.4</v>
          </cell>
          <cell r="AS390">
            <v>98.26248465034702</v>
          </cell>
          <cell r="AT390">
            <v>99.940409187667498</v>
          </cell>
          <cell r="AV390" t="str">
            <v>R. Regis</v>
          </cell>
          <cell r="AW390">
            <v>0.24722222222222223</v>
          </cell>
        </row>
        <row r="391">
          <cell r="A391" t="str">
            <v>ST369</v>
          </cell>
          <cell r="P391">
            <v>60</v>
          </cell>
          <cell r="Q391">
            <v>4.423076923076918</v>
          </cell>
          <cell r="T391">
            <v>0.6166666666666667</v>
          </cell>
          <cell r="U391">
            <v>0.72986111111111107</v>
          </cell>
          <cell r="V391">
            <v>68</v>
          </cell>
          <cell r="AD391">
            <v>51.4</v>
          </cell>
          <cell r="AE391">
            <v>11.7</v>
          </cell>
          <cell r="AG391">
            <v>50</v>
          </cell>
          <cell r="AS391">
            <v>96.964435966121528</v>
          </cell>
          <cell r="AT391">
            <v>98.619653847111564</v>
          </cell>
          <cell r="AV391" t="str">
            <v>R. Regis</v>
          </cell>
          <cell r="AW391">
            <v>0.25763888888888886</v>
          </cell>
        </row>
        <row r="392">
          <cell r="A392" t="str">
            <v>ST370</v>
          </cell>
          <cell r="P392">
            <v>57</v>
          </cell>
          <cell r="Q392">
            <v>4.423076923076918</v>
          </cell>
          <cell r="T392">
            <v>0.71319444444444446</v>
          </cell>
          <cell r="U392">
            <v>0.83819444444444446</v>
          </cell>
          <cell r="V392">
            <v>77</v>
          </cell>
          <cell r="AD392">
            <v>51.4</v>
          </cell>
          <cell r="AE392">
            <v>11.7</v>
          </cell>
          <cell r="AG392">
            <v>50.3</v>
          </cell>
          <cell r="AS392">
            <v>97.546222581918258</v>
          </cell>
          <cell r="AT392">
            <v>99.211371770194219</v>
          </cell>
          <cell r="AV392" t="str">
            <v>R. Regis</v>
          </cell>
          <cell r="AW392">
            <v>0.26527777777777783</v>
          </cell>
        </row>
        <row r="393">
          <cell r="A393" t="str">
            <v>ST371</v>
          </cell>
          <cell r="P393">
            <v>60</v>
          </cell>
          <cell r="Q393">
            <v>10.384615384615383</v>
          </cell>
          <cell r="T393">
            <v>0.89097222222222228</v>
          </cell>
          <cell r="U393">
            <v>1.0041666666666667</v>
          </cell>
          <cell r="V393">
            <v>58</v>
          </cell>
          <cell r="AD393">
            <v>49.8</v>
          </cell>
          <cell r="AE393">
            <v>11.8</v>
          </cell>
          <cell r="AG393">
            <v>48.5</v>
          </cell>
          <cell r="AS393">
            <v>95.020750870329579</v>
          </cell>
          <cell r="AT393">
            <v>96.642257616360666</v>
          </cell>
          <cell r="AV393" t="str">
            <v>R. Regis</v>
          </cell>
          <cell r="AW393">
            <v>0.27500000000000002</v>
          </cell>
        </row>
        <row r="394">
          <cell r="A394" t="str">
            <v>ST372</v>
          </cell>
          <cell r="P394">
            <v>62</v>
          </cell>
          <cell r="Q394" t="e">
            <v>#DIV/0!</v>
          </cell>
          <cell r="T394">
            <v>0.97013888888888888</v>
          </cell>
          <cell r="U394">
            <v>1.0881944444444445</v>
          </cell>
          <cell r="V394">
            <v>56</v>
          </cell>
          <cell r="AD394">
            <v>51.2</v>
          </cell>
          <cell r="AE394">
            <v>12.2</v>
          </cell>
          <cell r="AG394">
            <v>50.4</v>
          </cell>
          <cell r="AS394">
            <v>102.00760320196547</v>
          </cell>
          <cell r="AT394">
            <v>103.74947916831094</v>
          </cell>
          <cell r="AV394" t="str">
            <v>R. Regis</v>
          </cell>
          <cell r="AW394">
            <v>0.26527777777777783</v>
          </cell>
        </row>
        <row r="395">
          <cell r="A395" t="str">
            <v>ST373</v>
          </cell>
          <cell r="P395">
            <v>63</v>
          </cell>
          <cell r="Q395">
            <v>12.307692307692305</v>
          </cell>
          <cell r="T395">
            <v>1.0631944444444446</v>
          </cell>
          <cell r="U395">
            <v>1.2298611111111111</v>
          </cell>
          <cell r="V395">
            <v>62</v>
          </cell>
          <cell r="AD395">
            <v>50.4</v>
          </cell>
          <cell r="AE395">
            <v>11.7</v>
          </cell>
          <cell r="AG395">
            <v>49.2</v>
          </cell>
          <cell r="AS395">
            <v>95.894539911363424</v>
          </cell>
          <cell r="AT395">
            <v>97.529339714913931</v>
          </cell>
          <cell r="AV395" t="str">
            <v>K. Benjamin</v>
          </cell>
          <cell r="AW395">
            <v>0.29930555555555549</v>
          </cell>
        </row>
        <row r="396">
          <cell r="A396" t="str">
            <v>ST374</v>
          </cell>
          <cell r="P396">
            <v>59</v>
          </cell>
          <cell r="Q396">
            <v>13.269230769230766</v>
          </cell>
          <cell r="T396">
            <v>1.1715277777777777</v>
          </cell>
          <cell r="U396">
            <v>1.29375</v>
          </cell>
          <cell r="V396">
            <v>55</v>
          </cell>
          <cell r="AD396">
            <v>49.1</v>
          </cell>
          <cell r="AE396">
            <v>11.9</v>
          </cell>
          <cell r="AG396">
            <v>48.3</v>
          </cell>
          <cell r="AS396">
            <v>95.472444359320335</v>
          </cell>
          <cell r="AT396">
            <v>97.101659148413887</v>
          </cell>
          <cell r="AV396" t="str">
            <v>K. Benjamin</v>
          </cell>
          <cell r="AW396">
            <v>0.27986111111111112</v>
          </cell>
        </row>
        <row r="397">
          <cell r="A397" t="str">
            <v>ST375</v>
          </cell>
          <cell r="P397">
            <v>58</v>
          </cell>
          <cell r="Q397">
            <v>4.6938775510204023</v>
          </cell>
          <cell r="T397">
            <v>1.1361111111111111</v>
          </cell>
          <cell r="U397">
            <v>1.3013888888888889</v>
          </cell>
          <cell r="V397">
            <v>65</v>
          </cell>
          <cell r="AD397">
            <v>47.6</v>
          </cell>
          <cell r="AE397">
            <v>11.7</v>
          </cell>
          <cell r="AG397">
            <v>45.9</v>
          </cell>
          <cell r="AS397">
            <v>93.349327877838363</v>
          </cell>
          <cell r="AT397">
            <v>94.922594789348011</v>
          </cell>
          <cell r="AV397" t="str">
            <v>R.Sookram</v>
          </cell>
          <cell r="AW397">
            <v>0.31527777777777777</v>
          </cell>
        </row>
      </sheetData>
      <sheetData sheetId="7">
        <row r="334">
          <cell r="A334" t="str">
            <v>ST313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ewMaterials"/>
      <sheetName val="Brewhouse"/>
      <sheetName val="Process"/>
      <sheetName val="Summary September '25"/>
      <sheetName val="Summary August '25"/>
      <sheetName val="Summary July '25"/>
      <sheetName val="Summary June '25"/>
      <sheetName val="Summary May '25"/>
      <sheetName val="Guinnbottling"/>
      <sheetName val="Summary April '25"/>
      <sheetName val="Summary March '25"/>
      <sheetName val="Summary February '25"/>
      <sheetName val="Summary January '25"/>
      <sheetName val="Summary Dec '24  "/>
    </sheetNames>
    <sheetDataSet>
      <sheetData sheetId="0" refreshError="1"/>
      <sheetData sheetId="1">
        <row r="4">
          <cell r="AU4">
            <v>95.064652661521251</v>
          </cell>
        </row>
        <row r="5">
          <cell r="AU5">
            <v>96.761647531636157</v>
          </cell>
        </row>
        <row r="6">
          <cell r="AU6">
            <v>98.540988907028222</v>
          </cell>
        </row>
        <row r="7">
          <cell r="AU7">
            <v>97.987496127919911</v>
          </cell>
        </row>
        <row r="9">
          <cell r="AU9">
            <v>96.878658921984908</v>
          </cell>
        </row>
        <row r="10">
          <cell r="AU10">
            <v>95.771550127068778</v>
          </cell>
        </row>
        <row r="11">
          <cell r="AU11">
            <v>97.655042988145951</v>
          </cell>
        </row>
        <row r="12">
          <cell r="AU12">
            <v>97.588179145211456</v>
          </cell>
        </row>
        <row r="13">
          <cell r="AU13">
            <v>95.48497302787608</v>
          </cell>
        </row>
        <row r="14">
          <cell r="AU14">
            <v>96.085762312216758</v>
          </cell>
        </row>
        <row r="15">
          <cell r="AU15">
            <v>94.435555625701596</v>
          </cell>
        </row>
        <row r="16">
          <cell r="AU16">
            <v>95.624399511520494</v>
          </cell>
        </row>
        <row r="17">
          <cell r="AU17">
            <v>96.979216130328368</v>
          </cell>
        </row>
        <row r="18">
          <cell r="AU18">
            <v>94.248871364698488</v>
          </cell>
        </row>
        <row r="19">
          <cell r="AU19">
            <v>95.050384097787941</v>
          </cell>
        </row>
        <row r="20">
          <cell r="AU20">
            <v>95.050384097787941</v>
          </cell>
        </row>
        <row r="21">
          <cell r="AU21">
            <v>95.2118805924067</v>
          </cell>
        </row>
        <row r="22">
          <cell r="AU22">
            <v>97.521945612269661</v>
          </cell>
        </row>
        <row r="24">
          <cell r="AU24">
            <v>101.17562190812932</v>
          </cell>
        </row>
        <row r="25">
          <cell r="AU25">
            <v>104.35489283685058</v>
          </cell>
        </row>
        <row r="26">
          <cell r="AU26">
            <v>96.487973390295707</v>
          </cell>
        </row>
        <row r="27">
          <cell r="AU27">
            <v>96.125236648226917</v>
          </cell>
        </row>
        <row r="28">
          <cell r="AU28">
            <v>96.035425509762433</v>
          </cell>
        </row>
        <row r="29">
          <cell r="AU29">
            <v>97.504418634194764</v>
          </cell>
        </row>
        <row r="30">
          <cell r="AU30">
            <v>96.37756538871183</v>
          </cell>
        </row>
        <row r="31">
          <cell r="AU31">
            <v>97.487479769387974</v>
          </cell>
        </row>
        <row r="32">
          <cell r="AU32">
            <v>94.125484514622414</v>
          </cell>
        </row>
        <row r="33">
          <cell r="AU33">
            <v>97.508191618159188</v>
          </cell>
        </row>
        <row r="34">
          <cell r="AU34">
            <v>97.827131938655612</v>
          </cell>
        </row>
        <row r="35">
          <cell r="AU35">
            <v>96.619542475024176</v>
          </cell>
        </row>
        <row r="37">
          <cell r="AU37">
            <v>96.214667872117261</v>
          </cell>
        </row>
        <row r="38">
          <cell r="AU38">
            <v>96.902724932547827</v>
          </cell>
        </row>
        <row r="39">
          <cell r="AU39">
            <v>96.477419827020157</v>
          </cell>
        </row>
        <row r="40">
          <cell r="AU40">
            <v>97.958535684216713</v>
          </cell>
        </row>
        <row r="41">
          <cell r="AU41">
            <v>98.383583724984007</v>
          </cell>
        </row>
        <row r="42">
          <cell r="AU42">
            <v>96.793336074199303</v>
          </cell>
        </row>
        <row r="43">
          <cell r="AU43">
            <v>99.803737147936374</v>
          </cell>
        </row>
        <row r="44">
          <cell r="AU44">
            <v>102.72591618996796</v>
          </cell>
        </row>
        <row r="45">
          <cell r="AU45">
            <v>97.552718434345124</v>
          </cell>
        </row>
        <row r="47">
          <cell r="AU47">
            <v>92.888951923394671</v>
          </cell>
        </row>
        <row r="48">
          <cell r="AU48">
            <v>95.806125620162447</v>
          </cell>
        </row>
        <row r="49">
          <cell r="AU49">
            <v>94.355661968588151</v>
          </cell>
        </row>
        <row r="50">
          <cell r="AU50">
            <v>95.810201396742571</v>
          </cell>
        </row>
        <row r="51">
          <cell r="AU51">
            <v>99.427652456948039</v>
          </cell>
        </row>
        <row r="52">
          <cell r="AU52">
            <v>97.654775523306199</v>
          </cell>
        </row>
        <row r="53">
          <cell r="AU53">
            <v>100.94816106190711</v>
          </cell>
        </row>
        <row r="54">
          <cell r="AU54">
            <v>97.448016749021562</v>
          </cell>
        </row>
        <row r="55">
          <cell r="AU55">
            <v>93.513475858619572</v>
          </cell>
        </row>
        <row r="56">
          <cell r="AU56">
            <v>98.277172200509639</v>
          </cell>
        </row>
        <row r="57">
          <cell r="AU57">
            <v>95.760757936806428</v>
          </cell>
        </row>
        <row r="58">
          <cell r="AU58">
            <v>96.573578554362598</v>
          </cell>
        </row>
        <row r="59">
          <cell r="AU59">
            <v>99.533476293047087</v>
          </cell>
        </row>
        <row r="60">
          <cell r="AU60">
            <v>100.79975408192627</v>
          </cell>
        </row>
        <row r="61">
          <cell r="AU61">
            <v>99.223354141007036</v>
          </cell>
        </row>
        <row r="62">
          <cell r="AU62">
            <v>100.46143353752879</v>
          </cell>
        </row>
        <row r="64">
          <cell r="AU64">
            <v>95.602395026170299</v>
          </cell>
        </row>
        <row r="65">
          <cell r="AU65">
            <v>97.762581464269644</v>
          </cell>
        </row>
        <row r="66">
          <cell r="AU66">
            <v>97.743357577875017</v>
          </cell>
        </row>
        <row r="67">
          <cell r="AU67">
            <v>98.042300648720754</v>
          </cell>
        </row>
        <row r="68">
          <cell r="AU68">
            <v>98.519506903206036</v>
          </cell>
        </row>
        <row r="69">
          <cell r="AU69">
            <v>97.87847240921738</v>
          </cell>
        </row>
        <row r="70">
          <cell r="AU70">
            <v>95.781056875880395</v>
          </cell>
        </row>
        <row r="71">
          <cell r="AU71">
            <v>96.861776608600863</v>
          </cell>
        </row>
        <row r="72">
          <cell r="AU72">
            <v>93.381881284929378</v>
          </cell>
        </row>
        <row r="73">
          <cell r="AU73">
            <v>95.573978353377044</v>
          </cell>
        </row>
        <row r="74">
          <cell r="AU74">
            <v>96.329503873957094</v>
          </cell>
        </row>
        <row r="75">
          <cell r="AU75">
            <v>97.549176167683427</v>
          </cell>
        </row>
        <row r="76">
          <cell r="AU76">
            <v>97.240142923478217</v>
          </cell>
        </row>
        <row r="77">
          <cell r="AU77">
            <v>91.800652908866041</v>
          </cell>
        </row>
        <row r="78">
          <cell r="AU78">
            <v>96.204501549542428</v>
          </cell>
        </row>
        <row r="79">
          <cell r="AU79">
            <v>97.206266997269381</v>
          </cell>
        </row>
        <row r="81">
          <cell r="AU81">
            <v>96.452079426676278</v>
          </cell>
        </row>
        <row r="82">
          <cell r="AU82">
            <v>96.065985252726961</v>
          </cell>
        </row>
        <row r="83">
          <cell r="AU83">
            <v>95.441460527610872</v>
          </cell>
        </row>
        <row r="84">
          <cell r="AU84">
            <v>96.121978763783517</v>
          </cell>
        </row>
        <row r="85">
          <cell r="AU85">
            <v>95.007032865785504</v>
          </cell>
        </row>
        <row r="86">
          <cell r="AU86">
            <v>97.272320791361707</v>
          </cell>
        </row>
        <row r="87">
          <cell r="AU87">
            <v>97.807774624525237</v>
          </cell>
        </row>
        <row r="88">
          <cell r="AU88">
            <v>97.014543681424854</v>
          </cell>
        </row>
        <row r="89">
          <cell r="AU89">
            <v>96.667741026067404</v>
          </cell>
        </row>
        <row r="90">
          <cell r="AU90">
            <v>95.010280290434139</v>
          </cell>
        </row>
        <row r="91">
          <cell r="AU91">
            <v>97.886445156995904</v>
          </cell>
        </row>
        <row r="92">
          <cell r="AU92">
            <v>96.778397165023506</v>
          </cell>
        </row>
        <row r="94">
          <cell r="A94" t="str">
            <v>GU084</v>
          </cell>
          <cell r="O94">
            <v>56</v>
          </cell>
          <cell r="R94">
            <v>9.25</v>
          </cell>
          <cell r="T94">
            <v>0.36180555555555555</v>
          </cell>
          <cell r="U94">
            <v>0.4777777777777778</v>
          </cell>
          <cell r="V94">
            <v>61</v>
          </cell>
          <cell r="Z94">
            <v>0.26250000000000001</v>
          </cell>
          <cell r="AF94">
            <v>54.2</v>
          </cell>
          <cell r="AG94">
            <v>17.100000000000001</v>
          </cell>
          <cell r="AI94">
            <v>51.1</v>
          </cell>
          <cell r="AU94">
            <v>94.352366624641022</v>
          </cell>
          <cell r="AV94">
            <v>96.019438444924404</v>
          </cell>
          <cell r="AW94" t="str">
            <v>R. Sookram</v>
          </cell>
        </row>
        <row r="95">
          <cell r="A95" t="str">
            <v>GU085</v>
          </cell>
          <cell r="O95">
            <v>42</v>
          </cell>
          <cell r="R95">
            <v>6.8022181146025869</v>
          </cell>
          <cell r="T95">
            <v>0.74722222222222223</v>
          </cell>
          <cell r="U95">
            <v>0.86111111111111116</v>
          </cell>
          <cell r="V95">
            <v>59</v>
          </cell>
          <cell r="Z95">
            <v>0.54166666666666674</v>
          </cell>
          <cell r="AF95">
            <v>52.9</v>
          </cell>
          <cell r="AG95">
            <v>17.399999999999999</v>
          </cell>
          <cell r="AI95">
            <v>50.2</v>
          </cell>
          <cell r="AU95">
            <v>94.566859490484816</v>
          </cell>
          <cell r="AV95">
            <v>96.237136234869951</v>
          </cell>
          <cell r="AW95" t="str">
            <v>R. Sookram</v>
          </cell>
        </row>
        <row r="96">
          <cell r="A96" t="str">
            <v>GU086</v>
          </cell>
          <cell r="O96">
            <v>56</v>
          </cell>
          <cell r="R96">
            <v>4.0295748613678368</v>
          </cell>
          <cell r="T96">
            <v>0.87847222222222221</v>
          </cell>
          <cell r="U96">
            <v>0.98402777777777772</v>
          </cell>
          <cell r="V96">
            <v>60</v>
          </cell>
          <cell r="Z96">
            <v>0.29999999999999993</v>
          </cell>
          <cell r="AF96">
            <v>53</v>
          </cell>
          <cell r="AG96">
            <v>17.399999999999999</v>
          </cell>
          <cell r="AI96">
            <v>50</v>
          </cell>
          <cell r="AU96">
            <v>94.3413084521017</v>
          </cell>
          <cell r="AV96">
            <v>96.007016095749066</v>
          </cell>
          <cell r="AW96" t="str">
            <v>R. Sookram</v>
          </cell>
        </row>
        <row r="97">
          <cell r="A97" t="str">
            <v>GU087</v>
          </cell>
          <cell r="O97">
            <v>56</v>
          </cell>
          <cell r="R97">
            <v>3.1053604436229199</v>
          </cell>
          <cell r="T97">
            <v>0.99652777777777779</v>
          </cell>
          <cell r="U97">
            <v>1.0993055555555555</v>
          </cell>
          <cell r="V97">
            <v>55</v>
          </cell>
          <cell r="Z97">
            <v>0.28333333333333333</v>
          </cell>
          <cell r="AF97">
            <v>53.5</v>
          </cell>
          <cell r="AG97">
            <v>17.100000000000001</v>
          </cell>
          <cell r="AI97">
            <v>50.7</v>
          </cell>
          <cell r="AU97">
            <v>93.914364604824101</v>
          </cell>
          <cell r="AV97">
            <v>95.57253404869995</v>
          </cell>
          <cell r="AW97" t="str">
            <v>R. Sookram</v>
          </cell>
        </row>
      </sheetData>
      <sheetData sheetId="2">
        <row r="84">
          <cell r="B84">
            <v>45859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VitaMalt - Operator Performance"/>
      <sheetName val="BrewMaterials"/>
      <sheetName val="Brewhouse"/>
      <sheetName val="Process"/>
      <sheetName val="Packaging"/>
      <sheetName val="Summary September '25"/>
      <sheetName val="Summary August '25"/>
      <sheetName val="Summary July '25"/>
      <sheetName val="Summary June '25"/>
      <sheetName val="Summary May '25"/>
      <sheetName val="Summary April '25"/>
      <sheetName val="Summary March '25"/>
      <sheetName val="Summary February '25"/>
      <sheetName val="Summary January '25"/>
      <sheetName val="Summary December '24 "/>
      <sheetName val="Summary November '24"/>
      <sheetName val="Summary October '24"/>
      <sheetName val="Summary May '24"/>
      <sheetName val="Summary April '24 "/>
      <sheetName val="Summary March '24 "/>
      <sheetName val="Summary February '24"/>
      <sheetName val="Summary January '24"/>
      <sheetName val="Summary December '23"/>
    </sheetNames>
    <sheetDataSet>
      <sheetData sheetId="0" refreshError="1"/>
      <sheetData sheetId="1"/>
      <sheetData sheetId="2"/>
      <sheetData sheetId="3">
        <row r="5">
          <cell r="AV5">
            <v>96.276959090498963</v>
          </cell>
        </row>
        <row r="6">
          <cell r="AV6">
            <v>95.250552277167415</v>
          </cell>
        </row>
        <row r="7">
          <cell r="AV7">
            <v>98.215857114037703</v>
          </cell>
        </row>
        <row r="8">
          <cell r="AV8">
            <v>97.065841044111437</v>
          </cell>
        </row>
        <row r="9">
          <cell r="AV9">
            <v>96.846940704132052</v>
          </cell>
        </row>
        <row r="10">
          <cell r="AV10">
            <v>97.997200643479516</v>
          </cell>
        </row>
        <row r="11">
          <cell r="AV11">
            <v>99.103663669233342</v>
          </cell>
        </row>
        <row r="12">
          <cell r="AV12">
            <v>100.09297596306546</v>
          </cell>
        </row>
        <row r="13">
          <cell r="AV13">
            <v>98.53505407982837</v>
          </cell>
        </row>
        <row r="14">
          <cell r="AV14">
            <v>99.07369922209736</v>
          </cell>
        </row>
        <row r="16">
          <cell r="AV16">
            <v>96.495371141271974</v>
          </cell>
        </row>
        <row r="17">
          <cell r="AV17">
            <v>100.26537727345534</v>
          </cell>
        </row>
        <row r="18">
          <cell r="AV18">
            <v>99.23384047023049</v>
          </cell>
        </row>
        <row r="19">
          <cell r="AV19">
            <v>100.78007672501261</v>
          </cell>
        </row>
        <row r="21">
          <cell r="AV21">
            <v>101.27863888434283</v>
          </cell>
        </row>
        <row r="22">
          <cell r="AV22">
            <v>99.303486828954206</v>
          </cell>
        </row>
        <row r="23">
          <cell r="AV23">
            <v>103.66984113752797</v>
          </cell>
        </row>
        <row r="24">
          <cell r="AV24">
            <v>95.602927454157623</v>
          </cell>
        </row>
        <row r="26">
          <cell r="AV26">
            <v>97.882610792421659</v>
          </cell>
        </row>
        <row r="27">
          <cell r="AV27">
            <v>102.56353376807962</v>
          </cell>
        </row>
        <row r="28">
          <cell r="AV28">
            <v>101.00969960355251</v>
          </cell>
        </row>
        <row r="29">
          <cell r="AV29">
            <v>98.793275944001337</v>
          </cell>
        </row>
        <row r="30">
          <cell r="AV30">
            <v>99.174984669941196</v>
          </cell>
        </row>
        <row r="31">
          <cell r="AV31">
            <v>99.790314392337137</v>
          </cell>
        </row>
        <row r="32">
          <cell r="AV32">
            <v>98.079903538511672</v>
          </cell>
        </row>
        <row r="33">
          <cell r="AV33">
            <v>99.588717797605156</v>
          </cell>
        </row>
        <row r="35">
          <cell r="AV35">
            <v>98.928032542482782</v>
          </cell>
        </row>
        <row r="36">
          <cell r="AV36">
            <v>100.22513199069148</v>
          </cell>
        </row>
        <row r="37">
          <cell r="AV37">
            <v>99.888911394204086</v>
          </cell>
        </row>
        <row r="38">
          <cell r="AV38">
            <v>100.17103246144012</v>
          </cell>
        </row>
        <row r="39">
          <cell r="AV39">
            <v>99.285649098477293</v>
          </cell>
        </row>
        <row r="40">
          <cell r="AV40">
            <v>99.879884127611049</v>
          </cell>
        </row>
        <row r="41">
          <cell r="AV41">
            <v>96.432595150579488</v>
          </cell>
        </row>
        <row r="42">
          <cell r="AV42">
            <v>98.429313316577733</v>
          </cell>
        </row>
        <row r="43">
          <cell r="AV43">
            <v>98.064289700809979</v>
          </cell>
        </row>
        <row r="44">
          <cell r="AV44">
            <v>103.18047859361971</v>
          </cell>
        </row>
        <row r="45">
          <cell r="AV45">
            <v>104.32840145732365</v>
          </cell>
        </row>
        <row r="46">
          <cell r="AV46">
            <v>91.41688641079125</v>
          </cell>
        </row>
        <row r="48">
          <cell r="AV48">
            <v>90.887781982231019</v>
          </cell>
        </row>
        <row r="49">
          <cell r="AV49">
            <v>90.537381275166723</v>
          </cell>
        </row>
        <row r="50">
          <cell r="AV50">
            <v>92.190532473722058</v>
          </cell>
        </row>
        <row r="51">
          <cell r="AV51">
            <v>100.48690648550411</v>
          </cell>
        </row>
        <row r="52">
          <cell r="AV52">
            <v>101.16555777179596</v>
          </cell>
        </row>
        <row r="53">
          <cell r="AV53">
            <v>101.81357333538921</v>
          </cell>
        </row>
        <row r="55">
          <cell r="AV55">
            <v>96.86423362208302</v>
          </cell>
        </row>
        <row r="56">
          <cell r="AV56">
            <v>98.765400463350318</v>
          </cell>
        </row>
        <row r="57">
          <cell r="AV57">
            <v>99.054620267666863</v>
          </cell>
        </row>
        <row r="58">
          <cell r="AV58">
            <v>99.45810140928667</v>
          </cell>
        </row>
        <row r="59">
          <cell r="AV59">
            <v>99.445738552634495</v>
          </cell>
        </row>
        <row r="60">
          <cell r="AV60">
            <v>99.984726394996613</v>
          </cell>
        </row>
        <row r="61">
          <cell r="AV61">
            <v>99.787427077580119</v>
          </cell>
        </row>
        <row r="62">
          <cell r="AV62">
            <v>103.57083663502391</v>
          </cell>
        </row>
        <row r="64">
          <cell r="AV64">
            <v>98.008773140944655</v>
          </cell>
        </row>
        <row r="65">
          <cell r="AV65">
            <v>97.056247900814512</v>
          </cell>
        </row>
        <row r="66">
          <cell r="AV66">
            <v>99.038277060492405</v>
          </cell>
        </row>
        <row r="67">
          <cell r="AV67">
            <v>97.755191484048893</v>
          </cell>
        </row>
        <row r="68">
          <cell r="AV68">
            <v>94.10791616839218</v>
          </cell>
        </row>
        <row r="69">
          <cell r="AV69">
            <v>97.641436216620463</v>
          </cell>
        </row>
        <row r="70">
          <cell r="AV70">
            <v>101.50384828699441</v>
          </cell>
        </row>
        <row r="71">
          <cell r="AV71">
            <v>96.742930981448211</v>
          </cell>
        </row>
        <row r="72">
          <cell r="AV72">
            <v>97.755191484048893</v>
          </cell>
        </row>
        <row r="73">
          <cell r="AV73">
            <v>95.835062582045694</v>
          </cell>
        </row>
        <row r="74">
          <cell r="AV74">
            <v>97.848404232929013</v>
          </cell>
        </row>
        <row r="75">
          <cell r="AV75">
            <v>97.445735902752347</v>
          </cell>
        </row>
        <row r="76">
          <cell r="AV76">
            <v>97.848404232929013</v>
          </cell>
        </row>
        <row r="77">
          <cell r="AV77">
            <v>97.610908885136041</v>
          </cell>
        </row>
        <row r="79">
          <cell r="A79" t="str">
            <v>VM067</v>
          </cell>
          <cell r="R79">
            <v>59</v>
          </cell>
          <cell r="S79">
            <v>12.120000000000005</v>
          </cell>
          <cell r="V79">
            <v>0.21180555555555555</v>
          </cell>
          <cell r="W79">
            <v>0.38194444444444442</v>
          </cell>
          <cell r="X79">
            <v>80</v>
          </cell>
          <cell r="AB79">
            <v>0.2986111111111111</v>
          </cell>
          <cell r="AE79">
            <v>50</v>
          </cell>
          <cell r="AH79">
            <v>14.6</v>
          </cell>
          <cell r="AJ79">
            <v>45.1</v>
          </cell>
          <cell r="AV79">
            <v>93.416866927628533</v>
          </cell>
          <cell r="AW79">
            <v>93.86494106061258</v>
          </cell>
          <cell r="AZ79" t="str">
            <v>R.Sookram</v>
          </cell>
        </row>
        <row r="80">
          <cell r="A80" t="str">
            <v>VM068</v>
          </cell>
          <cell r="R80">
            <v>58</v>
          </cell>
          <cell r="S80">
            <v>10.319999999999993</v>
          </cell>
          <cell r="V80">
            <v>0.57152777777777775</v>
          </cell>
          <cell r="W80">
            <v>0.71597222222222223</v>
          </cell>
          <cell r="X80">
            <v>85</v>
          </cell>
          <cell r="AB80">
            <v>0.27847222222222223</v>
          </cell>
          <cell r="AE80">
            <v>50</v>
          </cell>
          <cell r="AH80">
            <v>14.5</v>
          </cell>
          <cell r="AJ80">
            <v>47.6</v>
          </cell>
          <cell r="AV80">
            <v>97.892758653806098</v>
          </cell>
          <cell r="AW80">
            <v>98.362301407720153</v>
          </cell>
          <cell r="AZ80" t="str">
            <v>K. Benjamin</v>
          </cell>
        </row>
        <row r="81">
          <cell r="A81" t="str">
            <v>VM069</v>
          </cell>
          <cell r="R81">
            <v>60</v>
          </cell>
          <cell r="S81">
            <v>8.7025948103792548</v>
          </cell>
          <cell r="V81">
            <v>0.66805555555555551</v>
          </cell>
          <cell r="W81">
            <v>0.81111111111111112</v>
          </cell>
          <cell r="X81">
            <v>84</v>
          </cell>
          <cell r="AB81">
            <v>0.29027777777777775</v>
          </cell>
          <cell r="AE81">
            <v>50.1</v>
          </cell>
          <cell r="AH81">
            <v>14.5</v>
          </cell>
          <cell r="AJ81">
            <v>46.5</v>
          </cell>
          <cell r="AV81">
            <v>95.630531037856798</v>
          </cell>
          <cell r="AW81">
            <v>96.089223013844276</v>
          </cell>
          <cell r="AZ81" t="str">
            <v>R. Regis</v>
          </cell>
        </row>
        <row r="82">
          <cell r="A82" t="str">
            <v>VM070</v>
          </cell>
          <cell r="R82">
            <v>59</v>
          </cell>
          <cell r="S82">
            <v>7.1200000000000045</v>
          </cell>
          <cell r="V82">
            <v>0.76041666666666663</v>
          </cell>
          <cell r="W82">
            <v>0.90138888888888891</v>
          </cell>
          <cell r="X82">
            <v>85</v>
          </cell>
          <cell r="AB82">
            <v>0.29027777777777775</v>
          </cell>
          <cell r="AE82">
            <v>50</v>
          </cell>
          <cell r="AH82">
            <v>14.6</v>
          </cell>
          <cell r="AJ82">
            <v>47.2</v>
          </cell>
          <cell r="AV82">
            <v>97.766654522928292</v>
          </cell>
          <cell r="AW82">
            <v>98.235592418202089</v>
          </cell>
          <cell r="AZ82" t="str">
            <v>R. Regis</v>
          </cell>
        </row>
        <row r="83">
          <cell r="A83" t="str">
            <v>VM071</v>
          </cell>
          <cell r="R83">
            <v>61</v>
          </cell>
          <cell r="S83">
            <v>16.919999999999987</v>
          </cell>
          <cell r="V83">
            <v>0.85486111111111107</v>
          </cell>
          <cell r="W83">
            <v>1.0666666666666667</v>
          </cell>
          <cell r="X83">
            <v>83</v>
          </cell>
          <cell r="AB83">
            <v>0.35833333333333328</v>
          </cell>
          <cell r="AE83">
            <v>50</v>
          </cell>
          <cell r="AH83">
            <v>14.8</v>
          </cell>
          <cell r="AJ83">
            <v>46.9</v>
          </cell>
          <cell r="AV83">
            <v>98.529450361408266</v>
          </cell>
          <cell r="AW83">
            <v>99.002047007989077</v>
          </cell>
          <cell r="AZ83" t="str">
            <v>R. Regis</v>
          </cell>
        </row>
        <row r="84">
          <cell r="A84" t="str">
            <v>VM072</v>
          </cell>
          <cell r="R84">
            <v>60</v>
          </cell>
          <cell r="S84">
            <v>5.9199999999999875</v>
          </cell>
          <cell r="V84">
            <v>1.0152777777777777</v>
          </cell>
          <cell r="W84">
            <v>1.1520833333333333</v>
          </cell>
          <cell r="X84">
            <v>85</v>
          </cell>
          <cell r="AB84">
            <v>0.35347222222222219</v>
          </cell>
          <cell r="AE84">
            <v>50</v>
          </cell>
          <cell r="AH84">
            <v>13.8</v>
          </cell>
          <cell r="AJ84">
            <v>47.9</v>
          </cell>
          <cell r="AV84">
            <v>93.497493079391887</v>
          </cell>
          <cell r="AW84">
            <v>93.945953935825742</v>
          </cell>
          <cell r="AZ84" t="str">
            <v>R.Sookram</v>
          </cell>
        </row>
        <row r="85">
          <cell r="A85" t="str">
            <v>VM073</v>
          </cell>
          <cell r="R85">
            <v>60</v>
          </cell>
          <cell r="S85">
            <v>6.719999999999998</v>
          </cell>
          <cell r="V85">
            <v>1.1020833333333333</v>
          </cell>
          <cell r="W85">
            <v>1.2395833333333333</v>
          </cell>
          <cell r="X85">
            <v>85</v>
          </cell>
          <cell r="AB85">
            <v>0.34027777777777768</v>
          </cell>
          <cell r="AE85">
            <v>50</v>
          </cell>
          <cell r="AH85">
            <v>14.6</v>
          </cell>
          <cell r="AJ85">
            <v>47.2</v>
          </cell>
          <cell r="AV85">
            <v>97.870868652037373</v>
          </cell>
          <cell r="AW85">
            <v>98.338324024507784</v>
          </cell>
          <cell r="AZ85" t="str">
            <v>R.Sookram</v>
          </cell>
        </row>
        <row r="86">
          <cell r="A86" t="str">
            <v>VM074</v>
          </cell>
          <cell r="R86">
            <v>58</v>
          </cell>
          <cell r="S86">
            <v>6.5200000000000102</v>
          </cell>
          <cell r="V86">
            <v>0.22222222222222221</v>
          </cell>
          <cell r="W86">
            <v>0.35694444444444445</v>
          </cell>
          <cell r="X86">
            <v>89</v>
          </cell>
          <cell r="AB86">
            <v>0.31527777777777777</v>
          </cell>
          <cell r="AE86">
            <v>50</v>
          </cell>
          <cell r="AH86">
            <v>14</v>
          </cell>
          <cell r="AJ86">
            <v>48.8</v>
          </cell>
          <cell r="AV86">
            <v>96.69450110380555</v>
          </cell>
          <cell r="AW86">
            <v>97.15829641370371</v>
          </cell>
          <cell r="AZ86" t="str">
            <v>D. Gomaz</v>
          </cell>
        </row>
      </sheetData>
      <sheetData sheetId="4">
        <row r="5">
          <cell r="D5">
            <v>14.8</v>
          </cell>
        </row>
      </sheetData>
      <sheetData sheetId="5"/>
      <sheetData sheetId="6"/>
      <sheetData sheetId="7"/>
      <sheetData sheetId="8">
        <row r="20">
          <cell r="E20">
            <v>5478</v>
          </cell>
        </row>
      </sheetData>
      <sheetData sheetId="9">
        <row r="20">
          <cell r="E20">
            <v>7611</v>
          </cell>
        </row>
      </sheetData>
      <sheetData sheetId="10">
        <row r="20">
          <cell r="E20">
            <v>4053</v>
          </cell>
        </row>
      </sheetData>
      <sheetData sheetId="11">
        <row r="20">
          <cell r="E20">
            <v>5488</v>
          </cell>
        </row>
      </sheetData>
      <sheetData sheetId="12">
        <row r="20">
          <cell r="E20">
            <v>2568</v>
          </cell>
        </row>
      </sheetData>
      <sheetData sheetId="13">
        <row r="20">
          <cell r="E20">
            <v>5524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September'25"/>
      <sheetName val="Summary August'25"/>
      <sheetName val="Summary July'25"/>
      <sheetName val="Summary June'25"/>
      <sheetName val="Summary May'25"/>
      <sheetName val="Summary April'25"/>
      <sheetName val="Summary March'25 "/>
      <sheetName val="Summary February'25"/>
      <sheetName val="Summary January'25"/>
      <sheetName val="Summary March '24"/>
      <sheetName val="Summary January'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">
          <cell r="AT4">
            <v>91.980534426214859</v>
          </cell>
        </row>
        <row r="5">
          <cell r="AT5">
            <v>95.066683069960561</v>
          </cell>
        </row>
        <row r="6">
          <cell r="AT6">
            <v>95.883338904704345</v>
          </cell>
        </row>
        <row r="7">
          <cell r="AT7">
            <v>94.113898794831059</v>
          </cell>
        </row>
        <row r="8">
          <cell r="AT8">
            <v>95.898569361205759</v>
          </cell>
        </row>
        <row r="9">
          <cell r="AT9">
            <v>93.701438852695176</v>
          </cell>
        </row>
        <row r="10">
          <cell r="AT10">
            <v>95.891379370044191</v>
          </cell>
        </row>
        <row r="11">
          <cell r="AT11">
            <v>95.965090010922808</v>
          </cell>
        </row>
        <row r="13">
          <cell r="AT13">
            <v>93.283411294323415</v>
          </cell>
        </row>
        <row r="14">
          <cell r="AT14">
            <v>96.569662058453758</v>
          </cell>
        </row>
        <row r="15">
          <cell r="AT15">
            <v>97.892925540493906</v>
          </cell>
        </row>
        <row r="16">
          <cell r="AT16">
            <v>89.877374824695281</v>
          </cell>
        </row>
        <row r="18">
          <cell r="AT18">
            <v>93.502897385814322</v>
          </cell>
        </row>
        <row r="19">
          <cell r="AT19">
            <v>95.829405051357114</v>
          </cell>
        </row>
        <row r="20">
          <cell r="AT20">
            <v>94.712550055902142</v>
          </cell>
        </row>
        <row r="21">
          <cell r="AT21">
            <v>96.201558080682787</v>
          </cell>
        </row>
        <row r="26">
          <cell r="AT26">
            <v>91.626266310300238</v>
          </cell>
        </row>
        <row r="28">
          <cell r="A28" t="str">
            <v>MK021</v>
          </cell>
          <cell r="R28">
            <v>74</v>
          </cell>
          <cell r="S28">
            <v>5.5657142857142814</v>
          </cell>
          <cell r="V28">
            <v>0.9</v>
          </cell>
          <cell r="W28">
            <v>1.0222222222222221</v>
          </cell>
          <cell r="X28">
            <v>54</v>
          </cell>
          <cell r="AA28">
            <v>0.27222222222222214</v>
          </cell>
          <cell r="AF28">
            <v>53.2</v>
          </cell>
          <cell r="AG28">
            <v>13.5</v>
          </cell>
          <cell r="AI28">
            <v>49.8</v>
          </cell>
          <cell r="AT28">
            <v>94.489668133257737</v>
          </cell>
          <cell r="AU28">
            <v>96.028262237171987</v>
          </cell>
          <cell r="AX28" t="str">
            <v>R.Regis</v>
          </cell>
        </row>
        <row r="29">
          <cell r="A29" t="str">
            <v>MK022</v>
          </cell>
          <cell r="R29">
            <v>75</v>
          </cell>
          <cell r="S29">
            <v>4.8514285714285696</v>
          </cell>
          <cell r="V29">
            <v>1.0152777777777777</v>
          </cell>
          <cell r="W29">
            <v>1.1347222222222222</v>
          </cell>
          <cell r="X29">
            <v>54</v>
          </cell>
          <cell r="AA29">
            <v>0.28055555555555556</v>
          </cell>
          <cell r="AF29">
            <v>53.6</v>
          </cell>
          <cell r="AG29">
            <v>13.5</v>
          </cell>
          <cell r="AI29">
            <v>50.7</v>
          </cell>
          <cell r="AT29">
            <v>95.994784321626057</v>
          </cell>
          <cell r="AU29">
            <v>97.558515040689173</v>
          </cell>
          <cell r="AX29" t="str">
            <v>R.Regis</v>
          </cell>
        </row>
        <row r="30">
          <cell r="A30" t="str">
            <v>MK023</v>
          </cell>
          <cell r="R30">
            <v>76</v>
          </cell>
          <cell r="S30">
            <v>5.9228571428571444</v>
          </cell>
          <cell r="V30">
            <v>1.1451388888888889</v>
          </cell>
          <cell r="W30">
            <v>1.2618055555555556</v>
          </cell>
          <cell r="X30">
            <v>55</v>
          </cell>
          <cell r="AA30">
            <v>0.27222222222222225</v>
          </cell>
          <cell r="AF30">
            <v>53</v>
          </cell>
          <cell r="AG30">
            <v>13.5</v>
          </cell>
          <cell r="AI30">
            <v>50.3</v>
          </cell>
          <cell r="AT30">
            <v>95.337788432396806</v>
          </cell>
          <cell r="AU30">
            <v>96.89050507942369</v>
          </cell>
          <cell r="AX30" t="str">
            <v>R.Regis</v>
          </cell>
        </row>
        <row r="31">
          <cell r="A31" t="str">
            <v>MK024</v>
          </cell>
          <cell r="R31">
            <v>77</v>
          </cell>
          <cell r="S31">
            <v>4.3157142857142894</v>
          </cell>
          <cell r="V31">
            <v>0.25555555555555554</v>
          </cell>
          <cell r="W31">
            <v>0.37430555555555556</v>
          </cell>
          <cell r="X31">
            <v>59</v>
          </cell>
          <cell r="AA31">
            <v>0.27013888888888887</v>
          </cell>
          <cell r="AF31">
            <v>53.9</v>
          </cell>
          <cell r="AG31">
            <v>13.2</v>
          </cell>
          <cell r="AI31">
            <v>50.9</v>
          </cell>
          <cell r="AT31">
            <v>94.03638367048454</v>
          </cell>
          <cell r="AU31">
            <v>95.568519413818137</v>
          </cell>
          <cell r="AX31" t="str">
            <v>R.Regis</v>
          </cell>
        </row>
        <row r="32">
          <cell r="A32" t="str">
            <v>MK025</v>
          </cell>
          <cell r="R32">
            <v>77</v>
          </cell>
          <cell r="S32">
            <v>5.3871428571428632</v>
          </cell>
          <cell r="V32">
            <v>0.64027777777777772</v>
          </cell>
          <cell r="W32">
            <v>0.76527777777777772</v>
          </cell>
          <cell r="X32">
            <v>50</v>
          </cell>
          <cell r="AA32">
            <v>0.27916666666666662</v>
          </cell>
          <cell r="AF32">
            <v>53.3</v>
          </cell>
          <cell r="AG32">
            <v>13.3</v>
          </cell>
          <cell r="AI32">
            <v>50.4</v>
          </cell>
          <cell r="AT32">
            <v>93.850571528798568</v>
          </cell>
          <cell r="AU32">
            <v>95.379679833042005</v>
          </cell>
          <cell r="AX32" t="str">
            <v>K.Benjamin</v>
          </cell>
        </row>
        <row r="33">
          <cell r="A33" t="str">
            <v>MK026</v>
          </cell>
          <cell r="R33">
            <v>75</v>
          </cell>
          <cell r="S33">
            <v>3.2442857142857155</v>
          </cell>
          <cell r="V33">
            <v>0.74305555555555558</v>
          </cell>
          <cell r="W33">
            <v>0.86805555555555558</v>
          </cell>
          <cell r="X33">
            <v>52</v>
          </cell>
          <cell r="AA33">
            <v>0.27777777777777779</v>
          </cell>
          <cell r="AF33">
            <v>54.5</v>
          </cell>
          <cell r="AG33">
            <v>13.3</v>
          </cell>
          <cell r="AI33">
            <v>51.7</v>
          </cell>
          <cell r="AT33">
            <v>96.575988170029959</v>
          </cell>
          <cell r="AU33">
            <v>98.14855423903704</v>
          </cell>
          <cell r="AX33" t="str">
            <v>K.Benjamin</v>
          </cell>
        </row>
        <row r="34">
          <cell r="A34" t="str">
            <v>MK027</v>
          </cell>
          <cell r="R34">
            <v>75</v>
          </cell>
          <cell r="S34">
            <v>0.95703703703704357</v>
          </cell>
          <cell r="V34">
            <v>0.85555555555555551</v>
          </cell>
          <cell r="W34">
            <v>0.96666666666666667</v>
          </cell>
          <cell r="X34">
            <v>50</v>
          </cell>
          <cell r="AA34">
            <v>0.26527777777777783</v>
          </cell>
          <cell r="AF34">
            <v>53.8</v>
          </cell>
          <cell r="AG34">
            <v>13.4</v>
          </cell>
          <cell r="AI34">
            <v>51.1</v>
          </cell>
          <cell r="AT34">
            <v>96.307318678936582</v>
          </cell>
          <cell r="AU34">
            <v>97.875193676086909</v>
          </cell>
          <cell r="AX34" t="str">
            <v>K.Benjamin</v>
          </cell>
        </row>
        <row r="35">
          <cell r="A35" t="str">
            <v>MK028</v>
          </cell>
          <cell r="R35">
            <v>73</v>
          </cell>
          <cell r="S35">
            <v>1.8829629629629692</v>
          </cell>
          <cell r="V35">
            <v>0.96388888888888891</v>
          </cell>
          <cell r="W35">
            <v>1.0840277777777778</v>
          </cell>
          <cell r="X35">
            <v>62</v>
          </cell>
          <cell r="AA35">
            <v>0.27152777777777781</v>
          </cell>
          <cell r="AF35">
            <v>53.3</v>
          </cell>
          <cell r="AG35">
            <v>13.4</v>
          </cell>
          <cell r="AI35">
            <v>50.5</v>
          </cell>
          <cell r="AT35">
            <v>95.27712196247154</v>
          </cell>
          <cell r="AU35">
            <v>96.827911894963222</v>
          </cell>
          <cell r="AX35" t="str">
            <v>R.Regis</v>
          </cell>
        </row>
      </sheetData>
      <sheetData sheetId="8">
        <row r="4">
          <cell r="D4">
            <v>13.5</v>
          </cell>
        </row>
        <row r="28">
          <cell r="D28">
            <v>13.5</v>
          </cell>
        </row>
        <row r="29">
          <cell r="D29">
            <v>13.5</v>
          </cell>
        </row>
        <row r="30">
          <cell r="D30">
            <v>13.5</v>
          </cell>
        </row>
        <row r="31">
          <cell r="D31">
            <v>13.2</v>
          </cell>
        </row>
        <row r="32">
          <cell r="D32">
            <v>13.3</v>
          </cell>
        </row>
        <row r="33">
          <cell r="D33">
            <v>13.3</v>
          </cell>
        </row>
        <row r="34">
          <cell r="D34">
            <v>13.4</v>
          </cell>
        </row>
        <row r="35">
          <cell r="D35">
            <v>13.4</v>
          </cell>
        </row>
      </sheetData>
      <sheetData sheetId="9" refreshError="1"/>
      <sheetData sheetId="10">
        <row r="22">
          <cell r="E22">
            <v>5803</v>
          </cell>
        </row>
      </sheetData>
      <sheetData sheetId="11">
        <row r="22">
          <cell r="E22">
            <v>2825</v>
          </cell>
        </row>
      </sheetData>
      <sheetData sheetId="12"/>
      <sheetData sheetId="13">
        <row r="22">
          <cell r="E22">
            <v>2914</v>
          </cell>
        </row>
      </sheetData>
      <sheetData sheetId="14" refreshError="1"/>
      <sheetData sheetId="15">
        <row r="22">
          <cell r="E22">
            <v>2939</v>
          </cell>
        </row>
      </sheetData>
      <sheetData sheetId="16" refreshError="1"/>
      <sheetData sheetId="17" refreshError="1"/>
      <sheetData sheetId="18" refreshError="1"/>
      <sheetData sheetId="19"/>
      <sheetData sheetId="20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July 2025"/>
      <sheetName val="Summary June 2025 "/>
      <sheetName val="Summary February 2025"/>
      <sheetName val="Summary January 2025"/>
      <sheetName val="Summary March 2022"/>
    </sheetNames>
    <sheetDataSet>
      <sheetData sheetId="0"/>
      <sheetData sheetId="1"/>
      <sheetData sheetId="2"/>
      <sheetData sheetId="3"/>
      <sheetData sheetId="4"/>
      <sheetData sheetId="5">
        <row r="5">
          <cell r="A5" t="str">
            <v>HP001</v>
          </cell>
          <cell r="AU5">
            <v>92.965702451125438</v>
          </cell>
        </row>
        <row r="6">
          <cell r="AU6">
            <v>93.048999749652921</v>
          </cell>
        </row>
        <row r="7">
          <cell r="AU7">
            <v>84.477722903722579</v>
          </cell>
        </row>
        <row r="8">
          <cell r="AU8">
            <v>93.535128245977376</v>
          </cell>
        </row>
        <row r="10">
          <cell r="AU10">
            <v>94.811455712610496</v>
          </cell>
        </row>
        <row r="11">
          <cell r="AU11">
            <v>98.883453602895727</v>
          </cell>
        </row>
        <row r="12">
          <cell r="AU12">
            <v>98.52698786953647</v>
          </cell>
        </row>
        <row r="13">
          <cell r="AU13">
            <v>97.731882466029035</v>
          </cell>
        </row>
      </sheetData>
      <sheetData sheetId="6">
        <row r="5">
          <cell r="D5">
            <v>11.7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Operator Performance '18"/>
      <sheetName val="BrewMaterials"/>
      <sheetName val="Brewhouse"/>
      <sheetName val="Process"/>
      <sheetName val="Packaging"/>
      <sheetName val="Summary July'25"/>
      <sheetName val="Summary June'25"/>
      <sheetName val="Summary October '24"/>
      <sheetName val="Summary April '24"/>
      <sheetName val="Summary March '24"/>
      <sheetName val="Summary August '23"/>
      <sheetName val="Summary July '23"/>
      <sheetName val="Summary March '23"/>
      <sheetName val="Summary February '23"/>
      <sheetName val="Summary November '22 "/>
      <sheetName val="Summary October '22 "/>
      <sheetName val="Summary March '22"/>
      <sheetName val="Summary February '22 "/>
      <sheetName val="Summary November'24"/>
    </sheetNames>
    <sheetDataSet>
      <sheetData sheetId="0" refreshError="1"/>
      <sheetData sheetId="1" refreshError="1"/>
      <sheetData sheetId="2" refreshError="1"/>
      <sheetData sheetId="3">
        <row r="26">
          <cell r="A26" t="str">
            <v>HR001</v>
          </cell>
          <cell r="AW26">
            <v>96.678776803355618</v>
          </cell>
        </row>
        <row r="27">
          <cell r="AW27">
            <v>93.942585007034225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Operator Performance '18"/>
      <sheetName val="BrewMaterials"/>
      <sheetName val="Brewhouse"/>
      <sheetName val="Process"/>
      <sheetName val="Packaging"/>
      <sheetName val="Summary July '25"/>
      <sheetName val="Summary June '25 "/>
      <sheetName val="Summary October '24"/>
      <sheetName val="Summary January '24"/>
      <sheetName val="Summary November '24 "/>
    </sheetNames>
    <sheetDataSet>
      <sheetData sheetId="0" refreshError="1"/>
      <sheetData sheetId="1" refreshError="1"/>
      <sheetData sheetId="2" refreshError="1"/>
      <sheetData sheetId="3" refreshError="1">
        <row r="13">
          <cell r="A13" t="str">
            <v>HA001</v>
          </cell>
          <cell r="AU13">
            <v>96.227257171591688</v>
          </cell>
        </row>
        <row r="14">
          <cell r="AU14">
            <v>97.993893314944387</v>
          </cell>
        </row>
      </sheetData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an 2nd"/>
      <sheetName val="Jan 3rd"/>
      <sheetName val="Jan 6th"/>
      <sheetName val="Jan 7th"/>
      <sheetName val="Jan 8th"/>
      <sheetName val="Jan. 10th"/>
      <sheetName val="Jan. 14th "/>
      <sheetName val="Jan.15th "/>
      <sheetName val="Jan.16th"/>
      <sheetName val="Jan.17th -19th"/>
      <sheetName val="Jan.20th"/>
      <sheetName val="Jan.21ST "/>
      <sheetName val="Jan 22nd"/>
      <sheetName val="Jan 23rd "/>
      <sheetName val="Jan 24th, 27th, 28th"/>
      <sheetName val="Jan 29th "/>
      <sheetName val="Jan 30th"/>
      <sheetName val="Jan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70">
          <cell r="M70">
            <v>6.5</v>
          </cell>
        </row>
      </sheetData>
      <sheetData sheetId="17"/>
      <sheetData sheetId="18">
        <row r="65">
          <cell r="L65">
            <v>95.175721461636485</v>
          </cell>
        </row>
      </sheetData>
      <sheetData sheetId="19"/>
      <sheetData sheetId="20"/>
      <sheetData sheetId="21"/>
      <sheetData sheetId="22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Feb 3rd"/>
      <sheetName val="Feb 4th"/>
      <sheetName val="Feb 5th"/>
      <sheetName val="Feb 6th"/>
      <sheetName val="Feb 10th"/>
      <sheetName val="Feb 11th"/>
      <sheetName val="Feb 12th"/>
      <sheetName val="Feb 13th"/>
      <sheetName val="Feb 14th"/>
      <sheetName val="Feb 17th"/>
      <sheetName val="Feb 18th"/>
      <sheetName val="Feb 19th "/>
      <sheetName val="Feb 20th"/>
      <sheetName val="Feb 21st"/>
      <sheetName val="Feb 23rd"/>
      <sheetName val="Feb 24th"/>
      <sheetName val="Feb 25th"/>
      <sheetName val="Feb 26th"/>
      <sheetName val="Feb 27th"/>
      <sheetName val="Feb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5">
          <cell r="L35">
            <v>96.267254965762547</v>
          </cell>
        </row>
        <row r="40">
          <cell r="L40">
            <v>7.0109890109890109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Mar. 3rd"/>
      <sheetName val="Mar. 4th"/>
      <sheetName val="Mar. 5th "/>
      <sheetName val="Mar. 6th"/>
      <sheetName val="Mar. 7th &amp; 8th"/>
      <sheetName val="Mar. 10th"/>
      <sheetName val="Mar. 11th"/>
      <sheetName val="Mar. 12th"/>
      <sheetName val="Mar. 13th"/>
      <sheetName val="Mar. 14th &amp; 16th"/>
      <sheetName val="Mar. 17th"/>
      <sheetName val="Mar. 18th"/>
      <sheetName val="Mar. 19th"/>
      <sheetName val="Mar. 20th"/>
      <sheetName val="Mar. 21th"/>
      <sheetName val="Mar. 24th"/>
      <sheetName val="Mar. 25th"/>
      <sheetName val="Mar. 26th "/>
      <sheetName val="Mar. 27th "/>
      <sheetName val="Mar. 28th "/>
      <sheetName val="Mar.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5">
          <cell r="L35">
            <v>98.721769716093192</v>
          </cell>
        </row>
        <row r="40">
          <cell r="L40">
            <v>6.3043478260869561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Apr. 1st"/>
      <sheetName val="Apr. 3rd"/>
      <sheetName val="Apr. 4th"/>
      <sheetName val="Apr. 7th "/>
      <sheetName val="Apr. 8th  "/>
      <sheetName val="Apr. 9th   "/>
      <sheetName val="Apr. 10th "/>
      <sheetName val="Apr. 11-12-13th"/>
      <sheetName val="Apr. 14th"/>
      <sheetName val="Apr. 15th"/>
      <sheetName val="Apr. 16th"/>
      <sheetName val="Apr. 17th-20th"/>
      <sheetName val="Apr. 22nd"/>
      <sheetName val="Apr. 23rd"/>
      <sheetName val="Apr. 24th"/>
      <sheetName val="Apr. 25th "/>
      <sheetName val="Apr. 28th"/>
      <sheetName val="Apr. 29th"/>
      <sheetName val="Apr.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5">
          <cell r="L45">
            <v>99.238824818204876</v>
          </cell>
        </row>
        <row r="50">
          <cell r="L50">
            <v>6.1304347826086953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May 2nd -4th"/>
      <sheetName val="May 5th"/>
      <sheetName val="May 6th"/>
      <sheetName val="May 7th"/>
      <sheetName val="May 8th"/>
      <sheetName val="May 9th-10th"/>
      <sheetName val="May 12th"/>
      <sheetName val="May 13th"/>
      <sheetName val="May 14th"/>
      <sheetName val="May 15th"/>
      <sheetName val="May 16th"/>
      <sheetName val="May 19th"/>
      <sheetName val="May 20th"/>
      <sheetName val="May 21st"/>
      <sheetName val="May 22nd"/>
      <sheetName val="May 23rd"/>
      <sheetName val="May 26th"/>
      <sheetName val="May 27th"/>
      <sheetName val="May 28th"/>
      <sheetName val="May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7">
          <cell r="L37">
            <v>98.775682475671985</v>
          </cell>
        </row>
        <row r="42">
          <cell r="L42">
            <v>7.2608695652173916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une 2nd"/>
      <sheetName val="June 3rd"/>
      <sheetName val="June 4th"/>
      <sheetName val="June 5th "/>
      <sheetName val="June 6th"/>
      <sheetName val="June 10th"/>
      <sheetName val="June 11th"/>
      <sheetName val="June 12th "/>
      <sheetName val="June 13th"/>
      <sheetName val="June 16th"/>
      <sheetName val="June 17th "/>
      <sheetName val="June 18th"/>
      <sheetName val="June 20th "/>
      <sheetName val="June 23rd"/>
      <sheetName val="June 24th"/>
      <sheetName val="June 25th "/>
      <sheetName val="June 26th "/>
      <sheetName val="June 27th-29th"/>
      <sheetName val="June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57">
          <cell r="L57">
            <v>97.772657059692847</v>
          </cell>
        </row>
        <row r="62">
          <cell r="L62">
            <v>6.9523809523809526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uly 1st"/>
      <sheetName val="July 2nd"/>
      <sheetName val="July 3rd"/>
      <sheetName val="July 4th"/>
      <sheetName val="July 7th "/>
      <sheetName val="July 8th "/>
      <sheetName val="July 9th  "/>
      <sheetName val="July 10th "/>
      <sheetName val="July 11th  "/>
      <sheetName val="July 14th"/>
      <sheetName val="July 15th"/>
      <sheetName val="July 16th "/>
      <sheetName val="July 17th "/>
      <sheetName val="July 18th"/>
      <sheetName val="July 21st"/>
      <sheetName val="July 22nd"/>
      <sheetName val="July 23rd"/>
      <sheetName val="July 24th"/>
      <sheetName val="July 25th"/>
      <sheetName val="July 28th"/>
      <sheetName val="July 29th 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4">
          <cell r="L44">
            <v>97.964720615192235</v>
          </cell>
        </row>
        <row r="49">
          <cell r="L49">
            <v>8.1578947368421044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Aug 4th "/>
      <sheetName val="Aug 5th "/>
      <sheetName val="Aug 6th "/>
      <sheetName val="Aug 7th "/>
      <sheetName val="Aug 8th "/>
      <sheetName val="Aug 13th"/>
      <sheetName val="Aug 14th"/>
      <sheetName val="Aug 15th-16th"/>
      <sheetName val="Aug 18th"/>
      <sheetName val="Aug 19th"/>
      <sheetName val="Aug 20th"/>
      <sheetName val="Aug 21st"/>
      <sheetName val="Aug 22nd-23rd"/>
      <sheetName val="Aug 25th"/>
      <sheetName val="Aug 26th"/>
      <sheetName val="Aug 27th"/>
      <sheetName val="Aug 28th"/>
      <sheetName val="Aug 29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9">
          <cell r="L29">
            <v>97.1</v>
          </cell>
        </row>
        <row r="34">
          <cell r="L34">
            <v>7.3157894736842106</v>
          </cell>
        </row>
      </sheetData>
      <sheetData sheetId="19"/>
      <sheetData sheetId="20"/>
      <sheetData sheetId="21"/>
      <sheetData sheetId="22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5"/>
      <sheetName val="February_2025"/>
      <sheetName val="March_2025"/>
      <sheetName val="April_2025"/>
      <sheetName val="May_2025"/>
      <sheetName val="June_2025"/>
      <sheetName val="July_2025"/>
      <sheetName val="August_2025"/>
      <sheetName val="September_2025"/>
      <sheetName val="October_2025"/>
      <sheetName val="November_2025"/>
      <sheetName val="December_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E3">
            <v>414</v>
          </cell>
          <cell r="H3">
            <v>403.7</v>
          </cell>
          <cell r="K3">
            <v>410</v>
          </cell>
          <cell r="L3">
            <v>408.5</v>
          </cell>
          <cell r="S3">
            <v>403.2</v>
          </cell>
          <cell r="T3">
            <v>409.19999999999993</v>
          </cell>
          <cell r="U3">
            <v>592.59999999999991</v>
          </cell>
          <cell r="V3">
            <v>401.19999999999993</v>
          </cell>
          <cell r="Z3">
            <v>509.00000000000006</v>
          </cell>
          <cell r="AC3">
            <v>413.5</v>
          </cell>
          <cell r="AM3">
            <v>5.8256772849763934</v>
          </cell>
          <cell r="AP3">
            <v>6.2355368379164196</v>
          </cell>
        </row>
        <row r="4">
          <cell r="AM4">
            <v>7.1293852901923529</v>
          </cell>
          <cell r="AP4">
            <v>5.6513680702551383</v>
          </cell>
        </row>
        <row r="5">
          <cell r="AM5">
            <v>10.832824351782785</v>
          </cell>
          <cell r="AP5">
            <v>12.740878252198055</v>
          </cell>
        </row>
        <row r="6">
          <cell r="AM6">
            <v>2.091599363557624</v>
          </cell>
          <cell r="AP6">
            <v>4.4772094679692334</v>
          </cell>
        </row>
        <row r="7">
          <cell r="E7">
            <v>395.5</v>
          </cell>
          <cell r="H7">
            <v>388.7</v>
          </cell>
          <cell r="K7">
            <v>386.7</v>
          </cell>
          <cell r="L7">
            <v>388.3</v>
          </cell>
          <cell r="S7">
            <v>366.8</v>
          </cell>
          <cell r="T7">
            <v>368</v>
          </cell>
          <cell r="U7">
            <v>572.79999999999995</v>
          </cell>
          <cell r="V7">
            <v>379.8</v>
          </cell>
          <cell r="Z7">
            <v>481.59999999999997</v>
          </cell>
          <cell r="AC7">
            <v>394.5</v>
          </cell>
          <cell r="AM7" t="e">
            <v>#DIV/0!</v>
          </cell>
          <cell r="AP7">
            <v>5.3377569154690221</v>
          </cell>
        </row>
        <row r="8">
          <cell r="AM8">
            <v>8.9142309098707884</v>
          </cell>
          <cell r="AP8">
            <v>8.6614709463340702</v>
          </cell>
        </row>
        <row r="9">
          <cell r="AM9">
            <v>4.3098656267706001</v>
          </cell>
          <cell r="AP9">
            <v>4.4758841279290129</v>
          </cell>
        </row>
        <row r="10">
          <cell r="AM10" t="e">
            <v>#DIV/0!</v>
          </cell>
          <cell r="AP10">
            <v>9.7934336121043764</v>
          </cell>
        </row>
        <row r="11">
          <cell r="E11">
            <v>5.3257323214412473</v>
          </cell>
          <cell r="H11">
            <v>4.9721964164270176</v>
          </cell>
          <cell r="K11">
            <v>6.9875568080335082</v>
          </cell>
          <cell r="L11">
            <v>6.0277285072199298</v>
          </cell>
          <cell r="S11">
            <v>11.358531269460007</v>
          </cell>
          <cell r="T11">
            <v>10.87400218428901</v>
          </cell>
          <cell r="U11">
            <v>2.9495599700465416</v>
          </cell>
          <cell r="AC11">
            <v>3.1163761389167903</v>
          </cell>
          <cell r="AM11" t="e">
            <v>#DIV/0!</v>
          </cell>
          <cell r="AP11">
            <v>8.1715311054411259</v>
          </cell>
        </row>
        <row r="12">
          <cell r="AM12">
            <v>6.3090473359198125</v>
          </cell>
          <cell r="AP12">
            <v>6.5635929475357306</v>
          </cell>
        </row>
        <row r="13">
          <cell r="D13">
            <v>500</v>
          </cell>
          <cell r="S13">
            <v>212.79999999999998</v>
          </cell>
          <cell r="T13">
            <v>399.59999999999997</v>
          </cell>
          <cell r="V13">
            <v>446.69999999999993</v>
          </cell>
          <cell r="Y13">
            <v>219.8</v>
          </cell>
        </row>
        <row r="17">
          <cell r="D17">
            <v>461.50000000000006</v>
          </cell>
          <cell r="S17">
            <v>211.6</v>
          </cell>
          <cell r="T17">
            <v>379.9</v>
          </cell>
          <cell r="V17">
            <v>433.29999999999995</v>
          </cell>
          <cell r="Y17">
            <v>178</v>
          </cell>
        </row>
        <row r="21">
          <cell r="D21">
            <v>9.1791666666666636</v>
          </cell>
          <cell r="S21">
            <v>2.0550587202022386</v>
          </cell>
          <cell r="T21">
            <v>6.0716841741661689</v>
          </cell>
          <cell r="Y21">
            <v>18.88761236468703</v>
          </cell>
        </row>
        <row r="23">
          <cell r="M23">
            <v>205.7</v>
          </cell>
          <cell r="Z23">
            <v>206.2</v>
          </cell>
        </row>
        <row r="28">
          <cell r="M28">
            <v>190.6</v>
          </cell>
          <cell r="Z28">
            <v>188</v>
          </cell>
        </row>
        <row r="32">
          <cell r="M32">
            <v>10.488362730767431</v>
          </cell>
        </row>
        <row r="34">
          <cell r="AB34">
            <v>406.6</v>
          </cell>
        </row>
        <row r="39">
          <cell r="AB39">
            <v>386</v>
          </cell>
        </row>
        <row r="43">
          <cell r="AB43">
            <v>8.9142309098707884</v>
          </cell>
        </row>
        <row r="55">
          <cell r="F55">
            <v>416.29999999999995</v>
          </cell>
        </row>
        <row r="59">
          <cell r="F59">
            <v>402.3</v>
          </cell>
        </row>
        <row r="63">
          <cell r="F63">
            <v>4.3098656267706001</v>
          </cell>
        </row>
        <row r="65">
          <cell r="N65">
            <v>187.5</v>
          </cell>
          <cell r="O65">
            <v>189.7</v>
          </cell>
        </row>
        <row r="70">
          <cell r="N70">
            <v>188</v>
          </cell>
          <cell r="O70">
            <v>194.7</v>
          </cell>
        </row>
        <row r="74">
          <cell r="N74">
            <v>2.8690627805348297</v>
          </cell>
          <cell r="O74">
            <v>1.3216048242656369</v>
          </cell>
        </row>
      </sheetData>
      <sheetData sheetId="9"/>
      <sheetData sheetId="10"/>
      <sheetData sheetId="1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5"/>
      <sheetName val="February_2025"/>
      <sheetName val="March_2025"/>
      <sheetName val="April_2025"/>
      <sheetName val="May_2025"/>
      <sheetName val="June_2025"/>
      <sheetName val="July_2025"/>
      <sheetName val="August_2025"/>
      <sheetName val="August_2018 (2)"/>
      <sheetName val="September_2025"/>
      <sheetName val="October_2025"/>
      <sheetName val="November_2025"/>
      <sheetName val="December_20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3">
          <cell r="AM13">
            <v>0.7211777777777777</v>
          </cell>
          <cell r="AP13">
            <v>0.76862909709990124</v>
          </cell>
        </row>
        <row r="14">
          <cell r="AM14">
            <v>0.48873918128654975</v>
          </cell>
          <cell r="AP14">
            <v>0.71648808642913986</v>
          </cell>
        </row>
        <row r="15">
          <cell r="AM15">
            <v>0.49929824561403513</v>
          </cell>
          <cell r="AP15">
            <v>0.53494558457711439</v>
          </cell>
        </row>
        <row r="16">
          <cell r="AM16">
            <v>0.67140350877192978</v>
          </cell>
          <cell r="AP16">
            <v>0.80025950292397652</v>
          </cell>
        </row>
        <row r="17">
          <cell r="AM17" t="e">
            <v>#DIV/0!</v>
          </cell>
          <cell r="AP17">
            <v>0.32596491228070179</v>
          </cell>
        </row>
        <row r="18">
          <cell r="E18">
            <v>0.69385964912280707</v>
          </cell>
          <cell r="H18">
            <v>1.363859649122807</v>
          </cell>
          <cell r="K18">
            <v>0.27136842105263159</v>
          </cell>
          <cell r="L18">
            <v>0.68122807017543863</v>
          </cell>
          <cell r="S18">
            <v>1.2870175438596492</v>
          </cell>
          <cell r="T18">
            <v>0.32280701754385965</v>
          </cell>
          <cell r="U18">
            <v>0.66994152046783617</v>
          </cell>
          <cell r="V18">
            <v>0.66631578947368419</v>
          </cell>
          <cell r="Z18">
            <v>0.56327485380116959</v>
          </cell>
          <cell r="AC18">
            <v>0.69210526315789478</v>
          </cell>
          <cell r="AM18">
            <v>1.3543859649122807</v>
          </cell>
          <cell r="AP18">
            <v>0.73160818713450293</v>
          </cell>
        </row>
        <row r="19">
          <cell r="AM19">
            <v>1.411578947368421</v>
          </cell>
          <cell r="AP19">
            <v>0.85680449208779996</v>
          </cell>
        </row>
        <row r="20">
          <cell r="AM20" t="e">
            <v>#DIV/0!</v>
          </cell>
          <cell r="AP20">
            <v>0.32456140350877194</v>
          </cell>
        </row>
        <row r="21">
          <cell r="AM21">
            <v>0</v>
          </cell>
          <cell r="AP21">
            <v>0.51368421052631585</v>
          </cell>
        </row>
        <row r="22">
          <cell r="AM22">
            <v>0.7029924812030075</v>
          </cell>
          <cell r="AP22">
            <v>0.7314042642642643</v>
          </cell>
        </row>
        <row r="25">
          <cell r="D25">
            <v>0.80964912280701762</v>
          </cell>
          <cell r="S25">
            <v>0.14849122807017545</v>
          </cell>
          <cell r="T25">
            <v>0.66649122807017536</v>
          </cell>
          <cell r="V25">
            <v>0.50678362573099411</v>
          </cell>
          <cell r="Y25">
            <v>0.31228070175438599</v>
          </cell>
        </row>
        <row r="32">
          <cell r="M32">
            <v>0.66877192982456135</v>
          </cell>
          <cell r="Z32">
            <v>0.3298245614035088</v>
          </cell>
        </row>
        <row r="39">
          <cell r="AB39">
            <v>1.3543859649122807</v>
          </cell>
        </row>
        <row r="53">
          <cell r="F53">
            <v>1.411578947368421</v>
          </cell>
        </row>
        <row r="60">
          <cell r="N60">
            <v>0.6596491228070176</v>
          </cell>
          <cell r="O60">
            <v>0.68315789473684208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G"/>
      <sheetName val="GUINNESS"/>
      <sheetName val="CARIB"/>
      <sheetName val="VITAMALT"/>
      <sheetName val="STARMALT"/>
      <sheetName val="MACKESON"/>
      <sheetName val="HR Pilsener"/>
      <sheetName val="IPA"/>
      <sheetName val="APA"/>
      <sheetName val="CARIBE"/>
      <sheetName val="YTD 2025"/>
      <sheetName val="MTD"/>
    </sheetNames>
    <sheetDataSet>
      <sheetData sheetId="0"/>
      <sheetData sheetId="1">
        <row r="23">
          <cell r="S23">
            <v>4.0999999999999996</v>
          </cell>
        </row>
      </sheetData>
      <sheetData sheetId="2"/>
      <sheetData sheetId="3">
        <row r="6">
          <cell r="J6">
            <v>4.0999999999999996</v>
          </cell>
        </row>
        <row r="8">
          <cell r="J8">
            <v>4.0999999999999996</v>
          </cell>
        </row>
        <row r="10">
          <cell r="J10">
            <v>4.0999999999999996</v>
          </cell>
        </row>
        <row r="12">
          <cell r="J12">
            <v>4.0999999999999996</v>
          </cell>
        </row>
      </sheetData>
      <sheetData sheetId="4"/>
      <sheetData sheetId="5">
        <row r="7">
          <cell r="L7">
            <v>100</v>
          </cell>
          <cell r="S7">
            <v>1.9</v>
          </cell>
        </row>
        <row r="9">
          <cell r="L9">
            <v>100</v>
          </cell>
          <cell r="S9">
            <v>1.9</v>
          </cell>
        </row>
        <row r="11">
          <cell r="L11">
            <v>100</v>
          </cell>
          <cell r="S11">
            <v>1.9</v>
          </cell>
        </row>
        <row r="13">
          <cell r="L13">
            <v>99.2</v>
          </cell>
          <cell r="S13">
            <v>1.9</v>
          </cell>
        </row>
      </sheetData>
      <sheetData sheetId="6"/>
      <sheetData sheetId="7"/>
      <sheetData sheetId="8"/>
      <sheetData sheetId="9"/>
      <sheetData sheetId="10">
        <row r="5">
          <cell r="E5">
            <v>6.1073636484047737</v>
          </cell>
        </row>
        <row r="6">
          <cell r="E6">
            <v>5.8995777655907986</v>
          </cell>
        </row>
        <row r="7">
          <cell r="E7">
            <v>11.13392127699686</v>
          </cell>
        </row>
        <row r="8">
          <cell r="E8">
            <v>4.6585935612061213</v>
          </cell>
        </row>
        <row r="9">
          <cell r="E9">
            <v>7.837301587301579</v>
          </cell>
        </row>
        <row r="10">
          <cell r="E10">
            <v>6.8851328044153277</v>
          </cell>
        </row>
        <row r="11">
          <cell r="E11">
            <v>3.0685920577617201</v>
          </cell>
        </row>
        <row r="12">
          <cell r="E12">
            <v>11.483253588516746</v>
          </cell>
        </row>
        <row r="13">
          <cell r="E13">
            <v>7.2653644592663174</v>
          </cell>
        </row>
        <row r="14">
          <cell r="E14">
            <v>6.2005513388884896</v>
          </cell>
        </row>
      </sheetData>
      <sheetData sheetId="11">
        <row r="5">
          <cell r="E5">
            <v>5.5747692448638091</v>
          </cell>
        </row>
        <row r="6">
          <cell r="E6">
            <v>6.4421833717466042</v>
          </cell>
        </row>
        <row r="7">
          <cell r="E7">
            <v>10.092614580859641</v>
          </cell>
        </row>
        <row r="8">
          <cell r="E8">
            <v>2.7693089430894253</v>
          </cell>
        </row>
        <row r="9">
          <cell r="E9" t="e">
            <v>#DIV/0!</v>
          </cell>
        </row>
        <row r="10">
          <cell r="E10">
            <v>6.8083051665862007</v>
          </cell>
        </row>
        <row r="11">
          <cell r="E11">
            <v>3.3629594042757489</v>
          </cell>
        </row>
        <row r="12">
          <cell r="E12" t="e">
            <v>#DIV/0!</v>
          </cell>
        </row>
        <row r="13">
          <cell r="E13" t="e">
            <v>#DIV/0!</v>
          </cell>
        </row>
        <row r="14">
          <cell r="E14">
            <v>5.8227003157813586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anuary'18"/>
      <sheetName val="Summary December'17"/>
      <sheetName val="Summary November'17"/>
      <sheetName val="Summary October'17"/>
      <sheetName val="Summary September'17"/>
      <sheetName val="Summary August'17"/>
      <sheetName val="Summary July'17 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%EFF."/>
      <sheetName val="Sheet1"/>
    </sheetNames>
    <sheetDataSet>
      <sheetData sheetId="0"/>
      <sheetData sheetId="1"/>
      <sheetData sheetId="2"/>
      <sheetData sheetId="3"/>
      <sheetData sheetId="4">
        <row r="7681">
          <cell r="A7681" t="str">
            <v>CA044</v>
          </cell>
        </row>
      </sheetData>
      <sheetData sheetId="5">
        <row r="5311">
          <cell r="AS5311">
            <v>85.152851511661666</v>
          </cell>
        </row>
        <row r="5347">
          <cell r="AS5347">
            <v>96.242731384136675</v>
          </cell>
        </row>
        <row r="5348">
          <cell r="AS5348">
            <v>96.696346841973863</v>
          </cell>
        </row>
        <row r="5349">
          <cell r="AS5349">
            <v>95.126289890925335</v>
          </cell>
        </row>
        <row r="5350">
          <cell r="AS5350">
            <v>99.660489230254768</v>
          </cell>
        </row>
        <row r="5351">
          <cell r="AS5351">
            <v>98.281898080887714</v>
          </cell>
        </row>
        <row r="5352">
          <cell r="AS5352">
            <v>96.026108173442964</v>
          </cell>
        </row>
        <row r="5353">
          <cell r="AS5353">
            <v>96.743154793507031</v>
          </cell>
        </row>
        <row r="5354">
          <cell r="AS5354">
            <v>97.324543944910317</v>
          </cell>
        </row>
        <row r="5355">
          <cell r="AS5355">
            <v>94.904027111234612</v>
          </cell>
        </row>
        <row r="5356">
          <cell r="AS5356">
            <v>95.53313194763814</v>
          </cell>
        </row>
        <row r="5357">
          <cell r="AS5357">
            <v>95.421463455983542</v>
          </cell>
        </row>
        <row r="5358">
          <cell r="AS5358">
            <v>97.128454670344638</v>
          </cell>
        </row>
        <row r="5359">
          <cell r="A5359" t="str">
            <v>CA236</v>
          </cell>
          <cell r="B5359">
            <v>41437</v>
          </cell>
          <cell r="I5359">
            <v>19.79</v>
          </cell>
          <cell r="N5359">
            <v>60</v>
          </cell>
          <cell r="R5359">
            <v>0.51041666666666663</v>
          </cell>
          <cell r="S5359">
            <v>0.61736111111111114</v>
          </cell>
          <cell r="T5359">
            <v>60</v>
          </cell>
          <cell r="AG5359">
            <v>49.011000000000003</v>
          </cell>
          <cell r="AS5359">
            <v>94.981545664755075</v>
          </cell>
          <cell r="AT5359">
            <v>97.074072469002047</v>
          </cell>
        </row>
        <row r="5360">
          <cell r="A5360" t="str">
            <v>CA237</v>
          </cell>
          <cell r="B5360">
            <v>41437</v>
          </cell>
          <cell r="I5360">
            <v>17.7</v>
          </cell>
          <cell r="N5360">
            <v>60</v>
          </cell>
          <cell r="R5360">
            <v>0.58680555555555558</v>
          </cell>
          <cell r="S5360">
            <v>0.69652777777777775</v>
          </cell>
          <cell r="T5360">
            <v>68</v>
          </cell>
          <cell r="AG5360">
            <v>48.531999999999996</v>
          </cell>
          <cell r="AS5360">
            <v>94.053260986347809</v>
          </cell>
          <cell r="AT5360">
            <v>96.1253368644918</v>
          </cell>
        </row>
        <row r="5361">
          <cell r="A5361" t="str">
            <v>CA238</v>
          </cell>
          <cell r="B5361">
            <v>41437</v>
          </cell>
          <cell r="I5361">
            <v>19.7</v>
          </cell>
          <cell r="N5361">
            <v>60</v>
          </cell>
          <cell r="R5361">
            <v>0.65972222222222221</v>
          </cell>
          <cell r="S5361">
            <v>0.76180555555555562</v>
          </cell>
          <cell r="T5361">
            <v>61</v>
          </cell>
          <cell r="AG5361">
            <v>50.466999999999999</v>
          </cell>
          <cell r="AS5361">
            <v>96.931393272913695</v>
          </cell>
          <cell r="AT5361">
            <v>99.066876931102286</v>
          </cell>
        </row>
        <row r="5362">
          <cell r="A5362" t="str">
            <v>CA239</v>
          </cell>
          <cell r="B5362">
            <v>41437</v>
          </cell>
          <cell r="I5362">
            <v>19</v>
          </cell>
          <cell r="N5362">
            <v>60</v>
          </cell>
          <cell r="R5362">
            <v>0.73263888888888884</v>
          </cell>
          <cell r="S5362">
            <v>0.83680555555555547</v>
          </cell>
          <cell r="T5362">
            <v>62</v>
          </cell>
          <cell r="AG5362">
            <v>49.374000000000002</v>
          </cell>
          <cell r="AS5362">
            <v>95.68502653795305</v>
          </cell>
          <cell r="AT5362">
            <v>97.793051643192499</v>
          </cell>
        </row>
      </sheetData>
      <sheetData sheetId="6">
        <row r="7086">
          <cell r="AD7086">
            <v>49.378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May '18 "/>
      <sheetName val="Summary April '18"/>
      <sheetName val="Summary March '18"/>
      <sheetName val="Summary February '18"/>
      <sheetName val="Summary January '18"/>
      <sheetName val="Summary December '17"/>
      <sheetName val="Summary November '17"/>
      <sheetName val="Summary October '17"/>
      <sheetName val="Summary September '17"/>
      <sheetName val="Summary August '17"/>
      <sheetName val="Summary July '17 "/>
      <sheetName val="Summary June '17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Summary May '14"/>
      <sheetName val="Summary Apr '14"/>
      <sheetName val="ProcessMaterials"/>
      <sheetName val="PackMaterials"/>
      <sheetName val="%EFF."/>
    </sheetNames>
    <sheetDataSet>
      <sheetData sheetId="0"/>
      <sheetData sheetId="1"/>
      <sheetData sheetId="2"/>
      <sheetData sheetId="3">
        <row r="2408">
          <cell r="A2408" t="str">
            <v>ST051</v>
          </cell>
        </row>
      </sheetData>
      <sheetData sheetId="4">
        <row r="620">
          <cell r="AQ620">
            <v>94.769044771084623</v>
          </cell>
        </row>
        <row r="641">
          <cell r="AQ641">
            <v>93.076170468981061</v>
          </cell>
        </row>
        <row r="642">
          <cell r="AQ642">
            <v>95.149436694787028</v>
          </cell>
        </row>
        <row r="643">
          <cell r="AQ643">
            <v>95.833974927594824</v>
          </cell>
        </row>
        <row r="644">
          <cell r="AQ644">
            <v>93.377483332023004</v>
          </cell>
        </row>
      </sheetData>
      <sheetData sheetId="5">
        <row r="1851">
          <cell r="Z1851">
            <v>49.381999999999998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VitaMalt - Operator Performance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December '19"/>
      <sheetName val="Summary November '19 "/>
      <sheetName val="Summary October '19  "/>
      <sheetName val="Summary September '19  "/>
      <sheetName val="Summary August '19 "/>
      <sheetName val="Summary July '19 "/>
      <sheetName val="Summary June '19  "/>
      <sheetName val="Summary May '19 "/>
      <sheetName val="Summary April '19 "/>
      <sheetName val="Summary March '19"/>
      <sheetName val="Summary February '19"/>
      <sheetName val="Summary January '19"/>
      <sheetName val="Summary December'18 "/>
      <sheetName val="Summary November'18 "/>
      <sheetName val="Summary October'18"/>
      <sheetName val="Summary September'18 "/>
      <sheetName val="Summary August'18   "/>
      <sheetName val="Summary July'18  "/>
      <sheetName val="Summary June'18 "/>
      <sheetName val="Summary May'18"/>
      <sheetName val="Summary April'18"/>
      <sheetName val="Summary March'18"/>
      <sheetName val="Summary February'18"/>
      <sheetName val="Summary December '17"/>
      <sheetName val="Summary November '17"/>
      <sheetName val="Summary October '17 "/>
      <sheetName val="Summary September '17"/>
      <sheetName val="Summary August '17"/>
      <sheetName val="Summary July '17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 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PackMaterials"/>
      <sheetName val="ProcessMaterials"/>
      <sheetName val="Sheet1"/>
      <sheetName val="Summary May '14"/>
      <sheetName val="Summary July '14)"/>
      <sheetName val="Summary Feb '14"/>
      <sheetName val="Summary Mar '14"/>
      <sheetName val="Summary Apr '14"/>
      <sheetName val="Summary Jan '14"/>
      <sheetName val="Summary Dec '13"/>
      <sheetName val="Summary Nov '1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>
        <row r="154">
          <cell r="AH154">
            <v>15.308000000000002</v>
          </cell>
        </row>
        <row r="708">
          <cell r="AU708">
            <v>93.632484874867401</v>
          </cell>
        </row>
        <row r="709">
          <cell r="AU709">
            <v>94.048293616380349</v>
          </cell>
        </row>
        <row r="710">
          <cell r="AU710">
            <v>96.982003109046275</v>
          </cell>
        </row>
        <row r="711">
          <cell r="AU711">
            <v>95.536254931189035</v>
          </cell>
        </row>
      </sheetData>
      <sheetData sheetId="8">
        <row r="917">
          <cell r="D917">
            <v>14.3</v>
          </cell>
        </row>
      </sheetData>
      <sheetData sheetId="9">
        <row r="769">
          <cell r="I769">
            <v>183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Materials"/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uly '17"/>
      <sheetName val="Summary May '17"/>
      <sheetName val="Summary January '17"/>
      <sheetName val="Summary December '16"/>
      <sheetName val="Summary November '16"/>
      <sheetName val="Summary October '16"/>
      <sheetName val="Summary August '16"/>
      <sheetName val="Summary May '16"/>
      <sheetName val="Summary March '16"/>
      <sheetName val="Summary February '16"/>
      <sheetName val="Summary Jaunary '16"/>
      <sheetName val="Summary November '15"/>
      <sheetName val="Summary August'15"/>
      <sheetName val="Summary June'15"/>
      <sheetName val="Summary May'15"/>
      <sheetName val="Summary April'15"/>
      <sheetName val="Summary March'15"/>
      <sheetName val="Summary February'15"/>
      <sheetName val="Summary Janaury'15"/>
      <sheetName val="Summary December'14"/>
      <sheetName val="Summary November'14"/>
      <sheetName val="Summary September'14"/>
      <sheetName val="Summary August'14"/>
      <sheetName val="Summary July'14"/>
      <sheetName val="Sheet1"/>
      <sheetName val="Summary Feb'14"/>
      <sheetName val="Summary Mar'14"/>
      <sheetName val="Summary Apr'14"/>
      <sheetName val="Summary Sept '12"/>
      <sheetName val="Summary Oct '12"/>
      <sheetName val="Summary Nov '12"/>
      <sheetName val="Summary Dec '12"/>
      <sheetName val="Summary May'14"/>
      <sheetName val="Summary Jan'14"/>
      <sheetName val="NewMMaltLog"/>
      <sheetName val="Summary Dec'13"/>
      <sheetName val="Summary Oct'13"/>
      <sheetName val="Summary Aug '13"/>
      <sheetName val="Summary Sept'13"/>
    </sheetNames>
    <sheetDataSet>
      <sheetData sheetId="0"/>
      <sheetData sheetId="1"/>
      <sheetData sheetId="2"/>
      <sheetData sheetId="3"/>
      <sheetData sheetId="4"/>
      <sheetData sheetId="5"/>
      <sheetData sheetId="6">
        <row r="938">
          <cell r="AY938">
            <v>97.175540388161437</v>
          </cell>
        </row>
        <row r="943">
          <cell r="AY943">
            <v>96.228364837670995</v>
          </cell>
        </row>
        <row r="944">
          <cell r="AY944">
            <v>96.553980410505062</v>
          </cell>
        </row>
        <row r="945">
          <cell r="AY945">
            <v>93.079827038319294</v>
          </cell>
        </row>
        <row r="946">
          <cell r="AY946">
            <v>95.367156437373168</v>
          </cell>
        </row>
      </sheetData>
      <sheetData sheetId="7">
        <row r="1029">
          <cell r="D1029">
            <v>17.3</v>
          </cell>
        </row>
      </sheetData>
      <sheetData sheetId="8">
        <row r="1001">
          <cell r="I1001">
            <v>100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. 3rd "/>
      <sheetName val="Jan. 4th"/>
      <sheetName val="Jan. 5th"/>
      <sheetName val="Jan. 6th"/>
      <sheetName val="Jan. 7th"/>
      <sheetName val="Jan. 8th "/>
      <sheetName val="Jan. 9th"/>
      <sheetName val="Jan. 10th"/>
      <sheetName val="Jan. 11th"/>
      <sheetName val="Jan. 12nd"/>
      <sheetName val="Jan. 13th"/>
      <sheetName val="Jan. 14th"/>
      <sheetName val="Jan. 17th"/>
      <sheetName val="Jan. 18th"/>
      <sheetName val="Jan. 19th "/>
      <sheetName val="Jan. 20th "/>
      <sheetName val="Jan. 21st "/>
      <sheetName val="Jan. 22nd "/>
      <sheetName val="Jan. 23rd"/>
      <sheetName val="Jan. 24th"/>
      <sheetName val="Jan. 25th "/>
      <sheetName val="Jan. 26th "/>
      <sheetName val="Jan. 27th"/>
      <sheetName val="Jan. 28th"/>
      <sheetName val="Jan. 29th"/>
      <sheetName val="Jan.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6">
          <cell r="M26"/>
        </row>
      </sheetData>
      <sheetData sheetId="26"/>
      <sheetData sheetId="27"/>
      <sheetData sheetId="28"/>
      <sheetData sheetId="29">
        <row r="40">
          <cell r="D40">
            <v>96.507822129582451</v>
          </cell>
        </row>
        <row r="41">
          <cell r="D41">
            <v>97.99738587335284</v>
          </cell>
        </row>
        <row r="43">
          <cell r="D43">
            <v>98.304611060419475</v>
          </cell>
        </row>
        <row r="44">
          <cell r="D44">
            <v>98.673584433402866</v>
          </cell>
        </row>
        <row r="45">
          <cell r="D45">
            <v>97.870850874189415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b. 1"/>
      <sheetName val="Feb. 2"/>
      <sheetName val="Feb.3"/>
      <sheetName val="Feb.4"/>
      <sheetName val="Feb.5"/>
      <sheetName val="Feb.6"/>
      <sheetName val="Feb.8"/>
      <sheetName val="Feb.9"/>
      <sheetName val="Feb10"/>
      <sheetName val="Feb11"/>
      <sheetName val="Feb14"/>
      <sheetName val="Feb16"/>
      <sheetName val="Feb17"/>
      <sheetName val="Feb18"/>
      <sheetName val="Feb19"/>
      <sheetName val="Feb 20"/>
      <sheetName val="Feb 21"/>
      <sheetName val="Feb 22"/>
      <sheetName val="Feb 23"/>
      <sheetName val="Feb 24"/>
      <sheetName val="Feb 25"/>
      <sheetName val="Feb 28"/>
      <sheetName val="MTD_Links"/>
      <sheetName val="YTD_Links"/>
      <sheetName val="KPIs"/>
      <sheetName val="Brewer Performance"/>
    </sheetNames>
    <sheetDataSet>
      <sheetData sheetId="0">
        <row r="10">
          <cell r="I10">
            <v>98.123184148666738</v>
          </cell>
        </row>
        <row r="11">
          <cell r="I11">
            <v>98.683467559299089</v>
          </cell>
        </row>
        <row r="12">
          <cell r="I12">
            <v>98.314511323292791</v>
          </cell>
        </row>
        <row r="13">
          <cell r="I13">
            <v>97.922547536667238</v>
          </cell>
        </row>
      </sheetData>
      <sheetData sheetId="1">
        <row r="10">
          <cell r="I10">
            <v>96.654039768784585</v>
          </cell>
        </row>
        <row r="11">
          <cell r="I11">
            <v>97.626897597506286</v>
          </cell>
        </row>
        <row r="12">
          <cell r="I12">
            <v>96.897954070494137</v>
          </cell>
        </row>
        <row r="13">
          <cell r="I13">
            <v>97.197790342769324</v>
          </cell>
        </row>
        <row r="14">
          <cell r="I14">
            <v>126.64369016344237</v>
          </cell>
        </row>
        <row r="15">
          <cell r="I15">
            <v>96.838505772060998</v>
          </cell>
        </row>
      </sheetData>
      <sheetData sheetId="2">
        <row r="10">
          <cell r="I10">
            <v>93.401228986840337</v>
          </cell>
        </row>
        <row r="11">
          <cell r="I11">
            <v>98.002281531234885</v>
          </cell>
        </row>
        <row r="12">
          <cell r="I12">
            <v>98.835486091836955</v>
          </cell>
        </row>
        <row r="13">
          <cell r="I13">
            <v>98.759890407896819</v>
          </cell>
        </row>
      </sheetData>
      <sheetData sheetId="3">
        <row r="10">
          <cell r="I10">
            <v>99.702074763387657</v>
          </cell>
        </row>
        <row r="11">
          <cell r="I11">
            <v>100.90814824842866</v>
          </cell>
        </row>
        <row r="12">
          <cell r="I12">
            <v>99.144516581875834</v>
          </cell>
        </row>
        <row r="13">
          <cell r="I13">
            <v>98.812178600360937</v>
          </cell>
        </row>
        <row r="16">
          <cell r="I16">
            <v>93.753343561859964</v>
          </cell>
        </row>
        <row r="17">
          <cell r="I17">
            <v>97.360391272612617</v>
          </cell>
        </row>
      </sheetData>
      <sheetData sheetId="4"/>
      <sheetData sheetId="5"/>
      <sheetData sheetId="6">
        <row r="10">
          <cell r="I10">
            <v>94.68833319503716</v>
          </cell>
        </row>
        <row r="13">
          <cell r="I13">
            <v>98.850612416982429</v>
          </cell>
        </row>
        <row r="14">
          <cell r="I14">
            <v>98.168169114883824</v>
          </cell>
        </row>
        <row r="15">
          <cell r="I15">
            <v>98.688171350132521</v>
          </cell>
        </row>
        <row r="16">
          <cell r="I16">
            <v>100.71464055677211</v>
          </cell>
        </row>
        <row r="19">
          <cell r="I19">
            <v>96.029058348682</v>
          </cell>
        </row>
        <row r="20">
          <cell r="I20">
            <v>98.795135429785148</v>
          </cell>
        </row>
        <row r="21">
          <cell r="I21">
            <v>98.899033336355927</v>
          </cell>
        </row>
      </sheetData>
      <sheetData sheetId="7">
        <row r="10">
          <cell r="I10">
            <v>99.276637163611909</v>
          </cell>
        </row>
        <row r="11">
          <cell r="I11">
            <v>97.944376518529467</v>
          </cell>
        </row>
        <row r="12">
          <cell r="I12">
            <v>99.66217750211139</v>
          </cell>
        </row>
        <row r="13">
          <cell r="I13">
            <v>97.944376518529467</v>
          </cell>
        </row>
        <row r="14">
          <cell r="I14">
            <v>98.891096825112442</v>
          </cell>
        </row>
        <row r="17">
          <cell r="I17">
            <v>96.699606498403327</v>
          </cell>
        </row>
        <row r="18">
          <cell r="I18">
            <v>98.974669332616003</v>
          </cell>
        </row>
        <row r="19">
          <cell r="I19">
            <v>98.813320450261855</v>
          </cell>
        </row>
        <row r="20">
          <cell r="I20">
            <v>98.773909354253703</v>
          </cell>
        </row>
      </sheetData>
      <sheetData sheetId="8">
        <row r="10">
          <cell r="I10">
            <v>96.114465070299261</v>
          </cell>
        </row>
        <row r="11">
          <cell r="I11">
            <v>98.703671213689944</v>
          </cell>
        </row>
        <row r="12">
          <cell r="I12">
            <v>100.02066383926034</v>
          </cell>
        </row>
        <row r="13">
          <cell r="I13">
            <v>98.477044369894685</v>
          </cell>
        </row>
        <row r="14">
          <cell r="I14">
            <v>98.898737757590524</v>
          </cell>
        </row>
        <row r="15">
          <cell r="I15">
            <v>98.824177713880189</v>
          </cell>
        </row>
        <row r="16">
          <cell r="I16">
            <v>98.590372337038914</v>
          </cell>
        </row>
        <row r="17">
          <cell r="I17">
            <v>98.637973628130041</v>
          </cell>
        </row>
        <row r="18">
          <cell r="I18">
            <v>98.892528564617351</v>
          </cell>
        </row>
      </sheetData>
      <sheetData sheetId="9">
        <row r="10">
          <cell r="I10">
            <v>95.033114450535422</v>
          </cell>
        </row>
        <row r="11">
          <cell r="I11">
            <v>95.97632563766723</v>
          </cell>
        </row>
        <row r="12">
          <cell r="I12">
            <v>95.15577872519269</v>
          </cell>
        </row>
        <row r="13">
          <cell r="I13">
            <v>94.716849623972706</v>
          </cell>
        </row>
      </sheetData>
      <sheetData sheetId="10">
        <row r="10">
          <cell r="I10">
            <v>93.262012146617025</v>
          </cell>
        </row>
        <row r="11">
          <cell r="I11">
            <v>96.51966443717626</v>
          </cell>
        </row>
        <row r="12">
          <cell r="I12">
            <v>96.420162775074274</v>
          </cell>
        </row>
        <row r="13">
          <cell r="I13">
            <v>94.850777050345258</v>
          </cell>
        </row>
        <row r="14">
          <cell r="I14">
            <v>93.11184471354899</v>
          </cell>
        </row>
        <row r="15">
          <cell r="I15">
            <v>95.233332316878489</v>
          </cell>
        </row>
        <row r="16">
          <cell r="I16">
            <v>96.557005255666269</v>
          </cell>
        </row>
        <row r="17">
          <cell r="I17">
            <v>90.296683351916798</v>
          </cell>
        </row>
      </sheetData>
      <sheetData sheetId="11"/>
      <sheetData sheetId="12">
        <row r="10">
          <cell r="I10">
            <v>96.248353016017901</v>
          </cell>
        </row>
        <row r="11">
          <cell r="I11">
            <v>97.064511461322596</v>
          </cell>
        </row>
        <row r="12">
          <cell r="I12">
            <v>97.960588310011829</v>
          </cell>
        </row>
        <row r="13">
          <cell r="I13">
            <v>101.64563062243221</v>
          </cell>
        </row>
        <row r="16">
          <cell r="I16">
            <v>97.148656534767667</v>
          </cell>
        </row>
        <row r="17">
          <cell r="I17">
            <v>101.13282706862702</v>
          </cell>
        </row>
        <row r="18">
          <cell r="I18">
            <v>98.859340325604236</v>
          </cell>
        </row>
        <row r="19">
          <cell r="I19">
            <v>97.671892686767549</v>
          </cell>
        </row>
        <row r="20">
          <cell r="I20">
            <v>97.795650965100123</v>
          </cell>
        </row>
        <row r="21">
          <cell r="I21">
            <v>97.549177275509706</v>
          </cell>
        </row>
      </sheetData>
      <sheetData sheetId="13">
        <row r="10">
          <cell r="I10">
            <v>90.812413514896079</v>
          </cell>
        </row>
        <row r="11">
          <cell r="I11">
            <v>94.886065993628819</v>
          </cell>
        </row>
        <row r="12">
          <cell r="I12">
            <v>94.665038526850267</v>
          </cell>
        </row>
        <row r="13">
          <cell r="I13">
            <v>95.386395261799493</v>
          </cell>
        </row>
        <row r="14">
          <cell r="I14">
            <v>95.746555809018503</v>
          </cell>
        </row>
        <row r="15">
          <cell r="I15">
            <v>96.458811263569714</v>
          </cell>
        </row>
      </sheetData>
      <sheetData sheetId="14"/>
      <sheetData sheetId="15"/>
      <sheetData sheetId="16">
        <row r="10">
          <cell r="I10">
            <v>92.244154059965609</v>
          </cell>
        </row>
        <row r="11">
          <cell r="I11">
            <v>94.954580288699233</v>
          </cell>
        </row>
        <row r="12">
          <cell r="I12">
            <v>94.753648792324014</v>
          </cell>
        </row>
        <row r="13">
          <cell r="I13">
            <v>95.469672057516448</v>
          </cell>
        </row>
        <row r="16">
          <cell r="I16">
            <v>95.037629150459026</v>
          </cell>
        </row>
        <row r="17">
          <cell r="I17">
            <v>98.344635577363221</v>
          </cell>
        </row>
        <row r="18">
          <cell r="I18">
            <v>96.201930897199915</v>
          </cell>
        </row>
        <row r="19">
          <cell r="I19">
            <v>97.455737205534618</v>
          </cell>
        </row>
      </sheetData>
      <sheetData sheetId="17">
        <row r="10">
          <cell r="I10">
            <v>95.737170130083328</v>
          </cell>
        </row>
        <row r="11">
          <cell r="I11">
            <v>97.204145011682172</v>
          </cell>
        </row>
        <row r="12">
          <cell r="I12">
            <v>97.795650965100123</v>
          </cell>
        </row>
        <row r="13">
          <cell r="I13">
            <v>92.179060669436268</v>
          </cell>
        </row>
        <row r="16">
          <cell r="I16">
            <v>100.56180946337685</v>
          </cell>
        </row>
        <row r="17">
          <cell r="I17">
            <v>98.418170009595116</v>
          </cell>
        </row>
        <row r="18">
          <cell r="I18">
            <v>101.75209232957572</v>
          </cell>
        </row>
        <row r="19">
          <cell r="I19">
            <v>101.90982815614709</v>
          </cell>
        </row>
        <row r="20">
          <cell r="I20">
            <v>98.645399167542877</v>
          </cell>
        </row>
        <row r="21">
          <cell r="I21">
            <v>98.019248385454901</v>
          </cell>
        </row>
        <row r="22">
          <cell r="I22">
            <v>97.631897441591931</v>
          </cell>
        </row>
      </sheetData>
      <sheetData sheetId="18">
        <row r="10">
          <cell r="I10">
            <v>96.330365427788195</v>
          </cell>
        </row>
        <row r="11">
          <cell r="I11">
            <v>96.377132884428931</v>
          </cell>
        </row>
        <row r="14">
          <cell r="I14">
            <v>93.488258370937686</v>
          </cell>
        </row>
        <row r="15">
          <cell r="I15">
            <v>100.81408999243216</v>
          </cell>
        </row>
        <row r="16">
          <cell r="I16">
            <v>98.251697811855152</v>
          </cell>
        </row>
        <row r="17">
          <cell r="I17">
            <v>98.260907082704051</v>
          </cell>
        </row>
        <row r="18">
          <cell r="I18">
            <v>97.874813145247458</v>
          </cell>
        </row>
        <row r="19">
          <cell r="I19">
            <v>96.443322942180714</v>
          </cell>
        </row>
        <row r="20">
          <cell r="I20">
            <v>95.376782036144007</v>
          </cell>
        </row>
        <row r="21">
          <cell r="I21">
            <v>97.722861589047369</v>
          </cell>
        </row>
      </sheetData>
      <sheetData sheetId="19">
        <row r="10">
          <cell r="I10">
            <v>97.344774780858927</v>
          </cell>
        </row>
        <row r="11">
          <cell r="I11">
            <v>99.938000539259747</v>
          </cell>
        </row>
        <row r="12">
          <cell r="I12">
            <v>99.148955916989195</v>
          </cell>
        </row>
        <row r="15">
          <cell r="I15">
            <v>92.353930064406839</v>
          </cell>
        </row>
        <row r="16">
          <cell r="I16">
            <v>97.682055444668023</v>
          </cell>
        </row>
        <row r="17">
          <cell r="I17">
            <v>97.162594227257927</v>
          </cell>
        </row>
        <row r="18">
          <cell r="I18">
            <v>97.082444613255419</v>
          </cell>
        </row>
      </sheetData>
      <sheetData sheetId="20">
        <row r="10">
          <cell r="I10">
            <v>97.743444227837671</v>
          </cell>
        </row>
        <row r="11">
          <cell r="I11">
            <v>100.62303370508012</v>
          </cell>
        </row>
        <row r="12">
          <cell r="I12">
            <v>100.32085756447438</v>
          </cell>
        </row>
        <row r="13">
          <cell r="I13">
            <v>102.21334912318227</v>
          </cell>
        </row>
        <row r="14">
          <cell r="I14">
            <v>102.22340004631398</v>
          </cell>
        </row>
        <row r="15">
          <cell r="I15">
            <v>100.71268145494867</v>
          </cell>
        </row>
        <row r="16">
          <cell r="I16">
            <v>101.60819946880315</v>
          </cell>
        </row>
        <row r="17">
          <cell r="I17">
            <v>99.513054708255964</v>
          </cell>
        </row>
      </sheetData>
      <sheetData sheetId="21">
        <row r="10">
          <cell r="I10">
            <v>95.66367132027942</v>
          </cell>
        </row>
        <row r="11">
          <cell r="I11">
            <v>102.17092463684476</v>
          </cell>
        </row>
        <row r="12">
          <cell r="I12">
            <v>99.720751788720221</v>
          </cell>
        </row>
        <row r="13">
          <cell r="I13">
            <v>99.964453799637965</v>
          </cell>
        </row>
        <row r="14">
          <cell r="I14">
            <v>100.66118230226407</v>
          </cell>
        </row>
        <row r="15">
          <cell r="I15">
            <v>99.195496462717671</v>
          </cell>
        </row>
        <row r="16">
          <cell r="I16">
            <v>100.31967295635533</v>
          </cell>
        </row>
        <row r="17">
          <cell r="I17">
            <v>99.988679850652673</v>
          </cell>
        </row>
        <row r="18">
          <cell r="I18">
            <v>99.769922769334443</v>
          </cell>
        </row>
        <row r="19">
          <cell r="I19">
            <v>100.72177330021805</v>
          </cell>
        </row>
        <row r="20">
          <cell r="I20">
            <v>100.21013716886533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 3rd"/>
      <sheetName val="May 4th"/>
      <sheetName val="May 5th "/>
      <sheetName val="May 6th"/>
      <sheetName val="May 9th"/>
      <sheetName val="May 10th"/>
      <sheetName val="May 11th"/>
      <sheetName val="May 12th"/>
      <sheetName val="May 13th "/>
      <sheetName val="May 16th"/>
      <sheetName val="May 17th "/>
      <sheetName val="May 18th "/>
      <sheetName val="May 19th  "/>
      <sheetName val="May 20th  "/>
      <sheetName val="May 21st"/>
      <sheetName val="May 23rd"/>
      <sheetName val="May 24th"/>
      <sheetName val="May 25th "/>
      <sheetName val="May 26th  "/>
      <sheetName val="May 27th "/>
      <sheetName val="May 30th "/>
      <sheetName val="Ma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0">
          <cell r="L40">
            <v>98.589991376020791</v>
          </cell>
        </row>
      </sheetData>
      <sheetData sheetId="22"/>
      <sheetData sheetId="23"/>
      <sheetData sheetId="24"/>
      <sheetData sheetId="25">
        <row r="40">
          <cell r="H40">
            <v>98.517352497406634</v>
          </cell>
        </row>
        <row r="41">
          <cell r="H41">
            <v>98.442574874312371</v>
          </cell>
        </row>
        <row r="43">
          <cell r="H43">
            <v>98.685415156420575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B8A64-1E4B-4795-93AF-1113C3B47C6F}">
  <sheetPr codeName="Sheet1">
    <pageSetUpPr fitToPage="1"/>
  </sheetPr>
  <dimension ref="A1:BF110"/>
  <sheetViews>
    <sheetView zoomScale="80" zoomScaleNormal="80" workbookViewId="0">
      <selection activeCell="G90" sqref="G90"/>
    </sheetView>
  </sheetViews>
  <sheetFormatPr defaultColWidth="9.42578125" defaultRowHeight="14.25"/>
  <cols>
    <col min="1" max="1" width="3.42578125" style="275" customWidth="1"/>
    <col min="2" max="2" width="20.7109375" style="275" customWidth="1"/>
    <col min="3" max="3" width="13.42578125" style="275" customWidth="1"/>
    <col min="4" max="4" width="11.5703125" style="275" customWidth="1"/>
    <col min="5" max="5" width="12.42578125" style="275" customWidth="1"/>
    <col min="6" max="6" width="11.42578125" style="275" customWidth="1"/>
    <col min="7" max="7" width="13.42578125" style="275" customWidth="1"/>
    <col min="8" max="8" width="12.42578125" style="275" customWidth="1"/>
    <col min="9" max="9" width="17.5703125" style="275" customWidth="1"/>
    <col min="10" max="10" width="25.28515625" style="275" customWidth="1"/>
    <col min="11" max="11" width="18.5703125" style="275" customWidth="1"/>
    <col min="12" max="12" width="15.7109375" style="275" customWidth="1"/>
    <col min="13" max="13" width="27.5703125" style="275" customWidth="1"/>
    <col min="14" max="14" width="13.28515625" style="275" customWidth="1"/>
    <col min="15" max="15" width="19.42578125" style="275" customWidth="1"/>
    <col min="16" max="16" width="36.5703125" style="6" customWidth="1"/>
    <col min="17" max="17" width="14" style="275" hidden="1" customWidth="1"/>
    <col min="18" max="18" width="16.5703125" style="275" customWidth="1"/>
    <col min="19" max="19" width="15.7109375" style="275" bestFit="1" customWidth="1"/>
    <col min="20" max="20" width="12.42578125" style="275" customWidth="1"/>
    <col min="21" max="21" width="15" style="275" customWidth="1"/>
    <col min="22" max="22" width="12" style="275" customWidth="1"/>
    <col min="23" max="23" width="10.42578125" style="275" customWidth="1"/>
    <col min="24" max="24" width="11.42578125" style="275" customWidth="1"/>
    <col min="25" max="25" width="10.42578125" style="275" customWidth="1"/>
    <col min="26" max="26" width="8.42578125" style="275" customWidth="1"/>
    <col min="27" max="27" width="9.5703125" style="275" customWidth="1"/>
    <col min="28" max="28" width="8.42578125" style="275" customWidth="1"/>
    <col min="29" max="30" width="7.5703125" style="275" customWidth="1"/>
    <col min="31" max="52" width="9.42578125" style="275"/>
    <col min="53" max="53" width="1.5703125" style="275" customWidth="1"/>
    <col min="54" max="55" width="9.42578125" style="275"/>
    <col min="56" max="57" width="15.42578125" style="275" customWidth="1"/>
    <col min="58" max="16384" width="9.42578125" style="275"/>
  </cols>
  <sheetData>
    <row r="1" spans="2:30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525" t="s">
        <v>0</v>
      </c>
      <c r="U1" s="525"/>
      <c r="V1" s="525" t="s">
        <v>1</v>
      </c>
      <c r="W1" s="525"/>
      <c r="X1" s="525" t="s">
        <v>2</v>
      </c>
      <c r="Y1" s="525"/>
      <c r="Z1" s="525" t="s">
        <v>124</v>
      </c>
      <c r="AA1" s="525"/>
    </row>
    <row r="2" spans="2:30" ht="15">
      <c r="B2" s="526" t="s">
        <v>3</v>
      </c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0.17361111111111113</v>
      </c>
      <c r="Y3" s="10">
        <v>0.21180555555555555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544">
        <v>45278</v>
      </c>
      <c r="D4" s="544"/>
      <c r="J4" s="545" t="s">
        <v>153</v>
      </c>
      <c r="K4" s="545"/>
      <c r="L4" s="11"/>
      <c r="M4" s="547" t="s">
        <v>8</v>
      </c>
      <c r="N4" s="548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0.17361111111111113</v>
      </c>
      <c r="Y4" s="10">
        <v>0.21180555555555555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546"/>
      <c r="K5" s="546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0.19444444444444445</v>
      </c>
      <c r="Y5" s="10">
        <v>0.23263888888888887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529" t="s">
        <v>151</v>
      </c>
      <c r="K6" s="530"/>
      <c r="L6" s="311" t="s">
        <v>14</v>
      </c>
      <c r="M6" s="340"/>
      <c r="N6" s="340"/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0.22222222222222221</v>
      </c>
      <c r="Y6" s="10">
        <v>0.25347222222222221</v>
      </c>
      <c r="Z6" s="273">
        <v>0</v>
      </c>
      <c r="AA6" s="274"/>
      <c r="AB6" s="13"/>
      <c r="AC6" s="13"/>
      <c r="AD6" s="13"/>
    </row>
    <row r="7" spans="2:30" ht="13.35" customHeight="1" thickBot="1">
      <c r="J7" s="531"/>
      <c r="K7" s="532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0.20833333333333334</v>
      </c>
      <c r="Y7" s="10">
        <v>0.24305555555555555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84" t="s">
        <v>17</v>
      </c>
      <c r="C8" s="494" t="s">
        <v>18</v>
      </c>
      <c r="D8" s="494" t="s">
        <v>19</v>
      </c>
      <c r="E8" s="356" t="s">
        <v>20</v>
      </c>
      <c r="F8" s="356" t="s">
        <v>21</v>
      </c>
      <c r="G8" s="494" t="s">
        <v>22</v>
      </c>
      <c r="H8" s="535" t="s">
        <v>144</v>
      </c>
      <c r="I8" s="494" t="s">
        <v>152</v>
      </c>
      <c r="J8" s="537" t="s">
        <v>23</v>
      </c>
      <c r="K8" s="539" t="s">
        <v>142</v>
      </c>
      <c r="L8" s="541" t="s">
        <v>24</v>
      </c>
      <c r="M8" s="359" t="s">
        <v>25</v>
      </c>
      <c r="N8" s="17" t="s">
        <v>26</v>
      </c>
      <c r="O8" s="494"/>
      <c r="P8" s="486" t="s">
        <v>28</v>
      </c>
      <c r="Q8" s="512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0.22222222222222221</v>
      </c>
      <c r="Y8" s="10">
        <v>0.25347222222222221</v>
      </c>
      <c r="Z8" s="273">
        <v>0</v>
      </c>
      <c r="AA8" s="274"/>
      <c r="AB8" s="19"/>
    </row>
    <row r="9" spans="2:30" ht="34.5" customHeight="1">
      <c r="B9" s="533"/>
      <c r="C9" s="534"/>
      <c r="D9" s="534"/>
      <c r="E9" s="357" t="s">
        <v>30</v>
      </c>
      <c r="F9" s="357" t="s">
        <v>31</v>
      </c>
      <c r="G9" s="534"/>
      <c r="H9" s="536"/>
      <c r="I9" s="534"/>
      <c r="J9" s="538"/>
      <c r="K9" s="540"/>
      <c r="L9" s="542"/>
      <c r="M9" s="20" t="s">
        <v>32</v>
      </c>
      <c r="N9" s="21" t="s">
        <v>41</v>
      </c>
      <c r="O9" s="534"/>
      <c r="P9" s="543"/>
      <c r="Q9" s="513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0.19097222222222221</v>
      </c>
      <c r="Y9" s="10">
        <v>0.22569444444444445</v>
      </c>
      <c r="Z9" s="273">
        <v>0</v>
      </c>
      <c r="AA9" s="274">
        <v>75</v>
      </c>
      <c r="AB9" s="19"/>
    </row>
    <row r="10" spans="2:30" ht="15.75" hidden="1" customHeight="1">
      <c r="B10" s="34"/>
      <c r="C10" s="366"/>
      <c r="D10" s="279"/>
      <c r="E10" s="279"/>
      <c r="F10" s="278"/>
      <c r="G10" s="279"/>
      <c r="H10" s="394"/>
      <c r="I10" s="368"/>
      <c r="J10" s="368"/>
      <c r="K10" s="281"/>
      <c r="L10" s="276"/>
      <c r="M10" s="395"/>
      <c r="N10" s="370"/>
      <c r="O10" s="371"/>
      <c r="P10" s="375"/>
      <c r="Q10" s="347"/>
      <c r="S10" s="277">
        <f t="shared" ref="S10:S47" si="0">B10</f>
        <v>0</v>
      </c>
      <c r="T10" s="296" t="e">
        <f t="shared" ref="T10:T47" si="1">VLOOKUP($B10,$S$3:$Y$9,2,FALSE)</f>
        <v>#N/A</v>
      </c>
      <c r="U10" s="296" t="e">
        <f t="shared" ref="U10:U47" si="2">VLOOKUP($B10,$S$3:$Y$9,3,FALSE)</f>
        <v>#N/A</v>
      </c>
      <c r="V10" s="297" t="e">
        <f t="shared" ref="V10:V47" si="3">VLOOKUP($B10,$S$3:$Y$9,4,FALSE)</f>
        <v>#N/A</v>
      </c>
      <c r="W10" s="297" t="e">
        <f t="shared" ref="W10:W47" si="4">VLOOKUP($B10,$S$3:$Y$9,5,FALSE)</f>
        <v>#N/A</v>
      </c>
      <c r="X10" s="297" t="e">
        <f t="shared" ref="X10:X47" si="5">VLOOKUP($B10,$S$3:$Y$9,6,FALSE)</f>
        <v>#N/A</v>
      </c>
      <c r="Y10" s="297" t="e">
        <f t="shared" ref="Y10:Y47" si="6">VLOOKUP($B10,$S$3:$Y$9,7,FALSE)</f>
        <v>#N/A</v>
      </c>
      <c r="Z10" s="297" t="e">
        <f t="shared" ref="Z10:Z47" si="7">VLOOKUP($B10,$S$3:$AA$9,8,FALSE)</f>
        <v>#N/A</v>
      </c>
      <c r="AA10" s="296" t="e">
        <f t="shared" ref="AA10:AA47" si="8">VLOOKUP($B10,$S$3:$AA$9,9,FALSE)</f>
        <v>#N/A</v>
      </c>
    </row>
    <row r="11" spans="2:30" ht="15" hidden="1">
      <c r="B11" s="34"/>
      <c r="C11" s="366"/>
      <c r="D11" s="279"/>
      <c r="E11" s="279"/>
      <c r="F11" s="278"/>
      <c r="G11" s="279"/>
      <c r="H11" s="394"/>
      <c r="I11" s="368"/>
      <c r="J11" s="368"/>
      <c r="K11" s="281"/>
      <c r="L11" s="276"/>
      <c r="M11" s="395"/>
      <c r="N11" s="370"/>
      <c r="O11" s="371"/>
      <c r="P11" s="369"/>
      <c r="Q11" s="347"/>
      <c r="S11" s="277">
        <f t="shared" si="0"/>
        <v>0</v>
      </c>
      <c r="T11" s="296" t="e">
        <f t="shared" si="1"/>
        <v>#N/A</v>
      </c>
      <c r="U11" s="296" t="e">
        <f t="shared" si="2"/>
        <v>#N/A</v>
      </c>
      <c r="V11" s="297" t="e">
        <f t="shared" si="3"/>
        <v>#N/A</v>
      </c>
      <c r="W11" s="297" t="e">
        <f t="shared" si="4"/>
        <v>#N/A</v>
      </c>
      <c r="X11" s="297" t="e">
        <f t="shared" si="5"/>
        <v>#N/A</v>
      </c>
      <c r="Y11" s="297" t="e">
        <f t="shared" si="6"/>
        <v>#N/A</v>
      </c>
      <c r="Z11" s="297" t="e">
        <f t="shared" si="7"/>
        <v>#N/A</v>
      </c>
      <c r="AA11" s="296" t="e">
        <f t="shared" si="8"/>
        <v>#N/A</v>
      </c>
    </row>
    <row r="12" spans="2:30" ht="15" hidden="1">
      <c r="B12" s="34"/>
      <c r="C12" s="366"/>
      <c r="D12" s="279"/>
      <c r="E12" s="279"/>
      <c r="F12" s="278"/>
      <c r="G12" s="279"/>
      <c r="H12" s="394"/>
      <c r="I12" s="368"/>
      <c r="J12" s="368"/>
      <c r="K12" s="281"/>
      <c r="L12" s="276"/>
      <c r="M12" s="395"/>
      <c r="N12" s="370"/>
      <c r="O12" s="371"/>
      <c r="P12" s="369"/>
      <c r="Q12" s="347"/>
      <c r="S12" s="277">
        <f t="shared" si="0"/>
        <v>0</v>
      </c>
      <c r="T12" s="296" t="e">
        <f t="shared" si="1"/>
        <v>#N/A</v>
      </c>
      <c r="U12" s="296" t="e">
        <f t="shared" si="2"/>
        <v>#N/A</v>
      </c>
      <c r="V12" s="297" t="e">
        <f t="shared" si="3"/>
        <v>#N/A</v>
      </c>
      <c r="W12" s="297" t="e">
        <f t="shared" si="4"/>
        <v>#N/A</v>
      </c>
      <c r="X12" s="297" t="e">
        <f t="shared" si="5"/>
        <v>#N/A</v>
      </c>
      <c r="Y12" s="297" t="e">
        <f t="shared" si="6"/>
        <v>#N/A</v>
      </c>
      <c r="Z12" s="297" t="e">
        <f t="shared" si="7"/>
        <v>#N/A</v>
      </c>
      <c r="AA12" s="296" t="e">
        <f t="shared" si="8"/>
        <v>#N/A</v>
      </c>
    </row>
    <row r="13" spans="2:30" ht="15.75" hidden="1" customHeight="1">
      <c r="B13" s="393"/>
      <c r="C13" s="366"/>
      <c r="D13" s="279"/>
      <c r="E13" s="279"/>
      <c r="F13" s="278"/>
      <c r="G13" s="279"/>
      <c r="H13" s="394"/>
      <c r="I13" s="368"/>
      <c r="J13" s="368"/>
      <c r="K13" s="281"/>
      <c r="L13" s="276"/>
      <c r="M13" s="395"/>
      <c r="N13" s="370"/>
      <c r="O13" s="371"/>
      <c r="P13" s="375"/>
      <c r="Q13" s="347"/>
      <c r="S13" s="277">
        <f t="shared" si="0"/>
        <v>0</v>
      </c>
      <c r="T13" s="296" t="e">
        <f t="shared" si="1"/>
        <v>#N/A</v>
      </c>
      <c r="U13" s="296" t="e">
        <f t="shared" si="2"/>
        <v>#N/A</v>
      </c>
      <c r="V13" s="297" t="e">
        <f t="shared" si="3"/>
        <v>#N/A</v>
      </c>
      <c r="W13" s="297" t="e">
        <f t="shared" si="4"/>
        <v>#N/A</v>
      </c>
      <c r="X13" s="297" t="e">
        <f t="shared" si="5"/>
        <v>#N/A</v>
      </c>
      <c r="Y13" s="297" t="e">
        <f t="shared" si="6"/>
        <v>#N/A</v>
      </c>
      <c r="Z13" s="297" t="e">
        <f t="shared" si="7"/>
        <v>#N/A</v>
      </c>
      <c r="AA13" s="296" t="e">
        <f t="shared" si="8"/>
        <v>#N/A</v>
      </c>
    </row>
    <row r="14" spans="2:30" ht="15.75" hidden="1" customHeight="1">
      <c r="B14" s="34"/>
      <c r="C14" s="366"/>
      <c r="D14" s="279"/>
      <c r="E14" s="279"/>
      <c r="F14" s="278"/>
      <c r="G14" s="279"/>
      <c r="H14" s="394"/>
      <c r="I14" s="368"/>
      <c r="J14" s="368"/>
      <c r="K14" s="281"/>
      <c r="L14" s="276"/>
      <c r="M14" s="395"/>
      <c r="N14" s="370"/>
      <c r="O14" s="371"/>
      <c r="P14" s="375"/>
      <c r="Q14" s="347"/>
      <c r="S14" s="277">
        <f t="shared" si="0"/>
        <v>0</v>
      </c>
      <c r="T14" s="296" t="e">
        <f t="shared" si="1"/>
        <v>#N/A</v>
      </c>
      <c r="U14" s="296" t="e">
        <f t="shared" si="2"/>
        <v>#N/A</v>
      </c>
      <c r="V14" s="297" t="e">
        <f t="shared" si="3"/>
        <v>#N/A</v>
      </c>
      <c r="W14" s="297" t="e">
        <f t="shared" si="4"/>
        <v>#N/A</v>
      </c>
      <c r="X14" s="297" t="e">
        <f t="shared" si="5"/>
        <v>#N/A</v>
      </c>
      <c r="Y14" s="297" t="e">
        <f t="shared" si="6"/>
        <v>#N/A</v>
      </c>
      <c r="Z14" s="297" t="e">
        <f t="shared" si="7"/>
        <v>#N/A</v>
      </c>
      <c r="AA14" s="296" t="e">
        <f t="shared" si="8"/>
        <v>#N/A</v>
      </c>
    </row>
    <row r="15" spans="2:30" ht="15.75" hidden="1" customHeight="1">
      <c r="B15" s="373"/>
      <c r="C15" s="366"/>
      <c r="D15" s="279"/>
      <c r="E15" s="279"/>
      <c r="F15" s="278"/>
      <c r="G15" s="383"/>
      <c r="H15" s="367"/>
      <c r="I15" s="368"/>
      <c r="J15" s="368"/>
      <c r="K15" s="281"/>
      <c r="L15" s="276"/>
      <c r="M15" s="374"/>
      <c r="N15" s="370"/>
      <c r="O15" s="371"/>
      <c r="P15" s="375"/>
      <c r="Q15" s="347"/>
      <c r="S15" s="277">
        <f t="shared" si="0"/>
        <v>0</v>
      </c>
      <c r="T15" s="296" t="e">
        <f t="shared" si="1"/>
        <v>#N/A</v>
      </c>
      <c r="U15" s="296" t="e">
        <f t="shared" si="2"/>
        <v>#N/A</v>
      </c>
      <c r="V15" s="297" t="e">
        <f t="shared" si="3"/>
        <v>#N/A</v>
      </c>
      <c r="W15" s="297" t="e">
        <f t="shared" si="4"/>
        <v>#N/A</v>
      </c>
      <c r="X15" s="297" t="e">
        <f t="shared" si="5"/>
        <v>#N/A</v>
      </c>
      <c r="Y15" s="297" t="e">
        <f t="shared" si="6"/>
        <v>#N/A</v>
      </c>
      <c r="Z15" s="297" t="e">
        <f t="shared" si="7"/>
        <v>#N/A</v>
      </c>
      <c r="AA15" s="296" t="e">
        <f t="shared" si="8"/>
        <v>#N/A</v>
      </c>
    </row>
    <row r="16" spans="2:30" ht="15.75" hidden="1" customHeight="1">
      <c r="B16" s="373"/>
      <c r="C16" s="366"/>
      <c r="D16" s="279"/>
      <c r="E16" s="279"/>
      <c r="F16" s="278"/>
      <c r="G16" s="383"/>
      <c r="H16" s="367"/>
      <c r="I16" s="368"/>
      <c r="J16" s="368"/>
      <c r="K16" s="281"/>
      <c r="L16" s="276"/>
      <c r="M16" s="374"/>
      <c r="N16" s="370"/>
      <c r="O16" s="371"/>
      <c r="P16" s="375"/>
      <c r="Q16" s="347"/>
      <c r="S16" s="277">
        <f t="shared" si="0"/>
        <v>0</v>
      </c>
      <c r="T16" s="296" t="e">
        <f t="shared" si="1"/>
        <v>#N/A</v>
      </c>
      <c r="U16" s="296" t="e">
        <f t="shared" si="2"/>
        <v>#N/A</v>
      </c>
      <c r="V16" s="297" t="e">
        <f t="shared" si="3"/>
        <v>#N/A</v>
      </c>
      <c r="W16" s="297" t="e">
        <f t="shared" si="4"/>
        <v>#N/A</v>
      </c>
      <c r="X16" s="297" t="e">
        <f t="shared" si="5"/>
        <v>#N/A</v>
      </c>
      <c r="Y16" s="297" t="e">
        <f t="shared" si="6"/>
        <v>#N/A</v>
      </c>
      <c r="Z16" s="297" t="e">
        <f t="shared" si="7"/>
        <v>#N/A</v>
      </c>
      <c r="AA16" s="296" t="e">
        <f t="shared" si="8"/>
        <v>#N/A</v>
      </c>
    </row>
    <row r="17" spans="2:27" ht="15.75" hidden="1" customHeight="1">
      <c r="B17" s="373"/>
      <c r="C17" s="366"/>
      <c r="D17" s="279"/>
      <c r="E17" s="279"/>
      <c r="F17" s="278"/>
      <c r="G17" s="383"/>
      <c r="H17" s="367"/>
      <c r="I17" s="368"/>
      <c r="J17" s="368"/>
      <c r="K17" s="281"/>
      <c r="L17" s="276"/>
      <c r="M17" s="374"/>
      <c r="N17" s="370"/>
      <c r="O17" s="371"/>
      <c r="P17" s="375"/>
      <c r="Q17" s="347"/>
      <c r="S17" s="277">
        <f t="shared" si="0"/>
        <v>0</v>
      </c>
      <c r="T17" s="296" t="e">
        <f t="shared" si="1"/>
        <v>#N/A</v>
      </c>
      <c r="U17" s="296" t="e">
        <f t="shared" si="2"/>
        <v>#N/A</v>
      </c>
      <c r="V17" s="297" t="e">
        <f t="shared" si="3"/>
        <v>#N/A</v>
      </c>
      <c r="W17" s="297" t="e">
        <f t="shared" si="4"/>
        <v>#N/A</v>
      </c>
      <c r="X17" s="297" t="e">
        <f t="shared" si="5"/>
        <v>#N/A</v>
      </c>
      <c r="Y17" s="297" t="e">
        <f t="shared" si="6"/>
        <v>#N/A</v>
      </c>
      <c r="Z17" s="297" t="e">
        <f t="shared" si="7"/>
        <v>#N/A</v>
      </c>
      <c r="AA17" s="296" t="e">
        <f t="shared" si="8"/>
        <v>#N/A</v>
      </c>
    </row>
    <row r="18" spans="2:27" ht="15.75" hidden="1" customHeight="1">
      <c r="B18" s="373"/>
      <c r="C18" s="366"/>
      <c r="D18" s="279"/>
      <c r="E18" s="279"/>
      <c r="F18" s="278"/>
      <c r="G18" s="383"/>
      <c r="H18" s="367"/>
      <c r="I18" s="368"/>
      <c r="J18" s="368"/>
      <c r="K18" s="281"/>
      <c r="L18" s="276"/>
      <c r="M18" s="374"/>
      <c r="N18" s="370"/>
      <c r="O18" s="371"/>
      <c r="P18" s="375"/>
      <c r="Q18" s="347"/>
      <c r="S18" s="277">
        <f t="shared" si="0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2:27" ht="15.75" hidden="1" customHeight="1">
      <c r="B19" s="373"/>
      <c r="C19" s="366"/>
      <c r="D19" s="279"/>
      <c r="E19" s="279"/>
      <c r="F19" s="278"/>
      <c r="G19" s="383"/>
      <c r="H19" s="367"/>
      <c r="I19" s="368"/>
      <c r="J19" s="368"/>
      <c r="K19" s="281"/>
      <c r="L19" s="276"/>
      <c r="M19" s="374"/>
      <c r="N19" s="370"/>
      <c r="O19" s="371"/>
      <c r="P19" s="375"/>
      <c r="Q19" s="347"/>
      <c r="S19" s="277">
        <f t="shared" si="0"/>
        <v>0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2:27" ht="15.75" hidden="1" customHeight="1">
      <c r="B20" s="373"/>
      <c r="C20" s="366"/>
      <c r="D20" s="279"/>
      <c r="E20" s="279"/>
      <c r="F20" s="278"/>
      <c r="G20" s="383"/>
      <c r="H20" s="367"/>
      <c r="I20" s="368"/>
      <c r="J20" s="368"/>
      <c r="K20" s="281"/>
      <c r="L20" s="276"/>
      <c r="M20" s="374"/>
      <c r="N20" s="370"/>
      <c r="O20" s="371"/>
      <c r="P20" s="375"/>
      <c r="Q20" s="347"/>
      <c r="S20" s="277">
        <f t="shared" si="0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2:27" ht="15.75" hidden="1" customHeight="1">
      <c r="B21" s="373"/>
      <c r="C21" s="366"/>
      <c r="D21" s="279"/>
      <c r="E21" s="279"/>
      <c r="F21" s="278"/>
      <c r="G21" s="383"/>
      <c r="H21" s="367"/>
      <c r="I21" s="368"/>
      <c r="J21" s="368"/>
      <c r="K21" s="281"/>
      <c r="L21" s="276"/>
      <c r="M21" s="374"/>
      <c r="N21" s="370"/>
      <c r="O21" s="371"/>
      <c r="P21" s="375"/>
      <c r="Q21" s="347"/>
      <c r="S21" s="277">
        <f t="shared" si="0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2:27" ht="15.75" hidden="1" customHeight="1">
      <c r="B22" s="373"/>
      <c r="C22" s="366"/>
      <c r="D22" s="279"/>
      <c r="E22" s="279"/>
      <c r="F22" s="278"/>
      <c r="G22" s="383"/>
      <c r="H22" s="367"/>
      <c r="I22" s="368"/>
      <c r="J22" s="368"/>
      <c r="K22" s="281"/>
      <c r="L22" s="276"/>
      <c r="M22" s="374"/>
      <c r="N22" s="370"/>
      <c r="O22" s="371"/>
      <c r="P22" s="375"/>
      <c r="Q22" s="347"/>
      <c r="S22" s="277">
        <f t="shared" si="0"/>
        <v>0</v>
      </c>
      <c r="T22" s="296" t="e">
        <f t="shared" si="1"/>
        <v>#N/A</v>
      </c>
      <c r="U22" s="296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7" t="e">
        <f t="shared" si="7"/>
        <v>#N/A</v>
      </c>
      <c r="AA22" s="296" t="e">
        <f t="shared" si="8"/>
        <v>#N/A</v>
      </c>
    </row>
    <row r="23" spans="2:27" ht="15.75" hidden="1" customHeight="1">
      <c r="B23" s="373"/>
      <c r="C23" s="366"/>
      <c r="D23" s="279"/>
      <c r="E23" s="279"/>
      <c r="F23" s="278"/>
      <c r="G23" s="383"/>
      <c r="H23" s="367"/>
      <c r="I23" s="368"/>
      <c r="J23" s="368"/>
      <c r="K23" s="281"/>
      <c r="L23" s="276"/>
      <c r="M23" s="374"/>
      <c r="N23" s="370"/>
      <c r="O23" s="371"/>
      <c r="P23" s="375"/>
      <c r="Q23" s="347"/>
      <c r="S23" s="277">
        <f t="shared" si="0"/>
        <v>0</v>
      </c>
      <c r="T23" s="296" t="e">
        <f t="shared" si="1"/>
        <v>#N/A</v>
      </c>
      <c r="U23" s="296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7" t="e">
        <f t="shared" si="7"/>
        <v>#N/A</v>
      </c>
      <c r="AA23" s="296" t="e">
        <f t="shared" si="8"/>
        <v>#N/A</v>
      </c>
    </row>
    <row r="24" spans="2:27" ht="15.75" hidden="1" customHeight="1">
      <c r="B24" s="373"/>
      <c r="C24" s="366"/>
      <c r="D24" s="279"/>
      <c r="E24" s="279"/>
      <c r="F24" s="278"/>
      <c r="G24" s="383"/>
      <c r="H24" s="367"/>
      <c r="I24" s="368"/>
      <c r="J24" s="368"/>
      <c r="K24" s="281"/>
      <c r="L24" s="276"/>
      <c r="M24" s="374"/>
      <c r="N24" s="370"/>
      <c r="O24" s="371"/>
      <c r="P24" s="375"/>
      <c r="Q24" s="347"/>
      <c r="S24" s="277">
        <f t="shared" si="0"/>
        <v>0</v>
      </c>
      <c r="T24" s="296" t="e">
        <f t="shared" si="1"/>
        <v>#N/A</v>
      </c>
      <c r="U24" s="296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7" t="e">
        <f t="shared" si="7"/>
        <v>#N/A</v>
      </c>
      <c r="AA24" s="296" t="e">
        <f t="shared" si="8"/>
        <v>#N/A</v>
      </c>
    </row>
    <row r="25" spans="2:27" ht="15.75" hidden="1" customHeight="1">
      <c r="B25" s="373"/>
      <c r="C25" s="366"/>
      <c r="D25" s="279"/>
      <c r="E25" s="279"/>
      <c r="F25" s="278"/>
      <c r="G25" s="383"/>
      <c r="H25" s="367"/>
      <c r="I25" s="368"/>
      <c r="J25" s="368"/>
      <c r="K25" s="281"/>
      <c r="L25" s="276"/>
      <c r="M25" s="374"/>
      <c r="N25" s="370"/>
      <c r="O25" s="371"/>
      <c r="P25" s="375"/>
      <c r="Q25" s="347"/>
      <c r="S25" s="277">
        <f t="shared" si="0"/>
        <v>0</v>
      </c>
      <c r="T25" s="296" t="e">
        <f t="shared" si="1"/>
        <v>#N/A</v>
      </c>
      <c r="U25" s="296" t="e">
        <f t="shared" si="2"/>
        <v>#N/A</v>
      </c>
      <c r="V25" s="297" t="e">
        <f t="shared" si="3"/>
        <v>#N/A</v>
      </c>
      <c r="W25" s="297" t="e">
        <f t="shared" si="4"/>
        <v>#N/A</v>
      </c>
      <c r="X25" s="297" t="e">
        <f t="shared" si="5"/>
        <v>#N/A</v>
      </c>
      <c r="Y25" s="297" t="e">
        <f t="shared" si="6"/>
        <v>#N/A</v>
      </c>
      <c r="Z25" s="297" t="e">
        <f t="shared" si="7"/>
        <v>#N/A</v>
      </c>
      <c r="AA25" s="296" t="e">
        <f t="shared" si="8"/>
        <v>#N/A</v>
      </c>
    </row>
    <row r="26" spans="2:27" ht="15.75" hidden="1" customHeight="1">
      <c r="B26" s="373"/>
      <c r="C26" s="366"/>
      <c r="D26" s="279"/>
      <c r="E26" s="279"/>
      <c r="F26" s="278"/>
      <c r="G26" s="383"/>
      <c r="H26" s="367"/>
      <c r="I26" s="368"/>
      <c r="J26" s="368"/>
      <c r="K26" s="281"/>
      <c r="L26" s="276"/>
      <c r="M26" s="374"/>
      <c r="N26" s="370"/>
      <c r="O26" s="371"/>
      <c r="P26" s="375"/>
      <c r="Q26" s="347"/>
      <c r="S26" s="277">
        <f t="shared" si="0"/>
        <v>0</v>
      </c>
      <c r="T26" s="296" t="e">
        <f t="shared" si="1"/>
        <v>#N/A</v>
      </c>
      <c r="U26" s="296" t="e">
        <f t="shared" si="2"/>
        <v>#N/A</v>
      </c>
      <c r="V26" s="297" t="e">
        <f t="shared" si="3"/>
        <v>#N/A</v>
      </c>
      <c r="W26" s="297" t="e">
        <f t="shared" si="4"/>
        <v>#N/A</v>
      </c>
      <c r="X26" s="297" t="e">
        <f t="shared" si="5"/>
        <v>#N/A</v>
      </c>
      <c r="Y26" s="297" t="e">
        <f t="shared" si="6"/>
        <v>#N/A</v>
      </c>
      <c r="Z26" s="297" t="e">
        <f t="shared" si="7"/>
        <v>#N/A</v>
      </c>
      <c r="AA26" s="296" t="e">
        <f t="shared" si="8"/>
        <v>#N/A</v>
      </c>
    </row>
    <row r="27" spans="2:27" ht="15" hidden="1">
      <c r="B27" s="373"/>
      <c r="C27" s="366"/>
      <c r="D27" s="279"/>
      <c r="E27" s="279"/>
      <c r="F27" s="278"/>
      <c r="G27" s="383"/>
      <c r="H27" s="367"/>
      <c r="I27" s="368"/>
      <c r="J27" s="368"/>
      <c r="K27" s="281"/>
      <c r="L27" s="276"/>
      <c r="M27" s="374"/>
      <c r="N27" s="370"/>
      <c r="O27" s="371"/>
      <c r="P27" s="369"/>
      <c r="Q27" s="347"/>
      <c r="S27" s="277">
        <f t="shared" si="0"/>
        <v>0</v>
      </c>
      <c r="T27" s="296" t="e">
        <f t="shared" si="1"/>
        <v>#N/A</v>
      </c>
      <c r="U27" s="296" t="e">
        <f t="shared" si="2"/>
        <v>#N/A</v>
      </c>
      <c r="V27" s="297" t="e">
        <f t="shared" si="3"/>
        <v>#N/A</v>
      </c>
      <c r="W27" s="297" t="e">
        <f t="shared" si="4"/>
        <v>#N/A</v>
      </c>
      <c r="X27" s="297" t="e">
        <f t="shared" si="5"/>
        <v>#N/A</v>
      </c>
      <c r="Y27" s="297" t="e">
        <f t="shared" si="6"/>
        <v>#N/A</v>
      </c>
      <c r="Z27" s="297" t="e">
        <f t="shared" si="7"/>
        <v>#N/A</v>
      </c>
      <c r="AA27" s="296" t="e">
        <f t="shared" si="8"/>
        <v>#N/A</v>
      </c>
    </row>
    <row r="28" spans="2:27" ht="15" hidden="1">
      <c r="B28" s="373"/>
      <c r="C28" s="366"/>
      <c r="D28" s="279"/>
      <c r="E28" s="279"/>
      <c r="F28" s="278"/>
      <c r="G28" s="383"/>
      <c r="H28" s="367"/>
      <c r="I28" s="368"/>
      <c r="J28" s="368"/>
      <c r="K28" s="281"/>
      <c r="L28" s="276"/>
      <c r="M28" s="374"/>
      <c r="N28" s="370"/>
      <c r="O28" s="371"/>
      <c r="P28" s="369"/>
      <c r="Q28" s="347"/>
      <c r="S28" s="277">
        <f t="shared" si="0"/>
        <v>0</v>
      </c>
      <c r="T28" s="296" t="e">
        <f t="shared" si="1"/>
        <v>#N/A</v>
      </c>
      <c r="U28" s="296" t="e">
        <f t="shared" si="2"/>
        <v>#N/A</v>
      </c>
      <c r="V28" s="297" t="e">
        <f t="shared" si="3"/>
        <v>#N/A</v>
      </c>
      <c r="W28" s="297" t="e">
        <f t="shared" si="4"/>
        <v>#N/A</v>
      </c>
      <c r="X28" s="297" t="e">
        <f t="shared" si="5"/>
        <v>#N/A</v>
      </c>
      <c r="Y28" s="297" t="e">
        <f t="shared" si="6"/>
        <v>#N/A</v>
      </c>
      <c r="Z28" s="297" t="e">
        <f t="shared" si="7"/>
        <v>#N/A</v>
      </c>
      <c r="AA28" s="296" t="e">
        <f t="shared" si="8"/>
        <v>#N/A</v>
      </c>
    </row>
    <row r="29" spans="2:27" ht="15" hidden="1">
      <c r="B29" s="373"/>
      <c r="C29" s="366"/>
      <c r="D29" s="279"/>
      <c r="E29" s="279"/>
      <c r="F29" s="278"/>
      <c r="G29" s="383"/>
      <c r="H29" s="367"/>
      <c r="I29" s="368"/>
      <c r="J29" s="368"/>
      <c r="K29" s="392"/>
      <c r="L29" s="276"/>
      <c r="M29" s="374"/>
      <c r="N29" s="370"/>
      <c r="O29" s="371"/>
      <c r="P29" s="369"/>
      <c r="Q29" s="347"/>
      <c r="S29" s="277">
        <f t="shared" si="0"/>
        <v>0</v>
      </c>
      <c r="T29" s="296" t="e">
        <f t="shared" si="1"/>
        <v>#N/A</v>
      </c>
      <c r="U29" s="296" t="e">
        <f t="shared" si="2"/>
        <v>#N/A</v>
      </c>
      <c r="V29" s="297" t="e">
        <f t="shared" si="3"/>
        <v>#N/A</v>
      </c>
      <c r="W29" s="297" t="e">
        <f t="shared" si="4"/>
        <v>#N/A</v>
      </c>
      <c r="X29" s="297" t="e">
        <f t="shared" si="5"/>
        <v>#N/A</v>
      </c>
      <c r="Y29" s="297" t="e">
        <f t="shared" si="6"/>
        <v>#N/A</v>
      </c>
      <c r="Z29" s="297" t="e">
        <f t="shared" si="7"/>
        <v>#N/A</v>
      </c>
      <c r="AA29" s="296" t="e">
        <f t="shared" si="8"/>
        <v>#N/A</v>
      </c>
    </row>
    <row r="30" spans="2:27" ht="15" hidden="1">
      <c r="B30" s="373"/>
      <c r="C30" s="366"/>
      <c r="D30" s="279"/>
      <c r="E30" s="279"/>
      <c r="F30" s="278"/>
      <c r="G30" s="383"/>
      <c r="H30" s="367"/>
      <c r="I30" s="368"/>
      <c r="J30" s="368"/>
      <c r="K30" s="281"/>
      <c r="L30" s="276"/>
      <c r="M30" s="374"/>
      <c r="N30" s="370"/>
      <c r="O30" s="371"/>
      <c r="P30" s="369"/>
      <c r="Q30" s="347"/>
      <c r="S30" s="277">
        <f t="shared" si="0"/>
        <v>0</v>
      </c>
      <c r="T30" s="296" t="e">
        <f t="shared" si="1"/>
        <v>#N/A</v>
      </c>
      <c r="U30" s="296" t="e">
        <f t="shared" si="2"/>
        <v>#N/A</v>
      </c>
      <c r="V30" s="297" t="e">
        <f t="shared" si="3"/>
        <v>#N/A</v>
      </c>
      <c r="W30" s="297" t="e">
        <f t="shared" si="4"/>
        <v>#N/A</v>
      </c>
      <c r="X30" s="297" t="e">
        <f t="shared" si="5"/>
        <v>#N/A</v>
      </c>
      <c r="Y30" s="297" t="e">
        <f t="shared" si="6"/>
        <v>#N/A</v>
      </c>
      <c r="Z30" s="297" t="e">
        <f t="shared" si="7"/>
        <v>#N/A</v>
      </c>
      <c r="AA30" s="296" t="e">
        <f t="shared" si="8"/>
        <v>#N/A</v>
      </c>
    </row>
    <row r="31" spans="2:27" ht="15" hidden="1">
      <c r="B31" s="373"/>
      <c r="C31" s="366"/>
      <c r="D31" s="279"/>
      <c r="E31" s="279"/>
      <c r="F31" s="278"/>
      <c r="G31" s="383"/>
      <c r="H31" s="367"/>
      <c r="I31" s="368"/>
      <c r="J31" s="368"/>
      <c r="K31" s="281"/>
      <c r="L31" s="276"/>
      <c r="M31" s="374"/>
      <c r="N31" s="370"/>
      <c r="O31" s="371"/>
      <c r="P31" s="369"/>
      <c r="Q31" s="347"/>
      <c r="S31" s="277">
        <f t="shared" si="0"/>
        <v>0</v>
      </c>
      <c r="T31" s="296" t="e">
        <f t="shared" si="1"/>
        <v>#N/A</v>
      </c>
      <c r="U31" s="296" t="e">
        <f t="shared" si="2"/>
        <v>#N/A</v>
      </c>
      <c r="V31" s="297" t="e">
        <f t="shared" si="3"/>
        <v>#N/A</v>
      </c>
      <c r="W31" s="297" t="e">
        <f t="shared" si="4"/>
        <v>#N/A</v>
      </c>
      <c r="X31" s="297" t="e">
        <f t="shared" si="5"/>
        <v>#N/A</v>
      </c>
      <c r="Y31" s="297" t="e">
        <f t="shared" si="6"/>
        <v>#N/A</v>
      </c>
      <c r="Z31" s="297" t="e">
        <f t="shared" si="7"/>
        <v>#N/A</v>
      </c>
      <c r="AA31" s="296" t="e">
        <f t="shared" si="8"/>
        <v>#N/A</v>
      </c>
    </row>
    <row r="32" spans="2:27" ht="15" hidden="1">
      <c r="B32" s="373"/>
      <c r="C32" s="366"/>
      <c r="D32" s="279"/>
      <c r="E32" s="279"/>
      <c r="F32" s="278"/>
      <c r="G32" s="383"/>
      <c r="H32" s="367"/>
      <c r="I32" s="368"/>
      <c r="J32" s="368"/>
      <c r="K32" s="281"/>
      <c r="L32" s="276"/>
      <c r="M32" s="374"/>
      <c r="N32" s="370"/>
      <c r="O32" s="371"/>
      <c r="P32" s="369"/>
      <c r="Q32" s="347"/>
      <c r="S32" s="277">
        <f t="shared" si="0"/>
        <v>0</v>
      </c>
      <c r="T32" s="296" t="e">
        <f t="shared" si="1"/>
        <v>#N/A</v>
      </c>
      <c r="U32" s="296" t="e">
        <f t="shared" si="2"/>
        <v>#N/A</v>
      </c>
      <c r="V32" s="297" t="e">
        <f t="shared" si="3"/>
        <v>#N/A</v>
      </c>
      <c r="W32" s="297" t="e">
        <f t="shared" si="4"/>
        <v>#N/A</v>
      </c>
      <c r="X32" s="297" t="e">
        <f t="shared" si="5"/>
        <v>#N/A</v>
      </c>
      <c r="Y32" s="297" t="e">
        <f t="shared" si="6"/>
        <v>#N/A</v>
      </c>
      <c r="Z32" s="297" t="e">
        <f t="shared" si="7"/>
        <v>#N/A</v>
      </c>
      <c r="AA32" s="296" t="e">
        <f t="shared" si="8"/>
        <v>#N/A</v>
      </c>
    </row>
    <row r="33" spans="2:27" ht="15" hidden="1">
      <c r="B33" s="393"/>
      <c r="C33" s="366"/>
      <c r="D33" s="279"/>
      <c r="E33" s="279"/>
      <c r="F33" s="278"/>
      <c r="G33" s="279"/>
      <c r="H33" s="394"/>
      <c r="I33" s="368"/>
      <c r="J33" s="368"/>
      <c r="K33" s="281"/>
      <c r="L33" s="276"/>
      <c r="M33" s="395"/>
      <c r="N33" s="370"/>
      <c r="O33" s="371"/>
      <c r="P33" s="369"/>
      <c r="Q33" s="347"/>
      <c r="S33" s="277">
        <f t="shared" si="0"/>
        <v>0</v>
      </c>
      <c r="T33" s="296" t="e">
        <f t="shared" si="1"/>
        <v>#N/A</v>
      </c>
      <c r="U33" s="296" t="e">
        <f t="shared" si="2"/>
        <v>#N/A</v>
      </c>
      <c r="V33" s="297" t="e">
        <f t="shared" si="3"/>
        <v>#N/A</v>
      </c>
      <c r="W33" s="297" t="e">
        <f t="shared" si="4"/>
        <v>#N/A</v>
      </c>
      <c r="X33" s="297" t="e">
        <f t="shared" si="5"/>
        <v>#N/A</v>
      </c>
      <c r="Y33" s="297" t="e">
        <f t="shared" si="6"/>
        <v>#N/A</v>
      </c>
      <c r="Z33" s="297" t="e">
        <f t="shared" si="7"/>
        <v>#N/A</v>
      </c>
      <c r="AA33" s="296" t="e">
        <f t="shared" si="8"/>
        <v>#N/A</v>
      </c>
    </row>
    <row r="34" spans="2:27" ht="15" hidden="1">
      <c r="B34" s="393"/>
      <c r="C34" s="366"/>
      <c r="D34" s="279"/>
      <c r="E34" s="279"/>
      <c r="F34" s="278"/>
      <c r="G34" s="279"/>
      <c r="H34" s="394"/>
      <c r="I34" s="368"/>
      <c r="J34" s="368"/>
      <c r="K34" s="281"/>
      <c r="L34" s="276"/>
      <c r="M34" s="395"/>
      <c r="N34" s="370"/>
      <c r="O34" s="371"/>
      <c r="P34" s="369"/>
      <c r="Q34" s="347"/>
      <c r="S34" s="277">
        <f t="shared" si="0"/>
        <v>0</v>
      </c>
      <c r="T34" s="296" t="e">
        <f t="shared" si="1"/>
        <v>#N/A</v>
      </c>
      <c r="U34" s="296" t="e">
        <f t="shared" si="2"/>
        <v>#N/A</v>
      </c>
      <c r="V34" s="297" t="e">
        <f t="shared" si="3"/>
        <v>#N/A</v>
      </c>
      <c r="W34" s="297" t="e">
        <f t="shared" si="4"/>
        <v>#N/A</v>
      </c>
      <c r="X34" s="297" t="e">
        <f t="shared" si="5"/>
        <v>#N/A</v>
      </c>
      <c r="Y34" s="297" t="e">
        <f t="shared" si="6"/>
        <v>#N/A</v>
      </c>
      <c r="Z34" s="297" t="e">
        <f t="shared" si="7"/>
        <v>#N/A</v>
      </c>
      <c r="AA34" s="296" t="e">
        <f t="shared" si="8"/>
        <v>#N/A</v>
      </c>
    </row>
    <row r="35" spans="2:27" ht="15" hidden="1">
      <c r="B35" s="393"/>
      <c r="C35" s="366"/>
      <c r="D35" s="279"/>
      <c r="E35" s="279"/>
      <c r="F35" s="278"/>
      <c r="G35" s="279"/>
      <c r="H35" s="394"/>
      <c r="I35" s="368"/>
      <c r="J35" s="368"/>
      <c r="K35" s="281"/>
      <c r="L35" s="276"/>
      <c r="M35" s="395"/>
      <c r="N35" s="370"/>
      <c r="O35" s="371"/>
      <c r="P35" s="369"/>
      <c r="Q35" s="347"/>
      <c r="S35" s="277">
        <f t="shared" si="0"/>
        <v>0</v>
      </c>
      <c r="T35" s="296" t="e">
        <f t="shared" si="1"/>
        <v>#N/A</v>
      </c>
      <c r="U35" s="296" t="e">
        <f t="shared" si="2"/>
        <v>#N/A</v>
      </c>
      <c r="V35" s="297" t="e">
        <f t="shared" si="3"/>
        <v>#N/A</v>
      </c>
      <c r="W35" s="297" t="e">
        <f t="shared" si="4"/>
        <v>#N/A</v>
      </c>
      <c r="X35" s="297" t="e">
        <f t="shared" si="5"/>
        <v>#N/A</v>
      </c>
      <c r="Y35" s="297" t="e">
        <f t="shared" si="6"/>
        <v>#N/A</v>
      </c>
      <c r="Z35" s="297" t="e">
        <f t="shared" si="7"/>
        <v>#N/A</v>
      </c>
      <c r="AA35" s="296" t="e">
        <f t="shared" si="8"/>
        <v>#N/A</v>
      </c>
    </row>
    <row r="36" spans="2:27" ht="15" hidden="1">
      <c r="B36" s="393"/>
      <c r="C36" s="366"/>
      <c r="D36" s="279"/>
      <c r="E36" s="279"/>
      <c r="F36" s="278"/>
      <c r="G36" s="279"/>
      <c r="H36" s="394"/>
      <c r="I36" s="368"/>
      <c r="J36" s="368"/>
      <c r="K36" s="281"/>
      <c r="L36" s="276"/>
      <c r="M36" s="395"/>
      <c r="N36" s="370"/>
      <c r="O36" s="371"/>
      <c r="P36" s="369"/>
      <c r="Q36" s="347"/>
      <c r="S36" s="277">
        <f t="shared" si="0"/>
        <v>0</v>
      </c>
      <c r="T36" s="296" t="e">
        <f t="shared" si="1"/>
        <v>#N/A</v>
      </c>
      <c r="U36" s="296" t="e">
        <f t="shared" si="2"/>
        <v>#N/A</v>
      </c>
      <c r="V36" s="297" t="e">
        <f t="shared" si="3"/>
        <v>#N/A</v>
      </c>
      <c r="W36" s="297" t="e">
        <f t="shared" si="4"/>
        <v>#N/A</v>
      </c>
      <c r="X36" s="297" t="e">
        <f t="shared" si="5"/>
        <v>#N/A</v>
      </c>
      <c r="Y36" s="297" t="e">
        <f t="shared" si="6"/>
        <v>#N/A</v>
      </c>
      <c r="Z36" s="297" t="e">
        <f t="shared" si="7"/>
        <v>#N/A</v>
      </c>
      <c r="AA36" s="296" t="e">
        <f t="shared" si="8"/>
        <v>#N/A</v>
      </c>
    </row>
    <row r="37" spans="2:27" ht="15" hidden="1">
      <c r="B37" s="393"/>
      <c r="C37" s="366"/>
      <c r="D37" s="279"/>
      <c r="E37" s="279"/>
      <c r="F37" s="278"/>
      <c r="G37" s="279"/>
      <c r="H37" s="394"/>
      <c r="I37" s="368"/>
      <c r="J37" s="368"/>
      <c r="K37" s="281"/>
      <c r="L37" s="276"/>
      <c r="M37" s="395"/>
      <c r="N37" s="370"/>
      <c r="O37" s="371"/>
      <c r="P37" s="369"/>
      <c r="Q37" s="347"/>
      <c r="S37" s="277">
        <f t="shared" si="0"/>
        <v>0</v>
      </c>
      <c r="T37" s="296" t="e">
        <f t="shared" si="1"/>
        <v>#N/A</v>
      </c>
      <c r="U37" s="296" t="e">
        <f t="shared" si="2"/>
        <v>#N/A</v>
      </c>
      <c r="V37" s="297" t="e">
        <f t="shared" si="3"/>
        <v>#N/A</v>
      </c>
      <c r="W37" s="297" t="e">
        <f t="shared" si="4"/>
        <v>#N/A</v>
      </c>
      <c r="X37" s="297" t="e">
        <f t="shared" si="5"/>
        <v>#N/A</v>
      </c>
      <c r="Y37" s="297" t="e">
        <f t="shared" si="6"/>
        <v>#N/A</v>
      </c>
      <c r="Z37" s="297" t="e">
        <f t="shared" si="7"/>
        <v>#N/A</v>
      </c>
      <c r="AA37" s="296" t="e">
        <f t="shared" si="8"/>
        <v>#N/A</v>
      </c>
    </row>
    <row r="38" spans="2:27" ht="15" hidden="1">
      <c r="B38" s="393"/>
      <c r="C38" s="366"/>
      <c r="D38" s="279"/>
      <c r="E38" s="279"/>
      <c r="F38" s="278"/>
      <c r="G38" s="279"/>
      <c r="H38" s="394"/>
      <c r="I38" s="368"/>
      <c r="J38" s="368"/>
      <c r="K38" s="281"/>
      <c r="L38" s="276"/>
      <c r="M38" s="395"/>
      <c r="N38" s="370"/>
      <c r="O38" s="371"/>
      <c r="P38" s="369"/>
      <c r="Q38" s="347"/>
      <c r="S38" s="277">
        <f t="shared" si="0"/>
        <v>0</v>
      </c>
      <c r="T38" s="296" t="e">
        <f t="shared" si="1"/>
        <v>#N/A</v>
      </c>
      <c r="U38" s="296" t="e">
        <f t="shared" si="2"/>
        <v>#N/A</v>
      </c>
      <c r="V38" s="297" t="e">
        <f t="shared" si="3"/>
        <v>#N/A</v>
      </c>
      <c r="W38" s="297" t="e">
        <f t="shared" si="4"/>
        <v>#N/A</v>
      </c>
      <c r="X38" s="297" t="e">
        <f t="shared" si="5"/>
        <v>#N/A</v>
      </c>
      <c r="Y38" s="297" t="e">
        <f t="shared" si="6"/>
        <v>#N/A</v>
      </c>
      <c r="Z38" s="297" t="e">
        <f t="shared" si="7"/>
        <v>#N/A</v>
      </c>
      <c r="AA38" s="296" t="e">
        <f t="shared" si="8"/>
        <v>#N/A</v>
      </c>
    </row>
    <row r="39" spans="2:27" ht="15">
      <c r="B39" s="393"/>
      <c r="C39" s="366"/>
      <c r="D39" s="279"/>
      <c r="E39" s="279"/>
      <c r="F39" s="278"/>
      <c r="G39" s="279"/>
      <c r="H39" s="394"/>
      <c r="I39" s="368"/>
      <c r="J39" s="368"/>
      <c r="K39" s="281"/>
      <c r="L39" s="276"/>
      <c r="M39" s="395"/>
      <c r="N39" s="370"/>
      <c r="O39" s="371"/>
      <c r="P39" s="369"/>
      <c r="Q39" s="347"/>
      <c r="S39" s="277">
        <f t="shared" si="0"/>
        <v>0</v>
      </c>
      <c r="T39" s="296" t="e">
        <f t="shared" si="1"/>
        <v>#N/A</v>
      </c>
      <c r="U39" s="296" t="e">
        <f t="shared" si="2"/>
        <v>#N/A</v>
      </c>
      <c r="V39" s="297" t="e">
        <f t="shared" si="3"/>
        <v>#N/A</v>
      </c>
      <c r="W39" s="297" t="e">
        <f t="shared" si="4"/>
        <v>#N/A</v>
      </c>
      <c r="X39" s="297" t="e">
        <f t="shared" si="5"/>
        <v>#N/A</v>
      </c>
      <c r="Y39" s="297" t="e">
        <f t="shared" si="6"/>
        <v>#N/A</v>
      </c>
      <c r="Z39" s="297" t="e">
        <f t="shared" si="7"/>
        <v>#N/A</v>
      </c>
      <c r="AA39" s="296" t="e">
        <f t="shared" si="8"/>
        <v>#N/A</v>
      </c>
    </row>
    <row r="40" spans="2:27" ht="15">
      <c r="B40" s="393"/>
      <c r="C40" s="366"/>
      <c r="D40" s="279"/>
      <c r="E40" s="279"/>
      <c r="F40" s="278"/>
      <c r="G40" s="279"/>
      <c r="H40" s="394"/>
      <c r="I40" s="368"/>
      <c r="J40" s="368"/>
      <c r="K40" s="281"/>
      <c r="L40" s="276"/>
      <c r="M40" s="395"/>
      <c r="N40" s="370"/>
      <c r="O40" s="371"/>
      <c r="P40" s="369"/>
      <c r="Q40" s="347"/>
      <c r="S40" s="277">
        <f t="shared" si="0"/>
        <v>0</v>
      </c>
      <c r="T40" s="296" t="e">
        <f t="shared" si="1"/>
        <v>#N/A</v>
      </c>
      <c r="U40" s="296" t="e">
        <f t="shared" si="2"/>
        <v>#N/A</v>
      </c>
      <c r="V40" s="297" t="e">
        <f t="shared" si="3"/>
        <v>#N/A</v>
      </c>
      <c r="W40" s="297" t="e">
        <f t="shared" si="4"/>
        <v>#N/A</v>
      </c>
      <c r="X40" s="297" t="e">
        <f t="shared" si="5"/>
        <v>#N/A</v>
      </c>
      <c r="Y40" s="297" t="e">
        <f t="shared" si="6"/>
        <v>#N/A</v>
      </c>
      <c r="Z40" s="297" t="e">
        <f t="shared" si="7"/>
        <v>#N/A</v>
      </c>
      <c r="AA40" s="296" t="e">
        <f t="shared" si="8"/>
        <v>#N/A</v>
      </c>
    </row>
    <row r="41" spans="2:27" ht="15">
      <c r="B41" s="393"/>
      <c r="C41" s="366"/>
      <c r="D41" s="279"/>
      <c r="E41" s="279"/>
      <c r="F41" s="278"/>
      <c r="G41" s="279"/>
      <c r="H41" s="394"/>
      <c r="I41" s="368"/>
      <c r="J41" s="368"/>
      <c r="K41" s="281"/>
      <c r="L41" s="276"/>
      <c r="M41" s="395"/>
      <c r="N41" s="370"/>
      <c r="O41" s="371"/>
      <c r="P41" s="369"/>
      <c r="Q41" s="347"/>
      <c r="S41" s="277">
        <f t="shared" si="0"/>
        <v>0</v>
      </c>
      <c r="T41" s="296" t="e">
        <f t="shared" si="1"/>
        <v>#N/A</v>
      </c>
      <c r="U41" s="296" t="e">
        <f t="shared" si="2"/>
        <v>#N/A</v>
      </c>
      <c r="V41" s="297" t="e">
        <f t="shared" si="3"/>
        <v>#N/A</v>
      </c>
      <c r="W41" s="297" t="e">
        <f t="shared" si="4"/>
        <v>#N/A</v>
      </c>
      <c r="X41" s="297" t="e">
        <f t="shared" si="5"/>
        <v>#N/A</v>
      </c>
      <c r="Y41" s="297" t="e">
        <f t="shared" si="6"/>
        <v>#N/A</v>
      </c>
      <c r="Z41" s="297" t="e">
        <f t="shared" si="7"/>
        <v>#N/A</v>
      </c>
      <c r="AA41" s="296" t="e">
        <f t="shared" si="8"/>
        <v>#N/A</v>
      </c>
    </row>
    <row r="42" spans="2:27" ht="15">
      <c r="B42" s="393"/>
      <c r="C42" s="366"/>
      <c r="D42" s="279"/>
      <c r="E42" s="279"/>
      <c r="F42" s="278"/>
      <c r="G42" s="279"/>
      <c r="H42" s="394"/>
      <c r="I42" s="368"/>
      <c r="J42" s="368"/>
      <c r="K42" s="281"/>
      <c r="L42" s="276"/>
      <c r="M42" s="395"/>
      <c r="N42" s="370"/>
      <c r="O42" s="371"/>
      <c r="P42" s="369"/>
      <c r="Q42" s="347"/>
      <c r="S42" s="277">
        <f t="shared" si="0"/>
        <v>0</v>
      </c>
      <c r="T42" s="296" t="e">
        <f t="shared" si="1"/>
        <v>#N/A</v>
      </c>
      <c r="U42" s="296" t="e">
        <f t="shared" si="2"/>
        <v>#N/A</v>
      </c>
      <c r="V42" s="297" t="e">
        <f t="shared" si="3"/>
        <v>#N/A</v>
      </c>
      <c r="W42" s="297" t="e">
        <f t="shared" si="4"/>
        <v>#N/A</v>
      </c>
      <c r="X42" s="297" t="e">
        <f t="shared" si="5"/>
        <v>#N/A</v>
      </c>
      <c r="Y42" s="297" t="e">
        <f t="shared" si="6"/>
        <v>#N/A</v>
      </c>
      <c r="Z42" s="297" t="e">
        <f t="shared" si="7"/>
        <v>#N/A</v>
      </c>
      <c r="AA42" s="296" t="e">
        <f t="shared" si="8"/>
        <v>#N/A</v>
      </c>
    </row>
    <row r="43" spans="2:27" ht="15">
      <c r="B43" s="393"/>
      <c r="C43" s="366"/>
      <c r="D43" s="279"/>
      <c r="E43" s="279"/>
      <c r="F43" s="278"/>
      <c r="G43" s="279"/>
      <c r="H43" s="394"/>
      <c r="I43" s="368"/>
      <c r="J43" s="368"/>
      <c r="K43" s="281"/>
      <c r="L43" s="276"/>
      <c r="M43" s="395"/>
      <c r="N43" s="370"/>
      <c r="O43" s="371"/>
      <c r="P43" s="369"/>
      <c r="Q43" s="347"/>
      <c r="S43" s="277">
        <f t="shared" si="0"/>
        <v>0</v>
      </c>
      <c r="T43" s="296" t="e">
        <f t="shared" si="1"/>
        <v>#N/A</v>
      </c>
      <c r="U43" s="296" t="e">
        <f t="shared" si="2"/>
        <v>#N/A</v>
      </c>
      <c r="V43" s="297" t="e">
        <f t="shared" si="3"/>
        <v>#N/A</v>
      </c>
      <c r="W43" s="297" t="e">
        <f t="shared" si="4"/>
        <v>#N/A</v>
      </c>
      <c r="X43" s="297" t="e">
        <f t="shared" si="5"/>
        <v>#N/A</v>
      </c>
      <c r="Y43" s="297" t="e">
        <f t="shared" si="6"/>
        <v>#N/A</v>
      </c>
      <c r="Z43" s="297" t="e">
        <f t="shared" si="7"/>
        <v>#N/A</v>
      </c>
      <c r="AA43" s="296" t="e">
        <f t="shared" si="8"/>
        <v>#N/A</v>
      </c>
    </row>
    <row r="44" spans="2:27" ht="15" hidden="1">
      <c r="B44" s="393"/>
      <c r="C44" s="366"/>
      <c r="D44" s="279"/>
      <c r="E44" s="279"/>
      <c r="F44" s="278"/>
      <c r="G44" s="279"/>
      <c r="H44" s="394"/>
      <c r="I44" s="368"/>
      <c r="J44" s="368"/>
      <c r="K44" s="281"/>
      <c r="L44" s="276"/>
      <c r="M44" s="395"/>
      <c r="N44" s="370"/>
      <c r="O44" s="371"/>
      <c r="P44" s="369"/>
      <c r="Q44" s="347"/>
      <c r="S44" s="277">
        <f t="shared" si="0"/>
        <v>0</v>
      </c>
      <c r="T44" s="296" t="e">
        <f t="shared" si="1"/>
        <v>#N/A</v>
      </c>
      <c r="U44" s="296" t="e">
        <f t="shared" si="2"/>
        <v>#N/A</v>
      </c>
      <c r="V44" s="297" t="e">
        <f t="shared" si="3"/>
        <v>#N/A</v>
      </c>
      <c r="W44" s="297" t="e">
        <f t="shared" si="4"/>
        <v>#N/A</v>
      </c>
      <c r="X44" s="297" t="e">
        <f t="shared" si="5"/>
        <v>#N/A</v>
      </c>
      <c r="Y44" s="297" t="e">
        <f t="shared" si="6"/>
        <v>#N/A</v>
      </c>
      <c r="Z44" s="297" t="e">
        <f t="shared" si="7"/>
        <v>#N/A</v>
      </c>
      <c r="AA44" s="296" t="e">
        <f t="shared" si="8"/>
        <v>#N/A</v>
      </c>
    </row>
    <row r="45" spans="2:27" ht="15" hidden="1">
      <c r="B45" s="393"/>
      <c r="C45" s="366"/>
      <c r="D45" s="279"/>
      <c r="E45" s="279"/>
      <c r="F45" s="278"/>
      <c r="G45" s="279"/>
      <c r="H45" s="394"/>
      <c r="I45" s="368"/>
      <c r="J45" s="368"/>
      <c r="K45" s="281"/>
      <c r="L45" s="276"/>
      <c r="M45" s="395"/>
      <c r="N45" s="370"/>
      <c r="O45" s="371"/>
      <c r="P45" s="369"/>
      <c r="Q45" s="347"/>
      <c r="S45" s="277">
        <f t="shared" si="0"/>
        <v>0</v>
      </c>
      <c r="T45" s="296" t="e">
        <f t="shared" si="1"/>
        <v>#N/A</v>
      </c>
      <c r="U45" s="296" t="e">
        <f t="shared" si="2"/>
        <v>#N/A</v>
      </c>
      <c r="V45" s="297" t="e">
        <f t="shared" si="3"/>
        <v>#N/A</v>
      </c>
      <c r="W45" s="297" t="e">
        <f t="shared" si="4"/>
        <v>#N/A</v>
      </c>
      <c r="X45" s="297" t="e">
        <f t="shared" si="5"/>
        <v>#N/A</v>
      </c>
      <c r="Y45" s="297" t="e">
        <f t="shared" si="6"/>
        <v>#N/A</v>
      </c>
      <c r="Z45" s="297" t="e">
        <f t="shared" si="7"/>
        <v>#N/A</v>
      </c>
      <c r="AA45" s="296" t="e">
        <f t="shared" si="8"/>
        <v>#N/A</v>
      </c>
    </row>
    <row r="46" spans="2:27" ht="15" hidden="1">
      <c r="B46" s="393"/>
      <c r="C46" s="366"/>
      <c r="D46" s="279"/>
      <c r="E46" s="279"/>
      <c r="F46" s="278"/>
      <c r="G46" s="279"/>
      <c r="H46" s="394"/>
      <c r="I46" s="368"/>
      <c r="J46" s="368"/>
      <c r="K46" s="281"/>
      <c r="L46" s="276"/>
      <c r="M46" s="395"/>
      <c r="N46" s="370"/>
      <c r="O46" s="371"/>
      <c r="P46" s="369"/>
      <c r="Q46" s="347"/>
      <c r="S46" s="277">
        <f t="shared" si="0"/>
        <v>0</v>
      </c>
      <c r="T46" s="296" t="e">
        <f t="shared" si="1"/>
        <v>#N/A</v>
      </c>
      <c r="U46" s="296" t="e">
        <f t="shared" si="2"/>
        <v>#N/A</v>
      </c>
      <c r="V46" s="297" t="e">
        <f t="shared" si="3"/>
        <v>#N/A</v>
      </c>
      <c r="W46" s="297" t="e">
        <f t="shared" si="4"/>
        <v>#N/A</v>
      </c>
      <c r="X46" s="297" t="e">
        <f t="shared" si="5"/>
        <v>#N/A</v>
      </c>
      <c r="Y46" s="297" t="e">
        <f t="shared" si="6"/>
        <v>#N/A</v>
      </c>
      <c r="Z46" s="297" t="e">
        <f t="shared" si="7"/>
        <v>#N/A</v>
      </c>
      <c r="AA46" s="296" t="e">
        <f t="shared" si="8"/>
        <v>#N/A</v>
      </c>
    </row>
    <row r="47" spans="2:27" ht="15" hidden="1">
      <c r="B47" s="373"/>
      <c r="C47" s="366"/>
      <c r="D47" s="279"/>
      <c r="E47" s="279"/>
      <c r="F47" s="278"/>
      <c r="G47" s="383"/>
      <c r="H47" s="367"/>
      <c r="I47" s="368"/>
      <c r="J47" s="368"/>
      <c r="K47" s="281"/>
      <c r="L47" s="276"/>
      <c r="M47" s="374"/>
      <c r="N47" s="370"/>
      <c r="O47" s="371"/>
      <c r="P47" s="369"/>
      <c r="Q47" s="347"/>
      <c r="S47" s="277">
        <f t="shared" si="0"/>
        <v>0</v>
      </c>
      <c r="T47" s="296" t="e">
        <f t="shared" si="1"/>
        <v>#N/A</v>
      </c>
      <c r="U47" s="296" t="e">
        <f t="shared" si="2"/>
        <v>#N/A</v>
      </c>
      <c r="V47" s="297" t="e">
        <f t="shared" si="3"/>
        <v>#N/A</v>
      </c>
      <c r="W47" s="297" t="e">
        <f t="shared" si="4"/>
        <v>#N/A</v>
      </c>
      <c r="X47" s="297" t="e">
        <f t="shared" si="5"/>
        <v>#N/A</v>
      </c>
      <c r="Y47" s="297" t="e">
        <f t="shared" si="6"/>
        <v>#N/A</v>
      </c>
      <c r="Z47" s="297" t="e">
        <f t="shared" si="7"/>
        <v>#N/A</v>
      </c>
      <c r="AA47" s="296" t="e">
        <f t="shared" si="8"/>
        <v>#N/A</v>
      </c>
    </row>
    <row r="48" spans="2:27" ht="15.75" customHeight="1" thickBot="1">
      <c r="B48" s="358"/>
      <c r="C48" s="358"/>
      <c r="D48" s="358"/>
      <c r="E48" s="358"/>
      <c r="F48" s="294"/>
      <c r="G48" s="294"/>
      <c r="H48" s="348"/>
      <c r="I48" s="514" t="s">
        <v>34</v>
      </c>
      <c r="J48" s="514"/>
      <c r="K48" s="514"/>
      <c r="L48" s="514"/>
      <c r="M48" s="514"/>
      <c r="N48" s="514"/>
      <c r="O48" s="1"/>
      <c r="P48" s="12"/>
      <c r="S48" s="277"/>
      <c r="T48" s="296"/>
      <c r="U48" s="296"/>
      <c r="V48" s="297"/>
      <c r="W48" s="297"/>
      <c r="X48" s="297"/>
      <c r="Y48" s="297"/>
      <c r="Z48" s="297"/>
      <c r="AA48" s="296"/>
    </row>
    <row r="49" spans="1:27" ht="30.75" thickBot="1">
      <c r="B49" s="388" t="s">
        <v>145</v>
      </c>
      <c r="C49" s="388"/>
      <c r="D49" s="527" t="s">
        <v>35</v>
      </c>
      <c r="E49" s="528"/>
      <c r="F49" s="294"/>
      <c r="G49" s="294"/>
      <c r="H49" s="23"/>
      <c r="I49" s="24" t="s">
        <v>17</v>
      </c>
      <c r="J49" s="25" t="s">
        <v>146</v>
      </c>
      <c r="K49" s="26" t="s">
        <v>138</v>
      </c>
      <c r="L49" s="25" t="s">
        <v>37</v>
      </c>
      <c r="M49" s="25" t="s">
        <v>38</v>
      </c>
      <c r="N49" s="27" t="s">
        <v>39</v>
      </c>
      <c r="O49" s="294"/>
      <c r="P49" s="12"/>
      <c r="S49" s="277"/>
      <c r="T49" s="296"/>
      <c r="U49" s="296"/>
      <c r="V49" s="297"/>
      <c r="W49" s="297"/>
      <c r="X49" s="297"/>
      <c r="Y49" s="297"/>
      <c r="Z49" s="297"/>
      <c r="AA49" s="296"/>
    </row>
    <row r="50" spans="1:27" ht="15" customHeight="1">
      <c r="A50" s="28"/>
      <c r="B50" s="515" t="s">
        <v>9</v>
      </c>
      <c r="C50" s="362">
        <v>11.8</v>
      </c>
      <c r="D50" s="518">
        <v>11.73</v>
      </c>
      <c r="E50" s="507"/>
      <c r="F50" s="294"/>
      <c r="G50" s="294"/>
      <c r="H50" s="294"/>
      <c r="I50" s="29" t="s">
        <v>6</v>
      </c>
      <c r="J50" s="323"/>
      <c r="K50" s="284">
        <f>COUNTA([3]Brewhouse!$A$1596:$A$1619)</f>
        <v>24</v>
      </c>
      <c r="L50" s="302">
        <f>AVERAGE([3]Brewhouse!$AU$1529,[3]Brewhouse!$AU$1531:$AU$1594,[3]Brewhouse!$AU$1596:$AU$1619)</f>
        <v>98.205761326291494</v>
      </c>
      <c r="M50" s="302">
        <f>AVERAGE([3]Brewhouse!$AU$849:$AU$924,[3]Brewhouse!$AU$926:$AU$971,[3]Brewhouse!$AU$973:$AU$1066,[3]Brewhouse!$AU$1068:$AU$1111,[3]Brewhouse!$AU$1113:$AU$1132,[3]Brewhouse!$AU$1134:$AU$1167,[3]Brewhouse!$AU$1169:$AU$1230,[3]Brewhouse!$AU$1232:$AU$1299,[3]Brewhouse!$AU$1301:$AU$1363,[3]Brewhouse!$AU$1365:$AU$1444,[3]Brewhouse!$AU$1446:$AU$1527,[3]Brewhouse!$AU$1529,[3]Brewhouse!$AU$1531:$AU$1594,[3]Brewhouse!$AU$1596:$AU$1619)</f>
        <v>98.38180565872257</v>
      </c>
      <c r="N50" s="30">
        <v>98</v>
      </c>
      <c r="O50" s="11"/>
      <c r="P50" s="31"/>
      <c r="S50" s="277"/>
      <c r="T50" s="296"/>
      <c r="U50" s="296"/>
      <c r="V50" s="297"/>
      <c r="W50" s="297"/>
      <c r="X50" s="297"/>
      <c r="Y50" s="297"/>
      <c r="Z50" s="297"/>
      <c r="AA50" s="296"/>
    </row>
    <row r="51" spans="1:27" ht="15" customHeight="1">
      <c r="A51" s="28"/>
      <c r="B51" s="516"/>
      <c r="C51" s="349">
        <v>11.9</v>
      </c>
      <c r="D51" s="519"/>
      <c r="E51" s="502"/>
      <c r="F51" s="294"/>
      <c r="G51" s="294"/>
      <c r="H51" s="32"/>
      <c r="I51" s="33" t="s">
        <v>9</v>
      </c>
      <c r="J51" s="323"/>
      <c r="K51" s="284">
        <f>COUNTA([4]Brewhouse!$A$976:$A$1007)</f>
        <v>32</v>
      </c>
      <c r="L51" s="302">
        <f>AVERAGE([4]Brewhouse!$AS$976:$AS$979,[4]Brewhouse!$AS$981:$AS$1007)</f>
        <v>98.538566771868645</v>
      </c>
      <c r="M51" s="302">
        <f>AVERAGE([4]Brewhouse!$AS$577:$AS$618,[4]Brewhouse!$AS$620:$AS$651,[4]Brewhouse!$AS$653:$AS$696,[4]Brewhouse!$AS$698:$AS$708,[4]Brewhouse!$AS$710:$AS$733,[4]Brewhouse!$AS$735:$AS$777,[4]Brewhouse!$AS$779:$AS$822,[4]Brewhouse!$AS$824:$AS$863,[4]Brewhouse!$AS$865:$AS$974,[4]Brewhouse!$AS$976:$AS$979,[4]Brewhouse!$AS$981:$AS$1007)</f>
        <v>98.489670500712904</v>
      </c>
      <c r="N51" s="30">
        <v>98</v>
      </c>
      <c r="O51" s="11"/>
      <c r="P51" s="31"/>
      <c r="S51" s="277"/>
      <c r="T51" s="296"/>
      <c r="U51" s="296"/>
      <c r="V51" s="297"/>
      <c r="W51" s="297"/>
      <c r="X51" s="297"/>
      <c r="Y51" s="297"/>
      <c r="Z51" s="297"/>
      <c r="AA51" s="296"/>
    </row>
    <row r="52" spans="1:27" ht="14.65" customHeight="1">
      <c r="A52" s="28"/>
      <c r="B52" s="516"/>
      <c r="C52" s="349"/>
      <c r="D52" s="518"/>
      <c r="E52" s="507"/>
      <c r="F52" s="294"/>
      <c r="G52" s="294"/>
      <c r="H52" s="32"/>
      <c r="I52" s="34" t="s">
        <v>12</v>
      </c>
      <c r="J52" s="280"/>
      <c r="K52" s="284">
        <f>COUNTA([5]Brewhouse!$A$282:$A$289)</f>
        <v>8</v>
      </c>
      <c r="L52" s="302">
        <f>AVERAGE([5]Brewhouse!$AU$269:$AU$279,[5]Brewhouse!$AU$282:$AU$289)</f>
        <v>96.1861768599382</v>
      </c>
      <c r="M52" s="302">
        <f>AVERAGE([5]Brewhouse!$AU$161:$AU$176,[5]Brewhouse!$AU$178:$AU$195,[5]Brewhouse!$AU$197:$AU$208,[5]Brewhouse!$AU$210:$AU$221,[5]Brewhouse!$AU$223:$AU$232,[5]Brewhouse!$AU$234:$AU$279,[5]Brewhouse!$AU$282:$AU$289)</f>
        <v>96.649159522318769</v>
      </c>
      <c r="N52" s="30">
        <v>98</v>
      </c>
      <c r="O52" s="11"/>
      <c r="P52" s="31"/>
      <c r="S52" s="23"/>
      <c r="T52" s="1"/>
      <c r="U52" s="1"/>
      <c r="AA52" s="285"/>
    </row>
    <row r="53" spans="1:27" ht="14.65" customHeight="1">
      <c r="A53" s="28"/>
      <c r="B53" s="516"/>
      <c r="C53" s="349"/>
      <c r="D53" s="519"/>
      <c r="E53" s="502"/>
      <c r="F53" s="294"/>
      <c r="G53" s="294"/>
      <c r="H53" s="32"/>
      <c r="I53" s="22" t="s">
        <v>33</v>
      </c>
      <c r="J53" s="280"/>
      <c r="K53" s="284">
        <f>COUNTA([6]Brewhouse!$A$158:$A$163)</f>
        <v>6</v>
      </c>
      <c r="L53" s="302">
        <f>AVERAGE([6]Brewhouse!$AU$158:$AU$163)</f>
        <v>94.603050114691541</v>
      </c>
      <c r="M53" s="302">
        <f>AVERAGE([6]Brewhouse!$AU$91:$AU$101,[6]Brewhouse!$AU$103:$AU$112,[6]Brewhouse!$AU$114:$AU$123,[6]Brewhouse!$AU$125:$AU$134,[6]Brewhouse!$AU$136:$AU$145,[6]Brewhouse!$AU$147:$AU$156,[6]Brewhouse!$AU$158:$AU$163)</f>
        <v>96.240013738482446</v>
      </c>
      <c r="N53" s="30">
        <v>98</v>
      </c>
      <c r="O53" s="11"/>
      <c r="P53" s="31"/>
      <c r="S53" s="23"/>
      <c r="T53" s="1"/>
      <c r="U53" s="1"/>
      <c r="AA53" s="285"/>
    </row>
    <row r="54" spans="1:27" ht="14.65" customHeight="1">
      <c r="A54" s="28"/>
      <c r="B54" s="516"/>
      <c r="C54" s="349"/>
      <c r="D54" s="518"/>
      <c r="E54" s="507"/>
      <c r="F54" s="294"/>
      <c r="G54" s="294"/>
      <c r="H54" s="32"/>
      <c r="I54" s="35" t="s">
        <v>29</v>
      </c>
      <c r="J54" s="280"/>
      <c r="K54" s="284"/>
      <c r="L54" s="302"/>
      <c r="M54" s="302"/>
      <c r="N54" s="30">
        <v>98</v>
      </c>
      <c r="O54" s="11"/>
      <c r="P54" s="31"/>
      <c r="S54" s="23"/>
    </row>
    <row r="55" spans="1:27" ht="14.65" customHeight="1">
      <c r="A55" s="28"/>
      <c r="B55" s="516"/>
      <c r="C55" s="349"/>
      <c r="D55" s="519"/>
      <c r="E55" s="502"/>
      <c r="F55" s="294"/>
      <c r="G55" s="294"/>
      <c r="H55" s="32"/>
      <c r="I55" s="36" t="s">
        <v>15</v>
      </c>
      <c r="J55" s="323"/>
      <c r="K55" s="284"/>
      <c r="L55" s="302"/>
      <c r="M55" s="302">
        <f>AVERAGE([7]Brewhouse!$AT$74:$AT$79)</f>
        <v>93.95983649860375</v>
      </c>
      <c r="N55" s="30">
        <v>98</v>
      </c>
      <c r="O55" s="11"/>
      <c r="P55" s="31"/>
      <c r="S55" s="23"/>
    </row>
    <row r="56" spans="1:27" ht="14.65" customHeight="1">
      <c r="A56" s="28"/>
      <c r="B56" s="516"/>
      <c r="C56" s="349"/>
      <c r="D56" s="518"/>
      <c r="E56" s="507"/>
      <c r="F56" s="294"/>
      <c r="G56" s="294"/>
      <c r="H56" s="32"/>
      <c r="I56" s="37" t="s">
        <v>16</v>
      </c>
      <c r="J56" s="323"/>
      <c r="K56" s="284">
        <f>COUNTA([8]Brewhouse!$A$249:$A$254)</f>
        <v>6</v>
      </c>
      <c r="L56" s="302">
        <f>AVERAGE([8]Brewhouse!$AY$249:$AY$254)</f>
        <v>99.681996476494263</v>
      </c>
      <c r="M56" s="302">
        <f>AVERAGE([8]Brewhouse!$AY$138:$AY$143,[8]Brewhouse!$AY$145:$AY$153,[8]Brewhouse!$AY$155,[8]Brewhouse!$AY$156:$AY$174,[8]Brewhouse!$AY$176:$AY$185,[8]Brewhouse!$AY$187:$AY$198,[8]Brewhouse!$AY$200:$AY$247,[8]Brewhouse!$AY$249:$AY$254)</f>
        <v>98.774702677266788</v>
      </c>
      <c r="N56" s="30">
        <v>98</v>
      </c>
      <c r="O56" s="11"/>
      <c r="P56" s="31" t="s">
        <v>41</v>
      </c>
      <c r="S56" s="23"/>
      <c r="X56" s="275" t="s">
        <v>41</v>
      </c>
    </row>
    <row r="57" spans="1:27" ht="14.65" customHeight="1">
      <c r="A57" s="28"/>
      <c r="B57" s="516"/>
      <c r="C57" s="349"/>
      <c r="D57" s="519"/>
      <c r="E57" s="502"/>
      <c r="F57" s="294"/>
      <c r="G57" s="294"/>
      <c r="H57" s="32"/>
      <c r="I57" s="306" t="s">
        <v>137</v>
      </c>
      <c r="J57" s="326"/>
      <c r="K57" s="284"/>
      <c r="L57" s="305"/>
      <c r="M57" s="305">
        <f>AVERAGE([9]Brewhouse!$AW$13:$AW$14,[9]Brewhouse!$AW$16:$AW$17)</f>
        <v>92.042628234181777</v>
      </c>
      <c r="N57" s="30">
        <v>98</v>
      </c>
      <c r="O57" s="11"/>
      <c r="P57" s="31"/>
      <c r="S57" s="23"/>
    </row>
    <row r="58" spans="1:27" ht="15" customHeight="1" thickBot="1">
      <c r="A58" s="28"/>
      <c r="B58" s="516"/>
      <c r="C58" s="349"/>
      <c r="D58" s="520"/>
      <c r="E58" s="509"/>
      <c r="F58" s="294"/>
      <c r="G58" s="294"/>
      <c r="H58" s="32"/>
      <c r="I58" s="38" t="s">
        <v>125</v>
      </c>
      <c r="J58" s="327"/>
      <c r="K58" s="284"/>
      <c r="L58" s="328"/>
      <c r="M58" s="328">
        <f>AVERAGE([9]Brewhouse!$AW$13:$AW$14)</f>
        <v>88.376943267718929</v>
      </c>
      <c r="N58" s="30">
        <v>98</v>
      </c>
      <c r="O58" s="11"/>
      <c r="P58" s="31"/>
      <c r="S58" s="23"/>
    </row>
    <row r="59" spans="1:27" ht="15" customHeight="1" thickTop="1" thickBot="1">
      <c r="A59" s="28"/>
      <c r="B59" s="516"/>
      <c r="C59" s="349"/>
      <c r="D59" s="521"/>
      <c r="E59" s="522"/>
      <c r="F59" s="294"/>
      <c r="G59" s="294"/>
      <c r="H59" s="32"/>
      <c r="I59" s="1"/>
      <c r="J59" s="39"/>
      <c r="K59" s="330">
        <f>SUM(K50:K58)</f>
        <v>76</v>
      </c>
      <c r="L59" s="329">
        <f>((L50*K50)+(L51*K51)+(L52*K52)+(L53*K53)+(L54*K54)+(K57*L57)+(L55*K55)+(L56*K56)+(L58*K58))/(K59)</f>
        <v>97.965422407334373</v>
      </c>
      <c r="M59" s="329">
        <f>AVERAGE('[10]Closing- January 2023'!$L$42,'[11]Feb. 28th'!$L$42,'[12]March 31st'!$L$75,'[13]Apri 28th'!$L$51,L59)</f>
        <v>98.069259977506491</v>
      </c>
      <c r="N59" s="40">
        <v>98</v>
      </c>
      <c r="O59" s="11"/>
      <c r="P59" s="31"/>
      <c r="S59" s="23"/>
    </row>
    <row r="60" spans="1:27" ht="15" customHeight="1">
      <c r="A60" s="28"/>
      <c r="B60" s="516"/>
      <c r="C60" s="349"/>
      <c r="D60" s="520"/>
      <c r="E60" s="509"/>
      <c r="F60" s="294"/>
      <c r="G60" s="294"/>
      <c r="H60" s="32"/>
      <c r="I60" s="1"/>
      <c r="J60" s="39"/>
      <c r="O60" s="11"/>
      <c r="P60" s="31"/>
      <c r="S60" s="23"/>
    </row>
    <row r="61" spans="1:27" ht="21.6" customHeight="1" thickBot="1">
      <c r="B61" s="517"/>
      <c r="C61" s="350"/>
      <c r="D61" s="523"/>
      <c r="E61" s="524"/>
      <c r="F61" s="294"/>
      <c r="G61" s="42"/>
      <c r="H61" s="41"/>
      <c r="I61" s="42"/>
      <c r="J61" s="42"/>
      <c r="K61" s="351"/>
      <c r="L61" s="348"/>
      <c r="M61" s="348"/>
      <c r="N61" s="11"/>
      <c r="O61" s="294"/>
      <c r="P61" s="12"/>
      <c r="S61" s="23"/>
    </row>
    <row r="62" spans="1:27" ht="15.75" thickBot="1">
      <c r="B62" s="496"/>
      <c r="C62" s="362"/>
      <c r="D62" s="499"/>
      <c r="E62" s="500"/>
      <c r="F62" s="43"/>
      <c r="G62" s="41"/>
      <c r="H62" s="41"/>
      <c r="I62" s="42"/>
      <c r="J62" s="503" t="s">
        <v>129</v>
      </c>
      <c r="K62" s="503"/>
      <c r="L62" s="294"/>
      <c r="M62" s="294"/>
      <c r="N62" s="294"/>
      <c r="O62" s="294"/>
      <c r="P62" s="12"/>
      <c r="S62" s="23" t="s">
        <v>41</v>
      </c>
    </row>
    <row r="63" spans="1:27" ht="13.5" customHeight="1" thickBot="1">
      <c r="B63" s="497"/>
      <c r="C63" s="349"/>
      <c r="D63" s="501"/>
      <c r="E63" s="502"/>
      <c r="F63" s="43"/>
      <c r="G63" s="41"/>
      <c r="H63" s="41"/>
      <c r="I63" s="42"/>
      <c r="J63" s="292" t="s">
        <v>17</v>
      </c>
      <c r="K63" s="293" t="s">
        <v>147</v>
      </c>
      <c r="L63" s="504" t="s">
        <v>136</v>
      </c>
      <c r="M63" s="504"/>
      <c r="N63" s="505"/>
      <c r="O63" s="294"/>
      <c r="P63" s="12"/>
      <c r="S63" s="23"/>
    </row>
    <row r="64" spans="1:27" ht="15" customHeight="1" thickBot="1">
      <c r="B64" s="497"/>
      <c r="C64" s="349"/>
      <c r="D64" s="506"/>
      <c r="E64" s="507"/>
      <c r="F64" s="43"/>
      <c r="G64" s="41"/>
      <c r="H64" s="41"/>
      <c r="I64" s="42"/>
      <c r="J64" s="287" t="s">
        <v>6</v>
      </c>
      <c r="K64" s="324"/>
      <c r="L64" s="343" t="s">
        <v>37</v>
      </c>
      <c r="M64" s="307" t="s">
        <v>38</v>
      </c>
      <c r="N64" s="307" t="s">
        <v>84</v>
      </c>
      <c r="O64" s="294"/>
      <c r="P64" s="12"/>
      <c r="S64" s="23"/>
    </row>
    <row r="65" spans="2:58" ht="15.75" customHeight="1" thickBot="1">
      <c r="B65" s="497"/>
      <c r="C65" s="349"/>
      <c r="D65" s="501"/>
      <c r="E65" s="502"/>
      <c r="F65" s="43"/>
      <c r="G65" s="41"/>
      <c r="H65" s="41"/>
      <c r="I65" s="42"/>
      <c r="J65" s="345" t="s">
        <v>9</v>
      </c>
      <c r="K65" s="324">
        <v>5</v>
      </c>
      <c r="L65" s="344" t="e">
        <f>AVERAGE(#REF!,#REF!,K74,#REF!,#REF!,#REF!,#REF!,#REF!,#REF!,#REF!,#REF!)</f>
        <v>#REF!</v>
      </c>
      <c r="M65" s="325" t="e">
        <f>AVERAGE(6,6,'[12]March 31st'!$L$80,'[14]June 30th  '!$L$71,6,L65,'[15]July 31st'!$L$108,'[16]Aug 30th'!$L$124,7,[17]Oct.31st!$L$51)</f>
        <v>#REF!</v>
      </c>
      <c r="N65" s="308">
        <v>9</v>
      </c>
      <c r="O65" s="294"/>
      <c r="P65" s="12"/>
      <c r="S65" s="23"/>
    </row>
    <row r="66" spans="2:58" ht="15" customHeight="1">
      <c r="B66" s="497"/>
      <c r="C66" s="349"/>
      <c r="D66" s="506"/>
      <c r="E66" s="507"/>
      <c r="F66" s="43"/>
      <c r="G66" s="41"/>
      <c r="H66" s="41"/>
      <c r="I66" s="42"/>
      <c r="J66" s="288" t="s">
        <v>40</v>
      </c>
      <c r="K66" s="324"/>
      <c r="L66" s="294"/>
      <c r="M66" s="294"/>
      <c r="N66" s="294"/>
      <c r="O66" s="294"/>
      <c r="P66" s="12"/>
      <c r="S66" s="23"/>
    </row>
    <row r="67" spans="2:58" ht="15" customHeight="1">
      <c r="B67" s="497"/>
      <c r="C67" s="349"/>
      <c r="D67" s="501"/>
      <c r="E67" s="502"/>
      <c r="F67" s="43"/>
      <c r="G67" s="41"/>
      <c r="H67" s="41"/>
      <c r="I67" s="42"/>
      <c r="J67" s="289" t="s">
        <v>33</v>
      </c>
      <c r="K67" s="324"/>
      <c r="L67" s="294"/>
      <c r="M67" s="294"/>
      <c r="N67" s="294"/>
      <c r="O67" s="294"/>
      <c r="P67" s="12"/>
      <c r="S67" s="23"/>
    </row>
    <row r="68" spans="2:58" ht="15">
      <c r="B68" s="497"/>
      <c r="C68" s="349"/>
      <c r="D68" s="506"/>
      <c r="E68" s="507"/>
      <c r="F68" s="43"/>
      <c r="G68" s="41"/>
      <c r="H68" s="41"/>
      <c r="I68" s="42"/>
      <c r="J68" s="290" t="s">
        <v>16</v>
      </c>
      <c r="K68" s="324"/>
      <c r="L68" s="294"/>
      <c r="M68" s="294"/>
      <c r="N68" s="294"/>
      <c r="O68" s="294"/>
      <c r="P68" s="12"/>
      <c r="S68" s="23"/>
      <c r="BD68" s="44"/>
      <c r="BE68" s="44"/>
    </row>
    <row r="69" spans="2:58" ht="15">
      <c r="B69" s="497"/>
      <c r="C69" s="349"/>
      <c r="D69" s="501"/>
      <c r="E69" s="502"/>
      <c r="F69" s="43"/>
      <c r="G69" s="41"/>
      <c r="H69" s="41"/>
      <c r="I69" s="42"/>
      <c r="J69" s="291" t="s">
        <v>15</v>
      </c>
      <c r="K69" s="324"/>
      <c r="L69" s="294"/>
      <c r="M69" s="294"/>
      <c r="N69" s="294"/>
      <c r="O69" s="294"/>
      <c r="P69" s="12"/>
      <c r="S69" s="23"/>
      <c r="BD69" s="44"/>
      <c r="BE69" s="44"/>
    </row>
    <row r="70" spans="2:58" ht="15">
      <c r="B70" s="497"/>
      <c r="C70" s="349"/>
      <c r="D70" s="508"/>
      <c r="E70" s="509"/>
      <c r="F70" s="43"/>
      <c r="G70" s="41"/>
      <c r="H70" s="41"/>
      <c r="I70" s="42"/>
      <c r="J70" s="291" t="s">
        <v>149</v>
      </c>
      <c r="K70" s="324"/>
      <c r="L70" s="294"/>
      <c r="M70" s="294"/>
      <c r="N70" s="294"/>
      <c r="O70" s="294"/>
      <c r="P70" s="12"/>
      <c r="S70" s="23"/>
      <c r="BD70" s="44"/>
      <c r="BE70" s="44"/>
    </row>
    <row r="71" spans="2:58" ht="15.75" thickBot="1">
      <c r="B71" s="498"/>
      <c r="C71" s="350"/>
      <c r="D71" s="510"/>
      <c r="E71" s="511"/>
      <c r="F71" s="43"/>
      <c r="G71" s="41"/>
      <c r="H71" s="41"/>
      <c r="I71" s="42"/>
      <c r="J71" s="291" t="s">
        <v>148</v>
      </c>
      <c r="K71" s="324"/>
      <c r="L71" s="294"/>
      <c r="M71" s="294"/>
      <c r="N71" s="294"/>
      <c r="O71" s="294"/>
      <c r="P71" s="12"/>
      <c r="S71" s="23"/>
      <c r="BD71" s="44"/>
      <c r="BE71" s="44"/>
    </row>
    <row r="72" spans="2:58" ht="17.649999999999999" customHeight="1" thickBot="1">
      <c r="B72" s="312" t="s">
        <v>139</v>
      </c>
      <c r="C72" s="313"/>
      <c r="D72" s="490">
        <f>AVERAGE(D50:E71)</f>
        <v>11.73</v>
      </c>
      <c r="E72" s="491"/>
      <c r="F72" s="43"/>
      <c r="G72" s="41"/>
      <c r="H72" s="41"/>
      <c r="I72" s="42"/>
      <c r="J72" s="295" t="s">
        <v>134</v>
      </c>
      <c r="K72" s="324"/>
      <c r="L72" s="294"/>
      <c r="M72" s="294"/>
      <c r="N72" s="294"/>
      <c r="O72" s="294"/>
      <c r="P72" s="12"/>
      <c r="S72" s="23"/>
      <c r="BD72" s="44"/>
      <c r="BE72" s="44"/>
    </row>
    <row r="73" spans="2:58" ht="17.649999999999999" customHeight="1">
      <c r="B73" s="363"/>
      <c r="C73" s="364"/>
      <c r="D73" s="365"/>
      <c r="E73" s="365"/>
      <c r="F73" s="43"/>
      <c r="G73" s="41"/>
      <c r="H73" s="41"/>
      <c r="I73" s="42"/>
      <c r="J73" s="295" t="s">
        <v>131</v>
      </c>
      <c r="K73" s="324"/>
      <c r="L73" s="294"/>
      <c r="M73" s="294"/>
      <c r="N73" s="294"/>
      <c r="O73" s="294"/>
      <c r="P73" s="12"/>
      <c r="S73" s="23"/>
      <c r="BD73" s="44"/>
      <c r="BE73" s="44"/>
    </row>
    <row r="74" spans="2:58" ht="15.75" customHeight="1">
      <c r="B74" s="45"/>
      <c r="C74" s="11"/>
      <c r="D74" s="11"/>
      <c r="E74" s="46"/>
      <c r="F74" s="23"/>
      <c r="G74" s="11"/>
      <c r="H74" s="41"/>
      <c r="I74" s="42"/>
      <c r="J74" s="346" t="s">
        <v>130</v>
      </c>
      <c r="K74" s="324">
        <f>SUM(K64:K73)</f>
        <v>5</v>
      </c>
      <c r="L74" s="294"/>
      <c r="M74" s="294"/>
      <c r="N74" s="294"/>
      <c r="O74" s="294"/>
      <c r="P74" s="12"/>
    </row>
    <row r="75" spans="2:58" ht="20.25" customHeight="1">
      <c r="B75" s="15" t="s">
        <v>42</v>
      </c>
      <c r="C75" s="1" t="s">
        <v>43</v>
      </c>
      <c r="D75" s="1"/>
      <c r="E75" s="1"/>
      <c r="I75" s="42"/>
      <c r="L75" s="294"/>
      <c r="P75" s="334"/>
    </row>
    <row r="76" spans="2:58" ht="15" customHeight="1" thickBot="1"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8"/>
      <c r="O76" s="48"/>
      <c r="P76" s="49"/>
      <c r="X76" s="275" t="s">
        <v>41</v>
      </c>
    </row>
    <row r="77" spans="2:58" ht="15" customHeight="1" thickBot="1">
      <c r="B77" s="480" t="s">
        <v>17</v>
      </c>
      <c r="C77" s="480" t="s">
        <v>44</v>
      </c>
      <c r="D77" s="492" t="s">
        <v>45</v>
      </c>
      <c r="E77" s="494" t="s">
        <v>46</v>
      </c>
      <c r="F77" s="488" t="s">
        <v>47</v>
      </c>
      <c r="G77" s="478" t="s">
        <v>48</v>
      </c>
      <c r="H77" s="480" t="s">
        <v>49</v>
      </c>
      <c r="I77" s="482" t="s">
        <v>50</v>
      </c>
      <c r="J77" s="472" t="s">
        <v>28</v>
      </c>
      <c r="K77" s="484" t="s">
        <v>51</v>
      </c>
      <c r="L77" s="486" t="s">
        <v>52</v>
      </c>
      <c r="M77" s="472" t="s">
        <v>53</v>
      </c>
      <c r="N77" s="77"/>
      <c r="O77" s="13"/>
      <c r="P77" s="50"/>
    </row>
    <row r="78" spans="2:58" ht="28.5" customHeight="1" thickTop="1" thickBot="1">
      <c r="B78" s="481"/>
      <c r="C78" s="481"/>
      <c r="D78" s="493"/>
      <c r="E78" s="495"/>
      <c r="F78" s="489"/>
      <c r="G78" s="479"/>
      <c r="H78" s="481"/>
      <c r="I78" s="483"/>
      <c r="J78" s="473"/>
      <c r="K78" s="485"/>
      <c r="L78" s="487"/>
      <c r="M78" s="473"/>
      <c r="N78" s="77"/>
      <c r="O78" s="13"/>
      <c r="P78" s="50"/>
      <c r="Q78" s="355"/>
      <c r="R78" s="355"/>
      <c r="S78" s="355"/>
      <c r="T78" s="355"/>
      <c r="U78" s="51">
        <v>43466</v>
      </c>
      <c r="V78" s="51">
        <v>43467</v>
      </c>
      <c r="W78" s="51">
        <v>43468</v>
      </c>
      <c r="X78" s="51">
        <v>43469</v>
      </c>
      <c r="Y78" s="51">
        <v>43470</v>
      </c>
      <c r="Z78" s="51">
        <v>43471</v>
      </c>
      <c r="AA78" s="51">
        <v>43472</v>
      </c>
      <c r="AB78" s="51">
        <v>43473</v>
      </c>
      <c r="AC78" s="51">
        <v>43474</v>
      </c>
      <c r="AD78" s="51">
        <v>43475</v>
      </c>
      <c r="AE78" s="51">
        <v>43476</v>
      </c>
      <c r="AF78" s="51">
        <v>43477</v>
      </c>
      <c r="AG78" s="51">
        <v>43478</v>
      </c>
      <c r="AH78" s="51">
        <v>43479</v>
      </c>
      <c r="AI78" s="51">
        <v>43480</v>
      </c>
      <c r="AJ78" s="51">
        <v>43481</v>
      </c>
      <c r="AK78" s="51">
        <v>43482</v>
      </c>
      <c r="AL78" s="51">
        <v>43483</v>
      </c>
      <c r="AM78" s="51">
        <v>43484</v>
      </c>
      <c r="AN78" s="51">
        <v>43485</v>
      </c>
      <c r="AO78" s="51">
        <v>43486</v>
      </c>
      <c r="AP78" s="51">
        <v>43487</v>
      </c>
      <c r="AQ78" s="51">
        <v>43488</v>
      </c>
      <c r="AR78" s="51">
        <v>43489</v>
      </c>
      <c r="AS78" s="51">
        <v>43490</v>
      </c>
      <c r="AT78" s="51">
        <v>43491</v>
      </c>
      <c r="AU78" s="51">
        <v>43492</v>
      </c>
      <c r="AV78" s="51">
        <v>43493</v>
      </c>
      <c r="AW78" s="51">
        <v>43494</v>
      </c>
      <c r="AX78" s="51">
        <v>43495</v>
      </c>
      <c r="AY78" s="51">
        <v>43496</v>
      </c>
    </row>
    <row r="79" spans="2:58" s="54" customFormat="1" ht="41.25" customHeight="1">
      <c r="B79" s="385" t="s">
        <v>9</v>
      </c>
      <c r="C79" s="283">
        <v>45278</v>
      </c>
      <c r="D79" s="377">
        <f>[18]December_2023!$U$13</f>
        <v>150.4</v>
      </c>
      <c r="E79" s="378"/>
      <c r="F79" s="379"/>
      <c r="G79" s="303">
        <f>[18]December_2023!$U$17</f>
        <v>120.8</v>
      </c>
      <c r="H79" s="381"/>
      <c r="I79" s="382"/>
      <c r="J79" s="360" t="s">
        <v>150</v>
      </c>
      <c r="K79" s="380">
        <f>[19]December_2023!$U$25</f>
        <v>0.42385964912280699</v>
      </c>
      <c r="L79" s="391">
        <f>(((D79+E79)-G79)/(D79+E79))*100</f>
        <v>19.680851063829792</v>
      </c>
      <c r="M79" s="357" t="s">
        <v>154</v>
      </c>
      <c r="N79" s="13"/>
      <c r="O79" s="13"/>
      <c r="P79" s="50"/>
      <c r="T79" s="272" t="s">
        <v>54</v>
      </c>
      <c r="U79" s="279"/>
      <c r="V79" s="279"/>
      <c r="W79" s="279"/>
      <c r="X79" s="279"/>
      <c r="Y79" s="279"/>
      <c r="Z79" s="279"/>
      <c r="AA79" s="279"/>
      <c r="AB79" s="279"/>
      <c r="AC79" s="279"/>
      <c r="AD79" s="279"/>
      <c r="AE79" s="279"/>
      <c r="AF79" s="279"/>
      <c r="AG79" s="279"/>
      <c r="AH79" s="279"/>
      <c r="AI79" s="279"/>
      <c r="AJ79" s="279"/>
      <c r="AK79" s="279"/>
      <c r="AL79" s="279"/>
      <c r="AM79" s="279"/>
      <c r="AN79" s="279"/>
      <c r="AO79" s="279"/>
      <c r="AP79" s="279"/>
      <c r="AQ79" s="279"/>
      <c r="AR79" s="279"/>
      <c r="AS79" s="279"/>
      <c r="AT79" s="279"/>
      <c r="AU79" s="279"/>
      <c r="AV79" s="279"/>
      <c r="AW79" s="279"/>
      <c r="AX79" s="279"/>
    </row>
    <row r="80" spans="2:58" s="54" customFormat="1" ht="18.75" customHeight="1" thickBot="1">
      <c r="B80" s="387"/>
      <c r="C80" s="283"/>
      <c r="D80" s="279"/>
      <c r="E80" s="279"/>
      <c r="F80" s="279"/>
      <c r="G80" s="279"/>
      <c r="H80" s="320"/>
      <c r="I80" s="321"/>
      <c r="J80" s="281" t="s">
        <v>41</v>
      </c>
      <c r="K80" s="376"/>
      <c r="L80" s="314"/>
      <c r="M80" s="384"/>
      <c r="N80" s="13"/>
      <c r="O80" s="13"/>
      <c r="P80" s="50"/>
      <c r="T80" s="272" t="s">
        <v>51</v>
      </c>
      <c r="U80" s="57" t="e">
        <f>[20]January_2019!D8</f>
        <v>#DIV/0!</v>
      </c>
      <c r="V80" s="57">
        <f>[20]January_2019!E8</f>
        <v>1.0319298245614037</v>
      </c>
      <c r="W80" s="57">
        <f>[20]January_2019!F8</f>
        <v>1.7789473684210526</v>
      </c>
      <c r="X80" s="57">
        <f>[20]January_2019!G8</f>
        <v>0.51929824561403504</v>
      </c>
      <c r="Y80" s="57" t="e">
        <f>[20]January_2019!H8</f>
        <v>#DIV/0!</v>
      </c>
      <c r="Z80" s="57" t="e">
        <f>[20]January_2019!I8</f>
        <v>#DIV/0!</v>
      </c>
      <c r="AA80" s="57">
        <f>[20]January_2019!J8</f>
        <v>1.365263157894737</v>
      </c>
      <c r="AB80" s="57" t="e">
        <f>[20]January_2019!K8</f>
        <v>#DIV/0!</v>
      </c>
      <c r="AC80" s="57">
        <f>[20]January_2019!L8</f>
        <v>1.0028070175438597</v>
      </c>
      <c r="AD80" s="57">
        <f>[20]January_2019!M8</f>
        <v>1.7828070175438597</v>
      </c>
      <c r="AE80" s="57" t="e">
        <f>[20]January_2019!N8</f>
        <v>#DIV/0!</v>
      </c>
      <c r="AF80" s="57" t="e">
        <f>[20]January_2019!O8</f>
        <v>#DIV/0!</v>
      </c>
      <c r="AG80" s="57">
        <f>[20]January_2019!P8</f>
        <v>0.19222222222222221</v>
      </c>
      <c r="AH80" s="57">
        <f>[20]January_2019!Q8</f>
        <v>0.52219298245614032</v>
      </c>
      <c r="AI80" s="57">
        <f>[20]January_2019!R8</f>
        <v>0.42912280701754385</v>
      </c>
      <c r="AJ80" s="57" t="e">
        <f>[20]January_2019!S8</f>
        <v>#DIV/0!</v>
      </c>
      <c r="AK80" s="57">
        <f>[20]January_2019!T8</f>
        <v>1.0340350877192983</v>
      </c>
      <c r="AL80" s="57">
        <f>[20]January_2019!U8</f>
        <v>0.98421052631578942</v>
      </c>
      <c r="AM80" s="57" t="e">
        <f>[20]January_2019!V8</f>
        <v>#DIV/0!</v>
      </c>
      <c r="AN80" s="57" t="e">
        <f>[20]January_2019!W8</f>
        <v>#DIV/0!</v>
      </c>
      <c r="AO80" s="57">
        <f>[20]January_2019!X8</f>
        <v>0.66052631578947374</v>
      </c>
      <c r="AP80" s="57">
        <f>[20]January_2019!Y8</f>
        <v>1.0375438596491227</v>
      </c>
      <c r="AQ80" s="57">
        <f>[20]January_2019!Z8</f>
        <v>0.90456140350877201</v>
      </c>
      <c r="AR80" s="57">
        <f>[20]January_2019!AA8</f>
        <v>1.0217543859649123</v>
      </c>
      <c r="AS80" s="57">
        <f>[20]January_2019!AB8</f>
        <v>0.65614035087719302</v>
      </c>
      <c r="AT80" s="57" t="e">
        <f>[20]January_2019!AC8</f>
        <v>#DIV/0!</v>
      </c>
      <c r="AU80" s="57" t="e">
        <f>[20]January_2019!AD8</f>
        <v>#DIV/0!</v>
      </c>
      <c r="AV80" s="57">
        <f>[20]January_2019!AE8</f>
        <v>1.7021052631578948</v>
      </c>
      <c r="AW80" s="57">
        <f>[20]January_2019!AF8</f>
        <v>0.60192982456140354</v>
      </c>
      <c r="AX80" s="57">
        <f>[20]January_2019!AG8</f>
        <v>1.4870175438596491</v>
      </c>
      <c r="AY80" s="277" t="e">
        <f>[20]January_2019!AH8</f>
        <v>#DIV/0!</v>
      </c>
      <c r="AZ80" s="277"/>
      <c r="BA80" s="277"/>
      <c r="BB80" s="277"/>
      <c r="BC80" s="277"/>
      <c r="BD80" s="277"/>
      <c r="BE80" s="277"/>
      <c r="BF80" s="277"/>
    </row>
    <row r="81" spans="2:58" s="54" customFormat="1" ht="45.75" hidden="1" customHeight="1" thickBot="1">
      <c r="B81" s="29"/>
      <c r="C81" s="283"/>
      <c r="D81" s="279"/>
      <c r="E81" s="279"/>
      <c r="F81" s="279"/>
      <c r="G81" s="279"/>
      <c r="H81" s="381"/>
      <c r="I81" s="382"/>
      <c r="J81" s="390"/>
      <c r="K81" s="372"/>
      <c r="L81" s="391"/>
      <c r="M81" s="357"/>
      <c r="N81" s="13"/>
      <c r="O81" s="13"/>
      <c r="P81" s="50"/>
      <c r="T81" s="272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277"/>
      <c r="AZ81" s="277"/>
      <c r="BA81" s="277"/>
      <c r="BB81" s="277"/>
      <c r="BC81" s="277"/>
      <c r="BD81" s="277"/>
      <c r="BE81" s="277"/>
      <c r="BF81" s="277"/>
    </row>
    <row r="82" spans="2:58" s="54" customFormat="1" ht="28.5" hidden="1" customHeight="1" thickBot="1">
      <c r="B82" s="361"/>
      <c r="C82" s="283"/>
      <c r="D82" s="304"/>
      <c r="E82" s="279"/>
      <c r="F82" s="279"/>
      <c r="G82" s="279"/>
      <c r="H82" s="320"/>
      <c r="I82" s="321"/>
      <c r="J82" s="389"/>
      <c r="K82" s="376"/>
      <c r="L82" s="314"/>
      <c r="M82" s="354"/>
      <c r="N82" s="13"/>
      <c r="O82" s="13"/>
      <c r="P82" s="50"/>
      <c r="T82" s="272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277"/>
      <c r="AZ82" s="277"/>
      <c r="BA82" s="277"/>
      <c r="BB82" s="277"/>
      <c r="BC82" s="277"/>
      <c r="BD82" s="277"/>
      <c r="BE82" s="277"/>
      <c r="BF82" s="277"/>
    </row>
    <row r="83" spans="2:58" s="54" customFormat="1" ht="45.75" hidden="1" customHeight="1">
      <c r="B83" s="385"/>
      <c r="C83" s="283"/>
      <c r="D83" s="279"/>
      <c r="E83" s="279"/>
      <c r="F83" s="279"/>
      <c r="G83" s="279"/>
      <c r="H83" s="320"/>
      <c r="I83" s="322"/>
      <c r="J83" s="360"/>
      <c r="K83" s="286"/>
      <c r="L83" s="314"/>
      <c r="M83" s="384"/>
      <c r="N83" s="13"/>
      <c r="O83" s="13"/>
      <c r="P83" s="50"/>
      <c r="T83" s="272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277"/>
      <c r="AZ83" s="277"/>
      <c r="BA83" s="277"/>
      <c r="BB83" s="277"/>
      <c r="BC83" s="277"/>
      <c r="BD83" s="277"/>
      <c r="BE83" s="277"/>
      <c r="BF83" s="277"/>
    </row>
    <row r="84" spans="2:58" s="54" customFormat="1" ht="45.75" hidden="1" customHeight="1">
      <c r="B84" s="361"/>
      <c r="C84" s="283"/>
      <c r="D84" s="279"/>
      <c r="E84" s="279"/>
      <c r="F84" s="279"/>
      <c r="G84" s="279"/>
      <c r="H84" s="320"/>
      <c r="I84" s="322"/>
      <c r="J84" s="281"/>
      <c r="K84" s="286"/>
      <c r="L84" s="314"/>
      <c r="M84" s="339"/>
      <c r="N84" s="13"/>
      <c r="O84" s="13"/>
      <c r="P84" s="50"/>
      <c r="T84" s="272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277"/>
      <c r="AZ84" s="277"/>
      <c r="BA84" s="277"/>
      <c r="BB84" s="277"/>
      <c r="BC84" s="277"/>
      <c r="BD84" s="277"/>
      <c r="BE84" s="277"/>
      <c r="BF84" s="277"/>
    </row>
    <row r="85" spans="2:58" ht="15.75" hidden="1" thickBot="1">
      <c r="B85" s="33"/>
      <c r="C85" s="310"/>
      <c r="D85" s="279"/>
      <c r="E85" s="279"/>
      <c r="F85" s="279"/>
      <c r="G85" s="279"/>
      <c r="H85" s="352"/>
      <c r="I85" s="353"/>
      <c r="J85" s="52"/>
      <c r="K85" s="52"/>
      <c r="L85" s="53"/>
      <c r="M85" s="55"/>
      <c r="N85" s="77"/>
      <c r="O85" s="13"/>
      <c r="P85" s="56"/>
    </row>
    <row r="86" spans="2:58" ht="15.75" thickBot="1">
      <c r="B86" s="58"/>
      <c r="C86" s="309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9"/>
      <c r="O86" s="56"/>
      <c r="P86" s="60"/>
    </row>
    <row r="87" spans="2:58" ht="15.75" thickBot="1">
      <c r="B87" s="474" t="s">
        <v>55</v>
      </c>
      <c r="C87" s="475"/>
      <c r="D87" s="475"/>
      <c r="E87" s="475"/>
      <c r="F87" s="476"/>
      <c r="G87" s="474" t="s">
        <v>56</v>
      </c>
      <c r="H87" s="475"/>
      <c r="I87" s="475"/>
      <c r="J87" s="476"/>
      <c r="K87" s="474" t="s">
        <v>51</v>
      </c>
      <c r="L87" s="475"/>
      <c r="M87" s="475"/>
      <c r="N87" s="477"/>
      <c r="O87" s="56"/>
      <c r="P87" s="50"/>
    </row>
    <row r="88" spans="2:58" ht="15">
      <c r="B88" s="61" t="s">
        <v>17</v>
      </c>
      <c r="C88" s="62" t="s">
        <v>36</v>
      </c>
      <c r="D88" s="62" t="s">
        <v>37</v>
      </c>
      <c r="E88" s="62" t="s">
        <v>38</v>
      </c>
      <c r="F88" s="63" t="s">
        <v>39</v>
      </c>
      <c r="G88" s="62" t="s">
        <v>36</v>
      </c>
      <c r="H88" s="62" t="s">
        <v>37</v>
      </c>
      <c r="I88" s="62" t="s">
        <v>38</v>
      </c>
      <c r="J88" s="63" t="s">
        <v>39</v>
      </c>
      <c r="K88" s="62" t="s">
        <v>36</v>
      </c>
      <c r="L88" s="62" t="s">
        <v>37</v>
      </c>
      <c r="M88" s="62" t="s">
        <v>38</v>
      </c>
      <c r="N88" s="63" t="s">
        <v>39</v>
      </c>
      <c r="O88" s="56"/>
      <c r="P88" s="64"/>
    </row>
    <row r="89" spans="2:58" ht="15">
      <c r="B89" s="29" t="s">
        <v>6</v>
      </c>
      <c r="D89" s="76">
        <v>5.181332008533289</v>
      </c>
      <c r="E89" s="76">
        <v>6.6038502743493472</v>
      </c>
      <c r="F89" s="66">
        <v>4.8</v>
      </c>
      <c r="H89" s="76">
        <v>5.2502762338962023</v>
      </c>
      <c r="I89" s="76">
        <v>6.9665257793219286</v>
      </c>
      <c r="J89" s="66">
        <v>4.8</v>
      </c>
      <c r="L89" s="194">
        <v>0.70807017543859652</v>
      </c>
      <c r="M89" s="194">
        <v>0.77999467121139654</v>
      </c>
      <c r="N89" s="68">
        <v>1</v>
      </c>
      <c r="O89" s="56"/>
      <c r="P89" s="69"/>
    </row>
    <row r="90" spans="2:58" ht="15">
      <c r="B90" s="33" t="s">
        <v>9</v>
      </c>
      <c r="C90" s="65">
        <f>AVERAGE(L79,L81)</f>
        <v>19.680851063829792</v>
      </c>
      <c r="D90" s="76">
        <v>6.5498914589415387</v>
      </c>
      <c r="E90" s="76">
        <v>6.1662321034923213</v>
      </c>
      <c r="F90" s="66">
        <v>4.8</v>
      </c>
      <c r="G90" s="65">
        <f>[18]December_2023!$U$21</f>
        <v>19.680851063829799</v>
      </c>
      <c r="H90" s="76">
        <v>6.3458281571920923</v>
      </c>
      <c r="I90" s="76">
        <v>5.9138833775175614</v>
      </c>
      <c r="J90" s="66">
        <v>4.8</v>
      </c>
      <c r="K90" s="67">
        <f>AVERAGE(K79,K81)</f>
        <v>0.42385964912280699</v>
      </c>
      <c r="L90" s="194">
        <v>0.66137426900584784</v>
      </c>
      <c r="M90" s="194">
        <v>0.71942943874066057</v>
      </c>
      <c r="N90" s="68">
        <v>1</v>
      </c>
      <c r="P90" s="69"/>
    </row>
    <row r="91" spans="2:58" ht="15">
      <c r="B91" s="34" t="s">
        <v>40</v>
      </c>
      <c r="C91" s="65"/>
      <c r="D91" s="76">
        <v>8.4423676012461133</v>
      </c>
      <c r="E91" s="76">
        <v>8.9890454879433594</v>
      </c>
      <c r="F91" s="66">
        <v>5.5</v>
      </c>
      <c r="G91" s="65"/>
      <c r="H91" s="76">
        <v>5.9624998430282856</v>
      </c>
      <c r="I91" s="76">
        <v>8.6652309201910018</v>
      </c>
      <c r="J91" s="66">
        <v>5.5</v>
      </c>
      <c r="K91" s="67"/>
      <c r="L91" s="194">
        <v>0.5156140350877193</v>
      </c>
      <c r="M91" s="194">
        <v>0.65035607537361928</v>
      </c>
      <c r="N91" s="68">
        <v>1</v>
      </c>
      <c r="P91" s="69"/>
    </row>
    <row r="92" spans="2:58" ht="15">
      <c r="B92" s="22" t="s">
        <v>33</v>
      </c>
      <c r="C92" s="65"/>
      <c r="D92" s="76">
        <v>3.5978480161398938</v>
      </c>
      <c r="E92" s="76">
        <v>2.9936806546492249</v>
      </c>
      <c r="F92" s="66">
        <v>3.3</v>
      </c>
      <c r="G92" s="65"/>
      <c r="H92" s="76">
        <v>6.0982020044620322</v>
      </c>
      <c r="I92" s="76">
        <v>3.3134542932705222</v>
      </c>
      <c r="J92" s="66">
        <v>3.3</v>
      </c>
      <c r="K92" s="67"/>
      <c r="L92" s="194">
        <v>0.50298245614035086</v>
      </c>
      <c r="M92" s="194">
        <v>1.0625518341307816</v>
      </c>
      <c r="N92" s="68">
        <v>1</v>
      </c>
      <c r="P92" s="69"/>
    </row>
    <row r="93" spans="2:58" ht="15">
      <c r="B93" s="35" t="s">
        <v>29</v>
      </c>
      <c r="C93" s="65"/>
      <c r="D93" s="76"/>
      <c r="E93" s="76"/>
      <c r="F93" s="66">
        <v>3.3</v>
      </c>
      <c r="G93" s="282"/>
      <c r="H93" s="76"/>
      <c r="I93" s="76"/>
      <c r="J93" s="66">
        <v>3</v>
      </c>
      <c r="K93" s="67"/>
      <c r="L93" s="194"/>
      <c r="M93" s="194"/>
      <c r="N93" s="68">
        <v>1</v>
      </c>
      <c r="P93" s="69"/>
    </row>
    <row r="94" spans="2:58" ht="15">
      <c r="B94" s="36" t="s">
        <v>15</v>
      </c>
      <c r="C94" s="282"/>
      <c r="D94" s="76"/>
      <c r="E94" s="76">
        <v>6.4174306465055304</v>
      </c>
      <c r="F94" s="70">
        <f>[21]May_2022!$M$43</f>
        <v>3.4878406700073312</v>
      </c>
      <c r="G94" s="282"/>
      <c r="H94" s="76"/>
      <c r="I94" s="76">
        <v>7.0730654939490236</v>
      </c>
      <c r="J94" s="70">
        <v>5.5</v>
      </c>
      <c r="K94" s="67"/>
      <c r="L94" s="194"/>
      <c r="M94" s="194">
        <v>1.0342105263157895</v>
      </c>
      <c r="N94" s="68">
        <v>1</v>
      </c>
      <c r="P94" s="69"/>
    </row>
    <row r="95" spans="2:58" ht="15">
      <c r="B95" s="37" t="s">
        <v>16</v>
      </c>
      <c r="C95" s="65"/>
      <c r="D95" s="76">
        <v>2.7692803091289537</v>
      </c>
      <c r="E95" s="76">
        <v>3.0589057857018314</v>
      </c>
      <c r="F95" s="70">
        <v>3.3</v>
      </c>
      <c r="G95" s="282"/>
      <c r="H95" s="76">
        <v>4.2179953480824466</v>
      </c>
      <c r="I95" s="76">
        <v>4.9470952635574701</v>
      </c>
      <c r="J95" s="70">
        <v>3.3</v>
      </c>
      <c r="K95" s="67"/>
      <c r="L95" s="194">
        <v>1.0594736842105266</v>
      </c>
      <c r="M95" s="194">
        <v>1.0223839009287927</v>
      </c>
      <c r="N95" s="71">
        <v>1</v>
      </c>
      <c r="P95" s="69"/>
    </row>
    <row r="96" spans="2:58" ht="15.75" thickBot="1">
      <c r="B96" s="38" t="s">
        <v>127</v>
      </c>
      <c r="C96" s="65"/>
      <c r="D96" s="76"/>
      <c r="E96" s="76">
        <v>11.178247734138981</v>
      </c>
      <c r="F96" s="72">
        <v>7.5</v>
      </c>
      <c r="G96" s="73"/>
      <c r="H96" s="76"/>
      <c r="I96" s="76">
        <v>14.598510156332937</v>
      </c>
      <c r="J96" s="72">
        <v>7.5</v>
      </c>
      <c r="K96" s="67"/>
      <c r="L96" s="194"/>
      <c r="M96" s="194">
        <v>0.30947368421052629</v>
      </c>
      <c r="N96" s="71">
        <v>1</v>
      </c>
      <c r="P96" s="69"/>
    </row>
    <row r="97" spans="3:30" ht="15">
      <c r="C97" s="65"/>
      <c r="D97" s="76">
        <v>5.3927000828210607</v>
      </c>
      <c r="E97" s="76">
        <v>6.2517133375322747</v>
      </c>
      <c r="F97" s="341">
        <v>4.5</v>
      </c>
      <c r="G97" s="74"/>
      <c r="H97" s="76">
        <v>5.4965257407735688</v>
      </c>
      <c r="I97" s="76">
        <v>6.5279580392540781</v>
      </c>
      <c r="J97" s="342">
        <v>4.5</v>
      </c>
      <c r="K97" s="67"/>
      <c r="L97" s="194">
        <v>0.69682017543859642</v>
      </c>
      <c r="M97" s="194">
        <v>0.78265037728044273</v>
      </c>
      <c r="N97" s="386">
        <v>1</v>
      </c>
      <c r="O97" s="74"/>
      <c r="P97" s="75"/>
    </row>
    <row r="102" spans="3:30">
      <c r="F102" s="315"/>
    </row>
    <row r="110" spans="3:30">
      <c r="AD110" s="275" t="s">
        <v>57</v>
      </c>
    </row>
  </sheetData>
  <mergeCells count="54">
    <mergeCell ref="C4:D4"/>
    <mergeCell ref="J4:K5"/>
    <mergeCell ref="M4:N4"/>
    <mergeCell ref="T1:U1"/>
    <mergeCell ref="V1:W1"/>
    <mergeCell ref="X1:Y1"/>
    <mergeCell ref="Z1:AA1"/>
    <mergeCell ref="B2:O2"/>
    <mergeCell ref="D49:E49"/>
    <mergeCell ref="J6:K7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Q8:Q9"/>
    <mergeCell ref="I48:N48"/>
    <mergeCell ref="B50:B61"/>
    <mergeCell ref="D50:E51"/>
    <mergeCell ref="D52:E53"/>
    <mergeCell ref="D54:E55"/>
    <mergeCell ref="D56:E57"/>
    <mergeCell ref="D58:E59"/>
    <mergeCell ref="D60:E61"/>
    <mergeCell ref="B62:B71"/>
    <mergeCell ref="D62:E63"/>
    <mergeCell ref="J62:K62"/>
    <mergeCell ref="L63:N63"/>
    <mergeCell ref="D64:E65"/>
    <mergeCell ref="D66:E67"/>
    <mergeCell ref="D68:E69"/>
    <mergeCell ref="D70:E71"/>
    <mergeCell ref="D72:E72"/>
    <mergeCell ref="B77:B78"/>
    <mergeCell ref="C77:C78"/>
    <mergeCell ref="D77:D78"/>
    <mergeCell ref="E77:E78"/>
    <mergeCell ref="M77:M78"/>
    <mergeCell ref="B87:F87"/>
    <mergeCell ref="G87:J87"/>
    <mergeCell ref="K87:N87"/>
    <mergeCell ref="G77:G78"/>
    <mergeCell ref="H77:H78"/>
    <mergeCell ref="I77:I78"/>
    <mergeCell ref="J77:J78"/>
    <mergeCell ref="K77:K78"/>
    <mergeCell ref="L77:L78"/>
    <mergeCell ref="F77:F78"/>
  </mergeCells>
  <conditionalFormatting sqref="B72:B73">
    <cfRule type="cellIs" dxfId="3730" priority="157" operator="notBetween">
      <formula>#REF!</formula>
      <formula>#REF!</formula>
    </cfRule>
  </conditionalFormatting>
  <conditionalFormatting sqref="C76">
    <cfRule type="cellIs" dxfId="3729" priority="190" stopIfTrue="1" operator="greaterThan">
      <formula>100</formula>
    </cfRule>
    <cfRule type="cellIs" dxfId="3728" priority="189" stopIfTrue="1" operator="lessThan">
      <formula>96</formula>
    </cfRule>
  </conditionalFormatting>
  <conditionalFormatting sqref="C90">
    <cfRule type="cellIs" dxfId="3727" priority="212" stopIfTrue="1" operator="greaterThan">
      <formula>$F89</formula>
    </cfRule>
    <cfRule type="cellIs" dxfId="3726" priority="106" stopIfTrue="1" operator="lessThanOrEqual">
      <formula>0</formula>
    </cfRule>
  </conditionalFormatting>
  <conditionalFormatting sqref="C91:C93">
    <cfRule type="cellIs" dxfId="3725" priority="105" stopIfTrue="1" operator="greaterThan">
      <formula>$F91</formula>
    </cfRule>
  </conditionalFormatting>
  <conditionalFormatting sqref="C91:C94">
    <cfRule type="cellIs" dxfId="3724" priority="129" stopIfTrue="1" operator="lessThanOrEqual">
      <formula>0</formula>
    </cfRule>
  </conditionalFormatting>
  <conditionalFormatting sqref="C94">
    <cfRule type="cellIs" dxfId="3723" priority="128" stopIfTrue="1" operator="greaterThan">
      <formula>$J94</formula>
    </cfRule>
  </conditionalFormatting>
  <conditionalFormatting sqref="C95:C97">
    <cfRule type="cellIs" dxfId="3722" priority="145" stopIfTrue="1" operator="greaterThan">
      <formula>$F95</formula>
    </cfRule>
    <cfRule type="cellIs" dxfId="3721" priority="146" stopIfTrue="1" operator="lessThanOrEqual">
      <formula>0</formula>
    </cfRule>
  </conditionalFormatting>
  <conditionalFormatting sqref="C100:C104">
    <cfRule type="cellIs" dxfId="3720" priority="181" stopIfTrue="1" operator="lessThanOrEqual">
      <formula>0</formula>
    </cfRule>
  </conditionalFormatting>
  <conditionalFormatting sqref="C101:C104">
    <cfRule type="cellIs" dxfId="3719" priority="180" stopIfTrue="1" operator="greaterThan">
      <formula>$F$100</formula>
    </cfRule>
  </conditionalFormatting>
  <conditionalFormatting sqref="C106">
    <cfRule type="cellIs" dxfId="3718" priority="183" stopIfTrue="1" operator="lessThanOrEqual">
      <formula>0</formula>
    </cfRule>
    <cfRule type="cellIs" dxfId="3717" priority="182" stopIfTrue="1" operator="greaterThan">
      <formula>$F$100</formula>
    </cfRule>
  </conditionalFormatting>
  <conditionalFormatting sqref="C100:D100 D102:D108">
    <cfRule type="cellIs" dxfId="3716" priority="175" stopIfTrue="1" operator="greaterThan">
      <formula>4.5</formula>
    </cfRule>
  </conditionalFormatting>
  <conditionalFormatting sqref="D72:D73">
    <cfRule type="cellIs" dxfId="3715" priority="158" operator="notBetween">
      <formula>#REF!</formula>
      <formula>#REF!</formula>
    </cfRule>
  </conditionalFormatting>
  <conditionalFormatting sqref="D89:D96">
    <cfRule type="cellIs" dxfId="3714" priority="144" stopIfTrue="1" operator="lessThanOrEqual">
      <formula>0</formula>
    </cfRule>
  </conditionalFormatting>
  <conditionalFormatting sqref="D97">
    <cfRule type="cellIs" dxfId="3713" priority="143" stopIfTrue="1" operator="lessThanOrEqual">
      <formula>0</formula>
    </cfRule>
  </conditionalFormatting>
  <conditionalFormatting sqref="D100 D102:D108">
    <cfRule type="cellIs" dxfId="3712" priority="176" stopIfTrue="1" operator="lessThanOrEqual">
      <formula>0</formula>
    </cfRule>
  </conditionalFormatting>
  <conditionalFormatting sqref="D101">
    <cfRule type="cellIs" dxfId="3711" priority="167" stopIfTrue="1" operator="greaterThan">
      <formula>$F$100</formula>
    </cfRule>
    <cfRule type="cellIs" dxfId="3710" priority="168" stopIfTrue="1" operator="lessThanOrEqual">
      <formula>0</formula>
    </cfRule>
  </conditionalFormatting>
  <conditionalFormatting sqref="D89:E97">
    <cfRule type="cellIs" dxfId="3709" priority="135" stopIfTrue="1" operator="greaterThan">
      <formula>$F89</formula>
    </cfRule>
  </conditionalFormatting>
  <conditionalFormatting sqref="E10:E14">
    <cfRule type="cellIs" dxfId="3708" priority="52" operator="lessThan">
      <formula>48</formula>
    </cfRule>
  </conditionalFormatting>
  <conditionalFormatting sqref="E33:E46">
    <cfRule type="cellIs" dxfId="3707" priority="25" operator="lessThan">
      <formula>48</formula>
    </cfRule>
  </conditionalFormatting>
  <conditionalFormatting sqref="E76">
    <cfRule type="cellIs" dxfId="3706" priority="169" stopIfTrue="1" operator="lessThan">
      <formula>96.8</formula>
    </cfRule>
    <cfRule type="cellIs" dxfId="3705" priority="170" stopIfTrue="1" operator="greaterThan">
      <formula>100</formula>
    </cfRule>
  </conditionalFormatting>
  <conditionalFormatting sqref="E89:E97">
    <cfRule type="cellIs" dxfId="3704" priority="136" stopIfTrue="1" operator="lessThanOrEqual">
      <formula>0</formula>
    </cfRule>
  </conditionalFormatting>
  <conditionalFormatting sqref="E100:E108">
    <cfRule type="cellIs" dxfId="3703" priority="161" stopIfTrue="1" operator="greaterThan">
      <formula>4.5</formula>
    </cfRule>
    <cfRule type="cellIs" dxfId="3702" priority="162" stopIfTrue="1" operator="lessThanOrEqual">
      <formula>0</formula>
    </cfRule>
  </conditionalFormatting>
  <conditionalFormatting sqref="E75:F76">
    <cfRule type="cellIs" dxfId="3701" priority="171" stopIfTrue="1" operator="lessThan">
      <formula>96.5</formula>
    </cfRule>
    <cfRule type="cellIs" dxfId="3700" priority="172" stopIfTrue="1" operator="greaterThan">
      <formula>100</formula>
    </cfRule>
  </conditionalFormatting>
  <conditionalFormatting sqref="F10:F12">
    <cfRule type="cellIs" dxfId="3699" priority="62" operator="greaterThan">
      <formula>#REF!</formula>
    </cfRule>
  </conditionalFormatting>
  <conditionalFormatting sqref="F10:F47">
    <cfRule type="cellIs" dxfId="3698" priority="15" operator="greaterThan">
      <formula>$AA10</formula>
    </cfRule>
  </conditionalFormatting>
  <conditionalFormatting sqref="F13">
    <cfRule type="cellIs" dxfId="3697" priority="53" operator="greaterThan">
      <formula>$AA47</formula>
    </cfRule>
  </conditionalFormatting>
  <conditionalFormatting sqref="F14">
    <cfRule type="cellIs" dxfId="3696" priority="196" operator="greaterThan">
      <formula>#REF!</formula>
    </cfRule>
  </conditionalFormatting>
  <conditionalFormatting sqref="F33:F46">
    <cfRule type="cellIs" dxfId="3695" priority="26" operator="greaterThan">
      <formula>$AA48</formula>
    </cfRule>
  </conditionalFormatting>
  <conditionalFormatting sqref="F76">
    <cfRule type="cellIs" dxfId="3694" priority="188" stopIfTrue="1" operator="greaterThan">
      <formula>100</formula>
    </cfRule>
    <cfRule type="cellIs" dxfId="3693" priority="187" stopIfTrue="1" operator="lessThan">
      <formula>96.8</formula>
    </cfRule>
  </conditionalFormatting>
  <conditionalFormatting sqref="F97">
    <cfRule type="cellIs" dxfId="3692" priority="137" stopIfTrue="1" operator="greaterThan">
      <formula>$F97</formula>
    </cfRule>
    <cfRule type="cellIs" dxfId="3691" priority="138" stopIfTrue="1" operator="lessThanOrEqual">
      <formula>0</formula>
    </cfRule>
  </conditionalFormatting>
  <conditionalFormatting sqref="G10:G14">
    <cfRule type="expression" dxfId="3690" priority="54">
      <formula>IF(+(IF(G10&lt;#REF!,0,IF(G10&gt;#REF!,0,1)))=0,1)</formula>
    </cfRule>
  </conditionalFormatting>
  <conditionalFormatting sqref="G33:G46">
    <cfRule type="expression" dxfId="3689" priority="27">
      <formula>IF(+(IF(G33&lt;#REF!,0,IF(G33&gt;#REF!,0,1)))=0,1)</formula>
    </cfRule>
  </conditionalFormatting>
  <conditionalFormatting sqref="G90">
    <cfRule type="cellIs" dxfId="3688" priority="71" stopIfTrue="1" operator="lessThanOrEqual">
      <formula>0</formula>
    </cfRule>
    <cfRule type="cellIs" dxfId="3687" priority="70" stopIfTrue="1" operator="greaterThan">
      <formula>$F89</formula>
    </cfRule>
  </conditionalFormatting>
  <conditionalFormatting sqref="G90:G91">
    <cfRule type="cellIs" dxfId="3686" priority="192" stopIfTrue="1" operator="lessThanOrEqual">
      <formula>0</formula>
    </cfRule>
    <cfRule type="cellIs" dxfId="3685" priority="191" stopIfTrue="1" operator="greaterThan">
      <formula>$F89</formula>
    </cfRule>
  </conditionalFormatting>
  <conditionalFormatting sqref="G92">
    <cfRule type="cellIs" dxfId="3684" priority="140" stopIfTrue="1" operator="lessThanOrEqual">
      <formula>0</formula>
    </cfRule>
    <cfRule type="cellIs" dxfId="3683" priority="139" stopIfTrue="1" operator="greaterThan">
      <formula>$F92</formula>
    </cfRule>
  </conditionalFormatting>
  <conditionalFormatting sqref="G93:G96">
    <cfRule type="cellIs" dxfId="3682" priority="149" stopIfTrue="1" operator="lessThanOrEqual">
      <formula>0</formula>
    </cfRule>
    <cfRule type="cellIs" dxfId="3681" priority="148" stopIfTrue="1" operator="greaterThan">
      <formula>$J93</formula>
    </cfRule>
  </conditionalFormatting>
  <conditionalFormatting sqref="G97">
    <cfRule type="cellIs" dxfId="3680" priority="147" operator="greaterThan">
      <formula>4.5</formula>
    </cfRule>
  </conditionalFormatting>
  <conditionalFormatting sqref="G102:G107 C105 C107">
    <cfRule type="cellIs" dxfId="3679" priority="184" stopIfTrue="1" operator="greaterThan">
      <formula>4.5</formula>
    </cfRule>
    <cfRule type="cellIs" dxfId="3678" priority="185" stopIfTrue="1" operator="lessThanOrEqual">
      <formula>0</formula>
    </cfRule>
  </conditionalFormatting>
  <conditionalFormatting sqref="G62:H62 G63:G73 H63:H74">
    <cfRule type="cellIs" dxfId="3677" priority="163" stopIfTrue="1" operator="greaterThan">
      <formula>0</formula>
    </cfRule>
  </conditionalFormatting>
  <conditionalFormatting sqref="G101:H101">
    <cfRule type="cellIs" dxfId="3676" priority="166" stopIfTrue="1" operator="lessThanOrEqual">
      <formula>0</formula>
    </cfRule>
    <cfRule type="cellIs" dxfId="3675" priority="165" stopIfTrue="1" operator="greaterThan">
      <formula>$F$100</formula>
    </cfRule>
  </conditionalFormatting>
  <conditionalFormatting sqref="H10">
    <cfRule type="expression" dxfId="3674" priority="63">
      <formula>IF(+(IF(H10&lt;T27,0,IF(H10&gt;U27,0,1)))=0,1)</formula>
    </cfRule>
  </conditionalFormatting>
  <conditionalFormatting sqref="H10:H12">
    <cfRule type="expression" dxfId="3673" priority="64">
      <formula>IF(+(IF(H10&lt;#REF!,0,IF(H10&gt;#REF!,0,1)))=0,1)</formula>
    </cfRule>
  </conditionalFormatting>
  <conditionalFormatting sqref="H11:H12">
    <cfRule type="expression" dxfId="3672" priority="207">
      <formula>IF(+(IF(H11&lt;T47,0,IF(H11&gt;U47,0,1)))=0,1)</formula>
    </cfRule>
  </conditionalFormatting>
  <conditionalFormatting sqref="H13">
    <cfRule type="expression" dxfId="3671" priority="55">
      <formula>IF(+(IF(H13&lt;T56,0,IF(H13&gt;U56,0,1)))=0,1)</formula>
    </cfRule>
    <cfRule type="expression" dxfId="3670" priority="56">
      <formula>IF(+(IF(H13&lt;T47,0,IF(H13&gt;U47,0,1)))=0,1)</formula>
    </cfRule>
  </conditionalFormatting>
  <conditionalFormatting sqref="H14">
    <cfRule type="expression" dxfId="3669" priority="197">
      <formula>IF(+(IF(H14&lt;T50,0,IF(H14&gt;U50,0,1)))=0,1)</formula>
    </cfRule>
    <cfRule type="expression" dxfId="3668" priority="198">
      <formula>IF(+(IF(H14&lt;#REF!,0,IF(H14&gt;#REF!,0,1)))=0,1)</formula>
    </cfRule>
  </conditionalFormatting>
  <conditionalFormatting sqref="H15:H32">
    <cfRule type="expression" dxfId="3667" priority="209">
      <formula>IF(+(IF(H15&lt;T66,0,IF(H15&gt;U66,0,1)))=0,1)</formula>
    </cfRule>
  </conditionalFormatting>
  <conditionalFormatting sqref="H33:H46">
    <cfRule type="expression" dxfId="3666" priority="29">
      <formula>IF(+(IF(H33&lt;T48,0,IF(H33&gt;U48,0,1)))=0,1)</formula>
    </cfRule>
    <cfRule type="expression" dxfId="3665" priority="28">
      <formula>IF(+(IF(H33&lt;T57,0,IF(H33&gt;U57,0,1)))=0,1)</formula>
    </cfRule>
  </conditionalFormatting>
  <conditionalFormatting sqref="H47">
    <cfRule type="expression" dxfId="3664" priority="193">
      <formula>IF(+(IF(H47&lt;#REF!,0,IF(H47&gt;#REF!,0,1)))=0,1)</formula>
    </cfRule>
  </conditionalFormatting>
  <conditionalFormatting sqref="H51:H61">
    <cfRule type="cellIs" dxfId="3663" priority="159" stopIfTrue="1" operator="greaterThan">
      <formula>0</formula>
    </cfRule>
  </conditionalFormatting>
  <conditionalFormatting sqref="H79">
    <cfRule type="cellIs" dxfId="3662" priority="12" stopIfTrue="1" operator="lessThanOrEqual">
      <formula>0</formula>
    </cfRule>
    <cfRule type="cellIs" dxfId="3661" priority="14" stopIfTrue="1" operator="lessThanOrEqual">
      <formula>0</formula>
    </cfRule>
    <cfRule type="cellIs" dxfId="3660" priority="13" stopIfTrue="1" operator="greaterThan">
      <formula>$F$54</formula>
    </cfRule>
    <cfRule type="cellIs" dxfId="3659" priority="11" stopIfTrue="1" operator="greaterThan">
      <formula>$F$56</formula>
    </cfRule>
    <cfRule type="cellIs" dxfId="3658" priority="2" stopIfTrue="1" operator="lessThanOrEqual">
      <formula>0</formula>
    </cfRule>
    <cfRule type="cellIs" dxfId="3657" priority="3" stopIfTrue="1" operator="greaterThan">
      <formula>$F$53</formula>
    </cfRule>
  </conditionalFormatting>
  <conditionalFormatting sqref="H80">
    <cfRule type="cellIs" dxfId="3656" priority="92" stopIfTrue="1" operator="lessThanOrEqual">
      <formula>0</formula>
    </cfRule>
    <cfRule type="cellIs" dxfId="3655" priority="93" stopIfTrue="1" operator="greaterThan">
      <formula>$F$88</formula>
    </cfRule>
    <cfRule type="cellIs" dxfId="3654" priority="104" stopIfTrue="1" operator="lessThanOrEqual">
      <formula>0</formula>
    </cfRule>
    <cfRule type="cellIs" dxfId="3653" priority="101" stopIfTrue="1" operator="greaterThan">
      <formula>$F$91</formula>
    </cfRule>
    <cfRule type="cellIs" dxfId="3652" priority="102" stopIfTrue="1" operator="lessThanOrEqual">
      <formula>0</formula>
    </cfRule>
    <cfRule type="cellIs" dxfId="3651" priority="103" stopIfTrue="1" operator="greaterThan">
      <formula>$F$89</formula>
    </cfRule>
  </conditionalFormatting>
  <conditionalFormatting sqref="H81">
    <cfRule type="cellIs" dxfId="3650" priority="45" stopIfTrue="1" operator="lessThanOrEqual">
      <formula>0</formula>
    </cfRule>
    <cfRule type="cellIs" dxfId="3649" priority="36" stopIfTrue="1" operator="greaterThan">
      <formula>$F$72</formula>
    </cfRule>
    <cfRule type="cellIs" dxfId="3648" priority="35" stopIfTrue="1" operator="lessThanOrEqual">
      <formula>0</formula>
    </cfRule>
    <cfRule type="cellIs" dxfId="3647" priority="44" stopIfTrue="1" operator="greaterThan">
      <formula>$F$75</formula>
    </cfRule>
    <cfRule type="cellIs" dxfId="3646" priority="47" stopIfTrue="1" operator="lessThanOrEqual">
      <formula>0</formula>
    </cfRule>
    <cfRule type="cellIs" dxfId="3645" priority="46" stopIfTrue="1" operator="greaterThan">
      <formula>$F$73</formula>
    </cfRule>
  </conditionalFormatting>
  <conditionalFormatting sqref="H82">
    <cfRule type="cellIs" dxfId="3644" priority="84" stopIfTrue="1" operator="greaterThan">
      <formula>#REF!</formula>
    </cfRule>
    <cfRule type="cellIs" dxfId="3643" priority="75" stopIfTrue="1" operator="lessThanOrEqual">
      <formula>0</formula>
    </cfRule>
    <cfRule type="cellIs" dxfId="3642" priority="76" stopIfTrue="1" operator="greaterThan">
      <formula>#REF!</formula>
    </cfRule>
  </conditionalFormatting>
  <conditionalFormatting sqref="H82:H84">
    <cfRule type="cellIs" dxfId="3641" priority="85" stopIfTrue="1" operator="lessThanOrEqual">
      <formula>0</formula>
    </cfRule>
  </conditionalFormatting>
  <conditionalFormatting sqref="H83:H84">
    <cfRule type="cellIs" dxfId="3640" priority="125" stopIfTrue="1" operator="lessThanOrEqual">
      <formula>0</formula>
    </cfRule>
    <cfRule type="cellIs" dxfId="3639" priority="124" stopIfTrue="1" operator="greaterThan">
      <formula>$F$90</formula>
    </cfRule>
    <cfRule type="cellIs" dxfId="3638" priority="122" stopIfTrue="1" operator="greaterThan">
      <formula>$F$92</formula>
    </cfRule>
    <cfRule type="cellIs" dxfId="3637" priority="114" stopIfTrue="1" operator="greaterThan">
      <formula>$F$89</formula>
    </cfRule>
    <cfRule type="cellIs" dxfId="3636" priority="123" stopIfTrue="1" operator="lessThanOrEqual">
      <formula>0</formula>
    </cfRule>
  </conditionalFormatting>
  <conditionalFormatting sqref="H85">
    <cfRule type="cellIs" dxfId="3635" priority="155" stopIfTrue="1" operator="greaterThan">
      <formula>$F$82</formula>
    </cfRule>
    <cfRule type="cellIs" dxfId="3634" priority="156" stopIfTrue="1" operator="lessThanOrEqual">
      <formula>0</formula>
    </cfRule>
    <cfRule type="cellIs" dxfId="3633" priority="153" stopIfTrue="1" operator="greaterThan">
      <formula>$F$86</formula>
    </cfRule>
    <cfRule type="cellIs" dxfId="3632" priority="154" stopIfTrue="1" operator="lessThanOrEqual">
      <formula>0</formula>
    </cfRule>
  </conditionalFormatting>
  <conditionalFormatting sqref="H89:H96">
    <cfRule type="cellIs" dxfId="3631" priority="127" stopIfTrue="1" operator="lessThanOrEqual">
      <formula>0</formula>
    </cfRule>
    <cfRule type="cellIs" dxfId="3630" priority="126" stopIfTrue="1" operator="greaterThan">
      <formula>$J89</formula>
    </cfRule>
  </conditionalFormatting>
  <conditionalFormatting sqref="H97">
    <cfRule type="cellIs" dxfId="3629" priority="132" operator="greaterThan">
      <formula>5.3</formula>
    </cfRule>
  </conditionalFormatting>
  <conditionalFormatting sqref="H100 H102:H108">
    <cfRule type="cellIs" dxfId="3628" priority="177" stopIfTrue="1" operator="greaterThan">
      <formula>4.5</formula>
    </cfRule>
    <cfRule type="cellIs" dxfId="3627" priority="178" stopIfTrue="1" operator="lessThanOrEqual">
      <formula>0</formula>
    </cfRule>
  </conditionalFormatting>
  <conditionalFormatting sqref="H79:I79">
    <cfRule type="cellIs" dxfId="3626" priority="4" stopIfTrue="1" operator="lessThanOrEqual">
      <formula>0</formula>
    </cfRule>
    <cfRule type="cellIs" dxfId="3625" priority="1" stopIfTrue="1" operator="greaterThan">
      <formula>$F$55</formula>
    </cfRule>
  </conditionalFormatting>
  <conditionalFormatting sqref="H80:I80">
    <cfRule type="cellIs" dxfId="3624" priority="94" stopIfTrue="1" operator="lessThanOrEqual">
      <formula>0</formula>
    </cfRule>
    <cfRule type="cellIs" dxfId="3623" priority="91" stopIfTrue="1" operator="greaterThan">
      <formula>$F$90</formula>
    </cfRule>
  </conditionalFormatting>
  <conditionalFormatting sqref="H81:I81">
    <cfRule type="cellIs" dxfId="3622" priority="37" stopIfTrue="1" operator="lessThanOrEqual">
      <formula>0</formula>
    </cfRule>
    <cfRule type="cellIs" dxfId="3621" priority="34" stopIfTrue="1" operator="greaterThan">
      <formula>$F$74</formula>
    </cfRule>
  </conditionalFormatting>
  <conditionalFormatting sqref="H82:I82">
    <cfRule type="cellIs" dxfId="3620" priority="83" stopIfTrue="1" operator="lessThanOrEqual">
      <formula>0</formula>
    </cfRule>
    <cfRule type="cellIs" dxfId="3619" priority="82" stopIfTrue="1" operator="greaterThan">
      <formula>#REF!</formula>
    </cfRule>
    <cfRule type="cellIs" dxfId="3618" priority="74" stopIfTrue="1" operator="greaterThan">
      <formula>#REF!</formula>
    </cfRule>
    <cfRule type="cellIs" dxfId="3617" priority="77" stopIfTrue="1" operator="lessThanOrEqual">
      <formula>0</formula>
    </cfRule>
  </conditionalFormatting>
  <conditionalFormatting sqref="H83:I83">
    <cfRule type="cellIs" dxfId="3616" priority="115" stopIfTrue="1" operator="lessThanOrEqual">
      <formula>0</formula>
    </cfRule>
  </conditionalFormatting>
  <conditionalFormatting sqref="H83:I84">
    <cfRule type="cellIs" dxfId="3615" priority="72" stopIfTrue="1" operator="greaterThan">
      <formula>$F$91</formula>
    </cfRule>
  </conditionalFormatting>
  <conditionalFormatting sqref="H84:I84">
    <cfRule type="cellIs" dxfId="3614" priority="73" stopIfTrue="1" operator="lessThanOrEqual">
      <formula>0</formula>
    </cfRule>
  </conditionalFormatting>
  <conditionalFormatting sqref="I10:I14">
    <cfRule type="cellIs" dxfId="3613" priority="49" operator="lessThan">
      <formula>97.8</formula>
    </cfRule>
  </conditionalFormatting>
  <conditionalFormatting sqref="I10:I47">
    <cfRule type="cellIs" dxfId="3612" priority="21" operator="lessThan">
      <formula>98</formula>
    </cfRule>
  </conditionalFormatting>
  <conditionalFormatting sqref="I33:I46">
    <cfRule type="cellIs" dxfId="3611" priority="22" operator="lessThan">
      <formula>97.8</formula>
    </cfRule>
  </conditionalFormatting>
  <conditionalFormatting sqref="I79">
    <cfRule type="cellIs" dxfId="3610" priority="5" stopIfTrue="1" operator="greaterThan">
      <formula>$F$53</formula>
    </cfRule>
    <cfRule type="cellIs" dxfId="3609" priority="6" stopIfTrue="1" operator="lessThanOrEqual">
      <formula>0</formula>
    </cfRule>
    <cfRule type="cellIs" dxfId="3608" priority="7" stopIfTrue="1" operator="greaterThan">
      <formula>$F$55</formula>
    </cfRule>
    <cfRule type="cellIs" dxfId="3607" priority="8" stopIfTrue="1" operator="lessThanOrEqual">
      <formula>0</formula>
    </cfRule>
    <cfRule type="cellIs" dxfId="3606" priority="9" stopIfTrue="1" operator="greaterThan">
      <formula>$F$53</formula>
    </cfRule>
    <cfRule type="cellIs" dxfId="3605" priority="10" stopIfTrue="1" operator="lessThanOrEqual">
      <formula>0</formula>
    </cfRule>
  </conditionalFormatting>
  <conditionalFormatting sqref="I80">
    <cfRule type="cellIs" dxfId="3604" priority="99" stopIfTrue="1" operator="greaterThan">
      <formula>$F$88</formula>
    </cfRule>
    <cfRule type="cellIs" dxfId="3603" priority="97" stopIfTrue="1" operator="greaterThan">
      <formula>$F$90</formula>
    </cfRule>
    <cfRule type="cellIs" dxfId="3602" priority="96" stopIfTrue="1" operator="lessThanOrEqual">
      <formula>0</formula>
    </cfRule>
    <cfRule type="cellIs" dxfId="3601" priority="95" stopIfTrue="1" operator="greaterThan">
      <formula>$F$88</formula>
    </cfRule>
    <cfRule type="cellIs" dxfId="3600" priority="100" stopIfTrue="1" operator="lessThanOrEqual">
      <formula>0</formula>
    </cfRule>
    <cfRule type="cellIs" dxfId="3599" priority="98" stopIfTrue="1" operator="lessThanOrEqual">
      <formula>0</formula>
    </cfRule>
  </conditionalFormatting>
  <conditionalFormatting sqref="I81">
    <cfRule type="cellIs" dxfId="3598" priority="43" stopIfTrue="1" operator="lessThanOrEqual">
      <formula>0</formula>
    </cfRule>
    <cfRule type="cellIs" dxfId="3597" priority="42" stopIfTrue="1" operator="greaterThan">
      <formula>$F$72</formula>
    </cfRule>
    <cfRule type="cellIs" dxfId="3596" priority="41" stopIfTrue="1" operator="lessThanOrEqual">
      <formula>0</formula>
    </cfRule>
    <cfRule type="cellIs" dxfId="3595" priority="40" stopIfTrue="1" operator="greaterThan">
      <formula>$F$74</formula>
    </cfRule>
    <cfRule type="cellIs" dxfId="3594" priority="39" stopIfTrue="1" operator="lessThanOrEqual">
      <formula>0</formula>
    </cfRule>
    <cfRule type="cellIs" dxfId="3593" priority="38" stopIfTrue="1" operator="greaterThan">
      <formula>$F$72</formula>
    </cfRule>
  </conditionalFormatting>
  <conditionalFormatting sqref="I82">
    <cfRule type="cellIs" dxfId="3592" priority="80" stopIfTrue="1" operator="greaterThan">
      <formula>#REF!</formula>
    </cfRule>
    <cfRule type="cellIs" dxfId="3591" priority="79" stopIfTrue="1" operator="lessThanOrEqual">
      <formula>0</formula>
    </cfRule>
    <cfRule type="cellIs" dxfId="3590" priority="78" stopIfTrue="1" operator="greaterThan">
      <formula>#REF!</formula>
    </cfRule>
    <cfRule type="cellIs" dxfId="3589" priority="81" stopIfTrue="1" operator="lessThanOrEqual">
      <formula>0</formula>
    </cfRule>
  </conditionalFormatting>
  <conditionalFormatting sqref="I83:I84">
    <cfRule type="cellIs" dxfId="3588" priority="118" stopIfTrue="1" operator="greaterThan">
      <formula>$F$91</formula>
    </cfRule>
    <cfRule type="cellIs" dxfId="3587" priority="116" stopIfTrue="1" operator="greaterThan">
      <formula>$F$89</formula>
    </cfRule>
    <cfRule type="cellIs" dxfId="3586" priority="117" stopIfTrue="1" operator="lessThanOrEqual">
      <formula>0</formula>
    </cfRule>
    <cfRule type="cellIs" dxfId="3585" priority="119" stopIfTrue="1" operator="lessThanOrEqual">
      <formula>0</formula>
    </cfRule>
    <cfRule type="cellIs" dxfId="3584" priority="120" stopIfTrue="1" operator="greaterThan">
      <formula>$F$89</formula>
    </cfRule>
    <cfRule type="cellIs" dxfId="3583" priority="121" stopIfTrue="1" operator="lessThanOrEqual">
      <formula>0</formula>
    </cfRule>
  </conditionalFormatting>
  <conditionalFormatting sqref="I89:I97">
    <cfRule type="cellIs" dxfId="3582" priority="133" stopIfTrue="1" operator="greaterThan">
      <formula>$J89</formula>
    </cfRule>
    <cfRule type="cellIs" dxfId="3581" priority="134" stopIfTrue="1" operator="lessThanOrEqual">
      <formula>0</formula>
    </cfRule>
  </conditionalFormatting>
  <conditionalFormatting sqref="I100:I108">
    <cfRule type="cellIs" dxfId="3580" priority="173" stopIfTrue="1" operator="greaterThan">
      <formula>4.5</formula>
    </cfRule>
    <cfRule type="cellIs" dxfId="3579" priority="174" stopIfTrue="1" operator="lessThanOrEqual">
      <formula>0</formula>
    </cfRule>
  </conditionalFormatting>
  <conditionalFormatting sqref="J10:J14">
    <cfRule type="cellIs" dxfId="3578" priority="51" operator="notBetween">
      <formula>98</formula>
      <formula>99.9</formula>
    </cfRule>
  </conditionalFormatting>
  <conditionalFormatting sqref="J10:J47">
    <cfRule type="cellIs" dxfId="3577" priority="20" operator="lessThan">
      <formula>97.4</formula>
    </cfRule>
  </conditionalFormatting>
  <conditionalFormatting sqref="J33:J46">
    <cfRule type="cellIs" dxfId="3576" priority="24" operator="notBetween">
      <formula>98</formula>
      <formula>99.9</formula>
    </cfRule>
  </conditionalFormatting>
  <conditionalFormatting sqref="J50:J52">
    <cfRule type="cellIs" dxfId="3575" priority="108" stopIfTrue="1" operator="greaterThan">
      <formula>100</formula>
    </cfRule>
    <cfRule type="cellIs" dxfId="3574" priority="109" operator="lessThan">
      <formula>98</formula>
    </cfRule>
    <cfRule type="cellIs" dxfId="3573" priority="107" stopIfTrue="1" operator="lessThan">
      <formula>96.8</formula>
    </cfRule>
  </conditionalFormatting>
  <conditionalFormatting sqref="J50:J54">
    <cfRule type="cellIs" dxfId="3572" priority="48" operator="lessThan">
      <formula>97.4</formula>
    </cfRule>
  </conditionalFormatting>
  <conditionalFormatting sqref="J55 L59:M59 L61:M61">
    <cfRule type="cellIs" dxfId="3571" priority="110" operator="lessThan">
      <formula>98</formula>
    </cfRule>
  </conditionalFormatting>
  <conditionalFormatting sqref="J56:J57">
    <cfRule type="cellIs" dxfId="3570" priority="111" stopIfTrue="1" operator="lessThan">
      <formula>96.8</formula>
    </cfRule>
    <cfRule type="cellIs" dxfId="3569" priority="112" stopIfTrue="1" operator="greaterThan">
      <formula>100</formula>
    </cfRule>
  </conditionalFormatting>
  <conditionalFormatting sqref="J56:J58">
    <cfRule type="cellIs" dxfId="3568" priority="113" operator="lessThan">
      <formula>98</formula>
    </cfRule>
  </conditionalFormatting>
  <conditionalFormatting sqref="K10:K14">
    <cfRule type="cellIs" dxfId="3567" priority="50" operator="greaterThan">
      <formula>6.4</formula>
    </cfRule>
  </conditionalFormatting>
  <conditionalFormatting sqref="K10:K47">
    <cfRule type="cellIs" dxfId="3566" priority="17" operator="lessThan">
      <formula>4</formula>
    </cfRule>
    <cfRule type="cellIs" dxfId="3565" priority="16" operator="greaterThan">
      <formula>6</formula>
    </cfRule>
  </conditionalFormatting>
  <conditionalFormatting sqref="K33:K46">
    <cfRule type="cellIs" dxfId="3564" priority="23" operator="greaterThan">
      <formula>6.4</formula>
    </cfRule>
  </conditionalFormatting>
  <conditionalFormatting sqref="K64:K73">
    <cfRule type="cellIs" dxfId="3563" priority="141" operator="notEqual">
      <formula>#REF!</formula>
    </cfRule>
  </conditionalFormatting>
  <conditionalFormatting sqref="K79:K84 J85:K85 L89:N89 K90:N97">
    <cfRule type="cellIs" dxfId="3562" priority="152" stopIfTrue="1" operator="lessThan">
      <formula>100%</formula>
    </cfRule>
  </conditionalFormatting>
  <conditionalFormatting sqref="K100:K105">
    <cfRule type="cellIs" dxfId="3561" priority="179" stopIfTrue="1" operator="lessThan">
      <formula>100%</formula>
    </cfRule>
  </conditionalFormatting>
  <conditionalFormatting sqref="K107:K108">
    <cfRule type="cellIs" dxfId="3560" priority="186" stopIfTrue="1" operator="lessThan">
      <formula>100%</formula>
    </cfRule>
  </conditionalFormatting>
  <conditionalFormatting sqref="L10:L47">
    <cfRule type="cellIs" dxfId="3559" priority="19" operator="greaterThan">
      <formula>65</formula>
    </cfRule>
    <cfRule type="cellIs" dxfId="3558" priority="18" operator="between">
      <formula>61</formula>
      <formula>65</formula>
    </cfRule>
  </conditionalFormatting>
  <conditionalFormatting sqref="L52:L58">
    <cfRule type="cellIs" dxfId="3557" priority="88" operator="lessThan">
      <formula>98</formula>
    </cfRule>
  </conditionalFormatting>
  <conditionalFormatting sqref="L65:N65">
    <cfRule type="cellIs" dxfId="3556" priority="87" operator="notEqual">
      <formula>#REF!</formula>
    </cfRule>
  </conditionalFormatting>
  <conditionalFormatting sqref="L100:N108">
    <cfRule type="cellIs" dxfId="3555" priority="164" stopIfTrue="1" operator="lessThan">
      <formula>100%</formula>
    </cfRule>
  </conditionalFormatting>
  <conditionalFormatting sqref="M10:M11">
    <cfRule type="expression" dxfId="3554" priority="65">
      <formula>IF(+(IF(M10&lt;V23,0,IF(M10&gt;W23,0,1)))=0,1)</formula>
    </cfRule>
  </conditionalFormatting>
  <conditionalFormatting sqref="M13">
    <cfRule type="expression" dxfId="3553" priority="58">
      <formula>IF(+(IF(M13&lt;V47,0,IF(M13&gt;W47,0,1)))=0,1)</formula>
    </cfRule>
    <cfRule type="expression" dxfId="3552" priority="57">
      <formula>IF(+(IF(M13&lt;V52,0,IF(M13&gt;W52,0,1)))=0,1)</formula>
    </cfRule>
  </conditionalFormatting>
  <conditionalFormatting sqref="M14">
    <cfRule type="expression" dxfId="3551" priority="199">
      <formula>IF(+(IF(M14&lt;V27,0,IF(M14&gt;W27,0,1)))=0,1)</formula>
    </cfRule>
  </conditionalFormatting>
  <conditionalFormatting sqref="M15:M32">
    <cfRule type="expression" dxfId="3550" priority="210">
      <formula>IF(+(IF(M15&lt;V62,0,IF(M15&gt;W62,0,1)))=0,1)</formula>
    </cfRule>
  </conditionalFormatting>
  <conditionalFormatting sqref="M33:M46">
    <cfRule type="expression" dxfId="3549" priority="31">
      <formula>IF(+(IF(M33&lt;V48,0,IF(M33&gt;W48,0,1)))=0,1)</formula>
    </cfRule>
    <cfRule type="expression" dxfId="3548" priority="30">
      <formula>IF(+(IF(M33&lt;V53,0,IF(M33&gt;W53,0,1)))=0,1)</formula>
    </cfRule>
  </conditionalFormatting>
  <conditionalFormatting sqref="M50:M58">
    <cfRule type="cellIs" dxfId="3547" priority="86" operator="lessThan">
      <formula>98</formula>
    </cfRule>
  </conditionalFormatting>
  <conditionalFormatting sqref="M10:N12">
    <cfRule type="expression" dxfId="3546" priority="66">
      <formula>IF(+(IF(M10&lt;#REF!,0,IF(M10&gt;#REF!,0,1)))=0,1)</formula>
    </cfRule>
  </conditionalFormatting>
  <conditionalFormatting sqref="M14:N14">
    <cfRule type="expression" dxfId="3545" priority="200">
      <formula>IF(+(IF(M14&lt;#REF!,0,IF(M14&gt;#REF!,0,1)))=0,1)</formula>
    </cfRule>
  </conditionalFormatting>
  <conditionalFormatting sqref="M47:N47">
    <cfRule type="expression" dxfId="3544" priority="194">
      <formula>IF(+(IF(M47&lt;#REF!,0,IF(M47&gt;#REF!,0,1)))=0,1)</formula>
    </cfRule>
  </conditionalFormatting>
  <conditionalFormatting sqref="N10:N11">
    <cfRule type="expression" dxfId="3543" priority="67">
      <formula>IF(+(IF(N10&lt;X23,0,IF(N10&gt;Y23,0,1)))=0,1)</formula>
    </cfRule>
  </conditionalFormatting>
  <conditionalFormatting sqref="N13">
    <cfRule type="expression" dxfId="3542" priority="60">
      <formula>IF(+(IF(N13&lt;X47,0,IF(N13&gt;Y47,0,1)))=0,1)</formula>
    </cfRule>
    <cfRule type="expression" dxfId="3541" priority="59">
      <formula>IF(+(IF(N13&lt;X52,0,IF(N13&gt;Y52,0,1)))=0,1)</formula>
    </cfRule>
  </conditionalFormatting>
  <conditionalFormatting sqref="N14">
    <cfRule type="expression" dxfId="3540" priority="203">
      <formula>IF(+(IF(N14&lt;X27,0,IF(N14&gt;Y27,0,1)))=0,1)</formula>
    </cfRule>
  </conditionalFormatting>
  <conditionalFormatting sqref="N15:N32">
    <cfRule type="expression" dxfId="3539" priority="211">
      <formula>IF(+(IF(N15&lt;X62,0,IF(N15&gt;Y62,0,1)))=0,1)</formula>
    </cfRule>
  </conditionalFormatting>
  <conditionalFormatting sqref="N33:N46">
    <cfRule type="expression" dxfId="3538" priority="33">
      <formula>IF(+(IF(N33&lt;X48,0,IF(N33&gt;Y48,0,1)))=0,1)</formula>
    </cfRule>
    <cfRule type="expression" dxfId="3537" priority="32">
      <formula>IF(+(IF(N33&lt;X53,0,IF(N33&gt;Y53,0,1)))=0,1)</formula>
    </cfRule>
  </conditionalFormatting>
  <conditionalFormatting sqref="P6">
    <cfRule type="cellIs" dxfId="3536" priority="160" operator="greaterThanOrEqual">
      <formula>19</formula>
    </cfRule>
  </conditionalFormatting>
  <dataValidations count="1">
    <dataValidation type="list" allowBlank="1" showInputMessage="1" showErrorMessage="1" sqref="S8 B13 B15:B47" xr:uid="{0829AB47-947B-4730-ADDD-DF3E14D3F471}">
      <formula1>ProductList</formula1>
    </dataValidation>
  </dataValidations>
  <pageMargins left="0.7" right="0.7" top="0.75" bottom="0.75" header="0.3" footer="0.3"/>
  <pageSetup scale="46" fitToWidth="0" orientation="landscape" r:id="rId1"/>
  <rowBreaks count="1" manualBreakCount="1">
    <brk id="102" max="16383" man="1"/>
  </rowBreaks>
  <colBreaks count="1" manualBreakCount="1">
    <brk id="15" max="89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A984F-94FB-4343-8BA2-185322F9B9EB}">
  <sheetPr>
    <pageSetUpPr fitToPage="1"/>
  </sheetPr>
  <dimension ref="A1:BE81"/>
  <sheetViews>
    <sheetView topLeftCell="A18" zoomScale="80" zoomScaleNormal="80" workbookViewId="0">
      <selection activeCell="K48" sqref="K48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67.425781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25" t="s">
        <v>0</v>
      </c>
      <c r="T1" s="525"/>
      <c r="U1" s="525" t="s">
        <v>1</v>
      </c>
      <c r="V1" s="525"/>
      <c r="W1" s="525" t="s">
        <v>2</v>
      </c>
      <c r="X1" s="525"/>
      <c r="Y1" s="525" t="s">
        <v>124</v>
      </c>
      <c r="Z1" s="525"/>
    </row>
    <row r="2" spans="2:29" ht="15">
      <c r="B2" s="526" t="s">
        <v>3</v>
      </c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45902</v>
      </c>
      <c r="J4" s="398" t="s">
        <v>168</v>
      </c>
      <c r="K4" s="398"/>
      <c r="L4" s="11"/>
      <c r="M4" s="547" t="s">
        <v>8</v>
      </c>
      <c r="N4" s="548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44"/>
      <c r="D5" s="544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167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84" t="s">
        <v>17</v>
      </c>
      <c r="C8" s="494" t="s">
        <v>18</v>
      </c>
      <c r="D8" s="494" t="s">
        <v>19</v>
      </c>
      <c r="E8" s="356" t="s">
        <v>20</v>
      </c>
      <c r="F8" s="356" t="s">
        <v>21</v>
      </c>
      <c r="G8" s="494" t="s">
        <v>22</v>
      </c>
      <c r="H8" s="535" t="s">
        <v>144</v>
      </c>
      <c r="I8" s="494" t="s">
        <v>166</v>
      </c>
      <c r="J8" s="537" t="s">
        <v>23</v>
      </c>
      <c r="K8" s="539" t="s">
        <v>142</v>
      </c>
      <c r="L8" s="541" t="s">
        <v>24</v>
      </c>
      <c r="M8" s="359" t="s">
        <v>25</v>
      </c>
      <c r="N8" s="17" t="s">
        <v>26</v>
      </c>
      <c r="O8" s="494" t="s">
        <v>155</v>
      </c>
      <c r="P8" s="56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33"/>
      <c r="C9" s="534"/>
      <c r="D9" s="534"/>
      <c r="E9" s="357" t="s">
        <v>30</v>
      </c>
      <c r="F9" s="357" t="s">
        <v>31</v>
      </c>
      <c r="G9" s="534"/>
      <c r="H9" s="536"/>
      <c r="I9" s="534"/>
      <c r="J9" s="538"/>
      <c r="K9" s="540"/>
      <c r="L9" s="542"/>
      <c r="M9" s="20" t="s">
        <v>32</v>
      </c>
      <c r="N9" s="21" t="s">
        <v>41</v>
      </c>
      <c r="O9" s="534"/>
      <c r="P9" s="561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29" t="s">
        <v>6</v>
      </c>
      <c r="C10" s="366" t="str">
        <f>[22]Brewhouse!$A740</f>
        <v>CA631</v>
      </c>
      <c r="D10" s="279">
        <f>[22]Brewhouse!$AF740</f>
        <v>48.2</v>
      </c>
      <c r="E10" s="279">
        <f>[22]Brewhouse!$AI740</f>
        <v>48.8</v>
      </c>
      <c r="F10" s="278">
        <f>[22]Brewhouse!$V740</f>
        <v>60</v>
      </c>
      <c r="G10" s="279">
        <f>[22]Brewhouse!AG740</f>
        <v>11.6</v>
      </c>
      <c r="H10" s="396"/>
      <c r="I10" s="368">
        <f>[22]Brewhouse!$AU740</f>
        <v>95.362732388132287</v>
      </c>
      <c r="J10" s="368">
        <f>[22]Brewhouse!$AV740</f>
        <v>97.566417832182964</v>
      </c>
      <c r="K10" s="281">
        <f>[22]Brewhouse!$Q740</f>
        <v>10.415094339622634</v>
      </c>
      <c r="L10" s="276">
        <f>[22]Brewhouse!$P740</f>
        <v>59</v>
      </c>
      <c r="M10" s="397">
        <f>[22]Brewhouse!$U740-[22]Brewhouse!$T740</f>
        <v>0.12013888888888888</v>
      </c>
      <c r="N10" s="370">
        <f>[22]Brewhouse!$Z740</f>
        <v>0.24791666666666667</v>
      </c>
      <c r="O10" s="421" t="str">
        <f>[22]Brewhouse!$AX740</f>
        <v>K.Benjamin</v>
      </c>
      <c r="P10" s="418"/>
      <c r="R10" s="277" t="str">
        <f t="shared" ref="R10:R11" si="0">B10</f>
        <v>CARIB</v>
      </c>
      <c r="S10" s="296">
        <f t="shared" ref="S10:S33" si="1">VLOOKUP($B10,$R$3:$X$9,2,FALSE)</f>
        <v>11.6</v>
      </c>
      <c r="T10" s="296">
        <f t="shared" ref="T10:T33" si="2">VLOOKUP($B10,$R$3:$X$9,3,FALSE)</f>
        <v>12</v>
      </c>
      <c r="U10" s="297">
        <f t="shared" ref="U10:U33" si="3">VLOOKUP($B10,$R$3:$X$9,4,FALSE)</f>
        <v>0</v>
      </c>
      <c r="V10" s="297">
        <f t="shared" ref="V10:V33" si="4">VLOOKUP($B10,$R$3:$X$9,5,FALSE)</f>
        <v>0.118055555555556</v>
      </c>
      <c r="W10" s="297">
        <f t="shared" ref="W10:W33" si="5">VLOOKUP($B10,$R$3:$X$9,6,FALSE)</f>
        <v>0.22569444444444445</v>
      </c>
      <c r="X10" s="297">
        <f t="shared" ref="X10:X33" si="6">VLOOKUP($B10,$R$3:$X$9,7,FALSE)</f>
        <v>0.2638888888888889</v>
      </c>
      <c r="Y10" s="297">
        <f t="shared" ref="Y10:Y33" si="7">VLOOKUP($B10,$R$3:$Z$9,8,FALSE)</f>
        <v>0</v>
      </c>
      <c r="Z10" s="296">
        <f t="shared" ref="Z10:Z33" si="8">VLOOKUP($B10,$R$3:$Z$9,9,FALSE)</f>
        <v>60</v>
      </c>
    </row>
    <row r="11" spans="2:29" ht="15.75" customHeight="1">
      <c r="B11" s="29" t="s">
        <v>6</v>
      </c>
      <c r="C11" s="366" t="str">
        <f>[22]Brewhouse!$A741</f>
        <v>CA632</v>
      </c>
      <c r="D11" s="279">
        <f>[22]Brewhouse!$AF741</f>
        <v>51.8</v>
      </c>
      <c r="E11" s="279">
        <f>[22]Brewhouse!$AI741</f>
        <v>51.4</v>
      </c>
      <c r="F11" s="278">
        <f>[22]Brewhouse!$V741</f>
        <v>62</v>
      </c>
      <c r="G11" s="279">
        <f>[22]Brewhouse!AG741</f>
        <v>11.9</v>
      </c>
      <c r="H11" s="396"/>
      <c r="I11" s="368">
        <f>[22]Brewhouse!$AU741</f>
        <v>99.363542914423661</v>
      </c>
      <c r="J11" s="368">
        <f>[22]Brewhouse!$AV741</f>
        <v>101.66355917071739</v>
      </c>
      <c r="K11" s="281">
        <f>[22]Brewhouse!$Q741</f>
        <v>3.622641509433965</v>
      </c>
      <c r="L11" s="276">
        <f>[22]Brewhouse!$P741</f>
        <v>61</v>
      </c>
      <c r="M11" s="397">
        <f>[22]Brewhouse!$U741-[22]Brewhouse!$T741</f>
        <v>0.10694444444444445</v>
      </c>
      <c r="N11" s="370">
        <f>[22]Brewhouse!$Z741</f>
        <v>0.25</v>
      </c>
      <c r="O11" s="421" t="str">
        <f>[22]Brewhouse!$AX741</f>
        <v>R. Regis</v>
      </c>
      <c r="P11" s="418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29" t="s">
        <v>6</v>
      </c>
      <c r="C12" s="366" t="str">
        <f>[22]Brewhouse!$A742</f>
        <v>CA633</v>
      </c>
      <c r="D12" s="279">
        <f>[22]Brewhouse!$AF742</f>
        <v>53.6</v>
      </c>
      <c r="E12" s="279">
        <f>[22]Brewhouse!$AI742</f>
        <v>52.8</v>
      </c>
      <c r="F12" s="278">
        <f>[22]Brewhouse!$V742</f>
        <v>57</v>
      </c>
      <c r="G12" s="279">
        <f>[22]Brewhouse!AG742</f>
        <v>11.8</v>
      </c>
      <c r="H12" s="396"/>
      <c r="I12" s="368">
        <f>[22]Brewhouse!$AU742</f>
        <v>101.92179600811302</v>
      </c>
      <c r="J12" s="368">
        <f>[22]Brewhouse!$AV742</f>
        <v>104.28025745561777</v>
      </c>
      <c r="K12" s="281">
        <f>[22]Brewhouse!$Q742</f>
        <v>2.6792452830188709</v>
      </c>
      <c r="L12" s="276">
        <f>[22]Brewhouse!$P742</f>
        <v>59</v>
      </c>
      <c r="M12" s="397">
        <f>[22]Brewhouse!$U742-[22]Brewhouse!$T742</f>
        <v>0.10694444444444445</v>
      </c>
      <c r="N12" s="370">
        <f>[22]Brewhouse!$Z742</f>
        <v>0.24861111111111112</v>
      </c>
      <c r="O12" s="421" t="str">
        <f>[22]Brewhouse!$AX742</f>
        <v>R. Regis</v>
      </c>
      <c r="P12" s="418"/>
      <c r="R12" s="277" t="str">
        <f t="shared" ref="R12:R14" si="9">B12</f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29" t="s">
        <v>6</v>
      </c>
      <c r="C13" s="366" t="str">
        <f>[22]Brewhouse!$A743</f>
        <v>CA634</v>
      </c>
      <c r="D13" s="279">
        <f>[22]Brewhouse!$AF743</f>
        <v>52.8</v>
      </c>
      <c r="E13" s="279">
        <f>[22]Brewhouse!$AI743</f>
        <v>51.4</v>
      </c>
      <c r="F13" s="278">
        <f>[22]Brewhouse!$V743</f>
        <v>62</v>
      </c>
      <c r="G13" s="279">
        <f>[22]Brewhouse!AG743</f>
        <v>11.8</v>
      </c>
      <c r="H13" s="396"/>
      <c r="I13" s="368">
        <f>[22]Brewhouse!$AU743</f>
        <v>102.52919132530714</v>
      </c>
      <c r="J13" s="368">
        <f>[22]Brewhouse!$AV743</f>
        <v>104.89820483554071</v>
      </c>
      <c r="K13" s="281">
        <f>[22]Brewhouse!$Q743</f>
        <v>2.4905660377358494</v>
      </c>
      <c r="L13" s="276">
        <f>[22]Brewhouse!$P743</f>
        <v>60</v>
      </c>
      <c r="M13" s="397">
        <f>[22]Brewhouse!$U743-[22]Brewhouse!$T743</f>
        <v>0.10833333333333328</v>
      </c>
      <c r="N13" s="370">
        <f>[22]Brewhouse!$Z743</f>
        <v>0.2409722222222222</v>
      </c>
      <c r="O13" s="421" t="str">
        <f>[22]Brewhouse!$AX743</f>
        <v>R. Regis</v>
      </c>
      <c r="P13" s="418"/>
      <c r="R13" s="277" t="str">
        <f t="shared" si="9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29" t="s">
        <v>6</v>
      </c>
      <c r="C14" s="366" t="str">
        <f>[22]Brewhouse!$A744</f>
        <v>CA635</v>
      </c>
      <c r="D14" s="279">
        <f>[22]Brewhouse!$AF744</f>
        <v>52.3</v>
      </c>
      <c r="E14" s="279">
        <f>[22]Brewhouse!$AI744</f>
        <v>50.4</v>
      </c>
      <c r="F14" s="278">
        <f>[22]Brewhouse!$V744</f>
        <v>63</v>
      </c>
      <c r="G14" s="279">
        <f>[22]Brewhouse!AG744</f>
        <v>11.8</v>
      </c>
      <c r="H14" s="396"/>
      <c r="I14" s="368">
        <f>[22]Brewhouse!$AU744</f>
        <v>97.168340669287645</v>
      </c>
      <c r="J14" s="368">
        <f>[22]Brewhouse!$AV744</f>
        <v>99.416930991590704</v>
      </c>
      <c r="K14" s="281">
        <f>[22]Brewhouse!$Q744</f>
        <v>2.6792452830188709</v>
      </c>
      <c r="L14" s="276">
        <f>[22]Brewhouse!$P744</f>
        <v>61</v>
      </c>
      <c r="M14" s="397">
        <f>[22]Brewhouse!$U744-[22]Brewhouse!$T744</f>
        <v>2.430555555555558E-2</v>
      </c>
      <c r="N14" s="370">
        <f>[22]Brewhouse!$Z744</f>
        <v>0.24722222222222223</v>
      </c>
      <c r="O14" s="421" t="str">
        <f>[22]Brewhouse!$AX744</f>
        <v>R. Regis</v>
      </c>
      <c r="P14" s="418"/>
      <c r="R14" s="277" t="str">
        <f t="shared" si="9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29" t="s">
        <v>6</v>
      </c>
      <c r="C15" s="366" t="str">
        <f>[22]Brewhouse!$A745</f>
        <v>CA636</v>
      </c>
      <c r="D15" s="279">
        <f>[22]Brewhouse!$AF745</f>
        <v>52.8</v>
      </c>
      <c r="E15" s="279">
        <f>[22]Brewhouse!$AI745</f>
        <v>51.4</v>
      </c>
      <c r="F15" s="278">
        <f>[22]Brewhouse!$V745</f>
        <v>58</v>
      </c>
      <c r="G15" s="279">
        <f>[22]Brewhouse!AG745</f>
        <v>11.6</v>
      </c>
      <c r="H15" s="396"/>
      <c r="I15" s="368">
        <f>[22]Brewhouse!$AU745</f>
        <v>96.849171385572703</v>
      </c>
      <c r="J15" s="368">
        <f>[22]Brewhouse!$AV745</f>
        <v>99.090864761628623</v>
      </c>
      <c r="K15" s="281">
        <f>[22]Brewhouse!$Q745</f>
        <v>3.5555555555555589</v>
      </c>
      <c r="L15" s="276">
        <f>[22]Brewhouse!$P745</f>
        <v>57</v>
      </c>
      <c r="M15" s="397">
        <f>[22]Brewhouse!$U745-[22]Brewhouse!$T745</f>
        <v>0.10277777777777786</v>
      </c>
      <c r="N15" s="370">
        <f>[22]Brewhouse!$Z745</f>
        <v>0.24236111111111114</v>
      </c>
      <c r="O15" s="421" t="str">
        <f>[22]Brewhouse!$AX745</f>
        <v>R.Sookram</v>
      </c>
      <c r="P15" s="418"/>
      <c r="R15" s="277" t="str">
        <f t="shared" ref="R15:R33" si="10">B15</f>
        <v>CARIB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371"/>
      <c r="P16" s="418"/>
      <c r="R16" s="277">
        <f t="shared" si="10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1:26" ht="15.75" customHeight="1">
      <c r="B17" s="37" t="s">
        <v>16</v>
      </c>
      <c r="C17" s="366" t="str">
        <f>[23]Brewhouse!$A75</f>
        <v>SM063</v>
      </c>
      <c r="D17" s="279">
        <f>[23]Brewhouse!$AH75</f>
        <v>53</v>
      </c>
      <c r="E17" s="279">
        <f>[23]Brewhouse!$AM75</f>
        <v>49.5</v>
      </c>
      <c r="F17" s="278">
        <f>[23]Brewhouse!$Z75</f>
        <v>65</v>
      </c>
      <c r="G17" s="279">
        <f>[23]Brewhouse!$AK75</f>
        <v>17.100000000000001</v>
      </c>
      <c r="H17" s="396"/>
      <c r="I17" s="368">
        <f>[23]Brewhouse!$AY75</f>
        <v>92.872717053233544</v>
      </c>
      <c r="J17" s="368">
        <f>[23]Brewhouse!$AZ75</f>
        <v>93.905773684141664</v>
      </c>
      <c r="K17" s="281">
        <f>[23]Brewhouse!$U75</f>
        <v>8.0754716981132102</v>
      </c>
      <c r="L17" s="276">
        <f>[23]Brewhouse!$T75</f>
        <v>60</v>
      </c>
      <c r="M17" s="374">
        <f>[23]Brewhouse!$Y75-[23]Brewhouse!$X75</f>
        <v>0.12916666666666676</v>
      </c>
      <c r="N17" s="370">
        <f>[23]Brewhouse!$AD75</f>
        <v>0.27708333333333335</v>
      </c>
      <c r="O17" s="371" t="str">
        <f>[23]Brewhouse!$BC75</f>
        <v>R.Sookram</v>
      </c>
      <c r="P17" s="418"/>
      <c r="R17" s="277" t="str">
        <f t="shared" si="10"/>
        <v>STARMALT</v>
      </c>
      <c r="S17" s="296">
        <f t="shared" si="1"/>
        <v>17</v>
      </c>
      <c r="T17" s="296">
        <f t="shared" si="2"/>
        <v>17.399999999999999</v>
      </c>
      <c r="U17" s="297">
        <f t="shared" si="3"/>
        <v>0</v>
      </c>
      <c r="V17" s="297">
        <f t="shared" si="4"/>
        <v>0.13605324074074074</v>
      </c>
      <c r="W17" s="297">
        <f t="shared" si="5"/>
        <v>0.27430555555555552</v>
      </c>
      <c r="X17" s="297">
        <f t="shared" si="6"/>
        <v>0.30902777777777779</v>
      </c>
      <c r="Y17" s="297">
        <f t="shared" si="7"/>
        <v>0</v>
      </c>
      <c r="Z17" s="296">
        <f t="shared" si="8"/>
        <v>85</v>
      </c>
    </row>
    <row r="18" spans="1:26" ht="15.75" customHeight="1">
      <c r="B18" s="37" t="s">
        <v>16</v>
      </c>
      <c r="C18" s="366" t="str">
        <f>[23]Brewhouse!$A76</f>
        <v>SM064</v>
      </c>
      <c r="D18" s="279">
        <f>[23]Brewhouse!$AH76</f>
        <v>53</v>
      </c>
      <c r="E18" s="279">
        <f>[23]Brewhouse!$AM76</f>
        <v>51.7</v>
      </c>
      <c r="F18" s="278">
        <f>[23]Brewhouse!$Z76</f>
        <v>64</v>
      </c>
      <c r="G18" s="279">
        <f>[23]Brewhouse!$AK76</f>
        <v>17.2</v>
      </c>
      <c r="H18" s="396"/>
      <c r="I18" s="368">
        <f>[23]Brewhouse!$AY76</f>
        <v>97.504936022825035</v>
      </c>
      <c r="J18" s="368">
        <f>[23]Brewhouse!$AZ76</f>
        <v>98.590540995369722</v>
      </c>
      <c r="K18" s="281">
        <f>[23]Brewhouse!$U76</f>
        <v>7.3207547169811367</v>
      </c>
      <c r="L18" s="276">
        <f>[23]Brewhouse!$T76</f>
        <v>62</v>
      </c>
      <c r="M18" s="374">
        <f>[23]Brewhouse!$Y76-[23]Brewhouse!$X76</f>
        <v>0.12777777777777766</v>
      </c>
      <c r="N18" s="370">
        <f>[23]Brewhouse!$AD76</f>
        <v>0.28124999999999989</v>
      </c>
      <c r="O18" s="371" t="str">
        <f>[23]Brewhouse!$BC76</f>
        <v>K. Benjamin</v>
      </c>
      <c r="P18" s="418"/>
      <c r="R18" s="277" t="str">
        <f t="shared" si="10"/>
        <v>STARMALT</v>
      </c>
      <c r="S18" s="296">
        <f t="shared" si="1"/>
        <v>17</v>
      </c>
      <c r="T18" s="296">
        <f t="shared" si="2"/>
        <v>17.399999999999999</v>
      </c>
      <c r="U18" s="297">
        <f t="shared" si="3"/>
        <v>0</v>
      </c>
      <c r="V18" s="297">
        <f t="shared" si="4"/>
        <v>0.13605324074074074</v>
      </c>
      <c r="W18" s="297">
        <f t="shared" si="5"/>
        <v>0.27430555555555552</v>
      </c>
      <c r="X18" s="297">
        <f t="shared" si="6"/>
        <v>0.30902777777777779</v>
      </c>
      <c r="Y18" s="297">
        <f t="shared" si="7"/>
        <v>0</v>
      </c>
      <c r="Z18" s="296">
        <f t="shared" si="8"/>
        <v>85</v>
      </c>
    </row>
    <row r="19" spans="1:26" ht="15.75" customHeight="1">
      <c r="B19" s="37" t="s">
        <v>16</v>
      </c>
      <c r="C19" s="366" t="str">
        <f>[23]Brewhouse!$A77</f>
        <v>SM065</v>
      </c>
      <c r="D19" s="279">
        <f>[23]Brewhouse!$AH77</f>
        <v>53</v>
      </c>
      <c r="E19" s="279">
        <f>[23]Brewhouse!$AM77</f>
        <v>51.9</v>
      </c>
      <c r="F19" s="278">
        <f>[23]Brewhouse!$Z77</f>
        <v>70</v>
      </c>
      <c r="G19" s="279">
        <f>[23]Brewhouse!$AK77</f>
        <v>17.2</v>
      </c>
      <c r="H19" s="396"/>
      <c r="I19" s="368">
        <f>[23]Brewhouse!$AY77</f>
        <v>97.882131133164776</v>
      </c>
      <c r="J19" s="368">
        <f>[23]Brewhouse!$AZ77</f>
        <v>98.971935738098423</v>
      </c>
      <c r="K19" s="281">
        <f>[23]Brewhouse!$U77</f>
        <v>6</v>
      </c>
      <c r="L19" s="276">
        <f>[23]Brewhouse!$T77</f>
        <v>61</v>
      </c>
      <c r="M19" s="374">
        <f>[23]Brewhouse!$Y77-[23]Brewhouse!$X77</f>
        <v>0.12708333333333321</v>
      </c>
      <c r="N19" s="370">
        <f>[23]Brewhouse!$AD77</f>
        <v>0.27499999999999991</v>
      </c>
      <c r="O19" s="371" t="str">
        <f>[23]Brewhouse!$BC77</f>
        <v>K. Benjamin</v>
      </c>
      <c r="P19" s="418"/>
      <c r="R19" s="277" t="str">
        <f t="shared" si="10"/>
        <v>STARMALT</v>
      </c>
      <c r="S19" s="296">
        <f t="shared" si="1"/>
        <v>17</v>
      </c>
      <c r="T19" s="296">
        <f t="shared" si="2"/>
        <v>17.399999999999999</v>
      </c>
      <c r="U19" s="297">
        <f t="shared" si="3"/>
        <v>0</v>
      </c>
      <c r="V19" s="297">
        <f t="shared" si="4"/>
        <v>0.13605324074074074</v>
      </c>
      <c r="W19" s="297">
        <f t="shared" si="5"/>
        <v>0.27430555555555552</v>
      </c>
      <c r="X19" s="297">
        <f t="shared" si="6"/>
        <v>0.30902777777777779</v>
      </c>
      <c r="Y19" s="297">
        <f t="shared" si="7"/>
        <v>0</v>
      </c>
      <c r="Z19" s="296">
        <f t="shared" si="8"/>
        <v>85</v>
      </c>
    </row>
    <row r="20" spans="1:26" ht="15.75" customHeight="1">
      <c r="B20" s="37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418"/>
      <c r="R20" s="277">
        <f t="shared" si="1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6" ht="15.75" customHeight="1">
      <c r="B21" s="37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371"/>
      <c r="P21" s="418"/>
      <c r="R21" s="277">
        <f t="shared" si="1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6" ht="15.75" hidden="1" customHeight="1">
      <c r="B22" s="37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371"/>
      <c r="P22" s="418"/>
      <c r="R22" s="277">
        <f t="shared" si="1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6" ht="15.75" hidden="1" customHeight="1">
      <c r="B23" s="37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371"/>
      <c r="P23" s="418"/>
      <c r="R23" s="277">
        <f t="shared" si="1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6" ht="15.7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18"/>
      <c r="R24" s="277">
        <f t="shared" si="1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6" ht="15.7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418"/>
      <c r="R25" s="277">
        <f t="shared" si="1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6" ht="15.75" hidden="1" customHeight="1">
      <c r="B26" s="37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74"/>
      <c r="N26" s="370"/>
      <c r="O26" s="371"/>
      <c r="P26" s="418"/>
      <c r="R26" s="277">
        <f t="shared" si="1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6" ht="15.75" customHeight="1" thickBot="1">
      <c r="B27" s="358"/>
      <c r="C27" s="358"/>
      <c r="D27" s="358"/>
      <c r="E27" s="358"/>
      <c r="F27" s="294"/>
      <c r="G27" s="294"/>
      <c r="H27" s="348"/>
      <c r="I27" s="514"/>
      <c r="J27" s="514"/>
      <c r="K27" s="514"/>
      <c r="L27" s="514"/>
      <c r="M27" s="514"/>
      <c r="N27" s="514"/>
      <c r="O27" s="1"/>
      <c r="P27" s="12"/>
      <c r="R27" s="277">
        <f t="shared" si="1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6" ht="15.75" thickBot="1">
      <c r="B28" s="388" t="s">
        <v>162</v>
      </c>
      <c r="C28" s="388"/>
      <c r="D28" s="527" t="s">
        <v>35</v>
      </c>
      <c r="E28" s="528"/>
      <c r="F28" s="294"/>
      <c r="G28" s="294"/>
      <c r="H28" s="348"/>
      <c r="I28" s="24" t="s">
        <v>17</v>
      </c>
      <c r="J28" s="25" t="s">
        <v>36</v>
      </c>
      <c r="K28" s="26" t="s">
        <v>138</v>
      </c>
      <c r="L28" s="25" t="s">
        <v>37</v>
      </c>
      <c r="M28" s="25" t="s">
        <v>38</v>
      </c>
      <c r="N28" s="27" t="s">
        <v>39</v>
      </c>
      <c r="O28" s="294"/>
      <c r="P28" s="12"/>
      <c r="R28" s="277" t="str">
        <f t="shared" si="10"/>
        <v xml:space="preserve">BRAND 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1:26" ht="15" customHeight="1">
      <c r="A29" s="28"/>
      <c r="B29" s="558"/>
      <c r="C29" s="362"/>
      <c r="D29" s="518"/>
      <c r="E29" s="507"/>
      <c r="F29" s="294"/>
      <c r="G29" s="294"/>
      <c r="H29" s="348"/>
      <c r="I29" s="29" t="s">
        <v>6</v>
      </c>
      <c r="J29" s="280">
        <f>AVERAGE(I10:I15)</f>
        <v>98.865795781806071</v>
      </c>
      <c r="K29" s="284">
        <f>COUNTA([22]Brewhouse!$A$740:$A$745)</f>
        <v>6</v>
      </c>
      <c r="L29" s="305">
        <f>AVERAGE([22]Brewhouse!$AU$740:$AU$745)</f>
        <v>98.865795781806071</v>
      </c>
      <c r="M29" s="302">
        <f>AVERAGE([22]Brewhouse!$AU$102:$AU$171,[22]Brewhouse!$AU$173:$AU$253,[22]Brewhouse!$AU$255:$AU$339,[22]Brewhouse!$AU$341:$AU$346,[22]Brewhouse!$AU$348,[22]Brewhouse!$AU$349:$AU$406,[22]Brewhouse!$AU$408:$AU$491,[22]Brewhouse!$AU$493:$AU$578,[22]Brewhouse!$AU$580:$AU$652,[22]Brewhouse!$AU$655:$AU$745)</f>
        <v>97.716622664631302</v>
      </c>
      <c r="N29" s="30">
        <v>98</v>
      </c>
      <c r="O29" s="11"/>
      <c r="P29" s="31"/>
      <c r="R29" s="277">
        <f t="shared" si="1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1:26" ht="15" customHeight="1">
      <c r="A30" s="28"/>
      <c r="B30" s="559"/>
      <c r="C30" s="362"/>
      <c r="D30" s="519"/>
      <c r="E30" s="502"/>
      <c r="F30" s="294"/>
      <c r="G30" s="294"/>
      <c r="H30" s="348"/>
      <c r="I30" s="33" t="s">
        <v>9</v>
      </c>
      <c r="J30" s="280"/>
      <c r="K30" s="284"/>
      <c r="L30" s="302"/>
      <c r="M30" s="302">
        <f>AVERAGE([24]Brewhouse!$AS$15:$AS$64,[24]Brewhouse!$AS$66:$AS$103,[24]Brewhouse!$AS$105:$AS$140,[24]Brewhouse!$AS$142:$AS$193,[24]Brewhouse!$AS$195:$AS$240,[24]Brewhouse!$AS$242:$AS$273,[24]Brewhouse!$AS$275:$AS$322,[24]Brewhouse!$AS$324:$AS$359)</f>
        <v>98.065489639180555</v>
      </c>
      <c r="N30" s="30">
        <v>98</v>
      </c>
      <c r="O30" s="11"/>
      <c r="P30" s="31"/>
      <c r="R30" s="277">
        <f t="shared" si="1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1:26" ht="14.65" customHeight="1">
      <c r="A31" s="28"/>
      <c r="B31" s="559"/>
      <c r="C31" s="362"/>
      <c r="D31" s="518"/>
      <c r="E31" s="507"/>
      <c r="F31" s="294"/>
      <c r="G31" s="294"/>
      <c r="H31" s="348"/>
      <c r="I31" s="34" t="s">
        <v>12</v>
      </c>
      <c r="J31" s="280"/>
      <c r="K31" s="284"/>
      <c r="L31" s="302"/>
      <c r="M31" s="302">
        <f>AVERAGE([25]Brewhouse!$AU$4:$AU$7,[25]Brewhouse!$AU$9:$AU$22,[25]Brewhouse!$AU$24:$AU$35,[25]Brewhouse!$AU$37:$AU$45,[25]Brewhouse!$AU$47:$AU$62,[25]Brewhouse!$AU$64:$AU$79,[25]Brewhouse!$AU$81:$AU$92)</f>
        <v>96.938184743997624</v>
      </c>
      <c r="N31" s="30">
        <v>98</v>
      </c>
      <c r="O31" s="11"/>
      <c r="P31" s="31"/>
      <c r="R31" s="277">
        <f t="shared" si="1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1:26" ht="14.65" customHeight="1">
      <c r="A32" s="28"/>
      <c r="B32" s="559"/>
      <c r="C32" s="362"/>
      <c r="D32" s="519"/>
      <c r="E32" s="502"/>
      <c r="F32" s="294"/>
      <c r="G32" s="294"/>
      <c r="H32" s="348"/>
      <c r="I32" s="22" t="s">
        <v>33</v>
      </c>
      <c r="J32" s="280"/>
      <c r="K32" s="284"/>
      <c r="L32" s="302"/>
      <c r="M32" s="302">
        <f>AVERAGE([26]Brewhouse!$AV$5:$AV$14,[26]Brewhouse!$AV$16:$AV$19,[26]Brewhouse!$AV$21:$AV$24,[26]Brewhouse!$AV$26:$AV$33,[26]Brewhouse!$AV$35:$AV$46,[26]Brewhouse!$AV$48:$AV$53,[26]Brewhouse!$AV$55:$AV$62,[26]Brewhouse!$AV$64:$AV$77)</f>
        <v>98.521410557268055</v>
      </c>
      <c r="N32" s="30">
        <v>98</v>
      </c>
      <c r="O32" s="11"/>
      <c r="P32" s="31"/>
      <c r="R32" s="277">
        <f t="shared" si="1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56" ht="14.65" customHeight="1">
      <c r="A33" s="28"/>
      <c r="B33" s="559"/>
      <c r="C33" s="362"/>
      <c r="D33" s="518"/>
      <c r="E33" s="507"/>
      <c r="F33" s="417"/>
      <c r="G33" s="294"/>
      <c r="H33" s="348"/>
      <c r="I33" s="35" t="s">
        <v>29</v>
      </c>
      <c r="J33" s="280"/>
      <c r="K33" s="284"/>
      <c r="L33" s="302"/>
      <c r="M33" s="302"/>
      <c r="N33" s="30">
        <v>98</v>
      </c>
      <c r="O33" s="11"/>
      <c r="P33" s="31"/>
      <c r="R33" s="277">
        <f t="shared" si="1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56" ht="14.65" customHeight="1">
      <c r="A34" s="28"/>
      <c r="B34" s="559"/>
      <c r="C34" s="362"/>
      <c r="D34" s="519"/>
      <c r="E34" s="502"/>
      <c r="F34" s="417"/>
      <c r="G34" s="294"/>
      <c r="H34" s="348"/>
      <c r="I34" s="36" t="s">
        <v>15</v>
      </c>
      <c r="J34" s="323"/>
      <c r="K34" s="284"/>
      <c r="L34" s="302"/>
      <c r="M34" s="302">
        <f>AVERAGE([27]Brewhouse!$AT$4:$AT$11,[27]Brewhouse!$AT$13:$AT$16,[27]Brewhouse!$AT$18:$AT$21,[27]Brewhouse!$AT$26)</f>
        <v>94.588057846623641</v>
      </c>
      <c r="N34" s="30">
        <v>98</v>
      </c>
      <c r="O34" s="11"/>
      <c r="P34" s="31"/>
      <c r="R34" s="277"/>
      <c r="S34" s="296"/>
      <c r="T34" s="296"/>
      <c r="U34" s="297"/>
      <c r="V34" s="297"/>
      <c r="W34" s="297"/>
      <c r="X34" s="297"/>
      <c r="Y34" s="297"/>
      <c r="Z34" s="296"/>
      <c r="AA34" s="296"/>
    </row>
    <row r="35" spans="1:56" ht="14.65" customHeight="1">
      <c r="A35" s="28"/>
      <c r="B35" s="559"/>
      <c r="C35" s="362"/>
      <c r="D35" s="518"/>
      <c r="E35" s="507"/>
      <c r="F35" s="417"/>
      <c r="G35" s="294"/>
      <c r="H35" s="348"/>
      <c r="I35" s="37" t="s">
        <v>16</v>
      </c>
      <c r="J35" s="323">
        <f>AVERAGE(I17:I19)</f>
        <v>96.08659473640779</v>
      </c>
      <c r="K35" s="284">
        <f>COUNTA([23]Brewhouse!$A$75:$A$77)</f>
        <v>3</v>
      </c>
      <c r="L35" s="302">
        <f>AVERAGE([23]Brewhouse!$AY$75:$AY$77)</f>
        <v>96.08659473640779</v>
      </c>
      <c r="M35" s="302">
        <f>AVERAGE([23]Brewhouse!$AY$6:$AY$13,[23]Brewhouse!$AY$15:$AY$20,[23]Brewhouse!$AY$22:$AY$29,[23]Brewhouse!$AY$31:$AY$34,[23]Brewhouse!$AY$36:$AY$43,[23]Brewhouse!$AY$45:$AY$50, [23]Brewhouse!$AY$56:$AY$73,[23]Brewhouse!$AY$75:$AY$77)</f>
        <v>97.300940217040846</v>
      </c>
      <c r="N35" s="30">
        <v>98</v>
      </c>
      <c r="O35" s="11"/>
      <c r="P35" s="31" t="s">
        <v>41</v>
      </c>
      <c r="R35" s="277"/>
      <c r="S35" s="296"/>
      <c r="T35" s="296"/>
      <c r="U35" s="297"/>
      <c r="V35" s="297"/>
      <c r="W35" s="297"/>
      <c r="X35" s="297"/>
      <c r="Y35" s="297"/>
      <c r="Z35" s="296"/>
      <c r="AA35" s="296"/>
    </row>
    <row r="36" spans="1:56" ht="14.65" customHeight="1">
      <c r="A36" s="28"/>
      <c r="B36" s="559"/>
      <c r="C36" s="362"/>
      <c r="D36" s="519"/>
      <c r="E36" s="502"/>
      <c r="F36" s="294"/>
      <c r="G36" s="294"/>
      <c r="H36" s="348"/>
      <c r="I36" s="411" t="s">
        <v>158</v>
      </c>
      <c r="J36" s="326"/>
      <c r="K36" s="284"/>
      <c r="L36" s="305"/>
      <c r="M36" s="305">
        <f>AVERAGE([28]Brewhouse!$AU$5:$AU$8,[28]Brewhouse!$AU$10:$AU$13,[23]Brewhouse!$AY$75:$AY$77)</f>
        <v>94.749192473706671</v>
      </c>
      <c r="N36" s="30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  <c r="AA36" s="296"/>
    </row>
    <row r="37" spans="1:56" ht="14.65" customHeight="1">
      <c r="A37" s="28"/>
      <c r="B37" s="559"/>
      <c r="C37" s="349"/>
      <c r="D37" s="518"/>
      <c r="E37" s="507"/>
      <c r="F37" s="294"/>
      <c r="G37" s="294"/>
      <c r="H37" s="348"/>
      <c r="I37" s="410" t="s">
        <v>157</v>
      </c>
      <c r="J37" s="326"/>
      <c r="K37" s="284"/>
      <c r="L37" s="305"/>
      <c r="M37" s="305">
        <f>AVERAGE([29]Brewhouse!$AW$26:$AW$27)</f>
        <v>95.310680905194914</v>
      </c>
      <c r="N37" s="30">
        <v>98</v>
      </c>
      <c r="O37" s="11"/>
      <c r="P37" s="31"/>
      <c r="R37" s="277"/>
      <c r="S37" s="296"/>
      <c r="T37" s="296"/>
      <c r="U37" s="297"/>
      <c r="V37" s="297"/>
      <c r="W37" s="297"/>
      <c r="X37" s="297"/>
      <c r="Y37" s="297"/>
      <c r="Z37" s="296"/>
      <c r="AA37" s="296"/>
    </row>
    <row r="38" spans="1:56" ht="15" customHeight="1" thickBot="1">
      <c r="A38" s="28"/>
      <c r="B38" s="559"/>
      <c r="C38" s="349"/>
      <c r="D38" s="519"/>
      <c r="E38" s="502"/>
      <c r="F38" s="294"/>
      <c r="G38" s="294"/>
      <c r="H38" s="348"/>
      <c r="I38" s="406" t="s">
        <v>156</v>
      </c>
      <c r="J38" s="327"/>
      <c r="K38" s="407"/>
      <c r="L38" s="408"/>
      <c r="M38" s="408">
        <f>AVERAGE([30]Brewhouse!$AU$13:$AU$14)</f>
        <v>97.110575243268045</v>
      </c>
      <c r="N38" s="409">
        <v>98</v>
      </c>
      <c r="O38" s="11"/>
      <c r="P38" s="31"/>
      <c r="R38" s="277"/>
      <c r="S38" s="296"/>
      <c r="T38" s="296"/>
      <c r="U38" s="297"/>
      <c r="V38" s="297"/>
      <c r="W38" s="297"/>
      <c r="X38" s="297"/>
      <c r="Y38" s="297"/>
      <c r="Z38" s="296"/>
      <c r="AA38" s="296"/>
    </row>
    <row r="39" spans="1:56" ht="15" customHeight="1" thickBot="1">
      <c r="A39" s="28"/>
      <c r="B39" s="559"/>
      <c r="C39" s="349"/>
      <c r="D39" s="518"/>
      <c r="E39" s="507"/>
      <c r="F39" s="294"/>
      <c r="G39" s="294"/>
      <c r="H39" s="348"/>
      <c r="I39" s="1"/>
      <c r="J39" s="39"/>
      <c r="K39" s="404">
        <f>SUM(K29:K38)</f>
        <v>9</v>
      </c>
      <c r="L39" s="405">
        <f>((L29*K29)+(L30*K30)+(L31*K31)+(L32*K32)+(L33*K33)+(K36*L36)+(L34*K34)+(L35*K35)+(L38*K38))/(K39)</f>
        <v>97.939395433339968</v>
      </c>
      <c r="M39" s="405">
        <f>AVERAGE('[31]Jan 31st'!$L$65,'[32]Feb 28th'!$L$35,'[33]Mar. 31st'!$L$35,'[34]Apr. 30th'!$L$45,'[35]May 30th'!$L$37,'[36]June 30th'!$L$57,L39)</f>
        <v>97.698757990057416</v>
      </c>
      <c r="N39" s="40">
        <v>98</v>
      </c>
      <c r="O39" s="11"/>
      <c r="P39" s="31"/>
      <c r="R39" s="277"/>
      <c r="S39" s="296"/>
      <c r="T39" s="296"/>
      <c r="U39" s="297"/>
      <c r="V39" s="297"/>
      <c r="W39" s="297"/>
      <c r="X39" s="297"/>
      <c r="Y39" s="297"/>
      <c r="Z39" s="296"/>
      <c r="AA39" s="296"/>
    </row>
    <row r="40" spans="1:56" ht="15.75" thickBot="1">
      <c r="B40" s="560"/>
      <c r="C40" s="350"/>
      <c r="D40" s="519"/>
      <c r="E40" s="502"/>
      <c r="F40" s="294"/>
      <c r="G40" s="42"/>
      <c r="H40" s="41"/>
      <c r="I40" s="42"/>
      <c r="J40" s="42"/>
      <c r="K40" s="351"/>
      <c r="L40" s="348"/>
      <c r="M40" s="348"/>
      <c r="N40" s="11"/>
      <c r="O40" s="294"/>
      <c r="P40" s="12"/>
      <c r="R40" s="277"/>
      <c r="S40" s="296"/>
      <c r="T40" s="296"/>
      <c r="U40" s="297"/>
      <c r="V40" s="297"/>
      <c r="W40" s="297"/>
      <c r="X40" s="297"/>
      <c r="Y40" s="297"/>
      <c r="Z40" s="296"/>
      <c r="AA40" s="296"/>
    </row>
    <row r="41" spans="1:56" ht="15.75" thickBot="1">
      <c r="B41" s="552"/>
      <c r="C41" s="362"/>
      <c r="D41" s="499"/>
      <c r="E41" s="500"/>
      <c r="F41" s="294"/>
      <c r="G41" s="42"/>
      <c r="H41" s="41"/>
      <c r="I41" s="42"/>
      <c r="J41" s="553" t="s">
        <v>129</v>
      </c>
      <c r="K41" s="553"/>
      <c r="L41" s="294"/>
      <c r="M41" s="294"/>
      <c r="N41" s="294"/>
      <c r="O41" s="294"/>
      <c r="P41" s="12"/>
    </row>
    <row r="42" spans="1:56" ht="15.75" thickBot="1">
      <c r="B42" s="516"/>
      <c r="C42" s="362"/>
      <c r="D42" s="501"/>
      <c r="E42" s="502"/>
      <c r="F42" s="294"/>
      <c r="G42" s="42"/>
      <c r="H42" s="41"/>
      <c r="I42" s="42"/>
      <c r="J42" s="292" t="s">
        <v>17</v>
      </c>
      <c r="K42" s="293" t="s">
        <v>147</v>
      </c>
      <c r="L42" s="504" t="s">
        <v>136</v>
      </c>
      <c r="M42" s="504"/>
      <c r="N42" s="505"/>
      <c r="O42" s="294"/>
      <c r="P42" s="12"/>
    </row>
    <row r="43" spans="1:56" ht="15" customHeight="1" thickBot="1">
      <c r="B43" s="516"/>
      <c r="C43" s="349"/>
      <c r="D43" s="554"/>
      <c r="E43" s="555"/>
      <c r="F43" s="294"/>
      <c r="G43" s="42"/>
      <c r="H43" s="41"/>
      <c r="I43" s="42"/>
      <c r="J43" s="287" t="s">
        <v>6</v>
      </c>
      <c r="K43" s="324">
        <f>COUNTA(B10:B15)</f>
        <v>6</v>
      </c>
      <c r="L43" s="343" t="s">
        <v>37</v>
      </c>
      <c r="M43" s="307" t="s">
        <v>38</v>
      </c>
      <c r="N43" s="307" t="s">
        <v>84</v>
      </c>
      <c r="O43" s="294"/>
      <c r="P43" s="12"/>
    </row>
    <row r="44" spans="1:56" ht="15.75" customHeight="1" thickBot="1">
      <c r="B44" s="516"/>
      <c r="C44" s="349"/>
      <c r="D44" s="501"/>
      <c r="E44" s="502"/>
      <c r="F44" s="294"/>
      <c r="G44" s="42"/>
      <c r="H44" s="41"/>
      <c r="I44" s="42"/>
      <c r="J44" s="345" t="s">
        <v>9</v>
      </c>
      <c r="K44" s="324"/>
      <c r="L44" s="344">
        <f>AVERAGE(K53)</f>
        <v>9</v>
      </c>
      <c r="M44" s="325">
        <f>AVERAGE('[31]Jan 29th '!$M$70,'[32]Feb 28th'!$L$40,'[33]Mar. 31st'!$L$40,'[34]Apr. 30th'!$L$50,'[35]May 30th'!$L$42,'[36]June 30th'!$L$62,'[37]July 29th '!$L$49,'[38]Aug 29th'!$L$34,L44)</f>
        <v>7.1814118164232577</v>
      </c>
      <c r="N44" s="416">
        <v>9.1999999999999993</v>
      </c>
      <c r="O44" s="294"/>
      <c r="P44" s="12"/>
    </row>
    <row r="45" spans="1:56" ht="15" customHeight="1">
      <c r="B45" s="516"/>
      <c r="C45" s="349"/>
      <c r="D45" s="554"/>
      <c r="E45" s="555"/>
      <c r="F45" s="294"/>
      <c r="G45" s="42"/>
      <c r="H45" s="41"/>
      <c r="I45" s="42"/>
      <c r="J45" s="288" t="s">
        <v>40</v>
      </c>
      <c r="K45" s="324"/>
      <c r="L45" s="294"/>
      <c r="M45" s="294"/>
      <c r="N45" s="294"/>
      <c r="O45" s="294"/>
      <c r="P45" s="12"/>
    </row>
    <row r="46" spans="1:56" ht="15" customHeight="1">
      <c r="B46" s="516"/>
      <c r="C46" s="349"/>
      <c r="D46" s="501"/>
      <c r="E46" s="502"/>
      <c r="F46" s="294"/>
      <c r="G46" s="42"/>
      <c r="H46" s="41"/>
      <c r="I46" s="42"/>
      <c r="J46" s="289" t="s">
        <v>33</v>
      </c>
      <c r="K46" s="324"/>
      <c r="L46" s="294"/>
      <c r="M46" s="294"/>
      <c r="N46" s="294"/>
      <c r="O46" s="294"/>
      <c r="P46" s="12"/>
    </row>
    <row r="47" spans="1:56" ht="15">
      <c r="B47" s="516"/>
      <c r="C47" s="349"/>
      <c r="D47" s="554"/>
      <c r="E47" s="555"/>
      <c r="F47" s="294"/>
      <c r="G47" s="42"/>
      <c r="H47" s="41"/>
      <c r="I47" s="42"/>
      <c r="J47" s="290" t="s">
        <v>16</v>
      </c>
      <c r="K47" s="324">
        <v>3</v>
      </c>
      <c r="L47" s="294"/>
      <c r="M47" s="294"/>
      <c r="N47" s="294"/>
      <c r="O47" s="294"/>
      <c r="P47" s="12"/>
      <c r="BC47" s="44"/>
      <c r="BD47" s="44"/>
    </row>
    <row r="48" spans="1:56" ht="15">
      <c r="B48" s="516"/>
      <c r="C48" s="349"/>
      <c r="D48" s="501"/>
      <c r="E48" s="502"/>
      <c r="F48" s="294"/>
      <c r="G48" s="42"/>
      <c r="H48" s="41"/>
      <c r="I48" s="42"/>
      <c r="J48" s="291" t="s">
        <v>15</v>
      </c>
      <c r="K48" s="324"/>
      <c r="L48" s="294"/>
      <c r="M48" s="294"/>
      <c r="N48" s="294"/>
      <c r="O48" s="294"/>
      <c r="P48" s="12"/>
      <c r="BC48" s="44"/>
      <c r="BD48" s="44"/>
    </row>
    <row r="49" spans="2:57" ht="15">
      <c r="B49" s="516"/>
      <c r="C49" s="349"/>
      <c r="D49" s="554"/>
      <c r="E49" s="555"/>
      <c r="F49" s="294"/>
      <c r="G49" s="42"/>
      <c r="H49" s="41"/>
      <c r="I49" s="42"/>
      <c r="J49" s="291" t="s">
        <v>149</v>
      </c>
      <c r="K49" s="324"/>
      <c r="L49" s="294"/>
      <c r="M49" s="294"/>
      <c r="N49" s="294"/>
      <c r="O49" s="294"/>
      <c r="P49" s="12"/>
      <c r="BC49" s="44"/>
      <c r="BD49" s="44"/>
    </row>
    <row r="50" spans="2:57" ht="15.75" thickBot="1">
      <c r="B50" s="517"/>
      <c r="C50" s="350"/>
      <c r="D50" s="556"/>
      <c r="E50" s="557"/>
      <c r="F50" s="294"/>
      <c r="G50" s="42"/>
      <c r="H50" s="41"/>
      <c r="I50" s="42"/>
      <c r="J50" s="291" t="s">
        <v>148</v>
      </c>
      <c r="K50" s="324"/>
      <c r="L50" s="294"/>
      <c r="M50" s="294"/>
      <c r="N50" s="294"/>
      <c r="O50" s="294"/>
      <c r="P50" s="12"/>
      <c r="BC50" s="44"/>
      <c r="BD50" s="44"/>
    </row>
    <row r="51" spans="2:57" ht="17.649999999999999" customHeight="1" thickBot="1">
      <c r="B51" s="312" t="s">
        <v>139</v>
      </c>
      <c r="C51" s="313"/>
      <c r="D51" s="550" t="e">
        <f>AVERAGE(D29:E50)</f>
        <v>#DIV/0!</v>
      </c>
      <c r="E51" s="551"/>
      <c r="F51" s="294"/>
      <c r="H51" s="41"/>
      <c r="I51" s="42"/>
      <c r="J51" s="295" t="s">
        <v>134</v>
      </c>
      <c r="K51" s="324"/>
      <c r="L51" s="294"/>
      <c r="M51" s="294"/>
      <c r="N51" s="294"/>
      <c r="O51" s="294"/>
      <c r="P51" s="12"/>
      <c r="BC51" s="44"/>
      <c r="BD51" s="44"/>
    </row>
    <row r="52" spans="2:57" ht="17.649999999999999" customHeight="1">
      <c r="B52" s="363"/>
      <c r="C52" s="364"/>
      <c r="D52" s="365"/>
      <c r="E52" s="365"/>
      <c r="F52" s="294"/>
      <c r="G52" s="42"/>
      <c r="H52" s="41"/>
      <c r="I52" s="42"/>
      <c r="J52" s="295" t="s">
        <v>131</v>
      </c>
      <c r="K52" s="324"/>
      <c r="L52" s="294"/>
      <c r="M52" s="294"/>
      <c r="N52" s="294"/>
      <c r="O52" s="294"/>
      <c r="P52" s="12"/>
      <c r="BC52" s="44"/>
      <c r="BD52" s="44"/>
    </row>
    <row r="53" spans="2:57" ht="15.6" customHeight="1">
      <c r="B53" s="45"/>
      <c r="C53" s="11"/>
      <c r="D53" s="11"/>
      <c r="E53" s="46"/>
      <c r="F53" s="294"/>
      <c r="G53" s="42"/>
      <c r="H53" s="41"/>
      <c r="I53" s="42"/>
      <c r="J53" s="346" t="s">
        <v>130</v>
      </c>
      <c r="K53" s="324">
        <f>SUM(K43:K52)</f>
        <v>9</v>
      </c>
      <c r="L53" s="294"/>
      <c r="M53" s="294"/>
      <c r="N53" s="294"/>
      <c r="O53" s="294"/>
      <c r="P53" s="12"/>
    </row>
    <row r="54" spans="2:57" ht="20.25" customHeight="1">
      <c r="B54" s="15" t="s">
        <v>42</v>
      </c>
      <c r="C54" s="1" t="s">
        <v>43</v>
      </c>
      <c r="D54" s="1"/>
      <c r="E54" s="1"/>
      <c r="F54" s="294"/>
      <c r="G54" s="42"/>
      <c r="H54" s="41"/>
      <c r="I54" s="42"/>
      <c r="L54" s="294"/>
      <c r="N54" s="315"/>
      <c r="P54" s="334"/>
    </row>
    <row r="55" spans="2:57" ht="15" customHeight="1" thickBot="1"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1"/>
      <c r="O55" s="48"/>
      <c r="P55" s="49"/>
    </row>
    <row r="56" spans="2:57" ht="15" customHeight="1" thickBot="1">
      <c r="B56" s="480" t="s">
        <v>17</v>
      </c>
      <c r="C56" s="480" t="s">
        <v>44</v>
      </c>
      <c r="D56" s="492" t="s">
        <v>45</v>
      </c>
      <c r="E56" s="494" t="s">
        <v>46</v>
      </c>
      <c r="F56" s="488" t="s">
        <v>47</v>
      </c>
      <c r="G56" s="478" t="s">
        <v>48</v>
      </c>
      <c r="H56" s="480" t="s">
        <v>49</v>
      </c>
      <c r="I56" s="480" t="s">
        <v>50</v>
      </c>
      <c r="J56" s="472" t="s">
        <v>28</v>
      </c>
      <c r="K56" s="484" t="s">
        <v>51</v>
      </c>
      <c r="L56" s="486" t="s">
        <v>52</v>
      </c>
      <c r="M56" s="472" t="s">
        <v>53</v>
      </c>
      <c r="N56" s="13"/>
      <c r="O56" s="13"/>
      <c r="P56" s="50"/>
    </row>
    <row r="57" spans="2:57" ht="28.5" customHeight="1" thickTop="1" thickBot="1">
      <c r="B57" s="481"/>
      <c r="C57" s="481"/>
      <c r="D57" s="493"/>
      <c r="E57" s="495"/>
      <c r="F57" s="489"/>
      <c r="G57" s="479"/>
      <c r="H57" s="549"/>
      <c r="I57" s="549"/>
      <c r="J57" s="473"/>
      <c r="K57" s="485"/>
      <c r="L57" s="487"/>
      <c r="M57" s="473"/>
      <c r="N57" s="13"/>
      <c r="O57" s="13"/>
      <c r="P57" s="50"/>
      <c r="Q57" s="355"/>
      <c r="AB57" s="51">
        <v>43474</v>
      </c>
      <c r="AC57" s="51">
        <v>43475</v>
      </c>
      <c r="AD57" s="51">
        <v>43476</v>
      </c>
      <c r="AE57" s="51">
        <v>43477</v>
      </c>
      <c r="AF57" s="51">
        <v>43478</v>
      </c>
      <c r="AG57" s="51">
        <v>43479</v>
      </c>
      <c r="AH57" s="51">
        <v>43480</v>
      </c>
      <c r="AI57" s="51">
        <v>43481</v>
      </c>
      <c r="AJ57" s="51">
        <v>43482</v>
      </c>
      <c r="AK57" s="51">
        <v>43483</v>
      </c>
      <c r="AL57" s="51">
        <v>43484</v>
      </c>
      <c r="AM57" s="51">
        <v>43485</v>
      </c>
      <c r="AN57" s="51">
        <v>43486</v>
      </c>
      <c r="AO57" s="51">
        <v>43487</v>
      </c>
      <c r="AP57" s="51">
        <v>43488</v>
      </c>
      <c r="AQ57" s="51">
        <v>43489</v>
      </c>
      <c r="AR57" s="51">
        <v>43490</v>
      </c>
      <c r="AS57" s="51">
        <v>43491</v>
      </c>
      <c r="AT57" s="51">
        <v>43492</v>
      </c>
      <c r="AU57" s="51">
        <v>43493</v>
      </c>
      <c r="AV57" s="51">
        <v>43494</v>
      </c>
      <c r="AW57" s="51">
        <v>43495</v>
      </c>
      <c r="AX57" s="51">
        <v>43496</v>
      </c>
    </row>
    <row r="58" spans="2:57" s="54" customFormat="1" ht="59.45" customHeight="1" thickBot="1">
      <c r="B58" s="460" t="str">
        <f>J44</f>
        <v>STAG</v>
      </c>
      <c r="C58" s="442">
        <v>45901</v>
      </c>
      <c r="D58" s="443">
        <f>[39]September_2025!$D$13</f>
        <v>500</v>
      </c>
      <c r="E58" s="444"/>
      <c r="F58" s="445"/>
      <c r="G58" s="446">
        <f>[39]September_2025!$D$17</f>
        <v>461.50000000000006</v>
      </c>
      <c r="H58" s="463"/>
      <c r="I58" s="463"/>
      <c r="J58" s="449" t="s">
        <v>171</v>
      </c>
      <c r="K58" s="450">
        <f>[40]September_2025!$D$25</f>
        <v>0.80964912280701762</v>
      </c>
      <c r="L58" s="464">
        <f>(((D58+E58)-G58)/(D58+E58))*100</f>
        <v>7.6999999999999886</v>
      </c>
      <c r="M58" s="457" t="s">
        <v>170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[20]January_2019!L7</f>
        <v>285.8</v>
      </c>
      <c r="AC58" s="57">
        <f>[20]January_2019!M7</f>
        <v>508.1</v>
      </c>
      <c r="AD58" s="57">
        <f>[20]January_2019!N7</f>
        <v>0</v>
      </c>
      <c r="AE58" s="57">
        <f>[20]January_2019!O7</f>
        <v>0</v>
      </c>
      <c r="AF58" s="57">
        <f>[20]January_2019!P7</f>
        <v>109.56666666666666</v>
      </c>
      <c r="AG58" s="57">
        <f>[20]January_2019!Q7</f>
        <v>297.64999999999998</v>
      </c>
      <c r="AH58" s="57">
        <f>[20]January_2019!R7</f>
        <v>122.3</v>
      </c>
      <c r="AI58" s="57">
        <f>[20]January_2019!S7</f>
        <v>0</v>
      </c>
      <c r="AJ58" s="57">
        <f>[20]January_2019!T7</f>
        <v>294.7</v>
      </c>
      <c r="AK58" s="57">
        <f>[20]January_2019!U7</f>
        <v>280.5</v>
      </c>
      <c r="AL58" s="57">
        <f>[20]January_2019!V7</f>
        <v>0</v>
      </c>
      <c r="AM58" s="57">
        <f>[20]January_2019!W7</f>
        <v>0</v>
      </c>
      <c r="AN58" s="57">
        <f>[20]January_2019!X7</f>
        <v>188.25</v>
      </c>
      <c r="AO58" s="57">
        <f>[20]January_2019!Y7</f>
        <v>295.7</v>
      </c>
      <c r="AP58" s="57">
        <f>[20]January_2019!Z7</f>
        <v>257.8</v>
      </c>
      <c r="AQ58" s="57">
        <f>[20]January_2019!AA7</f>
        <v>291.2</v>
      </c>
      <c r="AR58" s="57">
        <f>[20]January_2019!AB7</f>
        <v>187</v>
      </c>
      <c r="AS58" s="57">
        <f>[20]January_2019!AC7</f>
        <v>0</v>
      </c>
      <c r="AT58" s="57">
        <f>[20]January_2019!AD7</f>
        <v>0</v>
      </c>
      <c r="AU58" s="57">
        <f>[20]January_2019!AE7</f>
        <v>485.1</v>
      </c>
      <c r="AV58" s="57">
        <f>[20]January_2019!AF7</f>
        <v>171.55</v>
      </c>
      <c r="AW58" s="57">
        <f>[20]January_2019!AG7</f>
        <v>423.8</v>
      </c>
      <c r="AX58" s="277">
        <f>[20]January_2019!AH7</f>
        <v>0</v>
      </c>
      <c r="AY58" s="277"/>
      <c r="AZ58" s="277"/>
      <c r="BA58" s="277"/>
      <c r="BB58" s="277"/>
      <c r="BC58" s="277"/>
      <c r="BD58" s="277"/>
      <c r="BE58" s="277"/>
    </row>
    <row r="59" spans="2:57" s="54" customFormat="1" ht="20.45" hidden="1" customHeight="1" thickBot="1">
      <c r="B59" s="459"/>
      <c r="C59" s="431"/>
      <c r="D59" s="432"/>
      <c r="E59" s="433"/>
      <c r="F59" s="434"/>
      <c r="G59" s="435"/>
      <c r="H59" s="429"/>
      <c r="I59" s="429"/>
      <c r="J59" s="452"/>
      <c r="K59" s="437"/>
      <c r="L59" s="453"/>
      <c r="M59" s="422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59.45" hidden="1" customHeight="1" thickBot="1">
      <c r="B60" s="460"/>
      <c r="C60" s="442"/>
      <c r="D60" s="443"/>
      <c r="E60" s="444"/>
      <c r="F60" s="445"/>
      <c r="G60" s="446"/>
      <c r="H60" s="429"/>
      <c r="I60" s="429"/>
      <c r="J60" s="449"/>
      <c r="K60" s="450"/>
      <c r="L60" s="458"/>
      <c r="M60" s="457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5" hidden="1">
      <c r="B61" s="454"/>
      <c r="C61" s="431"/>
      <c r="D61" s="432"/>
      <c r="E61" s="433"/>
      <c r="F61" s="434"/>
      <c r="G61" s="435"/>
      <c r="H61" s="436"/>
      <c r="I61" s="451"/>
      <c r="J61" s="452"/>
      <c r="K61" s="437"/>
      <c r="L61" s="453"/>
      <c r="M61" s="422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6.6" hidden="1" customHeight="1" thickBot="1">
      <c r="B62" s="387"/>
      <c r="C62" s="442"/>
      <c r="D62" s="443"/>
      <c r="E62" s="444"/>
      <c r="F62" s="445"/>
      <c r="G62" s="446"/>
      <c r="H62" s="447"/>
      <c r="I62" s="448"/>
      <c r="J62" s="449" t="s">
        <v>163</v>
      </c>
      <c r="K62" s="450"/>
      <c r="L62" s="455" t="e">
        <f>(((D62+E62)-G62)/(D62+E62))*100</f>
        <v>#DIV/0!</v>
      </c>
      <c r="M62" s="456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16.5" hidden="1" customHeight="1" thickBot="1">
      <c r="B63" s="438"/>
      <c r="C63" s="424"/>
      <c r="D63" s="425"/>
      <c r="E63" s="426"/>
      <c r="F63" s="427"/>
      <c r="G63" s="428"/>
      <c r="H63" s="429"/>
      <c r="I63" s="439"/>
      <c r="J63" s="440"/>
      <c r="K63" s="430"/>
      <c r="L63" s="441"/>
      <c r="M63" s="423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415"/>
      <c r="AC63" s="415"/>
      <c r="AD63" s="415"/>
      <c r="AE63" s="415"/>
      <c r="AF63" s="415"/>
      <c r="AG63" s="415"/>
      <c r="AH63" s="415"/>
      <c r="AI63" s="415"/>
      <c r="AJ63" s="415"/>
      <c r="AK63" s="415"/>
      <c r="AL63" s="415"/>
      <c r="AM63" s="415"/>
      <c r="AN63" s="415"/>
      <c r="AO63" s="415"/>
      <c r="AP63" s="415"/>
      <c r="AQ63" s="415"/>
      <c r="AR63" s="415"/>
      <c r="AS63" s="415"/>
      <c r="AT63" s="415"/>
      <c r="AU63" s="415"/>
      <c r="AV63" s="415"/>
      <c r="AW63" s="415"/>
    </row>
    <row r="64" spans="2:57" ht="18" customHeight="1" thickBot="1">
      <c r="B64" s="59"/>
      <c r="C64" s="30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 t="s">
        <v>41</v>
      </c>
      <c r="O64" s="56"/>
      <c r="P64" s="60"/>
    </row>
    <row r="65" spans="2:16" ht="15.75" thickBot="1">
      <c r="B65" s="474" t="s">
        <v>55</v>
      </c>
      <c r="C65" s="475"/>
      <c r="D65" s="475"/>
      <c r="E65" s="475"/>
      <c r="F65" s="476"/>
      <c r="G65" s="474" t="s">
        <v>56</v>
      </c>
      <c r="H65" s="475"/>
      <c r="I65" s="475"/>
      <c r="J65" s="476"/>
      <c r="K65" s="474" t="s">
        <v>51</v>
      </c>
      <c r="L65" s="475"/>
      <c r="M65" s="475"/>
      <c r="N65" s="477"/>
      <c r="O65" s="56"/>
      <c r="P65" s="50"/>
    </row>
    <row r="66" spans="2:16" ht="15">
      <c r="B66" s="61" t="s">
        <v>17</v>
      </c>
      <c r="C66" s="62" t="s">
        <v>36</v>
      </c>
      <c r="D66" s="62" t="s">
        <v>37</v>
      </c>
      <c r="E66" s="62" t="s">
        <v>38</v>
      </c>
      <c r="F66" s="63" t="s">
        <v>39</v>
      </c>
      <c r="G66" s="62" t="s">
        <v>36</v>
      </c>
      <c r="H66" s="62" t="s">
        <v>37</v>
      </c>
      <c r="I66" s="62" t="s">
        <v>38</v>
      </c>
      <c r="J66" s="63" t="s">
        <v>39</v>
      </c>
      <c r="K66" s="62" t="s">
        <v>36</v>
      </c>
      <c r="L66" s="62" t="s">
        <v>37</v>
      </c>
      <c r="M66" s="62" t="s">
        <v>38</v>
      </c>
      <c r="N66" s="63" t="s">
        <v>39</v>
      </c>
      <c r="O66" s="56"/>
      <c r="P66" s="64"/>
    </row>
    <row r="67" spans="2:16" ht="15">
      <c r="B67" s="29" t="s">
        <v>6</v>
      </c>
      <c r="C67" s="65"/>
      <c r="D67" s="76"/>
      <c r="E67" s="76"/>
      <c r="F67" s="66">
        <v>4.8</v>
      </c>
      <c r="G67" s="65"/>
      <c r="H67" s="76"/>
      <c r="I67" s="76"/>
      <c r="J67" s="66">
        <v>4.8</v>
      </c>
      <c r="K67" s="67"/>
      <c r="L67" s="194"/>
      <c r="M67" s="194"/>
      <c r="N67" s="68">
        <v>1</v>
      </c>
      <c r="O67" s="56"/>
      <c r="P67" s="69"/>
    </row>
    <row r="68" spans="2:16" ht="15">
      <c r="B68" s="33" t="s">
        <v>9</v>
      </c>
      <c r="C68" s="65">
        <f>L58</f>
        <v>7.6999999999999886</v>
      </c>
      <c r="D68" s="76"/>
      <c r="E68" s="76"/>
      <c r="F68" s="66">
        <v>4.8</v>
      </c>
      <c r="G68" s="65">
        <f>[39]September_2025!$D$21</f>
        <v>9.1791666666666636</v>
      </c>
      <c r="H68" s="76"/>
      <c r="I68" s="76"/>
      <c r="J68" s="66">
        <v>4.8</v>
      </c>
      <c r="K68" s="67">
        <f>K58</f>
        <v>0.80964912280701762</v>
      </c>
      <c r="L68" s="194"/>
      <c r="M68" s="194"/>
      <c r="N68" s="68">
        <v>1</v>
      </c>
      <c r="P68" s="69"/>
    </row>
    <row r="69" spans="2:16" ht="15">
      <c r="B69" s="34" t="s">
        <v>40</v>
      </c>
      <c r="C69" s="65"/>
      <c r="D69" s="76"/>
      <c r="E69" s="76"/>
      <c r="F69" s="66">
        <v>5.5</v>
      </c>
      <c r="G69" s="65"/>
      <c r="H69" s="76"/>
      <c r="I69" s="76"/>
      <c r="J69" s="66">
        <v>5.5</v>
      </c>
      <c r="K69" s="67"/>
      <c r="L69" s="194"/>
      <c r="M69" s="194"/>
      <c r="N69" s="68">
        <v>1</v>
      </c>
      <c r="P69" s="69"/>
    </row>
    <row r="70" spans="2:16" ht="15">
      <c r="B70" s="22" t="s">
        <v>33</v>
      </c>
      <c r="C70" s="65"/>
      <c r="D70" s="76"/>
      <c r="E70" s="76"/>
      <c r="F70" s="66">
        <v>3.3</v>
      </c>
      <c r="G70" s="65"/>
      <c r="H70" s="76"/>
      <c r="I70" s="76"/>
      <c r="J70" s="66">
        <v>3.3</v>
      </c>
      <c r="K70" s="67"/>
      <c r="L70" s="194"/>
      <c r="M70" s="194"/>
      <c r="N70" s="68">
        <v>1</v>
      </c>
      <c r="P70" s="69"/>
    </row>
    <row r="71" spans="2:16" ht="15">
      <c r="B71" s="35" t="s">
        <v>165</v>
      </c>
      <c r="C71" s="65"/>
      <c r="D71" s="76"/>
      <c r="E71" s="76"/>
      <c r="F71" s="66">
        <v>3.3</v>
      </c>
      <c r="G71" s="282"/>
      <c r="H71" s="76"/>
      <c r="I71" s="76"/>
      <c r="J71" s="66">
        <v>3</v>
      </c>
      <c r="K71" s="67"/>
      <c r="L71" s="194"/>
      <c r="M71" s="194"/>
      <c r="N71" s="68">
        <v>1</v>
      </c>
      <c r="P71" s="69"/>
    </row>
    <row r="72" spans="2:16" ht="15">
      <c r="B72" s="36" t="s">
        <v>15</v>
      </c>
      <c r="C72" s="65"/>
      <c r="D72" s="76"/>
      <c r="E72" s="76"/>
      <c r="F72" s="70">
        <f>[21]May_2022!$M$43</f>
        <v>3.4878406700073312</v>
      </c>
      <c r="G72" s="282"/>
      <c r="H72" s="76"/>
      <c r="I72" s="76"/>
      <c r="J72" s="66">
        <v>5.5</v>
      </c>
      <c r="K72" s="67"/>
      <c r="L72" s="194"/>
      <c r="M72" s="194"/>
      <c r="N72" s="68">
        <v>1</v>
      </c>
      <c r="P72" s="69"/>
    </row>
    <row r="73" spans="2:16" ht="15">
      <c r="B73" s="37" t="s">
        <v>16</v>
      </c>
      <c r="C73" s="65"/>
      <c r="D73" s="76"/>
      <c r="E73" s="76"/>
      <c r="F73" s="66">
        <v>3.3</v>
      </c>
      <c r="G73" s="282"/>
      <c r="H73" s="76"/>
      <c r="I73" s="76"/>
      <c r="J73" s="66">
        <v>3.3</v>
      </c>
      <c r="K73" s="67"/>
      <c r="L73" s="194"/>
      <c r="M73" s="194"/>
      <c r="N73" s="71">
        <v>1</v>
      </c>
      <c r="P73" s="69"/>
    </row>
    <row r="74" spans="2:16" ht="15.75" thickBot="1">
      <c r="B74" s="38" t="s">
        <v>164</v>
      </c>
      <c r="C74" s="65"/>
      <c r="D74" s="76"/>
      <c r="E74" s="76"/>
      <c r="F74" s="66">
        <v>7.5</v>
      </c>
      <c r="G74" s="282"/>
      <c r="H74" s="76"/>
      <c r="I74" s="76"/>
      <c r="J74" s="66">
        <v>7.5</v>
      </c>
      <c r="K74" s="67"/>
      <c r="M74" s="194"/>
      <c r="N74" s="71">
        <v>1</v>
      </c>
      <c r="P74" s="69"/>
    </row>
    <row r="75" spans="2:16" ht="15.75" thickBot="1">
      <c r="B75" s="414" t="s">
        <v>161</v>
      </c>
      <c r="C75" s="65"/>
      <c r="D75" s="76"/>
      <c r="E75" s="76"/>
      <c r="F75" s="66">
        <v>4.8</v>
      </c>
      <c r="G75" s="282"/>
      <c r="H75" s="76"/>
      <c r="I75" s="76"/>
      <c r="J75" s="66">
        <v>4.8</v>
      </c>
      <c r="K75" s="67"/>
      <c r="L75" s="194"/>
      <c r="M75" s="194"/>
      <c r="N75" s="71">
        <v>1</v>
      </c>
      <c r="O75" s="74"/>
      <c r="P75" s="75"/>
    </row>
    <row r="76" spans="2:16" ht="15">
      <c r="D76" s="76"/>
      <c r="E76" s="76"/>
      <c r="F76" s="341">
        <v>5.5</v>
      </c>
      <c r="H76" s="76"/>
      <c r="I76" s="76"/>
      <c r="J76" s="341">
        <v>5.5</v>
      </c>
      <c r="L76" s="194"/>
      <c r="M76" s="194"/>
      <c r="N76" s="386">
        <v>1</v>
      </c>
    </row>
    <row r="80" spans="2:16">
      <c r="F80" s="315"/>
    </row>
    <row r="81" spans="6:6" ht="15">
      <c r="F81" s="341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7:N27"/>
    <mergeCell ref="D28:E28"/>
    <mergeCell ref="B29:B40"/>
    <mergeCell ref="D29:E30"/>
    <mergeCell ref="D31:E32"/>
    <mergeCell ref="D33:E34"/>
    <mergeCell ref="D35:E36"/>
    <mergeCell ref="D37:E38"/>
    <mergeCell ref="D39:E40"/>
    <mergeCell ref="B41:B50"/>
    <mergeCell ref="D41:E42"/>
    <mergeCell ref="J41:K41"/>
    <mergeCell ref="L42:N42"/>
    <mergeCell ref="D43:E44"/>
    <mergeCell ref="D45:E46"/>
    <mergeCell ref="D47:E48"/>
    <mergeCell ref="D49:E50"/>
    <mergeCell ref="D51:E51"/>
    <mergeCell ref="B56:B57"/>
    <mergeCell ref="C56:C57"/>
    <mergeCell ref="D56:D57"/>
    <mergeCell ref="E56:E57"/>
    <mergeCell ref="M56:M57"/>
    <mergeCell ref="B65:F65"/>
    <mergeCell ref="G65:J65"/>
    <mergeCell ref="K65:N65"/>
    <mergeCell ref="G56:G57"/>
    <mergeCell ref="H56:H57"/>
    <mergeCell ref="I56:I57"/>
    <mergeCell ref="J56:J57"/>
    <mergeCell ref="K56:K57"/>
    <mergeCell ref="L56:L57"/>
    <mergeCell ref="F56:F57"/>
  </mergeCells>
  <conditionalFormatting sqref="B51:B52">
    <cfRule type="cellIs" dxfId="3535" priority="163" operator="notBetween">
      <formula>#REF!</formula>
      <formula>#REF!</formula>
    </cfRule>
  </conditionalFormatting>
  <conditionalFormatting sqref="C55">
    <cfRule type="cellIs" dxfId="3534" priority="195" stopIfTrue="1" operator="greaterThan">
      <formula>100</formula>
    </cfRule>
    <cfRule type="cellIs" dxfId="3533" priority="194" stopIfTrue="1" operator="lessThan">
      <formula>96</formula>
    </cfRule>
  </conditionalFormatting>
  <conditionalFormatting sqref="C67:C68">
    <cfRule type="cellIs" dxfId="3532" priority="198" stopIfTrue="1" operator="greaterThan">
      <formula>$F67</formula>
    </cfRule>
    <cfRule type="cellIs" dxfId="3531" priority="216" stopIfTrue="1" operator="greaterThan">
      <formula>$F68</formula>
    </cfRule>
  </conditionalFormatting>
  <conditionalFormatting sqref="C67:C71">
    <cfRule type="cellIs" dxfId="3530" priority="144" stopIfTrue="1" operator="lessThanOrEqual">
      <formula>0</formula>
    </cfRule>
  </conditionalFormatting>
  <conditionalFormatting sqref="C68:C75">
    <cfRule type="cellIs" dxfId="3529" priority="143" stopIfTrue="1" operator="greaterThan">
      <formula>$F68</formula>
    </cfRule>
  </conditionalFormatting>
  <conditionalFormatting sqref="C72">
    <cfRule type="cellIs" dxfId="3528" priority="66" stopIfTrue="1" operator="lessThanOrEqual">
      <formula>0</formula>
    </cfRule>
    <cfRule type="cellIs" dxfId="3527" priority="67" stopIfTrue="1" operator="greaterThan">
      <formula>$F71</formula>
    </cfRule>
  </conditionalFormatting>
  <conditionalFormatting sqref="C78:C82">
    <cfRule type="cellIs" dxfId="3526" priority="186" stopIfTrue="1" operator="lessThanOrEqual">
      <formula>0</formula>
    </cfRule>
  </conditionalFormatting>
  <conditionalFormatting sqref="C79:C82">
    <cfRule type="cellIs" dxfId="3525" priority="185" stopIfTrue="1" operator="greaterThan">
      <formula>$F$78</formula>
    </cfRule>
  </conditionalFormatting>
  <conditionalFormatting sqref="C84">
    <cfRule type="cellIs" dxfId="3524" priority="187" stopIfTrue="1" operator="greaterThan">
      <formula>$F$78</formula>
    </cfRule>
    <cfRule type="cellIs" dxfId="3523" priority="188" stopIfTrue="1" operator="lessThanOrEqual">
      <formula>0</formula>
    </cfRule>
  </conditionalFormatting>
  <conditionalFormatting sqref="C78:D78 D80:D86">
    <cfRule type="cellIs" dxfId="3522" priority="180" stopIfTrue="1" operator="greaterThan">
      <formula>4.5</formula>
    </cfRule>
  </conditionalFormatting>
  <conditionalFormatting sqref="D51:D52">
    <cfRule type="cellIs" dxfId="3521" priority="164" operator="notBetween">
      <formula>#REF!</formula>
      <formula>#REF!</formula>
    </cfRule>
  </conditionalFormatting>
  <conditionalFormatting sqref="D67:D74">
    <cfRule type="cellIs" dxfId="3520" priority="158" stopIfTrue="1" operator="lessThanOrEqual">
      <formula>0</formula>
    </cfRule>
  </conditionalFormatting>
  <conditionalFormatting sqref="D75">
    <cfRule type="cellIs" dxfId="3519" priority="157" stopIfTrue="1" operator="lessThanOrEqual">
      <formula>0</formula>
    </cfRule>
  </conditionalFormatting>
  <conditionalFormatting sqref="D78 D80:D86">
    <cfRule type="cellIs" dxfId="3518" priority="181" stopIfTrue="1" operator="lessThanOrEqual">
      <formula>0</formula>
    </cfRule>
  </conditionalFormatting>
  <conditionalFormatting sqref="D79">
    <cfRule type="cellIs" dxfId="3517" priority="173" stopIfTrue="1" operator="lessThanOrEqual">
      <formula>0</formula>
    </cfRule>
    <cfRule type="cellIs" dxfId="3516" priority="172" stopIfTrue="1" operator="greaterThan">
      <formula>$F$78</formula>
    </cfRule>
  </conditionalFormatting>
  <conditionalFormatting sqref="D67:E76">
    <cfRule type="cellIs" dxfId="3515" priority="141" stopIfTrue="1" operator="greaterThan">
      <formula>$F67</formula>
    </cfRule>
  </conditionalFormatting>
  <conditionalFormatting sqref="D76:E76">
    <cfRule type="cellIs" dxfId="3514" priority="142" stopIfTrue="1" operator="lessThanOrEqual">
      <formula>0</formula>
    </cfRule>
  </conditionalFormatting>
  <conditionalFormatting sqref="E10:E26">
    <cfRule type="cellIs" dxfId="3513" priority="3" operator="lessThan">
      <formula>48</formula>
    </cfRule>
  </conditionalFormatting>
  <conditionalFormatting sqref="E54 E55:F55">
    <cfRule type="cellIs" dxfId="3512" priority="177" stopIfTrue="1" operator="greaterThan">
      <formula>100</formula>
    </cfRule>
  </conditionalFormatting>
  <conditionalFormatting sqref="E55">
    <cfRule type="cellIs" dxfId="3511" priority="175" stopIfTrue="1" operator="greaterThan">
      <formula>100</formula>
    </cfRule>
    <cfRule type="cellIs" dxfId="3510" priority="174" stopIfTrue="1" operator="lessThan">
      <formula>96.8</formula>
    </cfRule>
  </conditionalFormatting>
  <conditionalFormatting sqref="E67:E75">
    <cfRule type="cellIs" dxfId="3509" priority="152" stopIfTrue="1" operator="lessThanOrEqual">
      <formula>0</formula>
    </cfRule>
  </conditionalFormatting>
  <conditionalFormatting sqref="E78:E86">
    <cfRule type="cellIs" dxfId="3508" priority="167" stopIfTrue="1" operator="lessThanOrEqual">
      <formula>0</formula>
    </cfRule>
    <cfRule type="cellIs" dxfId="3507" priority="166" stopIfTrue="1" operator="greaterThan">
      <formula>4.5</formula>
    </cfRule>
  </conditionalFormatting>
  <conditionalFormatting sqref="E55:F55 E54">
    <cfRule type="cellIs" dxfId="3506" priority="176" stopIfTrue="1" operator="lessThan">
      <formula>96.5</formula>
    </cfRule>
  </conditionalFormatting>
  <conditionalFormatting sqref="F10:F16 F24:F25">
    <cfRule type="cellIs" dxfId="3505" priority="36" operator="greaterThan">
      <formula>60</formula>
    </cfRule>
  </conditionalFormatting>
  <conditionalFormatting sqref="F55">
    <cfRule type="cellIs" dxfId="3504" priority="193" stopIfTrue="1" operator="greaterThan">
      <formula>100</formula>
    </cfRule>
    <cfRule type="cellIs" dxfId="3503" priority="192" stopIfTrue="1" operator="lessThan">
      <formula>96.8</formula>
    </cfRule>
  </conditionalFormatting>
  <conditionalFormatting sqref="F76">
    <cfRule type="cellIs" dxfId="3502" priority="154" stopIfTrue="1" operator="lessThanOrEqual">
      <formula>0</formula>
    </cfRule>
    <cfRule type="cellIs" dxfId="3501" priority="153" stopIfTrue="1" operator="greaterThan">
      <formula>$F76</formula>
    </cfRule>
  </conditionalFormatting>
  <conditionalFormatting sqref="F81">
    <cfRule type="cellIs" dxfId="3500" priority="112" stopIfTrue="1" operator="lessThanOrEqual">
      <formula>0</formula>
    </cfRule>
    <cfRule type="cellIs" dxfId="3499" priority="111" stopIfTrue="1" operator="greaterThan">
      <formula>$F81</formula>
    </cfRule>
  </conditionalFormatting>
  <conditionalFormatting sqref="G10:G15">
    <cfRule type="expression" dxfId="3498" priority="26">
      <formula>IF(+(IF(G10&lt;S10,0,IF(G10&gt;T10,0,1)))=0,1)</formula>
    </cfRule>
  </conditionalFormatting>
  <conditionalFormatting sqref="G17:G23">
    <cfRule type="expression" dxfId="3497" priority="6">
      <formula>IF(+(IF(G17&lt;S17,0,IF(G17&gt;T17,0,1)))=0,1)</formula>
    </cfRule>
  </conditionalFormatting>
  <conditionalFormatting sqref="G26">
    <cfRule type="expression" dxfId="3496" priority="17">
      <formula>IF(+(IF(G26&lt;S26,0,IF(G26&gt;T26,0,1)))=0,1)</formula>
    </cfRule>
  </conditionalFormatting>
  <conditionalFormatting sqref="G67:G68 C73:C75">
    <cfRule type="cellIs" dxfId="3495" priority="160" stopIfTrue="1" operator="lessThanOrEqual">
      <formula>0</formula>
    </cfRule>
  </conditionalFormatting>
  <conditionalFormatting sqref="G67:G68">
    <cfRule type="cellIs" dxfId="3494" priority="159" stopIfTrue="1" operator="greaterThan">
      <formula>$F67</formula>
    </cfRule>
    <cfRule type="cellIs" dxfId="3493" priority="146" stopIfTrue="1" operator="lessThanOrEqual">
      <formula>0</formula>
    </cfRule>
    <cfRule type="cellIs" dxfId="3492" priority="145" stopIfTrue="1" operator="greaterThan">
      <formula>$F67</formula>
    </cfRule>
  </conditionalFormatting>
  <conditionalFormatting sqref="G69">
    <cfRule type="cellIs" dxfId="3491" priority="197" stopIfTrue="1" operator="lessThanOrEqual">
      <formula>0</formula>
    </cfRule>
    <cfRule type="cellIs" dxfId="3490" priority="196" stopIfTrue="1" operator="greaterThan">
      <formula>$F68</formula>
    </cfRule>
  </conditionalFormatting>
  <conditionalFormatting sqref="G70">
    <cfRule type="cellIs" dxfId="3489" priority="155" stopIfTrue="1" operator="greaterThan">
      <formula>$F70</formula>
    </cfRule>
    <cfRule type="cellIs" dxfId="3488" priority="156" stopIfTrue="1" operator="lessThanOrEqual">
      <formula>0</formula>
    </cfRule>
  </conditionalFormatting>
  <conditionalFormatting sqref="G71:G75">
    <cfRule type="cellIs" dxfId="3487" priority="162" stopIfTrue="1" operator="lessThanOrEqual">
      <formula>0</formula>
    </cfRule>
    <cfRule type="cellIs" dxfId="3486" priority="161" stopIfTrue="1" operator="greaterThan">
      <formula>$J71</formula>
    </cfRule>
  </conditionalFormatting>
  <conditionalFormatting sqref="G80:G85 C83 C85">
    <cfRule type="cellIs" dxfId="3485" priority="190" stopIfTrue="1" operator="lessThanOrEqual">
      <formula>0</formula>
    </cfRule>
    <cfRule type="cellIs" dxfId="3484" priority="189" stopIfTrue="1" operator="greaterThan">
      <formula>4.5</formula>
    </cfRule>
  </conditionalFormatting>
  <conditionalFormatting sqref="G79:H79">
    <cfRule type="cellIs" dxfId="3483" priority="170" stopIfTrue="1" operator="greaterThan">
      <formula>$F$78</formula>
    </cfRule>
    <cfRule type="cellIs" dxfId="3482" priority="171" stopIfTrue="1" operator="lessThanOrEqual">
      <formula>0</formula>
    </cfRule>
  </conditionalFormatting>
  <conditionalFormatting sqref="H10:H15 G16:H16 G24:H25">
    <cfRule type="expression" dxfId="3481" priority="65">
      <formula>IF(+(IF(G10&lt;#REF!,0,IF(G10&gt;#REF!,0,1)))=0,1)</formula>
    </cfRule>
  </conditionalFormatting>
  <conditionalFormatting sqref="H17:H23">
    <cfRule type="expression" dxfId="3480" priority="12">
      <formula>IF(+(IF(H17&lt;#REF!,0,IF(H17&gt;#REF!,0,1)))=0,1)</formula>
    </cfRule>
  </conditionalFormatting>
  <conditionalFormatting sqref="H26">
    <cfRule type="expression" dxfId="3479" priority="23">
      <formula>IF(+(IF(H26&lt;#REF!,0,IF(H26&gt;#REF!,0,1)))=0,1)</formula>
    </cfRule>
  </conditionalFormatting>
  <conditionalFormatting sqref="H40:H54">
    <cfRule type="cellIs" dxfId="3478" priority="168" stopIfTrue="1" operator="greaterThan">
      <formula>0</formula>
    </cfRule>
  </conditionalFormatting>
  <conditionalFormatting sqref="H58">
    <cfRule type="cellIs" dxfId="3477" priority="81" stopIfTrue="1" operator="greaterThan">
      <formula>#REF!</formula>
    </cfRule>
    <cfRule type="cellIs" dxfId="3476" priority="82" stopIfTrue="1" operator="lessThanOrEqual">
      <formula>0</formula>
    </cfRule>
    <cfRule type="cellIs" dxfId="3475" priority="71" stopIfTrue="1" operator="greaterThan">
      <formula>#REF!</formula>
    </cfRule>
    <cfRule type="cellIs" dxfId="3474" priority="70" stopIfTrue="1" operator="lessThanOrEqual">
      <formula>0</formula>
    </cfRule>
    <cfRule type="cellIs" dxfId="3473" priority="79" stopIfTrue="1" operator="greaterThan">
      <formula>$F$16</formula>
    </cfRule>
    <cfRule type="cellIs" dxfId="3472" priority="80" stopIfTrue="1" operator="lessThanOrEqual">
      <formula>0</formula>
    </cfRule>
  </conditionalFormatting>
  <conditionalFormatting sqref="H59">
    <cfRule type="cellIs" dxfId="3471" priority="98" stopIfTrue="1" operator="lessThanOrEqual">
      <formula>0</formula>
    </cfRule>
    <cfRule type="cellIs" dxfId="3470" priority="99" stopIfTrue="1" operator="greaterThan">
      <formula>#REF!</formula>
    </cfRule>
    <cfRule type="cellIs" dxfId="3469" priority="108" stopIfTrue="1" operator="lessThanOrEqual">
      <formula>0</formula>
    </cfRule>
    <cfRule type="cellIs" dxfId="3468" priority="109" stopIfTrue="1" operator="greaterThan">
      <formula>$F$16</formula>
    </cfRule>
    <cfRule type="cellIs" dxfId="3467" priority="110" stopIfTrue="1" operator="lessThanOrEqual">
      <formula>0</formula>
    </cfRule>
    <cfRule type="cellIs" dxfId="3466" priority="107" stopIfTrue="1" operator="greaterThan">
      <formula>$F$27</formula>
    </cfRule>
  </conditionalFormatting>
  <conditionalFormatting sqref="H60">
    <cfRule type="cellIs" dxfId="3465" priority="50" stopIfTrue="1" operator="greaterThan">
      <formula>$F$46</formula>
    </cfRule>
    <cfRule type="cellIs" dxfId="3464" priority="39" stopIfTrue="1" operator="lessThanOrEqual">
      <formula>0</formula>
    </cfRule>
    <cfRule type="cellIs" dxfId="3463" priority="51" stopIfTrue="1" operator="lessThanOrEqual">
      <formula>0</formula>
    </cfRule>
    <cfRule type="cellIs" dxfId="3462" priority="48" stopIfTrue="1" operator="greaterThan">
      <formula>$F$48</formula>
    </cfRule>
    <cfRule type="cellIs" dxfId="3461" priority="49" stopIfTrue="1" operator="lessThanOrEqual">
      <formula>0</formula>
    </cfRule>
    <cfRule type="cellIs" dxfId="3460" priority="40" stopIfTrue="1" operator="greaterThan">
      <formula>$F$45</formula>
    </cfRule>
  </conditionalFormatting>
  <conditionalFormatting sqref="H61:H62">
    <cfRule type="cellIs" dxfId="3459" priority="95" stopIfTrue="1" operator="greaterThan">
      <formula>#REF!</formula>
    </cfRule>
    <cfRule type="cellIs" dxfId="3458" priority="96" stopIfTrue="1" operator="lessThanOrEqual">
      <formula>0</formula>
    </cfRule>
    <cfRule type="cellIs" dxfId="3457" priority="84" stopIfTrue="1" operator="lessThanOrEqual">
      <formula>0</formula>
    </cfRule>
    <cfRule type="cellIs" dxfId="3456" priority="93" stopIfTrue="1" operator="greaterThan">
      <formula>$F$26</formula>
    </cfRule>
    <cfRule type="cellIs" dxfId="3455" priority="85" stopIfTrue="1" operator="greaterThan">
      <formula>#REF!</formula>
    </cfRule>
    <cfRule type="cellIs" dxfId="3454" priority="94" stopIfTrue="1" operator="lessThanOrEqual">
      <formula>0</formula>
    </cfRule>
  </conditionalFormatting>
  <conditionalFormatting sqref="H63">
    <cfRule type="cellIs" dxfId="3453" priority="126" stopIfTrue="1" operator="greaterThan">
      <formula>$F$40</formula>
    </cfRule>
    <cfRule type="cellIs" dxfId="3452" priority="127" stopIfTrue="1" operator="lessThanOrEqual">
      <formula>0</formula>
    </cfRule>
    <cfRule type="cellIs" dxfId="3451" priority="115" stopIfTrue="1" operator="lessThanOrEqual">
      <formula>0</formula>
    </cfRule>
    <cfRule type="cellIs" dxfId="3450" priority="116" stopIfTrue="1" operator="greaterThan">
      <formula>$F$39</formula>
    </cfRule>
    <cfRule type="cellIs" dxfId="3449" priority="124" stopIfTrue="1" operator="greaterThan">
      <formula>$F$42</formula>
    </cfRule>
    <cfRule type="cellIs" dxfId="3448" priority="125" stopIfTrue="1" operator="lessThanOrEqual">
      <formula>0</formula>
    </cfRule>
  </conditionalFormatting>
  <conditionalFormatting sqref="H67:H74">
    <cfRule type="cellIs" dxfId="3447" priority="148" stopIfTrue="1" operator="lessThanOrEqual">
      <formula>0</formula>
    </cfRule>
    <cfRule type="cellIs" dxfId="3446" priority="147" stopIfTrue="1" operator="greaterThan">
      <formula>$J67</formula>
    </cfRule>
  </conditionalFormatting>
  <conditionalFormatting sqref="H75">
    <cfRule type="cellIs" dxfId="3445" priority="149" operator="greaterThan">
      <formula>5.3</formula>
    </cfRule>
  </conditionalFormatting>
  <conditionalFormatting sqref="H78 H80:H86">
    <cfRule type="cellIs" dxfId="3444" priority="183" stopIfTrue="1" operator="lessThanOrEqual">
      <formula>0</formula>
    </cfRule>
    <cfRule type="cellIs" dxfId="3443" priority="182" stopIfTrue="1" operator="greaterThan">
      <formula>4.5</formula>
    </cfRule>
  </conditionalFormatting>
  <conditionalFormatting sqref="H58:I58">
    <cfRule type="cellIs" dxfId="3442" priority="72" stopIfTrue="1" operator="lessThanOrEqual">
      <formula>0</formula>
    </cfRule>
    <cfRule type="cellIs" dxfId="3441" priority="69" stopIfTrue="1" operator="greaterThan">
      <formula>#REF!</formula>
    </cfRule>
  </conditionalFormatting>
  <conditionalFormatting sqref="H59:I59">
    <cfRule type="cellIs" dxfId="3440" priority="100" stopIfTrue="1" operator="lessThanOrEqual">
      <formula>0</formula>
    </cfRule>
    <cfRule type="cellIs" dxfId="3439" priority="97" stopIfTrue="1" operator="greaterThan">
      <formula>$F$26</formula>
    </cfRule>
  </conditionalFormatting>
  <conditionalFormatting sqref="H60:I60">
    <cfRule type="cellIs" dxfId="3438" priority="38" stopIfTrue="1" operator="greaterThan">
      <formula>$F$47</formula>
    </cfRule>
    <cfRule type="cellIs" dxfId="3437" priority="41" stopIfTrue="1" operator="lessThanOrEqual">
      <formula>0</formula>
    </cfRule>
  </conditionalFormatting>
  <conditionalFormatting sqref="H61:I62">
    <cfRule type="cellIs" dxfId="3436" priority="83" stopIfTrue="1" operator="greaterThan">
      <formula>$F$16</formula>
    </cfRule>
    <cfRule type="cellIs" dxfId="3435" priority="86" stopIfTrue="1" operator="lessThanOrEqual">
      <formula>0</formula>
    </cfRule>
  </conditionalFormatting>
  <conditionalFormatting sqref="H63:I63">
    <cfRule type="cellIs" dxfId="3434" priority="117" stopIfTrue="1" operator="lessThanOrEqual">
      <formula>0</formula>
    </cfRule>
    <cfRule type="cellIs" dxfId="3433" priority="114" stopIfTrue="1" operator="greaterThan">
      <formula>$F$41</formula>
    </cfRule>
  </conditionalFormatting>
  <conditionalFormatting sqref="H76:I76">
    <cfRule type="cellIs" dxfId="3432" priority="139" stopIfTrue="1" operator="greaterThan">
      <formula>$J76</formula>
    </cfRule>
    <cfRule type="cellIs" dxfId="3431" priority="140" stopIfTrue="1" operator="lessThanOrEqual">
      <formula>0</formula>
    </cfRule>
  </conditionalFormatting>
  <conditionalFormatting sqref="I58">
    <cfRule type="cellIs" dxfId="3430" priority="75" stopIfTrue="1" operator="greaterThan">
      <formula>#REF!</formula>
    </cfRule>
    <cfRule type="cellIs" dxfId="3429" priority="76" stopIfTrue="1" operator="lessThanOrEqual">
      <formula>0</formula>
    </cfRule>
    <cfRule type="cellIs" dxfId="3428" priority="77" stopIfTrue="1" operator="greaterThan">
      <formula>#REF!</formula>
    </cfRule>
    <cfRule type="cellIs" dxfId="3427" priority="78" stopIfTrue="1" operator="lessThanOrEqual">
      <formula>0</formula>
    </cfRule>
    <cfRule type="cellIs" dxfId="3426" priority="74" stopIfTrue="1" operator="lessThanOrEqual">
      <formula>0</formula>
    </cfRule>
    <cfRule type="cellIs" dxfId="3425" priority="73" stopIfTrue="1" operator="greaterThan">
      <formula>#REF!</formula>
    </cfRule>
  </conditionalFormatting>
  <conditionalFormatting sqref="I59">
    <cfRule type="cellIs" dxfId="3424" priority="106" stopIfTrue="1" operator="lessThanOrEqual">
      <formula>0</formula>
    </cfRule>
    <cfRule type="cellIs" dxfId="3423" priority="105" stopIfTrue="1" operator="greaterThan">
      <formula>#REF!</formula>
    </cfRule>
    <cfRule type="cellIs" dxfId="3422" priority="104" stopIfTrue="1" operator="lessThanOrEqual">
      <formula>0</formula>
    </cfRule>
    <cfRule type="cellIs" dxfId="3421" priority="103" stopIfTrue="1" operator="greaterThan">
      <formula>$F$26</formula>
    </cfRule>
    <cfRule type="cellIs" dxfId="3420" priority="102" stopIfTrue="1" operator="lessThanOrEqual">
      <formula>0</formula>
    </cfRule>
    <cfRule type="cellIs" dxfId="3419" priority="101" stopIfTrue="1" operator="greaterThan">
      <formula>#REF!</formula>
    </cfRule>
  </conditionalFormatting>
  <conditionalFormatting sqref="I60">
    <cfRule type="cellIs" dxfId="3418" priority="45" stopIfTrue="1" operator="lessThanOrEqual">
      <formula>0</formula>
    </cfRule>
    <cfRule type="cellIs" dxfId="3417" priority="44" stopIfTrue="1" operator="greaterThan">
      <formula>$F$47</formula>
    </cfRule>
    <cfRule type="cellIs" dxfId="3416" priority="43" stopIfTrue="1" operator="lessThanOrEqual">
      <formula>0</formula>
    </cfRule>
    <cfRule type="cellIs" dxfId="3415" priority="42" stopIfTrue="1" operator="greaterThan">
      <formula>$F$45</formula>
    </cfRule>
    <cfRule type="cellIs" dxfId="3414" priority="47" stopIfTrue="1" operator="lessThanOrEqual">
      <formula>0</formula>
    </cfRule>
    <cfRule type="cellIs" dxfId="3413" priority="46" stopIfTrue="1" operator="greaterThan">
      <formula>$F$45</formula>
    </cfRule>
  </conditionalFormatting>
  <conditionalFormatting sqref="I61:I62">
    <cfRule type="cellIs" dxfId="3412" priority="88" stopIfTrue="1" operator="lessThanOrEqual">
      <formula>0</formula>
    </cfRule>
    <cfRule type="cellIs" dxfId="3411" priority="87" stopIfTrue="1" operator="greaterThan">
      <formula>#REF!</formula>
    </cfRule>
    <cfRule type="cellIs" dxfId="3410" priority="92" stopIfTrue="1" operator="lessThanOrEqual">
      <formula>0</formula>
    </cfRule>
    <cfRule type="cellIs" dxfId="3409" priority="91" stopIfTrue="1" operator="greaterThan">
      <formula>#REF!</formula>
    </cfRule>
    <cfRule type="cellIs" dxfId="3408" priority="90" stopIfTrue="1" operator="lessThanOrEqual">
      <formula>0</formula>
    </cfRule>
    <cfRule type="cellIs" dxfId="3407" priority="89" stopIfTrue="1" operator="greaterThan">
      <formula>$F$16</formula>
    </cfRule>
  </conditionalFormatting>
  <conditionalFormatting sqref="I63">
    <cfRule type="cellIs" dxfId="3406" priority="120" stopIfTrue="1" operator="greaterThan">
      <formula>$F$41</formula>
    </cfRule>
    <cfRule type="cellIs" dxfId="3405" priority="121" stopIfTrue="1" operator="lessThanOrEqual">
      <formula>0</formula>
    </cfRule>
    <cfRule type="cellIs" dxfId="3404" priority="123" stopIfTrue="1" operator="lessThanOrEqual">
      <formula>0</formula>
    </cfRule>
    <cfRule type="cellIs" dxfId="3403" priority="119" stopIfTrue="1" operator="lessThanOrEqual">
      <formula>0</formula>
    </cfRule>
    <cfRule type="cellIs" dxfId="3402" priority="118" stopIfTrue="1" operator="greaterThan">
      <formula>$F$39</formula>
    </cfRule>
    <cfRule type="cellIs" dxfId="3401" priority="122" stopIfTrue="1" operator="greaterThan">
      <formula>$F$39</formula>
    </cfRule>
  </conditionalFormatting>
  <conditionalFormatting sqref="I67:I75">
    <cfRule type="cellIs" dxfId="3400" priority="151" stopIfTrue="1" operator="lessThanOrEqual">
      <formula>0</formula>
    </cfRule>
    <cfRule type="cellIs" dxfId="3399" priority="150" stopIfTrue="1" operator="greaterThan">
      <formula>$J67</formula>
    </cfRule>
  </conditionalFormatting>
  <conditionalFormatting sqref="I78:I86">
    <cfRule type="cellIs" dxfId="3398" priority="178" stopIfTrue="1" operator="greaterThan">
      <formula>4.5</formula>
    </cfRule>
    <cfRule type="cellIs" dxfId="3397" priority="179" stopIfTrue="1" operator="lessThanOrEqual">
      <formula>0</formula>
    </cfRule>
  </conditionalFormatting>
  <conditionalFormatting sqref="I10:J26">
    <cfRule type="cellIs" dxfId="3396" priority="4" operator="lessThan">
      <formula>97.9</formula>
    </cfRule>
  </conditionalFormatting>
  <conditionalFormatting sqref="J29:J31">
    <cfRule type="cellIs" dxfId="3395" priority="129" stopIfTrue="1" operator="lessThan">
      <formula>96.8</formula>
    </cfRule>
    <cfRule type="cellIs" dxfId="3394" priority="131" operator="lessThan">
      <formula>98</formula>
    </cfRule>
    <cfRule type="cellIs" dxfId="3393" priority="130" stopIfTrue="1" operator="greaterThan">
      <formula>100</formula>
    </cfRule>
  </conditionalFormatting>
  <conditionalFormatting sqref="J29:J33">
    <cfRule type="cellIs" dxfId="3392" priority="128" operator="lessThan">
      <formula>97.4</formula>
    </cfRule>
  </conditionalFormatting>
  <conditionalFormatting sqref="J34">
    <cfRule type="cellIs" dxfId="3391" priority="132" operator="lessThan">
      <formula>98</formula>
    </cfRule>
  </conditionalFormatting>
  <conditionalFormatting sqref="J36:J37">
    <cfRule type="cellIs" dxfId="3390" priority="133" stopIfTrue="1" operator="lessThan">
      <formula>96.8</formula>
    </cfRule>
    <cfRule type="cellIs" dxfId="3389" priority="134" stopIfTrue="1" operator="greaterThan">
      <formula>100</formula>
    </cfRule>
  </conditionalFormatting>
  <conditionalFormatting sqref="J36:J38">
    <cfRule type="cellIs" dxfId="3388" priority="135" operator="lessThan">
      <formula>98</formula>
    </cfRule>
  </conditionalFormatting>
  <conditionalFormatting sqref="J76">
    <cfRule type="cellIs" dxfId="3387" priority="137" stopIfTrue="1" operator="lessThanOrEqual">
      <formula>0</formula>
    </cfRule>
    <cfRule type="cellIs" dxfId="3386" priority="136" stopIfTrue="1" operator="greaterThan">
      <formula>$F76</formula>
    </cfRule>
  </conditionalFormatting>
  <conditionalFormatting sqref="K10:K26">
    <cfRule type="cellIs" dxfId="3385" priority="11" operator="greaterThan">
      <formula>6.4</formula>
    </cfRule>
    <cfRule type="cellIs" dxfId="3384" priority="10" operator="lessThan">
      <formula>4</formula>
    </cfRule>
    <cfRule type="cellIs" dxfId="3383" priority="9" operator="greaterThan">
      <formula>6</formula>
    </cfRule>
  </conditionalFormatting>
  <conditionalFormatting sqref="K58:K63 K67:N73 K74 M74:N74 K75:N75">
    <cfRule type="cellIs" dxfId="3382" priority="113" stopIfTrue="1" operator="lessThan">
      <formula>100%</formula>
    </cfRule>
  </conditionalFormatting>
  <conditionalFormatting sqref="K78:K83">
    <cfRule type="cellIs" dxfId="3381" priority="184" stopIfTrue="1" operator="lessThan">
      <formula>100%</formula>
    </cfRule>
  </conditionalFormatting>
  <conditionalFormatting sqref="K85:K86">
    <cfRule type="cellIs" dxfId="3380" priority="191" stopIfTrue="1" operator="lessThan">
      <formula>100%</formula>
    </cfRule>
  </conditionalFormatting>
  <conditionalFormatting sqref="L10:L26">
    <cfRule type="cellIs" dxfId="3379" priority="8" operator="greaterThan">
      <formula>65</formula>
    </cfRule>
    <cfRule type="cellIs" dxfId="3378" priority="7" operator="between">
      <formula>61</formula>
      <formula>65</formula>
    </cfRule>
  </conditionalFormatting>
  <conditionalFormatting sqref="L29:M40">
    <cfRule type="cellIs" dxfId="3377" priority="24" operator="lessThan">
      <formula>98</formula>
    </cfRule>
  </conditionalFormatting>
  <conditionalFormatting sqref="L44:N44">
    <cfRule type="cellIs" dxfId="3376" priority="1" operator="notEqual">
      <formula>#REF!</formula>
    </cfRule>
  </conditionalFormatting>
  <conditionalFormatting sqref="L76:N76">
    <cfRule type="cellIs" dxfId="3375" priority="138" stopIfTrue="1" operator="lessThan">
      <formula>100%</formula>
    </cfRule>
  </conditionalFormatting>
  <conditionalFormatting sqref="L78:N86">
    <cfRule type="cellIs" dxfId="3374" priority="169" stopIfTrue="1" operator="lessThan">
      <formula>100%</formula>
    </cfRule>
  </conditionalFormatting>
  <conditionalFormatting sqref="M10:M15">
    <cfRule type="expression" dxfId="3373" priority="32">
      <formula>IF(+(IF(M10&lt;U10,0,IF(M10&gt;V10,0,1)))=0,1)</formula>
    </cfRule>
  </conditionalFormatting>
  <conditionalFormatting sqref="M17:M23">
    <cfRule type="expression" dxfId="3372" priority="5">
      <formula>IF(+(IF(M17&lt;U17,0,IF(M17&gt;V17,0,1)))=0,1)</formula>
    </cfRule>
  </conditionalFormatting>
  <conditionalFormatting sqref="M26">
    <cfRule type="expression" dxfId="3371" priority="16">
      <formula>IF(+(IF(M26&lt;U26,0,IF(M26&gt;V26,0,1)))=0,1)</formula>
    </cfRule>
  </conditionalFormatting>
  <conditionalFormatting sqref="M16:N16 M24:N25">
    <cfRule type="expression" dxfId="3370" priority="199">
      <formula>IF(+(IF(M16&lt;#REF!,0,IF(M16&gt;#REF!,0,1)))=0,1)</formula>
    </cfRule>
  </conditionalFormatting>
  <conditionalFormatting sqref="N10:N15">
    <cfRule type="expression" dxfId="3369" priority="27">
      <formula>IF(+(IF(N10&lt;W10,0,IF(N10&gt;X10,0,1)))=0,1)</formula>
    </cfRule>
  </conditionalFormatting>
  <conditionalFormatting sqref="N17:N23">
    <cfRule type="expression" dxfId="3368" priority="2">
      <formula>IF(+(IF(N17&lt;W17,0,IF(N17&gt;X17,0,1)))=0,1)</formula>
    </cfRule>
  </conditionalFormatting>
  <conditionalFormatting sqref="N26">
    <cfRule type="expression" dxfId="3367" priority="13">
      <formula>IF(+(IF(N26&lt;W26,0,IF(N26&gt;X26,0,1)))=0,1)</formula>
    </cfRule>
  </conditionalFormatting>
  <conditionalFormatting sqref="P6">
    <cfRule type="cellIs" dxfId="3366" priority="165" operator="greaterThanOrEqual">
      <formula>19</formula>
    </cfRule>
  </conditionalFormatting>
  <dataValidations count="1">
    <dataValidation type="list" allowBlank="1" showInputMessage="1" showErrorMessage="1" sqref="R8" xr:uid="{7D7EA3C1-5278-4796-A48A-6256858A3365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0" max="16383" man="1"/>
  </rowBreaks>
  <colBreaks count="1" manualBreakCount="1">
    <brk id="15" max="89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D5C07-3598-40B6-A7C6-2AD7F97650A3}">
  <sheetPr>
    <pageSetUpPr fitToPage="1"/>
  </sheetPr>
  <dimension ref="A1:BE79"/>
  <sheetViews>
    <sheetView topLeftCell="A26" zoomScale="80" zoomScaleNormal="80" workbookViewId="0">
      <selection activeCell="B14" sqref="B14:O14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67.425781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25" t="s">
        <v>0</v>
      </c>
      <c r="T1" s="525"/>
      <c r="U1" s="525" t="s">
        <v>1</v>
      </c>
      <c r="V1" s="525"/>
      <c r="W1" s="525" t="s">
        <v>2</v>
      </c>
      <c r="X1" s="525"/>
      <c r="Y1" s="525" t="s">
        <v>124</v>
      </c>
      <c r="Z1" s="525"/>
    </row>
    <row r="2" spans="2:29" ht="15">
      <c r="B2" s="526" t="s">
        <v>3</v>
      </c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45903</v>
      </c>
      <c r="J4" s="398" t="s">
        <v>168</v>
      </c>
      <c r="K4" s="398"/>
      <c r="L4" s="11"/>
      <c r="M4" s="547" t="s">
        <v>8</v>
      </c>
      <c r="N4" s="548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44"/>
      <c r="D5" s="544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167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84" t="s">
        <v>17</v>
      </c>
      <c r="C8" s="494" t="s">
        <v>18</v>
      </c>
      <c r="D8" s="494" t="s">
        <v>19</v>
      </c>
      <c r="E8" s="356" t="s">
        <v>20</v>
      </c>
      <c r="F8" s="356" t="s">
        <v>21</v>
      </c>
      <c r="G8" s="494" t="s">
        <v>22</v>
      </c>
      <c r="H8" s="535" t="s">
        <v>144</v>
      </c>
      <c r="I8" s="494" t="s">
        <v>166</v>
      </c>
      <c r="J8" s="537" t="s">
        <v>23</v>
      </c>
      <c r="K8" s="539" t="s">
        <v>142</v>
      </c>
      <c r="L8" s="541" t="s">
        <v>24</v>
      </c>
      <c r="M8" s="359" t="s">
        <v>25</v>
      </c>
      <c r="N8" s="17" t="s">
        <v>26</v>
      </c>
      <c r="O8" s="494" t="s">
        <v>155</v>
      </c>
      <c r="P8" s="56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33"/>
      <c r="C9" s="534"/>
      <c r="D9" s="534"/>
      <c r="E9" s="357" t="s">
        <v>30</v>
      </c>
      <c r="F9" s="357" t="s">
        <v>31</v>
      </c>
      <c r="G9" s="534"/>
      <c r="H9" s="536"/>
      <c r="I9" s="534"/>
      <c r="J9" s="538"/>
      <c r="K9" s="540"/>
      <c r="L9" s="542"/>
      <c r="M9" s="20" t="s">
        <v>32</v>
      </c>
      <c r="N9" s="21" t="s">
        <v>41</v>
      </c>
      <c r="O9" s="534"/>
      <c r="P9" s="561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37" t="s">
        <v>16</v>
      </c>
      <c r="C10" s="366" t="str">
        <f>[23]Brewhouse!$A78</f>
        <v>SM066</v>
      </c>
      <c r="D10" s="279">
        <f>[23]Brewhouse!$AH78</f>
        <v>53</v>
      </c>
      <c r="E10" s="279">
        <f>[23]Brewhouse!$AM78</f>
        <v>51.9</v>
      </c>
      <c r="F10" s="278">
        <f>[23]Brewhouse!$Z78</f>
        <v>73</v>
      </c>
      <c r="G10" s="279">
        <f>[23]Brewhouse!$AK78</f>
        <v>17.2</v>
      </c>
      <c r="H10" s="396"/>
      <c r="I10" s="368">
        <f>[23]Brewhouse!$AY78</f>
        <v>97.485149222479478</v>
      </c>
      <c r="J10" s="368">
        <f>[23]Brewhouse!$AZ78</f>
        <v>98.575620813681169</v>
      </c>
      <c r="K10" s="281">
        <f>[23]Brewhouse!$U78</f>
        <v>5.6226415094339695</v>
      </c>
      <c r="L10" s="276">
        <f>[23]Brewhouse!$T78</f>
        <v>60</v>
      </c>
      <c r="M10" s="374">
        <f>[23]Brewhouse!$Y78-[23]Brewhouse!$X78</f>
        <v>0.13055555555555554</v>
      </c>
      <c r="N10" s="370">
        <f>[23]Brewhouse!$AD78</f>
        <v>0.27916666666666656</v>
      </c>
      <c r="O10" s="371" t="str">
        <f>[23]Brewhouse!$BC78</f>
        <v>K. Benjamin</v>
      </c>
      <c r="P10" s="418"/>
      <c r="R10" s="277" t="str">
        <f>B10</f>
        <v>STARMALT</v>
      </c>
      <c r="S10" s="296">
        <f>VLOOKUP($B10,$R$3:$X$9,2,FALSE)</f>
        <v>17</v>
      </c>
      <c r="T10" s="296">
        <f>VLOOKUP($B10,$R$3:$X$9,3,FALSE)</f>
        <v>17.399999999999999</v>
      </c>
      <c r="U10" s="297">
        <f>VLOOKUP($B10,$R$3:$X$9,4,FALSE)</f>
        <v>0</v>
      </c>
      <c r="V10" s="297">
        <f>VLOOKUP($B10,$R$3:$X$9,5,FALSE)</f>
        <v>0.13605324074074074</v>
      </c>
      <c r="W10" s="297">
        <f>VLOOKUP($B10,$R$3:$X$9,6,FALSE)</f>
        <v>0.27430555555555552</v>
      </c>
      <c r="X10" s="297">
        <f>VLOOKUP($B10,$R$3:$X$9,7,FALSE)</f>
        <v>0.30902777777777779</v>
      </c>
      <c r="Y10" s="297">
        <f>VLOOKUP($B10,$R$3:$Z$9,8,FALSE)</f>
        <v>0</v>
      </c>
      <c r="Z10" s="296">
        <f>VLOOKUP($B10,$R$3:$Z$9,9,FALSE)</f>
        <v>85</v>
      </c>
    </row>
    <row r="11" spans="2:29" ht="15.75" customHeight="1">
      <c r="B11" s="37" t="s">
        <v>16</v>
      </c>
      <c r="C11" s="366" t="str">
        <f>[23]Brewhouse!$A79</f>
        <v>SM067</v>
      </c>
      <c r="D11" s="279">
        <f>[23]Brewhouse!$AH79</f>
        <v>53</v>
      </c>
      <c r="E11" s="279">
        <f>[23]Brewhouse!$AM79</f>
        <v>52</v>
      </c>
      <c r="F11" s="278">
        <f>[23]Brewhouse!$Z79</f>
        <v>67</v>
      </c>
      <c r="G11" s="279">
        <f>[23]Brewhouse!$AK79</f>
        <v>17.600000000000001</v>
      </c>
      <c r="H11" s="396"/>
      <c r="I11" s="368">
        <f>[23]Brewhouse!$AY79</f>
        <v>99.793675801118255</v>
      </c>
      <c r="J11" s="368">
        <f>[23]Brewhouse!$AZ79</f>
        <v>100.91410661122954</v>
      </c>
      <c r="K11" s="281">
        <f>[23]Brewhouse!$U79</f>
        <v>15.433962264150944</v>
      </c>
      <c r="L11" s="276">
        <f>[23]Brewhouse!$T79</f>
        <v>62</v>
      </c>
      <c r="M11" s="374">
        <f>[23]Brewhouse!$Y79-[23]Brewhouse!$X79</f>
        <v>0.20624999999999999</v>
      </c>
      <c r="N11" s="370">
        <f>[23]Brewhouse!$AD79</f>
        <v>0.36319444444444443</v>
      </c>
      <c r="O11" s="371" t="str">
        <f>[23]Brewhouse!$BC79</f>
        <v>K. Benjamin</v>
      </c>
      <c r="P11" s="418"/>
      <c r="R11" s="277" t="str">
        <f t="shared" ref="R11:R15" si="0">B11</f>
        <v>STARMALT</v>
      </c>
      <c r="S11" s="296">
        <f t="shared" ref="S11:S15" si="1">VLOOKUP($B11,$R$3:$X$9,2,FALSE)</f>
        <v>17</v>
      </c>
      <c r="T11" s="296">
        <f t="shared" ref="T11:T15" si="2">VLOOKUP($B11,$R$3:$X$9,3,FALSE)</f>
        <v>17.399999999999999</v>
      </c>
      <c r="U11" s="297">
        <f t="shared" ref="U11:U15" si="3">VLOOKUP($B11,$R$3:$X$9,4,FALSE)</f>
        <v>0</v>
      </c>
      <c r="V11" s="297">
        <f t="shared" ref="V11:V15" si="4">VLOOKUP($B11,$R$3:$X$9,5,FALSE)</f>
        <v>0.13605324074074074</v>
      </c>
      <c r="W11" s="297">
        <f t="shared" ref="W11:W15" si="5">VLOOKUP($B11,$R$3:$X$9,6,FALSE)</f>
        <v>0.27430555555555552</v>
      </c>
      <c r="X11" s="297">
        <f t="shared" ref="X11:X15" si="6">VLOOKUP($B11,$R$3:$X$9,7,FALSE)</f>
        <v>0.30902777777777779</v>
      </c>
      <c r="Y11" s="297">
        <f t="shared" ref="Y11:Y15" si="7">VLOOKUP($B11,$R$3:$Z$9,8,FALSE)</f>
        <v>0</v>
      </c>
      <c r="Z11" s="296">
        <f t="shared" ref="Z11:Z15" si="8">VLOOKUP($B11,$R$3:$Z$9,9,FALSE)</f>
        <v>85</v>
      </c>
    </row>
    <row r="12" spans="2:29" ht="15.75" customHeight="1">
      <c r="B12" s="37" t="s">
        <v>16</v>
      </c>
      <c r="C12" s="366" t="str">
        <f>[23]Brewhouse!$A80</f>
        <v>SM068</v>
      </c>
      <c r="D12" s="279">
        <f>[23]Brewhouse!$AH80</f>
        <v>53.1</v>
      </c>
      <c r="E12" s="279">
        <f>[23]Brewhouse!$AM80</f>
        <v>53.4</v>
      </c>
      <c r="F12" s="278">
        <f>[23]Brewhouse!$Z80</f>
        <v>71</v>
      </c>
      <c r="G12" s="279">
        <f>[23]Brewhouse!$AK80</f>
        <v>16.899999999999999</v>
      </c>
      <c r="H12" s="396"/>
      <c r="I12" s="368">
        <f>[23]Brewhouse!$AY80</f>
        <v>98.208221312724632</v>
      </c>
      <c r="J12" s="368">
        <f>[23]Brewhouse!$AZ80</f>
        <v>99.309836347464426</v>
      </c>
      <c r="K12" s="281">
        <f>[23]Brewhouse!$U80</f>
        <v>5.4237288135593271</v>
      </c>
      <c r="L12" s="276">
        <f>[23]Brewhouse!$T80</f>
        <v>59</v>
      </c>
      <c r="M12" s="374">
        <f>[23]Brewhouse!$Y80-[23]Brewhouse!$X80</f>
        <v>0.13194444444444453</v>
      </c>
      <c r="N12" s="370">
        <f>[23]Brewhouse!$AD80</f>
        <v>0.41250000000000009</v>
      </c>
      <c r="O12" s="371" t="str">
        <f>[23]Brewhouse!$BC80</f>
        <v>R. Regis</v>
      </c>
      <c r="P12" s="418"/>
      <c r="R12" s="277" t="str">
        <f t="shared" si="0"/>
        <v>STARMALT</v>
      </c>
      <c r="S12" s="296">
        <f t="shared" si="1"/>
        <v>17</v>
      </c>
      <c r="T12" s="296">
        <f t="shared" si="2"/>
        <v>17.399999999999999</v>
      </c>
      <c r="U12" s="297">
        <f t="shared" si="3"/>
        <v>0</v>
      </c>
      <c r="V12" s="297">
        <f t="shared" si="4"/>
        <v>0.13605324074074074</v>
      </c>
      <c r="W12" s="297">
        <f t="shared" si="5"/>
        <v>0.27430555555555552</v>
      </c>
      <c r="X12" s="297">
        <f t="shared" si="6"/>
        <v>0.30902777777777779</v>
      </c>
      <c r="Y12" s="297">
        <f t="shared" si="7"/>
        <v>0</v>
      </c>
      <c r="Z12" s="296">
        <f t="shared" si="8"/>
        <v>85</v>
      </c>
    </row>
    <row r="13" spans="2:29" ht="15.75" customHeight="1">
      <c r="B13" s="37" t="s">
        <v>16</v>
      </c>
      <c r="C13" s="366" t="str">
        <f>[23]Brewhouse!$A81</f>
        <v>SM069</v>
      </c>
      <c r="D13" s="279">
        <f>[23]Brewhouse!$AH81</f>
        <v>53.1</v>
      </c>
      <c r="E13" s="279">
        <f>[23]Brewhouse!$AM81</f>
        <v>53.4</v>
      </c>
      <c r="F13" s="278">
        <f>[23]Brewhouse!$Z81</f>
        <v>65</v>
      </c>
      <c r="G13" s="279">
        <f>[23]Brewhouse!$AK81</f>
        <v>17.2</v>
      </c>
      <c r="H13" s="396"/>
      <c r="I13" s="368">
        <f>[23]Brewhouse!$AY81</f>
        <v>100.22134526565291</v>
      </c>
      <c r="J13" s="368">
        <f>[23]Brewhouse!$AZ81</f>
        <v>101.3434649401413</v>
      </c>
      <c r="K13" s="281">
        <f>[23]Brewhouse!$U81</f>
        <v>4.1054613935969995</v>
      </c>
      <c r="L13" s="276">
        <f>[23]Brewhouse!$T81</f>
        <v>70</v>
      </c>
      <c r="M13" s="374">
        <f>[23]Brewhouse!$Y81-[23]Brewhouse!$X81</f>
        <v>0.15208333333333335</v>
      </c>
      <c r="N13" s="370">
        <f>[23]Brewhouse!$AD81</f>
        <v>0.31597222222222227</v>
      </c>
      <c r="O13" s="371" t="str">
        <f>[23]Brewhouse!$BC81</f>
        <v>R. Regis</v>
      </c>
      <c r="P13" s="418"/>
      <c r="R13" s="277" t="str">
        <f t="shared" si="0"/>
        <v>STARMALT</v>
      </c>
      <c r="S13" s="296">
        <f t="shared" si="1"/>
        <v>17</v>
      </c>
      <c r="T13" s="296">
        <f t="shared" si="2"/>
        <v>17.399999999999999</v>
      </c>
      <c r="U13" s="297">
        <f t="shared" si="3"/>
        <v>0</v>
      </c>
      <c r="V13" s="297">
        <f t="shared" si="4"/>
        <v>0.13605324074074074</v>
      </c>
      <c r="W13" s="297">
        <f t="shared" si="5"/>
        <v>0.27430555555555552</v>
      </c>
      <c r="X13" s="297">
        <f t="shared" si="6"/>
        <v>0.30902777777777779</v>
      </c>
      <c r="Y13" s="297">
        <f t="shared" si="7"/>
        <v>0</v>
      </c>
      <c r="Z13" s="296">
        <f t="shared" si="8"/>
        <v>85</v>
      </c>
    </row>
    <row r="14" spans="2:29" ht="15.75" customHeight="1">
      <c r="B14" s="37" t="s">
        <v>16</v>
      </c>
      <c r="C14" s="366" t="str">
        <f>[23]Brewhouse!$A82</f>
        <v>SM070</v>
      </c>
      <c r="D14" s="279">
        <f>[23]Brewhouse!$AH82</f>
        <v>53.1</v>
      </c>
      <c r="E14" s="279">
        <f>[23]Brewhouse!$AM82</f>
        <v>52.5</v>
      </c>
      <c r="F14" s="278">
        <f>[23]Brewhouse!$Z82</f>
        <v>80</v>
      </c>
      <c r="G14" s="279">
        <f>[23]Brewhouse!$AK82</f>
        <v>17.100000000000001</v>
      </c>
      <c r="H14" s="396"/>
      <c r="I14" s="368">
        <f>[23]Brewhouse!$AY82</f>
        <v>97.942529175156437</v>
      </c>
      <c r="J14" s="368">
        <f>[23]Brewhouse!$AZ82</f>
        <v>99.039134281237168</v>
      </c>
      <c r="K14" s="281">
        <f>[23]Brewhouse!$U82</f>
        <v>4.2937853107344655</v>
      </c>
      <c r="L14" s="276">
        <f>[23]Brewhouse!$T82</f>
        <v>69</v>
      </c>
      <c r="M14" s="374">
        <f>[23]Brewhouse!$Y82-[23]Brewhouse!$X82</f>
        <v>0.14374999999999993</v>
      </c>
      <c r="N14" s="370">
        <f>[23]Brewhouse!$AD82</f>
        <v>0.31944444444444442</v>
      </c>
      <c r="O14" s="371" t="str">
        <f>[23]Brewhouse!$BC82</f>
        <v>R.Sookram</v>
      </c>
      <c r="P14" s="418"/>
      <c r="R14" s="277" t="str">
        <f t="shared" si="0"/>
        <v>STARMALT</v>
      </c>
      <c r="S14" s="296">
        <f t="shared" si="1"/>
        <v>17</v>
      </c>
      <c r="T14" s="296">
        <f t="shared" si="2"/>
        <v>17.399999999999999</v>
      </c>
      <c r="U14" s="297">
        <f t="shared" si="3"/>
        <v>0</v>
      </c>
      <c r="V14" s="297">
        <f t="shared" si="4"/>
        <v>0.13605324074074074</v>
      </c>
      <c r="W14" s="297">
        <f t="shared" si="5"/>
        <v>0.27430555555555552</v>
      </c>
      <c r="X14" s="297">
        <f t="shared" si="6"/>
        <v>0.30902777777777779</v>
      </c>
      <c r="Y14" s="297">
        <f t="shared" si="7"/>
        <v>0</v>
      </c>
      <c r="Z14" s="296">
        <f t="shared" si="8"/>
        <v>85</v>
      </c>
    </row>
    <row r="15" spans="2:29" ht="15.75" customHeight="1">
      <c r="B15" s="37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74"/>
      <c r="N15" s="370"/>
      <c r="O15" s="371"/>
      <c r="P15" s="418"/>
      <c r="R15" s="277">
        <f t="shared" si="0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.75" customHeight="1">
      <c r="B16" s="29" t="s">
        <v>6</v>
      </c>
      <c r="C16" s="366" t="str">
        <f>[22]Brewhouse!$A746</f>
        <v>CA637</v>
      </c>
      <c r="D16" s="279">
        <f>[22]Brewhouse!$AF746</f>
        <v>50.9</v>
      </c>
      <c r="E16" s="279">
        <f>[22]Brewhouse!$AI746</f>
        <v>48.7</v>
      </c>
      <c r="F16" s="278">
        <f>[22]Brewhouse!$V746</f>
        <v>49</v>
      </c>
      <c r="G16" s="279">
        <f>[22]Brewhouse!AG746</f>
        <v>11.8</v>
      </c>
      <c r="H16" s="396"/>
      <c r="I16" s="368">
        <f>[22]Brewhouse!$AU746</f>
        <v>93.373778368097376</v>
      </c>
      <c r="J16" s="368">
        <f>[22]Brewhouse!$AV746</f>
        <v>95.4456711445049</v>
      </c>
      <c r="K16" s="281">
        <f>[22]Brewhouse!$Q746</f>
        <v>9.2962962962962887</v>
      </c>
      <c r="L16" s="276">
        <f>[22]Brewhouse!$P746</f>
        <v>60</v>
      </c>
      <c r="M16" s="397">
        <f>[22]Brewhouse!$U746-[22]Brewhouse!$T746</f>
        <v>0.10347222222222219</v>
      </c>
      <c r="N16" s="370">
        <f>[22]Brewhouse!$Z746</f>
        <v>0.23263888888888884</v>
      </c>
      <c r="O16" s="421" t="str">
        <f>[22]Brewhouse!$AX746</f>
        <v>R.Sookram</v>
      </c>
      <c r="P16" s="418"/>
      <c r="R16" s="277" t="str">
        <f t="shared" ref="R16:R31" si="9">B16</f>
        <v>CARIB</v>
      </c>
      <c r="S16" s="296">
        <f t="shared" ref="S16:S31" si="10">VLOOKUP($B16,$R$3:$X$9,2,FALSE)</f>
        <v>11.6</v>
      </c>
      <c r="T16" s="296">
        <f t="shared" ref="T16:T31" si="11">VLOOKUP($B16,$R$3:$X$9,3,FALSE)</f>
        <v>12</v>
      </c>
      <c r="U16" s="297">
        <f t="shared" ref="U16:U31" si="12">VLOOKUP($B16,$R$3:$X$9,4,FALSE)</f>
        <v>0</v>
      </c>
      <c r="V16" s="297">
        <f t="shared" ref="V16:V31" si="13">VLOOKUP($B16,$R$3:$X$9,5,FALSE)</f>
        <v>0.118055555555556</v>
      </c>
      <c r="W16" s="297">
        <f t="shared" ref="W16:W31" si="14">VLOOKUP($B16,$R$3:$X$9,6,FALSE)</f>
        <v>0.22569444444444445</v>
      </c>
      <c r="X16" s="297">
        <f t="shared" ref="X16:X31" si="15">VLOOKUP($B16,$R$3:$X$9,7,FALSE)</f>
        <v>0.2638888888888889</v>
      </c>
      <c r="Y16" s="297">
        <f t="shared" ref="Y16:Y31" si="16">VLOOKUP($B16,$R$3:$Z$9,8,FALSE)</f>
        <v>0</v>
      </c>
      <c r="Z16" s="296">
        <f t="shared" ref="Z16:Z31" si="17">VLOOKUP($B16,$R$3:$Z$9,9,FALSE)</f>
        <v>60</v>
      </c>
    </row>
    <row r="17" spans="1:27" ht="15.75" customHeight="1">
      <c r="B17" s="29" t="s">
        <v>6</v>
      </c>
      <c r="C17" s="366" t="str">
        <f>[22]Brewhouse!$A747</f>
        <v>CA638</v>
      </c>
      <c r="D17" s="279">
        <f>[22]Brewhouse!$AF747</f>
        <v>52.4</v>
      </c>
      <c r="E17" s="279">
        <f>[22]Brewhouse!$AI747</f>
        <v>49.7</v>
      </c>
      <c r="F17" s="278">
        <f>[22]Brewhouse!$V747</f>
        <v>52</v>
      </c>
      <c r="G17" s="279">
        <f>[22]Brewhouse!AG747</f>
        <v>11.9</v>
      </c>
      <c r="H17" s="396"/>
      <c r="I17" s="368">
        <f>[22]Brewhouse!$AU747</f>
        <v>95.78615294016592</v>
      </c>
      <c r="J17" s="368">
        <f>[22]Brewhouse!$AV747</f>
        <v>97.912270782605574</v>
      </c>
      <c r="K17" s="281">
        <f>[22]Brewhouse!$Q747</f>
        <v>5.6981132075471628</v>
      </c>
      <c r="L17" s="276">
        <f>[22]Brewhouse!$P747</f>
        <v>60</v>
      </c>
      <c r="M17" s="397">
        <f>[22]Brewhouse!$U747-[22]Brewhouse!$T747</f>
        <v>0.10763888888888884</v>
      </c>
      <c r="N17" s="370">
        <f>[22]Brewhouse!$Z747</f>
        <v>0.23888888888888893</v>
      </c>
      <c r="O17" s="421" t="str">
        <f>[22]Brewhouse!$AX747</f>
        <v>K.Benjamin</v>
      </c>
      <c r="P17" s="418"/>
      <c r="R17" s="277" t="str">
        <f t="shared" si="9"/>
        <v>CARIB</v>
      </c>
      <c r="S17" s="296">
        <f t="shared" si="10"/>
        <v>11.6</v>
      </c>
      <c r="T17" s="296">
        <f t="shared" si="11"/>
        <v>12</v>
      </c>
      <c r="U17" s="297">
        <f t="shared" si="12"/>
        <v>0</v>
      </c>
      <c r="V17" s="297">
        <f t="shared" si="13"/>
        <v>0.118055555555556</v>
      </c>
      <c r="W17" s="297">
        <f t="shared" si="14"/>
        <v>0.22569444444444445</v>
      </c>
      <c r="X17" s="297">
        <f t="shared" si="15"/>
        <v>0.2638888888888889</v>
      </c>
      <c r="Y17" s="297">
        <f t="shared" si="16"/>
        <v>0</v>
      </c>
      <c r="Z17" s="296">
        <f t="shared" si="17"/>
        <v>60</v>
      </c>
    </row>
    <row r="18" spans="1:27" ht="15.75" customHeight="1">
      <c r="B18" s="29" t="s">
        <v>6</v>
      </c>
      <c r="C18" s="366" t="str">
        <f>[22]Brewhouse!$A748</f>
        <v>CA639</v>
      </c>
      <c r="D18" s="279">
        <f>[22]Brewhouse!$AF748</f>
        <v>52.3</v>
      </c>
      <c r="E18" s="279">
        <f>[22]Brewhouse!$AI748</f>
        <v>50.7</v>
      </c>
      <c r="F18" s="278">
        <f>[22]Brewhouse!$V748</f>
        <v>53</v>
      </c>
      <c r="G18" s="279">
        <f>[22]Brewhouse!AG748</f>
        <v>11.9</v>
      </c>
      <c r="H18" s="396"/>
      <c r="I18" s="368">
        <f>[22]Brewhouse!$AU748</f>
        <v>98.495904658829232</v>
      </c>
      <c r="J18" s="368">
        <f>[22]Brewhouse!$AV748</f>
        <v>100.77534117421787</v>
      </c>
      <c r="K18" s="281">
        <f>[22]Brewhouse!$Q748</f>
        <v>3.622641509433965</v>
      </c>
      <c r="L18" s="276">
        <f>[22]Brewhouse!$P748</f>
        <v>60</v>
      </c>
      <c r="M18" s="397">
        <f>[22]Brewhouse!$U748-[22]Brewhouse!$T748</f>
        <v>0.10486111111111107</v>
      </c>
      <c r="N18" s="370">
        <f>[22]Brewhouse!$Z748</f>
        <v>0.24305555555555547</v>
      </c>
      <c r="O18" s="421" t="str">
        <f>[22]Brewhouse!$AX748</f>
        <v>K.Benjamin</v>
      </c>
      <c r="P18" s="418"/>
      <c r="R18" s="277" t="str">
        <f t="shared" si="9"/>
        <v>CARIB</v>
      </c>
      <c r="S18" s="296">
        <f t="shared" si="10"/>
        <v>11.6</v>
      </c>
      <c r="T18" s="296">
        <f t="shared" si="11"/>
        <v>12</v>
      </c>
      <c r="U18" s="297">
        <f t="shared" si="12"/>
        <v>0</v>
      </c>
      <c r="V18" s="297">
        <f t="shared" si="13"/>
        <v>0.118055555555556</v>
      </c>
      <c r="W18" s="297">
        <f t="shared" si="14"/>
        <v>0.22569444444444445</v>
      </c>
      <c r="X18" s="297">
        <f t="shared" si="15"/>
        <v>0.2638888888888889</v>
      </c>
      <c r="Y18" s="297">
        <f t="shared" si="16"/>
        <v>0</v>
      </c>
      <c r="Z18" s="296">
        <f t="shared" si="17"/>
        <v>60</v>
      </c>
    </row>
    <row r="19" spans="1:27" ht="15.75" customHeight="1">
      <c r="B19" s="37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8"/>
      <c r="R19" s="277">
        <f t="shared" si="9"/>
        <v>0</v>
      </c>
      <c r="S19" s="296" t="e">
        <f t="shared" si="10"/>
        <v>#N/A</v>
      </c>
      <c r="T19" s="296" t="e">
        <f t="shared" si="11"/>
        <v>#N/A</v>
      </c>
      <c r="U19" s="297" t="e">
        <f t="shared" si="12"/>
        <v>#N/A</v>
      </c>
      <c r="V19" s="297" t="e">
        <f t="shared" si="13"/>
        <v>#N/A</v>
      </c>
      <c r="W19" s="297" t="e">
        <f t="shared" si="14"/>
        <v>#N/A</v>
      </c>
      <c r="X19" s="297" t="e">
        <f t="shared" si="15"/>
        <v>#N/A</v>
      </c>
      <c r="Y19" s="297" t="e">
        <f t="shared" si="16"/>
        <v>#N/A</v>
      </c>
      <c r="Z19" s="296" t="e">
        <f t="shared" si="17"/>
        <v>#N/A</v>
      </c>
    </row>
    <row r="20" spans="1:27" ht="15.75" hidden="1" customHeight="1">
      <c r="B20" s="37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418"/>
      <c r="R20" s="277">
        <f t="shared" si="9"/>
        <v>0</v>
      </c>
      <c r="S20" s="296" t="e">
        <f t="shared" si="10"/>
        <v>#N/A</v>
      </c>
      <c r="T20" s="296" t="e">
        <f t="shared" si="11"/>
        <v>#N/A</v>
      </c>
      <c r="U20" s="297" t="e">
        <f t="shared" si="12"/>
        <v>#N/A</v>
      </c>
      <c r="V20" s="297" t="e">
        <f t="shared" si="13"/>
        <v>#N/A</v>
      </c>
      <c r="W20" s="297" t="e">
        <f t="shared" si="14"/>
        <v>#N/A</v>
      </c>
      <c r="X20" s="297" t="e">
        <f t="shared" si="15"/>
        <v>#N/A</v>
      </c>
      <c r="Y20" s="297" t="e">
        <f t="shared" si="16"/>
        <v>#N/A</v>
      </c>
      <c r="Z20" s="296" t="e">
        <f t="shared" si="17"/>
        <v>#N/A</v>
      </c>
    </row>
    <row r="21" spans="1:27" ht="15.75" hidden="1" customHeight="1">
      <c r="B21" s="37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371"/>
      <c r="P21" s="418"/>
      <c r="R21" s="277">
        <f t="shared" si="9"/>
        <v>0</v>
      </c>
      <c r="S21" s="296" t="e">
        <f t="shared" si="10"/>
        <v>#N/A</v>
      </c>
      <c r="T21" s="296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296" t="e">
        <f t="shared" si="17"/>
        <v>#N/A</v>
      </c>
    </row>
    <row r="22" spans="1:27" ht="15.7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18"/>
      <c r="R22" s="277">
        <f t="shared" si="9"/>
        <v>0</v>
      </c>
      <c r="S22" s="296" t="e">
        <f t="shared" si="10"/>
        <v>#N/A</v>
      </c>
      <c r="T22" s="296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296" t="e">
        <f t="shared" si="17"/>
        <v>#N/A</v>
      </c>
    </row>
    <row r="23" spans="1:27" ht="15.7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8"/>
      <c r="R23" s="277">
        <f t="shared" si="9"/>
        <v>0</v>
      </c>
      <c r="S23" s="296" t="e">
        <f t="shared" si="10"/>
        <v>#N/A</v>
      </c>
      <c r="T23" s="296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296" t="e">
        <f t="shared" si="17"/>
        <v>#N/A</v>
      </c>
    </row>
    <row r="24" spans="1:27" ht="15.75" hidden="1" customHeight="1">
      <c r="B24" s="37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74"/>
      <c r="N24" s="370"/>
      <c r="O24" s="371"/>
      <c r="P24" s="418"/>
      <c r="R24" s="277">
        <f t="shared" si="9"/>
        <v>0</v>
      </c>
      <c r="S24" s="296" t="e">
        <f t="shared" si="10"/>
        <v>#N/A</v>
      </c>
      <c r="T24" s="296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296" t="e">
        <f t="shared" si="17"/>
        <v>#N/A</v>
      </c>
    </row>
    <row r="25" spans="1:27" ht="15.75" customHeight="1" thickBot="1">
      <c r="B25" s="358"/>
      <c r="C25" s="358"/>
      <c r="D25" s="358"/>
      <c r="E25" s="358"/>
      <c r="F25" s="294"/>
      <c r="G25" s="294"/>
      <c r="H25" s="348"/>
      <c r="I25" s="514"/>
      <c r="J25" s="514"/>
      <c r="K25" s="514"/>
      <c r="L25" s="514"/>
      <c r="M25" s="514"/>
      <c r="N25" s="514"/>
      <c r="O25" s="1"/>
      <c r="P25" s="12"/>
      <c r="R25" s="277">
        <f t="shared" si="9"/>
        <v>0</v>
      </c>
      <c r="S25" s="296" t="e">
        <f t="shared" si="10"/>
        <v>#N/A</v>
      </c>
      <c r="T25" s="296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296" t="e">
        <f t="shared" si="17"/>
        <v>#N/A</v>
      </c>
    </row>
    <row r="26" spans="1:27" ht="15.75" thickBot="1">
      <c r="B26" s="388" t="s">
        <v>162</v>
      </c>
      <c r="C26" s="388"/>
      <c r="D26" s="527" t="s">
        <v>35</v>
      </c>
      <c r="E26" s="528"/>
      <c r="F26" s="294"/>
      <c r="G26" s="294"/>
      <c r="H26" s="348"/>
      <c r="I26" s="24" t="s">
        <v>17</v>
      </c>
      <c r="J26" s="25" t="s">
        <v>36</v>
      </c>
      <c r="K26" s="26" t="s">
        <v>138</v>
      </c>
      <c r="L26" s="25" t="s">
        <v>37</v>
      </c>
      <c r="M26" s="25" t="s">
        <v>38</v>
      </c>
      <c r="N26" s="27" t="s">
        <v>39</v>
      </c>
      <c r="O26" s="294"/>
      <c r="P26" s="12"/>
      <c r="R26" s="277" t="str">
        <f t="shared" si="9"/>
        <v xml:space="preserve">BRAND </v>
      </c>
      <c r="S26" s="296" t="e">
        <f t="shared" si="10"/>
        <v>#N/A</v>
      </c>
      <c r="T26" s="296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296" t="e">
        <f t="shared" si="17"/>
        <v>#N/A</v>
      </c>
    </row>
    <row r="27" spans="1:27" ht="15" customHeight="1">
      <c r="A27" s="28"/>
      <c r="B27" s="558" t="str">
        <f>J41</f>
        <v>CARIB</v>
      </c>
      <c r="C27" s="362"/>
      <c r="D27" s="518"/>
      <c r="E27" s="507"/>
      <c r="F27" s="294"/>
      <c r="G27" s="294"/>
      <c r="H27" s="348"/>
      <c r="I27" s="29" t="s">
        <v>6</v>
      </c>
      <c r="J27" s="280">
        <f>AVERAGE(I16:I18)</f>
        <v>95.885278655697519</v>
      </c>
      <c r="K27" s="284">
        <f>COUNTA([22]Brewhouse!$A$740:$A$748)</f>
        <v>9</v>
      </c>
      <c r="L27" s="305">
        <f>AVERAGE([22]Brewhouse!$AU$740:$AU$748)</f>
        <v>97.872290073103215</v>
      </c>
      <c r="M27" s="302">
        <f>AVERAGE([22]Brewhouse!$AU$102:$AU$171,[22]Brewhouse!$AU$173:$AU$253,[22]Brewhouse!$AU$255:$AU$339,[22]Brewhouse!$AU$341:$AU$346,[22]Brewhouse!$AU$348,[22]Brewhouse!$AU$349:$AU$406,[22]Brewhouse!$AU$408:$AU$491,[22]Brewhouse!$AU$493:$AU$578,[22]Brewhouse!$AU$580:$AU$652,[22]Brewhouse!$AU$655:$AU$748)</f>
        <v>97.708011329166098</v>
      </c>
      <c r="N27" s="30">
        <v>98</v>
      </c>
      <c r="O27" s="11"/>
      <c r="P27" s="31"/>
      <c r="R27" s="277" t="str">
        <f t="shared" si="9"/>
        <v>CARIB</v>
      </c>
      <c r="S27" s="296">
        <f t="shared" si="10"/>
        <v>11.6</v>
      </c>
      <c r="T27" s="296">
        <f t="shared" si="11"/>
        <v>12</v>
      </c>
      <c r="U27" s="297">
        <f t="shared" si="12"/>
        <v>0</v>
      </c>
      <c r="V27" s="297">
        <f t="shared" si="13"/>
        <v>0.118055555555556</v>
      </c>
      <c r="W27" s="297">
        <f t="shared" si="14"/>
        <v>0.22569444444444445</v>
      </c>
      <c r="X27" s="297">
        <f t="shared" si="15"/>
        <v>0.2638888888888889</v>
      </c>
      <c r="Y27" s="297">
        <f t="shared" si="16"/>
        <v>0</v>
      </c>
      <c r="Z27" s="296">
        <f t="shared" si="17"/>
        <v>60</v>
      </c>
    </row>
    <row r="28" spans="1:27" ht="15" customHeight="1">
      <c r="A28" s="28"/>
      <c r="B28" s="559"/>
      <c r="C28" s="362"/>
      <c r="D28" s="519"/>
      <c r="E28" s="502"/>
      <c r="F28" s="294"/>
      <c r="G28" s="294"/>
      <c r="H28" s="348"/>
      <c r="I28" s="33" t="s">
        <v>9</v>
      </c>
      <c r="J28" s="280"/>
      <c r="K28" s="284"/>
      <c r="L28" s="302"/>
      <c r="M28" s="302">
        <f>AVERAGE([24]Brewhouse!$AS$15:$AS$64,[24]Brewhouse!$AS$66:$AS$103,[24]Brewhouse!$AS$105:$AS$140,[24]Brewhouse!$AS$142:$AS$193,[24]Brewhouse!$AS$195:$AS$240,[24]Brewhouse!$AS$242:$AS$273,[24]Brewhouse!$AS$275:$AS$322,[24]Brewhouse!$AS$324:$AS$359)</f>
        <v>98.065489639180555</v>
      </c>
      <c r="N28" s="30">
        <v>98</v>
      </c>
      <c r="O28" s="11"/>
      <c r="P28" s="31"/>
      <c r="R28" s="277">
        <f t="shared" si="9"/>
        <v>0</v>
      </c>
      <c r="S28" s="296" t="e">
        <f t="shared" si="10"/>
        <v>#N/A</v>
      </c>
      <c r="T28" s="296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296" t="e">
        <f t="shared" si="17"/>
        <v>#N/A</v>
      </c>
    </row>
    <row r="29" spans="1:27" ht="14.65" customHeight="1">
      <c r="A29" s="28"/>
      <c r="B29" s="559"/>
      <c r="C29" s="362"/>
      <c r="D29" s="518"/>
      <c r="E29" s="507"/>
      <c r="F29" s="294"/>
      <c r="G29" s="294"/>
      <c r="H29" s="348"/>
      <c r="I29" s="34" t="s">
        <v>12</v>
      </c>
      <c r="J29" s="280"/>
      <c r="K29" s="284"/>
      <c r="L29" s="302"/>
      <c r="M29" s="302">
        <f>AVERAGE([25]Brewhouse!$AU$4:$AU$7,[25]Brewhouse!$AU$9:$AU$22,[25]Brewhouse!$AU$24:$AU$35,[25]Brewhouse!$AU$37:$AU$45,[25]Brewhouse!$AU$47:$AU$62,[25]Brewhouse!$AU$64:$AU$79,[25]Brewhouse!$AU$81:$AU$92)</f>
        <v>96.938184743997624</v>
      </c>
      <c r="N29" s="30">
        <v>98</v>
      </c>
      <c r="O29" s="11"/>
      <c r="P29" s="31"/>
      <c r="R29" s="277">
        <f t="shared" si="9"/>
        <v>0</v>
      </c>
      <c r="S29" s="296" t="e">
        <f t="shared" si="10"/>
        <v>#N/A</v>
      </c>
      <c r="T29" s="296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296" t="e">
        <f t="shared" si="17"/>
        <v>#N/A</v>
      </c>
    </row>
    <row r="30" spans="1:27" ht="14.65" customHeight="1">
      <c r="A30" s="28"/>
      <c r="B30" s="559"/>
      <c r="C30" s="362"/>
      <c r="D30" s="519"/>
      <c r="E30" s="502"/>
      <c r="F30" s="294"/>
      <c r="G30" s="294"/>
      <c r="H30" s="348"/>
      <c r="I30" s="22" t="s">
        <v>33</v>
      </c>
      <c r="J30" s="280"/>
      <c r="K30" s="284"/>
      <c r="L30" s="302"/>
      <c r="M30" s="302">
        <f>AVERAGE([26]Brewhouse!$AV$5:$AV$14,[26]Brewhouse!$AV$16:$AV$19,[26]Brewhouse!$AV$21:$AV$24,[26]Brewhouse!$AV$26:$AV$33,[26]Brewhouse!$AV$35:$AV$46,[26]Brewhouse!$AV$48:$AV$53,[26]Brewhouse!$AV$55:$AV$62,[26]Brewhouse!$AV$64:$AV$77)</f>
        <v>98.521410557268055</v>
      </c>
      <c r="N30" s="30">
        <v>98</v>
      </c>
      <c r="O30" s="11"/>
      <c r="P30" s="31"/>
      <c r="R30" s="277">
        <f t="shared" si="9"/>
        <v>0</v>
      </c>
      <c r="S30" s="296" t="e">
        <f t="shared" si="10"/>
        <v>#N/A</v>
      </c>
      <c r="T30" s="296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296" t="e">
        <f t="shared" si="17"/>
        <v>#N/A</v>
      </c>
    </row>
    <row r="31" spans="1:27" ht="14.65" customHeight="1">
      <c r="A31" s="28"/>
      <c r="B31" s="559"/>
      <c r="C31" s="362"/>
      <c r="D31" s="518"/>
      <c r="E31" s="507"/>
      <c r="F31" s="417"/>
      <c r="G31" s="294"/>
      <c r="H31" s="348"/>
      <c r="I31" s="35" t="s">
        <v>29</v>
      </c>
      <c r="J31" s="280"/>
      <c r="K31" s="284"/>
      <c r="L31" s="302"/>
      <c r="M31" s="302"/>
      <c r="N31" s="30">
        <v>98</v>
      </c>
      <c r="O31" s="11"/>
      <c r="P31" s="31"/>
      <c r="R31" s="277">
        <f t="shared" si="9"/>
        <v>0</v>
      </c>
      <c r="S31" s="296" t="e">
        <f t="shared" si="10"/>
        <v>#N/A</v>
      </c>
      <c r="T31" s="296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296" t="e">
        <f t="shared" si="17"/>
        <v>#N/A</v>
      </c>
    </row>
    <row r="32" spans="1:27" ht="14.65" customHeight="1">
      <c r="A32" s="28"/>
      <c r="B32" s="559"/>
      <c r="C32" s="362"/>
      <c r="D32" s="519"/>
      <c r="E32" s="502"/>
      <c r="F32" s="417"/>
      <c r="G32" s="294"/>
      <c r="H32" s="348"/>
      <c r="I32" s="36" t="s">
        <v>15</v>
      </c>
      <c r="J32" s="323"/>
      <c r="K32" s="284"/>
      <c r="L32" s="302"/>
      <c r="M32" s="302">
        <f>AVERAGE([27]Brewhouse!$AT$4:$AT$11,[27]Brewhouse!$AT$13:$AT$16,[27]Brewhouse!$AT$18:$AT$21,[27]Brewhouse!$AT$26)</f>
        <v>94.588057846623641</v>
      </c>
      <c r="N32" s="30">
        <v>98</v>
      </c>
      <c r="O32" s="11"/>
      <c r="P32" s="31"/>
      <c r="R32" s="277"/>
      <c r="S32" s="296"/>
      <c r="T32" s="296"/>
      <c r="U32" s="297"/>
      <c r="V32" s="297"/>
      <c r="W32" s="297"/>
      <c r="X32" s="297"/>
      <c r="Y32" s="297"/>
      <c r="Z32" s="296"/>
      <c r="AA32" s="296"/>
    </row>
    <row r="33" spans="1:56" ht="14.65" customHeight="1">
      <c r="A33" s="28"/>
      <c r="B33" s="559"/>
      <c r="C33" s="362"/>
      <c r="D33" s="518"/>
      <c r="E33" s="507"/>
      <c r="F33" s="417"/>
      <c r="G33" s="294"/>
      <c r="H33" s="348"/>
      <c r="I33" s="37" t="s">
        <v>16</v>
      </c>
      <c r="J33" s="323">
        <f>AVERAGE(I10:I14)</f>
        <v>98.730184155426343</v>
      </c>
      <c r="K33" s="284">
        <f>COUNTA([23]Brewhouse!$A$75:$A$82)</f>
        <v>8</v>
      </c>
      <c r="L33" s="302">
        <f>AVERAGE([23]Brewhouse!$AY$75:$AY$82)</f>
        <v>97.738838123294386</v>
      </c>
      <c r="M33" s="302">
        <f>AVERAGE([23]Brewhouse!$AY$6:$AY$13,[23]Brewhouse!$AY$15:$AY$20,[23]Brewhouse!$AY$22:$AY$29,[23]Brewhouse!$AY$31:$AY$34,[23]Brewhouse!$AY$36:$AY$43,[23]Brewhouse!$AY$45:$AY$50, [23]Brewhouse!$AY$56:$AY$73,[23]Brewhouse!$AY$75:$AY$82)</f>
        <v>97.409216272979165</v>
      </c>
      <c r="N33" s="30">
        <v>98</v>
      </c>
      <c r="O33" s="11"/>
      <c r="P33" s="31" t="s">
        <v>41</v>
      </c>
      <c r="R33" s="277"/>
      <c r="S33" s="296"/>
      <c r="T33" s="296"/>
      <c r="U33" s="297"/>
      <c r="V33" s="297"/>
      <c r="W33" s="297"/>
      <c r="X33" s="297"/>
      <c r="Y33" s="297"/>
      <c r="Z33" s="296"/>
      <c r="AA33" s="296"/>
    </row>
    <row r="34" spans="1:56" ht="14.65" customHeight="1">
      <c r="A34" s="28"/>
      <c r="B34" s="559"/>
      <c r="C34" s="362"/>
      <c r="D34" s="519"/>
      <c r="E34" s="502"/>
      <c r="F34" s="294"/>
      <c r="G34" s="294"/>
      <c r="H34" s="348"/>
      <c r="I34" s="411" t="s">
        <v>158</v>
      </c>
      <c r="J34" s="326"/>
      <c r="K34" s="284"/>
      <c r="L34" s="305"/>
      <c r="M34" s="305">
        <f>AVERAGE([28]Brewhouse!$AU$5:$AU$8,[28]Brewhouse!$AU$10:$AU$13,[23]Brewhouse!$AY$75:$AY$77)</f>
        <v>94.749192473706671</v>
      </c>
      <c r="N34" s="30">
        <v>98</v>
      </c>
      <c r="O34" s="11"/>
      <c r="P34" s="31"/>
      <c r="R34" s="277"/>
      <c r="S34" s="296"/>
      <c r="T34" s="296"/>
      <c r="U34" s="297"/>
      <c r="V34" s="297"/>
      <c r="W34" s="297"/>
      <c r="X34" s="297"/>
      <c r="Y34" s="297"/>
      <c r="Z34" s="296"/>
      <c r="AA34" s="296"/>
    </row>
    <row r="35" spans="1:56" ht="14.65" customHeight="1">
      <c r="A35" s="28"/>
      <c r="B35" s="559"/>
      <c r="C35" s="349"/>
      <c r="D35" s="518"/>
      <c r="E35" s="507"/>
      <c r="F35" s="294"/>
      <c r="G35" s="294"/>
      <c r="H35" s="348"/>
      <c r="I35" s="410" t="s">
        <v>157</v>
      </c>
      <c r="J35" s="326"/>
      <c r="K35" s="284"/>
      <c r="L35" s="305"/>
      <c r="M35" s="305">
        <f>AVERAGE([29]Brewhouse!$AW$26:$AW$27)</f>
        <v>95.310680905194914</v>
      </c>
      <c r="N35" s="30">
        <v>98</v>
      </c>
      <c r="O35" s="11"/>
      <c r="P35" s="31"/>
      <c r="R35" s="277"/>
      <c r="S35" s="296"/>
      <c r="T35" s="296"/>
      <c r="U35" s="297"/>
      <c r="V35" s="297"/>
      <c r="W35" s="297"/>
      <c r="X35" s="297"/>
      <c r="Y35" s="297"/>
      <c r="Z35" s="296"/>
      <c r="AA35" s="296"/>
    </row>
    <row r="36" spans="1:56" ht="15" customHeight="1" thickBot="1">
      <c r="A36" s="28"/>
      <c r="B36" s="559"/>
      <c r="C36" s="349"/>
      <c r="D36" s="519"/>
      <c r="E36" s="502"/>
      <c r="F36" s="294"/>
      <c r="G36" s="294"/>
      <c r="H36" s="348"/>
      <c r="I36" s="406" t="s">
        <v>156</v>
      </c>
      <c r="J36" s="327"/>
      <c r="K36" s="407"/>
      <c r="L36" s="408"/>
      <c r="M36" s="408">
        <f>AVERAGE([30]Brewhouse!$AU$13:$AU$14)</f>
        <v>97.110575243268045</v>
      </c>
      <c r="N36" s="409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  <c r="AA36" s="296"/>
    </row>
    <row r="37" spans="1:56" ht="15" customHeight="1" thickBot="1">
      <c r="A37" s="28"/>
      <c r="B37" s="559"/>
      <c r="C37" s="349"/>
      <c r="D37" s="518"/>
      <c r="E37" s="507"/>
      <c r="F37" s="294"/>
      <c r="G37" s="294"/>
      <c r="H37" s="348"/>
      <c r="I37" s="1"/>
      <c r="J37" s="39"/>
      <c r="K37" s="404">
        <f>SUM(K27:K36)</f>
        <v>17</v>
      </c>
      <c r="L37" s="405">
        <f>((L27*K27)+(L28*K28)+(L29*K29)+(L30*K30)+(L31*K31)+(K34*L34)+(L32*K32)+(L33*K33)+(L36*K36))/(K37)</f>
        <v>97.809489155546117</v>
      </c>
      <c r="M37" s="405">
        <f>AVERAGE('[31]Jan 31st'!$L$65,'[32]Feb 28th'!$L$35,'[33]Mar. 31st'!$L$35,'[34]Apr. 30th'!$L$45,'[35]May 30th'!$L$37,'[36]June 30th'!$L$57,L37)</f>
        <v>97.680199950372568</v>
      </c>
      <c r="N37" s="40">
        <v>98</v>
      </c>
      <c r="O37" s="11"/>
      <c r="P37" s="31"/>
      <c r="R37" s="277"/>
      <c r="S37" s="296"/>
      <c r="T37" s="296"/>
      <c r="U37" s="297"/>
      <c r="V37" s="297"/>
      <c r="W37" s="297"/>
      <c r="X37" s="297"/>
      <c r="Y37" s="297"/>
      <c r="Z37" s="296"/>
      <c r="AA37" s="296"/>
    </row>
    <row r="38" spans="1:56" ht="15.75" thickBot="1">
      <c r="B38" s="560"/>
      <c r="C38" s="350"/>
      <c r="D38" s="519"/>
      <c r="E38" s="502"/>
      <c r="F38" s="294"/>
      <c r="G38" s="42"/>
      <c r="H38" s="41"/>
      <c r="I38" s="42"/>
      <c r="J38" s="42"/>
      <c r="K38" s="351"/>
      <c r="L38" s="348"/>
      <c r="M38" s="348"/>
      <c r="N38" s="11"/>
      <c r="O38" s="294"/>
      <c r="P38" s="12"/>
      <c r="R38" s="277"/>
      <c r="S38" s="296"/>
      <c r="T38" s="296"/>
      <c r="U38" s="297"/>
      <c r="V38" s="297"/>
      <c r="W38" s="297"/>
      <c r="X38" s="297"/>
      <c r="Y38" s="297"/>
      <c r="Z38" s="296"/>
      <c r="AA38" s="296"/>
    </row>
    <row r="39" spans="1:56" ht="15.75" thickBot="1">
      <c r="B39" s="552"/>
      <c r="C39" s="362"/>
      <c r="D39" s="499"/>
      <c r="E39" s="500"/>
      <c r="F39" s="294"/>
      <c r="G39" s="42"/>
      <c r="H39" s="41"/>
      <c r="I39" s="42"/>
      <c r="J39" s="553" t="s">
        <v>129</v>
      </c>
      <c r="K39" s="553"/>
      <c r="L39" s="294"/>
      <c r="M39" s="294"/>
      <c r="N39" s="294"/>
      <c r="O39" s="294"/>
      <c r="P39" s="12"/>
    </row>
    <row r="40" spans="1:56" ht="15.75" thickBot="1">
      <c r="B40" s="516"/>
      <c r="C40" s="362"/>
      <c r="D40" s="501"/>
      <c r="E40" s="502"/>
      <c r="F40" s="294"/>
      <c r="G40" s="42"/>
      <c r="H40" s="41"/>
      <c r="I40" s="42"/>
      <c r="J40" s="292" t="s">
        <v>17</v>
      </c>
      <c r="K40" s="293" t="s">
        <v>147</v>
      </c>
      <c r="L40" s="504" t="s">
        <v>136</v>
      </c>
      <c r="M40" s="504"/>
      <c r="N40" s="505"/>
      <c r="O40" s="294"/>
      <c r="P40" s="12"/>
    </row>
    <row r="41" spans="1:56" ht="15" customHeight="1" thickBot="1">
      <c r="B41" s="516"/>
      <c r="C41" s="349"/>
      <c r="D41" s="554"/>
      <c r="E41" s="555"/>
      <c r="F41" s="294"/>
      <c r="G41" s="42"/>
      <c r="H41" s="41"/>
      <c r="I41" s="42"/>
      <c r="J41" s="287" t="s">
        <v>6</v>
      </c>
      <c r="K41" s="324">
        <v>5</v>
      </c>
      <c r="L41" s="343" t="s">
        <v>37</v>
      </c>
      <c r="M41" s="307" t="s">
        <v>38</v>
      </c>
      <c r="N41" s="307" t="s">
        <v>84</v>
      </c>
      <c r="O41" s="294"/>
      <c r="P41" s="12"/>
    </row>
    <row r="42" spans="1:56" ht="15.75" customHeight="1" thickBot="1">
      <c r="B42" s="516"/>
      <c r="C42" s="349"/>
      <c r="D42" s="501"/>
      <c r="E42" s="502"/>
      <c r="F42" s="294"/>
      <c r="G42" s="42"/>
      <c r="H42" s="41"/>
      <c r="I42" s="42"/>
      <c r="J42" s="345" t="s">
        <v>9</v>
      </c>
      <c r="K42" s="324"/>
      <c r="L42" s="344">
        <f>AVERAGE('Sept 1st'!K53,K51)</f>
        <v>8.5</v>
      </c>
      <c r="M42" s="325">
        <f>AVERAGE('[31]Jan 29th '!$M$70,'[32]Feb 28th'!$L$40,'[33]Mar. 31st'!$L$40,'[34]Apr. 30th'!$L$50,'[35]May 30th'!$L$42,'[36]June 30th'!$L$62,'[37]July 29th '!$L$49,'[38]Aug 29th'!$L$34,L42)</f>
        <v>7.1258562608677023</v>
      </c>
      <c r="N42" s="416">
        <v>9.1999999999999993</v>
      </c>
      <c r="O42" s="294"/>
      <c r="P42" s="12"/>
    </row>
    <row r="43" spans="1:56" ht="15" customHeight="1">
      <c r="B43" s="516"/>
      <c r="C43" s="349"/>
      <c r="D43" s="554"/>
      <c r="E43" s="555"/>
      <c r="F43" s="294"/>
      <c r="G43" s="42"/>
      <c r="H43" s="41"/>
      <c r="I43" s="42"/>
      <c r="J43" s="288" t="s">
        <v>40</v>
      </c>
      <c r="K43" s="324"/>
      <c r="L43" s="294"/>
      <c r="M43" s="294"/>
      <c r="N43" s="294"/>
      <c r="O43" s="294"/>
      <c r="P43" s="12"/>
    </row>
    <row r="44" spans="1:56" ht="15" customHeight="1">
      <c r="B44" s="516"/>
      <c r="C44" s="349"/>
      <c r="D44" s="501"/>
      <c r="E44" s="502"/>
      <c r="F44" s="294"/>
      <c r="G44" s="42"/>
      <c r="H44" s="41"/>
      <c r="I44" s="42"/>
      <c r="J44" s="289" t="s">
        <v>33</v>
      </c>
      <c r="K44" s="324">
        <v>3</v>
      </c>
      <c r="L44" s="294"/>
      <c r="M44" s="294"/>
      <c r="N44" s="294"/>
      <c r="O44" s="294"/>
      <c r="P44" s="12"/>
    </row>
    <row r="45" spans="1:56" ht="15">
      <c r="B45" s="516"/>
      <c r="C45" s="349"/>
      <c r="D45" s="554"/>
      <c r="E45" s="555"/>
      <c r="F45" s="294"/>
      <c r="G45" s="42"/>
      <c r="H45" s="41"/>
      <c r="I45" s="42"/>
      <c r="J45" s="290" t="s">
        <v>16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16"/>
      <c r="C46" s="349"/>
      <c r="D46" s="501"/>
      <c r="E46" s="502"/>
      <c r="F46" s="294"/>
      <c r="G46" s="42"/>
      <c r="H46" s="41"/>
      <c r="I46" s="42"/>
      <c r="J46" s="291" t="s">
        <v>15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16"/>
      <c r="C47" s="349"/>
      <c r="D47" s="554"/>
      <c r="E47" s="555"/>
      <c r="F47" s="294"/>
      <c r="G47" s="42"/>
      <c r="H47" s="41"/>
      <c r="I47" s="42"/>
      <c r="J47" s="291" t="s">
        <v>149</v>
      </c>
      <c r="K47" s="324"/>
      <c r="L47" s="294"/>
      <c r="M47" s="294"/>
      <c r="N47" s="294"/>
      <c r="O47" s="294"/>
      <c r="P47" s="12"/>
      <c r="BC47" s="44"/>
      <c r="BD47" s="44"/>
    </row>
    <row r="48" spans="1:56" ht="15.75" thickBot="1">
      <c r="B48" s="517"/>
      <c r="C48" s="350"/>
      <c r="D48" s="556"/>
      <c r="E48" s="557"/>
      <c r="F48" s="294"/>
      <c r="G48" s="42"/>
      <c r="H48" s="41"/>
      <c r="I48" s="42"/>
      <c r="J48" s="291" t="s">
        <v>148</v>
      </c>
      <c r="K48" s="324"/>
      <c r="L48" s="294"/>
      <c r="M48" s="294"/>
      <c r="N48" s="294"/>
      <c r="O48" s="294"/>
      <c r="P48" s="12"/>
      <c r="BC48" s="44"/>
      <c r="BD48" s="44"/>
    </row>
    <row r="49" spans="2:57" ht="17.649999999999999" customHeight="1" thickBot="1">
      <c r="B49" s="312" t="s">
        <v>139</v>
      </c>
      <c r="C49" s="313"/>
      <c r="D49" s="550" t="e">
        <f>AVERAGE(D27:E48)</f>
        <v>#DIV/0!</v>
      </c>
      <c r="E49" s="551"/>
      <c r="F49" s="294"/>
      <c r="H49" s="41"/>
      <c r="I49" s="42"/>
      <c r="J49" s="295" t="s">
        <v>134</v>
      </c>
      <c r="K49" s="324"/>
      <c r="L49" s="294"/>
      <c r="M49" s="294"/>
      <c r="N49" s="294"/>
      <c r="O49" s="294"/>
      <c r="P49" s="12"/>
      <c r="BC49" s="44"/>
      <c r="BD49" s="44"/>
    </row>
    <row r="50" spans="2:57" ht="17.649999999999999" customHeight="1">
      <c r="B50" s="363"/>
      <c r="C50" s="364"/>
      <c r="D50" s="365"/>
      <c r="E50" s="365"/>
      <c r="F50" s="294"/>
      <c r="G50" s="42"/>
      <c r="H50" s="41"/>
      <c r="I50" s="42"/>
      <c r="J50" s="295" t="s">
        <v>131</v>
      </c>
      <c r="K50" s="324"/>
      <c r="L50" s="294"/>
      <c r="M50" s="294"/>
      <c r="N50" s="294"/>
      <c r="O50" s="294"/>
      <c r="P50" s="12"/>
      <c r="BC50" s="44"/>
      <c r="BD50" s="44"/>
    </row>
    <row r="51" spans="2:57" ht="15.6" customHeight="1">
      <c r="B51" s="45"/>
      <c r="C51" s="11"/>
      <c r="D51" s="11"/>
      <c r="E51" s="46"/>
      <c r="F51" s="294"/>
      <c r="G51" s="42"/>
      <c r="H51" s="41"/>
      <c r="I51" s="42"/>
      <c r="J51" s="346" t="s">
        <v>130</v>
      </c>
      <c r="K51" s="324">
        <f>SUM(K41:K50)</f>
        <v>8</v>
      </c>
      <c r="L51" s="294"/>
      <c r="M51" s="294"/>
      <c r="N51" s="294"/>
      <c r="O51" s="294"/>
      <c r="P51" s="12"/>
    </row>
    <row r="52" spans="2:57" ht="20.25" customHeight="1">
      <c r="B52" s="15" t="s">
        <v>42</v>
      </c>
      <c r="C52" s="1" t="s">
        <v>43</v>
      </c>
      <c r="D52" s="1"/>
      <c r="E52" s="1"/>
      <c r="F52" s="294"/>
      <c r="G52" s="42"/>
      <c r="H52" s="41"/>
      <c r="I52" s="42"/>
      <c r="L52" s="294"/>
      <c r="N52" s="315"/>
      <c r="P52" s="334"/>
    </row>
    <row r="53" spans="2:57" ht="15" customHeight="1" thickBot="1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1"/>
      <c r="O53" s="48"/>
      <c r="P53" s="49"/>
    </row>
    <row r="54" spans="2:57" ht="15" customHeight="1" thickBot="1">
      <c r="B54" s="480" t="s">
        <v>17</v>
      </c>
      <c r="C54" s="480" t="s">
        <v>44</v>
      </c>
      <c r="D54" s="492" t="s">
        <v>45</v>
      </c>
      <c r="E54" s="494" t="s">
        <v>46</v>
      </c>
      <c r="F54" s="488" t="s">
        <v>47</v>
      </c>
      <c r="G54" s="478" t="s">
        <v>48</v>
      </c>
      <c r="H54" s="480" t="s">
        <v>49</v>
      </c>
      <c r="I54" s="480" t="s">
        <v>50</v>
      </c>
      <c r="J54" s="472" t="s">
        <v>28</v>
      </c>
      <c r="K54" s="484" t="s">
        <v>51</v>
      </c>
      <c r="L54" s="486" t="s">
        <v>52</v>
      </c>
      <c r="M54" s="472" t="s">
        <v>53</v>
      </c>
      <c r="N54" s="13"/>
      <c r="O54" s="13"/>
      <c r="P54" s="50"/>
    </row>
    <row r="55" spans="2:57" ht="28.5" customHeight="1" thickTop="1" thickBot="1">
      <c r="B55" s="481"/>
      <c r="C55" s="481"/>
      <c r="D55" s="493"/>
      <c r="E55" s="495"/>
      <c r="F55" s="489"/>
      <c r="G55" s="479"/>
      <c r="H55" s="549"/>
      <c r="I55" s="549"/>
      <c r="J55" s="473"/>
      <c r="K55" s="485"/>
      <c r="L55" s="487"/>
      <c r="M55" s="473"/>
      <c r="N55" s="13"/>
      <c r="O55" s="13"/>
      <c r="P55" s="50"/>
      <c r="Q55" s="355"/>
      <c r="AB55" s="51">
        <v>43474</v>
      </c>
      <c r="AC55" s="51">
        <v>43475</v>
      </c>
      <c r="AD55" s="51">
        <v>43476</v>
      </c>
      <c r="AE55" s="51">
        <v>43477</v>
      </c>
      <c r="AF55" s="51">
        <v>43478</v>
      </c>
      <c r="AG55" s="51">
        <v>43479</v>
      </c>
      <c r="AH55" s="51">
        <v>43480</v>
      </c>
      <c r="AI55" s="51">
        <v>43481</v>
      </c>
      <c r="AJ55" s="51">
        <v>43482</v>
      </c>
      <c r="AK55" s="51">
        <v>43483</v>
      </c>
      <c r="AL55" s="51">
        <v>43484</v>
      </c>
      <c r="AM55" s="51">
        <v>43485</v>
      </c>
      <c r="AN55" s="51">
        <v>43486</v>
      </c>
      <c r="AO55" s="51">
        <v>43487</v>
      </c>
      <c r="AP55" s="51">
        <v>43488</v>
      </c>
      <c r="AQ55" s="51">
        <v>43489</v>
      </c>
      <c r="AR55" s="51">
        <v>43490</v>
      </c>
      <c r="AS55" s="51">
        <v>43491</v>
      </c>
      <c r="AT55" s="51">
        <v>43492</v>
      </c>
      <c r="AU55" s="51">
        <v>43493</v>
      </c>
      <c r="AV55" s="51">
        <v>43494</v>
      </c>
      <c r="AW55" s="51">
        <v>43495</v>
      </c>
      <c r="AX55" s="51">
        <v>43496</v>
      </c>
    </row>
    <row r="56" spans="2:57" s="54" customFormat="1" ht="59.45" customHeight="1" thickBot="1">
      <c r="B56" s="461" t="str">
        <f>J41</f>
        <v>CARIB</v>
      </c>
      <c r="C56" s="442">
        <v>45902</v>
      </c>
      <c r="D56" s="443">
        <f>[39]September_2025!$E$3</f>
        <v>414</v>
      </c>
      <c r="E56" s="444"/>
      <c r="F56" s="445"/>
      <c r="G56" s="446">
        <f>[39]September_2025!$E$7</f>
        <v>395.5</v>
      </c>
      <c r="H56" s="463"/>
      <c r="I56" s="463"/>
      <c r="J56" s="449" t="s">
        <v>171</v>
      </c>
      <c r="K56" s="450">
        <f>[40]September_2025!$E$18</f>
        <v>0.69385964912280707</v>
      </c>
      <c r="L56" s="464">
        <f>(((D56+E56)-G56)/(D56+E56))*100</f>
        <v>4.4685990338164245</v>
      </c>
      <c r="M56" s="457" t="s">
        <v>170</v>
      </c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[20]January_2019!L7</f>
        <v>285.8</v>
      </c>
      <c r="AC56" s="57">
        <f>[20]January_2019!M7</f>
        <v>508.1</v>
      </c>
      <c r="AD56" s="57">
        <f>[20]January_2019!N7</f>
        <v>0</v>
      </c>
      <c r="AE56" s="57">
        <f>[20]January_2019!O7</f>
        <v>0</v>
      </c>
      <c r="AF56" s="57">
        <f>[20]January_2019!P7</f>
        <v>109.56666666666666</v>
      </c>
      <c r="AG56" s="57">
        <f>[20]January_2019!Q7</f>
        <v>297.64999999999998</v>
      </c>
      <c r="AH56" s="57">
        <f>[20]January_2019!R7</f>
        <v>122.3</v>
      </c>
      <c r="AI56" s="57">
        <f>[20]January_2019!S7</f>
        <v>0</v>
      </c>
      <c r="AJ56" s="57">
        <f>[20]January_2019!T7</f>
        <v>294.7</v>
      </c>
      <c r="AK56" s="57">
        <f>[20]January_2019!U7</f>
        <v>280.5</v>
      </c>
      <c r="AL56" s="57">
        <f>[20]January_2019!V7</f>
        <v>0</v>
      </c>
      <c r="AM56" s="57">
        <f>[20]January_2019!W7</f>
        <v>0</v>
      </c>
      <c r="AN56" s="57">
        <f>[20]January_2019!X7</f>
        <v>188.25</v>
      </c>
      <c r="AO56" s="57">
        <f>[20]January_2019!Y7</f>
        <v>295.7</v>
      </c>
      <c r="AP56" s="57">
        <f>[20]January_2019!Z7</f>
        <v>257.8</v>
      </c>
      <c r="AQ56" s="57">
        <f>[20]January_2019!AA7</f>
        <v>291.2</v>
      </c>
      <c r="AR56" s="57">
        <f>[20]January_2019!AB7</f>
        <v>187</v>
      </c>
      <c r="AS56" s="57">
        <f>[20]January_2019!AC7</f>
        <v>0</v>
      </c>
      <c r="AT56" s="57">
        <f>[20]January_2019!AD7</f>
        <v>0</v>
      </c>
      <c r="AU56" s="57">
        <f>[20]January_2019!AE7</f>
        <v>485.1</v>
      </c>
      <c r="AV56" s="57">
        <f>[20]January_2019!AF7</f>
        <v>171.55</v>
      </c>
      <c r="AW56" s="57">
        <f>[20]January_2019!AG7</f>
        <v>423.8</v>
      </c>
      <c r="AX56" s="277">
        <f>[20]January_2019!AH7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20.45" hidden="1" customHeight="1" thickBot="1">
      <c r="B57" s="459"/>
      <c r="C57" s="431"/>
      <c r="D57" s="432"/>
      <c r="E57" s="433"/>
      <c r="F57" s="434"/>
      <c r="G57" s="435"/>
      <c r="H57" s="429"/>
      <c r="I57" s="429"/>
      <c r="J57" s="452"/>
      <c r="K57" s="437"/>
      <c r="L57" s="453"/>
      <c r="M57" s="422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59.45" hidden="1" customHeight="1" thickBot="1">
      <c r="B58" s="460"/>
      <c r="C58" s="442"/>
      <c r="D58" s="443"/>
      <c r="E58" s="444"/>
      <c r="F58" s="445"/>
      <c r="G58" s="446"/>
      <c r="H58" s="429"/>
      <c r="I58" s="429"/>
      <c r="J58" s="449"/>
      <c r="K58" s="450"/>
      <c r="L58" s="458"/>
      <c r="M58" s="457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5" hidden="1">
      <c r="B59" s="454"/>
      <c r="C59" s="431"/>
      <c r="D59" s="432"/>
      <c r="E59" s="433"/>
      <c r="F59" s="434"/>
      <c r="G59" s="435"/>
      <c r="H59" s="436"/>
      <c r="I59" s="451"/>
      <c r="J59" s="452"/>
      <c r="K59" s="437"/>
      <c r="L59" s="453"/>
      <c r="M59" s="422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6.6" hidden="1" customHeight="1" thickBot="1">
      <c r="B60" s="387"/>
      <c r="C60" s="442"/>
      <c r="D60" s="443"/>
      <c r="E60" s="444"/>
      <c r="F60" s="445"/>
      <c r="G60" s="446"/>
      <c r="H60" s="447"/>
      <c r="I60" s="448"/>
      <c r="J60" s="449" t="s">
        <v>163</v>
      </c>
      <c r="K60" s="450"/>
      <c r="L60" s="455" t="e">
        <f>(((D60+E60)-G60)/(D60+E60))*100</f>
        <v>#DIV/0!</v>
      </c>
      <c r="M60" s="456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6.5" hidden="1" customHeight="1" thickBot="1">
      <c r="B61" s="438"/>
      <c r="C61" s="424"/>
      <c r="D61" s="425"/>
      <c r="E61" s="426"/>
      <c r="F61" s="427"/>
      <c r="G61" s="428"/>
      <c r="H61" s="429"/>
      <c r="I61" s="439"/>
      <c r="J61" s="440"/>
      <c r="K61" s="430"/>
      <c r="L61" s="441"/>
      <c r="M61" s="423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415"/>
      <c r="AC61" s="415"/>
      <c r="AD61" s="415"/>
      <c r="AE61" s="415"/>
      <c r="AF61" s="415"/>
      <c r="AG61" s="415"/>
      <c r="AH61" s="415"/>
      <c r="AI61" s="415"/>
      <c r="AJ61" s="415"/>
      <c r="AK61" s="415"/>
      <c r="AL61" s="415"/>
      <c r="AM61" s="415"/>
      <c r="AN61" s="415"/>
      <c r="AO61" s="415"/>
      <c r="AP61" s="415"/>
      <c r="AQ61" s="415"/>
      <c r="AR61" s="415"/>
      <c r="AS61" s="415"/>
      <c r="AT61" s="415"/>
      <c r="AU61" s="415"/>
      <c r="AV61" s="415"/>
      <c r="AW61" s="415"/>
    </row>
    <row r="62" spans="2:57" ht="18" customHeight="1" thickBot="1">
      <c r="B62" s="59"/>
      <c r="C62" s="30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 t="s">
        <v>41</v>
      </c>
      <c r="O62" s="56"/>
      <c r="P62" s="60"/>
    </row>
    <row r="63" spans="2:57" ht="15.75" thickBot="1">
      <c r="B63" s="474" t="s">
        <v>55</v>
      </c>
      <c r="C63" s="475"/>
      <c r="D63" s="475"/>
      <c r="E63" s="475"/>
      <c r="F63" s="476"/>
      <c r="G63" s="474" t="s">
        <v>56</v>
      </c>
      <c r="H63" s="475"/>
      <c r="I63" s="475"/>
      <c r="J63" s="476"/>
      <c r="K63" s="474" t="s">
        <v>51</v>
      </c>
      <c r="L63" s="475"/>
      <c r="M63" s="475"/>
      <c r="N63" s="477"/>
      <c r="O63" s="56"/>
      <c r="P63" s="50"/>
    </row>
    <row r="64" spans="2:57" ht="15">
      <c r="B64" s="61" t="s">
        <v>17</v>
      </c>
      <c r="C64" s="62" t="s">
        <v>36</v>
      </c>
      <c r="D64" s="62" t="s">
        <v>37</v>
      </c>
      <c r="E64" s="62" t="s">
        <v>38</v>
      </c>
      <c r="F64" s="63" t="s">
        <v>39</v>
      </c>
      <c r="G64" s="62" t="s">
        <v>36</v>
      </c>
      <c r="H64" s="62" t="s">
        <v>37</v>
      </c>
      <c r="I64" s="62" t="s">
        <v>38</v>
      </c>
      <c r="J64" s="63" t="s">
        <v>39</v>
      </c>
      <c r="K64" s="62" t="s">
        <v>36</v>
      </c>
      <c r="L64" s="62" t="s">
        <v>37</v>
      </c>
      <c r="M64" s="62" t="s">
        <v>38</v>
      </c>
      <c r="N64" s="63" t="s">
        <v>39</v>
      </c>
      <c r="O64" s="56"/>
      <c r="P64" s="64"/>
    </row>
    <row r="65" spans="2:16" ht="15">
      <c r="B65" s="29" t="s">
        <v>6</v>
      </c>
      <c r="C65" s="65">
        <f>L56</f>
        <v>4.4685990338164245</v>
      </c>
      <c r="D65" s="76"/>
      <c r="E65" s="76"/>
      <c r="F65" s="66">
        <v>4.8</v>
      </c>
      <c r="G65" s="65">
        <f>[39]September_2025!$E$11</f>
        <v>5.3257323214412473</v>
      </c>
      <c r="H65" s="76"/>
      <c r="I65" s="76"/>
      <c r="J65" s="66">
        <v>4.8</v>
      </c>
      <c r="K65" s="67">
        <f>K56</f>
        <v>0.69385964912280707</v>
      </c>
      <c r="L65" s="194"/>
      <c r="M65" s="194"/>
      <c r="N65" s="68">
        <v>1</v>
      </c>
      <c r="O65" s="56"/>
      <c r="P65" s="69"/>
    </row>
    <row r="66" spans="2:16" ht="15">
      <c r="B66" s="33" t="s">
        <v>9</v>
      </c>
      <c r="C66" s="65"/>
      <c r="D66" s="76"/>
      <c r="E66" s="76"/>
      <c r="F66" s="66">
        <v>4.8</v>
      </c>
      <c r="G66" s="65"/>
      <c r="H66" s="76"/>
      <c r="I66" s="76"/>
      <c r="J66" s="66">
        <v>4.8</v>
      </c>
      <c r="K66" s="67"/>
      <c r="L66" s="194"/>
      <c r="M66" s="194"/>
      <c r="N66" s="68">
        <v>1</v>
      </c>
      <c r="P66" s="69"/>
    </row>
    <row r="67" spans="2:16" ht="15">
      <c r="B67" s="34" t="s">
        <v>40</v>
      </c>
      <c r="C67" s="65"/>
      <c r="D67" s="76"/>
      <c r="E67" s="76"/>
      <c r="F67" s="66">
        <v>5.5</v>
      </c>
      <c r="G67" s="65"/>
      <c r="H67" s="76"/>
      <c r="I67" s="76"/>
      <c r="J67" s="66">
        <v>5.5</v>
      </c>
      <c r="K67" s="67"/>
      <c r="L67" s="194"/>
      <c r="M67" s="194"/>
      <c r="N67" s="68">
        <v>1</v>
      </c>
      <c r="P67" s="69"/>
    </row>
    <row r="68" spans="2:16" ht="15">
      <c r="B68" s="22" t="s">
        <v>33</v>
      </c>
      <c r="C68" s="65"/>
      <c r="D68" s="76"/>
      <c r="E68" s="76"/>
      <c r="F68" s="66">
        <v>3.3</v>
      </c>
      <c r="G68" s="65"/>
      <c r="H68" s="76"/>
      <c r="I68" s="76"/>
      <c r="J68" s="66">
        <v>3.3</v>
      </c>
      <c r="K68" s="67"/>
      <c r="L68" s="194"/>
      <c r="M68" s="194"/>
      <c r="N68" s="68">
        <v>1</v>
      </c>
      <c r="P68" s="69"/>
    </row>
    <row r="69" spans="2:16" ht="15">
      <c r="B69" s="35" t="s">
        <v>165</v>
      </c>
      <c r="C69" s="65"/>
      <c r="D69" s="76"/>
      <c r="E69" s="76"/>
      <c r="F69" s="66">
        <v>3.3</v>
      </c>
      <c r="G69" s="282"/>
      <c r="H69" s="76"/>
      <c r="I69" s="76"/>
      <c r="J69" s="66">
        <v>3</v>
      </c>
      <c r="K69" s="67"/>
      <c r="L69" s="194"/>
      <c r="M69" s="194"/>
      <c r="N69" s="68">
        <v>1</v>
      </c>
      <c r="P69" s="69"/>
    </row>
    <row r="70" spans="2:16" ht="15">
      <c r="B70" s="36" t="s">
        <v>15</v>
      </c>
      <c r="C70" s="65"/>
      <c r="D70" s="76"/>
      <c r="E70" s="76"/>
      <c r="F70" s="70">
        <f>[21]May_2022!$M$43</f>
        <v>3.4878406700073312</v>
      </c>
      <c r="G70" s="282"/>
      <c r="H70" s="76"/>
      <c r="I70" s="76"/>
      <c r="J70" s="66">
        <v>5.5</v>
      </c>
      <c r="K70" s="67"/>
      <c r="L70" s="194"/>
      <c r="M70" s="194"/>
      <c r="N70" s="68">
        <v>1</v>
      </c>
      <c r="P70" s="69"/>
    </row>
    <row r="71" spans="2:16" ht="15">
      <c r="B71" s="37" t="s">
        <v>16</v>
      </c>
      <c r="C71" s="65"/>
      <c r="D71" s="76"/>
      <c r="E71" s="76"/>
      <c r="F71" s="66">
        <v>3.3</v>
      </c>
      <c r="G71" s="282"/>
      <c r="H71" s="76"/>
      <c r="I71" s="76"/>
      <c r="J71" s="66">
        <v>3.3</v>
      </c>
      <c r="K71" s="67"/>
      <c r="L71" s="194"/>
      <c r="M71" s="194"/>
      <c r="N71" s="71">
        <v>1</v>
      </c>
      <c r="P71" s="69"/>
    </row>
    <row r="72" spans="2:16" ht="15.75" thickBot="1">
      <c r="B72" s="38" t="s">
        <v>164</v>
      </c>
      <c r="C72" s="65"/>
      <c r="D72" s="76"/>
      <c r="E72" s="76"/>
      <c r="F72" s="66">
        <v>7.5</v>
      </c>
      <c r="G72" s="282"/>
      <c r="H72" s="76"/>
      <c r="I72" s="76"/>
      <c r="J72" s="66">
        <v>7.5</v>
      </c>
      <c r="K72" s="67"/>
      <c r="M72" s="194"/>
      <c r="N72" s="71">
        <v>1</v>
      </c>
      <c r="P72" s="69"/>
    </row>
    <row r="73" spans="2:16" ht="15.75" thickBot="1">
      <c r="B73" s="414" t="s">
        <v>161</v>
      </c>
      <c r="C73" s="65"/>
      <c r="D73" s="76"/>
      <c r="E73" s="76"/>
      <c r="F73" s="66">
        <v>4.8</v>
      </c>
      <c r="G73" s="282"/>
      <c r="H73" s="76"/>
      <c r="I73" s="76"/>
      <c r="J73" s="66">
        <v>4.8</v>
      </c>
      <c r="K73" s="67"/>
      <c r="L73" s="194"/>
      <c r="M73" s="194"/>
      <c r="N73" s="71">
        <v>1</v>
      </c>
      <c r="O73" s="74"/>
      <c r="P73" s="75"/>
    </row>
    <row r="74" spans="2:16" ht="15">
      <c r="D74" s="76"/>
      <c r="E74" s="76"/>
      <c r="F74" s="341">
        <v>5.5</v>
      </c>
      <c r="H74" s="76"/>
      <c r="I74" s="76"/>
      <c r="J74" s="341">
        <v>5.5</v>
      </c>
      <c r="L74" s="194"/>
      <c r="M74" s="194"/>
      <c r="N74" s="386">
        <v>1</v>
      </c>
    </row>
    <row r="78" spans="2:16">
      <c r="F78" s="315"/>
    </row>
    <row r="79" spans="2:16" ht="15">
      <c r="F79" s="341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5:N25"/>
    <mergeCell ref="D26:E26"/>
    <mergeCell ref="B27:B38"/>
    <mergeCell ref="D27:E28"/>
    <mergeCell ref="D29:E30"/>
    <mergeCell ref="D31:E32"/>
    <mergeCell ref="D33:E34"/>
    <mergeCell ref="D35:E36"/>
    <mergeCell ref="D37:E38"/>
    <mergeCell ref="B39:B48"/>
    <mergeCell ref="D39:E40"/>
    <mergeCell ref="J39:K39"/>
    <mergeCell ref="L40:N40"/>
    <mergeCell ref="D41:E42"/>
    <mergeCell ref="D43:E44"/>
    <mergeCell ref="D45:E46"/>
    <mergeCell ref="D47:E48"/>
    <mergeCell ref="D49:E49"/>
    <mergeCell ref="B54:B55"/>
    <mergeCell ref="C54:C55"/>
    <mergeCell ref="D54:D55"/>
    <mergeCell ref="E54:E55"/>
    <mergeCell ref="M54:M55"/>
    <mergeCell ref="B63:F63"/>
    <mergeCell ref="G63:J63"/>
    <mergeCell ref="K63:N63"/>
    <mergeCell ref="G54:G55"/>
    <mergeCell ref="H54:H55"/>
    <mergeCell ref="I54:I55"/>
    <mergeCell ref="J54:J55"/>
    <mergeCell ref="K54:K55"/>
    <mergeCell ref="L54:L55"/>
    <mergeCell ref="F54:F55"/>
  </mergeCells>
  <conditionalFormatting sqref="B49:B50">
    <cfRule type="cellIs" dxfId="3365" priority="133" operator="notBetween">
      <formula>#REF!</formula>
      <formula>#REF!</formula>
    </cfRule>
  </conditionalFormatting>
  <conditionalFormatting sqref="C53">
    <cfRule type="cellIs" dxfId="3364" priority="165" stopIfTrue="1" operator="greaterThan">
      <formula>100</formula>
    </cfRule>
    <cfRule type="cellIs" dxfId="3363" priority="164" stopIfTrue="1" operator="lessThan">
      <formula>96</formula>
    </cfRule>
  </conditionalFormatting>
  <conditionalFormatting sqref="C65:C66">
    <cfRule type="cellIs" dxfId="3362" priority="170" stopIfTrue="1" operator="greaterThan">
      <formula>$F66</formula>
    </cfRule>
    <cfRule type="cellIs" dxfId="3361" priority="168" stopIfTrue="1" operator="greaterThan">
      <formula>$F65</formula>
    </cfRule>
  </conditionalFormatting>
  <conditionalFormatting sqref="C65:C69">
    <cfRule type="cellIs" dxfId="3360" priority="114" stopIfTrue="1" operator="lessThanOrEqual">
      <formula>0</formula>
    </cfRule>
  </conditionalFormatting>
  <conditionalFormatting sqref="C66:C73">
    <cfRule type="cellIs" dxfId="3359" priority="113" stopIfTrue="1" operator="greaterThan">
      <formula>$F66</formula>
    </cfRule>
  </conditionalFormatting>
  <conditionalFormatting sqref="C70">
    <cfRule type="cellIs" dxfId="3358" priority="37" stopIfTrue="1" operator="lessThanOrEqual">
      <formula>0</formula>
    </cfRule>
    <cfRule type="cellIs" dxfId="3357" priority="38" stopIfTrue="1" operator="greaterThan">
      <formula>$F69</formula>
    </cfRule>
  </conditionalFormatting>
  <conditionalFormatting sqref="C76:C80">
    <cfRule type="cellIs" dxfId="3356" priority="156" stopIfTrue="1" operator="lessThanOrEqual">
      <formula>0</formula>
    </cfRule>
  </conditionalFormatting>
  <conditionalFormatting sqref="C77:C80">
    <cfRule type="cellIs" dxfId="3355" priority="155" stopIfTrue="1" operator="greaterThan">
      <formula>$F$76</formula>
    </cfRule>
  </conditionalFormatting>
  <conditionalFormatting sqref="C82">
    <cfRule type="cellIs" dxfId="3354" priority="158" stopIfTrue="1" operator="lessThanOrEqual">
      <formula>0</formula>
    </cfRule>
    <cfRule type="cellIs" dxfId="3353" priority="157" stopIfTrue="1" operator="greaterThan">
      <formula>$F$76</formula>
    </cfRule>
  </conditionalFormatting>
  <conditionalFormatting sqref="C76:D76 D78:D84">
    <cfRule type="cellIs" dxfId="3352" priority="150" stopIfTrue="1" operator="greaterThan">
      <formula>4.5</formula>
    </cfRule>
  </conditionalFormatting>
  <conditionalFormatting sqref="D49:D50">
    <cfRule type="cellIs" dxfId="3351" priority="134" operator="notBetween">
      <formula>#REF!</formula>
      <formula>#REF!</formula>
    </cfRule>
  </conditionalFormatting>
  <conditionalFormatting sqref="D65:D72">
    <cfRule type="cellIs" dxfId="3350" priority="128" stopIfTrue="1" operator="lessThanOrEqual">
      <formula>0</formula>
    </cfRule>
  </conditionalFormatting>
  <conditionalFormatting sqref="D73">
    <cfRule type="cellIs" dxfId="3349" priority="127" stopIfTrue="1" operator="lessThanOrEqual">
      <formula>0</formula>
    </cfRule>
  </conditionalFormatting>
  <conditionalFormatting sqref="D76 D78:D84">
    <cfRule type="cellIs" dxfId="3348" priority="151" stopIfTrue="1" operator="lessThanOrEqual">
      <formula>0</formula>
    </cfRule>
  </conditionalFormatting>
  <conditionalFormatting sqref="D77">
    <cfRule type="cellIs" dxfId="3347" priority="143" stopIfTrue="1" operator="lessThanOrEqual">
      <formula>0</formula>
    </cfRule>
    <cfRule type="cellIs" dxfId="3346" priority="142" stopIfTrue="1" operator="greaterThan">
      <formula>$F$76</formula>
    </cfRule>
  </conditionalFormatting>
  <conditionalFormatting sqref="D65:E74">
    <cfRule type="cellIs" dxfId="3345" priority="111" stopIfTrue="1" operator="greaterThan">
      <formula>$F65</formula>
    </cfRule>
  </conditionalFormatting>
  <conditionalFormatting sqref="D74:E74">
    <cfRule type="cellIs" dxfId="3344" priority="112" stopIfTrue="1" operator="lessThanOrEqual">
      <formula>0</formula>
    </cfRule>
  </conditionalFormatting>
  <conditionalFormatting sqref="E10:E24">
    <cfRule type="cellIs" dxfId="3343" priority="3" operator="lessThan">
      <formula>48</formula>
    </cfRule>
  </conditionalFormatting>
  <conditionalFormatting sqref="E52 E53:F53">
    <cfRule type="cellIs" dxfId="3342" priority="147" stopIfTrue="1" operator="greaterThan">
      <formula>100</formula>
    </cfRule>
  </conditionalFormatting>
  <conditionalFormatting sqref="E53">
    <cfRule type="cellIs" dxfId="3341" priority="145" stopIfTrue="1" operator="greaterThan">
      <formula>100</formula>
    </cfRule>
    <cfRule type="cellIs" dxfId="3340" priority="144" stopIfTrue="1" operator="lessThan">
      <formula>96.8</formula>
    </cfRule>
  </conditionalFormatting>
  <conditionalFormatting sqref="E65:E73">
    <cfRule type="cellIs" dxfId="3339" priority="122" stopIfTrue="1" operator="lessThanOrEqual">
      <formula>0</formula>
    </cfRule>
  </conditionalFormatting>
  <conditionalFormatting sqref="E76:E84">
    <cfRule type="cellIs" dxfId="3338" priority="137" stopIfTrue="1" operator="lessThanOrEqual">
      <formula>0</formula>
    </cfRule>
    <cfRule type="cellIs" dxfId="3337" priority="136" stopIfTrue="1" operator="greaterThan">
      <formula>4.5</formula>
    </cfRule>
  </conditionalFormatting>
  <conditionalFormatting sqref="E53:F53 E52">
    <cfRule type="cellIs" dxfId="3336" priority="146" stopIfTrue="1" operator="lessThan">
      <formula>96.5</formula>
    </cfRule>
  </conditionalFormatting>
  <conditionalFormatting sqref="F16:F18 F22:F23">
    <cfRule type="cellIs" dxfId="3335" priority="21" operator="greaterThan">
      <formula>60</formula>
    </cfRule>
  </conditionalFormatting>
  <conditionalFormatting sqref="F53">
    <cfRule type="cellIs" dxfId="3334" priority="163" stopIfTrue="1" operator="greaterThan">
      <formula>100</formula>
    </cfRule>
    <cfRule type="cellIs" dxfId="3333" priority="162" stopIfTrue="1" operator="lessThan">
      <formula>96.8</formula>
    </cfRule>
  </conditionalFormatting>
  <conditionalFormatting sqref="F74">
    <cfRule type="cellIs" dxfId="3332" priority="124" stopIfTrue="1" operator="lessThanOrEqual">
      <formula>0</formula>
    </cfRule>
    <cfRule type="cellIs" dxfId="3331" priority="123" stopIfTrue="1" operator="greaterThan">
      <formula>$F74</formula>
    </cfRule>
  </conditionalFormatting>
  <conditionalFormatting sqref="F79">
    <cfRule type="cellIs" dxfId="3330" priority="81" stopIfTrue="1" operator="greaterThan">
      <formula>$F79</formula>
    </cfRule>
    <cfRule type="cellIs" dxfId="3329" priority="82" stopIfTrue="1" operator="lessThanOrEqual">
      <formula>0</formula>
    </cfRule>
  </conditionalFormatting>
  <conditionalFormatting sqref="G10:G21">
    <cfRule type="expression" dxfId="3328" priority="18">
      <formula>IF(+(IF(G10&lt;S10,0,IF(G10&gt;T10,0,1)))=0,1)</formula>
    </cfRule>
  </conditionalFormatting>
  <conditionalFormatting sqref="G24">
    <cfRule type="expression" dxfId="3327" priority="15">
      <formula>IF(+(IF(G24&lt;S24,0,IF(G24&gt;T24,0,1)))=0,1)</formula>
    </cfRule>
  </conditionalFormatting>
  <conditionalFormatting sqref="G65:G66 C71:C73">
    <cfRule type="cellIs" dxfId="3326" priority="130" stopIfTrue="1" operator="lessThanOrEqual">
      <formula>0</formula>
    </cfRule>
  </conditionalFormatting>
  <conditionalFormatting sqref="G65:G66">
    <cfRule type="cellIs" dxfId="3325" priority="116" stopIfTrue="1" operator="lessThanOrEqual">
      <formula>0</formula>
    </cfRule>
    <cfRule type="cellIs" dxfId="3324" priority="115" stopIfTrue="1" operator="greaterThan">
      <formula>$F65</formula>
    </cfRule>
    <cfRule type="cellIs" dxfId="3323" priority="129" stopIfTrue="1" operator="greaterThan">
      <formula>$F65</formula>
    </cfRule>
  </conditionalFormatting>
  <conditionalFormatting sqref="G67">
    <cfRule type="cellIs" dxfId="3322" priority="167" stopIfTrue="1" operator="lessThanOrEqual">
      <formula>0</formula>
    </cfRule>
    <cfRule type="cellIs" dxfId="3321" priority="166" stopIfTrue="1" operator="greaterThan">
      <formula>$F66</formula>
    </cfRule>
  </conditionalFormatting>
  <conditionalFormatting sqref="G68">
    <cfRule type="cellIs" dxfId="3320" priority="126" stopIfTrue="1" operator="lessThanOrEqual">
      <formula>0</formula>
    </cfRule>
    <cfRule type="cellIs" dxfId="3319" priority="125" stopIfTrue="1" operator="greaterThan">
      <formula>$F68</formula>
    </cfRule>
  </conditionalFormatting>
  <conditionalFormatting sqref="G69:G73">
    <cfRule type="cellIs" dxfId="3318" priority="132" stopIfTrue="1" operator="lessThanOrEqual">
      <formula>0</formula>
    </cfRule>
    <cfRule type="cellIs" dxfId="3317" priority="131" stopIfTrue="1" operator="greaterThan">
      <formula>$J69</formula>
    </cfRule>
  </conditionalFormatting>
  <conditionalFormatting sqref="G78:G83 C81 C83">
    <cfRule type="cellIs" dxfId="3316" priority="160" stopIfTrue="1" operator="lessThanOrEqual">
      <formula>0</formula>
    </cfRule>
    <cfRule type="cellIs" dxfId="3315" priority="159" stopIfTrue="1" operator="greaterThan">
      <formula>4.5</formula>
    </cfRule>
  </conditionalFormatting>
  <conditionalFormatting sqref="G77:H77">
    <cfRule type="cellIs" dxfId="3314" priority="140" stopIfTrue="1" operator="greaterThan">
      <formula>$F$76</formula>
    </cfRule>
    <cfRule type="cellIs" dxfId="3313" priority="141" stopIfTrue="1" operator="lessThanOrEqual">
      <formula>0</formula>
    </cfRule>
  </conditionalFormatting>
  <conditionalFormatting sqref="H10:H21 G22:H23">
    <cfRule type="expression" dxfId="3312" priority="36">
      <formula>IF(+(IF(G10&lt;#REF!,0,IF(G10&gt;#REF!,0,1)))=0,1)</formula>
    </cfRule>
  </conditionalFormatting>
  <conditionalFormatting sqref="H24">
    <cfRule type="expression" dxfId="3311" priority="16">
      <formula>IF(+(IF(H24&lt;#REF!,0,IF(H24&gt;#REF!,0,1)))=0,1)</formula>
    </cfRule>
  </conditionalFormatting>
  <conditionalFormatting sqref="H38:H52">
    <cfRule type="cellIs" dxfId="3310" priority="138" stopIfTrue="1" operator="greaterThan">
      <formula>0</formula>
    </cfRule>
  </conditionalFormatting>
  <conditionalFormatting sqref="H56">
    <cfRule type="cellIs" dxfId="3309" priority="40" stopIfTrue="1" operator="lessThanOrEqual">
      <formula>0</formula>
    </cfRule>
    <cfRule type="cellIs" dxfId="3308" priority="41" stopIfTrue="1" operator="greaterThan">
      <formula>#REF!</formula>
    </cfRule>
    <cfRule type="cellIs" dxfId="3307" priority="52" stopIfTrue="1" operator="lessThanOrEqual">
      <formula>0</formula>
    </cfRule>
    <cfRule type="cellIs" dxfId="3306" priority="51" stopIfTrue="1" operator="greaterThan">
      <formula>#REF!</formula>
    </cfRule>
    <cfRule type="cellIs" dxfId="3305" priority="50" stopIfTrue="1" operator="lessThanOrEqual">
      <formula>0</formula>
    </cfRule>
    <cfRule type="cellIs" dxfId="3304" priority="49" stopIfTrue="1" operator="greaterThan">
      <formula>$F$16</formula>
    </cfRule>
  </conditionalFormatting>
  <conditionalFormatting sqref="H57">
    <cfRule type="cellIs" dxfId="3303" priority="77" stopIfTrue="1" operator="greaterThan">
      <formula>$F$25</formula>
    </cfRule>
    <cfRule type="cellIs" dxfId="3302" priority="68" stopIfTrue="1" operator="lessThanOrEqual">
      <formula>0</formula>
    </cfRule>
    <cfRule type="cellIs" dxfId="3301" priority="69" stopIfTrue="1" operator="greaterThan">
      <formula>#REF!</formula>
    </cfRule>
    <cfRule type="cellIs" dxfId="3300" priority="79" stopIfTrue="1" operator="greaterThan">
      <formula>$F$16</formula>
    </cfRule>
    <cfRule type="cellIs" dxfId="3299" priority="80" stopIfTrue="1" operator="lessThanOrEqual">
      <formula>0</formula>
    </cfRule>
    <cfRule type="cellIs" dxfId="3298" priority="78" stopIfTrue="1" operator="lessThanOrEqual">
      <formula>0</formula>
    </cfRule>
  </conditionalFormatting>
  <conditionalFormatting sqref="H58">
    <cfRule type="cellIs" dxfId="3297" priority="23" stopIfTrue="1" operator="lessThanOrEqual">
      <formula>0</formula>
    </cfRule>
    <cfRule type="cellIs" dxfId="3296" priority="24" stopIfTrue="1" operator="greaterThan">
      <formula>$F$43</formula>
    </cfRule>
    <cfRule type="cellIs" dxfId="3295" priority="34" stopIfTrue="1" operator="greaterThan">
      <formula>$F$44</formula>
    </cfRule>
    <cfRule type="cellIs" dxfId="3294" priority="35" stopIfTrue="1" operator="lessThanOrEqual">
      <formula>0</formula>
    </cfRule>
    <cfRule type="cellIs" dxfId="3293" priority="33" stopIfTrue="1" operator="lessThanOrEqual">
      <formula>0</formula>
    </cfRule>
    <cfRule type="cellIs" dxfId="3292" priority="32" stopIfTrue="1" operator="greaterThan">
      <formula>$F$46</formula>
    </cfRule>
  </conditionalFormatting>
  <conditionalFormatting sqref="H59:H60">
    <cfRule type="cellIs" dxfId="3291" priority="64" stopIfTrue="1" operator="lessThanOrEqual">
      <formula>0</formula>
    </cfRule>
    <cfRule type="cellIs" dxfId="3290" priority="55" stopIfTrue="1" operator="greaterThan">
      <formula>#REF!</formula>
    </cfRule>
    <cfRule type="cellIs" dxfId="3289" priority="54" stopIfTrue="1" operator="lessThanOrEqual">
      <formula>0</formula>
    </cfRule>
    <cfRule type="cellIs" dxfId="3288" priority="63" stopIfTrue="1" operator="greaterThan">
      <formula>$F$24</formula>
    </cfRule>
    <cfRule type="cellIs" dxfId="3287" priority="65" stopIfTrue="1" operator="greaterThan">
      <formula>#REF!</formula>
    </cfRule>
    <cfRule type="cellIs" dxfId="3286" priority="66" stopIfTrue="1" operator="lessThanOrEqual">
      <formula>0</formula>
    </cfRule>
  </conditionalFormatting>
  <conditionalFormatting sqref="H61">
    <cfRule type="cellIs" dxfId="3285" priority="95" stopIfTrue="1" operator="lessThanOrEqual">
      <formula>0</formula>
    </cfRule>
    <cfRule type="cellIs" dxfId="3284" priority="94" stopIfTrue="1" operator="greaterThan">
      <formula>$F$40</formula>
    </cfRule>
    <cfRule type="cellIs" dxfId="3283" priority="85" stopIfTrue="1" operator="lessThanOrEqual">
      <formula>0</formula>
    </cfRule>
    <cfRule type="cellIs" dxfId="3282" priority="86" stopIfTrue="1" operator="greaterThan">
      <formula>$F$37</formula>
    </cfRule>
    <cfRule type="cellIs" dxfId="3281" priority="96" stopIfTrue="1" operator="greaterThan">
      <formula>$F$38</formula>
    </cfRule>
    <cfRule type="cellIs" dxfId="3280" priority="97" stopIfTrue="1" operator="lessThanOrEqual">
      <formula>0</formula>
    </cfRule>
  </conditionalFormatting>
  <conditionalFormatting sqref="H65:H72">
    <cfRule type="cellIs" dxfId="3279" priority="118" stopIfTrue="1" operator="lessThanOrEqual">
      <formula>0</formula>
    </cfRule>
    <cfRule type="cellIs" dxfId="3278" priority="117" stopIfTrue="1" operator="greaterThan">
      <formula>$J65</formula>
    </cfRule>
  </conditionalFormatting>
  <conditionalFormatting sqref="H73">
    <cfRule type="cellIs" dxfId="3277" priority="119" operator="greaterThan">
      <formula>5.3</formula>
    </cfRule>
  </conditionalFormatting>
  <conditionalFormatting sqref="H76 H78:H84">
    <cfRule type="cellIs" dxfId="3276" priority="153" stopIfTrue="1" operator="lessThanOrEqual">
      <formula>0</formula>
    </cfRule>
    <cfRule type="cellIs" dxfId="3275" priority="152" stopIfTrue="1" operator="greaterThan">
      <formula>4.5</formula>
    </cfRule>
  </conditionalFormatting>
  <conditionalFormatting sqref="H56:I56">
    <cfRule type="cellIs" dxfId="3274" priority="42" stopIfTrue="1" operator="lessThanOrEqual">
      <formula>0</formula>
    </cfRule>
    <cfRule type="cellIs" dxfId="3273" priority="39" stopIfTrue="1" operator="greaterThan">
      <formula>#REF!</formula>
    </cfRule>
  </conditionalFormatting>
  <conditionalFormatting sqref="H57:I57">
    <cfRule type="cellIs" dxfId="3272" priority="70" stopIfTrue="1" operator="lessThanOrEqual">
      <formula>0</formula>
    </cfRule>
    <cfRule type="cellIs" dxfId="3271" priority="67" stopIfTrue="1" operator="greaterThan">
      <formula>$F$24</formula>
    </cfRule>
  </conditionalFormatting>
  <conditionalFormatting sqref="H58:I58">
    <cfRule type="cellIs" dxfId="3270" priority="25" stopIfTrue="1" operator="lessThanOrEqual">
      <formula>0</formula>
    </cfRule>
    <cfRule type="cellIs" dxfId="3269" priority="22" stopIfTrue="1" operator="greaterThan">
      <formula>$F$45</formula>
    </cfRule>
  </conditionalFormatting>
  <conditionalFormatting sqref="H59:I60">
    <cfRule type="cellIs" dxfId="3268" priority="53" stopIfTrue="1" operator="greaterThan">
      <formula>$F$16</formula>
    </cfRule>
    <cfRule type="cellIs" dxfId="3267" priority="56" stopIfTrue="1" operator="lessThanOrEqual">
      <formula>0</formula>
    </cfRule>
  </conditionalFormatting>
  <conditionalFormatting sqref="H61:I61">
    <cfRule type="cellIs" dxfId="3266" priority="84" stopIfTrue="1" operator="greaterThan">
      <formula>$F$39</formula>
    </cfRule>
    <cfRule type="cellIs" dxfId="3265" priority="87" stopIfTrue="1" operator="lessThanOrEqual">
      <formula>0</formula>
    </cfRule>
  </conditionalFormatting>
  <conditionalFormatting sqref="H74:I74">
    <cfRule type="cellIs" dxfId="3264" priority="109" stopIfTrue="1" operator="greaterThan">
      <formula>$J74</formula>
    </cfRule>
    <cfRule type="cellIs" dxfId="3263" priority="110" stopIfTrue="1" operator="lessThanOrEqual">
      <formula>0</formula>
    </cfRule>
  </conditionalFormatting>
  <conditionalFormatting sqref="I56">
    <cfRule type="cellIs" dxfId="3262" priority="44" stopIfTrue="1" operator="lessThanOrEqual">
      <formula>0</formula>
    </cfRule>
    <cfRule type="cellIs" dxfId="3261" priority="46" stopIfTrue="1" operator="lessThanOrEqual">
      <formula>0</formula>
    </cfRule>
    <cfRule type="cellIs" dxfId="3260" priority="47" stopIfTrue="1" operator="greaterThan">
      <formula>#REF!</formula>
    </cfRule>
    <cfRule type="cellIs" dxfId="3259" priority="48" stopIfTrue="1" operator="lessThanOrEqual">
      <formula>0</formula>
    </cfRule>
    <cfRule type="cellIs" dxfId="3258" priority="45" stopIfTrue="1" operator="greaterThan">
      <formula>#REF!</formula>
    </cfRule>
    <cfRule type="cellIs" dxfId="3257" priority="43" stopIfTrue="1" operator="greaterThan">
      <formula>#REF!</formula>
    </cfRule>
  </conditionalFormatting>
  <conditionalFormatting sqref="I57">
    <cfRule type="cellIs" dxfId="3256" priority="71" stopIfTrue="1" operator="greaterThan">
      <formula>#REF!</formula>
    </cfRule>
    <cfRule type="cellIs" dxfId="3255" priority="72" stopIfTrue="1" operator="lessThanOrEqual">
      <formula>0</formula>
    </cfRule>
    <cfRule type="cellIs" dxfId="3254" priority="73" stopIfTrue="1" operator="greaterThan">
      <formula>$F$24</formula>
    </cfRule>
    <cfRule type="cellIs" dxfId="3253" priority="74" stopIfTrue="1" operator="lessThanOrEqual">
      <formula>0</formula>
    </cfRule>
    <cfRule type="cellIs" dxfId="3252" priority="75" stopIfTrue="1" operator="greaterThan">
      <formula>#REF!</formula>
    </cfRule>
    <cfRule type="cellIs" dxfId="3251" priority="76" stopIfTrue="1" operator="lessThanOrEqual">
      <formula>0</formula>
    </cfRule>
  </conditionalFormatting>
  <conditionalFormatting sqref="I58">
    <cfRule type="cellIs" dxfId="3250" priority="31" stopIfTrue="1" operator="lessThanOrEqual">
      <formula>0</formula>
    </cfRule>
    <cfRule type="cellIs" dxfId="3249" priority="30" stopIfTrue="1" operator="greaterThan">
      <formula>$F$43</formula>
    </cfRule>
    <cfRule type="cellIs" dxfId="3248" priority="29" stopIfTrue="1" operator="lessThanOrEqual">
      <formula>0</formula>
    </cfRule>
    <cfRule type="cellIs" dxfId="3247" priority="28" stopIfTrue="1" operator="greaterThan">
      <formula>$F$45</formula>
    </cfRule>
    <cfRule type="cellIs" dxfId="3246" priority="27" stopIfTrue="1" operator="lessThanOrEqual">
      <formula>0</formula>
    </cfRule>
    <cfRule type="cellIs" dxfId="3245" priority="26" stopIfTrue="1" operator="greaterThan">
      <formula>$F$43</formula>
    </cfRule>
  </conditionalFormatting>
  <conditionalFormatting sqref="I59:I60">
    <cfRule type="cellIs" dxfId="3244" priority="60" stopIfTrue="1" operator="lessThanOrEqual">
      <formula>0</formula>
    </cfRule>
    <cfRule type="cellIs" dxfId="3243" priority="59" stopIfTrue="1" operator="greaterThan">
      <formula>$F$16</formula>
    </cfRule>
    <cfRule type="cellIs" dxfId="3242" priority="58" stopIfTrue="1" operator="lessThanOrEqual">
      <formula>0</formula>
    </cfRule>
    <cfRule type="cellIs" dxfId="3241" priority="57" stopIfTrue="1" operator="greaterThan">
      <formula>#REF!</formula>
    </cfRule>
    <cfRule type="cellIs" dxfId="3240" priority="62" stopIfTrue="1" operator="lessThanOrEqual">
      <formula>0</formula>
    </cfRule>
    <cfRule type="cellIs" dxfId="3239" priority="61" stopIfTrue="1" operator="greaterThan">
      <formula>#REF!</formula>
    </cfRule>
  </conditionalFormatting>
  <conditionalFormatting sqref="I61">
    <cfRule type="cellIs" dxfId="3238" priority="89" stopIfTrue="1" operator="lessThanOrEqual">
      <formula>0</formula>
    </cfRule>
    <cfRule type="cellIs" dxfId="3237" priority="90" stopIfTrue="1" operator="greaterThan">
      <formula>$F$39</formula>
    </cfRule>
    <cfRule type="cellIs" dxfId="3236" priority="88" stopIfTrue="1" operator="greaterThan">
      <formula>$F$37</formula>
    </cfRule>
    <cfRule type="cellIs" dxfId="3235" priority="91" stopIfTrue="1" operator="lessThanOrEqual">
      <formula>0</formula>
    </cfRule>
    <cfRule type="cellIs" dxfId="3234" priority="93" stopIfTrue="1" operator="lessThanOrEqual">
      <formula>0</formula>
    </cfRule>
    <cfRule type="cellIs" dxfId="3233" priority="92" stopIfTrue="1" operator="greaterThan">
      <formula>$F$37</formula>
    </cfRule>
  </conditionalFormatting>
  <conditionalFormatting sqref="I65:I73">
    <cfRule type="cellIs" dxfId="3232" priority="120" stopIfTrue="1" operator="greaterThan">
      <formula>$J65</formula>
    </cfRule>
    <cfRule type="cellIs" dxfId="3231" priority="121" stopIfTrue="1" operator="lessThanOrEqual">
      <formula>0</formula>
    </cfRule>
  </conditionalFormatting>
  <conditionalFormatting sqref="I76:I84">
    <cfRule type="cellIs" dxfId="3230" priority="149" stopIfTrue="1" operator="lessThanOrEqual">
      <formula>0</formula>
    </cfRule>
    <cfRule type="cellIs" dxfId="3229" priority="148" stopIfTrue="1" operator="greaterThan">
      <formula>4.5</formula>
    </cfRule>
  </conditionalFormatting>
  <conditionalFormatting sqref="I10:J24">
    <cfRule type="cellIs" dxfId="3228" priority="4" operator="lessThan">
      <formula>97.9</formula>
    </cfRule>
  </conditionalFormatting>
  <conditionalFormatting sqref="J27:J29">
    <cfRule type="cellIs" dxfId="3227" priority="99" stopIfTrue="1" operator="lessThan">
      <formula>96.8</formula>
    </cfRule>
    <cfRule type="cellIs" dxfId="3226" priority="100" stopIfTrue="1" operator="greaterThan">
      <formula>100</formula>
    </cfRule>
    <cfRule type="cellIs" dxfId="3225" priority="101" operator="lessThan">
      <formula>98</formula>
    </cfRule>
  </conditionalFormatting>
  <conditionalFormatting sqref="J27:J31">
    <cfRule type="cellIs" dxfId="3224" priority="98" operator="lessThan">
      <formula>97.4</formula>
    </cfRule>
  </conditionalFormatting>
  <conditionalFormatting sqref="J32">
    <cfRule type="cellIs" dxfId="3223" priority="102" operator="lessThan">
      <formula>98</formula>
    </cfRule>
  </conditionalFormatting>
  <conditionalFormatting sqref="J34:J35">
    <cfRule type="cellIs" dxfId="3222" priority="103" stopIfTrue="1" operator="lessThan">
      <formula>96.8</formula>
    </cfRule>
    <cfRule type="cellIs" dxfId="3221" priority="104" stopIfTrue="1" operator="greaterThan">
      <formula>100</formula>
    </cfRule>
  </conditionalFormatting>
  <conditionalFormatting sqref="J34:J36">
    <cfRule type="cellIs" dxfId="3220" priority="105" operator="lessThan">
      <formula>98</formula>
    </cfRule>
  </conditionalFormatting>
  <conditionalFormatting sqref="J74">
    <cfRule type="cellIs" dxfId="3219" priority="106" stopIfTrue="1" operator="greaterThan">
      <formula>$F74</formula>
    </cfRule>
    <cfRule type="cellIs" dxfId="3218" priority="107" stopIfTrue="1" operator="lessThanOrEqual">
      <formula>0</formula>
    </cfRule>
  </conditionalFormatting>
  <conditionalFormatting sqref="K10:K24">
    <cfRule type="cellIs" dxfId="3217" priority="9" operator="greaterThan">
      <formula>6</formula>
    </cfRule>
    <cfRule type="cellIs" dxfId="3216" priority="10" operator="lessThan">
      <formula>4</formula>
    </cfRule>
    <cfRule type="cellIs" dxfId="3215" priority="11" operator="greaterThan">
      <formula>6.4</formula>
    </cfRule>
  </conditionalFormatting>
  <conditionalFormatting sqref="K56:K61 K65:N71 K72 M72:N72 K73:N73">
    <cfRule type="cellIs" dxfId="3214" priority="83" stopIfTrue="1" operator="lessThan">
      <formula>100%</formula>
    </cfRule>
  </conditionalFormatting>
  <conditionalFormatting sqref="K76:K81">
    <cfRule type="cellIs" dxfId="3213" priority="154" stopIfTrue="1" operator="lessThan">
      <formula>100%</formula>
    </cfRule>
  </conditionalFormatting>
  <conditionalFormatting sqref="K83:K84">
    <cfRule type="cellIs" dxfId="3212" priority="161" stopIfTrue="1" operator="lessThan">
      <formula>100%</formula>
    </cfRule>
  </conditionalFormatting>
  <conditionalFormatting sqref="L10:L24">
    <cfRule type="cellIs" dxfId="3211" priority="7" operator="between">
      <formula>61</formula>
      <formula>65</formula>
    </cfRule>
    <cfRule type="cellIs" dxfId="3210" priority="8" operator="greaterThan">
      <formula>65</formula>
    </cfRule>
  </conditionalFormatting>
  <conditionalFormatting sqref="L27:M38">
    <cfRule type="cellIs" dxfId="3209" priority="17" operator="lessThan">
      <formula>98</formula>
    </cfRule>
  </conditionalFormatting>
  <conditionalFormatting sqref="L42:N42">
    <cfRule type="cellIs" dxfId="3208" priority="1" operator="notEqual">
      <formula>#REF!</formula>
    </cfRule>
  </conditionalFormatting>
  <conditionalFormatting sqref="L74:N74">
    <cfRule type="cellIs" dxfId="3207" priority="108" stopIfTrue="1" operator="lessThan">
      <formula>100%</formula>
    </cfRule>
  </conditionalFormatting>
  <conditionalFormatting sqref="L76:N84">
    <cfRule type="cellIs" dxfId="3206" priority="139" stopIfTrue="1" operator="lessThan">
      <formula>100%</formula>
    </cfRule>
  </conditionalFormatting>
  <conditionalFormatting sqref="M10:M21">
    <cfRule type="expression" dxfId="3205" priority="20">
      <formula>IF(+(IF(M10&lt;U10,0,IF(M10&gt;V10,0,1)))=0,1)</formula>
    </cfRule>
  </conditionalFormatting>
  <conditionalFormatting sqref="M24">
    <cfRule type="expression" dxfId="3204" priority="14">
      <formula>IF(+(IF(M24&lt;U24,0,IF(M24&gt;V24,0,1)))=0,1)</formula>
    </cfRule>
  </conditionalFormatting>
  <conditionalFormatting sqref="M22:N23">
    <cfRule type="expression" dxfId="3203" priority="169">
      <formula>IF(+(IF(M22&lt;#REF!,0,IF(M22&gt;#REF!,0,1)))=0,1)</formula>
    </cfRule>
  </conditionalFormatting>
  <conditionalFormatting sqref="N10:N21">
    <cfRule type="expression" dxfId="3202" priority="19">
      <formula>IF(+(IF(N10&lt;W10,0,IF(N10&gt;X10,0,1)))=0,1)</formula>
    </cfRule>
  </conditionalFormatting>
  <conditionalFormatting sqref="N24">
    <cfRule type="expression" dxfId="3201" priority="13">
      <formula>IF(+(IF(N24&lt;W24,0,IF(N24&gt;X24,0,1)))=0,1)</formula>
    </cfRule>
  </conditionalFormatting>
  <conditionalFormatting sqref="P6">
    <cfRule type="cellIs" dxfId="3200" priority="135" operator="greaterThanOrEqual">
      <formula>19</formula>
    </cfRule>
  </conditionalFormatting>
  <dataValidations count="1">
    <dataValidation type="list" allowBlank="1" showInputMessage="1" showErrorMessage="1" sqref="R8" xr:uid="{B1A425C5-F069-42E0-A9A8-26EE0ADEEBE8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8" max="16383" man="1"/>
  </rowBreaks>
  <colBreaks count="1" manualBreakCount="1">
    <brk id="15" max="89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F896C-8236-4603-8501-12B64DAD8579}">
  <sheetPr>
    <pageSetUpPr fitToPage="1"/>
  </sheetPr>
  <dimension ref="A1:BE80"/>
  <sheetViews>
    <sheetView topLeftCell="A40" zoomScale="80" zoomScaleNormal="80" workbookViewId="0">
      <selection activeCell="M57" sqref="M57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67.425781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25" t="s">
        <v>0</v>
      </c>
      <c r="T1" s="525"/>
      <c r="U1" s="525" t="s">
        <v>1</v>
      </c>
      <c r="V1" s="525"/>
      <c r="W1" s="525" t="s">
        <v>2</v>
      </c>
      <c r="X1" s="525"/>
      <c r="Y1" s="525" t="s">
        <v>124</v>
      </c>
      <c r="Z1" s="525"/>
    </row>
    <row r="2" spans="2:29" ht="15">
      <c r="B2" s="526" t="s">
        <v>3</v>
      </c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45904</v>
      </c>
      <c r="J4" s="398" t="s">
        <v>168</v>
      </c>
      <c r="K4" s="398"/>
      <c r="L4" s="11"/>
      <c r="M4" s="547" t="s">
        <v>8</v>
      </c>
      <c r="N4" s="548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44"/>
      <c r="D5" s="544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167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84" t="s">
        <v>17</v>
      </c>
      <c r="C8" s="494" t="s">
        <v>18</v>
      </c>
      <c r="D8" s="494" t="s">
        <v>19</v>
      </c>
      <c r="E8" s="356" t="s">
        <v>20</v>
      </c>
      <c r="F8" s="356" t="s">
        <v>21</v>
      </c>
      <c r="G8" s="494" t="s">
        <v>22</v>
      </c>
      <c r="H8" s="535" t="s">
        <v>144</v>
      </c>
      <c r="I8" s="494" t="s">
        <v>166</v>
      </c>
      <c r="J8" s="537" t="s">
        <v>23</v>
      </c>
      <c r="K8" s="539" t="s">
        <v>142</v>
      </c>
      <c r="L8" s="541" t="s">
        <v>24</v>
      </c>
      <c r="M8" s="359" t="s">
        <v>25</v>
      </c>
      <c r="N8" s="17" t="s">
        <v>26</v>
      </c>
      <c r="O8" s="494" t="s">
        <v>155</v>
      </c>
      <c r="P8" s="56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33"/>
      <c r="C9" s="534"/>
      <c r="D9" s="534"/>
      <c r="E9" s="357" t="s">
        <v>30</v>
      </c>
      <c r="F9" s="357" t="s">
        <v>31</v>
      </c>
      <c r="G9" s="534"/>
      <c r="H9" s="536"/>
      <c r="I9" s="534"/>
      <c r="J9" s="538"/>
      <c r="K9" s="540"/>
      <c r="L9" s="542"/>
      <c r="M9" s="20" t="s">
        <v>32</v>
      </c>
      <c r="N9" s="21" t="s">
        <v>41</v>
      </c>
      <c r="O9" s="534"/>
      <c r="P9" s="561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29" t="s">
        <v>6</v>
      </c>
      <c r="C10" s="366" t="str">
        <f>[22]Brewhouse!$A749</f>
        <v>CA640</v>
      </c>
      <c r="D10" s="279">
        <f>[22]Brewhouse!$AF749</f>
        <v>49.7</v>
      </c>
      <c r="E10" s="279">
        <f>[22]Brewhouse!$AI749</f>
        <v>49.7</v>
      </c>
      <c r="F10" s="278">
        <f>[22]Brewhouse!$V749</f>
        <v>57</v>
      </c>
      <c r="G10" s="279">
        <f>[22]Brewhouse!AG749</f>
        <v>11.9</v>
      </c>
      <c r="H10" s="396"/>
      <c r="I10" s="368">
        <f>[22]Brewhouse!$AU749</f>
        <v>96.913279660846712</v>
      </c>
      <c r="J10" s="368">
        <f>[22]Brewhouse!$AV749</f>
        <v>99.155721080550038</v>
      </c>
      <c r="K10" s="281">
        <f>[22]Brewhouse!$Q749</f>
        <v>7.5849056603773519</v>
      </c>
      <c r="L10" s="276">
        <f>[22]Brewhouse!$P749</f>
        <v>60</v>
      </c>
      <c r="M10" s="397">
        <f>[22]Brewhouse!$U749-[22]Brewhouse!$T749</f>
        <v>0.11805555555555555</v>
      </c>
      <c r="N10" s="370">
        <f>[22]Brewhouse!$Z749</f>
        <v>0.24652777777777776</v>
      </c>
      <c r="O10" s="421" t="str">
        <f>[22]Brewhouse!$AX749</f>
        <v>K.Benjamin</v>
      </c>
      <c r="P10" s="418"/>
      <c r="R10" s="277" t="str">
        <f t="shared" ref="R10:R24" si="0">B10</f>
        <v>CARIB</v>
      </c>
      <c r="S10" s="296">
        <f t="shared" ref="S10:S32" si="1">VLOOKUP($B10,$R$3:$X$9,2,FALSE)</f>
        <v>11.6</v>
      </c>
      <c r="T10" s="296">
        <f t="shared" ref="T10:T32" si="2">VLOOKUP($B10,$R$3:$X$9,3,FALSE)</f>
        <v>12</v>
      </c>
      <c r="U10" s="297">
        <f t="shared" ref="U10:U32" si="3">VLOOKUP($B10,$R$3:$X$9,4,FALSE)</f>
        <v>0</v>
      </c>
      <c r="V10" s="297">
        <f t="shared" ref="V10:V32" si="4">VLOOKUP($B10,$R$3:$X$9,5,FALSE)</f>
        <v>0.118055555555556</v>
      </c>
      <c r="W10" s="297">
        <f t="shared" ref="W10:W32" si="5">VLOOKUP($B10,$R$3:$X$9,6,FALSE)</f>
        <v>0.22569444444444445</v>
      </c>
      <c r="X10" s="297">
        <f t="shared" ref="X10:X32" si="6">VLOOKUP($B10,$R$3:$X$9,7,FALSE)</f>
        <v>0.2638888888888889</v>
      </c>
      <c r="Y10" s="297">
        <f t="shared" ref="Y10:Y32" si="7">VLOOKUP($B10,$R$3:$Z$9,8,FALSE)</f>
        <v>0</v>
      </c>
      <c r="Z10" s="296">
        <f t="shared" ref="Z10:Z32" si="8">VLOOKUP($B10,$R$3:$Z$9,9,FALSE)</f>
        <v>60</v>
      </c>
    </row>
    <row r="11" spans="2:29" ht="15.75" customHeight="1">
      <c r="B11" s="29" t="s">
        <v>6</v>
      </c>
      <c r="C11" s="366" t="str">
        <f>[22]Brewhouse!$A750</f>
        <v>CA641</v>
      </c>
      <c r="D11" s="279">
        <f>[22]Brewhouse!$AF750</f>
        <v>50.6</v>
      </c>
      <c r="E11" s="279">
        <f>[22]Brewhouse!$AI750</f>
        <v>48.9</v>
      </c>
      <c r="F11" s="278">
        <f>[22]Brewhouse!$V750</f>
        <v>58</v>
      </c>
      <c r="G11" s="279">
        <f>[22]Brewhouse!AG750</f>
        <v>11.7</v>
      </c>
      <c r="H11" s="396"/>
      <c r="I11" s="368">
        <f>[22]Brewhouse!$AU750</f>
        <v>92.692854429866827</v>
      </c>
      <c r="J11" s="368">
        <f>[22]Brewhouse!$AV750</f>
        <v>94.750087796960187</v>
      </c>
      <c r="K11" s="281">
        <f>[22]Brewhouse!$Q750</f>
        <v>6.0640301318267396</v>
      </c>
      <c r="L11" s="276">
        <f>[22]Brewhouse!$P750</f>
        <v>60</v>
      </c>
      <c r="M11" s="397">
        <f>[22]Brewhouse!$U750-[22]Brewhouse!$T750</f>
        <v>0.11388888888888887</v>
      </c>
      <c r="N11" s="370">
        <f>[22]Brewhouse!$Z750</f>
        <v>0.24999999999999997</v>
      </c>
      <c r="O11" s="421" t="str">
        <f>[22]Brewhouse!$AX750</f>
        <v>R. Regis</v>
      </c>
      <c r="P11" s="418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29" t="s">
        <v>6</v>
      </c>
      <c r="C12" s="366" t="str">
        <f>[22]Brewhouse!$A751</f>
        <v>CA642</v>
      </c>
      <c r="D12" s="279">
        <f>[22]Brewhouse!$AF751</f>
        <v>53.5</v>
      </c>
      <c r="E12" s="279">
        <f>[22]Brewhouse!$AI751</f>
        <v>52.7</v>
      </c>
      <c r="F12" s="278">
        <f>[22]Brewhouse!$V751</f>
        <v>65</v>
      </c>
      <c r="G12" s="279">
        <f>[22]Brewhouse!AG751</f>
        <v>11.6</v>
      </c>
      <c r="H12" s="396"/>
      <c r="I12" s="368">
        <f>[22]Brewhouse!$AU751</f>
        <v>98.754508614792641</v>
      </c>
      <c r="J12" s="368">
        <f>[22]Brewhouse!$AV751</f>
        <v>100.94675170584908</v>
      </c>
      <c r="K12" s="281">
        <f>[22]Brewhouse!$Q751</f>
        <v>2.2975517890772106</v>
      </c>
      <c r="L12" s="276">
        <f>[22]Brewhouse!$P751</f>
        <v>60</v>
      </c>
      <c r="M12" s="397">
        <f>[22]Brewhouse!$U751-[22]Brewhouse!$T751</f>
        <v>0.11250000000000004</v>
      </c>
      <c r="N12" s="370">
        <f>[22]Brewhouse!$Z751</f>
        <v>0.24375000000000002</v>
      </c>
      <c r="O12" s="421" t="str">
        <f>[22]Brewhouse!$AX751</f>
        <v>R. Regis</v>
      </c>
      <c r="P12" s="418"/>
      <c r="R12" s="277" t="str">
        <f t="shared" si="0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29" t="s">
        <v>6</v>
      </c>
      <c r="C13" s="366" t="str">
        <f>[22]Brewhouse!$A752</f>
        <v>CA643</v>
      </c>
      <c r="D13" s="279">
        <f>[22]Brewhouse!$AF752</f>
        <v>52.4</v>
      </c>
      <c r="E13" s="279">
        <f>[22]Brewhouse!$AI752</f>
        <v>50.4</v>
      </c>
      <c r="F13" s="278">
        <f>[22]Brewhouse!$V752</f>
        <v>64</v>
      </c>
      <c r="G13" s="279">
        <f>[22]Brewhouse!AG752</f>
        <v>11.9</v>
      </c>
      <c r="H13" s="396"/>
      <c r="I13" s="368">
        <f>[22]Brewhouse!$AU752</f>
        <v>96.897137107466193</v>
      </c>
      <c r="J13" s="368">
        <f>[22]Brewhouse!$AV752</f>
        <v>99.048381639608507</v>
      </c>
      <c r="K13" s="281">
        <f>[22]Brewhouse!$Q752</f>
        <v>2.4905660377358494</v>
      </c>
      <c r="L13" s="276">
        <f>[22]Brewhouse!$P752</f>
        <v>60</v>
      </c>
      <c r="M13" s="397">
        <f>[22]Brewhouse!$U752-[22]Brewhouse!$T752</f>
        <v>0.1118055555555556</v>
      </c>
      <c r="N13" s="370">
        <f>[22]Brewhouse!$Z752</f>
        <v>0.25625000000000003</v>
      </c>
      <c r="O13" s="421" t="str">
        <f>[22]Brewhouse!$AX752</f>
        <v>R. Regis</v>
      </c>
      <c r="P13" s="418"/>
      <c r="R13" s="277" t="str">
        <f t="shared" si="0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29" t="s">
        <v>6</v>
      </c>
      <c r="C14" s="366" t="str">
        <f>[22]Brewhouse!$A753</f>
        <v>CA644</v>
      </c>
      <c r="D14" s="279">
        <f>[22]Brewhouse!$AF753</f>
        <v>53.3</v>
      </c>
      <c r="E14" s="279">
        <f>[22]Brewhouse!$AI753</f>
        <v>51.9</v>
      </c>
      <c r="F14" s="278">
        <f>[22]Brewhouse!$V753</f>
        <v>62</v>
      </c>
      <c r="G14" s="279">
        <f>[22]Brewhouse!AG753</f>
        <v>11.7</v>
      </c>
      <c r="H14" s="396"/>
      <c r="I14" s="368">
        <f>[22]Brewhouse!$AU753</f>
        <v>98.379532615748218</v>
      </c>
      <c r="J14" s="368">
        <f>[22]Brewhouse!$AV753</f>
        <v>100.56297661885958</v>
      </c>
      <c r="K14" s="281">
        <f>[22]Brewhouse!$Q753</f>
        <v>1.5471698113207553</v>
      </c>
      <c r="L14" s="276">
        <f>[22]Brewhouse!$P753</f>
        <v>57</v>
      </c>
      <c r="M14" s="397">
        <f>[22]Brewhouse!$U753-[22]Brewhouse!$T753</f>
        <v>0.10902777777777783</v>
      </c>
      <c r="N14" s="370">
        <f>[22]Brewhouse!$Z753</f>
        <v>0.26041666666666669</v>
      </c>
      <c r="O14" s="421" t="str">
        <f>[22]Brewhouse!$AX753</f>
        <v>R. Regis</v>
      </c>
      <c r="P14" s="418"/>
      <c r="R14" s="277" t="str">
        <f t="shared" si="0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29" t="s">
        <v>6</v>
      </c>
      <c r="C15" s="366" t="str">
        <f>[22]Brewhouse!$A754</f>
        <v>CA645</v>
      </c>
      <c r="D15" s="279">
        <f>[22]Brewhouse!$AF754</f>
        <v>53</v>
      </c>
      <c r="E15" s="279">
        <f>[22]Brewhouse!$AI754</f>
        <v>51.1</v>
      </c>
      <c r="F15" s="278">
        <f>[22]Brewhouse!$V754</f>
        <v>63</v>
      </c>
      <c r="G15" s="279">
        <f>[22]Brewhouse!AG754</f>
        <v>11.6</v>
      </c>
      <c r="H15" s="396"/>
      <c r="I15" s="368">
        <f>[22]Brewhouse!$AU754</f>
        <v>96.881645310422897</v>
      </c>
      <c r="J15" s="368">
        <f>[22]Brewhouse!$AV754</f>
        <v>99.123478111497889</v>
      </c>
      <c r="K15" s="281">
        <f>[22]Brewhouse!$Q754</f>
        <v>3.1851851851851833</v>
      </c>
      <c r="L15" s="276">
        <f>[22]Brewhouse!$P754</f>
        <v>57</v>
      </c>
      <c r="M15" s="397">
        <f>[22]Brewhouse!$U754-[22]Brewhouse!$T754</f>
        <v>0.10069444444444442</v>
      </c>
      <c r="N15" s="370">
        <f>[22]Brewhouse!$Z754</f>
        <v>0.24791666666666667</v>
      </c>
      <c r="O15" s="421" t="str">
        <f>[22]Brewhouse!$AX754</f>
        <v>R.Sookram</v>
      </c>
      <c r="P15" s="418"/>
      <c r="R15" s="277" t="str">
        <f t="shared" si="0"/>
        <v>CARIB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29" t="s">
        <v>6</v>
      </c>
      <c r="C16" s="366" t="str">
        <f>[22]Brewhouse!$A755</f>
        <v>CA646</v>
      </c>
      <c r="D16" s="279">
        <f>[22]Brewhouse!$AF755</f>
        <v>53.3</v>
      </c>
      <c r="E16" s="279">
        <f>[22]Brewhouse!$AI755</f>
        <v>51.6</v>
      </c>
      <c r="F16" s="278">
        <f>[22]Brewhouse!$V755</f>
        <v>71</v>
      </c>
      <c r="G16" s="279">
        <f>[22]Brewhouse!AG755</f>
        <v>11.6</v>
      </c>
      <c r="H16" s="396"/>
      <c r="I16" s="368">
        <f>[22]Brewhouse!$AU755</f>
        <v>97.829606614830169</v>
      </c>
      <c r="J16" s="368">
        <f>[22]Brewhouse!$AV755</f>
        <v>100.09337515759864</v>
      </c>
      <c r="K16" s="281">
        <f>[22]Brewhouse!$Q755</f>
        <v>2.6296296296296329</v>
      </c>
      <c r="L16" s="276">
        <f>[22]Brewhouse!$P755</f>
        <v>58</v>
      </c>
      <c r="M16" s="397">
        <f>[22]Brewhouse!$U755-[22]Brewhouse!$T755</f>
        <v>0.10833333333333328</v>
      </c>
      <c r="N16" s="370">
        <f>[22]Brewhouse!$Z755</f>
        <v>0.2583333333333333</v>
      </c>
      <c r="O16" s="421" t="str">
        <f>[22]Brewhouse!$AX755</f>
        <v>R.Sookram</v>
      </c>
      <c r="P16" s="418"/>
      <c r="R16" s="277" t="str">
        <f t="shared" si="0"/>
        <v>CARIB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1:26" ht="15.75" customHeight="1">
      <c r="B17" s="29" t="s">
        <v>6</v>
      </c>
      <c r="C17" s="366" t="str">
        <f>[22]Brewhouse!$A756</f>
        <v>CA647</v>
      </c>
      <c r="D17" s="279">
        <f>[22]Brewhouse!$AF756</f>
        <v>53.8</v>
      </c>
      <c r="E17" s="279">
        <f>[22]Brewhouse!$AI756</f>
        <v>52</v>
      </c>
      <c r="F17" s="278">
        <f>[22]Brewhouse!$V756</f>
        <v>57</v>
      </c>
      <c r="G17" s="279">
        <f>[22]Brewhouse!AG756</f>
        <v>11.9</v>
      </c>
      <c r="H17" s="396"/>
      <c r="I17" s="368">
        <f>[22]Brewhouse!$AU756</f>
        <v>101.39820004756599</v>
      </c>
      <c r="J17" s="368">
        <f>[22]Brewhouse!$AV756</f>
        <v>103.74441642230587</v>
      </c>
      <c r="K17" s="281">
        <f>[22]Brewhouse!$Q756</f>
        <v>2.4444444444444451</v>
      </c>
      <c r="L17" s="276">
        <f>[22]Brewhouse!$P756</f>
        <v>58</v>
      </c>
      <c r="M17" s="397">
        <f>[22]Brewhouse!$U756-[22]Brewhouse!$T756</f>
        <v>0.10416666666666674</v>
      </c>
      <c r="N17" s="370">
        <f>[22]Brewhouse!$Z756</f>
        <v>0.25069444444444455</v>
      </c>
      <c r="O17" s="421" t="str">
        <f>[22]Brewhouse!$AX756</f>
        <v>R.Sookram</v>
      </c>
      <c r="P17" s="418"/>
      <c r="R17" s="277" t="str">
        <f t="shared" si="0"/>
        <v>CARIB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1:26" ht="15.75" customHeight="1">
      <c r="B18" s="29" t="s">
        <v>6</v>
      </c>
      <c r="C18" s="366" t="str">
        <f>[22]Brewhouse!$A757</f>
        <v>CA648</v>
      </c>
      <c r="D18" s="279">
        <f>[22]Brewhouse!$AF757</f>
        <v>52</v>
      </c>
      <c r="E18" s="279">
        <f>[22]Brewhouse!$AI757</f>
        <v>51</v>
      </c>
      <c r="F18" s="278">
        <f>[22]Brewhouse!$V757</f>
        <v>58</v>
      </c>
      <c r="G18" s="279">
        <f>[22]Brewhouse!AG757</f>
        <v>11.8</v>
      </c>
      <c r="H18" s="396"/>
      <c r="I18" s="368">
        <f>[22]Brewhouse!$AU757</f>
        <v>98.447189326018275</v>
      </c>
      <c r="J18" s="368">
        <f>[22]Brewhouse!$AV757</f>
        <v>100.72524867872173</v>
      </c>
      <c r="K18" s="281">
        <f>[22]Brewhouse!$Q757</f>
        <v>3.2452830188679229</v>
      </c>
      <c r="L18" s="276">
        <f>[22]Brewhouse!$P757</f>
        <v>63</v>
      </c>
      <c r="M18" s="397">
        <f>[22]Brewhouse!$U757-[22]Brewhouse!$T757</f>
        <v>0.11944444444444458</v>
      </c>
      <c r="N18" s="370">
        <f>[22]Brewhouse!$Z757</f>
        <v>0.26250000000000007</v>
      </c>
      <c r="O18" s="421" t="str">
        <f>[22]Brewhouse!$AX757</f>
        <v>K.Benjamin</v>
      </c>
      <c r="P18" s="418"/>
      <c r="R18" s="277" t="str">
        <f t="shared" si="0"/>
        <v>CARIB</v>
      </c>
      <c r="S18" s="296">
        <f t="shared" si="1"/>
        <v>11.6</v>
      </c>
      <c r="T18" s="296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296">
        <f t="shared" si="8"/>
        <v>60</v>
      </c>
    </row>
    <row r="19" spans="1:26" ht="15.75" customHeight="1">
      <c r="B19" s="29" t="s">
        <v>6</v>
      </c>
      <c r="C19" s="366" t="str">
        <f>[22]Brewhouse!$A758</f>
        <v>CA649</v>
      </c>
      <c r="D19" s="279">
        <f>[22]Brewhouse!$AF758</f>
        <v>52.7</v>
      </c>
      <c r="E19" s="279">
        <f>[22]Brewhouse!$AI758</f>
        <v>49.8</v>
      </c>
      <c r="F19" s="278">
        <f>[22]Brewhouse!$V758</f>
        <v>55</v>
      </c>
      <c r="G19" s="279">
        <f>[22]Brewhouse!AG758</f>
        <v>11.7</v>
      </c>
      <c r="H19" s="396"/>
      <c r="I19" s="368">
        <f>[22]Brewhouse!$AU758</f>
        <v>94.631693413188884</v>
      </c>
      <c r="J19" s="368">
        <f>[22]Brewhouse!$AV758</f>
        <v>96.73149836302251</v>
      </c>
      <c r="K19" s="281">
        <f>[22]Brewhouse!$Q758</f>
        <v>1.9245283018867849</v>
      </c>
      <c r="L19" s="276">
        <f>[22]Brewhouse!$P758</f>
        <v>59</v>
      </c>
      <c r="M19" s="397">
        <f>[22]Brewhouse!$U758-[22]Brewhouse!$T758</f>
        <v>0.10833333333333317</v>
      </c>
      <c r="N19" s="370">
        <f>[22]Brewhouse!$Z758</f>
        <v>0.24999999999999989</v>
      </c>
      <c r="O19" s="421" t="str">
        <f>[22]Brewhouse!$AX758</f>
        <v>K.Benjamin</v>
      </c>
      <c r="P19" s="418"/>
      <c r="R19" s="277" t="str">
        <f t="shared" si="0"/>
        <v>CARIB</v>
      </c>
      <c r="S19" s="296">
        <f t="shared" si="1"/>
        <v>11.6</v>
      </c>
      <c r="T19" s="296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296">
        <f t="shared" si="8"/>
        <v>60</v>
      </c>
    </row>
    <row r="20" spans="1:26" ht="15.7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1"/>
      <c r="P20" s="418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6" ht="15.7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1"/>
      <c r="P21" s="418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6" ht="15.75" customHeight="1">
      <c r="B22" s="37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371"/>
      <c r="P22" s="418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6" ht="15.75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8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6" ht="15.75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18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6" ht="15.75" customHeight="1">
      <c r="B25" s="37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74"/>
      <c r="N25" s="370"/>
      <c r="O25" s="371"/>
      <c r="P25" s="418"/>
      <c r="R25" s="277">
        <f t="shared" ref="R25:R32" si="9">B25</f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6" ht="15.75" customHeight="1" thickBot="1">
      <c r="B26" s="358"/>
      <c r="C26" s="358"/>
      <c r="D26" s="358"/>
      <c r="E26" s="358"/>
      <c r="F26" s="294"/>
      <c r="G26" s="294"/>
      <c r="H26" s="348"/>
      <c r="I26" s="514"/>
      <c r="J26" s="514"/>
      <c r="K26" s="514"/>
      <c r="L26" s="514"/>
      <c r="M26" s="514"/>
      <c r="N26" s="514"/>
      <c r="O26" s="1"/>
      <c r="P26" s="12"/>
      <c r="R26" s="277">
        <f t="shared" si="9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6" ht="15.75" thickBot="1">
      <c r="B27" s="388" t="s">
        <v>162</v>
      </c>
      <c r="C27" s="388"/>
      <c r="D27" s="527" t="s">
        <v>35</v>
      </c>
      <c r="E27" s="528"/>
      <c r="F27" s="294"/>
      <c r="G27" s="294"/>
      <c r="H27" s="348"/>
      <c r="I27" s="24" t="s">
        <v>17</v>
      </c>
      <c r="J27" s="25" t="s">
        <v>36</v>
      </c>
      <c r="K27" s="26" t="s">
        <v>138</v>
      </c>
      <c r="L27" s="25" t="s">
        <v>37</v>
      </c>
      <c r="M27" s="25" t="s">
        <v>38</v>
      </c>
      <c r="N27" s="27" t="s">
        <v>39</v>
      </c>
      <c r="O27" s="294"/>
      <c r="P27" s="12"/>
      <c r="R27" s="277" t="str">
        <f t="shared" si="9"/>
        <v xml:space="preserve">BRAND 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6" ht="15" customHeight="1">
      <c r="A28" s="28"/>
      <c r="B28" s="562" t="str">
        <f>I34</f>
        <v>STARMALT</v>
      </c>
      <c r="C28" s="362"/>
      <c r="D28" s="518"/>
      <c r="E28" s="507"/>
      <c r="F28" s="294"/>
      <c r="G28" s="294"/>
      <c r="H28" s="348"/>
      <c r="I28" s="29" t="s">
        <v>6</v>
      </c>
      <c r="J28" s="280">
        <f>AVERAGE(I10:I19)</f>
        <v>97.282564714074667</v>
      </c>
      <c r="K28" s="284">
        <f>COUNTA([22]Brewhouse!$A$740:$A$758)</f>
        <v>19</v>
      </c>
      <c r="L28" s="305">
        <f>AVERAGE([22]Brewhouse!$AU$740:$AU$758)</f>
        <v>97.561908305193484</v>
      </c>
      <c r="M28" s="302">
        <f>AVERAGE([22]Brewhouse!$AU$102:$AU$171,[22]Brewhouse!$AU$173:$AU$253,[22]Brewhouse!$AU$255:$AU$339,[22]Brewhouse!$AU$341:$AU$346,[22]Brewhouse!$AU$348,[22]Brewhouse!$AU$349:$AU$406,[22]Brewhouse!$AU$408:$AU$491,[22]Brewhouse!$AU$493:$AU$578,[22]Brewhouse!$AU$580:$AU$652,[22]Brewhouse!$AU$655:$AU$758)</f>
        <v>97.70144579498259</v>
      </c>
      <c r="N28" s="30">
        <v>98</v>
      </c>
      <c r="O28" s="11"/>
      <c r="P28" s="31"/>
      <c r="R28" s="277" t="str">
        <f t="shared" si="9"/>
        <v>STARMALT</v>
      </c>
      <c r="S28" s="296">
        <f t="shared" si="1"/>
        <v>17</v>
      </c>
      <c r="T28" s="296">
        <f t="shared" si="2"/>
        <v>17.399999999999999</v>
      </c>
      <c r="U28" s="297">
        <f t="shared" si="3"/>
        <v>0</v>
      </c>
      <c r="V28" s="297">
        <f t="shared" si="4"/>
        <v>0.13605324074074074</v>
      </c>
      <c r="W28" s="297">
        <f t="shared" si="5"/>
        <v>0.27430555555555552</v>
      </c>
      <c r="X28" s="297">
        <f t="shared" si="6"/>
        <v>0.30902777777777779</v>
      </c>
      <c r="Y28" s="297">
        <f t="shared" si="7"/>
        <v>0</v>
      </c>
      <c r="Z28" s="296">
        <f t="shared" si="8"/>
        <v>85</v>
      </c>
    </row>
    <row r="29" spans="1:26" ht="15" customHeight="1">
      <c r="A29" s="28"/>
      <c r="B29" s="563"/>
      <c r="C29" s="362"/>
      <c r="D29" s="519"/>
      <c r="E29" s="502"/>
      <c r="F29" s="294"/>
      <c r="G29" s="294"/>
      <c r="H29" s="348"/>
      <c r="I29" s="33" t="s">
        <v>9</v>
      </c>
      <c r="J29" s="280"/>
      <c r="K29" s="284"/>
      <c r="L29" s="302"/>
      <c r="M29" s="302">
        <f>AVERAGE([24]Brewhouse!$AS$15:$AS$64,[24]Brewhouse!$AS$66:$AS$103,[24]Brewhouse!$AS$105:$AS$140,[24]Brewhouse!$AS$142:$AS$193,[24]Brewhouse!$AS$195:$AS$240,[24]Brewhouse!$AS$242:$AS$273,[24]Brewhouse!$AS$275:$AS$322,[24]Brewhouse!$AS$324:$AS$359)</f>
        <v>98.065489639180555</v>
      </c>
      <c r="N29" s="30">
        <v>98</v>
      </c>
      <c r="O29" s="11"/>
      <c r="P29" s="31"/>
      <c r="R29" s="277">
        <f t="shared" si="9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1:26" ht="14.65" customHeight="1">
      <c r="A30" s="28"/>
      <c r="B30" s="563"/>
      <c r="C30" s="362"/>
      <c r="D30" s="518"/>
      <c r="E30" s="507"/>
      <c r="F30" s="294"/>
      <c r="G30" s="294"/>
      <c r="H30" s="348"/>
      <c r="I30" s="34" t="s">
        <v>12</v>
      </c>
      <c r="J30" s="280"/>
      <c r="K30" s="284"/>
      <c r="L30" s="302"/>
      <c r="M30" s="302">
        <f>AVERAGE([25]Brewhouse!$AU$4:$AU$7,[25]Brewhouse!$AU$9:$AU$22,[25]Brewhouse!$AU$24:$AU$35,[25]Brewhouse!$AU$37:$AU$45,[25]Brewhouse!$AU$47:$AU$62,[25]Brewhouse!$AU$64:$AU$79,[25]Brewhouse!$AU$81:$AU$92)</f>
        <v>96.938184743997624</v>
      </c>
      <c r="N30" s="30">
        <v>98</v>
      </c>
      <c r="O30" s="11"/>
      <c r="P30" s="31"/>
      <c r="R30" s="277">
        <f t="shared" si="9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1:26" ht="14.65" customHeight="1">
      <c r="A31" s="28"/>
      <c r="B31" s="563"/>
      <c r="C31" s="362"/>
      <c r="D31" s="519"/>
      <c r="E31" s="502"/>
      <c r="F31" s="294"/>
      <c r="G31" s="294"/>
      <c r="H31" s="348"/>
      <c r="I31" s="22" t="s">
        <v>33</v>
      </c>
      <c r="J31" s="280"/>
      <c r="K31" s="284"/>
      <c r="L31" s="302"/>
      <c r="M31" s="302">
        <f>AVERAGE([26]Brewhouse!$AV$5:$AV$14,[26]Brewhouse!$AV$16:$AV$19,[26]Brewhouse!$AV$21:$AV$24,[26]Brewhouse!$AV$26:$AV$33,[26]Brewhouse!$AV$35:$AV$46,[26]Brewhouse!$AV$48:$AV$53,[26]Brewhouse!$AV$55:$AV$62,[26]Brewhouse!$AV$64:$AV$77)</f>
        <v>98.521410557268055</v>
      </c>
      <c r="N31" s="30">
        <v>98</v>
      </c>
      <c r="O31" s="11"/>
      <c r="P31" s="31"/>
      <c r="R31" s="277">
        <f t="shared" si="9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1:26" ht="14.65" customHeight="1">
      <c r="A32" s="28"/>
      <c r="B32" s="563"/>
      <c r="C32" s="362"/>
      <c r="D32" s="518"/>
      <c r="E32" s="507"/>
      <c r="F32" s="417"/>
      <c r="G32" s="294"/>
      <c r="H32" s="348"/>
      <c r="I32" s="35" t="s">
        <v>29</v>
      </c>
      <c r="J32" s="280"/>
      <c r="K32" s="284"/>
      <c r="L32" s="302"/>
      <c r="M32" s="302"/>
      <c r="N32" s="30">
        <v>98</v>
      </c>
      <c r="O32" s="11"/>
      <c r="P32" s="31"/>
      <c r="R32" s="277">
        <f t="shared" si="9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56" ht="14.65" customHeight="1">
      <c r="A33" s="28"/>
      <c r="B33" s="563"/>
      <c r="C33" s="362"/>
      <c r="D33" s="519"/>
      <c r="E33" s="502"/>
      <c r="F33" s="417"/>
      <c r="G33" s="294"/>
      <c r="H33" s="348"/>
      <c r="I33" s="36" t="s">
        <v>15</v>
      </c>
      <c r="J33" s="323"/>
      <c r="K33" s="284"/>
      <c r="L33" s="302"/>
      <c r="M33" s="302">
        <f>AVERAGE([27]Brewhouse!$AT$4:$AT$11,[27]Brewhouse!$AT$13:$AT$16,[27]Brewhouse!$AT$18:$AT$21,[27]Brewhouse!$AT$26)</f>
        <v>94.588057846623641</v>
      </c>
      <c r="N33" s="30">
        <v>98</v>
      </c>
      <c r="O33" s="11"/>
      <c r="P33" s="31"/>
      <c r="R33" s="277"/>
      <c r="S33" s="296"/>
      <c r="T33" s="296"/>
      <c r="U33" s="297"/>
      <c r="V33" s="297"/>
      <c r="W33" s="297"/>
      <c r="X33" s="297"/>
      <c r="Y33" s="297"/>
      <c r="Z33" s="296"/>
      <c r="AA33" s="296"/>
    </row>
    <row r="34" spans="1:56" ht="14.65" customHeight="1">
      <c r="A34" s="28"/>
      <c r="B34" s="563"/>
      <c r="C34" s="362"/>
      <c r="D34" s="518"/>
      <c r="E34" s="507"/>
      <c r="F34" s="417"/>
      <c r="G34" s="294"/>
      <c r="H34" s="348"/>
      <c r="I34" s="37" t="s">
        <v>16</v>
      </c>
      <c r="J34" s="323"/>
      <c r="K34" s="284">
        <f>COUNTA([23]Brewhouse!$A$75:$A$82)</f>
        <v>8</v>
      </c>
      <c r="L34" s="302">
        <f>AVERAGE([23]Brewhouse!$AY$75:$AY$82)</f>
        <v>97.738838123294386</v>
      </c>
      <c r="M34" s="302">
        <f>AVERAGE([23]Brewhouse!$AY$6:$AY$13,[23]Brewhouse!$AY$15:$AY$20,[23]Brewhouse!$AY$22:$AY$29,[23]Brewhouse!$AY$31:$AY$34,[23]Brewhouse!$AY$36:$AY$43,[23]Brewhouse!$AY$45:$AY$50, [23]Brewhouse!$AY$56:$AY$73,[23]Brewhouse!$AY$75:$AY$82)</f>
        <v>97.409216272979165</v>
      </c>
      <c r="N34" s="30">
        <v>98</v>
      </c>
      <c r="O34" s="11"/>
      <c r="P34" s="31" t="s">
        <v>41</v>
      </c>
      <c r="R34" s="277"/>
      <c r="S34" s="296"/>
      <c r="T34" s="296"/>
      <c r="U34" s="297"/>
      <c r="V34" s="297"/>
      <c r="W34" s="297"/>
      <c r="X34" s="297"/>
      <c r="Y34" s="297"/>
      <c r="Z34" s="296"/>
      <c r="AA34" s="296"/>
    </row>
    <row r="35" spans="1:56" ht="14.65" customHeight="1">
      <c r="A35" s="28"/>
      <c r="B35" s="563"/>
      <c r="C35" s="362"/>
      <c r="D35" s="519"/>
      <c r="E35" s="502"/>
      <c r="F35" s="294"/>
      <c r="G35" s="294"/>
      <c r="H35" s="348"/>
      <c r="I35" s="411" t="s">
        <v>158</v>
      </c>
      <c r="J35" s="326"/>
      <c r="K35" s="284"/>
      <c r="L35" s="305"/>
      <c r="M35" s="305">
        <f>AVERAGE([28]Brewhouse!$AU$5:$AU$8,[28]Brewhouse!$AU$10:$AU$13,[23]Brewhouse!$AY$75:$AY$77)</f>
        <v>94.749192473706671</v>
      </c>
      <c r="N35" s="30">
        <v>98</v>
      </c>
      <c r="O35" s="11"/>
      <c r="P35" s="31"/>
      <c r="R35" s="277"/>
      <c r="S35" s="296"/>
      <c r="T35" s="296"/>
      <c r="U35" s="297"/>
      <c r="V35" s="297"/>
      <c r="W35" s="297"/>
      <c r="X35" s="297"/>
      <c r="Y35" s="297"/>
      <c r="Z35" s="296"/>
      <c r="AA35" s="296"/>
    </row>
    <row r="36" spans="1:56" ht="14.65" customHeight="1">
      <c r="A36" s="28"/>
      <c r="B36" s="563"/>
      <c r="C36" s="349"/>
      <c r="D36" s="518"/>
      <c r="E36" s="507"/>
      <c r="F36" s="294"/>
      <c r="G36" s="294"/>
      <c r="H36" s="348"/>
      <c r="I36" s="410" t="s">
        <v>157</v>
      </c>
      <c r="J36" s="326"/>
      <c r="K36" s="284"/>
      <c r="L36" s="305"/>
      <c r="M36" s="305">
        <f>AVERAGE([29]Brewhouse!$AW$26:$AW$27)</f>
        <v>95.310680905194914</v>
      </c>
      <c r="N36" s="30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  <c r="AA36" s="296"/>
    </row>
    <row r="37" spans="1:56" ht="15" customHeight="1" thickBot="1">
      <c r="A37" s="28"/>
      <c r="B37" s="563"/>
      <c r="C37" s="349"/>
      <c r="D37" s="519"/>
      <c r="E37" s="502"/>
      <c r="F37" s="294"/>
      <c r="G37" s="294"/>
      <c r="H37" s="348"/>
      <c r="I37" s="406" t="s">
        <v>156</v>
      </c>
      <c r="J37" s="327"/>
      <c r="K37" s="407"/>
      <c r="L37" s="408"/>
      <c r="M37" s="408">
        <f>AVERAGE([30]Brewhouse!$AU$13:$AU$14)</f>
        <v>97.110575243268045</v>
      </c>
      <c r="N37" s="409">
        <v>98</v>
      </c>
      <c r="O37" s="11"/>
      <c r="P37" s="31"/>
      <c r="R37" s="277"/>
      <c r="S37" s="296"/>
      <c r="T37" s="296"/>
      <c r="U37" s="297"/>
      <c r="V37" s="297"/>
      <c r="W37" s="297"/>
      <c r="X37" s="297"/>
      <c r="Y37" s="297"/>
      <c r="Z37" s="296"/>
      <c r="AA37" s="296"/>
    </row>
    <row r="38" spans="1:56" ht="15" customHeight="1" thickBot="1">
      <c r="A38" s="28"/>
      <c r="B38" s="563"/>
      <c r="C38" s="349"/>
      <c r="D38" s="518"/>
      <c r="E38" s="507"/>
      <c r="F38" s="294"/>
      <c r="G38" s="294"/>
      <c r="H38" s="348"/>
      <c r="I38" s="1"/>
      <c r="J38" s="39"/>
      <c r="K38" s="404">
        <f>SUM(K28:K37)</f>
        <v>27</v>
      </c>
      <c r="L38" s="405">
        <f>((L28*K28)+(L29*K29)+(L30*K30)+(L31*K31)+(L32*K32)+(K35*L35)+(L33*K33)+(L34*K34)+(L37*K37))/(K38)</f>
        <v>97.614331955001163</v>
      </c>
      <c r="M38" s="405">
        <f>AVERAGE('[31]Jan 31st'!$L$65,'[32]Feb 28th'!$L$35,'[33]Mar. 31st'!$L$35,'[34]Apr. 30th'!$L$45,'[35]May 30th'!$L$37,'[36]June 30th'!$L$57,L38)</f>
        <v>97.65232035029473</v>
      </c>
      <c r="N38" s="40">
        <v>98</v>
      </c>
      <c r="O38" s="11"/>
      <c r="P38" s="31"/>
      <c r="R38" s="277"/>
      <c r="S38" s="296"/>
      <c r="T38" s="296"/>
      <c r="U38" s="297"/>
      <c r="V38" s="297"/>
      <c r="W38" s="297"/>
      <c r="X38" s="297"/>
      <c r="Y38" s="297"/>
      <c r="Z38" s="296"/>
      <c r="AA38" s="296"/>
    </row>
    <row r="39" spans="1:56" ht="15.75" thickBot="1">
      <c r="B39" s="564"/>
      <c r="C39" s="350"/>
      <c r="D39" s="519"/>
      <c r="E39" s="502"/>
      <c r="F39" s="294"/>
      <c r="G39" s="42"/>
      <c r="H39" s="41"/>
      <c r="I39" s="42"/>
      <c r="J39" s="42"/>
      <c r="K39" s="351"/>
      <c r="L39" s="348"/>
      <c r="M39" s="348"/>
      <c r="N39" s="11"/>
      <c r="O39" s="294"/>
      <c r="P39" s="12"/>
      <c r="R39" s="277"/>
      <c r="S39" s="296"/>
      <c r="T39" s="296"/>
      <c r="U39" s="297"/>
      <c r="V39" s="297"/>
      <c r="W39" s="297"/>
      <c r="X39" s="297"/>
      <c r="Y39" s="297"/>
      <c r="Z39" s="296"/>
      <c r="AA39" s="296"/>
    </row>
    <row r="40" spans="1:56" ht="15.75" thickBot="1">
      <c r="B40" s="552"/>
      <c r="C40" s="362"/>
      <c r="D40" s="499"/>
      <c r="E40" s="500"/>
      <c r="F40" s="294"/>
      <c r="G40" s="42"/>
      <c r="H40" s="41"/>
      <c r="I40" s="42"/>
      <c r="J40" s="553" t="s">
        <v>129</v>
      </c>
      <c r="K40" s="553"/>
      <c r="L40" s="294"/>
      <c r="M40" s="294"/>
      <c r="N40" s="294"/>
      <c r="O40" s="294"/>
      <c r="P40" s="12"/>
    </row>
    <row r="41" spans="1:56" ht="15.75" thickBot="1">
      <c r="B41" s="516"/>
      <c r="C41" s="362"/>
      <c r="D41" s="501"/>
      <c r="E41" s="502"/>
      <c r="F41" s="294"/>
      <c r="G41" s="42"/>
      <c r="H41" s="41"/>
      <c r="I41" s="42"/>
      <c r="J41" s="292" t="s">
        <v>17</v>
      </c>
      <c r="K41" s="293" t="s">
        <v>147</v>
      </c>
      <c r="L41" s="504" t="s">
        <v>136</v>
      </c>
      <c r="M41" s="504"/>
      <c r="N41" s="505"/>
      <c r="O41" s="294"/>
      <c r="P41" s="12"/>
    </row>
    <row r="42" spans="1:56" ht="15" customHeight="1" thickBot="1">
      <c r="B42" s="516"/>
      <c r="C42" s="349"/>
      <c r="D42" s="554"/>
      <c r="E42" s="555"/>
      <c r="F42" s="294"/>
      <c r="G42" s="42"/>
      <c r="H42" s="41"/>
      <c r="I42" s="42"/>
      <c r="J42" s="287" t="s">
        <v>6</v>
      </c>
      <c r="K42" s="324">
        <v>10</v>
      </c>
      <c r="L42" s="343" t="s">
        <v>37</v>
      </c>
      <c r="M42" s="307" t="s">
        <v>38</v>
      </c>
      <c r="N42" s="307" t="s">
        <v>84</v>
      </c>
      <c r="O42" s="294"/>
      <c r="P42" s="12"/>
    </row>
    <row r="43" spans="1:56" ht="15.75" customHeight="1" thickBot="1">
      <c r="B43" s="516"/>
      <c r="C43" s="349"/>
      <c r="D43" s="501"/>
      <c r="E43" s="502"/>
      <c r="F43" s="294"/>
      <c r="G43" s="42"/>
      <c r="H43" s="41"/>
      <c r="I43" s="42"/>
      <c r="J43" s="345" t="s">
        <v>9</v>
      </c>
      <c r="K43" s="324"/>
      <c r="L43" s="344">
        <f>AVERAGE('Sept 1st'!K53,'Sept 2nd'!K51,K52)</f>
        <v>9</v>
      </c>
      <c r="M43" s="325">
        <f>AVERAGE('[31]Jan 29th '!$M$70,'[32]Feb 28th'!$L$40,'[33]Mar. 31st'!$L$40,'[34]Apr. 30th'!$L$50,'[35]May 30th'!$L$42,'[36]June 30th'!$L$62,'[37]July 29th '!$L$49,'[38]Aug 29th'!$L$34,L43)</f>
        <v>7.1814118164232577</v>
      </c>
      <c r="N43" s="416">
        <v>9.1999999999999993</v>
      </c>
      <c r="O43" s="294"/>
      <c r="P43" s="12"/>
    </row>
    <row r="44" spans="1:56" ht="15" customHeight="1">
      <c r="B44" s="516"/>
      <c r="C44" s="349"/>
      <c r="D44" s="554"/>
      <c r="E44" s="555"/>
      <c r="F44" s="294"/>
      <c r="G44" s="42"/>
      <c r="H44" s="41"/>
      <c r="I44" s="42"/>
      <c r="J44" s="288" t="s">
        <v>40</v>
      </c>
      <c r="K44" s="324"/>
      <c r="L44" s="294"/>
      <c r="M44" s="294"/>
      <c r="N44" s="294"/>
      <c r="O44" s="294"/>
      <c r="P44" s="12"/>
    </row>
    <row r="45" spans="1:56" ht="15" customHeight="1">
      <c r="B45" s="516"/>
      <c r="C45" s="349"/>
      <c r="D45" s="501"/>
      <c r="E45" s="502"/>
      <c r="F45" s="294"/>
      <c r="G45" s="42"/>
      <c r="H45" s="41"/>
      <c r="I45" s="42"/>
      <c r="J45" s="289" t="s">
        <v>33</v>
      </c>
      <c r="K45" s="324"/>
      <c r="L45" s="294"/>
      <c r="M45" s="294"/>
      <c r="N45" s="294"/>
      <c r="O45" s="294"/>
      <c r="P45" s="12"/>
    </row>
    <row r="46" spans="1:56" ht="15">
      <c r="B46" s="516"/>
      <c r="C46" s="349"/>
      <c r="D46" s="554"/>
      <c r="E46" s="555"/>
      <c r="F46" s="294"/>
      <c r="G46" s="42"/>
      <c r="H46" s="41"/>
      <c r="I46" s="42"/>
      <c r="J46" s="290" t="s">
        <v>16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16"/>
      <c r="C47" s="349"/>
      <c r="D47" s="501"/>
      <c r="E47" s="502"/>
      <c r="F47" s="294"/>
      <c r="G47" s="42"/>
      <c r="H47" s="41"/>
      <c r="I47" s="42"/>
      <c r="J47" s="291" t="s">
        <v>15</v>
      </c>
      <c r="K47" s="324"/>
      <c r="L47" s="294"/>
      <c r="M47" s="294"/>
      <c r="N47" s="294"/>
      <c r="O47" s="294"/>
      <c r="P47" s="12"/>
      <c r="BC47" s="44"/>
      <c r="BD47" s="44"/>
    </row>
    <row r="48" spans="1:56" ht="15">
      <c r="B48" s="516"/>
      <c r="C48" s="349"/>
      <c r="D48" s="554"/>
      <c r="E48" s="555"/>
      <c r="F48" s="294"/>
      <c r="G48" s="42"/>
      <c r="H48" s="41"/>
      <c r="I48" s="42"/>
      <c r="J48" s="291" t="s">
        <v>149</v>
      </c>
      <c r="K48" s="324"/>
      <c r="L48" s="294"/>
      <c r="M48" s="294"/>
      <c r="N48" s="294"/>
      <c r="O48" s="294"/>
      <c r="P48" s="12"/>
      <c r="BC48" s="44"/>
      <c r="BD48" s="44"/>
    </row>
    <row r="49" spans="2:57" ht="15.75" thickBot="1">
      <c r="B49" s="517"/>
      <c r="C49" s="350"/>
      <c r="D49" s="556"/>
      <c r="E49" s="557"/>
      <c r="F49" s="294"/>
      <c r="G49" s="42"/>
      <c r="H49" s="41"/>
      <c r="I49" s="42"/>
      <c r="J49" s="291" t="s">
        <v>148</v>
      </c>
      <c r="K49" s="324"/>
      <c r="L49" s="294"/>
      <c r="M49" s="294"/>
      <c r="N49" s="294"/>
      <c r="O49" s="294"/>
      <c r="P49" s="12"/>
      <c r="BC49" s="44"/>
      <c r="BD49" s="44"/>
    </row>
    <row r="50" spans="2:57" ht="17.649999999999999" customHeight="1" thickBot="1">
      <c r="B50" s="312" t="s">
        <v>139</v>
      </c>
      <c r="C50" s="313"/>
      <c r="D50" s="550" t="e">
        <f>AVERAGE(D28:E49)</f>
        <v>#DIV/0!</v>
      </c>
      <c r="E50" s="551"/>
      <c r="F50" s="294"/>
      <c r="H50" s="41"/>
      <c r="I50" s="42"/>
      <c r="J50" s="295" t="s">
        <v>134</v>
      </c>
      <c r="K50" s="324"/>
      <c r="L50" s="294"/>
      <c r="M50" s="294"/>
      <c r="N50" s="294"/>
      <c r="O50" s="294"/>
      <c r="P50" s="12"/>
      <c r="BC50" s="44"/>
      <c r="BD50" s="44"/>
    </row>
    <row r="51" spans="2:57" ht="17.649999999999999" customHeight="1">
      <c r="B51" s="363"/>
      <c r="C51" s="364"/>
      <c r="D51" s="365"/>
      <c r="E51" s="365"/>
      <c r="F51" s="294"/>
      <c r="G51" s="42"/>
      <c r="H51" s="41"/>
      <c r="I51" s="42"/>
      <c r="J51" s="295" t="s">
        <v>131</v>
      </c>
      <c r="K51" s="324"/>
      <c r="L51" s="294"/>
      <c r="M51" s="294"/>
      <c r="N51" s="294"/>
      <c r="O51" s="294"/>
      <c r="P51" s="12"/>
      <c r="BC51" s="44"/>
      <c r="BD51" s="44"/>
    </row>
    <row r="52" spans="2:57" ht="15.6" customHeight="1">
      <c r="B52" s="45"/>
      <c r="C52" s="11"/>
      <c r="D52" s="11"/>
      <c r="E52" s="46"/>
      <c r="F52" s="294"/>
      <c r="G52" s="42"/>
      <c r="H52" s="41"/>
      <c r="I52" s="42"/>
      <c r="J52" s="346" t="s">
        <v>130</v>
      </c>
      <c r="K52" s="324">
        <f>SUM(K42:K51)</f>
        <v>10</v>
      </c>
      <c r="L52" s="294"/>
      <c r="M52" s="294"/>
      <c r="N52" s="294"/>
      <c r="O52" s="294"/>
      <c r="P52" s="12"/>
    </row>
    <row r="53" spans="2:57" ht="20.25" customHeight="1">
      <c r="B53" s="15" t="s">
        <v>42</v>
      </c>
      <c r="C53" s="1" t="s">
        <v>43</v>
      </c>
      <c r="D53" s="1"/>
      <c r="E53" s="1"/>
      <c r="F53" s="294"/>
      <c r="G53" s="42"/>
      <c r="H53" s="41"/>
      <c r="I53" s="42"/>
      <c r="L53" s="294"/>
      <c r="N53" s="315"/>
      <c r="P53" s="334"/>
    </row>
    <row r="54" spans="2:57" ht="15" customHeight="1" thickBot="1"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1"/>
      <c r="O54" s="48"/>
      <c r="P54" s="49"/>
    </row>
    <row r="55" spans="2:57" ht="15" customHeight="1" thickBot="1">
      <c r="B55" s="480" t="s">
        <v>17</v>
      </c>
      <c r="C55" s="480" t="s">
        <v>44</v>
      </c>
      <c r="D55" s="492" t="s">
        <v>45</v>
      </c>
      <c r="E55" s="494" t="s">
        <v>46</v>
      </c>
      <c r="F55" s="488" t="s">
        <v>47</v>
      </c>
      <c r="G55" s="478" t="s">
        <v>48</v>
      </c>
      <c r="H55" s="480" t="s">
        <v>49</v>
      </c>
      <c r="I55" s="480" t="s">
        <v>50</v>
      </c>
      <c r="J55" s="472" t="s">
        <v>28</v>
      </c>
      <c r="K55" s="484" t="s">
        <v>51</v>
      </c>
      <c r="L55" s="486" t="s">
        <v>52</v>
      </c>
      <c r="M55" s="472" t="s">
        <v>53</v>
      </c>
      <c r="N55" s="13"/>
      <c r="O55" s="13"/>
      <c r="P55" s="50"/>
    </row>
    <row r="56" spans="2:57" ht="28.5" customHeight="1" thickTop="1" thickBot="1">
      <c r="B56" s="481"/>
      <c r="C56" s="481"/>
      <c r="D56" s="493"/>
      <c r="E56" s="495"/>
      <c r="F56" s="489"/>
      <c r="G56" s="479"/>
      <c r="H56" s="549"/>
      <c r="I56" s="549"/>
      <c r="J56" s="473"/>
      <c r="K56" s="485"/>
      <c r="L56" s="487"/>
      <c r="M56" s="473"/>
      <c r="N56" s="13"/>
      <c r="O56" s="13"/>
      <c r="P56" s="50"/>
      <c r="Q56" s="355"/>
      <c r="AB56" s="51">
        <v>43474</v>
      </c>
      <c r="AC56" s="51">
        <v>43475</v>
      </c>
      <c r="AD56" s="51">
        <v>43476</v>
      </c>
      <c r="AE56" s="51">
        <v>43477</v>
      </c>
      <c r="AF56" s="51">
        <v>43478</v>
      </c>
      <c r="AG56" s="51">
        <v>43479</v>
      </c>
      <c r="AH56" s="51">
        <v>43480</v>
      </c>
      <c r="AI56" s="51">
        <v>43481</v>
      </c>
      <c r="AJ56" s="51">
        <v>43482</v>
      </c>
      <c r="AK56" s="51">
        <v>43483</v>
      </c>
      <c r="AL56" s="51">
        <v>43484</v>
      </c>
      <c r="AM56" s="51">
        <v>43485</v>
      </c>
      <c r="AN56" s="51">
        <v>43486</v>
      </c>
      <c r="AO56" s="51">
        <v>43487</v>
      </c>
      <c r="AP56" s="51">
        <v>43488</v>
      </c>
      <c r="AQ56" s="51">
        <v>43489</v>
      </c>
      <c r="AR56" s="51">
        <v>43490</v>
      </c>
      <c r="AS56" s="51">
        <v>43491</v>
      </c>
      <c r="AT56" s="51">
        <v>43492</v>
      </c>
      <c r="AU56" s="51">
        <v>43493</v>
      </c>
      <c r="AV56" s="51">
        <v>43494</v>
      </c>
      <c r="AW56" s="51">
        <v>43495</v>
      </c>
      <c r="AX56" s="51">
        <v>43496</v>
      </c>
    </row>
    <row r="57" spans="2:57" s="54" customFormat="1" ht="59.45" customHeight="1" thickBot="1">
      <c r="B57" s="465" t="str">
        <f>J46</f>
        <v>STARMALT</v>
      </c>
      <c r="C57" s="442">
        <v>45903</v>
      </c>
      <c r="D57" s="443">
        <f>[39]September_2025!$F$55</f>
        <v>416.29999999999995</v>
      </c>
      <c r="E57" s="444"/>
      <c r="F57" s="444"/>
      <c r="G57" s="445">
        <f>[39]September_2025!$F$59</f>
        <v>402.3</v>
      </c>
      <c r="H57" s="463"/>
      <c r="I57" s="463"/>
      <c r="J57" s="449" t="s">
        <v>150</v>
      </c>
      <c r="K57" s="450">
        <f>[40]September_2025!$F$53</f>
        <v>1.411578947368421</v>
      </c>
      <c r="L57" s="464">
        <f>(((D57+E57)-G57)/(D57+E57))*100</f>
        <v>3.3629594042757489</v>
      </c>
      <c r="M57" s="457" t="s">
        <v>170</v>
      </c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[20]January_2019!L7</f>
        <v>285.8</v>
      </c>
      <c r="AC57" s="57">
        <f>[20]January_2019!M7</f>
        <v>508.1</v>
      </c>
      <c r="AD57" s="57">
        <f>[20]January_2019!N7</f>
        <v>0</v>
      </c>
      <c r="AE57" s="57">
        <f>[20]January_2019!O7</f>
        <v>0</v>
      </c>
      <c r="AF57" s="57">
        <f>[20]January_2019!P7</f>
        <v>109.56666666666666</v>
      </c>
      <c r="AG57" s="57">
        <f>[20]January_2019!Q7</f>
        <v>297.64999999999998</v>
      </c>
      <c r="AH57" s="57">
        <f>[20]January_2019!R7</f>
        <v>122.3</v>
      </c>
      <c r="AI57" s="57">
        <f>[20]January_2019!S7</f>
        <v>0</v>
      </c>
      <c r="AJ57" s="57">
        <f>[20]January_2019!T7</f>
        <v>294.7</v>
      </c>
      <c r="AK57" s="57">
        <f>[20]January_2019!U7</f>
        <v>280.5</v>
      </c>
      <c r="AL57" s="57">
        <f>[20]January_2019!V7</f>
        <v>0</v>
      </c>
      <c r="AM57" s="57">
        <f>[20]January_2019!W7</f>
        <v>0</v>
      </c>
      <c r="AN57" s="57">
        <f>[20]January_2019!X7</f>
        <v>188.25</v>
      </c>
      <c r="AO57" s="57">
        <f>[20]January_2019!Y7</f>
        <v>295.7</v>
      </c>
      <c r="AP57" s="57">
        <f>[20]January_2019!Z7</f>
        <v>257.8</v>
      </c>
      <c r="AQ57" s="57">
        <f>[20]January_2019!AA7</f>
        <v>291.2</v>
      </c>
      <c r="AR57" s="57">
        <f>[20]January_2019!AB7</f>
        <v>187</v>
      </c>
      <c r="AS57" s="57">
        <f>[20]January_2019!AC7</f>
        <v>0</v>
      </c>
      <c r="AT57" s="57">
        <f>[20]January_2019!AD7</f>
        <v>0</v>
      </c>
      <c r="AU57" s="57">
        <f>[20]January_2019!AE7</f>
        <v>485.1</v>
      </c>
      <c r="AV57" s="57">
        <f>[20]January_2019!AF7</f>
        <v>171.55</v>
      </c>
      <c r="AW57" s="57">
        <f>[20]January_2019!AG7</f>
        <v>423.8</v>
      </c>
      <c r="AX57" s="277">
        <f>[20]January_2019!AH7</f>
        <v>0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20.45" hidden="1" customHeight="1" thickBot="1">
      <c r="B58" s="459"/>
      <c r="C58" s="431"/>
      <c r="D58" s="432"/>
      <c r="E58" s="433"/>
      <c r="F58" s="434"/>
      <c r="G58" s="435"/>
      <c r="H58" s="429"/>
      <c r="I58" s="429"/>
      <c r="J58" s="452"/>
      <c r="K58" s="437"/>
      <c r="L58" s="453"/>
      <c r="M58" s="422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59.45" hidden="1" customHeight="1" thickBot="1">
      <c r="B59" s="460"/>
      <c r="C59" s="442"/>
      <c r="D59" s="443"/>
      <c r="E59" s="444"/>
      <c r="F59" s="445"/>
      <c r="G59" s="446"/>
      <c r="H59" s="429"/>
      <c r="I59" s="429"/>
      <c r="J59" s="449"/>
      <c r="K59" s="450"/>
      <c r="L59" s="458"/>
      <c r="M59" s="457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5" hidden="1">
      <c r="B60" s="454"/>
      <c r="C60" s="431"/>
      <c r="D60" s="432"/>
      <c r="E60" s="433"/>
      <c r="F60" s="434"/>
      <c r="G60" s="435"/>
      <c r="H60" s="436"/>
      <c r="I60" s="451"/>
      <c r="J60" s="452"/>
      <c r="K60" s="437"/>
      <c r="L60" s="453"/>
      <c r="M60" s="422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6.6" hidden="1" customHeight="1" thickBot="1">
      <c r="B61" s="387"/>
      <c r="C61" s="442"/>
      <c r="D61" s="443"/>
      <c r="E61" s="444"/>
      <c r="F61" s="445"/>
      <c r="G61" s="446"/>
      <c r="H61" s="447"/>
      <c r="I61" s="448"/>
      <c r="J61" s="449" t="s">
        <v>163</v>
      </c>
      <c r="K61" s="450"/>
      <c r="L61" s="455" t="e">
        <f>(((D61+E61)-G61)/(D61+E61))*100</f>
        <v>#DIV/0!</v>
      </c>
      <c r="M61" s="456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16.5" hidden="1" customHeight="1" thickBot="1">
      <c r="B62" s="438"/>
      <c r="C62" s="424"/>
      <c r="D62" s="425"/>
      <c r="E62" s="426"/>
      <c r="F62" s="427"/>
      <c r="G62" s="428"/>
      <c r="H62" s="429"/>
      <c r="I62" s="439"/>
      <c r="J62" s="440"/>
      <c r="K62" s="430"/>
      <c r="L62" s="441"/>
      <c r="M62" s="423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415"/>
      <c r="AC62" s="415"/>
      <c r="AD62" s="415"/>
      <c r="AE62" s="415"/>
      <c r="AF62" s="415"/>
      <c r="AG62" s="415"/>
      <c r="AH62" s="415"/>
      <c r="AI62" s="415"/>
      <c r="AJ62" s="415"/>
      <c r="AK62" s="415"/>
      <c r="AL62" s="415"/>
      <c r="AM62" s="415"/>
      <c r="AN62" s="415"/>
      <c r="AO62" s="415"/>
      <c r="AP62" s="415"/>
      <c r="AQ62" s="415"/>
      <c r="AR62" s="415"/>
      <c r="AS62" s="415"/>
      <c r="AT62" s="415"/>
      <c r="AU62" s="415"/>
      <c r="AV62" s="415"/>
      <c r="AW62" s="415"/>
    </row>
    <row r="63" spans="2:57" ht="18" customHeight="1" thickBot="1">
      <c r="B63" s="59"/>
      <c r="C63" s="30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 t="s">
        <v>41</v>
      </c>
      <c r="O63" s="56"/>
      <c r="P63" s="60"/>
    </row>
    <row r="64" spans="2:57" ht="15.75" thickBot="1">
      <c r="B64" s="474" t="s">
        <v>55</v>
      </c>
      <c r="C64" s="475"/>
      <c r="D64" s="475"/>
      <c r="E64" s="475"/>
      <c r="F64" s="476"/>
      <c r="G64" s="474" t="s">
        <v>56</v>
      </c>
      <c r="H64" s="475"/>
      <c r="I64" s="475"/>
      <c r="J64" s="476"/>
      <c r="K64" s="474" t="s">
        <v>51</v>
      </c>
      <c r="L64" s="475"/>
      <c r="M64" s="475"/>
      <c r="N64" s="477"/>
      <c r="O64" s="56"/>
      <c r="P64" s="50"/>
    </row>
    <row r="65" spans="2:16" ht="15">
      <c r="B65" s="61" t="s">
        <v>17</v>
      </c>
      <c r="C65" s="62" t="s">
        <v>36</v>
      </c>
      <c r="D65" s="62" t="s">
        <v>37</v>
      </c>
      <c r="E65" s="62" t="s">
        <v>38</v>
      </c>
      <c r="F65" s="63" t="s">
        <v>39</v>
      </c>
      <c r="G65" s="62" t="s">
        <v>36</v>
      </c>
      <c r="H65" s="62" t="s">
        <v>37</v>
      </c>
      <c r="I65" s="62" t="s">
        <v>38</v>
      </c>
      <c r="J65" s="63" t="s">
        <v>39</v>
      </c>
      <c r="K65" s="62" t="s">
        <v>36</v>
      </c>
      <c r="L65" s="62" t="s">
        <v>37</v>
      </c>
      <c r="M65" s="62" t="s">
        <v>38</v>
      </c>
      <c r="N65" s="63" t="s">
        <v>39</v>
      </c>
      <c r="O65" s="56"/>
      <c r="P65" s="64"/>
    </row>
    <row r="66" spans="2:16" ht="15">
      <c r="B66" s="29" t="s">
        <v>6</v>
      </c>
      <c r="C66" s="65"/>
      <c r="D66" s="76"/>
      <c r="E66" s="76"/>
      <c r="F66" s="66">
        <v>4.8</v>
      </c>
      <c r="G66" s="65"/>
      <c r="H66" s="76"/>
      <c r="I66" s="76"/>
      <c r="J66" s="66">
        <v>4.8</v>
      </c>
      <c r="K66" s="67"/>
      <c r="L66" s="194"/>
      <c r="M66" s="194"/>
      <c r="N66" s="68">
        <v>1</v>
      </c>
      <c r="O66" s="56"/>
      <c r="P66" s="69"/>
    </row>
    <row r="67" spans="2:16" ht="15">
      <c r="B67" s="33" t="s">
        <v>9</v>
      </c>
      <c r="C67" s="65"/>
      <c r="D67" s="76"/>
      <c r="E67" s="76"/>
      <c r="F67" s="66">
        <v>4.8</v>
      </c>
      <c r="G67" s="65"/>
      <c r="H67" s="76"/>
      <c r="I67" s="76"/>
      <c r="J67" s="66">
        <v>4.8</v>
      </c>
      <c r="K67" s="67"/>
      <c r="L67" s="194"/>
      <c r="M67" s="194"/>
      <c r="N67" s="68">
        <v>1</v>
      </c>
      <c r="P67" s="69"/>
    </row>
    <row r="68" spans="2:16" ht="15">
      <c r="B68" s="34" t="s">
        <v>40</v>
      </c>
      <c r="C68" s="65"/>
      <c r="D68" s="76"/>
      <c r="E68" s="76"/>
      <c r="F68" s="66">
        <v>5.5</v>
      </c>
      <c r="G68" s="65"/>
      <c r="H68" s="76"/>
      <c r="I68" s="76"/>
      <c r="J68" s="66">
        <v>5.5</v>
      </c>
      <c r="K68" s="67"/>
      <c r="L68" s="194"/>
      <c r="M68" s="194"/>
      <c r="N68" s="68">
        <v>1</v>
      </c>
      <c r="P68" s="69"/>
    </row>
    <row r="69" spans="2:16" ht="15">
      <c r="B69" s="22" t="s">
        <v>33</v>
      </c>
      <c r="C69" s="65"/>
      <c r="D69" s="76"/>
      <c r="E69" s="76"/>
      <c r="F69" s="66">
        <v>3.3</v>
      </c>
      <c r="G69" s="65"/>
      <c r="H69" s="76"/>
      <c r="I69" s="76"/>
      <c r="J69" s="66">
        <v>3.3</v>
      </c>
      <c r="K69" s="67"/>
      <c r="L69" s="194"/>
      <c r="M69" s="194"/>
      <c r="N69" s="68">
        <v>1</v>
      </c>
      <c r="P69" s="69"/>
    </row>
    <row r="70" spans="2:16" ht="15">
      <c r="B70" s="35" t="s">
        <v>165</v>
      </c>
      <c r="C70" s="65"/>
      <c r="D70" s="76"/>
      <c r="E70" s="76"/>
      <c r="F70" s="66">
        <v>3.3</v>
      </c>
      <c r="G70" s="282"/>
      <c r="H70" s="76"/>
      <c r="I70" s="76"/>
      <c r="J70" s="66">
        <v>3</v>
      </c>
      <c r="K70" s="67"/>
      <c r="L70" s="194"/>
      <c r="M70" s="194"/>
      <c r="N70" s="68">
        <v>1</v>
      </c>
      <c r="P70" s="69"/>
    </row>
    <row r="71" spans="2:16" ht="15">
      <c r="B71" s="36" t="s">
        <v>15</v>
      </c>
      <c r="C71" s="65"/>
      <c r="D71" s="76"/>
      <c r="E71" s="76"/>
      <c r="F71" s="70">
        <f>[21]May_2022!$M$43</f>
        <v>3.4878406700073312</v>
      </c>
      <c r="G71" s="282"/>
      <c r="H71" s="76"/>
      <c r="I71" s="76"/>
      <c r="J71" s="66">
        <v>5.5</v>
      </c>
      <c r="K71" s="67"/>
      <c r="L71" s="194"/>
      <c r="M71" s="194"/>
      <c r="N71" s="68">
        <v>1</v>
      </c>
      <c r="P71" s="69"/>
    </row>
    <row r="72" spans="2:16" ht="15">
      <c r="B72" s="37" t="s">
        <v>16</v>
      </c>
      <c r="C72" s="65">
        <f>L57</f>
        <v>3.3629594042757489</v>
      </c>
      <c r="D72" s="76"/>
      <c r="E72" s="76"/>
      <c r="F72" s="66">
        <v>3.3</v>
      </c>
      <c r="G72" s="282">
        <f>[39]September_2025!$F$63</f>
        <v>4.3098656267706001</v>
      </c>
      <c r="H72" s="76"/>
      <c r="I72" s="76"/>
      <c r="J72" s="66">
        <v>3.3</v>
      </c>
      <c r="K72" s="67">
        <f>K57</f>
        <v>1.411578947368421</v>
      </c>
      <c r="L72" s="194"/>
      <c r="M72" s="194"/>
      <c r="N72" s="71">
        <v>1</v>
      </c>
      <c r="P72" s="69"/>
    </row>
    <row r="73" spans="2:16" ht="15.75" thickBot="1">
      <c r="B73" s="38" t="s">
        <v>164</v>
      </c>
      <c r="C73" s="65"/>
      <c r="D73" s="76"/>
      <c r="E73" s="76"/>
      <c r="F73" s="66">
        <v>7.5</v>
      </c>
      <c r="G73" s="282"/>
      <c r="H73" s="76"/>
      <c r="I73" s="76"/>
      <c r="J73" s="66">
        <v>7.5</v>
      </c>
      <c r="K73" s="67"/>
      <c r="M73" s="194"/>
      <c r="N73" s="71">
        <v>1</v>
      </c>
      <c r="P73" s="69"/>
    </row>
    <row r="74" spans="2:16" ht="15.75" thickBot="1">
      <c r="B74" s="414" t="s">
        <v>161</v>
      </c>
      <c r="C74" s="65"/>
      <c r="D74" s="76"/>
      <c r="E74" s="76"/>
      <c r="F74" s="66">
        <v>4.8</v>
      </c>
      <c r="G74" s="282"/>
      <c r="H74" s="76"/>
      <c r="I74" s="76"/>
      <c r="J74" s="66">
        <v>4.8</v>
      </c>
      <c r="K74" s="67"/>
      <c r="L74" s="194"/>
      <c r="M74" s="194"/>
      <c r="N74" s="71">
        <v>1</v>
      </c>
      <c r="O74" s="74"/>
      <c r="P74" s="75"/>
    </row>
    <row r="75" spans="2:16" ht="15">
      <c r="D75" s="76"/>
      <c r="E75" s="76"/>
      <c r="F75" s="341">
        <v>5.5</v>
      </c>
      <c r="H75" s="76"/>
      <c r="I75" s="76"/>
      <c r="J75" s="341">
        <v>5.5</v>
      </c>
      <c r="L75" s="194"/>
      <c r="M75" s="194"/>
      <c r="N75" s="386">
        <v>1</v>
      </c>
    </row>
    <row r="79" spans="2:16">
      <c r="F79" s="315"/>
    </row>
    <row r="80" spans="2:16" ht="15">
      <c r="F80" s="341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6:N26"/>
    <mergeCell ref="D27:E27"/>
    <mergeCell ref="B28:B39"/>
    <mergeCell ref="D28:E29"/>
    <mergeCell ref="D30:E31"/>
    <mergeCell ref="D32:E33"/>
    <mergeCell ref="D34:E35"/>
    <mergeCell ref="D36:E37"/>
    <mergeCell ref="D38:E39"/>
    <mergeCell ref="B40:B49"/>
    <mergeCell ref="D40:E41"/>
    <mergeCell ref="J40:K40"/>
    <mergeCell ref="L41:N41"/>
    <mergeCell ref="D42:E43"/>
    <mergeCell ref="D44:E45"/>
    <mergeCell ref="D46:E47"/>
    <mergeCell ref="D48:E49"/>
    <mergeCell ref="D50:E50"/>
    <mergeCell ref="B55:B56"/>
    <mergeCell ref="C55:C56"/>
    <mergeCell ref="D55:D56"/>
    <mergeCell ref="E55:E56"/>
    <mergeCell ref="M55:M56"/>
    <mergeCell ref="B64:F64"/>
    <mergeCell ref="G64:J64"/>
    <mergeCell ref="K64:N64"/>
    <mergeCell ref="G55:G56"/>
    <mergeCell ref="H55:H56"/>
    <mergeCell ref="I55:I56"/>
    <mergeCell ref="J55:J56"/>
    <mergeCell ref="K55:K56"/>
    <mergeCell ref="L55:L56"/>
    <mergeCell ref="F55:F56"/>
  </mergeCells>
  <conditionalFormatting sqref="B50:B51">
    <cfRule type="cellIs" dxfId="3199" priority="129" operator="notBetween">
      <formula>#REF!</formula>
      <formula>#REF!</formula>
    </cfRule>
  </conditionalFormatting>
  <conditionalFormatting sqref="C54">
    <cfRule type="cellIs" dxfId="3198" priority="160" stopIfTrue="1" operator="lessThan">
      <formula>96</formula>
    </cfRule>
    <cfRule type="cellIs" dxfId="3197" priority="161" stopIfTrue="1" operator="greaterThan">
      <formula>100</formula>
    </cfRule>
  </conditionalFormatting>
  <conditionalFormatting sqref="C66:C67">
    <cfRule type="cellIs" dxfId="3196" priority="164" stopIfTrue="1" operator="greaterThan">
      <formula>$F66</formula>
    </cfRule>
    <cfRule type="cellIs" dxfId="3195" priority="166" stopIfTrue="1" operator="greaterThan">
      <formula>$F67</formula>
    </cfRule>
  </conditionalFormatting>
  <conditionalFormatting sqref="C66:C70">
    <cfRule type="cellIs" dxfId="3194" priority="110" stopIfTrue="1" operator="lessThanOrEqual">
      <formula>0</formula>
    </cfRule>
  </conditionalFormatting>
  <conditionalFormatting sqref="C67:C74">
    <cfRule type="cellIs" dxfId="3193" priority="109" stopIfTrue="1" operator="greaterThan">
      <formula>$F67</formula>
    </cfRule>
  </conditionalFormatting>
  <conditionalFormatting sqref="C71">
    <cfRule type="cellIs" dxfId="3192" priority="34" stopIfTrue="1" operator="greaterThan">
      <formula>$F70</formula>
    </cfRule>
    <cfRule type="cellIs" dxfId="3191" priority="33" stopIfTrue="1" operator="lessThanOrEqual">
      <formula>0</formula>
    </cfRule>
  </conditionalFormatting>
  <conditionalFormatting sqref="C77:C81">
    <cfRule type="cellIs" dxfId="3190" priority="152" stopIfTrue="1" operator="lessThanOrEqual">
      <formula>0</formula>
    </cfRule>
  </conditionalFormatting>
  <conditionalFormatting sqref="C78:C81">
    <cfRule type="cellIs" dxfId="3189" priority="151" stopIfTrue="1" operator="greaterThan">
      <formula>$F$77</formula>
    </cfRule>
  </conditionalFormatting>
  <conditionalFormatting sqref="C83">
    <cfRule type="cellIs" dxfId="3188" priority="154" stopIfTrue="1" operator="lessThanOrEqual">
      <formula>0</formula>
    </cfRule>
    <cfRule type="cellIs" dxfId="3187" priority="153" stopIfTrue="1" operator="greaterThan">
      <formula>$F$77</formula>
    </cfRule>
  </conditionalFormatting>
  <conditionalFormatting sqref="C77:D77 D79:D85">
    <cfRule type="cellIs" dxfId="3186" priority="146" stopIfTrue="1" operator="greaterThan">
      <formula>4.5</formula>
    </cfRule>
  </conditionalFormatting>
  <conditionalFormatting sqref="D50:D51">
    <cfRule type="cellIs" dxfId="3185" priority="130" operator="notBetween">
      <formula>#REF!</formula>
      <formula>#REF!</formula>
    </cfRule>
  </conditionalFormatting>
  <conditionalFormatting sqref="D66:D73">
    <cfRule type="cellIs" dxfId="3184" priority="124" stopIfTrue="1" operator="lessThanOrEqual">
      <formula>0</formula>
    </cfRule>
  </conditionalFormatting>
  <conditionalFormatting sqref="D74">
    <cfRule type="cellIs" dxfId="3183" priority="123" stopIfTrue="1" operator="lessThanOrEqual">
      <formula>0</formula>
    </cfRule>
  </conditionalFormatting>
  <conditionalFormatting sqref="D77 D79:D85">
    <cfRule type="cellIs" dxfId="3182" priority="147" stopIfTrue="1" operator="lessThanOrEqual">
      <formula>0</formula>
    </cfRule>
  </conditionalFormatting>
  <conditionalFormatting sqref="D78">
    <cfRule type="cellIs" dxfId="3181" priority="139" stopIfTrue="1" operator="lessThanOrEqual">
      <formula>0</formula>
    </cfRule>
    <cfRule type="cellIs" dxfId="3180" priority="138" stopIfTrue="1" operator="greaterThan">
      <formula>$F$77</formula>
    </cfRule>
  </conditionalFormatting>
  <conditionalFormatting sqref="D66:E75">
    <cfRule type="cellIs" dxfId="3179" priority="107" stopIfTrue="1" operator="greaterThan">
      <formula>$F66</formula>
    </cfRule>
  </conditionalFormatting>
  <conditionalFormatting sqref="D75:E75">
    <cfRule type="cellIs" dxfId="3178" priority="108" stopIfTrue="1" operator="lessThanOrEqual">
      <formula>0</formula>
    </cfRule>
  </conditionalFormatting>
  <conditionalFormatting sqref="E10:E25">
    <cfRule type="cellIs" dxfId="3177" priority="2" operator="lessThan">
      <formula>48</formula>
    </cfRule>
  </conditionalFormatting>
  <conditionalFormatting sqref="E53 E54:F54">
    <cfRule type="cellIs" dxfId="3176" priority="143" stopIfTrue="1" operator="greaterThan">
      <formula>100</formula>
    </cfRule>
  </conditionalFormatting>
  <conditionalFormatting sqref="E54">
    <cfRule type="cellIs" dxfId="3175" priority="140" stopIfTrue="1" operator="lessThan">
      <formula>96.8</formula>
    </cfRule>
    <cfRule type="cellIs" dxfId="3174" priority="141" stopIfTrue="1" operator="greaterThan">
      <formula>100</formula>
    </cfRule>
  </conditionalFormatting>
  <conditionalFormatting sqref="E66:E74">
    <cfRule type="cellIs" dxfId="3173" priority="118" stopIfTrue="1" operator="lessThanOrEqual">
      <formula>0</formula>
    </cfRule>
  </conditionalFormatting>
  <conditionalFormatting sqref="E77:E85">
    <cfRule type="cellIs" dxfId="3172" priority="133" stopIfTrue="1" operator="lessThanOrEqual">
      <formula>0</formula>
    </cfRule>
    <cfRule type="cellIs" dxfId="3171" priority="132" stopIfTrue="1" operator="greaterThan">
      <formula>4.5</formula>
    </cfRule>
  </conditionalFormatting>
  <conditionalFormatting sqref="E54:F54 E53">
    <cfRule type="cellIs" dxfId="3170" priority="142" stopIfTrue="1" operator="lessThan">
      <formula>96.5</formula>
    </cfRule>
  </conditionalFormatting>
  <conditionalFormatting sqref="F10:F21 F23:F24">
    <cfRule type="cellIs" dxfId="3169" priority="17" operator="greaterThan">
      <formula>60</formula>
    </cfRule>
  </conditionalFormatting>
  <conditionalFormatting sqref="F54">
    <cfRule type="cellIs" dxfId="3168" priority="159" stopIfTrue="1" operator="greaterThan">
      <formula>100</formula>
    </cfRule>
    <cfRule type="cellIs" dxfId="3167" priority="158" stopIfTrue="1" operator="lessThan">
      <formula>96.8</formula>
    </cfRule>
  </conditionalFormatting>
  <conditionalFormatting sqref="F75">
    <cfRule type="cellIs" dxfId="3166" priority="119" stopIfTrue="1" operator="greaterThan">
      <formula>$F75</formula>
    </cfRule>
    <cfRule type="cellIs" dxfId="3165" priority="120" stopIfTrue="1" operator="lessThanOrEqual">
      <formula>0</formula>
    </cfRule>
  </conditionalFormatting>
  <conditionalFormatting sqref="F80">
    <cfRule type="cellIs" dxfId="3164" priority="77" stopIfTrue="1" operator="greaterThan">
      <formula>$F80</formula>
    </cfRule>
    <cfRule type="cellIs" dxfId="3163" priority="78" stopIfTrue="1" operator="lessThanOrEqual">
      <formula>0</formula>
    </cfRule>
  </conditionalFormatting>
  <conditionalFormatting sqref="G10:G22">
    <cfRule type="expression" dxfId="3162" priority="14">
      <formula>IF(+(IF(G10&lt;S10,0,IF(G10&gt;T10,0,1)))=0,1)</formula>
    </cfRule>
  </conditionalFormatting>
  <conditionalFormatting sqref="G25">
    <cfRule type="expression" dxfId="3161" priority="11">
      <formula>IF(+(IF(G25&lt;S25,0,IF(G25&gt;T25,0,1)))=0,1)</formula>
    </cfRule>
  </conditionalFormatting>
  <conditionalFormatting sqref="G66:G67 C72:C74">
    <cfRule type="cellIs" dxfId="3160" priority="126" stopIfTrue="1" operator="lessThanOrEqual">
      <formula>0</formula>
    </cfRule>
  </conditionalFormatting>
  <conditionalFormatting sqref="G66:G67">
    <cfRule type="cellIs" dxfId="3159" priority="111" stopIfTrue="1" operator="greaterThan">
      <formula>$F66</formula>
    </cfRule>
    <cfRule type="cellIs" dxfId="3158" priority="125" stopIfTrue="1" operator="greaterThan">
      <formula>$F66</formula>
    </cfRule>
    <cfRule type="cellIs" dxfId="3157" priority="112" stopIfTrue="1" operator="lessThanOrEqual">
      <formula>0</formula>
    </cfRule>
  </conditionalFormatting>
  <conditionalFormatting sqref="G68">
    <cfRule type="cellIs" dxfId="3156" priority="162" stopIfTrue="1" operator="greaterThan">
      <formula>$F67</formula>
    </cfRule>
    <cfRule type="cellIs" dxfId="3155" priority="163" stopIfTrue="1" operator="lessThanOrEqual">
      <formula>0</formula>
    </cfRule>
  </conditionalFormatting>
  <conditionalFormatting sqref="G69">
    <cfRule type="cellIs" dxfId="3154" priority="122" stopIfTrue="1" operator="lessThanOrEqual">
      <formula>0</formula>
    </cfRule>
    <cfRule type="cellIs" dxfId="3153" priority="121" stopIfTrue="1" operator="greaterThan">
      <formula>$F69</formula>
    </cfRule>
  </conditionalFormatting>
  <conditionalFormatting sqref="G70:G74">
    <cfRule type="cellIs" dxfId="3152" priority="128" stopIfTrue="1" operator="lessThanOrEqual">
      <formula>0</formula>
    </cfRule>
    <cfRule type="cellIs" dxfId="3151" priority="127" stopIfTrue="1" operator="greaterThan">
      <formula>$J70</formula>
    </cfRule>
  </conditionalFormatting>
  <conditionalFormatting sqref="G79:G84 C82 C84">
    <cfRule type="cellIs" dxfId="3150" priority="156" stopIfTrue="1" operator="lessThanOrEqual">
      <formula>0</formula>
    </cfRule>
    <cfRule type="cellIs" dxfId="3149" priority="155" stopIfTrue="1" operator="greaterThan">
      <formula>4.5</formula>
    </cfRule>
  </conditionalFormatting>
  <conditionalFormatting sqref="G78:H78">
    <cfRule type="cellIs" dxfId="3148" priority="136" stopIfTrue="1" operator="greaterThan">
      <formula>$F$77</formula>
    </cfRule>
    <cfRule type="cellIs" dxfId="3147" priority="137" stopIfTrue="1" operator="lessThanOrEqual">
      <formula>0</formula>
    </cfRule>
  </conditionalFormatting>
  <conditionalFormatting sqref="H10:H22 G23:H24">
    <cfRule type="expression" dxfId="3146" priority="32">
      <formula>IF(+(IF(G10&lt;#REF!,0,IF(G10&gt;#REF!,0,1)))=0,1)</formula>
    </cfRule>
  </conditionalFormatting>
  <conditionalFormatting sqref="H25">
    <cfRule type="expression" dxfId="3145" priority="12">
      <formula>IF(+(IF(H25&lt;#REF!,0,IF(H25&gt;#REF!,0,1)))=0,1)</formula>
    </cfRule>
  </conditionalFormatting>
  <conditionalFormatting sqref="H39:H53">
    <cfRule type="cellIs" dxfId="3144" priority="134" stopIfTrue="1" operator="greaterThan">
      <formula>0</formula>
    </cfRule>
  </conditionalFormatting>
  <conditionalFormatting sqref="H57">
    <cfRule type="cellIs" dxfId="3143" priority="36" stopIfTrue="1" operator="lessThanOrEqual">
      <formula>0</formula>
    </cfRule>
    <cfRule type="cellIs" dxfId="3142" priority="47" stopIfTrue="1" operator="greaterThan">
      <formula>#REF!</formula>
    </cfRule>
    <cfRule type="cellIs" dxfId="3141" priority="48" stopIfTrue="1" operator="lessThanOrEqual">
      <formula>0</formula>
    </cfRule>
    <cfRule type="cellIs" dxfId="3140" priority="37" stopIfTrue="1" operator="greaterThan">
      <formula>#REF!</formula>
    </cfRule>
  </conditionalFormatting>
  <conditionalFormatting sqref="H58">
    <cfRule type="cellIs" dxfId="3139" priority="76" stopIfTrue="1" operator="lessThanOrEqual">
      <formula>0</formula>
    </cfRule>
    <cfRule type="cellIs" dxfId="3138" priority="73" stopIfTrue="1" operator="greaterThan">
      <formula>$F$26</formula>
    </cfRule>
    <cfRule type="cellIs" dxfId="3137" priority="64" stopIfTrue="1" operator="lessThanOrEqual">
      <formula>0</formula>
    </cfRule>
    <cfRule type="cellIs" dxfId="3136" priority="65" stopIfTrue="1" operator="greaterThan">
      <formula>#REF!</formula>
    </cfRule>
    <cfRule type="cellIs" dxfId="3135" priority="75" stopIfTrue="1" operator="greaterThan">
      <formula>#REF!</formula>
    </cfRule>
    <cfRule type="cellIs" dxfId="3134" priority="74" stopIfTrue="1" operator="lessThanOrEqual">
      <formula>0</formula>
    </cfRule>
  </conditionalFormatting>
  <conditionalFormatting sqref="H59">
    <cfRule type="cellIs" dxfId="3133" priority="31" stopIfTrue="1" operator="lessThanOrEqual">
      <formula>0</formula>
    </cfRule>
    <cfRule type="cellIs" dxfId="3132" priority="19" stopIfTrue="1" operator="lessThanOrEqual">
      <formula>0</formula>
    </cfRule>
    <cfRule type="cellIs" dxfId="3131" priority="20" stopIfTrue="1" operator="greaterThan">
      <formula>$F$44</formula>
    </cfRule>
    <cfRule type="cellIs" dxfId="3130" priority="30" stopIfTrue="1" operator="greaterThan">
      <formula>$F$45</formula>
    </cfRule>
    <cfRule type="cellIs" dxfId="3129" priority="29" stopIfTrue="1" operator="lessThanOrEqual">
      <formula>0</formula>
    </cfRule>
    <cfRule type="cellIs" dxfId="3128" priority="28" stopIfTrue="1" operator="greaterThan">
      <formula>$F$47</formula>
    </cfRule>
  </conditionalFormatting>
  <conditionalFormatting sqref="H60:H61">
    <cfRule type="cellIs" dxfId="3127" priority="51" stopIfTrue="1" operator="greaterThan">
      <formula>#REF!</formula>
    </cfRule>
    <cfRule type="cellIs" dxfId="3126" priority="59" stopIfTrue="1" operator="greaterThan">
      <formula>$F$25</formula>
    </cfRule>
    <cfRule type="cellIs" dxfId="3125" priority="60" stopIfTrue="1" operator="lessThanOrEqual">
      <formula>0</formula>
    </cfRule>
    <cfRule type="cellIs" dxfId="3124" priority="61" stopIfTrue="1" operator="greaterThan">
      <formula>#REF!</formula>
    </cfRule>
    <cfRule type="cellIs" dxfId="3123" priority="62" stopIfTrue="1" operator="lessThanOrEqual">
      <formula>0</formula>
    </cfRule>
    <cfRule type="cellIs" dxfId="3122" priority="50" stopIfTrue="1" operator="lessThanOrEqual">
      <formula>0</formula>
    </cfRule>
  </conditionalFormatting>
  <conditionalFormatting sqref="H62">
    <cfRule type="cellIs" dxfId="3121" priority="81" stopIfTrue="1" operator="lessThanOrEqual">
      <formula>0</formula>
    </cfRule>
    <cfRule type="cellIs" dxfId="3120" priority="82" stopIfTrue="1" operator="greaterThan">
      <formula>$F$38</formula>
    </cfRule>
    <cfRule type="cellIs" dxfId="3119" priority="90" stopIfTrue="1" operator="greaterThan">
      <formula>$F$41</formula>
    </cfRule>
    <cfRule type="cellIs" dxfId="3118" priority="91" stopIfTrue="1" operator="lessThanOrEqual">
      <formula>0</formula>
    </cfRule>
    <cfRule type="cellIs" dxfId="3117" priority="92" stopIfTrue="1" operator="greaterThan">
      <formula>$F$39</formula>
    </cfRule>
    <cfRule type="cellIs" dxfId="3116" priority="93" stopIfTrue="1" operator="lessThanOrEqual">
      <formula>0</formula>
    </cfRule>
  </conditionalFormatting>
  <conditionalFormatting sqref="H66:H73">
    <cfRule type="cellIs" dxfId="3115" priority="114" stopIfTrue="1" operator="lessThanOrEqual">
      <formula>0</formula>
    </cfRule>
    <cfRule type="cellIs" dxfId="3114" priority="113" stopIfTrue="1" operator="greaterThan">
      <formula>$J66</formula>
    </cfRule>
  </conditionalFormatting>
  <conditionalFormatting sqref="H74">
    <cfRule type="cellIs" dxfId="3113" priority="115" operator="greaterThan">
      <formula>5.3</formula>
    </cfRule>
  </conditionalFormatting>
  <conditionalFormatting sqref="H77 H79:H85">
    <cfRule type="cellIs" dxfId="3112" priority="148" stopIfTrue="1" operator="greaterThan">
      <formula>4.5</formula>
    </cfRule>
    <cfRule type="cellIs" dxfId="3111" priority="149" stopIfTrue="1" operator="lessThanOrEqual">
      <formula>0</formula>
    </cfRule>
  </conditionalFormatting>
  <conditionalFormatting sqref="H57:I57">
    <cfRule type="cellIs" dxfId="3110" priority="43" stopIfTrue="1" operator="greaterThan">
      <formula>#REF!</formula>
    </cfRule>
    <cfRule type="cellIs" dxfId="3109" priority="38" stopIfTrue="1" operator="lessThanOrEqual">
      <formula>0</formula>
    </cfRule>
    <cfRule type="cellIs" dxfId="3108" priority="35" stopIfTrue="1" operator="greaterThan">
      <formula>#REF!</formula>
    </cfRule>
    <cfRule type="cellIs" dxfId="3107" priority="44" stopIfTrue="1" operator="lessThanOrEqual">
      <formula>0</formula>
    </cfRule>
  </conditionalFormatting>
  <conditionalFormatting sqref="H58:I58">
    <cfRule type="cellIs" dxfId="3106" priority="66" stopIfTrue="1" operator="lessThanOrEqual">
      <formula>0</formula>
    </cfRule>
    <cfRule type="cellIs" dxfId="3105" priority="63" stopIfTrue="1" operator="greaterThan">
      <formula>$F$25</formula>
    </cfRule>
  </conditionalFormatting>
  <conditionalFormatting sqref="H59:I59">
    <cfRule type="cellIs" dxfId="3104" priority="21" stopIfTrue="1" operator="lessThanOrEqual">
      <formula>0</formula>
    </cfRule>
    <cfRule type="cellIs" dxfId="3103" priority="18" stopIfTrue="1" operator="greaterThan">
      <formula>$F$46</formula>
    </cfRule>
  </conditionalFormatting>
  <conditionalFormatting sqref="H60:I61">
    <cfRule type="cellIs" dxfId="3102" priority="52" stopIfTrue="1" operator="lessThanOrEqual">
      <formula>0</formula>
    </cfRule>
    <cfRule type="cellIs" dxfId="3101" priority="49" stopIfTrue="1" operator="greaterThan">
      <formula>#REF!</formula>
    </cfRule>
  </conditionalFormatting>
  <conditionalFormatting sqref="H62:I62">
    <cfRule type="cellIs" dxfId="3100" priority="83" stopIfTrue="1" operator="lessThanOrEqual">
      <formula>0</formula>
    </cfRule>
    <cfRule type="cellIs" dxfId="3099" priority="80" stopIfTrue="1" operator="greaterThan">
      <formula>$F$40</formula>
    </cfRule>
  </conditionalFormatting>
  <conditionalFormatting sqref="H75:I75">
    <cfRule type="cellIs" dxfId="3098" priority="106" stopIfTrue="1" operator="lessThanOrEqual">
      <formula>0</formula>
    </cfRule>
    <cfRule type="cellIs" dxfId="3097" priority="105" stopIfTrue="1" operator="greaterThan">
      <formula>$J75</formula>
    </cfRule>
  </conditionalFormatting>
  <conditionalFormatting sqref="I57">
    <cfRule type="cellIs" dxfId="3096" priority="41" stopIfTrue="1" operator="greaterThan">
      <formula>#REF!</formula>
    </cfRule>
    <cfRule type="cellIs" dxfId="3095" priority="42" stopIfTrue="1" operator="lessThanOrEqual">
      <formula>0</formula>
    </cfRule>
    <cfRule type="cellIs" dxfId="3094" priority="40" stopIfTrue="1" operator="lessThanOrEqual">
      <formula>0</formula>
    </cfRule>
    <cfRule type="cellIs" dxfId="3093" priority="39" stopIfTrue="1" operator="greaterThan">
      <formula>#REF!</formula>
    </cfRule>
  </conditionalFormatting>
  <conditionalFormatting sqref="I58">
    <cfRule type="cellIs" dxfId="3092" priority="70" stopIfTrue="1" operator="lessThanOrEqual">
      <formula>0</formula>
    </cfRule>
    <cfRule type="cellIs" dxfId="3091" priority="69" stopIfTrue="1" operator="greaterThan">
      <formula>$F$25</formula>
    </cfRule>
    <cfRule type="cellIs" dxfId="3090" priority="68" stopIfTrue="1" operator="lessThanOrEqual">
      <formula>0</formula>
    </cfRule>
    <cfRule type="cellIs" dxfId="3089" priority="67" stopIfTrue="1" operator="greaterThan">
      <formula>#REF!</formula>
    </cfRule>
    <cfRule type="cellIs" dxfId="3088" priority="71" stopIfTrue="1" operator="greaterThan">
      <formula>#REF!</formula>
    </cfRule>
    <cfRule type="cellIs" dxfId="3087" priority="72" stopIfTrue="1" operator="lessThanOrEqual">
      <formula>0</formula>
    </cfRule>
  </conditionalFormatting>
  <conditionalFormatting sqref="I59">
    <cfRule type="cellIs" dxfId="3086" priority="22" stopIfTrue="1" operator="greaterThan">
      <formula>$F$44</formula>
    </cfRule>
    <cfRule type="cellIs" dxfId="3085" priority="27" stopIfTrue="1" operator="lessThanOrEqual">
      <formula>0</formula>
    </cfRule>
    <cfRule type="cellIs" dxfId="3084" priority="26" stopIfTrue="1" operator="greaterThan">
      <formula>$F$44</formula>
    </cfRule>
    <cfRule type="cellIs" dxfId="3083" priority="25" stopIfTrue="1" operator="lessThanOrEqual">
      <formula>0</formula>
    </cfRule>
    <cfRule type="cellIs" dxfId="3082" priority="24" stopIfTrue="1" operator="greaterThan">
      <formula>$F$46</formula>
    </cfRule>
    <cfRule type="cellIs" dxfId="3081" priority="23" stopIfTrue="1" operator="lessThanOrEqual">
      <formula>0</formula>
    </cfRule>
  </conditionalFormatting>
  <conditionalFormatting sqref="I60:I61">
    <cfRule type="cellIs" dxfId="3080" priority="56" stopIfTrue="1" operator="lessThanOrEqual">
      <formula>0</formula>
    </cfRule>
    <cfRule type="cellIs" dxfId="3079" priority="58" stopIfTrue="1" operator="lessThanOrEqual">
      <formula>0</formula>
    </cfRule>
    <cfRule type="cellIs" dxfId="3078" priority="57" stopIfTrue="1" operator="greaterThan">
      <formula>#REF!</formula>
    </cfRule>
    <cfRule type="cellIs" dxfId="3077" priority="55" stopIfTrue="1" operator="greaterThan">
      <formula>#REF!</formula>
    </cfRule>
    <cfRule type="cellIs" dxfId="3076" priority="54" stopIfTrue="1" operator="lessThanOrEqual">
      <formula>0</formula>
    </cfRule>
    <cfRule type="cellIs" dxfId="3075" priority="53" stopIfTrue="1" operator="greaterThan">
      <formula>#REF!</formula>
    </cfRule>
  </conditionalFormatting>
  <conditionalFormatting sqref="I62">
    <cfRule type="cellIs" dxfId="3074" priority="86" stopIfTrue="1" operator="greaterThan">
      <formula>$F$40</formula>
    </cfRule>
    <cfRule type="cellIs" dxfId="3073" priority="89" stopIfTrue="1" operator="lessThanOrEqual">
      <formula>0</formula>
    </cfRule>
    <cfRule type="cellIs" dxfId="3072" priority="84" stopIfTrue="1" operator="greaterThan">
      <formula>$F$38</formula>
    </cfRule>
    <cfRule type="cellIs" dxfId="3071" priority="85" stopIfTrue="1" operator="lessThanOrEqual">
      <formula>0</formula>
    </cfRule>
    <cfRule type="cellIs" dxfId="3070" priority="88" stopIfTrue="1" operator="greaterThan">
      <formula>$F$38</formula>
    </cfRule>
    <cfRule type="cellIs" dxfId="3069" priority="87" stopIfTrue="1" operator="lessThanOrEqual">
      <formula>0</formula>
    </cfRule>
  </conditionalFormatting>
  <conditionalFormatting sqref="I66:I74">
    <cfRule type="cellIs" dxfId="3068" priority="116" stopIfTrue="1" operator="greaterThan">
      <formula>$J66</formula>
    </cfRule>
    <cfRule type="cellIs" dxfId="3067" priority="117" stopIfTrue="1" operator="lessThanOrEqual">
      <formula>0</formula>
    </cfRule>
  </conditionalFormatting>
  <conditionalFormatting sqref="I77:I85">
    <cfRule type="cellIs" dxfId="3066" priority="144" stopIfTrue="1" operator="greaterThan">
      <formula>4.5</formula>
    </cfRule>
    <cfRule type="cellIs" dxfId="3065" priority="145" stopIfTrue="1" operator="lessThanOrEqual">
      <formula>0</formula>
    </cfRule>
  </conditionalFormatting>
  <conditionalFormatting sqref="I10:J25">
    <cfRule type="cellIs" dxfId="3064" priority="3" operator="lessThan">
      <formula>97.9</formula>
    </cfRule>
  </conditionalFormatting>
  <conditionalFormatting sqref="J28:J30">
    <cfRule type="cellIs" dxfId="3063" priority="97" operator="lessThan">
      <formula>98</formula>
    </cfRule>
    <cfRule type="cellIs" dxfId="3062" priority="96" stopIfTrue="1" operator="greaterThan">
      <formula>100</formula>
    </cfRule>
    <cfRule type="cellIs" dxfId="3061" priority="95" stopIfTrue="1" operator="lessThan">
      <formula>96.8</formula>
    </cfRule>
  </conditionalFormatting>
  <conditionalFormatting sqref="J28:J32">
    <cfRule type="cellIs" dxfId="3060" priority="94" operator="lessThan">
      <formula>97.4</formula>
    </cfRule>
  </conditionalFormatting>
  <conditionalFormatting sqref="J33">
    <cfRule type="cellIs" dxfId="3059" priority="98" operator="lessThan">
      <formula>98</formula>
    </cfRule>
  </conditionalFormatting>
  <conditionalFormatting sqref="J35:J36">
    <cfRule type="cellIs" dxfId="3058" priority="99" stopIfTrue="1" operator="lessThan">
      <formula>96.8</formula>
    </cfRule>
    <cfRule type="cellIs" dxfId="3057" priority="100" stopIfTrue="1" operator="greaterThan">
      <formula>100</formula>
    </cfRule>
  </conditionalFormatting>
  <conditionalFormatting sqref="J35:J37">
    <cfRule type="cellIs" dxfId="3056" priority="101" operator="lessThan">
      <formula>98</formula>
    </cfRule>
  </conditionalFormatting>
  <conditionalFormatting sqref="J75">
    <cfRule type="cellIs" dxfId="3055" priority="102" stopIfTrue="1" operator="greaterThan">
      <formula>$F75</formula>
    </cfRule>
    <cfRule type="cellIs" dxfId="3054" priority="103" stopIfTrue="1" operator="lessThanOrEqual">
      <formula>0</formula>
    </cfRule>
  </conditionalFormatting>
  <conditionalFormatting sqref="K10:K25">
    <cfRule type="cellIs" dxfId="3053" priority="7" operator="lessThan">
      <formula>4</formula>
    </cfRule>
    <cfRule type="cellIs" dxfId="3052" priority="6" operator="greaterThan">
      <formula>6</formula>
    </cfRule>
    <cfRule type="cellIs" dxfId="3051" priority="8" operator="greaterThan">
      <formula>6.4</formula>
    </cfRule>
  </conditionalFormatting>
  <conditionalFormatting sqref="K57:K62 K66:N72 K73 M73:N73 K74:N74">
    <cfRule type="cellIs" dxfId="3050" priority="79" stopIfTrue="1" operator="lessThan">
      <formula>100%</formula>
    </cfRule>
  </conditionalFormatting>
  <conditionalFormatting sqref="K77:K82">
    <cfRule type="cellIs" dxfId="3049" priority="150" stopIfTrue="1" operator="lessThan">
      <formula>100%</formula>
    </cfRule>
  </conditionalFormatting>
  <conditionalFormatting sqref="K84:K85">
    <cfRule type="cellIs" dxfId="3048" priority="157" stopIfTrue="1" operator="lessThan">
      <formula>100%</formula>
    </cfRule>
  </conditionalFormatting>
  <conditionalFormatting sqref="L10:L25">
    <cfRule type="cellIs" dxfId="3047" priority="4" operator="between">
      <formula>61</formula>
      <formula>65</formula>
    </cfRule>
    <cfRule type="cellIs" dxfId="3046" priority="5" operator="greaterThan">
      <formula>65</formula>
    </cfRule>
  </conditionalFormatting>
  <conditionalFormatting sqref="L28:M39">
    <cfRule type="cellIs" dxfId="3045" priority="13" operator="lessThan">
      <formula>98</formula>
    </cfRule>
  </conditionalFormatting>
  <conditionalFormatting sqref="L43:N43">
    <cfRule type="cellIs" dxfId="3044" priority="1" operator="notEqual">
      <formula>#REF!</formula>
    </cfRule>
  </conditionalFormatting>
  <conditionalFormatting sqref="L75:N75">
    <cfRule type="cellIs" dxfId="3043" priority="104" stopIfTrue="1" operator="lessThan">
      <formula>100%</formula>
    </cfRule>
  </conditionalFormatting>
  <conditionalFormatting sqref="L77:N85">
    <cfRule type="cellIs" dxfId="3042" priority="135" stopIfTrue="1" operator="lessThan">
      <formula>100%</formula>
    </cfRule>
  </conditionalFormatting>
  <conditionalFormatting sqref="M10:M22">
    <cfRule type="expression" dxfId="3041" priority="16">
      <formula>IF(+(IF(M10&lt;U10,0,IF(M10&gt;V10,0,1)))=0,1)</formula>
    </cfRule>
  </conditionalFormatting>
  <conditionalFormatting sqref="M25">
    <cfRule type="expression" dxfId="3040" priority="10">
      <formula>IF(+(IF(M25&lt;U25,0,IF(M25&gt;V25,0,1)))=0,1)</formula>
    </cfRule>
  </conditionalFormatting>
  <conditionalFormatting sqref="M23:N24">
    <cfRule type="expression" dxfId="3039" priority="165">
      <formula>IF(+(IF(M23&lt;#REF!,0,IF(M23&gt;#REF!,0,1)))=0,1)</formula>
    </cfRule>
  </conditionalFormatting>
  <conditionalFormatting sqref="N10:N22">
    <cfRule type="expression" dxfId="3038" priority="15">
      <formula>IF(+(IF(N10&lt;W10,0,IF(N10&gt;X10,0,1)))=0,1)</formula>
    </cfRule>
  </conditionalFormatting>
  <conditionalFormatting sqref="N25">
    <cfRule type="expression" dxfId="3037" priority="9">
      <formula>IF(+(IF(N25&lt;W25,0,IF(N25&gt;X25,0,1)))=0,1)</formula>
    </cfRule>
  </conditionalFormatting>
  <conditionalFormatting sqref="P6">
    <cfRule type="cellIs" dxfId="3036" priority="131" operator="greaterThanOrEqual">
      <formula>19</formula>
    </cfRule>
  </conditionalFormatting>
  <dataValidations count="1">
    <dataValidation type="list" allowBlank="1" showInputMessage="1" showErrorMessage="1" sqref="R8" xr:uid="{C616540E-2597-4450-9F9E-7AE4389C59BD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9" max="16383" man="1"/>
  </rowBreaks>
  <colBreaks count="1" manualBreakCount="1">
    <brk id="15" max="89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8F99D-58AE-4AF9-9E1D-F51B84A04DCE}">
  <sheetPr>
    <pageSetUpPr fitToPage="1"/>
  </sheetPr>
  <dimension ref="A1:BE89"/>
  <sheetViews>
    <sheetView topLeftCell="A20" zoomScale="80" zoomScaleNormal="80" workbookViewId="0">
      <selection activeCell="B16" sqref="B16:O16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67.425781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25" t="s">
        <v>0</v>
      </c>
      <c r="T1" s="525"/>
      <c r="U1" s="525" t="s">
        <v>1</v>
      </c>
      <c r="V1" s="525"/>
      <c r="W1" s="525" t="s">
        <v>2</v>
      </c>
      <c r="X1" s="525"/>
      <c r="Y1" s="525" t="s">
        <v>124</v>
      </c>
      <c r="Z1" s="525"/>
    </row>
    <row r="2" spans="2:29" ht="15">
      <c r="B2" s="526" t="s">
        <v>3</v>
      </c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45905</v>
      </c>
      <c r="J4" s="398" t="s">
        <v>168</v>
      </c>
      <c r="K4" s="398"/>
      <c r="L4" s="11"/>
      <c r="M4" s="547" t="s">
        <v>8</v>
      </c>
      <c r="N4" s="548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44"/>
      <c r="D5" s="544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167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84" t="s">
        <v>17</v>
      </c>
      <c r="C8" s="494" t="s">
        <v>18</v>
      </c>
      <c r="D8" s="494" t="s">
        <v>19</v>
      </c>
      <c r="E8" s="356" t="s">
        <v>20</v>
      </c>
      <c r="F8" s="356" t="s">
        <v>21</v>
      </c>
      <c r="G8" s="494" t="s">
        <v>22</v>
      </c>
      <c r="H8" s="535" t="s">
        <v>144</v>
      </c>
      <c r="I8" s="494" t="s">
        <v>166</v>
      </c>
      <c r="J8" s="537" t="s">
        <v>23</v>
      </c>
      <c r="K8" s="539" t="s">
        <v>142</v>
      </c>
      <c r="L8" s="541" t="s">
        <v>24</v>
      </c>
      <c r="M8" s="359" t="s">
        <v>25</v>
      </c>
      <c r="N8" s="17" t="s">
        <v>26</v>
      </c>
      <c r="O8" s="494" t="s">
        <v>155</v>
      </c>
      <c r="P8" s="56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33"/>
      <c r="C9" s="534"/>
      <c r="D9" s="534"/>
      <c r="E9" s="357" t="s">
        <v>30</v>
      </c>
      <c r="F9" s="357" t="s">
        <v>31</v>
      </c>
      <c r="G9" s="534"/>
      <c r="H9" s="536"/>
      <c r="I9" s="534"/>
      <c r="J9" s="538"/>
      <c r="K9" s="540"/>
      <c r="L9" s="542"/>
      <c r="M9" s="20" t="s">
        <v>32</v>
      </c>
      <c r="N9" s="21" t="s">
        <v>41</v>
      </c>
      <c r="O9" s="534"/>
      <c r="P9" s="561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29" t="s">
        <v>6</v>
      </c>
      <c r="C10" s="366" t="str">
        <f>[22]Brewhouse!$A759</f>
        <v>CA650</v>
      </c>
      <c r="D10" s="279">
        <f>[22]Brewhouse!$AF759</f>
        <v>52.2</v>
      </c>
      <c r="E10" s="279">
        <f>[22]Brewhouse!$AI759</f>
        <v>51.3</v>
      </c>
      <c r="F10" s="278">
        <f>[22]Brewhouse!$V759</f>
        <v>64</v>
      </c>
      <c r="G10" s="279">
        <f>[22]Brewhouse!AG759</f>
        <v>11.7</v>
      </c>
      <c r="H10" s="396"/>
      <c r="I10" s="368">
        <f>[22]Brewhouse!$AU759</f>
        <v>97.723080372972419</v>
      </c>
      <c r="J10" s="368">
        <f>[22]Brewhouse!$AV759</f>
        <v>99.891004315756788</v>
      </c>
      <c r="K10" s="281">
        <f>[22]Brewhouse!$Q759</f>
        <v>2.8679245283018791</v>
      </c>
      <c r="L10" s="276">
        <f>[22]Brewhouse!$P759</f>
        <v>60</v>
      </c>
      <c r="M10" s="397">
        <f>[22]Brewhouse!$U759-[22]Brewhouse!$T759</f>
        <v>0.11180555555555555</v>
      </c>
      <c r="N10" s="370">
        <f>[22]Brewhouse!$Z759</f>
        <v>0.24236111111111111</v>
      </c>
      <c r="O10" s="421" t="str">
        <f>[22]Brewhouse!$AX759</f>
        <v>K.Benjamin</v>
      </c>
      <c r="P10" s="418"/>
      <c r="R10" s="277" t="str">
        <f t="shared" ref="R10:R41" si="0">B10</f>
        <v>CARIB</v>
      </c>
      <c r="S10" s="296">
        <f t="shared" ref="S10:S41" si="1">VLOOKUP($B10,$R$3:$X$9,2,FALSE)</f>
        <v>11.6</v>
      </c>
      <c r="T10" s="296">
        <f t="shared" ref="T10:T41" si="2">VLOOKUP($B10,$R$3:$X$9,3,FALSE)</f>
        <v>12</v>
      </c>
      <c r="U10" s="297">
        <f t="shared" ref="U10:U41" si="3">VLOOKUP($B10,$R$3:$X$9,4,FALSE)</f>
        <v>0</v>
      </c>
      <c r="V10" s="297">
        <f t="shared" ref="V10:V41" si="4">VLOOKUP($B10,$R$3:$X$9,5,FALSE)</f>
        <v>0.118055555555556</v>
      </c>
      <c r="W10" s="297">
        <f t="shared" ref="W10:W41" si="5">VLOOKUP($B10,$R$3:$X$9,6,FALSE)</f>
        <v>0.22569444444444445</v>
      </c>
      <c r="X10" s="297">
        <f t="shared" ref="X10:X41" si="6">VLOOKUP($B10,$R$3:$X$9,7,FALSE)</f>
        <v>0.2638888888888889</v>
      </c>
      <c r="Y10" s="297">
        <f t="shared" ref="Y10:Y41" si="7">VLOOKUP($B10,$R$3:$Z$9,8,FALSE)</f>
        <v>0</v>
      </c>
      <c r="Z10" s="296">
        <f t="shared" ref="Z10:Z41" si="8">VLOOKUP($B10,$R$3:$Z$9,9,FALSE)</f>
        <v>60</v>
      </c>
    </row>
    <row r="11" spans="2:29" ht="15.75" customHeight="1">
      <c r="B11" s="29" t="s">
        <v>6</v>
      </c>
      <c r="C11" s="366" t="str">
        <f>[22]Brewhouse!$A760</f>
        <v>CA651</v>
      </c>
      <c r="D11" s="279">
        <f>[22]Brewhouse!$AF760</f>
        <v>53.5</v>
      </c>
      <c r="E11" s="279">
        <f>[22]Brewhouse!$AI760</f>
        <v>51.7</v>
      </c>
      <c r="F11" s="278">
        <f>[22]Brewhouse!$V760</f>
        <v>62</v>
      </c>
      <c r="G11" s="279">
        <f>[22]Brewhouse!AG760</f>
        <v>11.6</v>
      </c>
      <c r="H11" s="396"/>
      <c r="I11" s="368">
        <f>[22]Brewhouse!$AU760</f>
        <v>97.599251917880025</v>
      </c>
      <c r="J11" s="368">
        <f>[22]Brewhouse!$AV760</f>
        <v>99.764428805704924</v>
      </c>
      <c r="K11" s="281">
        <f>[22]Brewhouse!$Q760</f>
        <v>0.60263653483992519</v>
      </c>
      <c r="L11" s="276">
        <f>[22]Brewhouse!$P760</f>
        <v>61</v>
      </c>
      <c r="M11" s="397">
        <f>[22]Brewhouse!$U760-[22]Brewhouse!$T760</f>
        <v>0.10972222222222222</v>
      </c>
      <c r="N11" s="370">
        <f>[22]Brewhouse!$Z760</f>
        <v>0.25555555555555554</v>
      </c>
      <c r="O11" s="421" t="str">
        <f>[22]Brewhouse!$AX760</f>
        <v>R. Regis</v>
      </c>
      <c r="P11" s="418"/>
      <c r="R11" s="277" t="str">
        <f t="shared" ref="R11:R36" si="9">B11</f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29" t="s">
        <v>6</v>
      </c>
      <c r="C12" s="366" t="str">
        <f>[22]Brewhouse!$A761</f>
        <v>CA652</v>
      </c>
      <c r="D12" s="279">
        <f>[22]Brewhouse!$AF761</f>
        <v>53.2</v>
      </c>
      <c r="E12" s="279">
        <f>[22]Brewhouse!$AI761</f>
        <v>51.3</v>
      </c>
      <c r="F12" s="278">
        <f>[22]Brewhouse!$V761</f>
        <v>63</v>
      </c>
      <c r="G12" s="279">
        <f>[22]Brewhouse!AG761</f>
        <v>11.7</v>
      </c>
      <c r="H12" s="396"/>
      <c r="I12" s="368">
        <f>[22]Brewhouse!$AU761</f>
        <v>97.482045624429517</v>
      </c>
      <c r="J12" s="368">
        <f>[22]Brewhouse!$AV761</f>
        <v>99.64509771130632</v>
      </c>
      <c r="K12" s="281">
        <f>[22]Brewhouse!$Q761</f>
        <v>1.1676082862523494</v>
      </c>
      <c r="L12" s="276">
        <f>[22]Brewhouse!$P761</f>
        <v>61</v>
      </c>
      <c r="M12" s="397">
        <f>[22]Brewhouse!$U761-[22]Brewhouse!$T761</f>
        <v>0.11319444444444443</v>
      </c>
      <c r="N12" s="370">
        <f>[22]Brewhouse!$Z761</f>
        <v>0.27569444444444441</v>
      </c>
      <c r="O12" s="421" t="str">
        <f>[22]Brewhouse!$AX761</f>
        <v>R. Regis</v>
      </c>
      <c r="P12" s="418"/>
      <c r="R12" s="277" t="str">
        <f t="shared" si="9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29" t="s">
        <v>6</v>
      </c>
      <c r="C13" s="366" t="str">
        <f>[22]Brewhouse!$A762</f>
        <v>CA653</v>
      </c>
      <c r="D13" s="279">
        <f>[22]Brewhouse!$AF762</f>
        <v>53.8</v>
      </c>
      <c r="E13" s="279">
        <f>[22]Brewhouse!$AI762</f>
        <v>52.2</v>
      </c>
      <c r="F13" s="278">
        <f>[22]Brewhouse!$V762</f>
        <v>66</v>
      </c>
      <c r="G13" s="279">
        <f>[22]Brewhouse!AG762</f>
        <v>12</v>
      </c>
      <c r="H13" s="396"/>
      <c r="I13" s="368">
        <f>[22]Brewhouse!$AU762</f>
        <v>102.68752655790206</v>
      </c>
      <c r="J13" s="368">
        <f>[22]Brewhouse!$AV762</f>
        <v>105.06357619368127</v>
      </c>
      <c r="K13" s="281">
        <f>[22]Brewhouse!$Q762</f>
        <v>3.7664783427501181E-2</v>
      </c>
      <c r="L13" s="276">
        <f>[22]Brewhouse!$P762</f>
        <v>58</v>
      </c>
      <c r="M13" s="397">
        <f>[22]Brewhouse!$U762-[22]Brewhouse!$T762</f>
        <v>0.10347222222222219</v>
      </c>
      <c r="N13" s="370">
        <f>[22]Brewhouse!$Z762</f>
        <v>0.26597222222222222</v>
      </c>
      <c r="O13" s="421" t="str">
        <f>[22]Brewhouse!$AX762</f>
        <v>R.Sookram</v>
      </c>
      <c r="P13" s="418" t="s">
        <v>172</v>
      </c>
      <c r="R13" s="277" t="str">
        <f t="shared" si="9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29" t="s">
        <v>6</v>
      </c>
      <c r="C14" s="366" t="str">
        <f>[22]Brewhouse!$A763</f>
        <v>CA654</v>
      </c>
      <c r="D14" s="279">
        <f>[22]Brewhouse!$AF763</f>
        <v>54.5</v>
      </c>
      <c r="E14" s="279">
        <f>[22]Brewhouse!$AI763</f>
        <v>51.3</v>
      </c>
      <c r="F14" s="278">
        <f>[22]Brewhouse!$V763</f>
        <v>62</v>
      </c>
      <c r="G14" s="279">
        <f>[22]Brewhouse!AG763</f>
        <v>11.9</v>
      </c>
      <c r="H14" s="396"/>
      <c r="I14" s="368">
        <f>[22]Brewhouse!$AU763</f>
        <v>99.785125254630671</v>
      </c>
      <c r="J14" s="368">
        <f>[22]Brewhouse!$AV763</f>
        <v>102.09427106706173</v>
      </c>
      <c r="K14" s="281">
        <f>[22]Brewhouse!$Q763</f>
        <v>-0.52830188679245493</v>
      </c>
      <c r="L14" s="276">
        <f>[22]Brewhouse!$P763</f>
        <v>58</v>
      </c>
      <c r="M14" s="397">
        <f>[22]Brewhouse!$U763-[22]Brewhouse!$T763</f>
        <v>0.10486111111111107</v>
      </c>
      <c r="N14" s="370">
        <f>[22]Brewhouse!$Z763</f>
        <v>0.25416666666666665</v>
      </c>
      <c r="O14" s="421" t="str">
        <f>[22]Brewhouse!$AX763</f>
        <v>R.Sookram</v>
      </c>
      <c r="P14" s="418"/>
      <c r="R14" s="277" t="str">
        <f t="shared" si="9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29" t="s">
        <v>6</v>
      </c>
      <c r="C15" s="366" t="str">
        <f>[22]Brewhouse!$A764</f>
        <v>CA655</v>
      </c>
      <c r="D15" s="279">
        <f>[22]Brewhouse!$AF764</f>
        <v>55</v>
      </c>
      <c r="E15" s="279">
        <f>[22]Brewhouse!$AI764</f>
        <v>53.4</v>
      </c>
      <c r="F15" s="278">
        <f>[22]Brewhouse!$V764</f>
        <v>66</v>
      </c>
      <c r="G15" s="279">
        <f>[22]Brewhouse!AG764</f>
        <v>11.4</v>
      </c>
      <c r="H15" s="396"/>
      <c r="I15" s="368">
        <f>[22]Brewhouse!$AU764</f>
        <v>99.651996772847255</v>
      </c>
      <c r="J15" s="368">
        <f>[22]Brewhouse!$AV764</f>
        <v>101.95768117972683</v>
      </c>
      <c r="K15" s="281">
        <f>[22]Brewhouse!$Q764</f>
        <v>-0.52730696798493615</v>
      </c>
      <c r="L15" s="276">
        <f>[22]Brewhouse!$P764</f>
        <v>58</v>
      </c>
      <c r="M15" s="397">
        <f>[22]Brewhouse!$U764-[22]Brewhouse!$T764</f>
        <v>0.10763888888888884</v>
      </c>
      <c r="N15" s="370">
        <f>[22]Brewhouse!$Z764</f>
        <v>0.25763888888888886</v>
      </c>
      <c r="O15" s="421" t="str">
        <f>[22]Brewhouse!$AX764</f>
        <v>R.Sookram</v>
      </c>
      <c r="P15" s="418"/>
      <c r="R15" s="277" t="str">
        <f t="shared" si="9"/>
        <v>CARIB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29" t="s">
        <v>6</v>
      </c>
      <c r="C16" s="366" t="str">
        <f>[22]Brewhouse!$A765</f>
        <v>CA656</v>
      </c>
      <c r="D16" s="279">
        <f>[22]Brewhouse!$AF765</f>
        <v>53.4</v>
      </c>
      <c r="E16" s="279">
        <f>[22]Brewhouse!$AI765</f>
        <v>52.5</v>
      </c>
      <c r="F16" s="278">
        <f>[22]Brewhouse!$V765</f>
        <v>67</v>
      </c>
      <c r="G16" s="279">
        <f>[22]Brewhouse!AG765</f>
        <v>11.8</v>
      </c>
      <c r="H16" s="396"/>
      <c r="I16" s="368">
        <f>[22]Brewhouse!$AU765</f>
        <v>101.34269489443058</v>
      </c>
      <c r="J16" s="368">
        <f>[22]Brewhouse!$AV765</f>
        <v>103.68775599280178</v>
      </c>
      <c r="K16" s="281">
        <f>[22]Brewhouse!$Q765</f>
        <v>0.60377358490566091</v>
      </c>
      <c r="L16" s="276">
        <f>[22]Brewhouse!$P765</f>
        <v>58</v>
      </c>
      <c r="M16" s="397">
        <f>[22]Brewhouse!$U765-[22]Brewhouse!$T765</f>
        <v>0.10277777777777775</v>
      </c>
      <c r="N16" s="370">
        <f>[22]Brewhouse!$Z765</f>
        <v>0.25486111111111109</v>
      </c>
      <c r="O16" s="421" t="str">
        <f>[22]Brewhouse!$AX765</f>
        <v>R.Sookram</v>
      </c>
      <c r="P16" s="418"/>
      <c r="R16" s="277" t="str">
        <f t="shared" si="9"/>
        <v>CARIB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2:26" ht="15.7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421"/>
      <c r="P17" s="418"/>
      <c r="R17" s="277">
        <f t="shared" si="9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2:26" ht="15.7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1"/>
      <c r="P18" s="418"/>
      <c r="R18" s="277">
        <f t="shared" si="9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2:26" ht="15.75" customHeight="1">
      <c r="B19" s="33" t="s">
        <v>9</v>
      </c>
      <c r="C19" s="366" t="str">
        <f>[24]Brewhouse!$A361</f>
        <v>ST339</v>
      </c>
      <c r="D19" s="279">
        <f>[24]Brewhouse!$AD361</f>
        <v>48</v>
      </c>
      <c r="E19" s="279">
        <f>[24]Brewhouse!$AG361</f>
        <v>47.7</v>
      </c>
      <c r="F19" s="278">
        <f>[24]Brewhouse!$V361</f>
        <v>53</v>
      </c>
      <c r="G19" s="279">
        <f>[24]Brewhouse!$AE361</f>
        <v>12</v>
      </c>
      <c r="H19" s="396"/>
      <c r="I19" s="420">
        <f>[24]Brewhouse!$AS361</f>
        <v>97.12415794993052</v>
      </c>
      <c r="J19" s="420">
        <f>[24]Brewhouse!$AT361</f>
        <v>98.972144235885935</v>
      </c>
      <c r="K19" s="281">
        <f>[24]Brewhouse!$Q361</f>
        <v>12.884615384615378</v>
      </c>
      <c r="L19" s="276">
        <f>[24]Brewhouse!$P361</f>
        <v>59</v>
      </c>
      <c r="M19" s="374">
        <f>[24]Brewhouse!$U361-[24]Brewhouse!$T361</f>
        <v>0.11458333333333337</v>
      </c>
      <c r="N19" s="370">
        <f>[24]Brewhouse!$AW361</f>
        <v>0.25069444444444444</v>
      </c>
      <c r="O19" s="421" t="str">
        <f>[24]Brewhouse!$AV361</f>
        <v>R.Sookram</v>
      </c>
      <c r="P19" s="418"/>
      <c r="R19" s="277" t="str">
        <f t="shared" si="9"/>
        <v>STAG</v>
      </c>
      <c r="S19" s="296">
        <f t="shared" si="1"/>
        <v>11.6</v>
      </c>
      <c r="T19" s="296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296">
        <f t="shared" si="8"/>
        <v>60</v>
      </c>
    </row>
    <row r="20" spans="2:26" ht="15.75" customHeight="1">
      <c r="B20" s="33" t="s">
        <v>9</v>
      </c>
      <c r="C20" s="366" t="str">
        <f>[24]Brewhouse!$A362</f>
        <v>ST340</v>
      </c>
      <c r="D20" s="279">
        <f>[24]Brewhouse!$AD362</f>
        <v>48.3</v>
      </c>
      <c r="E20" s="279">
        <f>[24]Brewhouse!$AG362</f>
        <v>48.9</v>
      </c>
      <c r="F20" s="278">
        <f>[24]Brewhouse!$V362</f>
        <v>72</v>
      </c>
      <c r="G20" s="279">
        <f>[24]Brewhouse!$AE362</f>
        <v>11.9</v>
      </c>
      <c r="H20" s="396"/>
      <c r="I20" s="420">
        <f>[24]Brewhouse!$AS362</f>
        <v>96.949048686673478</v>
      </c>
      <c r="J20" s="420">
        <f>[24]Brewhouse!$AT362</f>
        <v>98.80247450777523</v>
      </c>
      <c r="K20" s="281">
        <f>[24]Brewhouse!$Q362</f>
        <v>11.923076923076916</v>
      </c>
      <c r="L20" s="276">
        <f>[24]Brewhouse!$P362</f>
        <v>60</v>
      </c>
      <c r="M20" s="374">
        <f>[24]Brewhouse!$U362-[24]Brewhouse!$T362</f>
        <v>0.12708333333333344</v>
      </c>
      <c r="N20" s="370">
        <f>[24]Brewhouse!$AW362</f>
        <v>0.25763888888888897</v>
      </c>
      <c r="O20" s="421" t="str">
        <f>[24]Brewhouse!$AV362</f>
        <v>K. Benjamin</v>
      </c>
      <c r="P20" s="418"/>
      <c r="R20" s="277" t="str">
        <f t="shared" si="9"/>
        <v>STAG</v>
      </c>
      <c r="S20" s="296">
        <f t="shared" si="1"/>
        <v>11.6</v>
      </c>
      <c r="T20" s="296">
        <f t="shared" si="2"/>
        <v>12</v>
      </c>
      <c r="U20" s="297">
        <f t="shared" si="3"/>
        <v>0</v>
      </c>
      <c r="V20" s="297">
        <f t="shared" si="4"/>
        <v>0.118055555555556</v>
      </c>
      <c r="W20" s="297">
        <f t="shared" si="5"/>
        <v>0.22569444444444445</v>
      </c>
      <c r="X20" s="297">
        <f t="shared" si="6"/>
        <v>0.2638888888888889</v>
      </c>
      <c r="Y20" s="297">
        <f t="shared" si="7"/>
        <v>0</v>
      </c>
      <c r="Z20" s="296">
        <f t="shared" si="8"/>
        <v>60</v>
      </c>
    </row>
    <row r="21" spans="2:26" ht="15.75" customHeight="1">
      <c r="B21" s="33" t="s">
        <v>9</v>
      </c>
      <c r="C21" s="366" t="str">
        <f>[24]Brewhouse!$A363</f>
        <v>ST341</v>
      </c>
      <c r="D21" s="279">
        <f>[24]Brewhouse!$AD363</f>
        <v>48.6</v>
      </c>
      <c r="E21" s="279">
        <f>[24]Brewhouse!$AG363</f>
        <v>49</v>
      </c>
      <c r="F21" s="278">
        <f>[24]Brewhouse!$V363</f>
        <v>55</v>
      </c>
      <c r="G21" s="279">
        <f>[24]Brewhouse!$AE363</f>
        <v>12</v>
      </c>
      <c r="H21" s="396"/>
      <c r="I21" s="420">
        <f>[24]Brewhouse!$AS363</f>
        <v>98.005638133271461</v>
      </c>
      <c r="J21" s="420">
        <f>[24]Brewhouse!$AT363</f>
        <v>99.879263329087635</v>
      </c>
      <c r="K21" s="281">
        <f>[24]Brewhouse!$Q363</f>
        <v>11.923076923076916</v>
      </c>
      <c r="L21" s="276">
        <f>[24]Brewhouse!$P363</f>
        <v>57</v>
      </c>
      <c r="M21" s="374">
        <f>[24]Brewhouse!$U363-[24]Brewhouse!$T363</f>
        <v>0.1201388888888888</v>
      </c>
      <c r="N21" s="370">
        <f>[24]Brewhouse!$AW363</f>
        <v>0.24791666666666667</v>
      </c>
      <c r="O21" s="421" t="str">
        <f>[24]Brewhouse!$AV363</f>
        <v>K. Benjamin</v>
      </c>
      <c r="P21" s="418"/>
      <c r="R21" s="277" t="str">
        <f t="shared" si="9"/>
        <v>STAG</v>
      </c>
      <c r="S21" s="296">
        <f t="shared" si="1"/>
        <v>11.6</v>
      </c>
      <c r="T21" s="296">
        <f t="shared" si="2"/>
        <v>12</v>
      </c>
      <c r="U21" s="297">
        <f t="shared" si="3"/>
        <v>0</v>
      </c>
      <c r="V21" s="297">
        <f t="shared" si="4"/>
        <v>0.118055555555556</v>
      </c>
      <c r="W21" s="297">
        <f t="shared" si="5"/>
        <v>0.22569444444444445</v>
      </c>
      <c r="X21" s="297">
        <f t="shared" si="6"/>
        <v>0.2638888888888889</v>
      </c>
      <c r="Y21" s="297">
        <f t="shared" si="7"/>
        <v>0</v>
      </c>
      <c r="Z21" s="296">
        <f t="shared" si="8"/>
        <v>60</v>
      </c>
    </row>
    <row r="22" spans="2:26" ht="15.75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1"/>
      <c r="P22" s="418"/>
      <c r="R22" s="277">
        <f t="shared" si="9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2:26" ht="15.75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421"/>
      <c r="P23" s="418"/>
      <c r="R23" s="277">
        <f t="shared" si="9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2:26" ht="15.7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421"/>
      <c r="P24" s="418"/>
      <c r="R24" s="277">
        <f t="shared" si="9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2:26" ht="15.7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421"/>
      <c r="P25" s="418"/>
      <c r="R25" s="277">
        <f t="shared" si="9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2:26" ht="15.7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421"/>
      <c r="P26" s="418"/>
      <c r="R26" s="277">
        <f t="shared" si="9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2:26" ht="15.7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421"/>
      <c r="P27" s="418"/>
      <c r="R27" s="277">
        <f t="shared" si="9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2:26" ht="15.75" hidden="1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421"/>
      <c r="P28" s="418"/>
      <c r="R28" s="277">
        <f t="shared" si="9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2:26" ht="15.75" hidden="1" customHeight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0"/>
      <c r="O29" s="421"/>
      <c r="P29" s="418"/>
      <c r="R29" s="277">
        <f t="shared" si="9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2:26" ht="15.75" hidden="1" customHeight="1">
      <c r="B30" s="29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97"/>
      <c r="N30" s="370"/>
      <c r="O30" s="421"/>
      <c r="P30" s="418"/>
      <c r="R30" s="277">
        <f t="shared" si="9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15.75" hidden="1" customHeight="1">
      <c r="B31" s="37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74"/>
      <c r="N31" s="370"/>
      <c r="O31" s="371"/>
      <c r="P31" s="418"/>
      <c r="R31" s="277">
        <f t="shared" si="9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2:26" ht="15.75" hidden="1" customHeight="1">
      <c r="B32" s="29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97"/>
      <c r="N32" s="370"/>
      <c r="O32" s="371"/>
      <c r="P32" s="418"/>
      <c r="R32" s="277">
        <f t="shared" si="9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27" ht="15.75" hidden="1" customHeight="1">
      <c r="B33" s="29"/>
      <c r="C33" s="366"/>
      <c r="D33" s="279"/>
      <c r="E33" s="279"/>
      <c r="F33" s="278"/>
      <c r="G33" s="279"/>
      <c r="H33" s="396"/>
      <c r="I33" s="368"/>
      <c r="J33" s="368"/>
      <c r="K33" s="281"/>
      <c r="L33" s="276"/>
      <c r="M33" s="397"/>
      <c r="N33" s="370"/>
      <c r="O33" s="371"/>
      <c r="P33" s="418"/>
      <c r="R33" s="277">
        <f t="shared" si="9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27" ht="15.75" hidden="1" customHeight="1">
      <c r="B34" s="37"/>
      <c r="C34" s="366"/>
      <c r="D34" s="279"/>
      <c r="E34" s="279"/>
      <c r="F34" s="278"/>
      <c r="G34" s="279"/>
      <c r="H34" s="396"/>
      <c r="I34" s="368"/>
      <c r="J34" s="368"/>
      <c r="K34" s="281"/>
      <c r="L34" s="276"/>
      <c r="M34" s="374"/>
      <c r="N34" s="370"/>
      <c r="O34" s="371"/>
      <c r="P34" s="418"/>
      <c r="R34" s="277">
        <f t="shared" si="9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</row>
    <row r="35" spans="1:27" ht="15.75" customHeight="1" thickBot="1">
      <c r="B35" s="358"/>
      <c r="C35" s="358"/>
      <c r="D35" s="358"/>
      <c r="E35" s="358"/>
      <c r="F35" s="294"/>
      <c r="G35" s="294"/>
      <c r="H35" s="348"/>
      <c r="I35" s="514"/>
      <c r="J35" s="514"/>
      <c r="K35" s="514"/>
      <c r="L35" s="514"/>
      <c r="M35" s="514"/>
      <c r="N35" s="514"/>
      <c r="O35" s="1"/>
      <c r="P35" s="12"/>
      <c r="R35" s="277">
        <f t="shared" si="9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</row>
    <row r="36" spans="1:27" ht="15.75" thickBot="1">
      <c r="B36" s="388" t="s">
        <v>162</v>
      </c>
      <c r="C36" s="388"/>
      <c r="D36" s="527" t="s">
        <v>35</v>
      </c>
      <c r="E36" s="528"/>
      <c r="F36" s="294"/>
      <c r="G36" s="294"/>
      <c r="H36" s="348"/>
      <c r="I36" s="24" t="s">
        <v>17</v>
      </c>
      <c r="J36" s="25" t="s">
        <v>36</v>
      </c>
      <c r="K36" s="26" t="s">
        <v>138</v>
      </c>
      <c r="L36" s="25" t="s">
        <v>37</v>
      </c>
      <c r="M36" s="25" t="s">
        <v>38</v>
      </c>
      <c r="N36" s="27" t="s">
        <v>39</v>
      </c>
      <c r="O36" s="294"/>
      <c r="P36" s="12"/>
      <c r="R36" s="277" t="str">
        <f t="shared" si="9"/>
        <v xml:space="preserve">BRAND 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</row>
    <row r="37" spans="1:27" ht="15" customHeight="1">
      <c r="A37" s="28"/>
      <c r="B37" s="558"/>
      <c r="C37" s="362"/>
      <c r="D37" s="518"/>
      <c r="E37" s="507"/>
      <c r="F37" s="294"/>
      <c r="G37" s="294"/>
      <c r="H37" s="348"/>
      <c r="I37" s="29" t="s">
        <v>6</v>
      </c>
      <c r="J37" s="280">
        <f>AVERAGE(I10:I16)</f>
        <v>99.46738877072751</v>
      </c>
      <c r="K37" s="284">
        <f>COUNTA([22]Brewhouse!$A$740:$A$758)</f>
        <v>19</v>
      </c>
      <c r="L37" s="305">
        <f>AVERAGE([22]Brewhouse!$AU$740:$AU$758)</f>
        <v>97.561908305193484</v>
      </c>
      <c r="M37" s="302">
        <f>AVERAGE([22]Brewhouse!$AU$102:$AU$171,[22]Brewhouse!$AU$173:$AU$253,[22]Brewhouse!$AU$255:$AU$339,[22]Brewhouse!$AU$341:$AU$346,[22]Brewhouse!$AU$348,[22]Brewhouse!$AU$349:$AU$406,[22]Brewhouse!$AU$408:$AU$491,[22]Brewhouse!$AU$493:$AU$578,[22]Brewhouse!$AU$580:$AU$652,[22]Brewhouse!$AU$655:$AU$758)</f>
        <v>97.70144579498259</v>
      </c>
      <c r="N37" s="30">
        <v>98</v>
      </c>
      <c r="O37" s="11"/>
      <c r="P37" s="31"/>
      <c r="R37" s="277">
        <f t="shared" si="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</row>
    <row r="38" spans="1:27" ht="15" customHeight="1">
      <c r="A38" s="28"/>
      <c r="B38" s="559"/>
      <c r="C38" s="362"/>
      <c r="D38" s="519"/>
      <c r="E38" s="502"/>
      <c r="F38" s="294"/>
      <c r="G38" s="294"/>
      <c r="H38" s="348"/>
      <c r="I38" s="33" t="s">
        <v>9</v>
      </c>
      <c r="J38" s="280">
        <f>AVERAGE(I19:I21)</f>
        <v>97.359614923291815</v>
      </c>
      <c r="K38" s="284">
        <f>COUNTA([24]Brewhouse!$A$361:$A$363)</f>
        <v>3</v>
      </c>
      <c r="L38" s="302">
        <f>AVERAGE([24]Brewhouse!$AS$361:$AS$363)</f>
        <v>97.359614923291815</v>
      </c>
      <c r="M38" s="302">
        <f>AVERAGE([24]Brewhouse!$AS$15:$AS$64,[24]Brewhouse!$AS$66:$AS$103,[24]Brewhouse!$AS$105:$AS$140,[24]Brewhouse!$AS$142:$AS$193,[24]Brewhouse!$AS$195:$AS$240,[24]Brewhouse!$AS$242:$AS$273,[24]Brewhouse!$AS$275:$AS$322,[24]Brewhouse!$AS$324:$AS$359,[24]Brewhouse!$AS$361:$AS$363)</f>
        <v>98.059279597691784</v>
      </c>
      <c r="N38" s="30">
        <v>98</v>
      </c>
      <c r="O38" s="11"/>
      <c r="P38" s="31"/>
      <c r="R38" s="277">
        <f t="shared" si="0"/>
        <v>0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</row>
    <row r="39" spans="1:27" ht="14.65" customHeight="1">
      <c r="A39" s="28"/>
      <c r="B39" s="559"/>
      <c r="C39" s="362"/>
      <c r="D39" s="518"/>
      <c r="E39" s="507"/>
      <c r="F39" s="294"/>
      <c r="G39" s="294"/>
      <c r="H39" s="348"/>
      <c r="I39" s="34" t="s">
        <v>12</v>
      </c>
      <c r="J39" s="280"/>
      <c r="K39" s="284"/>
      <c r="L39" s="302"/>
      <c r="M39" s="302">
        <f>AVERAGE([25]Brewhouse!$AU$4:$AU$7,[25]Brewhouse!$AU$9:$AU$22,[25]Brewhouse!$AU$24:$AU$35,[25]Brewhouse!$AU$37:$AU$45,[25]Brewhouse!$AU$47:$AU$62,[25]Brewhouse!$AU$64:$AU$79,[25]Brewhouse!$AU$81:$AU$92)</f>
        <v>96.938184743997624</v>
      </c>
      <c r="N39" s="30">
        <v>98</v>
      </c>
      <c r="O39" s="11"/>
      <c r="P39" s="31"/>
      <c r="R39" s="277">
        <f t="shared" si="0"/>
        <v>0</v>
      </c>
      <c r="S39" s="296" t="e">
        <f t="shared" si="1"/>
        <v>#N/A</v>
      </c>
      <c r="T39" s="296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296" t="e">
        <f t="shared" si="8"/>
        <v>#N/A</v>
      </c>
    </row>
    <row r="40" spans="1:27" ht="14.65" customHeight="1">
      <c r="A40" s="28"/>
      <c r="B40" s="559"/>
      <c r="C40" s="362"/>
      <c r="D40" s="519"/>
      <c r="E40" s="502"/>
      <c r="F40" s="294"/>
      <c r="G40" s="294"/>
      <c r="H40" s="348"/>
      <c r="I40" s="22" t="s">
        <v>33</v>
      </c>
      <c r="J40" s="280"/>
      <c r="K40" s="284"/>
      <c r="L40" s="302"/>
      <c r="M40" s="302">
        <f>AVERAGE([26]Brewhouse!$AV$5:$AV$14,[26]Brewhouse!$AV$16:$AV$19,[26]Brewhouse!$AV$21:$AV$24,[26]Brewhouse!$AV$26:$AV$33,[26]Brewhouse!$AV$35:$AV$46,[26]Brewhouse!$AV$48:$AV$53,[26]Brewhouse!$AV$55:$AV$62,[26]Brewhouse!$AV$64:$AV$77)</f>
        <v>98.521410557268055</v>
      </c>
      <c r="N40" s="30">
        <v>98</v>
      </c>
      <c r="O40" s="11"/>
      <c r="P40" s="31"/>
      <c r="R40" s="277">
        <f t="shared" si="0"/>
        <v>0</v>
      </c>
      <c r="S40" s="296" t="e">
        <f t="shared" si="1"/>
        <v>#N/A</v>
      </c>
      <c r="T40" s="296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296" t="e">
        <f t="shared" si="8"/>
        <v>#N/A</v>
      </c>
    </row>
    <row r="41" spans="1:27" ht="14.65" customHeight="1">
      <c r="A41" s="28"/>
      <c r="B41" s="559"/>
      <c r="C41" s="362"/>
      <c r="D41" s="518"/>
      <c r="E41" s="507"/>
      <c r="F41" s="417"/>
      <c r="G41" s="294"/>
      <c r="H41" s="348"/>
      <c r="I41" s="35" t="s">
        <v>29</v>
      </c>
      <c r="J41" s="280"/>
      <c r="K41" s="284"/>
      <c r="L41" s="302"/>
      <c r="M41" s="302"/>
      <c r="N41" s="30">
        <v>98</v>
      </c>
      <c r="O41" s="11"/>
      <c r="P41" s="31"/>
      <c r="R41" s="277">
        <f t="shared" si="0"/>
        <v>0</v>
      </c>
      <c r="S41" s="296" t="e">
        <f t="shared" si="1"/>
        <v>#N/A</v>
      </c>
      <c r="T41" s="296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296" t="e">
        <f t="shared" si="8"/>
        <v>#N/A</v>
      </c>
    </row>
    <row r="42" spans="1:27" ht="14.65" customHeight="1">
      <c r="A42" s="28"/>
      <c r="B42" s="559"/>
      <c r="C42" s="362"/>
      <c r="D42" s="519"/>
      <c r="E42" s="502"/>
      <c r="F42" s="417"/>
      <c r="G42" s="294"/>
      <c r="H42" s="348"/>
      <c r="I42" s="36" t="s">
        <v>15</v>
      </c>
      <c r="J42" s="323"/>
      <c r="K42" s="284"/>
      <c r="L42" s="302"/>
      <c r="M42" s="302">
        <f>AVERAGE([27]Brewhouse!$AT$4:$AT$11,[27]Brewhouse!$AT$13:$AT$16,[27]Brewhouse!$AT$18:$AT$21,[27]Brewhouse!$AT$26)</f>
        <v>94.588057846623641</v>
      </c>
      <c r="N42" s="30">
        <v>98</v>
      </c>
      <c r="O42" s="11"/>
      <c r="P42" s="31"/>
      <c r="R42" s="277"/>
      <c r="S42" s="296"/>
      <c r="T42" s="296"/>
      <c r="U42" s="297"/>
      <c r="V42" s="297"/>
      <c r="W42" s="297"/>
      <c r="X42" s="297"/>
      <c r="Y42" s="297"/>
      <c r="Z42" s="296"/>
      <c r="AA42" s="296"/>
    </row>
    <row r="43" spans="1:27" ht="14.65" customHeight="1">
      <c r="A43" s="28"/>
      <c r="B43" s="559"/>
      <c r="C43" s="362"/>
      <c r="D43" s="518"/>
      <c r="E43" s="507"/>
      <c r="F43" s="417"/>
      <c r="G43" s="294"/>
      <c r="H43" s="348"/>
      <c r="I43" s="37" t="s">
        <v>16</v>
      </c>
      <c r="J43" s="323"/>
      <c r="K43" s="284">
        <f>COUNTA([23]Brewhouse!$A$75:$A$82)</f>
        <v>8</v>
      </c>
      <c r="L43" s="302">
        <f>AVERAGE([23]Brewhouse!$AY$75:$AY$82)</f>
        <v>97.738838123294386</v>
      </c>
      <c r="M43" s="302">
        <f>AVERAGE([23]Brewhouse!$AY$6:$AY$13,[23]Brewhouse!$AY$15:$AY$20,[23]Brewhouse!$AY$22:$AY$29,[23]Brewhouse!$AY$31:$AY$34,[23]Brewhouse!$AY$36:$AY$43,[23]Brewhouse!$AY$45:$AY$50, [23]Brewhouse!$AY$56:$AY$73,[23]Brewhouse!$AY$75:$AY$82)</f>
        <v>97.409216272979165</v>
      </c>
      <c r="N43" s="30">
        <v>98</v>
      </c>
      <c r="O43" s="11"/>
      <c r="P43" s="31" t="s">
        <v>41</v>
      </c>
      <c r="R43" s="277"/>
      <c r="S43" s="296"/>
      <c r="T43" s="296"/>
      <c r="U43" s="297"/>
      <c r="V43" s="297"/>
      <c r="W43" s="297"/>
      <c r="X43" s="297"/>
      <c r="Y43" s="297"/>
      <c r="Z43" s="296"/>
      <c r="AA43" s="296"/>
    </row>
    <row r="44" spans="1:27" ht="14.65" customHeight="1">
      <c r="A44" s="28"/>
      <c r="B44" s="559"/>
      <c r="C44" s="362"/>
      <c r="D44" s="519"/>
      <c r="E44" s="502"/>
      <c r="F44" s="294"/>
      <c r="G44" s="294"/>
      <c r="H44" s="348"/>
      <c r="I44" s="411" t="s">
        <v>158</v>
      </c>
      <c r="J44" s="326"/>
      <c r="K44" s="284"/>
      <c r="L44" s="305"/>
      <c r="M44" s="305">
        <f>AVERAGE([28]Brewhouse!$AU$5:$AU$8,[28]Brewhouse!$AU$10:$AU$13,[23]Brewhouse!$AY$75:$AY$77)</f>
        <v>94.749192473706671</v>
      </c>
      <c r="N44" s="30">
        <v>98</v>
      </c>
      <c r="O44" s="11"/>
      <c r="P44" s="31"/>
      <c r="R44" s="277"/>
      <c r="S44" s="296"/>
      <c r="T44" s="296"/>
      <c r="U44" s="297"/>
      <c r="V44" s="297"/>
      <c r="W44" s="297"/>
      <c r="X44" s="297"/>
      <c r="Y44" s="297"/>
      <c r="Z44" s="296"/>
      <c r="AA44" s="296"/>
    </row>
    <row r="45" spans="1:27" ht="14.65" customHeight="1">
      <c r="A45" s="28"/>
      <c r="B45" s="559"/>
      <c r="C45" s="349"/>
      <c r="D45" s="518"/>
      <c r="E45" s="507"/>
      <c r="F45" s="294"/>
      <c r="G45" s="294"/>
      <c r="H45" s="348"/>
      <c r="I45" s="410" t="s">
        <v>157</v>
      </c>
      <c r="J45" s="326"/>
      <c r="K45" s="284"/>
      <c r="L45" s="305"/>
      <c r="M45" s="305">
        <f>AVERAGE([29]Brewhouse!$AW$26:$AW$27)</f>
        <v>95.310680905194914</v>
      </c>
      <c r="N45" s="30">
        <v>98</v>
      </c>
      <c r="O45" s="11"/>
      <c r="P45" s="31"/>
      <c r="R45" s="277"/>
      <c r="S45" s="296"/>
      <c r="T45" s="296"/>
      <c r="U45" s="297"/>
      <c r="V45" s="297"/>
      <c r="W45" s="297"/>
      <c r="X45" s="297"/>
      <c r="Y45" s="297"/>
      <c r="Z45" s="296"/>
      <c r="AA45" s="296"/>
    </row>
    <row r="46" spans="1:27" ht="15" customHeight="1" thickBot="1">
      <c r="A46" s="28"/>
      <c r="B46" s="559"/>
      <c r="C46" s="349"/>
      <c r="D46" s="519"/>
      <c r="E46" s="502"/>
      <c r="F46" s="294"/>
      <c r="G46" s="294"/>
      <c r="H46" s="348"/>
      <c r="I46" s="406" t="s">
        <v>156</v>
      </c>
      <c r="J46" s="327"/>
      <c r="K46" s="407"/>
      <c r="L46" s="408"/>
      <c r="M46" s="408">
        <f>AVERAGE([30]Brewhouse!$AU$13:$AU$14)</f>
        <v>97.110575243268045</v>
      </c>
      <c r="N46" s="409">
        <v>98</v>
      </c>
      <c r="O46" s="11"/>
      <c r="P46" s="31"/>
      <c r="R46" s="277"/>
      <c r="S46" s="296"/>
      <c r="T46" s="296"/>
      <c r="U46" s="297"/>
      <c r="V46" s="297"/>
      <c r="W46" s="297"/>
      <c r="X46" s="297"/>
      <c r="Y46" s="297"/>
      <c r="Z46" s="296"/>
      <c r="AA46" s="296"/>
    </row>
    <row r="47" spans="1:27" ht="15" customHeight="1" thickBot="1">
      <c r="A47" s="28"/>
      <c r="B47" s="559"/>
      <c r="C47" s="349"/>
      <c r="D47" s="518"/>
      <c r="E47" s="507"/>
      <c r="F47" s="294"/>
      <c r="G47" s="294"/>
      <c r="H47" s="348"/>
      <c r="I47" s="1"/>
      <c r="J47" s="39"/>
      <c r="K47" s="404">
        <f>SUM(K37:K46)</f>
        <v>30</v>
      </c>
      <c r="L47" s="405">
        <f>((L37*K37)+(L38*K38)+(L39*K39)+(L40*K40)+(L41*K41)+(K44*L44)+(L42*K42)+(L43*K43)+(L46*K46))/(K47)</f>
        <v>97.588860251830226</v>
      </c>
      <c r="M47" s="405">
        <f>AVERAGE('[31]Jan 31st'!$L$65,'[32]Feb 28th'!$L$35,'[33]Mar. 31st'!$L$35,'[34]Apr. 30th'!$L$45,'[35]May 30th'!$L$37,'[36]June 30th'!$L$57,L47)</f>
        <v>97.648681535556008</v>
      </c>
      <c r="N47" s="40">
        <v>98</v>
      </c>
      <c r="O47" s="11"/>
      <c r="P47" s="31"/>
      <c r="R47" s="277"/>
      <c r="S47" s="296"/>
      <c r="T47" s="296"/>
      <c r="U47" s="297"/>
      <c r="V47" s="297"/>
      <c r="W47" s="297"/>
      <c r="X47" s="297"/>
      <c r="Y47" s="297"/>
      <c r="Z47" s="296"/>
      <c r="AA47" s="296"/>
    </row>
    <row r="48" spans="1:27" ht="15.75" thickBot="1">
      <c r="B48" s="560"/>
      <c r="C48" s="350"/>
      <c r="D48" s="519"/>
      <c r="E48" s="502"/>
      <c r="F48" s="294"/>
      <c r="G48" s="42"/>
      <c r="H48" s="41"/>
      <c r="I48" s="42"/>
      <c r="J48" s="42"/>
      <c r="K48" s="351"/>
      <c r="L48" s="348"/>
      <c r="M48" s="348"/>
      <c r="N48" s="11"/>
      <c r="O48" s="294"/>
      <c r="P48" s="12"/>
      <c r="R48" s="277"/>
      <c r="S48" s="296"/>
      <c r="T48" s="296"/>
      <c r="U48" s="297"/>
      <c r="V48" s="297"/>
      <c r="W48" s="297"/>
      <c r="X48" s="297"/>
      <c r="Y48" s="297"/>
      <c r="Z48" s="296"/>
      <c r="AA48" s="296"/>
    </row>
    <row r="49" spans="2:56" ht="15.75" thickBot="1">
      <c r="B49" s="552"/>
      <c r="C49" s="362"/>
      <c r="D49" s="499"/>
      <c r="E49" s="500"/>
      <c r="F49" s="294"/>
      <c r="G49" s="42"/>
      <c r="H49" s="41"/>
      <c r="I49" s="42"/>
      <c r="J49" s="553" t="s">
        <v>129</v>
      </c>
      <c r="K49" s="553"/>
      <c r="L49" s="294"/>
      <c r="M49" s="294"/>
      <c r="N49" s="294"/>
      <c r="O49" s="294"/>
      <c r="P49" s="12"/>
    </row>
    <row r="50" spans="2:56" ht="15.75" thickBot="1">
      <c r="B50" s="516"/>
      <c r="C50" s="362"/>
      <c r="D50" s="501"/>
      <c r="E50" s="502"/>
      <c r="F50" s="294"/>
      <c r="G50" s="42"/>
      <c r="H50" s="41"/>
      <c r="I50" s="42"/>
      <c r="J50" s="292" t="s">
        <v>17</v>
      </c>
      <c r="K50" s="293" t="s">
        <v>147</v>
      </c>
      <c r="L50" s="504" t="s">
        <v>136</v>
      </c>
      <c r="M50" s="504"/>
      <c r="N50" s="505"/>
      <c r="O50" s="294"/>
      <c r="P50" s="12"/>
    </row>
    <row r="51" spans="2:56" ht="15" customHeight="1" thickBot="1">
      <c r="B51" s="516"/>
      <c r="C51" s="349"/>
      <c r="D51" s="554"/>
      <c r="E51" s="555"/>
      <c r="F51" s="294"/>
      <c r="G51" s="42"/>
      <c r="H51" s="41"/>
      <c r="I51" s="42"/>
      <c r="J51" s="287" t="s">
        <v>6</v>
      </c>
      <c r="K51" s="324">
        <v>7</v>
      </c>
      <c r="L51" s="343" t="s">
        <v>37</v>
      </c>
      <c r="M51" s="307" t="s">
        <v>38</v>
      </c>
      <c r="N51" s="307" t="s">
        <v>84</v>
      </c>
      <c r="O51" s="294"/>
      <c r="P51" s="12"/>
    </row>
    <row r="52" spans="2:56" ht="15.75" customHeight="1" thickBot="1">
      <c r="B52" s="516"/>
      <c r="C52" s="349"/>
      <c r="D52" s="501"/>
      <c r="E52" s="502"/>
      <c r="F52" s="294"/>
      <c r="G52" s="42"/>
      <c r="H52" s="41"/>
      <c r="I52" s="42"/>
      <c r="J52" s="345" t="s">
        <v>9</v>
      </c>
      <c r="K52" s="324">
        <v>3</v>
      </c>
      <c r="L52" s="344">
        <f>AVERAGE('Sept 1st'!K53,'Sept 2nd'!K51,'Sept 3rd'!K52,K61)</f>
        <v>9.25</v>
      </c>
      <c r="M52" s="325">
        <f>AVERAGE('[31]Jan 29th '!$M$70,'[32]Feb 28th'!$L$40,'[33]Mar. 31st'!$L$40,'[34]Apr. 30th'!$L$50,'[35]May 30th'!$L$42,'[36]June 30th'!$L$62,'[37]July 29th '!$L$49,'[38]Aug 29th'!$L$34,L52)</f>
        <v>7.2091895942010353</v>
      </c>
      <c r="N52" s="416">
        <v>9.1999999999999993</v>
      </c>
      <c r="O52" s="294"/>
      <c r="P52" s="12"/>
    </row>
    <row r="53" spans="2:56" ht="15" customHeight="1">
      <c r="B53" s="516"/>
      <c r="C53" s="349"/>
      <c r="D53" s="554"/>
      <c r="E53" s="555"/>
      <c r="F53" s="294"/>
      <c r="G53" s="42"/>
      <c r="H53" s="41"/>
      <c r="I53" s="42"/>
      <c r="J53" s="288" t="s">
        <v>40</v>
      </c>
      <c r="K53" s="324"/>
      <c r="L53" s="294"/>
      <c r="M53" s="294"/>
      <c r="N53" s="294"/>
      <c r="O53" s="294"/>
      <c r="P53" s="12"/>
    </row>
    <row r="54" spans="2:56" ht="15" customHeight="1">
      <c r="B54" s="516"/>
      <c r="C54" s="349"/>
      <c r="D54" s="501"/>
      <c r="E54" s="502"/>
      <c r="F54" s="294"/>
      <c r="G54" s="42"/>
      <c r="H54" s="41"/>
      <c r="I54" s="42"/>
      <c r="J54" s="289" t="s">
        <v>33</v>
      </c>
      <c r="K54" s="324"/>
      <c r="L54" s="294"/>
      <c r="M54" s="294"/>
      <c r="N54" s="294"/>
      <c r="O54" s="294"/>
      <c r="P54" s="12"/>
    </row>
    <row r="55" spans="2:56" ht="15">
      <c r="B55" s="516"/>
      <c r="C55" s="349"/>
      <c r="D55" s="554"/>
      <c r="E55" s="555"/>
      <c r="F55" s="294"/>
      <c r="G55" s="42"/>
      <c r="H55" s="41"/>
      <c r="I55" s="42"/>
      <c r="J55" s="290" t="s">
        <v>16</v>
      </c>
      <c r="K55" s="324"/>
      <c r="L55" s="294"/>
      <c r="M55" s="294"/>
      <c r="N55" s="294"/>
      <c r="O55" s="294"/>
      <c r="P55" s="12"/>
      <c r="BC55" s="44"/>
      <c r="BD55" s="44"/>
    </row>
    <row r="56" spans="2:56" ht="15">
      <c r="B56" s="516"/>
      <c r="C56" s="349"/>
      <c r="D56" s="501"/>
      <c r="E56" s="502"/>
      <c r="F56" s="294"/>
      <c r="G56" s="42"/>
      <c r="H56" s="41"/>
      <c r="I56" s="42"/>
      <c r="J56" s="291" t="s">
        <v>15</v>
      </c>
      <c r="K56" s="324"/>
      <c r="L56" s="294"/>
      <c r="M56" s="294"/>
      <c r="N56" s="294"/>
      <c r="O56" s="294"/>
      <c r="P56" s="12"/>
      <c r="BC56" s="44"/>
      <c r="BD56" s="44"/>
    </row>
    <row r="57" spans="2:56" ht="15">
      <c r="B57" s="516"/>
      <c r="C57" s="349"/>
      <c r="D57" s="554"/>
      <c r="E57" s="555"/>
      <c r="F57" s="294"/>
      <c r="G57" s="42"/>
      <c r="H57" s="41"/>
      <c r="I57" s="42"/>
      <c r="J57" s="291" t="s">
        <v>149</v>
      </c>
      <c r="K57" s="324"/>
      <c r="L57" s="294"/>
      <c r="M57" s="294"/>
      <c r="N57" s="294"/>
      <c r="O57" s="294"/>
      <c r="P57" s="12"/>
      <c r="BC57" s="44"/>
      <c r="BD57" s="44"/>
    </row>
    <row r="58" spans="2:56" ht="15.75" thickBot="1">
      <c r="B58" s="517"/>
      <c r="C58" s="350"/>
      <c r="D58" s="556"/>
      <c r="E58" s="557"/>
      <c r="F58" s="294"/>
      <c r="G58" s="42"/>
      <c r="H58" s="41"/>
      <c r="I58" s="42"/>
      <c r="J58" s="291" t="s">
        <v>148</v>
      </c>
      <c r="K58" s="324"/>
      <c r="L58" s="294"/>
      <c r="M58" s="294"/>
      <c r="N58" s="294"/>
      <c r="O58" s="294"/>
      <c r="P58" s="12"/>
      <c r="BC58" s="44"/>
      <c r="BD58" s="44"/>
    </row>
    <row r="59" spans="2:56" ht="17.649999999999999" customHeight="1" thickBot="1">
      <c r="B59" s="312" t="s">
        <v>139</v>
      </c>
      <c r="C59" s="313"/>
      <c r="D59" s="550" t="e">
        <f>AVERAGE(D37:E58)</f>
        <v>#DIV/0!</v>
      </c>
      <c r="E59" s="551"/>
      <c r="F59" s="294"/>
      <c r="H59" s="41"/>
      <c r="I59" s="42"/>
      <c r="J59" s="295" t="s">
        <v>134</v>
      </c>
      <c r="K59" s="324"/>
      <c r="L59" s="294"/>
      <c r="M59" s="294"/>
      <c r="N59" s="294"/>
      <c r="O59" s="294"/>
      <c r="P59" s="12"/>
      <c r="BC59" s="44"/>
      <c r="BD59" s="44"/>
    </row>
    <row r="60" spans="2:56" ht="17.649999999999999" customHeight="1">
      <c r="B60" s="363"/>
      <c r="C60" s="364"/>
      <c r="D60" s="365"/>
      <c r="E60" s="365"/>
      <c r="F60" s="294"/>
      <c r="G60" s="42"/>
      <c r="H60" s="41"/>
      <c r="I60" s="42"/>
      <c r="J60" s="295" t="s">
        <v>131</v>
      </c>
      <c r="K60" s="324"/>
      <c r="L60" s="294"/>
      <c r="M60" s="294"/>
      <c r="N60" s="294"/>
      <c r="O60" s="294"/>
      <c r="P60" s="12"/>
      <c r="BC60" s="44"/>
      <c r="BD60" s="44"/>
    </row>
    <row r="61" spans="2:56" ht="15.6" customHeight="1">
      <c r="B61" s="45"/>
      <c r="C61" s="11"/>
      <c r="D61" s="11"/>
      <c r="E61" s="46"/>
      <c r="F61" s="294"/>
      <c r="G61" s="42"/>
      <c r="H61" s="41"/>
      <c r="I61" s="42"/>
      <c r="J61" s="346" t="s">
        <v>130</v>
      </c>
      <c r="K61" s="324">
        <f>SUM(K51:K60)</f>
        <v>10</v>
      </c>
      <c r="L61" s="294"/>
      <c r="M61" s="294"/>
      <c r="N61" s="294"/>
      <c r="O61" s="294"/>
      <c r="P61" s="12"/>
    </row>
    <row r="62" spans="2:56" ht="20.25" customHeight="1">
      <c r="B62" s="15" t="s">
        <v>42</v>
      </c>
      <c r="C62" s="1" t="s">
        <v>43</v>
      </c>
      <c r="D62" s="1"/>
      <c r="E62" s="1"/>
      <c r="F62" s="294"/>
      <c r="G62" s="42"/>
      <c r="H62" s="41"/>
      <c r="I62" s="42"/>
      <c r="L62" s="294"/>
      <c r="N62" s="315"/>
      <c r="P62" s="334"/>
    </row>
    <row r="63" spans="2:56" ht="15" customHeight="1" thickBot="1"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1"/>
      <c r="O63" s="48"/>
      <c r="P63" s="49"/>
    </row>
    <row r="64" spans="2:56" ht="15" customHeight="1" thickBot="1">
      <c r="B64" s="480" t="s">
        <v>17</v>
      </c>
      <c r="C64" s="480" t="s">
        <v>44</v>
      </c>
      <c r="D64" s="492" t="s">
        <v>45</v>
      </c>
      <c r="E64" s="494" t="s">
        <v>46</v>
      </c>
      <c r="F64" s="488" t="s">
        <v>47</v>
      </c>
      <c r="G64" s="478" t="s">
        <v>48</v>
      </c>
      <c r="H64" s="480" t="s">
        <v>49</v>
      </c>
      <c r="I64" s="480" t="s">
        <v>50</v>
      </c>
      <c r="J64" s="472" t="s">
        <v>28</v>
      </c>
      <c r="K64" s="484" t="s">
        <v>51</v>
      </c>
      <c r="L64" s="486" t="s">
        <v>52</v>
      </c>
      <c r="M64" s="472" t="s">
        <v>53</v>
      </c>
      <c r="N64" s="13"/>
      <c r="O64" s="13"/>
      <c r="P64" s="50"/>
    </row>
    <row r="65" spans="2:57" ht="28.5" customHeight="1" thickTop="1" thickBot="1">
      <c r="B65" s="481"/>
      <c r="C65" s="481"/>
      <c r="D65" s="493"/>
      <c r="E65" s="495"/>
      <c r="F65" s="489"/>
      <c r="G65" s="479"/>
      <c r="H65" s="549"/>
      <c r="I65" s="549"/>
      <c r="J65" s="473"/>
      <c r="K65" s="485"/>
      <c r="L65" s="487"/>
      <c r="M65" s="473"/>
      <c r="N65" s="13"/>
      <c r="O65" s="13"/>
      <c r="P65" s="50"/>
      <c r="Q65" s="355"/>
      <c r="AB65" s="51">
        <v>43474</v>
      </c>
      <c r="AC65" s="51">
        <v>43475</v>
      </c>
      <c r="AD65" s="51">
        <v>43476</v>
      </c>
      <c r="AE65" s="51">
        <v>43477</v>
      </c>
      <c r="AF65" s="51">
        <v>43478</v>
      </c>
      <c r="AG65" s="51">
        <v>43479</v>
      </c>
      <c r="AH65" s="51">
        <v>43480</v>
      </c>
      <c r="AI65" s="51">
        <v>43481</v>
      </c>
      <c r="AJ65" s="51">
        <v>43482</v>
      </c>
      <c r="AK65" s="51">
        <v>43483</v>
      </c>
      <c r="AL65" s="51">
        <v>43484</v>
      </c>
      <c r="AM65" s="51">
        <v>43485</v>
      </c>
      <c r="AN65" s="51">
        <v>43486</v>
      </c>
      <c r="AO65" s="51">
        <v>43487</v>
      </c>
      <c r="AP65" s="51">
        <v>43488</v>
      </c>
      <c r="AQ65" s="51">
        <v>43489</v>
      </c>
      <c r="AR65" s="51">
        <v>43490</v>
      </c>
      <c r="AS65" s="51">
        <v>43491</v>
      </c>
      <c r="AT65" s="51">
        <v>43492</v>
      </c>
      <c r="AU65" s="51">
        <v>43493</v>
      </c>
      <c r="AV65" s="51">
        <v>43494</v>
      </c>
      <c r="AW65" s="51">
        <v>43495</v>
      </c>
      <c r="AX65" s="51">
        <v>43496</v>
      </c>
    </row>
    <row r="66" spans="2:57" s="54" customFormat="1" ht="59.45" customHeight="1" thickBot="1">
      <c r="B66" s="465"/>
      <c r="C66" s="442"/>
      <c r="D66" s="443"/>
      <c r="E66" s="444"/>
      <c r="F66" s="444"/>
      <c r="G66" s="445"/>
      <c r="H66" s="463"/>
      <c r="I66" s="463"/>
      <c r="J66" s="449"/>
      <c r="K66" s="450"/>
      <c r="L66" s="464"/>
      <c r="M66" s="457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>
        <f>[20]January_2019!L7</f>
        <v>285.8</v>
      </c>
      <c r="AC66" s="57">
        <f>[20]January_2019!M7</f>
        <v>508.1</v>
      </c>
      <c r="AD66" s="57">
        <f>[20]January_2019!N7</f>
        <v>0</v>
      </c>
      <c r="AE66" s="57">
        <f>[20]January_2019!O7</f>
        <v>0</v>
      </c>
      <c r="AF66" s="57">
        <f>[20]January_2019!P7</f>
        <v>109.56666666666666</v>
      </c>
      <c r="AG66" s="57">
        <f>[20]January_2019!Q7</f>
        <v>297.64999999999998</v>
      </c>
      <c r="AH66" s="57">
        <f>[20]January_2019!R7</f>
        <v>122.3</v>
      </c>
      <c r="AI66" s="57">
        <f>[20]January_2019!S7</f>
        <v>0</v>
      </c>
      <c r="AJ66" s="57">
        <f>[20]January_2019!T7</f>
        <v>294.7</v>
      </c>
      <c r="AK66" s="57">
        <f>[20]January_2019!U7</f>
        <v>280.5</v>
      </c>
      <c r="AL66" s="57">
        <f>[20]January_2019!V7</f>
        <v>0</v>
      </c>
      <c r="AM66" s="57">
        <f>[20]January_2019!W7</f>
        <v>0</v>
      </c>
      <c r="AN66" s="57">
        <f>[20]January_2019!X7</f>
        <v>188.25</v>
      </c>
      <c r="AO66" s="57">
        <f>[20]January_2019!Y7</f>
        <v>295.7</v>
      </c>
      <c r="AP66" s="57">
        <f>[20]January_2019!Z7</f>
        <v>257.8</v>
      </c>
      <c r="AQ66" s="57">
        <f>[20]January_2019!AA7</f>
        <v>291.2</v>
      </c>
      <c r="AR66" s="57">
        <f>[20]January_2019!AB7</f>
        <v>187</v>
      </c>
      <c r="AS66" s="57">
        <f>[20]January_2019!AC7</f>
        <v>0</v>
      </c>
      <c r="AT66" s="57">
        <f>[20]January_2019!AD7</f>
        <v>0</v>
      </c>
      <c r="AU66" s="57">
        <f>[20]January_2019!AE7</f>
        <v>485.1</v>
      </c>
      <c r="AV66" s="57">
        <f>[20]January_2019!AF7</f>
        <v>171.55</v>
      </c>
      <c r="AW66" s="57">
        <f>[20]January_2019!AG7</f>
        <v>423.8</v>
      </c>
      <c r="AX66" s="277">
        <f>[20]January_2019!AH7</f>
        <v>0</v>
      </c>
      <c r="AY66" s="277"/>
      <c r="AZ66" s="277"/>
      <c r="BA66" s="277"/>
      <c r="BB66" s="277"/>
      <c r="BC66" s="277"/>
      <c r="BD66" s="277"/>
      <c r="BE66" s="277"/>
    </row>
    <row r="67" spans="2:57" s="54" customFormat="1" ht="20.45" hidden="1" customHeight="1" thickBot="1">
      <c r="B67" s="459"/>
      <c r="C67" s="431"/>
      <c r="D67" s="432"/>
      <c r="E67" s="433"/>
      <c r="F67" s="434"/>
      <c r="G67" s="435"/>
      <c r="H67" s="429"/>
      <c r="I67" s="429"/>
      <c r="J67" s="452"/>
      <c r="K67" s="437"/>
      <c r="L67" s="453"/>
      <c r="M67" s="422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s="54" customFormat="1" ht="59.45" hidden="1" customHeight="1" thickBot="1">
      <c r="B68" s="460"/>
      <c r="C68" s="442"/>
      <c r="D68" s="443"/>
      <c r="E68" s="444"/>
      <c r="F68" s="445"/>
      <c r="G68" s="446"/>
      <c r="H68" s="429"/>
      <c r="I68" s="429"/>
      <c r="J68" s="449"/>
      <c r="K68" s="450"/>
      <c r="L68" s="458"/>
      <c r="M68" s="457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277"/>
      <c r="AY68" s="277"/>
      <c r="AZ68" s="277"/>
      <c r="BA68" s="277"/>
      <c r="BB68" s="277"/>
      <c r="BC68" s="277"/>
      <c r="BD68" s="277"/>
      <c r="BE68" s="277"/>
    </row>
    <row r="69" spans="2:57" s="54" customFormat="1" ht="15" hidden="1">
      <c r="B69" s="454"/>
      <c r="C69" s="431"/>
      <c r="D69" s="432"/>
      <c r="E69" s="433"/>
      <c r="F69" s="434"/>
      <c r="G69" s="435"/>
      <c r="H69" s="436"/>
      <c r="I69" s="451"/>
      <c r="J69" s="452"/>
      <c r="K69" s="437"/>
      <c r="L69" s="453"/>
      <c r="M69" s="422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277"/>
      <c r="AY69" s="277"/>
      <c r="AZ69" s="277"/>
      <c r="BA69" s="277"/>
      <c r="BB69" s="277"/>
      <c r="BC69" s="277"/>
      <c r="BD69" s="277"/>
      <c r="BE69" s="277"/>
    </row>
    <row r="70" spans="2:57" s="54" customFormat="1" ht="36.6" hidden="1" customHeight="1" thickBot="1">
      <c r="B70" s="387"/>
      <c r="C70" s="442"/>
      <c r="D70" s="443"/>
      <c r="E70" s="444"/>
      <c r="F70" s="445"/>
      <c r="G70" s="446"/>
      <c r="H70" s="447"/>
      <c r="I70" s="448"/>
      <c r="J70" s="449" t="s">
        <v>163</v>
      </c>
      <c r="K70" s="450"/>
      <c r="L70" s="455" t="e">
        <f>(((D70+E70)-G70)/(D70+E70))*100</f>
        <v>#DIV/0!</v>
      </c>
      <c r="M70" s="456"/>
      <c r="N70" s="13"/>
      <c r="O70" s="13"/>
      <c r="P70" s="50"/>
      <c r="R70" s="275"/>
      <c r="S70" s="275"/>
      <c r="T70" s="275"/>
      <c r="U70" s="275"/>
      <c r="V70" s="275"/>
      <c r="W70" s="275"/>
      <c r="X70" s="275"/>
      <c r="Y70" s="275"/>
      <c r="Z70" s="275"/>
      <c r="AA70" s="275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277"/>
      <c r="AY70" s="277"/>
      <c r="AZ70" s="277"/>
      <c r="BA70" s="277"/>
      <c r="BB70" s="277"/>
      <c r="BC70" s="277"/>
      <c r="BD70" s="277"/>
      <c r="BE70" s="277"/>
    </row>
    <row r="71" spans="2:57" s="54" customFormat="1" ht="16.5" hidden="1" customHeight="1" thickBot="1">
      <c r="B71" s="438"/>
      <c r="C71" s="424"/>
      <c r="D71" s="425"/>
      <c r="E71" s="426"/>
      <c r="F71" s="427"/>
      <c r="G71" s="428"/>
      <c r="H71" s="429"/>
      <c r="I71" s="439"/>
      <c r="J71" s="440"/>
      <c r="K71" s="430"/>
      <c r="L71" s="441"/>
      <c r="M71" s="423"/>
      <c r="N71" s="13"/>
      <c r="O71" s="13"/>
      <c r="P71" s="50"/>
      <c r="R71" s="275"/>
      <c r="S71" s="275"/>
      <c r="T71" s="275"/>
      <c r="U71" s="275"/>
      <c r="V71" s="275"/>
      <c r="W71" s="275"/>
      <c r="X71" s="275"/>
      <c r="Y71" s="275"/>
      <c r="Z71" s="275"/>
      <c r="AA71" s="275"/>
      <c r="AB71" s="415"/>
      <c r="AC71" s="415"/>
      <c r="AD71" s="415"/>
      <c r="AE71" s="415"/>
      <c r="AF71" s="415"/>
      <c r="AG71" s="415"/>
      <c r="AH71" s="415"/>
      <c r="AI71" s="415"/>
      <c r="AJ71" s="415"/>
      <c r="AK71" s="415"/>
      <c r="AL71" s="415"/>
      <c r="AM71" s="415"/>
      <c r="AN71" s="415"/>
      <c r="AO71" s="415"/>
      <c r="AP71" s="415"/>
      <c r="AQ71" s="415"/>
      <c r="AR71" s="415"/>
      <c r="AS71" s="415"/>
      <c r="AT71" s="415"/>
      <c r="AU71" s="415"/>
      <c r="AV71" s="415"/>
      <c r="AW71" s="415"/>
    </row>
    <row r="72" spans="2:57" ht="18" customHeight="1" thickBot="1">
      <c r="B72" s="59"/>
      <c r="C72" s="30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 t="s">
        <v>41</v>
      </c>
      <c r="O72" s="56"/>
      <c r="P72" s="60"/>
    </row>
    <row r="73" spans="2:57" ht="15.75" thickBot="1">
      <c r="B73" s="474" t="s">
        <v>55</v>
      </c>
      <c r="C73" s="475"/>
      <c r="D73" s="475"/>
      <c r="E73" s="475"/>
      <c r="F73" s="476"/>
      <c r="G73" s="474" t="s">
        <v>56</v>
      </c>
      <c r="H73" s="475"/>
      <c r="I73" s="475"/>
      <c r="J73" s="476"/>
      <c r="K73" s="474" t="s">
        <v>51</v>
      </c>
      <c r="L73" s="475"/>
      <c r="M73" s="475"/>
      <c r="N73" s="477"/>
      <c r="O73" s="56"/>
      <c r="P73" s="50"/>
    </row>
    <row r="74" spans="2:57" ht="15">
      <c r="B74" s="61" t="s">
        <v>17</v>
      </c>
      <c r="C74" s="62" t="s">
        <v>36</v>
      </c>
      <c r="D74" s="62" t="s">
        <v>37</v>
      </c>
      <c r="E74" s="62" t="s">
        <v>38</v>
      </c>
      <c r="F74" s="63" t="s">
        <v>39</v>
      </c>
      <c r="G74" s="62" t="s">
        <v>36</v>
      </c>
      <c r="H74" s="62" t="s">
        <v>37</v>
      </c>
      <c r="I74" s="62" t="s">
        <v>38</v>
      </c>
      <c r="J74" s="63" t="s">
        <v>39</v>
      </c>
      <c r="K74" s="62" t="s">
        <v>36</v>
      </c>
      <c r="L74" s="62" t="s">
        <v>37</v>
      </c>
      <c r="M74" s="62" t="s">
        <v>38</v>
      </c>
      <c r="N74" s="63" t="s">
        <v>39</v>
      </c>
      <c r="O74" s="56"/>
      <c r="P74" s="64"/>
    </row>
    <row r="75" spans="2:57" ht="15">
      <c r="B75" s="29" t="s">
        <v>6</v>
      </c>
      <c r="C75" s="65"/>
      <c r="D75" s="76"/>
      <c r="E75" s="76"/>
      <c r="F75" s="66">
        <v>4.8</v>
      </c>
      <c r="G75" s="65"/>
      <c r="H75" s="76"/>
      <c r="I75" s="76"/>
      <c r="J75" s="66">
        <v>4.8</v>
      </c>
      <c r="K75" s="67"/>
      <c r="L75" s="194"/>
      <c r="M75" s="194"/>
      <c r="N75" s="68">
        <v>1</v>
      </c>
      <c r="O75" s="56"/>
      <c r="P75" s="69"/>
    </row>
    <row r="76" spans="2:57" ht="15">
      <c r="B76" s="33" t="s">
        <v>9</v>
      </c>
      <c r="C76" s="65"/>
      <c r="D76" s="76"/>
      <c r="E76" s="76"/>
      <c r="F76" s="66">
        <v>4.8</v>
      </c>
      <c r="G76" s="65"/>
      <c r="H76" s="76"/>
      <c r="I76" s="76"/>
      <c r="J76" s="66">
        <v>4.8</v>
      </c>
      <c r="K76" s="67"/>
      <c r="L76" s="194"/>
      <c r="M76" s="194"/>
      <c r="N76" s="68">
        <v>1</v>
      </c>
      <c r="P76" s="69"/>
    </row>
    <row r="77" spans="2:57" ht="15">
      <c r="B77" s="34" t="s">
        <v>40</v>
      </c>
      <c r="C77" s="65"/>
      <c r="D77" s="76"/>
      <c r="E77" s="76"/>
      <c r="F77" s="66">
        <v>5.5</v>
      </c>
      <c r="G77" s="65"/>
      <c r="H77" s="76"/>
      <c r="I77" s="76"/>
      <c r="J77" s="66">
        <v>5.5</v>
      </c>
      <c r="K77" s="67"/>
      <c r="L77" s="194"/>
      <c r="M77" s="194"/>
      <c r="N77" s="68">
        <v>1</v>
      </c>
      <c r="P77" s="69"/>
    </row>
    <row r="78" spans="2:57" ht="15">
      <c r="B78" s="22" t="s">
        <v>33</v>
      </c>
      <c r="C78" s="65"/>
      <c r="D78" s="76"/>
      <c r="E78" s="76"/>
      <c r="F78" s="66">
        <v>3.3</v>
      </c>
      <c r="G78" s="65"/>
      <c r="H78" s="76"/>
      <c r="I78" s="76"/>
      <c r="J78" s="66">
        <v>3.3</v>
      </c>
      <c r="K78" s="67"/>
      <c r="L78" s="194"/>
      <c r="M78" s="194"/>
      <c r="N78" s="68">
        <v>1</v>
      </c>
      <c r="P78" s="69"/>
    </row>
    <row r="79" spans="2:57" ht="15">
      <c r="B79" s="35" t="s">
        <v>165</v>
      </c>
      <c r="C79" s="65"/>
      <c r="D79" s="76"/>
      <c r="E79" s="76"/>
      <c r="F79" s="66">
        <v>3.3</v>
      </c>
      <c r="G79" s="282"/>
      <c r="H79" s="76"/>
      <c r="I79" s="76"/>
      <c r="J79" s="66">
        <v>3</v>
      </c>
      <c r="K79" s="67"/>
      <c r="L79" s="194"/>
      <c r="M79" s="194"/>
      <c r="N79" s="68">
        <v>1</v>
      </c>
      <c r="P79" s="69"/>
    </row>
    <row r="80" spans="2:57" ht="15">
      <c r="B80" s="36" t="s">
        <v>15</v>
      </c>
      <c r="C80" s="65"/>
      <c r="D80" s="76"/>
      <c r="E80" s="76"/>
      <c r="F80" s="70">
        <f>[21]May_2022!$M$43</f>
        <v>3.4878406700073312</v>
      </c>
      <c r="G80" s="282"/>
      <c r="H80" s="76"/>
      <c r="I80" s="76"/>
      <c r="J80" s="66">
        <v>5.5</v>
      </c>
      <c r="K80" s="67"/>
      <c r="L80" s="194"/>
      <c r="M80" s="194"/>
      <c r="N80" s="68">
        <v>1</v>
      </c>
      <c r="P80" s="69"/>
    </row>
    <row r="81" spans="2:16" ht="15">
      <c r="B81" s="37" t="s">
        <v>16</v>
      </c>
      <c r="C81" s="65"/>
      <c r="D81" s="76"/>
      <c r="E81" s="76"/>
      <c r="F81" s="66">
        <v>3.3</v>
      </c>
      <c r="G81" s="282"/>
      <c r="H81" s="76"/>
      <c r="I81" s="76"/>
      <c r="J81" s="66">
        <v>3.3</v>
      </c>
      <c r="K81" s="67"/>
      <c r="L81" s="194"/>
      <c r="M81" s="194"/>
      <c r="N81" s="71">
        <v>1</v>
      </c>
      <c r="P81" s="69"/>
    </row>
    <row r="82" spans="2:16" ht="15.75" thickBot="1">
      <c r="B82" s="38" t="s">
        <v>164</v>
      </c>
      <c r="C82" s="65"/>
      <c r="D82" s="76"/>
      <c r="E82" s="76"/>
      <c r="F82" s="66">
        <v>7.5</v>
      </c>
      <c r="G82" s="282"/>
      <c r="H82" s="76"/>
      <c r="I82" s="76"/>
      <c r="J82" s="66">
        <v>7.5</v>
      </c>
      <c r="K82" s="67"/>
      <c r="M82" s="194"/>
      <c r="N82" s="71">
        <v>1</v>
      </c>
      <c r="P82" s="69"/>
    </row>
    <row r="83" spans="2:16" ht="15.75" thickBot="1">
      <c r="B83" s="414" t="s">
        <v>161</v>
      </c>
      <c r="C83" s="65"/>
      <c r="D83" s="76"/>
      <c r="E83" s="76"/>
      <c r="F83" s="66">
        <v>4.8</v>
      </c>
      <c r="G83" s="282"/>
      <c r="H83" s="76"/>
      <c r="I83" s="76"/>
      <c r="J83" s="66">
        <v>4.8</v>
      </c>
      <c r="K83" s="67"/>
      <c r="L83" s="194"/>
      <c r="M83" s="194"/>
      <c r="N83" s="71">
        <v>1</v>
      </c>
      <c r="O83" s="74"/>
      <c r="P83" s="75"/>
    </row>
    <row r="84" spans="2:16" ht="15">
      <c r="D84" s="76"/>
      <c r="E84" s="76"/>
      <c r="F84" s="341">
        <v>5.5</v>
      </c>
      <c r="H84" s="76"/>
      <c r="I84" s="76"/>
      <c r="J84" s="341">
        <v>5.5</v>
      </c>
      <c r="L84" s="194"/>
      <c r="M84" s="194"/>
      <c r="N84" s="386">
        <v>1</v>
      </c>
    </row>
    <row r="88" spans="2:16">
      <c r="F88" s="315"/>
    </row>
    <row r="89" spans="2:16" ht="15">
      <c r="F89" s="341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35:N35"/>
    <mergeCell ref="D36:E36"/>
    <mergeCell ref="B37:B48"/>
    <mergeCell ref="D37:E38"/>
    <mergeCell ref="D39:E40"/>
    <mergeCell ref="D41:E42"/>
    <mergeCell ref="D43:E44"/>
    <mergeCell ref="D45:E46"/>
    <mergeCell ref="D47:E48"/>
    <mergeCell ref="B49:B58"/>
    <mergeCell ref="D49:E50"/>
    <mergeCell ref="J49:K49"/>
    <mergeCell ref="L50:N50"/>
    <mergeCell ref="D51:E52"/>
    <mergeCell ref="D53:E54"/>
    <mergeCell ref="D55:E56"/>
    <mergeCell ref="D57:E58"/>
    <mergeCell ref="D59:E59"/>
    <mergeCell ref="B64:B65"/>
    <mergeCell ref="C64:C65"/>
    <mergeCell ref="D64:D65"/>
    <mergeCell ref="E64:E65"/>
    <mergeCell ref="M64:M65"/>
    <mergeCell ref="B73:F73"/>
    <mergeCell ref="G73:J73"/>
    <mergeCell ref="K73:N73"/>
    <mergeCell ref="G64:G65"/>
    <mergeCell ref="H64:H65"/>
    <mergeCell ref="I64:I65"/>
    <mergeCell ref="J64:J65"/>
    <mergeCell ref="K64:K65"/>
    <mergeCell ref="L64:L65"/>
    <mergeCell ref="F64:F65"/>
  </mergeCells>
  <conditionalFormatting sqref="B59:B60">
    <cfRule type="cellIs" dxfId="3035" priority="140" operator="notBetween">
      <formula>#REF!</formula>
      <formula>#REF!</formula>
    </cfRule>
  </conditionalFormatting>
  <conditionalFormatting sqref="C63">
    <cfRule type="cellIs" dxfId="3034" priority="172" stopIfTrue="1" operator="greaterThan">
      <formula>100</formula>
    </cfRule>
    <cfRule type="cellIs" dxfId="3033" priority="171" stopIfTrue="1" operator="lessThan">
      <formula>96</formula>
    </cfRule>
  </conditionalFormatting>
  <conditionalFormatting sqref="C75:C76">
    <cfRule type="cellIs" dxfId="3032" priority="177" stopIfTrue="1" operator="greaterThan">
      <formula>$F76</formula>
    </cfRule>
    <cfRule type="cellIs" dxfId="3031" priority="175" stopIfTrue="1" operator="greaterThan">
      <formula>$F75</formula>
    </cfRule>
  </conditionalFormatting>
  <conditionalFormatting sqref="C75:C79">
    <cfRule type="cellIs" dxfId="3030" priority="121" stopIfTrue="1" operator="lessThanOrEqual">
      <formula>0</formula>
    </cfRule>
  </conditionalFormatting>
  <conditionalFormatting sqref="C76:C83">
    <cfRule type="cellIs" dxfId="3029" priority="120" stopIfTrue="1" operator="greaterThan">
      <formula>$F76</formula>
    </cfRule>
  </conditionalFormatting>
  <conditionalFormatting sqref="C80">
    <cfRule type="cellIs" dxfId="3028" priority="44" stopIfTrue="1" operator="lessThanOrEqual">
      <formula>0</formula>
    </cfRule>
    <cfRule type="cellIs" dxfId="3027" priority="45" stopIfTrue="1" operator="greaterThan">
      <formula>$F79</formula>
    </cfRule>
  </conditionalFormatting>
  <conditionalFormatting sqref="C86:C90">
    <cfRule type="cellIs" dxfId="3026" priority="163" stopIfTrue="1" operator="lessThanOrEqual">
      <formula>0</formula>
    </cfRule>
  </conditionalFormatting>
  <conditionalFormatting sqref="C87:C90">
    <cfRule type="cellIs" dxfId="3025" priority="162" stopIfTrue="1" operator="greaterThan">
      <formula>$F$86</formula>
    </cfRule>
  </conditionalFormatting>
  <conditionalFormatting sqref="C92">
    <cfRule type="cellIs" dxfId="3024" priority="165" stopIfTrue="1" operator="lessThanOrEqual">
      <formula>0</formula>
    </cfRule>
    <cfRule type="cellIs" dxfId="3023" priority="164" stopIfTrue="1" operator="greaterThan">
      <formula>$F$86</formula>
    </cfRule>
  </conditionalFormatting>
  <conditionalFormatting sqref="C86:D86 D88:D94">
    <cfRule type="cellIs" dxfId="3022" priority="157" stopIfTrue="1" operator="greaterThan">
      <formula>4.5</formula>
    </cfRule>
  </conditionalFormatting>
  <conditionalFormatting sqref="D59:D60">
    <cfRule type="cellIs" dxfId="3021" priority="141" operator="notBetween">
      <formula>#REF!</formula>
      <formula>#REF!</formula>
    </cfRule>
  </conditionalFormatting>
  <conditionalFormatting sqref="D75:D82">
    <cfRule type="cellIs" dxfId="3020" priority="135" stopIfTrue="1" operator="lessThanOrEqual">
      <formula>0</formula>
    </cfRule>
  </conditionalFormatting>
  <conditionalFormatting sqref="D83">
    <cfRule type="cellIs" dxfId="3019" priority="134" stopIfTrue="1" operator="lessThanOrEqual">
      <formula>0</formula>
    </cfRule>
  </conditionalFormatting>
  <conditionalFormatting sqref="D86 D88:D94">
    <cfRule type="cellIs" dxfId="3018" priority="158" stopIfTrue="1" operator="lessThanOrEqual">
      <formula>0</formula>
    </cfRule>
  </conditionalFormatting>
  <conditionalFormatting sqref="D87">
    <cfRule type="cellIs" dxfId="3017" priority="150" stopIfTrue="1" operator="lessThanOrEqual">
      <formula>0</formula>
    </cfRule>
    <cfRule type="cellIs" dxfId="3016" priority="149" stopIfTrue="1" operator="greaterThan">
      <formula>$F$86</formula>
    </cfRule>
  </conditionalFormatting>
  <conditionalFormatting sqref="D75:E84">
    <cfRule type="cellIs" dxfId="3015" priority="118" stopIfTrue="1" operator="greaterThan">
      <formula>$F75</formula>
    </cfRule>
  </conditionalFormatting>
  <conditionalFormatting sqref="D84:E84">
    <cfRule type="cellIs" dxfId="3014" priority="119" stopIfTrue="1" operator="lessThanOrEqual">
      <formula>0</formula>
    </cfRule>
  </conditionalFormatting>
  <conditionalFormatting sqref="E10:E34">
    <cfRule type="cellIs" dxfId="3013" priority="9" operator="lessThan">
      <formula>48</formula>
    </cfRule>
  </conditionalFormatting>
  <conditionalFormatting sqref="E62 E63:F63">
    <cfRule type="cellIs" dxfId="3012" priority="154" stopIfTrue="1" operator="greaterThan">
      <formula>100</formula>
    </cfRule>
  </conditionalFormatting>
  <conditionalFormatting sqref="E63">
    <cfRule type="cellIs" dxfId="3011" priority="152" stopIfTrue="1" operator="greaterThan">
      <formula>100</formula>
    </cfRule>
    <cfRule type="cellIs" dxfId="3010" priority="151" stopIfTrue="1" operator="lessThan">
      <formula>96.8</formula>
    </cfRule>
  </conditionalFormatting>
  <conditionalFormatting sqref="E75:E83">
    <cfRule type="cellIs" dxfId="3009" priority="129" stopIfTrue="1" operator="lessThanOrEqual">
      <formula>0</formula>
    </cfRule>
  </conditionalFormatting>
  <conditionalFormatting sqref="E86:E94">
    <cfRule type="cellIs" dxfId="3008" priority="144" stopIfTrue="1" operator="lessThanOrEqual">
      <formula>0</formula>
    </cfRule>
    <cfRule type="cellIs" dxfId="3007" priority="143" stopIfTrue="1" operator="greaterThan">
      <formula>4.5</formula>
    </cfRule>
  </conditionalFormatting>
  <conditionalFormatting sqref="E63:F63 E62">
    <cfRule type="cellIs" dxfId="3006" priority="153" stopIfTrue="1" operator="lessThan">
      <formula>96.5</formula>
    </cfRule>
  </conditionalFormatting>
  <conditionalFormatting sqref="F10:F30">
    <cfRule type="cellIs" dxfId="3005" priority="10" operator="greaterThan">
      <formula>60</formula>
    </cfRule>
  </conditionalFormatting>
  <conditionalFormatting sqref="F32:F33">
    <cfRule type="cellIs" dxfId="3004" priority="28" operator="greaterThan">
      <formula>60</formula>
    </cfRule>
  </conditionalFormatting>
  <conditionalFormatting sqref="F63">
    <cfRule type="cellIs" dxfId="3003" priority="169" stopIfTrue="1" operator="lessThan">
      <formula>96.8</formula>
    </cfRule>
    <cfRule type="cellIs" dxfId="3002" priority="170" stopIfTrue="1" operator="greaterThan">
      <formula>100</formula>
    </cfRule>
  </conditionalFormatting>
  <conditionalFormatting sqref="F84">
    <cfRule type="cellIs" dxfId="3001" priority="131" stopIfTrue="1" operator="lessThanOrEqual">
      <formula>0</formula>
    </cfRule>
    <cfRule type="cellIs" dxfId="3000" priority="130" stopIfTrue="1" operator="greaterThan">
      <formula>$F84</formula>
    </cfRule>
  </conditionalFormatting>
  <conditionalFormatting sqref="F89">
    <cfRule type="cellIs" dxfId="2999" priority="89" stopIfTrue="1" operator="lessThanOrEqual">
      <formula>0</formula>
    </cfRule>
    <cfRule type="cellIs" dxfId="2998" priority="88" stopIfTrue="1" operator="greaterThan">
      <formula>$F89</formula>
    </cfRule>
  </conditionalFormatting>
  <conditionalFormatting sqref="G10:G18 G22:G31">
    <cfRule type="expression" dxfId="2997" priority="25">
      <formula>IF(+(IF(G10&lt;S10,0,IF(G10&gt;T10,0,1)))=0,1)</formula>
    </cfRule>
  </conditionalFormatting>
  <conditionalFormatting sqref="G34">
    <cfRule type="expression" dxfId="2996" priority="22">
      <formula>IF(+(IF(G34&lt;S34,0,IF(G34&gt;T34,0,1)))=0,1)</formula>
    </cfRule>
  </conditionalFormatting>
  <conditionalFormatting sqref="G75:G76 C81:C83">
    <cfRule type="cellIs" dxfId="2995" priority="137" stopIfTrue="1" operator="lessThanOrEqual">
      <formula>0</formula>
    </cfRule>
  </conditionalFormatting>
  <conditionalFormatting sqref="G75:G76">
    <cfRule type="cellIs" dxfId="2994" priority="122" stopIfTrue="1" operator="greaterThan">
      <formula>$F75</formula>
    </cfRule>
    <cfRule type="cellIs" dxfId="2993" priority="123" stopIfTrue="1" operator="lessThanOrEqual">
      <formula>0</formula>
    </cfRule>
    <cfRule type="cellIs" dxfId="2992" priority="136" stopIfTrue="1" operator="greaterThan">
      <formula>$F75</formula>
    </cfRule>
  </conditionalFormatting>
  <conditionalFormatting sqref="G77">
    <cfRule type="cellIs" dxfId="2991" priority="174" stopIfTrue="1" operator="lessThanOrEqual">
      <formula>0</formula>
    </cfRule>
    <cfRule type="cellIs" dxfId="2990" priority="173" stopIfTrue="1" operator="greaterThan">
      <formula>$F76</formula>
    </cfRule>
  </conditionalFormatting>
  <conditionalFormatting sqref="G78">
    <cfRule type="cellIs" dxfId="2989" priority="133" stopIfTrue="1" operator="lessThanOrEqual">
      <formula>0</formula>
    </cfRule>
    <cfRule type="cellIs" dxfId="2988" priority="132" stopIfTrue="1" operator="greaterThan">
      <formula>$F78</formula>
    </cfRule>
  </conditionalFormatting>
  <conditionalFormatting sqref="G79:G83">
    <cfRule type="cellIs" dxfId="2987" priority="139" stopIfTrue="1" operator="lessThanOrEqual">
      <formula>0</formula>
    </cfRule>
    <cfRule type="cellIs" dxfId="2986" priority="138" stopIfTrue="1" operator="greaterThan">
      <formula>$J79</formula>
    </cfRule>
  </conditionalFormatting>
  <conditionalFormatting sqref="G88:G93 C91 C93">
    <cfRule type="cellIs" dxfId="2985" priority="167" stopIfTrue="1" operator="lessThanOrEqual">
      <formula>0</formula>
    </cfRule>
    <cfRule type="cellIs" dxfId="2984" priority="166" stopIfTrue="1" operator="greaterThan">
      <formula>4.5</formula>
    </cfRule>
  </conditionalFormatting>
  <conditionalFormatting sqref="G19:H21">
    <cfRule type="expression" dxfId="2983" priority="11">
      <formula>IF(+(IF(G19&lt;#REF!,0,IF(G19&gt;#REF!,0,1)))=0,1)</formula>
    </cfRule>
  </conditionalFormatting>
  <conditionalFormatting sqref="G87:H87">
    <cfRule type="cellIs" dxfId="2982" priority="147" stopIfTrue="1" operator="greaterThan">
      <formula>$F$86</formula>
    </cfRule>
    <cfRule type="cellIs" dxfId="2981" priority="148" stopIfTrue="1" operator="lessThanOrEqual">
      <formula>0</formula>
    </cfRule>
  </conditionalFormatting>
  <conditionalFormatting sqref="H10:H18 H22:H31 G32:H33">
    <cfRule type="expression" dxfId="2980" priority="43">
      <formula>IF(+(IF(G10&lt;#REF!,0,IF(G10&gt;#REF!,0,1)))=0,1)</formula>
    </cfRule>
  </conditionalFormatting>
  <conditionalFormatting sqref="H34">
    <cfRule type="expression" dxfId="2979" priority="23">
      <formula>IF(+(IF(H34&lt;#REF!,0,IF(H34&gt;#REF!,0,1)))=0,1)</formula>
    </cfRule>
  </conditionalFormatting>
  <conditionalFormatting sqref="H48:H62">
    <cfRule type="cellIs" dxfId="2978" priority="145" stopIfTrue="1" operator="greaterThan">
      <formula>0</formula>
    </cfRule>
  </conditionalFormatting>
  <conditionalFormatting sqref="H66">
    <cfRule type="cellIs" dxfId="2977" priority="59" stopIfTrue="1" operator="lessThanOrEqual">
      <formula>0</formula>
    </cfRule>
    <cfRule type="cellIs" dxfId="2976" priority="48" stopIfTrue="1" operator="greaterThan">
      <formula>#REF!</formula>
    </cfRule>
    <cfRule type="cellIs" dxfId="2975" priority="47" stopIfTrue="1" operator="lessThanOrEqual">
      <formula>0</formula>
    </cfRule>
    <cfRule type="cellIs" dxfId="2974" priority="58" stopIfTrue="1" operator="greaterThan">
      <formula>#REF!</formula>
    </cfRule>
  </conditionalFormatting>
  <conditionalFormatting sqref="H67">
    <cfRule type="cellIs" dxfId="2973" priority="76" stopIfTrue="1" operator="greaterThan">
      <formula>#REF!</formula>
    </cfRule>
    <cfRule type="cellIs" dxfId="2972" priority="84" stopIfTrue="1" operator="greaterThan">
      <formula>$F$35</formula>
    </cfRule>
    <cfRule type="cellIs" dxfId="2971" priority="85" stopIfTrue="1" operator="lessThanOrEqual">
      <formula>0</formula>
    </cfRule>
    <cfRule type="cellIs" dxfId="2970" priority="87" stopIfTrue="1" operator="lessThanOrEqual">
      <formula>0</formula>
    </cfRule>
    <cfRule type="cellIs" dxfId="2969" priority="75" stopIfTrue="1" operator="lessThanOrEqual">
      <formula>0</formula>
    </cfRule>
    <cfRule type="cellIs" dxfId="2968" priority="86" stopIfTrue="1" operator="greaterThan">
      <formula>#REF!</formula>
    </cfRule>
  </conditionalFormatting>
  <conditionalFormatting sqref="H68">
    <cfRule type="cellIs" dxfId="2967" priority="41" stopIfTrue="1" operator="greaterThan">
      <formula>$F$54</formula>
    </cfRule>
    <cfRule type="cellIs" dxfId="2966" priority="40" stopIfTrue="1" operator="lessThanOrEqual">
      <formula>0</formula>
    </cfRule>
    <cfRule type="cellIs" dxfId="2965" priority="39" stopIfTrue="1" operator="greaterThan">
      <formula>$F$56</formula>
    </cfRule>
    <cfRule type="cellIs" dxfId="2964" priority="42" stopIfTrue="1" operator="lessThanOrEqual">
      <formula>0</formula>
    </cfRule>
    <cfRule type="cellIs" dxfId="2963" priority="31" stopIfTrue="1" operator="greaterThan">
      <formula>$F$53</formula>
    </cfRule>
    <cfRule type="cellIs" dxfId="2962" priority="30" stopIfTrue="1" operator="lessThanOrEqual">
      <formula>0</formula>
    </cfRule>
  </conditionalFormatting>
  <conditionalFormatting sqref="H69:H70">
    <cfRule type="cellIs" dxfId="2961" priority="70" stopIfTrue="1" operator="greaterThan">
      <formula>$F$34</formula>
    </cfRule>
    <cfRule type="cellIs" dxfId="2960" priority="71" stopIfTrue="1" operator="lessThanOrEqual">
      <formula>0</formula>
    </cfRule>
    <cfRule type="cellIs" dxfId="2959" priority="73" stopIfTrue="1" operator="lessThanOrEqual">
      <formula>0</formula>
    </cfRule>
    <cfRule type="cellIs" dxfId="2958" priority="72" stopIfTrue="1" operator="greaterThan">
      <formula>#REF!</formula>
    </cfRule>
    <cfRule type="cellIs" dxfId="2957" priority="62" stopIfTrue="1" operator="greaterThan">
      <formula>#REF!</formula>
    </cfRule>
    <cfRule type="cellIs" dxfId="2956" priority="61" stopIfTrue="1" operator="lessThanOrEqual">
      <formula>0</formula>
    </cfRule>
  </conditionalFormatting>
  <conditionalFormatting sqref="H71">
    <cfRule type="cellIs" dxfId="2955" priority="101" stopIfTrue="1" operator="greaterThan">
      <formula>$F$50</formula>
    </cfRule>
    <cfRule type="cellIs" dxfId="2954" priority="93" stopIfTrue="1" operator="greaterThan">
      <formula>$F$47</formula>
    </cfRule>
    <cfRule type="cellIs" dxfId="2953" priority="92" stopIfTrue="1" operator="lessThanOrEqual">
      <formula>0</formula>
    </cfRule>
    <cfRule type="cellIs" dxfId="2952" priority="104" stopIfTrue="1" operator="lessThanOrEqual">
      <formula>0</formula>
    </cfRule>
    <cfRule type="cellIs" dxfId="2951" priority="103" stopIfTrue="1" operator="greaterThan">
      <formula>$F$48</formula>
    </cfRule>
    <cfRule type="cellIs" dxfId="2950" priority="102" stopIfTrue="1" operator="lessThanOrEqual">
      <formula>0</formula>
    </cfRule>
  </conditionalFormatting>
  <conditionalFormatting sqref="H75:H82">
    <cfRule type="cellIs" dxfId="2949" priority="125" stopIfTrue="1" operator="lessThanOrEqual">
      <formula>0</formula>
    </cfRule>
    <cfRule type="cellIs" dxfId="2948" priority="124" stopIfTrue="1" operator="greaterThan">
      <formula>$J75</formula>
    </cfRule>
  </conditionalFormatting>
  <conditionalFormatting sqref="H83">
    <cfRule type="cellIs" dxfId="2947" priority="126" operator="greaterThan">
      <formula>5.3</formula>
    </cfRule>
  </conditionalFormatting>
  <conditionalFormatting sqref="H86 H88:H94">
    <cfRule type="cellIs" dxfId="2946" priority="159" stopIfTrue="1" operator="greaterThan">
      <formula>4.5</formula>
    </cfRule>
    <cfRule type="cellIs" dxfId="2945" priority="160" stopIfTrue="1" operator="lessThanOrEqual">
      <formula>0</formula>
    </cfRule>
  </conditionalFormatting>
  <conditionalFormatting sqref="H66:I66">
    <cfRule type="cellIs" dxfId="2944" priority="49" stopIfTrue="1" operator="lessThanOrEqual">
      <formula>0</formula>
    </cfRule>
    <cfRule type="cellIs" dxfId="2943" priority="54" stopIfTrue="1" operator="greaterThan">
      <formula>#REF!</formula>
    </cfRule>
    <cfRule type="cellIs" dxfId="2942" priority="55" stopIfTrue="1" operator="lessThanOrEqual">
      <formula>0</formula>
    </cfRule>
    <cfRule type="cellIs" dxfId="2941" priority="46" stopIfTrue="1" operator="greaterThan">
      <formula>#REF!</formula>
    </cfRule>
  </conditionalFormatting>
  <conditionalFormatting sqref="H67:I67">
    <cfRule type="cellIs" dxfId="2940" priority="74" stopIfTrue="1" operator="greaterThan">
      <formula>$F$34</formula>
    </cfRule>
    <cfRule type="cellIs" dxfId="2939" priority="77" stopIfTrue="1" operator="lessThanOrEqual">
      <formula>0</formula>
    </cfRule>
  </conditionalFormatting>
  <conditionalFormatting sqref="H68:I68">
    <cfRule type="cellIs" dxfId="2938" priority="32" stopIfTrue="1" operator="lessThanOrEqual">
      <formula>0</formula>
    </cfRule>
    <cfRule type="cellIs" dxfId="2937" priority="29" stopIfTrue="1" operator="greaterThan">
      <formula>$F$55</formula>
    </cfRule>
  </conditionalFormatting>
  <conditionalFormatting sqref="H69:I70">
    <cfRule type="cellIs" dxfId="2936" priority="63" stopIfTrue="1" operator="lessThanOrEqual">
      <formula>0</formula>
    </cfRule>
    <cfRule type="cellIs" dxfId="2935" priority="60" stopIfTrue="1" operator="greaterThan">
      <formula>#REF!</formula>
    </cfRule>
  </conditionalFormatting>
  <conditionalFormatting sqref="H71:I71">
    <cfRule type="cellIs" dxfId="2934" priority="91" stopIfTrue="1" operator="greaterThan">
      <formula>$F$49</formula>
    </cfRule>
    <cfRule type="cellIs" dxfId="2933" priority="94" stopIfTrue="1" operator="lessThanOrEqual">
      <formula>0</formula>
    </cfRule>
  </conditionalFormatting>
  <conditionalFormatting sqref="H84:I84">
    <cfRule type="cellIs" dxfId="2932" priority="117" stopIfTrue="1" operator="lessThanOrEqual">
      <formula>0</formula>
    </cfRule>
    <cfRule type="cellIs" dxfId="2931" priority="116" stopIfTrue="1" operator="greaterThan">
      <formula>$J84</formula>
    </cfRule>
  </conditionalFormatting>
  <conditionalFormatting sqref="I66">
    <cfRule type="cellIs" dxfId="2930" priority="53" stopIfTrue="1" operator="lessThanOrEqual">
      <formula>0</formula>
    </cfRule>
    <cfRule type="cellIs" dxfId="2929" priority="51" stopIfTrue="1" operator="lessThanOrEqual">
      <formula>0</formula>
    </cfRule>
    <cfRule type="cellIs" dxfId="2928" priority="50" stopIfTrue="1" operator="greaterThan">
      <formula>#REF!</formula>
    </cfRule>
    <cfRule type="cellIs" dxfId="2927" priority="52" stopIfTrue="1" operator="greaterThan">
      <formula>#REF!</formula>
    </cfRule>
  </conditionalFormatting>
  <conditionalFormatting sqref="I67">
    <cfRule type="cellIs" dxfId="2926" priority="80" stopIfTrue="1" operator="greaterThan">
      <formula>$F$34</formula>
    </cfRule>
    <cfRule type="cellIs" dxfId="2925" priority="79" stopIfTrue="1" operator="lessThanOrEqual">
      <formula>0</formula>
    </cfRule>
    <cfRule type="cellIs" dxfId="2924" priority="78" stopIfTrue="1" operator="greaterThan">
      <formula>#REF!</formula>
    </cfRule>
    <cfRule type="cellIs" dxfId="2923" priority="83" stopIfTrue="1" operator="lessThanOrEqual">
      <formula>0</formula>
    </cfRule>
    <cfRule type="cellIs" dxfId="2922" priority="82" stopIfTrue="1" operator="greaterThan">
      <formula>#REF!</formula>
    </cfRule>
    <cfRule type="cellIs" dxfId="2921" priority="81" stopIfTrue="1" operator="lessThanOrEqual">
      <formula>0</formula>
    </cfRule>
  </conditionalFormatting>
  <conditionalFormatting sqref="I68">
    <cfRule type="cellIs" dxfId="2920" priority="38" stopIfTrue="1" operator="lessThanOrEqual">
      <formula>0</formula>
    </cfRule>
    <cfRule type="cellIs" dxfId="2919" priority="37" stopIfTrue="1" operator="greaterThan">
      <formula>$F$53</formula>
    </cfRule>
    <cfRule type="cellIs" dxfId="2918" priority="36" stopIfTrue="1" operator="lessThanOrEqual">
      <formula>0</formula>
    </cfRule>
    <cfRule type="cellIs" dxfId="2917" priority="35" stopIfTrue="1" operator="greaterThan">
      <formula>$F$55</formula>
    </cfRule>
    <cfRule type="cellIs" dxfId="2916" priority="34" stopIfTrue="1" operator="lessThanOrEqual">
      <formula>0</formula>
    </cfRule>
    <cfRule type="cellIs" dxfId="2915" priority="33" stopIfTrue="1" operator="greaterThan">
      <formula>$F$53</formula>
    </cfRule>
  </conditionalFormatting>
  <conditionalFormatting sqref="I69:I70">
    <cfRule type="cellIs" dxfId="2914" priority="69" stopIfTrue="1" operator="lessThanOrEqual">
      <formula>0</formula>
    </cfRule>
    <cfRule type="cellIs" dxfId="2913" priority="68" stopIfTrue="1" operator="greaterThan">
      <formula>#REF!</formula>
    </cfRule>
    <cfRule type="cellIs" dxfId="2912" priority="67" stopIfTrue="1" operator="lessThanOrEqual">
      <formula>0</formula>
    </cfRule>
    <cfRule type="cellIs" dxfId="2911" priority="66" stopIfTrue="1" operator="greaterThan">
      <formula>#REF!</formula>
    </cfRule>
    <cfRule type="cellIs" dxfId="2910" priority="65" stopIfTrue="1" operator="lessThanOrEqual">
      <formula>0</formula>
    </cfRule>
    <cfRule type="cellIs" dxfId="2909" priority="64" stopIfTrue="1" operator="greaterThan">
      <formula>#REF!</formula>
    </cfRule>
  </conditionalFormatting>
  <conditionalFormatting sqref="I71">
    <cfRule type="cellIs" dxfId="2908" priority="100" stopIfTrue="1" operator="lessThanOrEqual">
      <formula>0</formula>
    </cfRule>
    <cfRule type="cellIs" dxfId="2907" priority="99" stopIfTrue="1" operator="greaterThan">
      <formula>$F$47</formula>
    </cfRule>
    <cfRule type="cellIs" dxfId="2906" priority="98" stopIfTrue="1" operator="lessThanOrEqual">
      <formula>0</formula>
    </cfRule>
    <cfRule type="cellIs" dxfId="2905" priority="97" stopIfTrue="1" operator="greaterThan">
      <formula>$F$49</formula>
    </cfRule>
    <cfRule type="cellIs" dxfId="2904" priority="96" stopIfTrue="1" operator="lessThanOrEqual">
      <formula>0</formula>
    </cfRule>
    <cfRule type="cellIs" dxfId="2903" priority="95" stopIfTrue="1" operator="greaterThan">
      <formula>$F$47</formula>
    </cfRule>
  </conditionalFormatting>
  <conditionalFormatting sqref="I75:I83">
    <cfRule type="cellIs" dxfId="2902" priority="127" stopIfTrue="1" operator="greaterThan">
      <formula>$J75</formula>
    </cfRule>
    <cfRule type="cellIs" dxfId="2901" priority="128" stopIfTrue="1" operator="lessThanOrEqual">
      <formula>0</formula>
    </cfRule>
  </conditionalFormatting>
  <conditionalFormatting sqref="I86:I94">
    <cfRule type="cellIs" dxfId="2900" priority="156" stopIfTrue="1" operator="lessThanOrEqual">
      <formula>0</formula>
    </cfRule>
    <cfRule type="cellIs" dxfId="2899" priority="155" stopIfTrue="1" operator="greaterThan">
      <formula>4.5</formula>
    </cfRule>
  </conditionalFormatting>
  <conditionalFormatting sqref="I10:J34">
    <cfRule type="cellIs" dxfId="2898" priority="1" operator="lessThan">
      <formula>97.9</formula>
    </cfRule>
  </conditionalFormatting>
  <conditionalFormatting sqref="J37:J39">
    <cfRule type="cellIs" dxfId="2897" priority="106" stopIfTrue="1" operator="lessThan">
      <formula>96.8</formula>
    </cfRule>
    <cfRule type="cellIs" dxfId="2896" priority="107" stopIfTrue="1" operator="greaterThan">
      <formula>100</formula>
    </cfRule>
    <cfRule type="cellIs" dxfId="2895" priority="108" operator="lessThan">
      <formula>98</formula>
    </cfRule>
  </conditionalFormatting>
  <conditionalFormatting sqref="J37:J41">
    <cfRule type="cellIs" dxfId="2894" priority="105" operator="lessThan">
      <formula>97.4</formula>
    </cfRule>
  </conditionalFormatting>
  <conditionalFormatting sqref="J42">
    <cfRule type="cellIs" dxfId="2893" priority="109" operator="lessThan">
      <formula>98</formula>
    </cfRule>
  </conditionalFormatting>
  <conditionalFormatting sqref="J44:J45">
    <cfRule type="cellIs" dxfId="2892" priority="110" stopIfTrue="1" operator="lessThan">
      <formula>96.8</formula>
    </cfRule>
    <cfRule type="cellIs" dxfId="2891" priority="111" stopIfTrue="1" operator="greaterThan">
      <formula>100</formula>
    </cfRule>
  </conditionalFormatting>
  <conditionalFormatting sqref="J44:J46">
    <cfRule type="cellIs" dxfId="2890" priority="112" operator="lessThan">
      <formula>98</formula>
    </cfRule>
  </conditionalFormatting>
  <conditionalFormatting sqref="J84">
    <cfRule type="cellIs" dxfId="2889" priority="113" stopIfTrue="1" operator="greaterThan">
      <formula>$F84</formula>
    </cfRule>
    <cfRule type="cellIs" dxfId="2888" priority="114" stopIfTrue="1" operator="lessThanOrEqual">
      <formula>0</formula>
    </cfRule>
  </conditionalFormatting>
  <conditionalFormatting sqref="K10:K34">
    <cfRule type="cellIs" dxfId="2887" priority="4" operator="lessThan">
      <formula>4</formula>
    </cfRule>
    <cfRule type="cellIs" dxfId="2886" priority="3" operator="greaterThan">
      <formula>6</formula>
    </cfRule>
    <cfRule type="cellIs" dxfId="2885" priority="5" operator="greaterThan">
      <formula>6.4</formula>
    </cfRule>
  </conditionalFormatting>
  <conditionalFormatting sqref="K66:K71 K75:N81 K82 M82:N82 K83:N83">
    <cfRule type="cellIs" dxfId="2884" priority="90" stopIfTrue="1" operator="lessThan">
      <formula>100%</formula>
    </cfRule>
  </conditionalFormatting>
  <conditionalFormatting sqref="K86:K91">
    <cfRule type="cellIs" dxfId="2883" priority="161" stopIfTrue="1" operator="lessThan">
      <formula>100%</formula>
    </cfRule>
  </conditionalFormatting>
  <conditionalFormatting sqref="K93:K94">
    <cfRule type="cellIs" dxfId="2882" priority="168" stopIfTrue="1" operator="lessThan">
      <formula>100%</formula>
    </cfRule>
  </conditionalFormatting>
  <conditionalFormatting sqref="L10:L18 L22:L34">
    <cfRule type="cellIs" dxfId="2881" priority="15" operator="between">
      <formula>61</formula>
      <formula>65</formula>
    </cfRule>
    <cfRule type="cellIs" dxfId="2880" priority="16" operator="greaterThan">
      <formula>65</formula>
    </cfRule>
  </conditionalFormatting>
  <conditionalFormatting sqref="L19:M21">
    <cfRule type="cellIs" dxfId="2879" priority="8" operator="greaterThan">
      <formula>65</formula>
    </cfRule>
    <cfRule type="cellIs" dxfId="2878" priority="7" operator="between">
      <formula>61</formula>
      <formula>65</formula>
    </cfRule>
  </conditionalFormatting>
  <conditionalFormatting sqref="L37:M48">
    <cfRule type="cellIs" dxfId="2877" priority="24" operator="lessThan">
      <formula>98</formula>
    </cfRule>
  </conditionalFormatting>
  <conditionalFormatting sqref="L52:N52">
    <cfRule type="cellIs" dxfId="2876" priority="12" operator="notEqual">
      <formula>#REF!</formula>
    </cfRule>
  </conditionalFormatting>
  <conditionalFormatting sqref="L84:N84">
    <cfRule type="cellIs" dxfId="2875" priority="115" stopIfTrue="1" operator="lessThan">
      <formula>100%</formula>
    </cfRule>
  </conditionalFormatting>
  <conditionalFormatting sqref="L86:N94">
    <cfRule type="cellIs" dxfId="2874" priority="146" stopIfTrue="1" operator="lessThan">
      <formula>100%</formula>
    </cfRule>
  </conditionalFormatting>
  <conditionalFormatting sqref="M10:M31">
    <cfRule type="expression" dxfId="2873" priority="6">
      <formula>IF(+(IF(M10&lt;U10,0,IF(M10&gt;V10,0,1)))=0,1)</formula>
    </cfRule>
  </conditionalFormatting>
  <conditionalFormatting sqref="M34">
    <cfRule type="expression" dxfId="2872" priority="21">
      <formula>IF(+(IF(M34&lt;U34,0,IF(M34&gt;V34,0,1)))=0,1)</formula>
    </cfRule>
  </conditionalFormatting>
  <conditionalFormatting sqref="M32:N33">
    <cfRule type="expression" dxfId="2871" priority="176">
      <formula>IF(+(IF(M32&lt;#REF!,0,IF(M32&gt;#REF!,0,1)))=0,1)</formula>
    </cfRule>
  </conditionalFormatting>
  <conditionalFormatting sqref="N10:N31">
    <cfRule type="expression" dxfId="2870" priority="2">
      <formula>IF(+(IF(N10&lt;W10,0,IF(N10&gt;X10,0,1)))=0,1)</formula>
    </cfRule>
  </conditionalFormatting>
  <conditionalFormatting sqref="N34">
    <cfRule type="expression" dxfId="2869" priority="20">
      <formula>IF(+(IF(N34&lt;W34,0,IF(N34&gt;X34,0,1)))=0,1)</formula>
    </cfRule>
  </conditionalFormatting>
  <conditionalFormatting sqref="P6">
    <cfRule type="cellIs" dxfId="2868" priority="142" operator="greaterThanOrEqual">
      <formula>19</formula>
    </cfRule>
  </conditionalFormatting>
  <dataValidations count="1">
    <dataValidation type="list" allowBlank="1" showInputMessage="1" showErrorMessage="1" sqref="R8" xr:uid="{33D5FA81-8B60-4DB3-9AE9-BBE1C735FB2C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8" max="16383" man="1"/>
  </rowBreaks>
  <colBreaks count="1" manualBreakCount="1">
    <brk id="15" max="89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ACAB7-694B-4244-B6BC-8ECA112FD0A6}">
  <sheetPr>
    <pageSetUpPr fitToPage="1"/>
  </sheetPr>
  <dimension ref="A1:BE77"/>
  <sheetViews>
    <sheetView topLeftCell="A14" zoomScale="80" zoomScaleNormal="80" workbookViewId="0">
      <selection activeCell="B16" sqref="B16:O16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67.425781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25" t="s">
        <v>0</v>
      </c>
      <c r="T1" s="525"/>
      <c r="U1" s="525" t="s">
        <v>1</v>
      </c>
      <c r="V1" s="525"/>
      <c r="W1" s="525" t="s">
        <v>2</v>
      </c>
      <c r="X1" s="525"/>
      <c r="Y1" s="525" t="s">
        <v>124</v>
      </c>
      <c r="Z1" s="525"/>
    </row>
    <row r="2" spans="2:29" ht="15">
      <c r="B2" s="526" t="s">
        <v>3</v>
      </c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45908</v>
      </c>
      <c r="J4" s="398" t="s">
        <v>168</v>
      </c>
      <c r="K4" s="398"/>
      <c r="L4" s="11"/>
      <c r="M4" s="547" t="s">
        <v>8</v>
      </c>
      <c r="N4" s="548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44"/>
      <c r="D5" s="544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167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84" t="s">
        <v>17</v>
      </c>
      <c r="C8" s="494" t="s">
        <v>18</v>
      </c>
      <c r="D8" s="494" t="s">
        <v>19</v>
      </c>
      <c r="E8" s="356" t="s">
        <v>20</v>
      </c>
      <c r="F8" s="356" t="s">
        <v>21</v>
      </c>
      <c r="G8" s="494" t="s">
        <v>22</v>
      </c>
      <c r="H8" s="535" t="s">
        <v>144</v>
      </c>
      <c r="I8" s="494" t="s">
        <v>166</v>
      </c>
      <c r="J8" s="537" t="s">
        <v>23</v>
      </c>
      <c r="K8" s="539" t="s">
        <v>142</v>
      </c>
      <c r="L8" s="541" t="s">
        <v>24</v>
      </c>
      <c r="M8" s="359" t="s">
        <v>25</v>
      </c>
      <c r="N8" s="17" t="s">
        <v>26</v>
      </c>
      <c r="O8" s="494" t="s">
        <v>155</v>
      </c>
      <c r="P8" s="56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33"/>
      <c r="C9" s="534"/>
      <c r="D9" s="534"/>
      <c r="E9" s="357" t="s">
        <v>30</v>
      </c>
      <c r="F9" s="357" t="s">
        <v>31</v>
      </c>
      <c r="G9" s="534"/>
      <c r="H9" s="536"/>
      <c r="I9" s="534"/>
      <c r="J9" s="538"/>
      <c r="K9" s="540"/>
      <c r="L9" s="542"/>
      <c r="M9" s="20" t="s">
        <v>32</v>
      </c>
      <c r="N9" s="21" t="s">
        <v>41</v>
      </c>
      <c r="O9" s="534"/>
      <c r="P9" s="561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33" t="s">
        <v>9</v>
      </c>
      <c r="C10" s="366" t="str">
        <f>[24]Brewhouse!$A364</f>
        <v>ST342</v>
      </c>
      <c r="D10" s="279">
        <f>[24]Brewhouse!$AD364</f>
        <v>48.4</v>
      </c>
      <c r="E10" s="279">
        <f>[24]Brewhouse!$AG364</f>
        <v>50</v>
      </c>
      <c r="F10" s="278">
        <f>[24]Brewhouse!$V364</f>
        <v>85</v>
      </c>
      <c r="G10" s="279">
        <f>[24]Brewhouse!$AE364</f>
        <v>11.8</v>
      </c>
      <c r="H10" s="396"/>
      <c r="I10" s="420">
        <f>[24]Brewhouse!$AS364</f>
        <v>98.378407502765299</v>
      </c>
      <c r="J10" s="420">
        <f>[24]Brewhouse!$AT364</f>
        <v>100.25853377240395</v>
      </c>
      <c r="K10" s="281">
        <f>[24]Brewhouse!$Q364</f>
        <v>13.076923076923071</v>
      </c>
      <c r="L10" s="276">
        <f>[24]Brewhouse!$P364</f>
        <v>60</v>
      </c>
      <c r="M10" s="374">
        <f>[24]Brewhouse!$U364-[24]Brewhouse!$T364</f>
        <v>0.17361111111111113</v>
      </c>
      <c r="N10" s="370">
        <f>[24]Brewhouse!$AW364</f>
        <v>0.30000000000000004</v>
      </c>
      <c r="O10" s="421" t="str">
        <f>[24]Brewhouse!$AV364</f>
        <v>K. Benjamin</v>
      </c>
      <c r="P10" s="418"/>
      <c r="R10" s="277" t="str">
        <f t="shared" ref="R10:R29" si="0">B10</f>
        <v>STAG</v>
      </c>
      <c r="S10" s="296">
        <f t="shared" ref="S10:S29" si="1">VLOOKUP($B10,$R$3:$X$9,2,FALSE)</f>
        <v>11.6</v>
      </c>
      <c r="T10" s="296">
        <f t="shared" ref="T10:T29" si="2">VLOOKUP($B10,$R$3:$X$9,3,FALSE)</f>
        <v>12</v>
      </c>
      <c r="U10" s="297">
        <f t="shared" ref="U10:U29" si="3">VLOOKUP($B10,$R$3:$X$9,4,FALSE)</f>
        <v>0</v>
      </c>
      <c r="V10" s="297">
        <f t="shared" ref="V10:V29" si="4">VLOOKUP($B10,$R$3:$X$9,5,FALSE)</f>
        <v>0.118055555555556</v>
      </c>
      <c r="W10" s="297">
        <f t="shared" ref="W10:W29" si="5">VLOOKUP($B10,$R$3:$X$9,6,FALSE)</f>
        <v>0.22569444444444445</v>
      </c>
      <c r="X10" s="297">
        <f t="shared" ref="X10:X29" si="6">VLOOKUP($B10,$R$3:$X$9,7,FALSE)</f>
        <v>0.2638888888888889</v>
      </c>
      <c r="Y10" s="297">
        <f t="shared" ref="Y10:Y29" si="7">VLOOKUP($B10,$R$3:$Z$9,8,FALSE)</f>
        <v>0</v>
      </c>
      <c r="Z10" s="296">
        <f t="shared" ref="Z10:Z29" si="8">VLOOKUP($B10,$R$3:$Z$9,9,FALSE)</f>
        <v>60</v>
      </c>
    </row>
    <row r="11" spans="2:29" ht="15.75" customHeight="1">
      <c r="B11" s="33" t="s">
        <v>9</v>
      </c>
      <c r="C11" s="366" t="str">
        <f>[24]Brewhouse!$A365</f>
        <v>ST343</v>
      </c>
      <c r="D11" s="279">
        <f>[24]Brewhouse!$AD365</f>
        <v>47.1</v>
      </c>
      <c r="E11" s="279">
        <f>[24]Brewhouse!$AG365</f>
        <v>47.7</v>
      </c>
      <c r="F11" s="278">
        <f>[24]Brewhouse!$V365</f>
        <v>60</v>
      </c>
      <c r="G11" s="279">
        <f>[24]Brewhouse!$AE365</f>
        <v>12</v>
      </c>
      <c r="H11" s="396"/>
      <c r="I11" s="420">
        <f>[24]Brewhouse!$AS365</f>
        <v>96.134556183612816</v>
      </c>
      <c r="J11" s="420">
        <f>[24]Brewhouse!$AT365</f>
        <v>97.968721148372524</v>
      </c>
      <c r="K11" s="281">
        <f>[24]Brewhouse!$Q365</f>
        <v>14.038461538461533</v>
      </c>
      <c r="L11" s="276">
        <f>[24]Brewhouse!$P365</f>
        <v>60</v>
      </c>
      <c r="M11" s="374">
        <f>[24]Brewhouse!$U365-[24]Brewhouse!$T365</f>
        <v>0.13819444444444445</v>
      </c>
      <c r="N11" s="370">
        <f>[24]Brewhouse!$AW365</f>
        <v>0.29375000000000001</v>
      </c>
      <c r="O11" s="421" t="str">
        <f>[24]Brewhouse!$AV365</f>
        <v>K. Benjamin</v>
      </c>
      <c r="P11" s="418" t="s">
        <v>173</v>
      </c>
      <c r="R11" s="277" t="str">
        <f t="shared" si="0"/>
        <v>STAG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33" t="s">
        <v>9</v>
      </c>
      <c r="C12" s="366" t="str">
        <f>[24]Brewhouse!$A366</f>
        <v>ST344</v>
      </c>
      <c r="D12" s="279">
        <f>[24]Brewhouse!$AD366</f>
        <v>47.9</v>
      </c>
      <c r="E12" s="279">
        <f>[24]Brewhouse!$AG366</f>
        <v>48.5</v>
      </c>
      <c r="F12" s="278">
        <f>[24]Brewhouse!$V366</f>
        <v>64</v>
      </c>
      <c r="G12" s="279">
        <f>[24]Brewhouse!$AE366</f>
        <v>11.9</v>
      </c>
      <c r="H12" s="396"/>
      <c r="I12" s="420">
        <f>[24]Brewhouse!$AS366</f>
        <v>96.156009433612752</v>
      </c>
      <c r="J12" s="420">
        <f>[24]Brewhouse!$AT366</f>
        <v>97.994274307302618</v>
      </c>
      <c r="K12" s="281">
        <f>[24]Brewhouse!$Q366</f>
        <v>13.269230769230766</v>
      </c>
      <c r="L12" s="276">
        <f>[24]Brewhouse!$P366</f>
        <v>60</v>
      </c>
      <c r="M12" s="374">
        <f>[24]Brewhouse!$U366-[24]Brewhouse!$T366</f>
        <v>0.11597222222222225</v>
      </c>
      <c r="N12" s="370">
        <f>[24]Brewhouse!$AW366</f>
        <v>0.29375000000000007</v>
      </c>
      <c r="O12" s="421" t="str">
        <f>[24]Brewhouse!$AV366</f>
        <v>R. Regis</v>
      </c>
      <c r="P12" s="418" t="s">
        <v>174</v>
      </c>
      <c r="R12" s="277" t="str">
        <f t="shared" si="0"/>
        <v>STAG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33" t="s">
        <v>9</v>
      </c>
      <c r="C13" s="366" t="str">
        <f>[24]Brewhouse!$A367</f>
        <v>ST345</v>
      </c>
      <c r="D13" s="279">
        <f>[24]Brewhouse!$AD367</f>
        <v>47.4</v>
      </c>
      <c r="E13" s="279">
        <f>[24]Brewhouse!$AG367</f>
        <v>48.2</v>
      </c>
      <c r="F13" s="278">
        <f>[24]Brewhouse!$V367</f>
        <v>58</v>
      </c>
      <c r="G13" s="279">
        <f>[24]Brewhouse!$AE367</f>
        <v>11.9</v>
      </c>
      <c r="H13" s="396"/>
      <c r="I13" s="420">
        <f>[24]Brewhouse!$AS367</f>
        <v>95.68216946245451</v>
      </c>
      <c r="J13" s="420">
        <f>[24]Brewhouse!$AT367</f>
        <v>97.510767474038715</v>
      </c>
      <c r="K13" s="281">
        <f>[24]Brewhouse!$Q367</f>
        <v>13.461538461538462</v>
      </c>
      <c r="L13" s="276">
        <f>[24]Brewhouse!$P367</f>
        <v>60</v>
      </c>
      <c r="M13" s="374">
        <f>[24]Brewhouse!$U367-[24]Brewhouse!$T367</f>
        <v>0.10833333333333328</v>
      </c>
      <c r="N13" s="370">
        <f>[24]Brewhouse!$AW367</f>
        <v>0.23333333333333328</v>
      </c>
      <c r="O13" s="421" t="str">
        <f>[24]Brewhouse!$AV367</f>
        <v>R. Regis</v>
      </c>
      <c r="P13" s="418"/>
      <c r="R13" s="277" t="str">
        <f t="shared" si="0"/>
        <v>STAG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33" t="s">
        <v>9</v>
      </c>
      <c r="C14" s="366" t="str">
        <f>[24]Brewhouse!$A368</f>
        <v>ST346</v>
      </c>
      <c r="D14" s="279">
        <f>[24]Brewhouse!$AD368</f>
        <v>48.2</v>
      </c>
      <c r="E14" s="279">
        <f>[24]Brewhouse!$AG368</f>
        <v>48.6</v>
      </c>
      <c r="F14" s="278">
        <f>[24]Brewhouse!$V368</f>
        <v>64</v>
      </c>
      <c r="G14" s="279">
        <f>[24]Brewhouse!$AE368</f>
        <v>12.2</v>
      </c>
      <c r="H14" s="396"/>
      <c r="I14" s="420">
        <f>[24]Brewhouse!$AS368</f>
        <v>98.783378522979277</v>
      </c>
      <c r="J14" s="420">
        <f>[24]Brewhouse!$AT368</f>
        <v>100.67249854025945</v>
      </c>
      <c r="K14" s="281">
        <f>[24]Brewhouse!$Q368</f>
        <v>12.692307692307695</v>
      </c>
      <c r="L14" s="276">
        <f>[24]Brewhouse!$P368</f>
        <v>59</v>
      </c>
      <c r="M14" s="374">
        <f>[24]Brewhouse!$U368-[24]Brewhouse!$T368</f>
        <v>0.11319444444444438</v>
      </c>
      <c r="N14" s="370">
        <f>[24]Brewhouse!$AW368</f>
        <v>0.24305555555555552</v>
      </c>
      <c r="O14" s="421" t="str">
        <f>[24]Brewhouse!$AV368</f>
        <v>R.Sookram</v>
      </c>
      <c r="P14" s="418"/>
      <c r="R14" s="277" t="str">
        <f t="shared" si="0"/>
        <v>STAG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33" t="s">
        <v>9</v>
      </c>
      <c r="C15" s="366" t="str">
        <f>[24]Brewhouse!$A369</f>
        <v>ST347</v>
      </c>
      <c r="D15" s="279">
        <f>[24]Brewhouse!$AD369</f>
        <v>49.7</v>
      </c>
      <c r="E15" s="279">
        <f>[24]Brewhouse!$AG369</f>
        <v>50.3</v>
      </c>
      <c r="F15" s="278">
        <f>[24]Brewhouse!$V369</f>
        <v>67</v>
      </c>
      <c r="G15" s="279">
        <f>[24]Brewhouse!$AE369</f>
        <v>11.9</v>
      </c>
      <c r="H15" s="396"/>
      <c r="I15" s="420">
        <f>[24]Brewhouse!$AS369</f>
        <v>99.598796102027222</v>
      </c>
      <c r="J15" s="420">
        <f>[24]Brewhouse!$AT369</f>
        <v>101.50351005519067</v>
      </c>
      <c r="K15" s="281">
        <f>[24]Brewhouse!$Q369</f>
        <v>10.769230769230772</v>
      </c>
      <c r="L15" s="276">
        <f>[24]Brewhouse!$P369</f>
        <v>58</v>
      </c>
      <c r="M15" s="374">
        <f>[24]Brewhouse!$U369-[24]Brewhouse!$T369</f>
        <v>0.11249999999999993</v>
      </c>
      <c r="N15" s="370">
        <f>[24]Brewhouse!$AW369</f>
        <v>0.24444444444444446</v>
      </c>
      <c r="O15" s="421" t="str">
        <f>[24]Brewhouse!$AV369</f>
        <v>R.Sookram</v>
      </c>
      <c r="P15" s="418"/>
      <c r="R15" s="277" t="str">
        <f t="shared" si="0"/>
        <v>STAG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33" t="s">
        <v>9</v>
      </c>
      <c r="C16" s="366" t="str">
        <f>[24]Brewhouse!$A370</f>
        <v>ST348</v>
      </c>
      <c r="D16" s="279">
        <f>[24]Brewhouse!$AD370</f>
        <v>47.9</v>
      </c>
      <c r="E16" s="279">
        <f>[24]Brewhouse!$AG370</f>
        <v>49.2</v>
      </c>
      <c r="F16" s="278">
        <f>[24]Brewhouse!$V370</f>
        <v>62</v>
      </c>
      <c r="G16" s="279">
        <f>[24]Brewhouse!$AE370</f>
        <v>11.8</v>
      </c>
      <c r="H16" s="396"/>
      <c r="I16" s="420">
        <f>[24]Brewhouse!$AS370</f>
        <v>96.927020956038035</v>
      </c>
      <c r="J16" s="420">
        <f>[24]Brewhouse!$AT370</f>
        <v>98.77879185198293</v>
      </c>
      <c r="K16" s="281">
        <f>[24]Brewhouse!$Q370</f>
        <v>13.269230769230766</v>
      </c>
      <c r="L16" s="276">
        <f>[24]Brewhouse!$P370</f>
        <v>58</v>
      </c>
      <c r="M16" s="374">
        <f>[24]Brewhouse!$U370-[24]Brewhouse!$T370</f>
        <v>0.11041666666666672</v>
      </c>
      <c r="N16" s="370">
        <f>[24]Brewhouse!$AW370</f>
        <v>0.24097222222222225</v>
      </c>
      <c r="O16" s="421" t="str">
        <f>[24]Brewhouse!$AV370</f>
        <v>R.Sookram</v>
      </c>
      <c r="P16" s="418"/>
      <c r="R16" s="277" t="str">
        <f t="shared" si="0"/>
        <v>STAG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1:27" ht="15.75" customHeight="1">
      <c r="B17" s="33"/>
      <c r="C17" s="366"/>
      <c r="D17" s="279"/>
      <c r="E17" s="279"/>
      <c r="F17" s="278"/>
      <c r="G17" s="279"/>
      <c r="H17" s="396"/>
      <c r="I17" s="420"/>
      <c r="J17" s="420"/>
      <c r="K17" s="281"/>
      <c r="L17" s="276"/>
      <c r="M17" s="374"/>
      <c r="N17" s="370"/>
      <c r="O17" s="421"/>
      <c r="P17" s="418"/>
      <c r="R17" s="277">
        <f t="shared" si="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1:27" ht="15.7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1"/>
      <c r="P18" s="418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1:27" ht="15.75" customHeight="1">
      <c r="B19" s="37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8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7" ht="15.7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18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7" ht="15.7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18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7" ht="15.75" customHeight="1">
      <c r="B22" s="37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371"/>
      <c r="P22" s="418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7" ht="15.75" customHeight="1" thickBot="1">
      <c r="B23" s="358"/>
      <c r="C23" s="358"/>
      <c r="D23" s="358"/>
      <c r="E23" s="358"/>
      <c r="F23" s="294"/>
      <c r="G23" s="294"/>
      <c r="H23" s="348"/>
      <c r="I23" s="514"/>
      <c r="J23" s="514"/>
      <c r="K23" s="514"/>
      <c r="L23" s="514"/>
      <c r="M23" s="514"/>
      <c r="N23" s="514"/>
      <c r="O23" s="1"/>
      <c r="P23" s="12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7" ht="15.75" thickBot="1">
      <c r="B24" s="388" t="s">
        <v>162</v>
      </c>
      <c r="C24" s="388"/>
      <c r="D24" s="527" t="s">
        <v>35</v>
      </c>
      <c r="E24" s="528"/>
      <c r="F24" s="294"/>
      <c r="G24" s="294"/>
      <c r="H24" s="348"/>
      <c r="I24" s="24" t="s">
        <v>17</v>
      </c>
      <c r="J24" s="25" t="s">
        <v>36</v>
      </c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R24" s="277" t="str">
        <f t="shared" si="0"/>
        <v xml:space="preserve">BRAND 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7" ht="15" customHeight="1">
      <c r="A25" s="28"/>
      <c r="B25" s="558" t="str">
        <f>I25</f>
        <v>CARIB</v>
      </c>
      <c r="C25" s="362"/>
      <c r="D25" s="518"/>
      <c r="E25" s="507"/>
      <c r="F25" s="294"/>
      <c r="G25" s="294"/>
      <c r="H25" s="348"/>
      <c r="I25" s="29" t="s">
        <v>6</v>
      </c>
      <c r="J25" s="280"/>
      <c r="K25" s="284">
        <f>COUNTA([22]Brewhouse!$A$740:$A$758)</f>
        <v>19</v>
      </c>
      <c r="L25" s="305">
        <f>AVERAGE([22]Brewhouse!$AU$740:$AU$758)</f>
        <v>97.561908305193484</v>
      </c>
      <c r="M25" s="302">
        <f>AVERAGE([22]Brewhouse!$AU$102:$AU$171,[22]Brewhouse!$AU$173:$AU$253,[22]Brewhouse!$AU$255:$AU$339,[22]Brewhouse!$AU$341:$AU$346,[22]Brewhouse!$AU$348,[22]Brewhouse!$AU$349:$AU$406,[22]Brewhouse!$AU$408:$AU$491,[22]Brewhouse!$AU$493:$AU$578,[22]Brewhouse!$AU$580:$AU$652,[22]Brewhouse!$AU$655:$AU$758)</f>
        <v>97.70144579498259</v>
      </c>
      <c r="N25" s="30">
        <v>98</v>
      </c>
      <c r="O25" s="11"/>
      <c r="P25" s="31"/>
      <c r="R25" s="277" t="str">
        <f t="shared" si="0"/>
        <v>CARIB</v>
      </c>
      <c r="S25" s="296">
        <f t="shared" si="1"/>
        <v>11.6</v>
      </c>
      <c r="T25" s="296">
        <f t="shared" si="2"/>
        <v>12</v>
      </c>
      <c r="U25" s="297">
        <f t="shared" si="3"/>
        <v>0</v>
      </c>
      <c r="V25" s="297">
        <f t="shared" si="4"/>
        <v>0.118055555555556</v>
      </c>
      <c r="W25" s="297">
        <f t="shared" si="5"/>
        <v>0.22569444444444445</v>
      </c>
      <c r="X25" s="297">
        <f t="shared" si="6"/>
        <v>0.2638888888888889</v>
      </c>
      <c r="Y25" s="297">
        <f t="shared" si="7"/>
        <v>0</v>
      </c>
      <c r="Z25" s="296">
        <f t="shared" si="8"/>
        <v>60</v>
      </c>
    </row>
    <row r="26" spans="1:27" ht="15" customHeight="1">
      <c r="A26" s="28"/>
      <c r="B26" s="559"/>
      <c r="C26" s="362"/>
      <c r="D26" s="519"/>
      <c r="E26" s="502"/>
      <c r="F26" s="294"/>
      <c r="G26" s="294"/>
      <c r="H26" s="348"/>
      <c r="I26" s="33" t="s">
        <v>9</v>
      </c>
      <c r="J26" s="280">
        <f>AVERAGE(I10:I16)</f>
        <v>97.380048309069977</v>
      </c>
      <c r="K26" s="284">
        <f>COUNTA([24]Brewhouse!$A$361:$A$370)</f>
        <v>10</v>
      </c>
      <c r="L26" s="302">
        <f>AVERAGE([24]Brewhouse!$AS$361:$AS$370)</f>
        <v>97.37391829333653</v>
      </c>
      <c r="M26" s="302">
        <f>AVERAGE([24]Brewhouse!$AS$15:$AS$64,[24]Brewhouse!$AS$66:$AS$103,[24]Brewhouse!$AS$105:$AS$140,[24]Brewhouse!$AS$142:$AS$193,[24]Brewhouse!$AS$195:$AS$240,[24]Brewhouse!$AS$242:$AS$273,[24]Brewhouse!$AS$275:$AS$322,[24]Brewhouse!$AS$324:$AS$359,[24]Brewhouse!$AS$361:$AS$370)</f>
        <v>98.045616899357427</v>
      </c>
      <c r="N26" s="30">
        <v>98</v>
      </c>
      <c r="O26" s="11"/>
      <c r="P26" s="31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7" ht="14.65" customHeight="1">
      <c r="A27" s="28"/>
      <c r="B27" s="559"/>
      <c r="C27" s="362"/>
      <c r="D27" s="518"/>
      <c r="E27" s="507"/>
      <c r="F27" s="294"/>
      <c r="G27" s="294"/>
      <c r="H27" s="348"/>
      <c r="I27" s="34" t="s">
        <v>12</v>
      </c>
      <c r="J27" s="280"/>
      <c r="K27" s="284"/>
      <c r="L27" s="302"/>
      <c r="M27" s="302">
        <f>AVERAGE([25]Brewhouse!$AU$4:$AU$7,[25]Brewhouse!$AU$9:$AU$22,[25]Brewhouse!$AU$24:$AU$35,[25]Brewhouse!$AU$37:$AU$45,[25]Brewhouse!$AU$47:$AU$62,[25]Brewhouse!$AU$64:$AU$79,[25]Brewhouse!$AU$81:$AU$92)</f>
        <v>96.938184743997624</v>
      </c>
      <c r="N27" s="30">
        <v>98</v>
      </c>
      <c r="O27" s="11"/>
      <c r="P27" s="31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7" ht="14.65" customHeight="1">
      <c r="A28" s="28"/>
      <c r="B28" s="559"/>
      <c r="C28" s="362"/>
      <c r="D28" s="519"/>
      <c r="E28" s="502"/>
      <c r="F28" s="294"/>
      <c r="G28" s="294"/>
      <c r="H28" s="348"/>
      <c r="I28" s="22" t="s">
        <v>33</v>
      </c>
      <c r="J28" s="280"/>
      <c r="K28" s="284"/>
      <c r="L28" s="302"/>
      <c r="M28" s="302">
        <f>AVERAGE([26]Brewhouse!$AV$5:$AV$14,[26]Brewhouse!$AV$16:$AV$19,[26]Brewhouse!$AV$21:$AV$24,[26]Brewhouse!$AV$26:$AV$33,[26]Brewhouse!$AV$35:$AV$46,[26]Brewhouse!$AV$48:$AV$53,[26]Brewhouse!$AV$55:$AV$62,[26]Brewhouse!$AV$64:$AV$77)</f>
        <v>98.521410557268055</v>
      </c>
      <c r="N28" s="30">
        <v>98</v>
      </c>
      <c r="O28" s="11"/>
      <c r="P28" s="31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1:27" ht="14.65" customHeight="1">
      <c r="A29" s="28"/>
      <c r="B29" s="559"/>
      <c r="C29" s="362"/>
      <c r="D29" s="518"/>
      <c r="E29" s="507"/>
      <c r="F29" s="417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1:27" ht="14.65" customHeight="1">
      <c r="A30" s="28"/>
      <c r="B30" s="559"/>
      <c r="C30" s="362"/>
      <c r="D30" s="519"/>
      <c r="E30" s="502"/>
      <c r="F30" s="417"/>
      <c r="G30" s="294"/>
      <c r="H30" s="348"/>
      <c r="I30" s="36" t="s">
        <v>15</v>
      </c>
      <c r="J30" s="323"/>
      <c r="K30" s="284"/>
      <c r="L30" s="302"/>
      <c r="M30" s="302">
        <f>AVERAGE([27]Brewhouse!$AT$4:$AT$11,[27]Brewhouse!$AT$13:$AT$16,[27]Brewhouse!$AT$18:$AT$21,[27]Brewhouse!$AT$26)</f>
        <v>94.588057846623641</v>
      </c>
      <c r="N30" s="30">
        <v>98</v>
      </c>
      <c r="O30" s="11"/>
      <c r="P30" s="31"/>
      <c r="R30" s="277"/>
      <c r="S30" s="296"/>
      <c r="T30" s="296"/>
      <c r="U30" s="297"/>
      <c r="V30" s="297"/>
      <c r="W30" s="297"/>
      <c r="X30" s="297"/>
      <c r="Y30" s="297"/>
      <c r="Z30" s="296"/>
      <c r="AA30" s="296"/>
    </row>
    <row r="31" spans="1:27" ht="14.65" customHeight="1">
      <c r="A31" s="28"/>
      <c r="B31" s="559"/>
      <c r="C31" s="362"/>
      <c r="D31" s="518"/>
      <c r="E31" s="507"/>
      <c r="F31" s="417"/>
      <c r="G31" s="294"/>
      <c r="H31" s="348"/>
      <c r="I31" s="37" t="s">
        <v>16</v>
      </c>
      <c r="J31" s="323"/>
      <c r="K31" s="284">
        <f>COUNTA([23]Brewhouse!$A$75:$A$82)</f>
        <v>8</v>
      </c>
      <c r="L31" s="302">
        <f>AVERAGE([23]Brewhouse!$AY$75:$AY$82)</f>
        <v>97.738838123294386</v>
      </c>
      <c r="M31" s="302">
        <f>AVERAGE([23]Brewhouse!$AY$6:$AY$13,[23]Brewhouse!$AY$15:$AY$20,[23]Brewhouse!$AY$22:$AY$29,[23]Brewhouse!$AY$31:$AY$34,[23]Brewhouse!$AY$36:$AY$43,[23]Brewhouse!$AY$45:$AY$50, [23]Brewhouse!$AY$56:$AY$73,[23]Brewhouse!$AY$75:$AY$82)</f>
        <v>97.409216272979165</v>
      </c>
      <c r="N31" s="30">
        <v>98</v>
      </c>
      <c r="O31" s="11"/>
      <c r="P31" s="31" t="s">
        <v>41</v>
      </c>
      <c r="R31" s="277"/>
      <c r="S31" s="296"/>
      <c r="T31" s="296"/>
      <c r="U31" s="297"/>
      <c r="V31" s="297"/>
      <c r="W31" s="297"/>
      <c r="X31" s="297"/>
      <c r="Y31" s="297"/>
      <c r="Z31" s="296"/>
      <c r="AA31" s="296"/>
    </row>
    <row r="32" spans="1:27" ht="14.65" customHeight="1">
      <c r="A32" s="28"/>
      <c r="B32" s="559"/>
      <c r="C32" s="362"/>
      <c r="D32" s="519"/>
      <c r="E32" s="502"/>
      <c r="F32" s="294"/>
      <c r="G32" s="294"/>
      <c r="H32" s="348"/>
      <c r="I32" s="411" t="s">
        <v>158</v>
      </c>
      <c r="J32" s="326"/>
      <c r="K32" s="284"/>
      <c r="L32" s="305"/>
      <c r="M32" s="305">
        <f>AVERAGE([28]Brewhouse!$AU$5:$AU$8,[28]Brewhouse!$AU$10:$AU$13,[23]Brewhouse!$AY$75:$AY$77)</f>
        <v>94.749192473706671</v>
      </c>
      <c r="N32" s="30">
        <v>98</v>
      </c>
      <c r="O32" s="11"/>
      <c r="P32" s="31"/>
      <c r="R32" s="277"/>
      <c r="S32" s="296"/>
      <c r="T32" s="296"/>
      <c r="U32" s="297"/>
      <c r="V32" s="297"/>
      <c r="W32" s="297"/>
      <c r="X32" s="297"/>
      <c r="Y32" s="297"/>
      <c r="Z32" s="296"/>
      <c r="AA32" s="296"/>
    </row>
    <row r="33" spans="1:56" ht="14.65" customHeight="1">
      <c r="A33" s="28"/>
      <c r="B33" s="559"/>
      <c r="C33" s="349"/>
      <c r="D33" s="518"/>
      <c r="E33" s="507"/>
      <c r="F33" s="294"/>
      <c r="G33" s="294"/>
      <c r="H33" s="348"/>
      <c r="I33" s="410" t="s">
        <v>157</v>
      </c>
      <c r="J33" s="326"/>
      <c r="K33" s="284"/>
      <c r="L33" s="305"/>
      <c r="M33" s="305">
        <f>AVERAGE([29]Brewhouse!$AW$26:$AW$27)</f>
        <v>95.310680905194914</v>
      </c>
      <c r="N33" s="30">
        <v>98</v>
      </c>
      <c r="O33" s="11"/>
      <c r="P33" s="31"/>
      <c r="R33" s="277"/>
      <c r="S33" s="296"/>
      <c r="T33" s="296"/>
      <c r="U33" s="297"/>
      <c r="V33" s="297"/>
      <c r="W33" s="297"/>
      <c r="X33" s="297"/>
      <c r="Y33" s="297"/>
      <c r="Z33" s="296"/>
      <c r="AA33" s="296"/>
    </row>
    <row r="34" spans="1:56" ht="15" customHeight="1" thickBot="1">
      <c r="A34" s="28"/>
      <c r="B34" s="559"/>
      <c r="C34" s="349"/>
      <c r="D34" s="519"/>
      <c r="E34" s="502"/>
      <c r="F34" s="294"/>
      <c r="G34" s="294"/>
      <c r="H34" s="348"/>
      <c r="I34" s="406" t="s">
        <v>156</v>
      </c>
      <c r="J34" s="327"/>
      <c r="K34" s="407"/>
      <c r="L34" s="408"/>
      <c r="M34" s="408">
        <f>AVERAGE([30]Brewhouse!$AU$13:$AU$14)</f>
        <v>97.110575243268045</v>
      </c>
      <c r="N34" s="409">
        <v>98</v>
      </c>
      <c r="O34" s="11"/>
      <c r="P34" s="31"/>
      <c r="R34" s="277"/>
      <c r="S34" s="296"/>
      <c r="T34" s="296"/>
      <c r="U34" s="297"/>
      <c r="V34" s="297"/>
      <c r="W34" s="297"/>
      <c r="X34" s="297"/>
      <c r="Y34" s="297"/>
      <c r="Z34" s="296"/>
      <c r="AA34" s="296"/>
    </row>
    <row r="35" spans="1:56" ht="15" customHeight="1" thickBot="1">
      <c r="A35" s="28"/>
      <c r="B35" s="559"/>
      <c r="C35" s="349"/>
      <c r="D35" s="518"/>
      <c r="E35" s="507"/>
      <c r="F35" s="294"/>
      <c r="G35" s="294"/>
      <c r="H35" s="348"/>
      <c r="I35" s="1"/>
      <c r="J35" s="39"/>
      <c r="K35" s="404">
        <f>SUM(K25:K34)</f>
        <v>37</v>
      </c>
      <c r="L35" s="405">
        <f>((L25*K25)+(L26*K26)+(L27*K27)+(L28*K28)+(L29*K29)+(K32*L32)+(L30*K30)+(L31*K31)+(L34*K34))/(K35)</f>
        <v>97.549355289686403</v>
      </c>
      <c r="M35" s="405">
        <f>AVERAGE('[31]Jan 31st'!$L$65,'[32]Feb 28th'!$L$35,'[33]Mar. 31st'!$L$35,'[34]Apr. 30th'!$L$45,'[35]May 30th'!$L$37,'[36]June 30th'!$L$57,L35)</f>
        <v>97.643037969535484</v>
      </c>
      <c r="N35" s="40">
        <v>98</v>
      </c>
      <c r="O35" s="11"/>
      <c r="P35" s="31"/>
      <c r="R35" s="277"/>
      <c r="S35" s="296"/>
      <c r="T35" s="296"/>
      <c r="U35" s="297"/>
      <c r="V35" s="297"/>
      <c r="W35" s="297"/>
      <c r="X35" s="297"/>
      <c r="Y35" s="297"/>
      <c r="Z35" s="296"/>
      <c r="AA35" s="296"/>
    </row>
    <row r="36" spans="1:56" ht="15.75" thickBot="1">
      <c r="B36" s="560"/>
      <c r="C36" s="350"/>
      <c r="D36" s="519"/>
      <c r="E36" s="502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R36" s="277"/>
      <c r="S36" s="296"/>
      <c r="T36" s="296"/>
      <c r="U36" s="297"/>
      <c r="V36" s="297"/>
      <c r="W36" s="297"/>
      <c r="X36" s="297"/>
      <c r="Y36" s="297"/>
      <c r="Z36" s="296"/>
      <c r="AA36" s="296"/>
    </row>
    <row r="37" spans="1:56" ht="15.75" thickBot="1">
      <c r="B37" s="552"/>
      <c r="C37" s="362"/>
      <c r="D37" s="499"/>
      <c r="E37" s="500"/>
      <c r="F37" s="294"/>
      <c r="G37" s="42"/>
      <c r="H37" s="41"/>
      <c r="I37" s="42"/>
      <c r="J37" s="553" t="s">
        <v>129</v>
      </c>
      <c r="K37" s="553"/>
      <c r="L37" s="294"/>
      <c r="M37" s="294"/>
      <c r="N37" s="294"/>
      <c r="O37" s="294"/>
      <c r="P37" s="12"/>
    </row>
    <row r="38" spans="1:56" ht="15.75" thickBot="1">
      <c r="B38" s="516"/>
      <c r="C38" s="362"/>
      <c r="D38" s="501"/>
      <c r="E38" s="502"/>
      <c r="F38" s="294"/>
      <c r="G38" s="42"/>
      <c r="H38" s="41"/>
      <c r="I38" s="42"/>
      <c r="J38" s="292" t="s">
        <v>17</v>
      </c>
      <c r="K38" s="293" t="s">
        <v>147</v>
      </c>
      <c r="L38" s="504" t="s">
        <v>136</v>
      </c>
      <c r="M38" s="504"/>
      <c r="N38" s="505"/>
      <c r="O38" s="294"/>
      <c r="P38" s="12"/>
    </row>
    <row r="39" spans="1:56" ht="15" customHeight="1" thickBot="1">
      <c r="B39" s="516"/>
      <c r="C39" s="349"/>
      <c r="D39" s="554"/>
      <c r="E39" s="555"/>
      <c r="F39" s="294"/>
      <c r="G39" s="42"/>
      <c r="H39" s="41"/>
      <c r="I39" s="42"/>
      <c r="J39" s="287" t="s">
        <v>6</v>
      </c>
      <c r="K39" s="324"/>
      <c r="L39" s="343" t="s">
        <v>37</v>
      </c>
      <c r="M39" s="307" t="s">
        <v>38</v>
      </c>
      <c r="N39" s="307" t="s">
        <v>84</v>
      </c>
      <c r="O39" s="294"/>
      <c r="P39" s="12"/>
    </row>
    <row r="40" spans="1:56" ht="15.75" customHeight="1" thickBot="1">
      <c r="B40" s="516"/>
      <c r="C40" s="349"/>
      <c r="D40" s="501"/>
      <c r="E40" s="502"/>
      <c r="F40" s="294"/>
      <c r="G40" s="42"/>
      <c r="H40" s="41"/>
      <c r="I40" s="42"/>
      <c r="J40" s="345" t="s">
        <v>9</v>
      </c>
      <c r="K40" s="324">
        <v>7</v>
      </c>
      <c r="L40" s="344">
        <f>AVERAGE('Sept 1st'!K53,'Sept 2nd'!K51,'Sept 3rd'!K52,'Sept 4th'!K61,K49)</f>
        <v>8.8000000000000007</v>
      </c>
      <c r="M40" s="325">
        <f>AVERAGE('[31]Jan 29th '!$M$70,'[32]Feb 28th'!$L$40,'[33]Mar. 31st'!$L$40,'[34]Apr. 30th'!$L$50,'[35]May 30th'!$L$42,'[36]June 30th'!$L$62,'[37]July 29th '!$L$49,'[38]Aug 29th'!$L$34,L40)</f>
        <v>7.1591895942010346</v>
      </c>
      <c r="N40" s="416">
        <v>9.1999999999999993</v>
      </c>
      <c r="O40" s="294"/>
      <c r="P40" s="12"/>
    </row>
    <row r="41" spans="1:56" ht="15" customHeight="1">
      <c r="B41" s="516"/>
      <c r="C41" s="349"/>
      <c r="D41" s="554"/>
      <c r="E41" s="555"/>
      <c r="F41" s="294"/>
      <c r="G41" s="42"/>
      <c r="H41" s="41"/>
      <c r="I41" s="42"/>
      <c r="J41" s="288" t="s">
        <v>40</v>
      </c>
      <c r="K41" s="324"/>
      <c r="L41" s="294"/>
      <c r="M41" s="294"/>
      <c r="N41" s="294"/>
      <c r="O41" s="294"/>
      <c r="P41" s="12"/>
    </row>
    <row r="42" spans="1:56" ht="15" customHeight="1">
      <c r="B42" s="516"/>
      <c r="C42" s="349"/>
      <c r="D42" s="501"/>
      <c r="E42" s="502"/>
      <c r="F42" s="294"/>
      <c r="G42" s="42"/>
      <c r="H42" s="41"/>
      <c r="I42" s="42"/>
      <c r="J42" s="289" t="s">
        <v>33</v>
      </c>
      <c r="K42" s="324"/>
      <c r="L42" s="294"/>
      <c r="M42" s="294"/>
      <c r="N42" s="294"/>
      <c r="O42" s="294"/>
      <c r="P42" s="12"/>
    </row>
    <row r="43" spans="1:56" ht="15">
      <c r="B43" s="516"/>
      <c r="C43" s="349"/>
      <c r="D43" s="554"/>
      <c r="E43" s="555"/>
      <c r="F43" s="294"/>
      <c r="G43" s="42"/>
      <c r="H43" s="41"/>
      <c r="I43" s="42"/>
      <c r="J43" s="290" t="s">
        <v>16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16"/>
      <c r="C44" s="349"/>
      <c r="D44" s="501"/>
      <c r="E44" s="502"/>
      <c r="F44" s="294"/>
      <c r="G44" s="42"/>
      <c r="H44" s="41"/>
      <c r="I44" s="42"/>
      <c r="J44" s="291" t="s">
        <v>15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16"/>
      <c r="C45" s="349"/>
      <c r="D45" s="554"/>
      <c r="E45" s="555"/>
      <c r="F45" s="294"/>
      <c r="G45" s="42"/>
      <c r="H45" s="41"/>
      <c r="I45" s="42"/>
      <c r="J45" s="291" t="s">
        <v>149</v>
      </c>
      <c r="K45" s="324"/>
      <c r="L45" s="294"/>
      <c r="M45" s="294"/>
      <c r="N45" s="294"/>
      <c r="O45" s="294"/>
      <c r="P45" s="12"/>
      <c r="BC45" s="44"/>
      <c r="BD45" s="44"/>
    </row>
    <row r="46" spans="1:56" ht="15.75" thickBot="1">
      <c r="B46" s="517"/>
      <c r="C46" s="350"/>
      <c r="D46" s="556"/>
      <c r="E46" s="557"/>
      <c r="F46" s="294"/>
      <c r="G46" s="42"/>
      <c r="H46" s="41"/>
      <c r="I46" s="42"/>
      <c r="J46" s="291" t="s">
        <v>148</v>
      </c>
      <c r="K46" s="324"/>
      <c r="L46" s="294"/>
      <c r="M46" s="294"/>
      <c r="N46" s="294"/>
      <c r="O46" s="294"/>
      <c r="P46" s="12"/>
      <c r="BC46" s="44"/>
      <c r="BD46" s="44"/>
    </row>
    <row r="47" spans="1:56" ht="17.649999999999999" customHeight="1" thickBot="1">
      <c r="B47" s="312" t="s">
        <v>139</v>
      </c>
      <c r="C47" s="313"/>
      <c r="D47" s="550" t="e">
        <f>AVERAGE(D25:E46)</f>
        <v>#DIV/0!</v>
      </c>
      <c r="E47" s="551"/>
      <c r="F47" s="294"/>
      <c r="H47" s="41"/>
      <c r="I47" s="42"/>
      <c r="J47" s="295" t="s">
        <v>134</v>
      </c>
      <c r="K47" s="324"/>
      <c r="L47" s="294"/>
      <c r="M47" s="294"/>
      <c r="N47" s="294"/>
      <c r="O47" s="294"/>
      <c r="P47" s="12"/>
      <c r="BC47" s="44"/>
      <c r="BD47" s="44"/>
    </row>
    <row r="48" spans="1:56" ht="17.649999999999999" customHeight="1">
      <c r="B48" s="363"/>
      <c r="C48" s="364"/>
      <c r="D48" s="365"/>
      <c r="E48" s="365"/>
      <c r="F48" s="294"/>
      <c r="G48" s="42"/>
      <c r="H48" s="41"/>
      <c r="I48" s="42"/>
      <c r="J48" s="295" t="s">
        <v>131</v>
      </c>
      <c r="K48" s="324"/>
      <c r="L48" s="294"/>
      <c r="M48" s="294"/>
      <c r="N48" s="294"/>
      <c r="O48" s="294"/>
      <c r="P48" s="12"/>
      <c r="BC48" s="44"/>
      <c r="BD48" s="44"/>
    </row>
    <row r="49" spans="2:57" ht="15.6" customHeight="1">
      <c r="B49" s="45"/>
      <c r="C49" s="11"/>
      <c r="D49" s="11"/>
      <c r="E49" s="46"/>
      <c r="F49" s="294"/>
      <c r="G49" s="42"/>
      <c r="H49" s="41"/>
      <c r="I49" s="42"/>
      <c r="J49" s="346" t="s">
        <v>130</v>
      </c>
      <c r="K49" s="324">
        <f>SUM(K39:K48)</f>
        <v>7</v>
      </c>
      <c r="L49" s="294"/>
      <c r="M49" s="294"/>
      <c r="N49" s="294"/>
      <c r="O49" s="294"/>
      <c r="P49" s="12"/>
    </row>
    <row r="50" spans="2:57" ht="20.25" customHeight="1">
      <c r="B50" s="15" t="s">
        <v>42</v>
      </c>
      <c r="C50" s="1" t="s">
        <v>43</v>
      </c>
      <c r="D50" s="1"/>
      <c r="E50" s="1"/>
      <c r="F50" s="294"/>
      <c r="G50" s="42"/>
      <c r="H50" s="41"/>
      <c r="I50" s="42"/>
      <c r="L50" s="294"/>
      <c r="N50" s="315"/>
      <c r="P50" s="334"/>
    </row>
    <row r="51" spans="2:57" ht="15" customHeight="1" thickBot="1"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1"/>
      <c r="O51" s="48"/>
      <c r="P51" s="49"/>
    </row>
    <row r="52" spans="2:57" ht="15" customHeight="1" thickBot="1">
      <c r="B52" s="480" t="s">
        <v>17</v>
      </c>
      <c r="C52" s="480" t="s">
        <v>44</v>
      </c>
      <c r="D52" s="492" t="s">
        <v>45</v>
      </c>
      <c r="E52" s="494" t="s">
        <v>46</v>
      </c>
      <c r="F52" s="488" t="s">
        <v>47</v>
      </c>
      <c r="G52" s="478" t="s">
        <v>48</v>
      </c>
      <c r="H52" s="480" t="s">
        <v>49</v>
      </c>
      <c r="I52" s="480" t="s">
        <v>50</v>
      </c>
      <c r="J52" s="472" t="s">
        <v>28</v>
      </c>
      <c r="K52" s="484" t="s">
        <v>51</v>
      </c>
      <c r="L52" s="486" t="s">
        <v>52</v>
      </c>
      <c r="M52" s="472" t="s">
        <v>53</v>
      </c>
      <c r="N52" s="13"/>
      <c r="O52" s="13"/>
      <c r="P52" s="50"/>
    </row>
    <row r="53" spans="2:57" ht="28.5" customHeight="1" thickTop="1" thickBot="1">
      <c r="B53" s="481"/>
      <c r="C53" s="481"/>
      <c r="D53" s="493"/>
      <c r="E53" s="495"/>
      <c r="F53" s="489"/>
      <c r="G53" s="479"/>
      <c r="H53" s="549"/>
      <c r="I53" s="549"/>
      <c r="J53" s="473"/>
      <c r="K53" s="485"/>
      <c r="L53" s="487"/>
      <c r="M53" s="473"/>
      <c r="N53" s="13"/>
      <c r="O53" s="13"/>
      <c r="P53" s="50"/>
      <c r="Q53" s="355"/>
      <c r="AB53" s="51">
        <v>43474</v>
      </c>
      <c r="AC53" s="51">
        <v>43475</v>
      </c>
      <c r="AD53" s="51">
        <v>43476</v>
      </c>
      <c r="AE53" s="51">
        <v>43477</v>
      </c>
      <c r="AF53" s="51">
        <v>43478</v>
      </c>
      <c r="AG53" s="51">
        <v>43479</v>
      </c>
      <c r="AH53" s="51">
        <v>43480</v>
      </c>
      <c r="AI53" s="51">
        <v>43481</v>
      </c>
      <c r="AJ53" s="51">
        <v>43482</v>
      </c>
      <c r="AK53" s="51">
        <v>43483</v>
      </c>
      <c r="AL53" s="51">
        <v>43484</v>
      </c>
      <c r="AM53" s="51">
        <v>43485</v>
      </c>
      <c r="AN53" s="51">
        <v>43486</v>
      </c>
      <c r="AO53" s="51">
        <v>43487</v>
      </c>
      <c r="AP53" s="51">
        <v>43488</v>
      </c>
      <c r="AQ53" s="51">
        <v>43489</v>
      </c>
      <c r="AR53" s="51">
        <v>43490</v>
      </c>
      <c r="AS53" s="51">
        <v>43491</v>
      </c>
      <c r="AT53" s="51">
        <v>43492</v>
      </c>
      <c r="AU53" s="51">
        <v>43493</v>
      </c>
      <c r="AV53" s="51">
        <v>43494</v>
      </c>
      <c r="AW53" s="51">
        <v>43495</v>
      </c>
      <c r="AX53" s="51">
        <v>43496</v>
      </c>
    </row>
    <row r="54" spans="2:57" s="54" customFormat="1" ht="59.45" customHeight="1" thickBot="1">
      <c r="B54" s="461" t="str">
        <f>J39</f>
        <v>CARIB</v>
      </c>
      <c r="C54" s="442">
        <v>45905</v>
      </c>
      <c r="D54" s="443">
        <f>[39]September_2025!$H$3</f>
        <v>403.7</v>
      </c>
      <c r="E54" s="444"/>
      <c r="F54" s="444"/>
      <c r="G54" s="445">
        <f>[39]September_2025!$H$7</f>
        <v>388.7</v>
      </c>
      <c r="H54" s="463"/>
      <c r="I54" s="463"/>
      <c r="J54" s="449" t="s">
        <v>150</v>
      </c>
      <c r="K54" s="450">
        <f>[40]September_2025!$H$18</f>
        <v>1.363859649122807</v>
      </c>
      <c r="L54" s="464">
        <f>(((D54+E54)-G54)/(D54+E54))*100</f>
        <v>3.7156304186276938</v>
      </c>
      <c r="M54" s="457" t="s">
        <v>175</v>
      </c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[20]January_2019!L7</f>
        <v>285.8</v>
      </c>
      <c r="AC54" s="57">
        <f>[20]January_2019!M7</f>
        <v>508.1</v>
      </c>
      <c r="AD54" s="57">
        <f>[20]January_2019!N7</f>
        <v>0</v>
      </c>
      <c r="AE54" s="57">
        <f>[20]January_2019!O7</f>
        <v>0</v>
      </c>
      <c r="AF54" s="57">
        <f>[20]January_2019!P7</f>
        <v>109.56666666666666</v>
      </c>
      <c r="AG54" s="57">
        <f>[20]January_2019!Q7</f>
        <v>297.64999999999998</v>
      </c>
      <c r="AH54" s="57">
        <f>[20]January_2019!R7</f>
        <v>122.3</v>
      </c>
      <c r="AI54" s="57">
        <f>[20]January_2019!S7</f>
        <v>0</v>
      </c>
      <c r="AJ54" s="57">
        <f>[20]January_2019!T7</f>
        <v>294.7</v>
      </c>
      <c r="AK54" s="57">
        <f>[20]January_2019!U7</f>
        <v>280.5</v>
      </c>
      <c r="AL54" s="57">
        <f>[20]January_2019!V7</f>
        <v>0</v>
      </c>
      <c r="AM54" s="57">
        <f>[20]January_2019!W7</f>
        <v>0</v>
      </c>
      <c r="AN54" s="57">
        <f>[20]January_2019!X7</f>
        <v>188.25</v>
      </c>
      <c r="AO54" s="57">
        <f>[20]January_2019!Y7</f>
        <v>295.7</v>
      </c>
      <c r="AP54" s="57">
        <f>[20]January_2019!Z7</f>
        <v>257.8</v>
      </c>
      <c r="AQ54" s="57">
        <f>[20]January_2019!AA7</f>
        <v>291.2</v>
      </c>
      <c r="AR54" s="57">
        <f>[20]January_2019!AB7</f>
        <v>187</v>
      </c>
      <c r="AS54" s="57">
        <f>[20]January_2019!AC7</f>
        <v>0</v>
      </c>
      <c r="AT54" s="57">
        <f>[20]January_2019!AD7</f>
        <v>0</v>
      </c>
      <c r="AU54" s="57">
        <f>[20]January_2019!AE7</f>
        <v>485.1</v>
      </c>
      <c r="AV54" s="57">
        <f>[20]January_2019!AF7</f>
        <v>171.55</v>
      </c>
      <c r="AW54" s="57">
        <f>[20]January_2019!AG7</f>
        <v>423.8</v>
      </c>
      <c r="AX54" s="277">
        <f>[20]January_2019!AH7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20.45" hidden="1" customHeight="1" thickBot="1">
      <c r="B55" s="459"/>
      <c r="C55" s="431"/>
      <c r="D55" s="432"/>
      <c r="E55" s="433"/>
      <c r="F55" s="434"/>
      <c r="G55" s="435"/>
      <c r="H55" s="429"/>
      <c r="I55" s="429"/>
      <c r="J55" s="452"/>
      <c r="K55" s="437"/>
      <c r="L55" s="453"/>
      <c r="M55" s="422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59.45" hidden="1" customHeight="1" thickBot="1">
      <c r="B56" s="460"/>
      <c r="C56" s="442"/>
      <c r="D56" s="443"/>
      <c r="E56" s="444"/>
      <c r="F56" s="445"/>
      <c r="G56" s="446"/>
      <c r="H56" s="429"/>
      <c r="I56" s="429"/>
      <c r="J56" s="449"/>
      <c r="K56" s="450"/>
      <c r="L56" s="458"/>
      <c r="M56" s="457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15" hidden="1">
      <c r="B57" s="454"/>
      <c r="C57" s="431"/>
      <c r="D57" s="432"/>
      <c r="E57" s="433"/>
      <c r="F57" s="434"/>
      <c r="G57" s="435"/>
      <c r="H57" s="436"/>
      <c r="I57" s="451"/>
      <c r="J57" s="452"/>
      <c r="K57" s="437"/>
      <c r="L57" s="453"/>
      <c r="M57" s="422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6.6" hidden="1" customHeight="1" thickBot="1">
      <c r="B58" s="387"/>
      <c r="C58" s="442"/>
      <c r="D58" s="443"/>
      <c r="E58" s="444"/>
      <c r="F58" s="445"/>
      <c r="G58" s="446"/>
      <c r="H58" s="447"/>
      <c r="I58" s="448"/>
      <c r="J58" s="449" t="s">
        <v>163</v>
      </c>
      <c r="K58" s="450"/>
      <c r="L58" s="455" t="e">
        <f>(((D58+E58)-G58)/(D58+E58))*100</f>
        <v>#DIV/0!</v>
      </c>
      <c r="M58" s="456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6.5" hidden="1" customHeight="1" thickBot="1">
      <c r="B59" s="438"/>
      <c r="C59" s="424"/>
      <c r="D59" s="425"/>
      <c r="E59" s="426"/>
      <c r="F59" s="427"/>
      <c r="G59" s="428"/>
      <c r="H59" s="429"/>
      <c r="I59" s="439"/>
      <c r="J59" s="440"/>
      <c r="K59" s="430"/>
      <c r="L59" s="441"/>
      <c r="M59" s="423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415"/>
      <c r="AC59" s="415"/>
      <c r="AD59" s="415"/>
      <c r="AE59" s="415"/>
      <c r="AF59" s="415"/>
      <c r="AG59" s="415"/>
      <c r="AH59" s="415"/>
      <c r="AI59" s="415"/>
      <c r="AJ59" s="415"/>
      <c r="AK59" s="415"/>
      <c r="AL59" s="415"/>
      <c r="AM59" s="415"/>
      <c r="AN59" s="415"/>
      <c r="AO59" s="415"/>
      <c r="AP59" s="415"/>
      <c r="AQ59" s="415"/>
      <c r="AR59" s="415"/>
      <c r="AS59" s="415"/>
      <c r="AT59" s="415"/>
      <c r="AU59" s="415"/>
      <c r="AV59" s="415"/>
      <c r="AW59" s="415"/>
    </row>
    <row r="60" spans="2:57" ht="18" customHeight="1" thickBot="1">
      <c r="B60" s="59"/>
      <c r="C60" s="30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 t="s">
        <v>41</v>
      </c>
      <c r="O60" s="56"/>
      <c r="P60" s="60"/>
    </row>
    <row r="61" spans="2:57" ht="15.75" thickBot="1">
      <c r="B61" s="474" t="s">
        <v>55</v>
      </c>
      <c r="C61" s="475"/>
      <c r="D61" s="475"/>
      <c r="E61" s="475"/>
      <c r="F61" s="476"/>
      <c r="G61" s="474" t="s">
        <v>56</v>
      </c>
      <c r="H61" s="475"/>
      <c r="I61" s="475"/>
      <c r="J61" s="476"/>
      <c r="K61" s="474" t="s">
        <v>51</v>
      </c>
      <c r="L61" s="475"/>
      <c r="M61" s="475"/>
      <c r="N61" s="477"/>
      <c r="O61" s="56"/>
      <c r="P61" s="50"/>
    </row>
    <row r="62" spans="2:57" ht="15">
      <c r="B62" s="61" t="s">
        <v>17</v>
      </c>
      <c r="C62" s="62" t="s">
        <v>36</v>
      </c>
      <c r="D62" s="62" t="s">
        <v>37</v>
      </c>
      <c r="E62" s="62" t="s">
        <v>38</v>
      </c>
      <c r="F62" s="63" t="s">
        <v>39</v>
      </c>
      <c r="G62" s="62" t="s">
        <v>36</v>
      </c>
      <c r="H62" s="62" t="s">
        <v>37</v>
      </c>
      <c r="I62" s="62" t="s">
        <v>38</v>
      </c>
      <c r="J62" s="63" t="s">
        <v>39</v>
      </c>
      <c r="K62" s="62" t="s">
        <v>36</v>
      </c>
      <c r="L62" s="62" t="s">
        <v>37</v>
      </c>
      <c r="M62" s="62" t="s">
        <v>38</v>
      </c>
      <c r="N62" s="63" t="s">
        <v>39</v>
      </c>
      <c r="O62" s="56"/>
      <c r="P62" s="64"/>
    </row>
    <row r="63" spans="2:57" ht="15">
      <c r="B63" s="29" t="s">
        <v>6</v>
      </c>
      <c r="C63" s="65">
        <f>L54</f>
        <v>3.7156304186276938</v>
      </c>
      <c r="D63" s="76"/>
      <c r="E63" s="76"/>
      <c r="F63" s="66">
        <v>4.8</v>
      </c>
      <c r="G63" s="65">
        <f>[39]September_2025!$H$11</f>
        <v>4.9721964164270176</v>
      </c>
      <c r="H63" s="76"/>
      <c r="I63" s="76"/>
      <c r="J63" s="66">
        <v>4.8</v>
      </c>
      <c r="K63" s="67">
        <f>K54</f>
        <v>1.363859649122807</v>
      </c>
      <c r="L63" s="194"/>
      <c r="M63" s="194"/>
      <c r="N63" s="68">
        <v>1</v>
      </c>
      <c r="O63" s="56"/>
      <c r="P63" s="69"/>
    </row>
    <row r="64" spans="2:57" ht="15">
      <c r="B64" s="33" t="s">
        <v>9</v>
      </c>
      <c r="C64" s="65"/>
      <c r="D64" s="76"/>
      <c r="E64" s="76"/>
      <c r="F64" s="66">
        <v>4.8</v>
      </c>
      <c r="G64" s="65"/>
      <c r="H64" s="76"/>
      <c r="I64" s="76"/>
      <c r="J64" s="66">
        <v>4.8</v>
      </c>
      <c r="K64" s="67"/>
      <c r="L64" s="194"/>
      <c r="M64" s="194"/>
      <c r="N64" s="68">
        <v>1</v>
      </c>
      <c r="P64" s="69"/>
    </row>
    <row r="65" spans="2:16" ht="15">
      <c r="B65" s="34" t="s">
        <v>40</v>
      </c>
      <c r="C65" s="65"/>
      <c r="D65" s="76"/>
      <c r="E65" s="76"/>
      <c r="F65" s="66">
        <v>5.5</v>
      </c>
      <c r="G65" s="65"/>
      <c r="H65" s="76"/>
      <c r="I65" s="76"/>
      <c r="J65" s="66">
        <v>5.5</v>
      </c>
      <c r="K65" s="67"/>
      <c r="L65" s="194"/>
      <c r="M65" s="194"/>
      <c r="N65" s="68">
        <v>1</v>
      </c>
      <c r="P65" s="69"/>
    </row>
    <row r="66" spans="2:16" ht="15">
      <c r="B66" s="22" t="s">
        <v>33</v>
      </c>
      <c r="C66" s="65"/>
      <c r="D66" s="76"/>
      <c r="E66" s="76"/>
      <c r="F66" s="66">
        <v>3.3</v>
      </c>
      <c r="G66" s="65"/>
      <c r="H66" s="76"/>
      <c r="I66" s="76"/>
      <c r="J66" s="66">
        <v>3.3</v>
      </c>
      <c r="K66" s="67"/>
      <c r="L66" s="194"/>
      <c r="M66" s="194"/>
      <c r="N66" s="68">
        <v>1</v>
      </c>
      <c r="P66" s="69"/>
    </row>
    <row r="67" spans="2:16" ht="15">
      <c r="B67" s="35" t="s">
        <v>165</v>
      </c>
      <c r="C67" s="65"/>
      <c r="D67" s="76"/>
      <c r="E67" s="76"/>
      <c r="F67" s="66">
        <v>3.3</v>
      </c>
      <c r="G67" s="282"/>
      <c r="H67" s="76"/>
      <c r="I67" s="76"/>
      <c r="J67" s="66">
        <v>3</v>
      </c>
      <c r="K67" s="67"/>
      <c r="L67" s="194"/>
      <c r="M67" s="194"/>
      <c r="N67" s="68">
        <v>1</v>
      </c>
      <c r="P67" s="69"/>
    </row>
    <row r="68" spans="2:16" ht="15">
      <c r="B68" s="36" t="s">
        <v>15</v>
      </c>
      <c r="C68" s="65"/>
      <c r="D68" s="76"/>
      <c r="E68" s="76"/>
      <c r="F68" s="70">
        <f>[21]May_2022!$M$43</f>
        <v>3.4878406700073312</v>
      </c>
      <c r="G68" s="282"/>
      <c r="H68" s="76"/>
      <c r="I68" s="76"/>
      <c r="J68" s="66">
        <v>5.5</v>
      </c>
      <c r="K68" s="67"/>
      <c r="L68" s="194"/>
      <c r="M68" s="194"/>
      <c r="N68" s="68">
        <v>1</v>
      </c>
      <c r="P68" s="69"/>
    </row>
    <row r="69" spans="2:16" ht="15">
      <c r="B69" s="37" t="s">
        <v>16</v>
      </c>
      <c r="C69" s="65"/>
      <c r="D69" s="76"/>
      <c r="E69" s="76"/>
      <c r="F69" s="66">
        <v>3.3</v>
      </c>
      <c r="G69" s="282"/>
      <c r="H69" s="76"/>
      <c r="I69" s="76"/>
      <c r="J69" s="66">
        <v>3.3</v>
      </c>
      <c r="K69" s="67"/>
      <c r="L69" s="194"/>
      <c r="M69" s="194"/>
      <c r="N69" s="71">
        <v>1</v>
      </c>
      <c r="P69" s="69"/>
    </row>
    <row r="70" spans="2:16" ht="15.75" thickBot="1">
      <c r="B70" s="38" t="s">
        <v>164</v>
      </c>
      <c r="C70" s="65"/>
      <c r="D70" s="76"/>
      <c r="E70" s="76"/>
      <c r="F70" s="66">
        <v>7.5</v>
      </c>
      <c r="G70" s="282"/>
      <c r="H70" s="76"/>
      <c r="I70" s="76"/>
      <c r="J70" s="66">
        <v>7.5</v>
      </c>
      <c r="K70" s="67"/>
      <c r="M70" s="194"/>
      <c r="N70" s="71">
        <v>1</v>
      </c>
      <c r="P70" s="69"/>
    </row>
    <row r="71" spans="2:16" ht="15.75" thickBot="1">
      <c r="B71" s="414" t="s">
        <v>161</v>
      </c>
      <c r="C71" s="65"/>
      <c r="D71" s="76"/>
      <c r="E71" s="76"/>
      <c r="F71" s="66">
        <v>4.8</v>
      </c>
      <c r="G71" s="282"/>
      <c r="H71" s="76"/>
      <c r="I71" s="76"/>
      <c r="J71" s="66">
        <v>4.8</v>
      </c>
      <c r="K71" s="67"/>
      <c r="L71" s="194"/>
      <c r="M71" s="194"/>
      <c r="N71" s="71">
        <v>1</v>
      </c>
      <c r="O71" s="74"/>
      <c r="P71" s="75"/>
    </row>
    <row r="72" spans="2:16" ht="15">
      <c r="D72" s="76"/>
      <c r="E72" s="76"/>
      <c r="F72" s="341">
        <v>5.5</v>
      </c>
      <c r="H72" s="76"/>
      <c r="I72" s="76"/>
      <c r="J72" s="341">
        <v>5.5</v>
      </c>
      <c r="L72" s="194"/>
      <c r="M72" s="194"/>
      <c r="N72" s="386">
        <v>1</v>
      </c>
    </row>
    <row r="76" spans="2:16">
      <c r="F76" s="315"/>
    </row>
    <row r="77" spans="2:16" ht="15">
      <c r="F77" s="341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B37:B46"/>
    <mergeCell ref="D37:E38"/>
    <mergeCell ref="J37:K37"/>
    <mergeCell ref="L38:N38"/>
    <mergeCell ref="D39:E40"/>
    <mergeCell ref="D41:E42"/>
    <mergeCell ref="D43:E44"/>
    <mergeCell ref="D45:E46"/>
    <mergeCell ref="D47:E47"/>
    <mergeCell ref="B52:B53"/>
    <mergeCell ref="C52:C53"/>
    <mergeCell ref="D52:D53"/>
    <mergeCell ref="E52:E53"/>
    <mergeCell ref="M52:M53"/>
    <mergeCell ref="B61:F61"/>
    <mergeCell ref="G61:J61"/>
    <mergeCell ref="K61:N61"/>
    <mergeCell ref="G52:G53"/>
    <mergeCell ref="H52:H53"/>
    <mergeCell ref="I52:I53"/>
    <mergeCell ref="J52:J53"/>
    <mergeCell ref="K52:K53"/>
    <mergeCell ref="L52:L53"/>
    <mergeCell ref="F52:F53"/>
  </mergeCells>
  <conditionalFormatting sqref="B47:B48">
    <cfRule type="cellIs" dxfId="2867" priority="140" operator="notBetween">
      <formula>#REF!</formula>
      <formula>#REF!</formula>
    </cfRule>
  </conditionalFormatting>
  <conditionalFormatting sqref="C51">
    <cfRule type="cellIs" dxfId="2866" priority="171" stopIfTrue="1" operator="lessThan">
      <formula>96</formula>
    </cfRule>
    <cfRule type="cellIs" dxfId="2865" priority="172" stopIfTrue="1" operator="greaterThan">
      <formula>100</formula>
    </cfRule>
  </conditionalFormatting>
  <conditionalFormatting sqref="C63:C64">
    <cfRule type="cellIs" dxfId="2864" priority="175" stopIfTrue="1" operator="greaterThan">
      <formula>$F63</formula>
    </cfRule>
    <cfRule type="cellIs" dxfId="2863" priority="177" stopIfTrue="1" operator="greaterThan">
      <formula>$F64</formula>
    </cfRule>
  </conditionalFormatting>
  <conditionalFormatting sqref="C63:C67">
    <cfRule type="cellIs" dxfId="2862" priority="121" stopIfTrue="1" operator="lessThanOrEqual">
      <formula>0</formula>
    </cfRule>
  </conditionalFormatting>
  <conditionalFormatting sqref="C64:C71">
    <cfRule type="cellIs" dxfId="2861" priority="120" stopIfTrue="1" operator="greaterThan">
      <formula>$F64</formula>
    </cfRule>
  </conditionalFormatting>
  <conditionalFormatting sqref="C68">
    <cfRule type="cellIs" dxfId="2860" priority="45" stopIfTrue="1" operator="greaterThan">
      <formula>$F67</formula>
    </cfRule>
    <cfRule type="cellIs" dxfId="2859" priority="44" stopIfTrue="1" operator="lessThanOrEqual">
      <formula>0</formula>
    </cfRule>
  </conditionalFormatting>
  <conditionalFormatting sqref="C74:C78">
    <cfRule type="cellIs" dxfId="2858" priority="163" stopIfTrue="1" operator="lessThanOrEqual">
      <formula>0</formula>
    </cfRule>
  </conditionalFormatting>
  <conditionalFormatting sqref="C75:C78">
    <cfRule type="cellIs" dxfId="2857" priority="162" stopIfTrue="1" operator="greaterThan">
      <formula>$F$74</formula>
    </cfRule>
  </conditionalFormatting>
  <conditionalFormatting sqref="C80">
    <cfRule type="cellIs" dxfId="2856" priority="165" stopIfTrue="1" operator="lessThanOrEqual">
      <formula>0</formula>
    </cfRule>
    <cfRule type="cellIs" dxfId="2855" priority="164" stopIfTrue="1" operator="greaterThan">
      <formula>$F$74</formula>
    </cfRule>
  </conditionalFormatting>
  <conditionalFormatting sqref="C74:D74 D76:D82">
    <cfRule type="cellIs" dxfId="2854" priority="157" stopIfTrue="1" operator="greaterThan">
      <formula>4.5</formula>
    </cfRule>
  </conditionalFormatting>
  <conditionalFormatting sqref="D47:D48">
    <cfRule type="cellIs" dxfId="2853" priority="141" operator="notBetween">
      <formula>#REF!</formula>
      <formula>#REF!</formula>
    </cfRule>
  </conditionalFormatting>
  <conditionalFormatting sqref="D63:D70">
    <cfRule type="cellIs" dxfId="2852" priority="135" stopIfTrue="1" operator="lessThanOrEqual">
      <formula>0</formula>
    </cfRule>
  </conditionalFormatting>
  <conditionalFormatting sqref="D71">
    <cfRule type="cellIs" dxfId="2851" priority="134" stopIfTrue="1" operator="lessThanOrEqual">
      <formula>0</formula>
    </cfRule>
  </conditionalFormatting>
  <conditionalFormatting sqref="D74 D76:D82">
    <cfRule type="cellIs" dxfId="2850" priority="158" stopIfTrue="1" operator="lessThanOrEqual">
      <formula>0</formula>
    </cfRule>
  </conditionalFormatting>
  <conditionalFormatting sqref="D75">
    <cfRule type="cellIs" dxfId="2849" priority="150" stopIfTrue="1" operator="lessThanOrEqual">
      <formula>0</formula>
    </cfRule>
    <cfRule type="cellIs" dxfId="2848" priority="149" stopIfTrue="1" operator="greaterThan">
      <formula>$F$74</formula>
    </cfRule>
  </conditionalFormatting>
  <conditionalFormatting sqref="D63:E72">
    <cfRule type="cellIs" dxfId="2847" priority="118" stopIfTrue="1" operator="greaterThan">
      <formula>$F63</formula>
    </cfRule>
  </conditionalFormatting>
  <conditionalFormatting sqref="D72:E72">
    <cfRule type="cellIs" dxfId="2846" priority="119" stopIfTrue="1" operator="lessThanOrEqual">
      <formula>0</formula>
    </cfRule>
  </conditionalFormatting>
  <conditionalFormatting sqref="E10:E22">
    <cfRule type="cellIs" dxfId="2845" priority="13" operator="lessThan">
      <formula>48</formula>
    </cfRule>
  </conditionalFormatting>
  <conditionalFormatting sqref="E50 E51:F51">
    <cfRule type="cellIs" dxfId="2844" priority="154" stopIfTrue="1" operator="greaterThan">
      <formula>100</formula>
    </cfRule>
  </conditionalFormatting>
  <conditionalFormatting sqref="E51">
    <cfRule type="cellIs" dxfId="2843" priority="151" stopIfTrue="1" operator="lessThan">
      <formula>96.8</formula>
    </cfRule>
    <cfRule type="cellIs" dxfId="2842" priority="152" stopIfTrue="1" operator="greaterThan">
      <formula>100</formula>
    </cfRule>
  </conditionalFormatting>
  <conditionalFormatting sqref="E63:E71">
    <cfRule type="cellIs" dxfId="2841" priority="129" stopIfTrue="1" operator="lessThanOrEqual">
      <formula>0</formula>
    </cfRule>
  </conditionalFormatting>
  <conditionalFormatting sqref="E74:E82">
    <cfRule type="cellIs" dxfId="2840" priority="144" stopIfTrue="1" operator="lessThanOrEqual">
      <formula>0</formula>
    </cfRule>
    <cfRule type="cellIs" dxfId="2839" priority="143" stopIfTrue="1" operator="greaterThan">
      <formula>4.5</formula>
    </cfRule>
  </conditionalFormatting>
  <conditionalFormatting sqref="E51:F51 E50">
    <cfRule type="cellIs" dxfId="2838" priority="153" stopIfTrue="1" operator="lessThan">
      <formula>96.5</formula>
    </cfRule>
  </conditionalFormatting>
  <conditionalFormatting sqref="F10:F18 F20:F21">
    <cfRule type="cellIs" dxfId="2837" priority="28" operator="greaterThan">
      <formula>60</formula>
    </cfRule>
  </conditionalFormatting>
  <conditionalFormatting sqref="F51">
    <cfRule type="cellIs" dxfId="2836" priority="170" stopIfTrue="1" operator="greaterThan">
      <formula>100</formula>
    </cfRule>
    <cfRule type="cellIs" dxfId="2835" priority="169" stopIfTrue="1" operator="lessThan">
      <formula>96.8</formula>
    </cfRule>
  </conditionalFormatting>
  <conditionalFormatting sqref="F72">
    <cfRule type="cellIs" dxfId="2834" priority="130" stopIfTrue="1" operator="greaterThan">
      <formula>$F72</formula>
    </cfRule>
    <cfRule type="cellIs" dxfId="2833" priority="131" stopIfTrue="1" operator="lessThanOrEqual">
      <formula>0</formula>
    </cfRule>
  </conditionalFormatting>
  <conditionalFormatting sqref="F77">
    <cfRule type="cellIs" dxfId="2832" priority="88" stopIfTrue="1" operator="greaterThan">
      <formula>$F77</formula>
    </cfRule>
    <cfRule type="cellIs" dxfId="2831" priority="89" stopIfTrue="1" operator="lessThanOrEqual">
      <formula>0</formula>
    </cfRule>
  </conditionalFormatting>
  <conditionalFormatting sqref="G18:G19">
    <cfRule type="expression" dxfId="2830" priority="25">
      <formula>IF(+(IF(G18&lt;S18,0,IF(G18&gt;T18,0,1)))=0,1)</formula>
    </cfRule>
  </conditionalFormatting>
  <conditionalFormatting sqref="G22">
    <cfRule type="expression" dxfId="2829" priority="22">
      <formula>IF(+(IF(G22&lt;S22,0,IF(G22&gt;T22,0,1)))=0,1)</formula>
    </cfRule>
  </conditionalFormatting>
  <conditionalFormatting sqref="G63:G64 C69:C71">
    <cfRule type="cellIs" dxfId="2828" priority="137" stopIfTrue="1" operator="lessThanOrEqual">
      <formula>0</formula>
    </cfRule>
  </conditionalFormatting>
  <conditionalFormatting sqref="G63:G64">
    <cfRule type="cellIs" dxfId="2827" priority="122" stopIfTrue="1" operator="greaterThan">
      <formula>$F63</formula>
    </cfRule>
    <cfRule type="cellIs" dxfId="2826" priority="136" stopIfTrue="1" operator="greaterThan">
      <formula>$F63</formula>
    </cfRule>
    <cfRule type="cellIs" dxfId="2825" priority="123" stopIfTrue="1" operator="lessThanOrEqual">
      <formula>0</formula>
    </cfRule>
  </conditionalFormatting>
  <conditionalFormatting sqref="G65">
    <cfRule type="cellIs" dxfId="2824" priority="173" stopIfTrue="1" operator="greaterThan">
      <formula>$F64</formula>
    </cfRule>
    <cfRule type="cellIs" dxfId="2823" priority="174" stopIfTrue="1" operator="lessThanOrEqual">
      <formula>0</formula>
    </cfRule>
  </conditionalFormatting>
  <conditionalFormatting sqref="G66">
    <cfRule type="cellIs" dxfId="2822" priority="133" stopIfTrue="1" operator="lessThanOrEqual">
      <formula>0</formula>
    </cfRule>
    <cfRule type="cellIs" dxfId="2821" priority="132" stopIfTrue="1" operator="greaterThan">
      <formula>$F66</formula>
    </cfRule>
  </conditionalFormatting>
  <conditionalFormatting sqref="G67:G71">
    <cfRule type="cellIs" dxfId="2820" priority="139" stopIfTrue="1" operator="lessThanOrEqual">
      <formula>0</formula>
    </cfRule>
    <cfRule type="cellIs" dxfId="2819" priority="138" stopIfTrue="1" operator="greaterThan">
      <formula>$J67</formula>
    </cfRule>
  </conditionalFormatting>
  <conditionalFormatting sqref="G76:G81 C79 C81">
    <cfRule type="cellIs" dxfId="2818" priority="167" stopIfTrue="1" operator="lessThanOrEqual">
      <formula>0</formula>
    </cfRule>
    <cfRule type="cellIs" dxfId="2817" priority="166" stopIfTrue="1" operator="greaterThan">
      <formula>4.5</formula>
    </cfRule>
  </conditionalFormatting>
  <conditionalFormatting sqref="G10:H17 H18:H19 G20:H21">
    <cfRule type="expression" dxfId="2816" priority="43">
      <formula>IF(+(IF(G10&lt;#REF!,0,IF(G10&gt;#REF!,0,1)))=0,1)</formula>
    </cfRule>
  </conditionalFormatting>
  <conditionalFormatting sqref="G75:H75">
    <cfRule type="cellIs" dxfId="2815" priority="147" stopIfTrue="1" operator="greaterThan">
      <formula>$F$74</formula>
    </cfRule>
    <cfRule type="cellIs" dxfId="2814" priority="148" stopIfTrue="1" operator="lessThanOrEqual">
      <formula>0</formula>
    </cfRule>
  </conditionalFormatting>
  <conditionalFormatting sqref="H22">
    <cfRule type="expression" dxfId="2813" priority="23">
      <formula>IF(+(IF(H22&lt;#REF!,0,IF(H22&gt;#REF!,0,1)))=0,1)</formula>
    </cfRule>
  </conditionalFormatting>
  <conditionalFormatting sqref="H36:H50">
    <cfRule type="cellIs" dxfId="2812" priority="145" stopIfTrue="1" operator="greaterThan">
      <formula>0</formula>
    </cfRule>
  </conditionalFormatting>
  <conditionalFormatting sqref="H54">
    <cfRule type="cellIs" dxfId="2811" priority="47" stopIfTrue="1" operator="lessThanOrEqual">
      <formula>0</formula>
    </cfRule>
    <cfRule type="cellIs" dxfId="2810" priority="58" stopIfTrue="1" operator="greaterThan">
      <formula>#REF!</formula>
    </cfRule>
    <cfRule type="cellIs" dxfId="2809" priority="59" stopIfTrue="1" operator="lessThanOrEqual">
      <formula>0</formula>
    </cfRule>
    <cfRule type="cellIs" dxfId="2808" priority="48" stopIfTrue="1" operator="greaterThan">
      <formula>#REF!</formula>
    </cfRule>
  </conditionalFormatting>
  <conditionalFormatting sqref="H55">
    <cfRule type="cellIs" dxfId="2807" priority="87" stopIfTrue="1" operator="lessThanOrEqual">
      <formula>0</formula>
    </cfRule>
    <cfRule type="cellIs" dxfId="2806" priority="84" stopIfTrue="1" operator="greaterThan">
      <formula>$F$23</formula>
    </cfRule>
    <cfRule type="cellIs" dxfId="2805" priority="75" stopIfTrue="1" operator="lessThanOrEqual">
      <formula>0</formula>
    </cfRule>
    <cfRule type="cellIs" dxfId="2804" priority="76" stopIfTrue="1" operator="greaterThan">
      <formula>#REF!</formula>
    </cfRule>
    <cfRule type="cellIs" dxfId="2803" priority="86" stopIfTrue="1" operator="greaterThan">
      <formula>#REF!</formula>
    </cfRule>
    <cfRule type="cellIs" dxfId="2802" priority="85" stopIfTrue="1" operator="lessThanOrEqual">
      <formula>0</formula>
    </cfRule>
  </conditionalFormatting>
  <conditionalFormatting sqref="H56">
    <cfRule type="cellIs" dxfId="2801" priority="42" stopIfTrue="1" operator="lessThanOrEqual">
      <formula>0</formula>
    </cfRule>
    <cfRule type="cellIs" dxfId="2800" priority="30" stopIfTrue="1" operator="lessThanOrEqual">
      <formula>0</formula>
    </cfRule>
    <cfRule type="cellIs" dxfId="2799" priority="31" stopIfTrue="1" operator="greaterThan">
      <formula>$F$41</formula>
    </cfRule>
    <cfRule type="cellIs" dxfId="2798" priority="41" stopIfTrue="1" operator="greaterThan">
      <formula>$F$42</formula>
    </cfRule>
    <cfRule type="cellIs" dxfId="2797" priority="40" stopIfTrue="1" operator="lessThanOrEqual">
      <formula>0</formula>
    </cfRule>
    <cfRule type="cellIs" dxfId="2796" priority="39" stopIfTrue="1" operator="greaterThan">
      <formula>$F$44</formula>
    </cfRule>
  </conditionalFormatting>
  <conditionalFormatting sqref="H57:H58">
    <cfRule type="cellIs" dxfId="2795" priority="62" stopIfTrue="1" operator="greaterThan">
      <formula>#REF!</formula>
    </cfRule>
    <cfRule type="cellIs" dxfId="2794" priority="70" stopIfTrue="1" operator="greaterThan">
      <formula>$F$22</formula>
    </cfRule>
    <cfRule type="cellIs" dxfId="2793" priority="71" stopIfTrue="1" operator="lessThanOrEqual">
      <formula>0</formula>
    </cfRule>
    <cfRule type="cellIs" dxfId="2792" priority="72" stopIfTrue="1" operator="greaterThan">
      <formula>#REF!</formula>
    </cfRule>
    <cfRule type="cellIs" dxfId="2791" priority="73" stopIfTrue="1" operator="lessThanOrEqual">
      <formula>0</formula>
    </cfRule>
    <cfRule type="cellIs" dxfId="2790" priority="61" stopIfTrue="1" operator="lessThanOrEqual">
      <formula>0</formula>
    </cfRule>
  </conditionalFormatting>
  <conditionalFormatting sqref="H59">
    <cfRule type="cellIs" dxfId="2789" priority="92" stopIfTrue="1" operator="lessThanOrEqual">
      <formula>0</formula>
    </cfRule>
    <cfRule type="cellIs" dxfId="2788" priority="93" stopIfTrue="1" operator="greaterThan">
      <formula>$F$35</formula>
    </cfRule>
    <cfRule type="cellIs" dxfId="2787" priority="101" stopIfTrue="1" operator="greaterThan">
      <formula>$F$38</formula>
    </cfRule>
    <cfRule type="cellIs" dxfId="2786" priority="102" stopIfTrue="1" operator="lessThanOrEqual">
      <formula>0</formula>
    </cfRule>
    <cfRule type="cellIs" dxfId="2785" priority="103" stopIfTrue="1" operator="greaterThan">
      <formula>$F$36</formula>
    </cfRule>
    <cfRule type="cellIs" dxfId="2784" priority="104" stopIfTrue="1" operator="lessThanOrEqual">
      <formula>0</formula>
    </cfRule>
  </conditionalFormatting>
  <conditionalFormatting sqref="H63:H70">
    <cfRule type="cellIs" dxfId="2783" priority="125" stopIfTrue="1" operator="lessThanOrEqual">
      <formula>0</formula>
    </cfRule>
    <cfRule type="cellIs" dxfId="2782" priority="124" stopIfTrue="1" operator="greaterThan">
      <formula>$J63</formula>
    </cfRule>
  </conditionalFormatting>
  <conditionalFormatting sqref="H71">
    <cfRule type="cellIs" dxfId="2781" priority="126" operator="greaterThan">
      <formula>5.3</formula>
    </cfRule>
  </conditionalFormatting>
  <conditionalFormatting sqref="H74 H76:H82">
    <cfRule type="cellIs" dxfId="2780" priority="159" stopIfTrue="1" operator="greaterThan">
      <formula>4.5</formula>
    </cfRule>
    <cfRule type="cellIs" dxfId="2779" priority="160" stopIfTrue="1" operator="lessThanOrEqual">
      <formula>0</formula>
    </cfRule>
  </conditionalFormatting>
  <conditionalFormatting sqref="H54:I54">
    <cfRule type="cellIs" dxfId="2778" priority="54" stopIfTrue="1" operator="greaterThan">
      <formula>#REF!</formula>
    </cfRule>
    <cfRule type="cellIs" dxfId="2777" priority="49" stopIfTrue="1" operator="lessThanOrEqual">
      <formula>0</formula>
    </cfRule>
    <cfRule type="cellIs" dxfId="2776" priority="46" stopIfTrue="1" operator="greaterThan">
      <formula>#REF!</formula>
    </cfRule>
    <cfRule type="cellIs" dxfId="2775" priority="55" stopIfTrue="1" operator="lessThanOrEqual">
      <formula>0</formula>
    </cfRule>
  </conditionalFormatting>
  <conditionalFormatting sqref="H55:I55">
    <cfRule type="cellIs" dxfId="2774" priority="77" stopIfTrue="1" operator="lessThanOrEqual">
      <formula>0</formula>
    </cfRule>
    <cfRule type="cellIs" dxfId="2773" priority="74" stopIfTrue="1" operator="greaterThan">
      <formula>$F$22</formula>
    </cfRule>
  </conditionalFormatting>
  <conditionalFormatting sqref="H56:I56">
    <cfRule type="cellIs" dxfId="2772" priority="32" stopIfTrue="1" operator="lessThanOrEqual">
      <formula>0</formula>
    </cfRule>
    <cfRule type="cellIs" dxfId="2771" priority="29" stopIfTrue="1" operator="greaterThan">
      <formula>$F$43</formula>
    </cfRule>
  </conditionalFormatting>
  <conditionalFormatting sqref="H57:I58">
    <cfRule type="cellIs" dxfId="2770" priority="63" stopIfTrue="1" operator="lessThanOrEqual">
      <formula>0</formula>
    </cfRule>
    <cfRule type="cellIs" dxfId="2769" priority="60" stopIfTrue="1" operator="greaterThan">
      <formula>#REF!</formula>
    </cfRule>
  </conditionalFormatting>
  <conditionalFormatting sqref="H59:I59">
    <cfRule type="cellIs" dxfId="2768" priority="94" stopIfTrue="1" operator="lessThanOrEqual">
      <formula>0</formula>
    </cfRule>
    <cfRule type="cellIs" dxfId="2767" priority="91" stopIfTrue="1" operator="greaterThan">
      <formula>$F$37</formula>
    </cfRule>
  </conditionalFormatting>
  <conditionalFormatting sqref="H72:I72">
    <cfRule type="cellIs" dxfId="2766" priority="117" stopIfTrue="1" operator="lessThanOrEqual">
      <formula>0</formula>
    </cfRule>
    <cfRule type="cellIs" dxfId="2765" priority="116" stopIfTrue="1" operator="greaterThan">
      <formula>$J72</formula>
    </cfRule>
  </conditionalFormatting>
  <conditionalFormatting sqref="I54">
    <cfRule type="cellIs" dxfId="2764" priority="52" stopIfTrue="1" operator="greaterThan">
      <formula>#REF!</formula>
    </cfRule>
    <cfRule type="cellIs" dxfId="2763" priority="53" stopIfTrue="1" operator="lessThanOrEqual">
      <formula>0</formula>
    </cfRule>
    <cfRule type="cellIs" dxfId="2762" priority="51" stopIfTrue="1" operator="lessThanOrEqual">
      <formula>0</formula>
    </cfRule>
    <cfRule type="cellIs" dxfId="2761" priority="50" stopIfTrue="1" operator="greaterThan">
      <formula>#REF!</formula>
    </cfRule>
  </conditionalFormatting>
  <conditionalFormatting sqref="I55">
    <cfRule type="cellIs" dxfId="2760" priority="81" stopIfTrue="1" operator="lessThanOrEqual">
      <formula>0</formula>
    </cfRule>
    <cfRule type="cellIs" dxfId="2759" priority="80" stopIfTrue="1" operator="greaterThan">
      <formula>$F$22</formula>
    </cfRule>
    <cfRule type="cellIs" dxfId="2758" priority="79" stopIfTrue="1" operator="lessThanOrEqual">
      <formula>0</formula>
    </cfRule>
    <cfRule type="cellIs" dxfId="2757" priority="78" stopIfTrue="1" operator="greaterThan">
      <formula>#REF!</formula>
    </cfRule>
    <cfRule type="cellIs" dxfId="2756" priority="82" stopIfTrue="1" operator="greaterThan">
      <formula>#REF!</formula>
    </cfRule>
    <cfRule type="cellIs" dxfId="2755" priority="83" stopIfTrue="1" operator="lessThanOrEqual">
      <formula>0</formula>
    </cfRule>
  </conditionalFormatting>
  <conditionalFormatting sqref="I56">
    <cfRule type="cellIs" dxfId="2754" priority="33" stopIfTrue="1" operator="greaterThan">
      <formula>$F$41</formula>
    </cfRule>
    <cfRule type="cellIs" dxfId="2753" priority="38" stopIfTrue="1" operator="lessThanOrEqual">
      <formula>0</formula>
    </cfRule>
    <cfRule type="cellIs" dxfId="2752" priority="37" stopIfTrue="1" operator="greaterThan">
      <formula>$F$41</formula>
    </cfRule>
    <cfRule type="cellIs" dxfId="2751" priority="36" stopIfTrue="1" operator="lessThanOrEqual">
      <formula>0</formula>
    </cfRule>
    <cfRule type="cellIs" dxfId="2750" priority="35" stopIfTrue="1" operator="greaterThan">
      <formula>$F$43</formula>
    </cfRule>
    <cfRule type="cellIs" dxfId="2749" priority="34" stopIfTrue="1" operator="lessThanOrEqual">
      <formula>0</formula>
    </cfRule>
  </conditionalFormatting>
  <conditionalFormatting sqref="I57:I58">
    <cfRule type="cellIs" dxfId="2748" priority="67" stopIfTrue="1" operator="lessThanOrEqual">
      <formula>0</formula>
    </cfRule>
    <cfRule type="cellIs" dxfId="2747" priority="69" stopIfTrue="1" operator="lessThanOrEqual">
      <formula>0</formula>
    </cfRule>
    <cfRule type="cellIs" dxfId="2746" priority="68" stopIfTrue="1" operator="greaterThan">
      <formula>#REF!</formula>
    </cfRule>
    <cfRule type="cellIs" dxfId="2745" priority="66" stopIfTrue="1" operator="greaterThan">
      <formula>#REF!</formula>
    </cfRule>
    <cfRule type="cellIs" dxfId="2744" priority="65" stopIfTrue="1" operator="lessThanOrEqual">
      <formula>0</formula>
    </cfRule>
    <cfRule type="cellIs" dxfId="2743" priority="64" stopIfTrue="1" operator="greaterThan">
      <formula>#REF!</formula>
    </cfRule>
  </conditionalFormatting>
  <conditionalFormatting sqref="I59">
    <cfRule type="cellIs" dxfId="2742" priority="97" stopIfTrue="1" operator="greaterThan">
      <formula>$F$37</formula>
    </cfRule>
    <cfRule type="cellIs" dxfId="2741" priority="100" stopIfTrue="1" operator="lessThanOrEqual">
      <formula>0</formula>
    </cfRule>
    <cfRule type="cellIs" dxfId="2740" priority="95" stopIfTrue="1" operator="greaterThan">
      <formula>$F$35</formula>
    </cfRule>
    <cfRule type="cellIs" dxfId="2739" priority="96" stopIfTrue="1" operator="lessThanOrEqual">
      <formula>0</formula>
    </cfRule>
    <cfRule type="cellIs" dxfId="2738" priority="99" stopIfTrue="1" operator="greaterThan">
      <formula>$F$35</formula>
    </cfRule>
    <cfRule type="cellIs" dxfId="2737" priority="98" stopIfTrue="1" operator="lessThanOrEqual">
      <formula>0</formula>
    </cfRule>
  </conditionalFormatting>
  <conditionalFormatting sqref="I63:I71">
    <cfRule type="cellIs" dxfId="2736" priority="127" stopIfTrue="1" operator="greaterThan">
      <formula>$J63</formula>
    </cfRule>
    <cfRule type="cellIs" dxfId="2735" priority="128" stopIfTrue="1" operator="lessThanOrEqual">
      <formula>0</formula>
    </cfRule>
  </conditionalFormatting>
  <conditionalFormatting sqref="I74:I82">
    <cfRule type="cellIs" dxfId="2734" priority="155" stopIfTrue="1" operator="greaterThan">
      <formula>4.5</formula>
    </cfRule>
    <cfRule type="cellIs" dxfId="2733" priority="156" stopIfTrue="1" operator="lessThanOrEqual">
      <formula>0</formula>
    </cfRule>
  </conditionalFormatting>
  <conditionalFormatting sqref="I10:J22">
    <cfRule type="cellIs" dxfId="2732" priority="14" operator="lessThan">
      <formula>97.9</formula>
    </cfRule>
  </conditionalFormatting>
  <conditionalFormatting sqref="J25:J27">
    <cfRule type="cellIs" dxfId="2731" priority="108" operator="lessThan">
      <formula>98</formula>
    </cfRule>
    <cfRule type="cellIs" dxfId="2730" priority="107" stopIfTrue="1" operator="greaterThan">
      <formula>100</formula>
    </cfRule>
    <cfRule type="cellIs" dxfId="2729" priority="106" stopIfTrue="1" operator="lessThan">
      <formula>96.8</formula>
    </cfRule>
  </conditionalFormatting>
  <conditionalFormatting sqref="J25:J29">
    <cfRule type="cellIs" dxfId="2728" priority="105" operator="lessThan">
      <formula>97.4</formula>
    </cfRule>
  </conditionalFormatting>
  <conditionalFormatting sqref="J30">
    <cfRule type="cellIs" dxfId="2727" priority="109" operator="lessThan">
      <formula>98</formula>
    </cfRule>
  </conditionalFormatting>
  <conditionalFormatting sqref="J32:J33">
    <cfRule type="cellIs" dxfId="2726" priority="110" stopIfTrue="1" operator="lessThan">
      <formula>96.8</formula>
    </cfRule>
    <cfRule type="cellIs" dxfId="2725" priority="111" stopIfTrue="1" operator="greaterThan">
      <formula>100</formula>
    </cfRule>
  </conditionalFormatting>
  <conditionalFormatting sqref="J32:J34">
    <cfRule type="cellIs" dxfId="2724" priority="112" operator="lessThan">
      <formula>98</formula>
    </cfRule>
  </conditionalFormatting>
  <conditionalFormatting sqref="J72">
    <cfRule type="cellIs" dxfId="2723" priority="113" stopIfTrue="1" operator="greaterThan">
      <formula>$F72</formula>
    </cfRule>
    <cfRule type="cellIs" dxfId="2722" priority="114" stopIfTrue="1" operator="lessThanOrEqual">
      <formula>0</formula>
    </cfRule>
  </conditionalFormatting>
  <conditionalFormatting sqref="K10:K22">
    <cfRule type="cellIs" dxfId="2721" priority="18" operator="lessThan">
      <formula>4</formula>
    </cfRule>
    <cfRule type="cellIs" dxfId="2720" priority="17" operator="greaterThan">
      <formula>6</formula>
    </cfRule>
    <cfRule type="cellIs" dxfId="2719" priority="19" operator="greaterThan">
      <formula>6.4</formula>
    </cfRule>
  </conditionalFormatting>
  <conditionalFormatting sqref="K54:K59 K63:N69 K70 M70:N70 K71:N71">
    <cfRule type="cellIs" dxfId="2718" priority="90" stopIfTrue="1" operator="lessThan">
      <formula>100%</formula>
    </cfRule>
  </conditionalFormatting>
  <conditionalFormatting sqref="K74:K79">
    <cfRule type="cellIs" dxfId="2717" priority="161" stopIfTrue="1" operator="lessThan">
      <formula>100%</formula>
    </cfRule>
  </conditionalFormatting>
  <conditionalFormatting sqref="K81:K82">
    <cfRule type="cellIs" dxfId="2716" priority="168" stopIfTrue="1" operator="lessThan">
      <formula>100%</formula>
    </cfRule>
  </conditionalFormatting>
  <conditionalFormatting sqref="L10:M17 L18:L22">
    <cfRule type="cellIs" dxfId="2715" priority="15" operator="between">
      <formula>61</formula>
      <formula>65</formula>
    </cfRule>
    <cfRule type="cellIs" dxfId="2714" priority="16" operator="greaterThan">
      <formula>65</formula>
    </cfRule>
  </conditionalFormatting>
  <conditionalFormatting sqref="L25:M36">
    <cfRule type="cellIs" dxfId="2713" priority="24" operator="lessThan">
      <formula>98</formula>
    </cfRule>
  </conditionalFormatting>
  <conditionalFormatting sqref="L40:N40">
    <cfRule type="cellIs" dxfId="2712" priority="12" operator="notEqual">
      <formula>#REF!</formula>
    </cfRule>
  </conditionalFormatting>
  <conditionalFormatting sqref="L72:N72">
    <cfRule type="cellIs" dxfId="2711" priority="115" stopIfTrue="1" operator="lessThan">
      <formula>100%</formula>
    </cfRule>
  </conditionalFormatting>
  <conditionalFormatting sqref="L74:N82">
    <cfRule type="cellIs" dxfId="2710" priority="146" stopIfTrue="1" operator="lessThan">
      <formula>100%</formula>
    </cfRule>
  </conditionalFormatting>
  <conditionalFormatting sqref="M10:M19">
    <cfRule type="expression" dxfId="2709" priority="27">
      <formula>IF(+(IF(M10&lt;U10,0,IF(M10&gt;V10,0,1)))=0,1)</formula>
    </cfRule>
  </conditionalFormatting>
  <conditionalFormatting sqref="M22">
    <cfRule type="expression" dxfId="2708" priority="21">
      <formula>IF(+(IF(M22&lt;U22,0,IF(M22&gt;V22,0,1)))=0,1)</formula>
    </cfRule>
  </conditionalFormatting>
  <conditionalFormatting sqref="M20:N21">
    <cfRule type="expression" dxfId="2707" priority="176">
      <formula>IF(+(IF(M20&lt;#REF!,0,IF(M20&gt;#REF!,0,1)))=0,1)</formula>
    </cfRule>
  </conditionalFormatting>
  <conditionalFormatting sqref="N10:N19">
    <cfRule type="expression" dxfId="2706" priority="26">
      <formula>IF(+(IF(N10&lt;W10,0,IF(N10&gt;X10,0,1)))=0,1)</formula>
    </cfRule>
  </conditionalFormatting>
  <conditionalFormatting sqref="N22">
    <cfRule type="expression" dxfId="2705" priority="20">
      <formula>IF(+(IF(N22&lt;W22,0,IF(N22&gt;X22,0,1)))=0,1)</formula>
    </cfRule>
  </conditionalFormatting>
  <conditionalFormatting sqref="P6">
    <cfRule type="cellIs" dxfId="2704" priority="142" operator="greaterThanOrEqual">
      <formula>19</formula>
    </cfRule>
  </conditionalFormatting>
  <dataValidations count="1">
    <dataValidation type="list" allowBlank="1" showInputMessage="1" showErrorMessage="1" sqref="R8" xr:uid="{E0C03663-0B38-4141-B5B1-160FE2505A12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6" max="16383" man="1"/>
  </rowBreaks>
  <colBreaks count="1" manualBreakCount="1">
    <brk id="15" max="89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1EBEA-5328-4D81-8D62-3B66BFD56436}">
  <sheetPr>
    <pageSetUpPr fitToPage="1"/>
  </sheetPr>
  <dimension ref="A1:BE79"/>
  <sheetViews>
    <sheetView topLeftCell="A14" zoomScale="80" zoomScaleNormal="80" workbookViewId="0">
      <selection activeCell="K30" sqref="K30:M30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67.425781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25" t="s">
        <v>0</v>
      </c>
      <c r="T1" s="525"/>
      <c r="U1" s="525" t="s">
        <v>1</v>
      </c>
      <c r="V1" s="525"/>
      <c r="W1" s="525" t="s">
        <v>2</v>
      </c>
      <c r="X1" s="525"/>
      <c r="Y1" s="525" t="s">
        <v>124</v>
      </c>
      <c r="Z1" s="525"/>
    </row>
    <row r="2" spans="2:29" ht="15">
      <c r="B2" s="526" t="s">
        <v>3</v>
      </c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45909</v>
      </c>
      <c r="J4" s="398" t="s">
        <v>168</v>
      </c>
      <c r="K4" s="398"/>
      <c r="L4" s="11"/>
      <c r="M4" s="547" t="s">
        <v>8</v>
      </c>
      <c r="N4" s="548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44"/>
      <c r="D5" s="544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167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84" t="s">
        <v>17</v>
      </c>
      <c r="C8" s="494" t="s">
        <v>18</v>
      </c>
      <c r="D8" s="494" t="s">
        <v>19</v>
      </c>
      <c r="E8" s="356" t="s">
        <v>20</v>
      </c>
      <c r="F8" s="356" t="s">
        <v>21</v>
      </c>
      <c r="G8" s="494" t="s">
        <v>22</v>
      </c>
      <c r="H8" s="535" t="s">
        <v>144</v>
      </c>
      <c r="I8" s="494" t="s">
        <v>166</v>
      </c>
      <c r="J8" s="537" t="s">
        <v>23</v>
      </c>
      <c r="K8" s="539" t="s">
        <v>142</v>
      </c>
      <c r="L8" s="541" t="s">
        <v>24</v>
      </c>
      <c r="M8" s="359" t="s">
        <v>25</v>
      </c>
      <c r="N8" s="17" t="s">
        <v>26</v>
      </c>
      <c r="O8" s="494" t="s">
        <v>155</v>
      </c>
      <c r="P8" s="56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33"/>
      <c r="C9" s="534"/>
      <c r="D9" s="534"/>
      <c r="E9" s="357" t="s">
        <v>30</v>
      </c>
      <c r="F9" s="357" t="s">
        <v>31</v>
      </c>
      <c r="G9" s="534"/>
      <c r="H9" s="536"/>
      <c r="I9" s="534"/>
      <c r="J9" s="538"/>
      <c r="K9" s="540"/>
      <c r="L9" s="542"/>
      <c r="M9" s="20" t="s">
        <v>32</v>
      </c>
      <c r="N9" s="21" t="s">
        <v>41</v>
      </c>
      <c r="O9" s="534"/>
      <c r="P9" s="561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22" t="s">
        <v>33</v>
      </c>
      <c r="C10" s="366" t="str">
        <f>[26]Brewhouse!A79</f>
        <v>VM067</v>
      </c>
      <c r="D10" s="279">
        <f>[26]Brewhouse!AE79</f>
        <v>50</v>
      </c>
      <c r="E10" s="279">
        <f>[26]Brewhouse!AJ79</f>
        <v>45.1</v>
      </c>
      <c r="F10" s="278">
        <f>[26]Brewhouse!X79</f>
        <v>80</v>
      </c>
      <c r="G10" s="279">
        <f>[26]Brewhouse!AH79</f>
        <v>14.6</v>
      </c>
      <c r="H10" s="396"/>
      <c r="I10" s="368">
        <f>[26]Brewhouse!AV79</f>
        <v>93.416866927628533</v>
      </c>
      <c r="J10" s="368">
        <f>[26]Brewhouse!AW79</f>
        <v>93.86494106061258</v>
      </c>
      <c r="K10" s="281">
        <f>[26]Brewhouse!S79</f>
        <v>12.120000000000005</v>
      </c>
      <c r="L10" s="276">
        <f>[26]Brewhouse!R79</f>
        <v>59</v>
      </c>
      <c r="M10" s="374">
        <f>[26]Brewhouse!$W79-[26]Brewhouse!$V79</f>
        <v>0.17013888888888887</v>
      </c>
      <c r="N10" s="370">
        <f>[26]Brewhouse!AB79</f>
        <v>0.2986111111111111</v>
      </c>
      <c r="O10" s="371" t="str">
        <f>[26]Brewhouse!$AZ79</f>
        <v>R.Sookram</v>
      </c>
      <c r="P10" s="418"/>
      <c r="R10" s="277" t="str">
        <f t="shared" ref="R10:R24" si="0">B10</f>
        <v>VITAMALT</v>
      </c>
      <c r="S10" s="296">
        <f t="shared" ref="S10:S24" si="1">VLOOKUP($B10,$R$3:$X$9,2,FALSE)</f>
        <v>14.2</v>
      </c>
      <c r="T10" s="296">
        <f t="shared" ref="T10:T24" si="2">VLOOKUP($B10,$R$3:$X$9,3,FALSE)</f>
        <v>14.6</v>
      </c>
      <c r="U10" s="297">
        <f t="shared" ref="U10:U24" si="3">VLOOKUP($B10,$R$3:$X$9,4,FALSE)</f>
        <v>0</v>
      </c>
      <c r="V10" s="297">
        <f t="shared" ref="V10:V24" si="4">VLOOKUP($B10,$R$3:$X$9,5,FALSE)</f>
        <v>0.13905092592592591</v>
      </c>
      <c r="W10" s="297">
        <f t="shared" ref="W10:W24" si="5">VLOOKUP($B10,$R$3:$X$9,6,FALSE)</f>
        <v>0.26041666666666669</v>
      </c>
      <c r="X10" s="297">
        <f t="shared" ref="X10:X24" si="6">VLOOKUP($B10,$R$3:$X$9,7,FALSE)</f>
        <v>0.2951388888888889</v>
      </c>
      <c r="Y10" s="297">
        <f t="shared" ref="Y10:Y24" si="7">VLOOKUP($B10,$R$3:$Z$9,8,FALSE)</f>
        <v>0</v>
      </c>
      <c r="Z10" s="296">
        <f t="shared" ref="Z10:Z24" si="8">VLOOKUP($B10,$R$3:$Z$9,9,FALSE)</f>
        <v>75</v>
      </c>
    </row>
    <row r="11" spans="2:29" ht="15.75" customHeight="1">
      <c r="B11" s="22" t="s">
        <v>33</v>
      </c>
      <c r="C11" s="366" t="str">
        <f>[26]Brewhouse!A80</f>
        <v>VM068</v>
      </c>
      <c r="D11" s="279">
        <f>[26]Brewhouse!AE80</f>
        <v>50</v>
      </c>
      <c r="E11" s="279">
        <f>[26]Brewhouse!AJ80</f>
        <v>47.6</v>
      </c>
      <c r="F11" s="278">
        <f>[26]Brewhouse!X80</f>
        <v>85</v>
      </c>
      <c r="G11" s="279">
        <f>[26]Brewhouse!AH80</f>
        <v>14.5</v>
      </c>
      <c r="H11" s="396"/>
      <c r="I11" s="368">
        <f>[26]Brewhouse!AV80</f>
        <v>97.892758653806098</v>
      </c>
      <c r="J11" s="368">
        <f>[26]Brewhouse!AW80</f>
        <v>98.362301407720153</v>
      </c>
      <c r="K11" s="281">
        <f>[26]Brewhouse!S80</f>
        <v>10.319999999999993</v>
      </c>
      <c r="L11" s="276">
        <f>[26]Brewhouse!R80</f>
        <v>58</v>
      </c>
      <c r="M11" s="374">
        <f>[26]Brewhouse!$W80-[26]Brewhouse!$V80</f>
        <v>0.14444444444444449</v>
      </c>
      <c r="N11" s="370">
        <f>[26]Brewhouse!AB80</f>
        <v>0.27847222222222223</v>
      </c>
      <c r="O11" s="371" t="str">
        <f>[26]Brewhouse!$AZ80</f>
        <v>K. Benjamin</v>
      </c>
      <c r="P11" s="418"/>
      <c r="R11" s="277" t="str">
        <f t="shared" si="0"/>
        <v>VITAMALT</v>
      </c>
      <c r="S11" s="296">
        <f t="shared" si="1"/>
        <v>14.2</v>
      </c>
      <c r="T11" s="296">
        <f t="shared" si="2"/>
        <v>14.6</v>
      </c>
      <c r="U11" s="297">
        <f t="shared" si="3"/>
        <v>0</v>
      </c>
      <c r="V11" s="297">
        <f t="shared" si="4"/>
        <v>0.13905092592592591</v>
      </c>
      <c r="W11" s="297">
        <f t="shared" si="5"/>
        <v>0.26041666666666669</v>
      </c>
      <c r="X11" s="297">
        <f t="shared" si="6"/>
        <v>0.2951388888888889</v>
      </c>
      <c r="Y11" s="297">
        <f t="shared" si="7"/>
        <v>0</v>
      </c>
      <c r="Z11" s="296">
        <f t="shared" si="8"/>
        <v>75</v>
      </c>
    </row>
    <row r="12" spans="2:29" ht="15.75" customHeight="1">
      <c r="B12" s="22" t="s">
        <v>33</v>
      </c>
      <c r="C12" s="366" t="str">
        <f>[26]Brewhouse!A81</f>
        <v>VM069</v>
      </c>
      <c r="D12" s="279">
        <f>[26]Brewhouse!AE81</f>
        <v>50.1</v>
      </c>
      <c r="E12" s="279">
        <f>[26]Brewhouse!AJ81</f>
        <v>46.5</v>
      </c>
      <c r="F12" s="278">
        <f>[26]Brewhouse!X81</f>
        <v>84</v>
      </c>
      <c r="G12" s="279">
        <f>[26]Brewhouse!AH81</f>
        <v>14.5</v>
      </c>
      <c r="H12" s="396"/>
      <c r="I12" s="368">
        <f>[26]Brewhouse!AV81</f>
        <v>95.630531037856798</v>
      </c>
      <c r="J12" s="368">
        <f>[26]Brewhouse!AW81</f>
        <v>96.089223013844276</v>
      </c>
      <c r="K12" s="281">
        <f>[26]Brewhouse!S81</f>
        <v>8.7025948103792548</v>
      </c>
      <c r="L12" s="276">
        <f>[26]Brewhouse!R81</f>
        <v>60</v>
      </c>
      <c r="M12" s="374">
        <f>[26]Brewhouse!$W81-[26]Brewhouse!$V81</f>
        <v>0.1430555555555556</v>
      </c>
      <c r="N12" s="370">
        <f>[26]Brewhouse!AB81</f>
        <v>0.29027777777777775</v>
      </c>
      <c r="O12" s="371" t="str">
        <f>[26]Brewhouse!$AZ81</f>
        <v>R. Regis</v>
      </c>
      <c r="P12" s="418"/>
      <c r="R12" s="277" t="str">
        <f t="shared" si="0"/>
        <v>VITAMALT</v>
      </c>
      <c r="S12" s="296">
        <f t="shared" si="1"/>
        <v>14.2</v>
      </c>
      <c r="T12" s="296">
        <f t="shared" si="2"/>
        <v>14.6</v>
      </c>
      <c r="U12" s="297">
        <f t="shared" si="3"/>
        <v>0</v>
      </c>
      <c r="V12" s="297">
        <f t="shared" si="4"/>
        <v>0.13905092592592591</v>
      </c>
      <c r="W12" s="297">
        <f t="shared" si="5"/>
        <v>0.26041666666666669</v>
      </c>
      <c r="X12" s="297">
        <f t="shared" si="6"/>
        <v>0.2951388888888889</v>
      </c>
      <c r="Y12" s="297">
        <f t="shared" si="7"/>
        <v>0</v>
      </c>
      <c r="Z12" s="296">
        <f t="shared" si="8"/>
        <v>75</v>
      </c>
    </row>
    <row r="13" spans="2:29" ht="15.75" customHeight="1">
      <c r="B13" s="22" t="s">
        <v>33</v>
      </c>
      <c r="C13" s="366" t="str">
        <f>[26]Brewhouse!A82</f>
        <v>VM070</v>
      </c>
      <c r="D13" s="279">
        <f>[26]Brewhouse!AE82</f>
        <v>50</v>
      </c>
      <c r="E13" s="279">
        <f>[26]Brewhouse!AJ82</f>
        <v>47.2</v>
      </c>
      <c r="F13" s="278">
        <f>[26]Brewhouse!X82</f>
        <v>85</v>
      </c>
      <c r="G13" s="279">
        <f>[26]Brewhouse!AH82</f>
        <v>14.6</v>
      </c>
      <c r="H13" s="396"/>
      <c r="I13" s="368">
        <f>[26]Brewhouse!AV82</f>
        <v>97.766654522928292</v>
      </c>
      <c r="J13" s="368">
        <f>[26]Brewhouse!AW82</f>
        <v>98.235592418202089</v>
      </c>
      <c r="K13" s="281">
        <f>[26]Brewhouse!S82</f>
        <v>7.1200000000000045</v>
      </c>
      <c r="L13" s="276">
        <f>[26]Brewhouse!R82</f>
        <v>59</v>
      </c>
      <c r="M13" s="374">
        <f>[26]Brewhouse!$W82-[26]Brewhouse!$V82</f>
        <v>0.14097222222222228</v>
      </c>
      <c r="N13" s="370">
        <f>[26]Brewhouse!AB82</f>
        <v>0.29027777777777775</v>
      </c>
      <c r="O13" s="371" t="str">
        <f>[26]Brewhouse!$AZ82</f>
        <v>R. Regis</v>
      </c>
      <c r="P13" s="418"/>
      <c r="R13" s="277" t="str">
        <f t="shared" si="0"/>
        <v>VITAMALT</v>
      </c>
      <c r="S13" s="296">
        <f t="shared" si="1"/>
        <v>14.2</v>
      </c>
      <c r="T13" s="296">
        <f t="shared" si="2"/>
        <v>14.6</v>
      </c>
      <c r="U13" s="297">
        <f t="shared" si="3"/>
        <v>0</v>
      </c>
      <c r="V13" s="297">
        <f t="shared" si="4"/>
        <v>0.13905092592592591</v>
      </c>
      <c r="W13" s="297">
        <f t="shared" si="5"/>
        <v>0.26041666666666669</v>
      </c>
      <c r="X13" s="297">
        <f t="shared" si="6"/>
        <v>0.2951388888888889</v>
      </c>
      <c r="Y13" s="297">
        <f t="shared" si="7"/>
        <v>0</v>
      </c>
      <c r="Z13" s="296">
        <f t="shared" si="8"/>
        <v>75</v>
      </c>
    </row>
    <row r="14" spans="2:29" ht="15.75" customHeight="1">
      <c r="B14" s="22" t="s">
        <v>33</v>
      </c>
      <c r="C14" s="366" t="str">
        <f>[26]Brewhouse!A83</f>
        <v>VM071</v>
      </c>
      <c r="D14" s="279">
        <f>[26]Brewhouse!AE83</f>
        <v>50</v>
      </c>
      <c r="E14" s="279">
        <f>[26]Brewhouse!AJ83</f>
        <v>46.9</v>
      </c>
      <c r="F14" s="278">
        <f>[26]Brewhouse!X83</f>
        <v>83</v>
      </c>
      <c r="G14" s="279">
        <f>[26]Brewhouse!AH83</f>
        <v>14.8</v>
      </c>
      <c r="H14" s="396"/>
      <c r="I14" s="368">
        <f>[26]Brewhouse!AV83</f>
        <v>98.529450361408266</v>
      </c>
      <c r="J14" s="368">
        <f>[26]Brewhouse!AW83</f>
        <v>99.002047007989077</v>
      </c>
      <c r="K14" s="281">
        <f>[26]Brewhouse!S83</f>
        <v>16.919999999999987</v>
      </c>
      <c r="L14" s="276">
        <f>[26]Brewhouse!R83</f>
        <v>61</v>
      </c>
      <c r="M14" s="374">
        <f>[26]Brewhouse!$W83-[26]Brewhouse!$V83</f>
        <v>0.21180555555555558</v>
      </c>
      <c r="N14" s="370">
        <f>[26]Brewhouse!AB83</f>
        <v>0.35833333333333328</v>
      </c>
      <c r="O14" s="371" t="str">
        <f>[26]Brewhouse!$AZ83</f>
        <v>R. Regis</v>
      </c>
      <c r="P14" s="418" t="s">
        <v>176</v>
      </c>
      <c r="R14" s="277" t="str">
        <f t="shared" si="0"/>
        <v>VITAMALT</v>
      </c>
      <c r="S14" s="296">
        <f t="shared" si="1"/>
        <v>14.2</v>
      </c>
      <c r="T14" s="296">
        <f t="shared" si="2"/>
        <v>14.6</v>
      </c>
      <c r="U14" s="297">
        <f t="shared" si="3"/>
        <v>0</v>
      </c>
      <c r="V14" s="297">
        <f t="shared" si="4"/>
        <v>0.13905092592592591</v>
      </c>
      <c r="W14" s="297">
        <f t="shared" si="5"/>
        <v>0.26041666666666669</v>
      </c>
      <c r="X14" s="297">
        <f t="shared" si="6"/>
        <v>0.2951388888888889</v>
      </c>
      <c r="Y14" s="297">
        <f t="shared" si="7"/>
        <v>0</v>
      </c>
      <c r="Z14" s="296">
        <f t="shared" si="8"/>
        <v>75</v>
      </c>
    </row>
    <row r="15" spans="2:29" ht="15.75" customHeight="1">
      <c r="B15" s="22" t="s">
        <v>33</v>
      </c>
      <c r="C15" s="366" t="str">
        <f>[26]Brewhouse!A84</f>
        <v>VM072</v>
      </c>
      <c r="D15" s="279">
        <f>[26]Brewhouse!AE84</f>
        <v>50</v>
      </c>
      <c r="E15" s="279">
        <f>[26]Brewhouse!AJ84</f>
        <v>47.9</v>
      </c>
      <c r="F15" s="278">
        <f>[26]Brewhouse!X84</f>
        <v>85</v>
      </c>
      <c r="G15" s="279">
        <f>[26]Brewhouse!AH84</f>
        <v>13.8</v>
      </c>
      <c r="H15" s="396"/>
      <c r="I15" s="368">
        <f>[26]Brewhouse!AV84</f>
        <v>93.497493079391887</v>
      </c>
      <c r="J15" s="368">
        <f>[26]Brewhouse!AW84</f>
        <v>93.945953935825742</v>
      </c>
      <c r="K15" s="281">
        <f>[26]Brewhouse!S84</f>
        <v>5.9199999999999875</v>
      </c>
      <c r="L15" s="276">
        <f>[26]Brewhouse!R84</f>
        <v>60</v>
      </c>
      <c r="M15" s="374">
        <f>[26]Brewhouse!$W84-[26]Brewhouse!$V84</f>
        <v>0.13680555555555562</v>
      </c>
      <c r="N15" s="370">
        <f>[26]Brewhouse!AB84</f>
        <v>0.35347222222222219</v>
      </c>
      <c r="O15" s="371" t="str">
        <f>[26]Brewhouse!$AZ84</f>
        <v>R.Sookram</v>
      </c>
      <c r="P15" s="418" t="s">
        <v>177</v>
      </c>
      <c r="R15" s="277" t="str">
        <f t="shared" si="0"/>
        <v>VITAMALT</v>
      </c>
      <c r="S15" s="296">
        <f t="shared" si="1"/>
        <v>14.2</v>
      </c>
      <c r="T15" s="296">
        <f t="shared" si="2"/>
        <v>14.6</v>
      </c>
      <c r="U15" s="297">
        <f t="shared" si="3"/>
        <v>0</v>
      </c>
      <c r="V15" s="297">
        <f t="shared" si="4"/>
        <v>0.13905092592592591</v>
      </c>
      <c r="W15" s="297">
        <f t="shared" si="5"/>
        <v>0.26041666666666669</v>
      </c>
      <c r="X15" s="297">
        <f t="shared" si="6"/>
        <v>0.2951388888888889</v>
      </c>
      <c r="Y15" s="297">
        <f t="shared" si="7"/>
        <v>0</v>
      </c>
      <c r="Z15" s="296">
        <f t="shared" si="8"/>
        <v>75</v>
      </c>
    </row>
    <row r="16" spans="2:29" ht="15.75" customHeight="1">
      <c r="B16" s="22" t="s">
        <v>33</v>
      </c>
      <c r="C16" s="366" t="str">
        <f>[26]Brewhouse!A85</f>
        <v>VM073</v>
      </c>
      <c r="D16" s="279">
        <f>[26]Brewhouse!AE85</f>
        <v>50</v>
      </c>
      <c r="E16" s="279">
        <f>[26]Brewhouse!AJ85</f>
        <v>47.2</v>
      </c>
      <c r="F16" s="278">
        <f>[26]Brewhouse!X85</f>
        <v>85</v>
      </c>
      <c r="G16" s="279">
        <f>[26]Brewhouse!AH85</f>
        <v>14.6</v>
      </c>
      <c r="H16" s="396"/>
      <c r="I16" s="368">
        <f>[26]Brewhouse!AV85</f>
        <v>97.870868652037373</v>
      </c>
      <c r="J16" s="368">
        <f>[26]Brewhouse!AW85</f>
        <v>98.338324024507784</v>
      </c>
      <c r="K16" s="281">
        <f>[26]Brewhouse!S85</f>
        <v>6.719999999999998</v>
      </c>
      <c r="L16" s="276">
        <f>[26]Brewhouse!R85</f>
        <v>60</v>
      </c>
      <c r="M16" s="374">
        <f>[26]Brewhouse!$W85-[26]Brewhouse!$V85</f>
        <v>0.13749999999999996</v>
      </c>
      <c r="N16" s="370">
        <f>[26]Brewhouse!AB85</f>
        <v>0.34027777777777768</v>
      </c>
      <c r="O16" s="371" t="str">
        <f>[26]Brewhouse!$AZ85</f>
        <v>R.Sookram</v>
      </c>
      <c r="P16" s="418" t="s">
        <v>177</v>
      </c>
      <c r="R16" s="277" t="str">
        <f t="shared" si="0"/>
        <v>VITAMALT</v>
      </c>
      <c r="S16" s="296">
        <f t="shared" si="1"/>
        <v>14.2</v>
      </c>
      <c r="T16" s="296">
        <f t="shared" si="2"/>
        <v>14.6</v>
      </c>
      <c r="U16" s="297">
        <f t="shared" si="3"/>
        <v>0</v>
      </c>
      <c r="V16" s="297">
        <f t="shared" si="4"/>
        <v>0.13905092592592591</v>
      </c>
      <c r="W16" s="297">
        <f t="shared" si="5"/>
        <v>0.26041666666666669</v>
      </c>
      <c r="X16" s="297">
        <f t="shared" si="6"/>
        <v>0.2951388888888889</v>
      </c>
      <c r="Y16" s="297">
        <f t="shared" si="7"/>
        <v>0</v>
      </c>
      <c r="Z16" s="296">
        <f t="shared" si="8"/>
        <v>75</v>
      </c>
    </row>
    <row r="17" spans="1:27" ht="15.75" customHeight="1">
      <c r="B17" s="33"/>
      <c r="C17" s="366"/>
      <c r="D17" s="279"/>
      <c r="E17" s="279"/>
      <c r="F17" s="278"/>
      <c r="G17" s="279"/>
      <c r="H17" s="396"/>
      <c r="I17" s="420"/>
      <c r="J17" s="420"/>
      <c r="K17" s="281"/>
      <c r="L17" s="276"/>
      <c r="M17" s="374"/>
      <c r="N17" s="370"/>
      <c r="O17" s="421"/>
      <c r="P17" s="418"/>
      <c r="R17" s="277">
        <f t="shared" si="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1:27" ht="15.75" customHeight="1">
      <c r="B18" s="33"/>
      <c r="C18" s="366"/>
      <c r="D18" s="279"/>
      <c r="E18" s="279"/>
      <c r="F18" s="278"/>
      <c r="G18" s="279"/>
      <c r="H18" s="396"/>
      <c r="I18" s="420"/>
      <c r="J18" s="420"/>
      <c r="K18" s="281"/>
      <c r="L18" s="276"/>
      <c r="M18" s="374"/>
      <c r="N18" s="370"/>
      <c r="O18" s="421"/>
      <c r="P18" s="418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1:27" ht="15.75" hidden="1" customHeight="1">
      <c r="B19" s="33"/>
      <c r="C19" s="366"/>
      <c r="D19" s="279"/>
      <c r="E19" s="279"/>
      <c r="F19" s="278"/>
      <c r="G19" s="279"/>
      <c r="H19" s="396"/>
      <c r="I19" s="420"/>
      <c r="J19" s="420"/>
      <c r="K19" s="281"/>
      <c r="L19" s="276"/>
      <c r="M19" s="374"/>
      <c r="N19" s="370"/>
      <c r="O19" s="421"/>
      <c r="P19" s="418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7" ht="15.7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1"/>
      <c r="P20" s="418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7" ht="15.75" hidden="1" customHeight="1">
      <c r="B21" s="37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371"/>
      <c r="P21" s="418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7" ht="15.7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18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7" ht="15.7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8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7" ht="15.75" hidden="1" customHeight="1">
      <c r="B24" s="37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74"/>
      <c r="N24" s="370"/>
      <c r="O24" s="371"/>
      <c r="P24" s="418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7" ht="15.75" customHeight="1" thickBot="1">
      <c r="B25" s="358"/>
      <c r="C25" s="358"/>
      <c r="D25" s="358"/>
      <c r="E25" s="358"/>
      <c r="F25" s="294"/>
      <c r="G25" s="294"/>
      <c r="H25" s="348"/>
      <c r="I25" s="514"/>
      <c r="J25" s="514"/>
      <c r="K25" s="514"/>
      <c r="L25" s="514"/>
      <c r="M25" s="514"/>
      <c r="N25" s="514"/>
      <c r="O25" s="1"/>
      <c r="P25" s="12"/>
      <c r="R25" s="277">
        <f t="shared" ref="R25:R31" si="9">B25</f>
        <v>0</v>
      </c>
      <c r="S25" s="296" t="e">
        <f t="shared" ref="S25:S31" si="10">VLOOKUP($B25,$R$3:$X$9,2,FALSE)</f>
        <v>#N/A</v>
      </c>
      <c r="T25" s="296" t="e">
        <f t="shared" ref="T25:T31" si="11">VLOOKUP($B25,$R$3:$X$9,3,FALSE)</f>
        <v>#N/A</v>
      </c>
      <c r="U25" s="297" t="e">
        <f t="shared" ref="U25:U31" si="12">VLOOKUP($B25,$R$3:$X$9,4,FALSE)</f>
        <v>#N/A</v>
      </c>
      <c r="V25" s="297" t="e">
        <f t="shared" ref="V25:V31" si="13">VLOOKUP($B25,$R$3:$X$9,5,FALSE)</f>
        <v>#N/A</v>
      </c>
      <c r="W25" s="297" t="e">
        <f t="shared" ref="W25:W31" si="14">VLOOKUP($B25,$R$3:$X$9,6,FALSE)</f>
        <v>#N/A</v>
      </c>
      <c r="X25" s="297" t="e">
        <f t="shared" ref="X25:X31" si="15">VLOOKUP($B25,$R$3:$X$9,7,FALSE)</f>
        <v>#N/A</v>
      </c>
      <c r="Y25" s="297" t="e">
        <f t="shared" ref="Y25:Y31" si="16">VLOOKUP($B25,$R$3:$Z$9,8,FALSE)</f>
        <v>#N/A</v>
      </c>
      <c r="Z25" s="296" t="e">
        <f t="shared" ref="Z25:Z31" si="17">VLOOKUP($B25,$R$3:$Z$9,9,FALSE)</f>
        <v>#N/A</v>
      </c>
    </row>
    <row r="26" spans="1:27" ht="15.75" thickBot="1">
      <c r="B26" s="388" t="s">
        <v>162</v>
      </c>
      <c r="C26" s="388"/>
      <c r="D26" s="527" t="s">
        <v>35</v>
      </c>
      <c r="E26" s="528"/>
      <c r="F26" s="294"/>
      <c r="G26" s="294"/>
      <c r="H26" s="348"/>
      <c r="I26" s="24" t="s">
        <v>17</v>
      </c>
      <c r="J26" s="25" t="s">
        <v>36</v>
      </c>
      <c r="K26" s="26" t="s">
        <v>138</v>
      </c>
      <c r="L26" s="25" t="s">
        <v>37</v>
      </c>
      <c r="M26" s="25" t="s">
        <v>38</v>
      </c>
      <c r="N26" s="27" t="s">
        <v>39</v>
      </c>
      <c r="O26" s="294"/>
      <c r="P26" s="12"/>
      <c r="R26" s="277" t="str">
        <f t="shared" si="9"/>
        <v xml:space="preserve">BRAND </v>
      </c>
      <c r="S26" s="296" t="e">
        <f t="shared" si="10"/>
        <v>#N/A</v>
      </c>
      <c r="T26" s="296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296" t="e">
        <f t="shared" si="17"/>
        <v>#N/A</v>
      </c>
    </row>
    <row r="27" spans="1:27" ht="15" customHeight="1">
      <c r="A27" s="28"/>
      <c r="B27" s="558" t="str">
        <f>I27</f>
        <v>CARIB</v>
      </c>
      <c r="C27" s="362"/>
      <c r="D27" s="518"/>
      <c r="E27" s="507"/>
      <c r="F27" s="294"/>
      <c r="G27" s="294"/>
      <c r="H27" s="348"/>
      <c r="I27" s="29" t="s">
        <v>6</v>
      </c>
      <c r="J27" s="280"/>
      <c r="K27" s="284">
        <f>COUNTA([22]Brewhouse!$A$740:$A$758)</f>
        <v>19</v>
      </c>
      <c r="L27" s="305">
        <f>AVERAGE([22]Brewhouse!$AU$740:$AU$758)</f>
        <v>97.561908305193484</v>
      </c>
      <c r="M27" s="302">
        <f>AVERAGE([22]Brewhouse!$AU$102:$AU$171,[22]Brewhouse!$AU$173:$AU$253,[22]Brewhouse!$AU$255:$AU$339,[22]Brewhouse!$AU$341:$AU$346,[22]Brewhouse!$AU$348,[22]Brewhouse!$AU$349:$AU$406,[22]Brewhouse!$AU$408:$AU$491,[22]Brewhouse!$AU$493:$AU$578,[22]Brewhouse!$AU$580:$AU$652,[22]Brewhouse!$AU$655:$AU$758)</f>
        <v>97.70144579498259</v>
      </c>
      <c r="N27" s="30">
        <v>98</v>
      </c>
      <c r="O27" s="11"/>
      <c r="P27" s="31"/>
      <c r="R27" s="277" t="str">
        <f t="shared" si="9"/>
        <v>CARIB</v>
      </c>
      <c r="S27" s="296">
        <f t="shared" si="10"/>
        <v>11.6</v>
      </c>
      <c r="T27" s="296">
        <f t="shared" si="11"/>
        <v>12</v>
      </c>
      <c r="U27" s="297">
        <f t="shared" si="12"/>
        <v>0</v>
      </c>
      <c r="V27" s="297">
        <f t="shared" si="13"/>
        <v>0.118055555555556</v>
      </c>
      <c r="W27" s="297">
        <f t="shared" si="14"/>
        <v>0.22569444444444445</v>
      </c>
      <c r="X27" s="297">
        <f t="shared" si="15"/>
        <v>0.2638888888888889</v>
      </c>
      <c r="Y27" s="297">
        <f t="shared" si="16"/>
        <v>0</v>
      </c>
      <c r="Z27" s="296">
        <f t="shared" si="17"/>
        <v>60</v>
      </c>
    </row>
    <row r="28" spans="1:27" ht="15" customHeight="1">
      <c r="A28" s="28"/>
      <c r="B28" s="559"/>
      <c r="C28" s="362"/>
      <c r="D28" s="519"/>
      <c r="E28" s="502"/>
      <c r="F28" s="294"/>
      <c r="G28" s="294"/>
      <c r="H28" s="348"/>
      <c r="I28" s="33" t="s">
        <v>9</v>
      </c>
      <c r="J28" s="280"/>
      <c r="K28" s="284">
        <f>COUNTA([24]Brewhouse!$A$361:$A$370)</f>
        <v>10</v>
      </c>
      <c r="L28" s="302">
        <f>AVERAGE([24]Brewhouse!$AS$361:$AS$370)</f>
        <v>97.37391829333653</v>
      </c>
      <c r="M28" s="302">
        <f>AVERAGE([24]Brewhouse!$AS$15:$AS$64,[24]Brewhouse!$AS$66:$AS$103,[24]Brewhouse!$AS$105:$AS$140,[24]Brewhouse!$AS$142:$AS$193,[24]Brewhouse!$AS$195:$AS$240,[24]Brewhouse!$AS$242:$AS$273,[24]Brewhouse!$AS$275:$AS$322,[24]Brewhouse!$AS$324:$AS$359,[24]Brewhouse!$AS$361:$AS$370)</f>
        <v>98.045616899357427</v>
      </c>
      <c r="N28" s="30">
        <v>98</v>
      </c>
      <c r="O28" s="11"/>
      <c r="P28" s="31"/>
      <c r="R28" s="277">
        <f t="shared" si="9"/>
        <v>0</v>
      </c>
      <c r="S28" s="296" t="e">
        <f t="shared" si="10"/>
        <v>#N/A</v>
      </c>
      <c r="T28" s="296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296" t="e">
        <f t="shared" si="17"/>
        <v>#N/A</v>
      </c>
    </row>
    <row r="29" spans="1:27" ht="14.65" customHeight="1">
      <c r="A29" s="28"/>
      <c r="B29" s="559"/>
      <c r="C29" s="362"/>
      <c r="D29" s="518"/>
      <c r="E29" s="507"/>
      <c r="F29" s="294"/>
      <c r="G29" s="294"/>
      <c r="H29" s="348"/>
      <c r="I29" s="34" t="s">
        <v>12</v>
      </c>
      <c r="J29" s="280"/>
      <c r="K29" s="284"/>
      <c r="L29" s="302"/>
      <c r="M29" s="302">
        <f>AVERAGE([25]Brewhouse!$AU$4:$AU$7,[25]Brewhouse!$AU$9:$AU$22,[25]Brewhouse!$AU$24:$AU$35,[25]Brewhouse!$AU$37:$AU$45,[25]Brewhouse!$AU$47:$AU$62,[25]Brewhouse!$AU$64:$AU$79,[25]Brewhouse!$AU$81:$AU$92)</f>
        <v>96.938184743997624</v>
      </c>
      <c r="N29" s="30">
        <v>98</v>
      </c>
      <c r="O29" s="11"/>
      <c r="P29" s="31"/>
      <c r="R29" s="277">
        <f t="shared" si="9"/>
        <v>0</v>
      </c>
      <c r="S29" s="296" t="e">
        <f t="shared" si="10"/>
        <v>#N/A</v>
      </c>
      <c r="T29" s="296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296" t="e">
        <f t="shared" si="17"/>
        <v>#N/A</v>
      </c>
    </row>
    <row r="30" spans="1:27" ht="14.65" customHeight="1">
      <c r="A30" s="28"/>
      <c r="B30" s="559"/>
      <c r="C30" s="362"/>
      <c r="D30" s="519"/>
      <c r="E30" s="502"/>
      <c r="F30" s="294"/>
      <c r="G30" s="294"/>
      <c r="H30" s="348"/>
      <c r="I30" s="22" t="s">
        <v>33</v>
      </c>
      <c r="J30" s="280">
        <f>AVERAGE(I10:I16)</f>
        <v>96.372089033579627</v>
      </c>
      <c r="K30" s="284">
        <f>COUNTA([26]Brewhouse!$A$79:$A$85)</f>
        <v>7</v>
      </c>
      <c r="L30" s="302">
        <f>AVERAGE([26]Brewhouse!$AV$79:$AV$85)</f>
        <v>96.372089033579627</v>
      </c>
      <c r="M30" s="302">
        <f>AVERAGE([26]Brewhouse!$AV$5:$AV$14,[26]Brewhouse!$AV$16:$AV$19,[26]Brewhouse!$AV$21:$AV$24,[26]Brewhouse!$AV$26:$AV$33,[26]Brewhouse!$AV$35:$AV$46,[26]Brewhouse!$AV$48:$AV$53,[26]Brewhouse!$AV$55:$AV$62,[26]Brewhouse!$AV$64:$AV$77,[26]Brewhouse!$AV$79:$AV$85)</f>
        <v>98.315311233078759</v>
      </c>
      <c r="N30" s="30">
        <v>98</v>
      </c>
      <c r="O30" s="11"/>
      <c r="P30" s="31"/>
      <c r="R30" s="277">
        <f t="shared" si="9"/>
        <v>0</v>
      </c>
      <c r="S30" s="296" t="e">
        <f t="shared" si="10"/>
        <v>#N/A</v>
      </c>
      <c r="T30" s="296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296" t="e">
        <f t="shared" si="17"/>
        <v>#N/A</v>
      </c>
    </row>
    <row r="31" spans="1:27" ht="14.65" customHeight="1">
      <c r="A31" s="28"/>
      <c r="B31" s="559"/>
      <c r="C31" s="362"/>
      <c r="D31" s="518"/>
      <c r="E31" s="507"/>
      <c r="F31" s="417"/>
      <c r="G31" s="294"/>
      <c r="H31" s="348"/>
      <c r="I31" s="35" t="s">
        <v>29</v>
      </c>
      <c r="J31" s="280"/>
      <c r="K31" s="284"/>
      <c r="L31" s="302"/>
      <c r="M31" s="302"/>
      <c r="N31" s="30">
        <v>98</v>
      </c>
      <c r="O31" s="11"/>
      <c r="P31" s="31"/>
      <c r="R31" s="277">
        <f t="shared" si="9"/>
        <v>0</v>
      </c>
      <c r="S31" s="296" t="e">
        <f t="shared" si="10"/>
        <v>#N/A</v>
      </c>
      <c r="T31" s="296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296" t="e">
        <f t="shared" si="17"/>
        <v>#N/A</v>
      </c>
    </row>
    <row r="32" spans="1:27" ht="14.65" customHeight="1">
      <c r="A32" s="28"/>
      <c r="B32" s="559"/>
      <c r="C32" s="362"/>
      <c r="D32" s="519"/>
      <c r="E32" s="502"/>
      <c r="F32" s="417"/>
      <c r="G32" s="294"/>
      <c r="H32" s="348"/>
      <c r="I32" s="36" t="s">
        <v>15</v>
      </c>
      <c r="J32" s="280"/>
      <c r="K32" s="284"/>
      <c r="L32" s="302"/>
      <c r="M32" s="302">
        <f>AVERAGE([27]Brewhouse!$AT$4:$AT$11,[27]Brewhouse!$AT$13:$AT$16,[27]Brewhouse!$AT$18:$AT$21,[27]Brewhouse!$AT$26)</f>
        <v>94.588057846623641</v>
      </c>
      <c r="N32" s="30">
        <v>98</v>
      </c>
      <c r="O32" s="11"/>
      <c r="P32" s="31"/>
      <c r="R32" s="277"/>
      <c r="S32" s="296"/>
      <c r="T32" s="296"/>
      <c r="U32" s="297"/>
      <c r="V32" s="297"/>
      <c r="W32" s="297"/>
      <c r="X32" s="297"/>
      <c r="Y32" s="297"/>
      <c r="Z32" s="296"/>
      <c r="AA32" s="296"/>
    </row>
    <row r="33" spans="1:56" ht="14.65" customHeight="1">
      <c r="A33" s="28"/>
      <c r="B33" s="559"/>
      <c r="C33" s="362"/>
      <c r="D33" s="518"/>
      <c r="E33" s="507"/>
      <c r="F33" s="417"/>
      <c r="G33" s="294"/>
      <c r="H33" s="348"/>
      <c r="I33" s="37" t="s">
        <v>16</v>
      </c>
      <c r="J33" s="280"/>
      <c r="K33" s="284">
        <f>COUNTA([23]Brewhouse!$A$75:$A$82)</f>
        <v>8</v>
      </c>
      <c r="L33" s="302">
        <f>AVERAGE([23]Brewhouse!$AY$75:$AY$82)</f>
        <v>97.738838123294386</v>
      </c>
      <c r="M33" s="302">
        <f>AVERAGE([23]Brewhouse!$AY$6:$AY$13,[23]Brewhouse!$AY$15:$AY$20,[23]Brewhouse!$AY$22:$AY$29,[23]Brewhouse!$AY$31:$AY$34,[23]Brewhouse!$AY$36:$AY$43,[23]Brewhouse!$AY$45:$AY$50, [23]Brewhouse!$AY$56:$AY$73,[23]Brewhouse!$AY$75:$AY$82)</f>
        <v>97.409216272979165</v>
      </c>
      <c r="N33" s="30">
        <v>98</v>
      </c>
      <c r="O33" s="11"/>
      <c r="P33" s="31" t="s">
        <v>41</v>
      </c>
      <c r="R33" s="277"/>
      <c r="S33" s="296"/>
      <c r="T33" s="296"/>
      <c r="U33" s="297"/>
      <c r="V33" s="297"/>
      <c r="W33" s="297"/>
      <c r="X33" s="297"/>
      <c r="Y33" s="297"/>
      <c r="Z33" s="296"/>
      <c r="AA33" s="296"/>
    </row>
    <row r="34" spans="1:56" ht="14.65" customHeight="1">
      <c r="A34" s="28"/>
      <c r="B34" s="559"/>
      <c r="C34" s="362"/>
      <c r="D34" s="519"/>
      <c r="E34" s="502"/>
      <c r="F34" s="294"/>
      <c r="G34" s="294"/>
      <c r="H34" s="348"/>
      <c r="I34" s="411" t="s">
        <v>158</v>
      </c>
      <c r="J34" s="326"/>
      <c r="K34" s="284"/>
      <c r="L34" s="305"/>
      <c r="M34" s="305">
        <f>AVERAGE([28]Brewhouse!$AU$5:$AU$8,[28]Brewhouse!$AU$10:$AU$13,[23]Brewhouse!$AY$75:$AY$77)</f>
        <v>94.749192473706671</v>
      </c>
      <c r="N34" s="30">
        <v>98</v>
      </c>
      <c r="O34" s="11"/>
      <c r="P34" s="31"/>
      <c r="R34" s="277"/>
      <c r="S34" s="296"/>
      <c r="T34" s="296"/>
      <c r="U34" s="297"/>
      <c r="V34" s="297"/>
      <c r="W34" s="297"/>
      <c r="X34" s="297"/>
      <c r="Y34" s="297"/>
      <c r="Z34" s="296"/>
      <c r="AA34" s="296"/>
    </row>
    <row r="35" spans="1:56" ht="14.65" customHeight="1">
      <c r="A35" s="28"/>
      <c r="B35" s="559"/>
      <c r="C35" s="349"/>
      <c r="D35" s="518"/>
      <c r="E35" s="507"/>
      <c r="F35" s="294"/>
      <c r="G35" s="294"/>
      <c r="H35" s="348"/>
      <c r="I35" s="410" t="s">
        <v>157</v>
      </c>
      <c r="J35" s="326"/>
      <c r="K35" s="284"/>
      <c r="L35" s="305"/>
      <c r="M35" s="305">
        <f>AVERAGE([29]Brewhouse!$AW$26:$AW$27)</f>
        <v>95.310680905194914</v>
      </c>
      <c r="N35" s="30">
        <v>98</v>
      </c>
      <c r="O35" s="11"/>
      <c r="P35" s="31"/>
      <c r="R35" s="277"/>
      <c r="S35" s="296"/>
      <c r="T35" s="296"/>
      <c r="U35" s="297"/>
      <c r="V35" s="297"/>
      <c r="W35" s="297"/>
      <c r="X35" s="297"/>
      <c r="Y35" s="297"/>
      <c r="Z35" s="296"/>
      <c r="AA35" s="296"/>
    </row>
    <row r="36" spans="1:56" ht="15" customHeight="1" thickBot="1">
      <c r="A36" s="28"/>
      <c r="B36" s="559"/>
      <c r="C36" s="349"/>
      <c r="D36" s="519"/>
      <c r="E36" s="502"/>
      <c r="F36" s="294"/>
      <c r="G36" s="294"/>
      <c r="H36" s="348"/>
      <c r="I36" s="406" t="s">
        <v>156</v>
      </c>
      <c r="J36" s="327"/>
      <c r="K36" s="407"/>
      <c r="L36" s="408"/>
      <c r="M36" s="408">
        <f>AVERAGE([30]Brewhouse!$AU$13:$AU$14)</f>
        <v>97.110575243268045</v>
      </c>
      <c r="N36" s="409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  <c r="AA36" s="296"/>
    </row>
    <row r="37" spans="1:56" ht="15" customHeight="1" thickBot="1">
      <c r="A37" s="28"/>
      <c r="B37" s="559"/>
      <c r="C37" s="349"/>
      <c r="D37" s="518"/>
      <c r="E37" s="507"/>
      <c r="F37" s="294"/>
      <c r="G37" s="294"/>
      <c r="H37" s="348"/>
      <c r="I37" s="1"/>
      <c r="J37" s="39"/>
      <c r="K37" s="404">
        <f>SUM(K27:K36)</f>
        <v>44</v>
      </c>
      <c r="L37" s="405">
        <f>((L27*K27)+(L28*K28)+(L29*K29)+(L30*K30)+(L31*K31)+(K34*L34)+(L32*K32)+(L33*K33)+(L36*K36))/(K37)</f>
        <v>97.362062930760331</v>
      </c>
      <c r="M37" s="405">
        <f>AVERAGE('[31]Jan 31st'!$L$65,'[32]Feb 28th'!$L$35,'[33]Mar. 31st'!$L$35,'[34]Apr. 30th'!$L$45,'[35]May 30th'!$L$37,'[36]June 30th'!$L$57,L37)</f>
        <v>97.616281918260327</v>
      </c>
      <c r="N37" s="40">
        <v>98</v>
      </c>
      <c r="O37" s="11"/>
      <c r="P37" s="31"/>
      <c r="R37" s="277"/>
      <c r="S37" s="296"/>
      <c r="T37" s="296"/>
      <c r="U37" s="297"/>
      <c r="V37" s="297"/>
      <c r="W37" s="297"/>
      <c r="X37" s="297"/>
      <c r="Y37" s="297"/>
      <c r="Z37" s="296"/>
      <c r="AA37" s="296"/>
    </row>
    <row r="38" spans="1:56" ht="15.75" thickBot="1">
      <c r="B38" s="560"/>
      <c r="C38" s="350"/>
      <c r="D38" s="519"/>
      <c r="E38" s="502"/>
      <c r="F38" s="294"/>
      <c r="G38" s="42"/>
      <c r="H38" s="41"/>
      <c r="I38" s="42"/>
      <c r="J38" s="42"/>
      <c r="K38" s="351"/>
      <c r="L38" s="348"/>
      <c r="M38" s="348"/>
      <c r="N38" s="11"/>
      <c r="O38" s="294"/>
      <c r="P38" s="12"/>
      <c r="R38" s="277"/>
      <c r="S38" s="296"/>
      <c r="T38" s="296"/>
      <c r="U38" s="297"/>
      <c r="V38" s="297"/>
      <c r="W38" s="297"/>
      <c r="X38" s="297"/>
      <c r="Y38" s="297"/>
      <c r="Z38" s="296"/>
      <c r="AA38" s="296"/>
    </row>
    <row r="39" spans="1:56" ht="15.75" thickBot="1">
      <c r="B39" s="552"/>
      <c r="C39" s="362"/>
      <c r="D39" s="499"/>
      <c r="E39" s="500"/>
      <c r="F39" s="294"/>
      <c r="G39" s="42"/>
      <c r="H39" s="41"/>
      <c r="I39" s="42"/>
      <c r="J39" s="553" t="s">
        <v>129</v>
      </c>
      <c r="K39" s="553"/>
      <c r="L39" s="294"/>
      <c r="M39" s="294"/>
      <c r="N39" s="294"/>
      <c r="O39" s="294"/>
      <c r="P39" s="12"/>
    </row>
    <row r="40" spans="1:56" ht="15.75" thickBot="1">
      <c r="B40" s="516"/>
      <c r="C40" s="362"/>
      <c r="D40" s="501"/>
      <c r="E40" s="502"/>
      <c r="F40" s="294"/>
      <c r="G40" s="42"/>
      <c r="H40" s="41"/>
      <c r="I40" s="42"/>
      <c r="J40" s="292" t="s">
        <v>17</v>
      </c>
      <c r="K40" s="293" t="s">
        <v>147</v>
      </c>
      <c r="L40" s="504" t="s">
        <v>136</v>
      </c>
      <c r="M40" s="504"/>
      <c r="N40" s="505"/>
      <c r="O40" s="294"/>
      <c r="P40" s="12"/>
    </row>
    <row r="41" spans="1:56" ht="15" customHeight="1" thickBot="1">
      <c r="B41" s="516"/>
      <c r="C41" s="349"/>
      <c r="D41" s="554"/>
      <c r="E41" s="555"/>
      <c r="F41" s="294"/>
      <c r="G41" s="42"/>
      <c r="H41" s="41"/>
      <c r="I41" s="42"/>
      <c r="J41" s="287" t="s">
        <v>6</v>
      </c>
      <c r="K41" s="324"/>
      <c r="L41" s="343" t="s">
        <v>37</v>
      </c>
      <c r="M41" s="307" t="s">
        <v>38</v>
      </c>
      <c r="N41" s="307" t="s">
        <v>84</v>
      </c>
      <c r="O41" s="294"/>
      <c r="P41" s="12"/>
    </row>
    <row r="42" spans="1:56" ht="15.75" customHeight="1" thickBot="1">
      <c r="B42" s="516"/>
      <c r="C42" s="349"/>
      <c r="D42" s="501"/>
      <c r="E42" s="502"/>
      <c r="F42" s="294"/>
      <c r="G42" s="42"/>
      <c r="H42" s="41"/>
      <c r="I42" s="42"/>
      <c r="J42" s="345" t="s">
        <v>9</v>
      </c>
      <c r="K42" s="324"/>
      <c r="L42" s="344">
        <f>AVERAGE('Sept 1st'!K53,'Sept 2nd'!K51,'Sept 3rd'!K52,'Sept 4th'!K61,'Sept 5th '!K49,K51)</f>
        <v>8.5</v>
      </c>
      <c r="M42" s="325">
        <f>AVERAGE('[31]Jan 29th '!$M$70,'[32]Feb 28th'!$L$40,'[33]Mar. 31st'!$L$40,'[34]Apr. 30th'!$L$50,'[35]May 30th'!$L$42,'[36]June 30th'!$L$62,'[37]July 29th '!$L$49,'[38]Aug 29th'!$L$34,L42)</f>
        <v>7.1258562608677023</v>
      </c>
      <c r="N42" s="416">
        <v>9.1999999999999993</v>
      </c>
      <c r="O42" s="294"/>
      <c r="P42" s="12"/>
    </row>
    <row r="43" spans="1:56" ht="15" customHeight="1">
      <c r="B43" s="516"/>
      <c r="C43" s="349"/>
      <c r="D43" s="554"/>
      <c r="E43" s="555"/>
      <c r="F43" s="294"/>
      <c r="G43" s="42"/>
      <c r="H43" s="41"/>
      <c r="I43" s="42"/>
      <c r="J43" s="288" t="s">
        <v>40</v>
      </c>
      <c r="K43" s="324"/>
      <c r="L43" s="294"/>
      <c r="M43" s="294"/>
      <c r="N43" s="294"/>
      <c r="O43" s="294"/>
      <c r="P43" s="12"/>
    </row>
    <row r="44" spans="1:56" ht="15" customHeight="1">
      <c r="B44" s="516"/>
      <c r="C44" s="349"/>
      <c r="D44" s="501"/>
      <c r="E44" s="502"/>
      <c r="F44" s="294"/>
      <c r="G44" s="42"/>
      <c r="H44" s="41"/>
      <c r="I44" s="42"/>
      <c r="J44" s="289" t="s">
        <v>33</v>
      </c>
      <c r="K44" s="324">
        <v>7</v>
      </c>
      <c r="L44" s="294"/>
      <c r="M44" s="294"/>
      <c r="N44" s="294"/>
      <c r="O44" s="294"/>
      <c r="P44" s="12"/>
    </row>
    <row r="45" spans="1:56" ht="15">
      <c r="B45" s="516"/>
      <c r="C45" s="349"/>
      <c r="D45" s="554"/>
      <c r="E45" s="555"/>
      <c r="F45" s="294"/>
      <c r="G45" s="42"/>
      <c r="H45" s="41"/>
      <c r="I45" s="42"/>
      <c r="J45" s="290" t="s">
        <v>16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16"/>
      <c r="C46" s="349"/>
      <c r="D46" s="501"/>
      <c r="E46" s="502"/>
      <c r="F46" s="294"/>
      <c r="G46" s="42"/>
      <c r="H46" s="41"/>
      <c r="I46" s="42"/>
      <c r="J46" s="291" t="s">
        <v>15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16"/>
      <c r="C47" s="349"/>
      <c r="D47" s="554"/>
      <c r="E47" s="555"/>
      <c r="F47" s="294"/>
      <c r="G47" s="42"/>
      <c r="H47" s="41"/>
      <c r="I47" s="42"/>
      <c r="J47" s="291" t="s">
        <v>149</v>
      </c>
      <c r="K47" s="324"/>
      <c r="L47" s="294"/>
      <c r="M47" s="294"/>
      <c r="N47" s="294"/>
      <c r="O47" s="294"/>
      <c r="P47" s="12"/>
      <c r="BC47" s="44"/>
      <c r="BD47" s="44"/>
    </row>
    <row r="48" spans="1:56" ht="15.75" thickBot="1">
      <c r="B48" s="517"/>
      <c r="C48" s="350"/>
      <c r="D48" s="556"/>
      <c r="E48" s="557"/>
      <c r="F48" s="294"/>
      <c r="G48" s="42"/>
      <c r="H48" s="41"/>
      <c r="I48" s="42"/>
      <c r="J48" s="291" t="s">
        <v>148</v>
      </c>
      <c r="K48" s="324"/>
      <c r="L48" s="294"/>
      <c r="M48" s="294"/>
      <c r="N48" s="294"/>
      <c r="O48" s="294"/>
      <c r="P48" s="12"/>
      <c r="BC48" s="44"/>
      <c r="BD48" s="44"/>
    </row>
    <row r="49" spans="2:57" ht="17.649999999999999" customHeight="1" thickBot="1">
      <c r="B49" s="312" t="s">
        <v>139</v>
      </c>
      <c r="C49" s="313"/>
      <c r="D49" s="550" t="e">
        <f>AVERAGE(D27:E48)</f>
        <v>#DIV/0!</v>
      </c>
      <c r="E49" s="551"/>
      <c r="F49" s="294"/>
      <c r="H49" s="41"/>
      <c r="I49" s="42"/>
      <c r="J49" s="295" t="s">
        <v>134</v>
      </c>
      <c r="K49" s="324"/>
      <c r="L49" s="294"/>
      <c r="M49" s="294"/>
      <c r="N49" s="294"/>
      <c r="O49" s="294"/>
      <c r="P49" s="12"/>
      <c r="BC49" s="44"/>
      <c r="BD49" s="44"/>
    </row>
    <row r="50" spans="2:57" ht="17.649999999999999" customHeight="1">
      <c r="B50" s="363"/>
      <c r="C50" s="364"/>
      <c r="D50" s="365"/>
      <c r="E50" s="365"/>
      <c r="F50" s="294"/>
      <c r="G50" s="42"/>
      <c r="H50" s="41"/>
      <c r="I50" s="42"/>
      <c r="J50" s="295" t="s">
        <v>131</v>
      </c>
      <c r="K50" s="324"/>
      <c r="L50" s="294"/>
      <c r="M50" s="294"/>
      <c r="N50" s="294"/>
      <c r="O50" s="294"/>
      <c r="P50" s="12"/>
      <c r="BC50" s="44"/>
      <c r="BD50" s="44"/>
    </row>
    <row r="51" spans="2:57" ht="15.6" customHeight="1">
      <c r="B51" s="45"/>
      <c r="C51" s="11"/>
      <c r="D51" s="11"/>
      <c r="E51" s="46"/>
      <c r="F51" s="294"/>
      <c r="G51" s="42"/>
      <c r="H51" s="41"/>
      <c r="I51" s="42"/>
      <c r="J51" s="346" t="s">
        <v>130</v>
      </c>
      <c r="K51" s="324">
        <f>SUM(K41:K50)</f>
        <v>7</v>
      </c>
      <c r="L51" s="294"/>
      <c r="M51" s="294"/>
      <c r="N51" s="294"/>
      <c r="O51" s="294"/>
      <c r="P51" s="12"/>
    </row>
    <row r="52" spans="2:57" ht="20.25" customHeight="1">
      <c r="B52" s="15" t="s">
        <v>42</v>
      </c>
      <c r="C52" s="1" t="s">
        <v>43</v>
      </c>
      <c r="D52" s="1"/>
      <c r="E52" s="1"/>
      <c r="F52" s="294"/>
      <c r="G52" s="42"/>
      <c r="H52" s="41"/>
      <c r="I52" s="42"/>
      <c r="L52" s="294"/>
      <c r="N52" s="315"/>
      <c r="P52" s="334"/>
    </row>
    <row r="53" spans="2:57" ht="15" customHeight="1" thickBot="1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1"/>
      <c r="O53" s="48"/>
      <c r="P53" s="49"/>
    </row>
    <row r="54" spans="2:57" ht="15" customHeight="1" thickBot="1">
      <c r="B54" s="480" t="s">
        <v>17</v>
      </c>
      <c r="C54" s="480" t="s">
        <v>44</v>
      </c>
      <c r="D54" s="492" t="s">
        <v>45</v>
      </c>
      <c r="E54" s="494" t="s">
        <v>46</v>
      </c>
      <c r="F54" s="488" t="s">
        <v>47</v>
      </c>
      <c r="G54" s="478" t="s">
        <v>48</v>
      </c>
      <c r="H54" s="480" t="s">
        <v>49</v>
      </c>
      <c r="I54" s="480" t="s">
        <v>50</v>
      </c>
      <c r="J54" s="472" t="s">
        <v>28</v>
      </c>
      <c r="K54" s="484" t="s">
        <v>51</v>
      </c>
      <c r="L54" s="486" t="s">
        <v>52</v>
      </c>
      <c r="M54" s="472" t="s">
        <v>53</v>
      </c>
      <c r="N54" s="13"/>
      <c r="O54" s="13"/>
      <c r="P54" s="50"/>
    </row>
    <row r="55" spans="2:57" ht="28.5" customHeight="1" thickTop="1" thickBot="1">
      <c r="B55" s="481"/>
      <c r="C55" s="481"/>
      <c r="D55" s="493"/>
      <c r="E55" s="495"/>
      <c r="F55" s="489"/>
      <c r="G55" s="479"/>
      <c r="H55" s="549"/>
      <c r="I55" s="549"/>
      <c r="J55" s="473"/>
      <c r="K55" s="485"/>
      <c r="L55" s="487"/>
      <c r="M55" s="473"/>
      <c r="N55" s="13"/>
      <c r="O55" s="13"/>
      <c r="P55" s="50"/>
      <c r="Q55" s="355"/>
      <c r="AB55" s="51">
        <v>43474</v>
      </c>
      <c r="AC55" s="51">
        <v>43475</v>
      </c>
      <c r="AD55" s="51">
        <v>43476</v>
      </c>
      <c r="AE55" s="51">
        <v>43477</v>
      </c>
      <c r="AF55" s="51">
        <v>43478</v>
      </c>
      <c r="AG55" s="51">
        <v>43479</v>
      </c>
      <c r="AH55" s="51">
        <v>43480</v>
      </c>
      <c r="AI55" s="51">
        <v>43481</v>
      </c>
      <c r="AJ55" s="51">
        <v>43482</v>
      </c>
      <c r="AK55" s="51">
        <v>43483</v>
      </c>
      <c r="AL55" s="51">
        <v>43484</v>
      </c>
      <c r="AM55" s="51">
        <v>43485</v>
      </c>
      <c r="AN55" s="51">
        <v>43486</v>
      </c>
      <c r="AO55" s="51">
        <v>43487</v>
      </c>
      <c r="AP55" s="51">
        <v>43488</v>
      </c>
      <c r="AQ55" s="51">
        <v>43489</v>
      </c>
      <c r="AR55" s="51">
        <v>43490</v>
      </c>
      <c r="AS55" s="51">
        <v>43491</v>
      </c>
      <c r="AT55" s="51">
        <v>43492</v>
      </c>
      <c r="AU55" s="51">
        <v>43493</v>
      </c>
      <c r="AV55" s="51">
        <v>43494</v>
      </c>
      <c r="AW55" s="51">
        <v>43495</v>
      </c>
      <c r="AX55" s="51">
        <v>43496</v>
      </c>
    </row>
    <row r="56" spans="2:57" s="54" customFormat="1" ht="59.45" customHeight="1" thickBot="1">
      <c r="B56" s="461" t="str">
        <f>I27</f>
        <v>CARIB</v>
      </c>
      <c r="C56" s="442">
        <v>45908</v>
      </c>
      <c r="D56" s="443">
        <f>[39]September_2025!$K$3</f>
        <v>410</v>
      </c>
      <c r="E56" s="444"/>
      <c r="F56" s="444"/>
      <c r="G56" s="445">
        <f>[39]September_2025!$K$7</f>
        <v>386.7</v>
      </c>
      <c r="H56" s="463"/>
      <c r="I56" s="463"/>
      <c r="J56" s="449" t="s">
        <v>178</v>
      </c>
      <c r="K56" s="450">
        <f>[40]September_2025!$K$18</f>
        <v>0.27136842105263159</v>
      </c>
      <c r="L56" s="464">
        <f>(((D56+E56)-G56)/(D56+E56))*100</f>
        <v>5.682926829268296</v>
      </c>
      <c r="M56" s="457" t="s">
        <v>170</v>
      </c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[20]January_2019!L7</f>
        <v>285.8</v>
      </c>
      <c r="AC56" s="57">
        <f>[20]January_2019!M7</f>
        <v>508.1</v>
      </c>
      <c r="AD56" s="57">
        <f>[20]January_2019!N7</f>
        <v>0</v>
      </c>
      <c r="AE56" s="57">
        <f>[20]January_2019!O7</f>
        <v>0</v>
      </c>
      <c r="AF56" s="57">
        <f>[20]January_2019!P7</f>
        <v>109.56666666666666</v>
      </c>
      <c r="AG56" s="57">
        <f>[20]January_2019!Q7</f>
        <v>297.64999999999998</v>
      </c>
      <c r="AH56" s="57">
        <f>[20]January_2019!R7</f>
        <v>122.3</v>
      </c>
      <c r="AI56" s="57">
        <f>[20]January_2019!S7</f>
        <v>0</v>
      </c>
      <c r="AJ56" s="57">
        <f>[20]January_2019!T7</f>
        <v>294.7</v>
      </c>
      <c r="AK56" s="57">
        <f>[20]January_2019!U7</f>
        <v>280.5</v>
      </c>
      <c r="AL56" s="57">
        <f>[20]January_2019!V7</f>
        <v>0</v>
      </c>
      <c r="AM56" s="57">
        <f>[20]January_2019!W7</f>
        <v>0</v>
      </c>
      <c r="AN56" s="57">
        <f>[20]January_2019!X7</f>
        <v>188.25</v>
      </c>
      <c r="AO56" s="57">
        <f>[20]January_2019!Y7</f>
        <v>295.7</v>
      </c>
      <c r="AP56" s="57">
        <f>[20]January_2019!Z7</f>
        <v>257.8</v>
      </c>
      <c r="AQ56" s="57">
        <f>[20]January_2019!AA7</f>
        <v>291.2</v>
      </c>
      <c r="AR56" s="57">
        <f>[20]January_2019!AB7</f>
        <v>187</v>
      </c>
      <c r="AS56" s="57">
        <f>[20]January_2019!AC7</f>
        <v>0</v>
      </c>
      <c r="AT56" s="57">
        <f>[20]January_2019!AD7</f>
        <v>0</v>
      </c>
      <c r="AU56" s="57">
        <f>[20]January_2019!AE7</f>
        <v>485.1</v>
      </c>
      <c r="AV56" s="57">
        <f>[20]January_2019!AF7</f>
        <v>171.55</v>
      </c>
      <c r="AW56" s="57">
        <f>[20]January_2019!AG7</f>
        <v>423.8</v>
      </c>
      <c r="AX56" s="277">
        <f>[20]January_2019!AH7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20.45" hidden="1" customHeight="1" thickBot="1">
      <c r="B57" s="459"/>
      <c r="C57" s="431"/>
      <c r="D57" s="432"/>
      <c r="E57" s="433"/>
      <c r="F57" s="434"/>
      <c r="G57" s="435"/>
      <c r="H57" s="429"/>
      <c r="I57" s="429"/>
      <c r="J57" s="452"/>
      <c r="K57" s="437"/>
      <c r="L57" s="453"/>
      <c r="M57" s="422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59.45" hidden="1" customHeight="1" thickBot="1">
      <c r="B58" s="460"/>
      <c r="C58" s="442"/>
      <c r="D58" s="443"/>
      <c r="E58" s="444"/>
      <c r="F58" s="445"/>
      <c r="G58" s="446"/>
      <c r="H58" s="429"/>
      <c r="I58" s="429"/>
      <c r="J58" s="449"/>
      <c r="K58" s="450"/>
      <c r="L58" s="458"/>
      <c r="M58" s="457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5" hidden="1">
      <c r="B59" s="454"/>
      <c r="C59" s="431"/>
      <c r="D59" s="432"/>
      <c r="E59" s="433"/>
      <c r="F59" s="434"/>
      <c r="G59" s="435"/>
      <c r="H59" s="436"/>
      <c r="I59" s="451"/>
      <c r="J59" s="452"/>
      <c r="K59" s="437"/>
      <c r="L59" s="453"/>
      <c r="M59" s="422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6.6" hidden="1" customHeight="1" thickBot="1">
      <c r="B60" s="387"/>
      <c r="C60" s="442"/>
      <c r="D60" s="443"/>
      <c r="E60" s="444"/>
      <c r="F60" s="445"/>
      <c r="G60" s="446"/>
      <c r="H60" s="447"/>
      <c r="I60" s="448"/>
      <c r="J60" s="449" t="s">
        <v>163</v>
      </c>
      <c r="K60" s="450"/>
      <c r="L60" s="455" t="e">
        <f>(((D60+E60)-G60)/(D60+E60))*100</f>
        <v>#DIV/0!</v>
      </c>
      <c r="M60" s="456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6.5" hidden="1" customHeight="1" thickBot="1">
      <c r="B61" s="438"/>
      <c r="C61" s="424"/>
      <c r="D61" s="425"/>
      <c r="E61" s="426"/>
      <c r="F61" s="427"/>
      <c r="G61" s="428"/>
      <c r="H61" s="429"/>
      <c r="I61" s="439"/>
      <c r="J61" s="440"/>
      <c r="K61" s="430"/>
      <c r="L61" s="441"/>
      <c r="M61" s="423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415"/>
      <c r="AC61" s="415"/>
      <c r="AD61" s="415"/>
      <c r="AE61" s="415"/>
      <c r="AF61" s="415"/>
      <c r="AG61" s="415"/>
      <c r="AH61" s="415"/>
      <c r="AI61" s="415"/>
      <c r="AJ61" s="415"/>
      <c r="AK61" s="415"/>
      <c r="AL61" s="415"/>
      <c r="AM61" s="415"/>
      <c r="AN61" s="415"/>
      <c r="AO61" s="415"/>
      <c r="AP61" s="415"/>
      <c r="AQ61" s="415"/>
      <c r="AR61" s="415"/>
      <c r="AS61" s="415"/>
      <c r="AT61" s="415"/>
      <c r="AU61" s="415"/>
      <c r="AV61" s="415"/>
      <c r="AW61" s="415"/>
    </row>
    <row r="62" spans="2:57" ht="18" customHeight="1" thickBot="1">
      <c r="B62" s="59"/>
      <c r="C62" s="30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 t="s">
        <v>41</v>
      </c>
      <c r="O62" s="56"/>
      <c r="P62" s="60"/>
    </row>
    <row r="63" spans="2:57" ht="15.75" thickBot="1">
      <c r="B63" s="474" t="s">
        <v>55</v>
      </c>
      <c r="C63" s="475"/>
      <c r="D63" s="475"/>
      <c r="E63" s="475"/>
      <c r="F63" s="476"/>
      <c r="G63" s="474" t="s">
        <v>56</v>
      </c>
      <c r="H63" s="475"/>
      <c r="I63" s="475"/>
      <c r="J63" s="476"/>
      <c r="K63" s="474" t="s">
        <v>51</v>
      </c>
      <c r="L63" s="475"/>
      <c r="M63" s="475"/>
      <c r="N63" s="477"/>
      <c r="O63" s="56"/>
      <c r="P63" s="50"/>
    </row>
    <row r="64" spans="2:57" ht="15">
      <c r="B64" s="61" t="s">
        <v>17</v>
      </c>
      <c r="C64" s="62" t="s">
        <v>36</v>
      </c>
      <c r="D64" s="62" t="s">
        <v>37</v>
      </c>
      <c r="E64" s="62" t="s">
        <v>38</v>
      </c>
      <c r="F64" s="63" t="s">
        <v>39</v>
      </c>
      <c r="G64" s="62" t="s">
        <v>36</v>
      </c>
      <c r="H64" s="62" t="s">
        <v>37</v>
      </c>
      <c r="I64" s="62" t="s">
        <v>38</v>
      </c>
      <c r="J64" s="63" t="s">
        <v>39</v>
      </c>
      <c r="K64" s="62" t="s">
        <v>36</v>
      </c>
      <c r="L64" s="62" t="s">
        <v>37</v>
      </c>
      <c r="M64" s="62" t="s">
        <v>38</v>
      </c>
      <c r="N64" s="63" t="s">
        <v>39</v>
      </c>
      <c r="O64" s="56"/>
      <c r="P64" s="64"/>
    </row>
    <row r="65" spans="2:16" ht="15">
      <c r="B65" s="29" t="s">
        <v>6</v>
      </c>
      <c r="C65" s="65">
        <f>L56</f>
        <v>5.682926829268296</v>
      </c>
      <c r="D65" s="76"/>
      <c r="E65" s="76"/>
      <c r="F65" s="66">
        <v>4.8</v>
      </c>
      <c r="G65" s="65">
        <f>[39]September_2025!$K$11</f>
        <v>6.9875568080335082</v>
      </c>
      <c r="H65" s="76"/>
      <c r="I65" s="76"/>
      <c r="J65" s="66">
        <v>4.8</v>
      </c>
      <c r="K65" s="67">
        <f>K56</f>
        <v>0.27136842105263159</v>
      </c>
      <c r="L65" s="194"/>
      <c r="M65" s="194"/>
      <c r="N65" s="68">
        <v>1</v>
      </c>
      <c r="O65" s="56"/>
      <c r="P65" s="69"/>
    </row>
    <row r="66" spans="2:16" ht="15">
      <c r="B66" s="33" t="s">
        <v>9</v>
      </c>
      <c r="C66" s="65"/>
      <c r="D66" s="76"/>
      <c r="E66" s="76"/>
      <c r="F66" s="66">
        <v>4.8</v>
      </c>
      <c r="G66" s="65"/>
      <c r="H66" s="76"/>
      <c r="I66" s="76"/>
      <c r="J66" s="66">
        <v>4.8</v>
      </c>
      <c r="K66" s="67"/>
      <c r="L66" s="194"/>
      <c r="M66" s="194"/>
      <c r="N66" s="68">
        <v>1</v>
      </c>
      <c r="P66" s="69"/>
    </row>
    <row r="67" spans="2:16" ht="15">
      <c r="B67" s="34" t="s">
        <v>40</v>
      </c>
      <c r="C67" s="65"/>
      <c r="D67" s="76"/>
      <c r="E67" s="76"/>
      <c r="F67" s="66">
        <v>5.5</v>
      </c>
      <c r="G67" s="65"/>
      <c r="H67" s="76"/>
      <c r="I67" s="76"/>
      <c r="J67" s="66">
        <v>5.5</v>
      </c>
      <c r="K67" s="67"/>
      <c r="L67" s="194"/>
      <c r="M67" s="194"/>
      <c r="N67" s="68">
        <v>1</v>
      </c>
      <c r="P67" s="69"/>
    </row>
    <row r="68" spans="2:16" ht="15">
      <c r="B68" s="22" t="s">
        <v>33</v>
      </c>
      <c r="C68" s="65"/>
      <c r="D68" s="76"/>
      <c r="E68" s="76"/>
      <c r="F68" s="66">
        <v>3.3</v>
      </c>
      <c r="G68" s="65"/>
      <c r="H68" s="76"/>
      <c r="I68" s="76"/>
      <c r="J68" s="66">
        <v>3.3</v>
      </c>
      <c r="K68" s="67"/>
      <c r="L68" s="194"/>
      <c r="M68" s="194"/>
      <c r="N68" s="68">
        <v>1</v>
      </c>
      <c r="P68" s="69"/>
    </row>
    <row r="69" spans="2:16" ht="15">
      <c r="B69" s="35" t="s">
        <v>165</v>
      </c>
      <c r="C69" s="65"/>
      <c r="D69" s="76"/>
      <c r="E69" s="76"/>
      <c r="F69" s="66">
        <v>3.3</v>
      </c>
      <c r="G69" s="282"/>
      <c r="H69" s="76"/>
      <c r="I69" s="76"/>
      <c r="J69" s="66">
        <v>3</v>
      </c>
      <c r="K69" s="67"/>
      <c r="L69" s="194"/>
      <c r="M69" s="194"/>
      <c r="N69" s="68">
        <v>1</v>
      </c>
      <c r="P69" s="69"/>
    </row>
    <row r="70" spans="2:16" ht="15">
      <c r="B70" s="36" t="s">
        <v>15</v>
      </c>
      <c r="C70" s="65"/>
      <c r="D70" s="76"/>
      <c r="E70" s="76"/>
      <c r="F70" s="70">
        <f>[21]May_2022!$M$43</f>
        <v>3.4878406700073312</v>
      </c>
      <c r="G70" s="282"/>
      <c r="H70" s="76"/>
      <c r="I70" s="76"/>
      <c r="J70" s="66">
        <v>5.5</v>
      </c>
      <c r="K70" s="67"/>
      <c r="L70" s="194"/>
      <c r="M70" s="194"/>
      <c r="N70" s="68">
        <v>1</v>
      </c>
      <c r="P70" s="69"/>
    </row>
    <row r="71" spans="2:16" ht="15">
      <c r="B71" s="37" t="s">
        <v>16</v>
      </c>
      <c r="C71" s="65"/>
      <c r="D71" s="76"/>
      <c r="E71" s="76"/>
      <c r="F71" s="66">
        <v>3.3</v>
      </c>
      <c r="G71" s="282"/>
      <c r="H71" s="76"/>
      <c r="I71" s="76"/>
      <c r="J71" s="66">
        <v>3.3</v>
      </c>
      <c r="K71" s="67"/>
      <c r="L71" s="194"/>
      <c r="M71" s="194"/>
      <c r="N71" s="71">
        <v>1</v>
      </c>
      <c r="P71" s="69"/>
    </row>
    <row r="72" spans="2:16" ht="15.75" thickBot="1">
      <c r="B72" s="38" t="s">
        <v>164</v>
      </c>
      <c r="C72" s="65"/>
      <c r="D72" s="76"/>
      <c r="E72" s="76"/>
      <c r="F72" s="66">
        <v>7.5</v>
      </c>
      <c r="G72" s="282"/>
      <c r="H72" s="76"/>
      <c r="I72" s="76"/>
      <c r="J72" s="66">
        <v>7.5</v>
      </c>
      <c r="K72" s="67"/>
      <c r="M72" s="194"/>
      <c r="N72" s="71">
        <v>1</v>
      </c>
      <c r="P72" s="69"/>
    </row>
    <row r="73" spans="2:16" ht="15.75" thickBot="1">
      <c r="B73" s="414" t="s">
        <v>161</v>
      </c>
      <c r="C73" s="65"/>
      <c r="D73" s="76"/>
      <c r="E73" s="76"/>
      <c r="F73" s="66">
        <v>4.8</v>
      </c>
      <c r="G73" s="282"/>
      <c r="H73" s="76"/>
      <c r="I73" s="76"/>
      <c r="J73" s="66">
        <v>4.8</v>
      </c>
      <c r="K73" s="67"/>
      <c r="L73" s="194"/>
      <c r="M73" s="194"/>
      <c r="N73" s="71">
        <v>1</v>
      </c>
      <c r="O73" s="74"/>
      <c r="P73" s="75"/>
    </row>
    <row r="74" spans="2:16" ht="15">
      <c r="D74" s="76"/>
      <c r="E74" s="76"/>
      <c r="F74" s="341">
        <v>5.5</v>
      </c>
      <c r="H74" s="76"/>
      <c r="I74" s="76"/>
      <c r="J74" s="341">
        <v>5.5</v>
      </c>
      <c r="L74" s="194"/>
      <c r="M74" s="194"/>
      <c r="N74" s="386">
        <v>1</v>
      </c>
    </row>
    <row r="78" spans="2:16">
      <c r="F78" s="315"/>
    </row>
    <row r="79" spans="2:16" ht="15">
      <c r="F79" s="341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5:N25"/>
    <mergeCell ref="D26:E26"/>
    <mergeCell ref="B27:B38"/>
    <mergeCell ref="D27:E28"/>
    <mergeCell ref="D29:E30"/>
    <mergeCell ref="D31:E32"/>
    <mergeCell ref="D33:E34"/>
    <mergeCell ref="D35:E36"/>
    <mergeCell ref="D37:E38"/>
    <mergeCell ref="B39:B48"/>
    <mergeCell ref="D39:E40"/>
    <mergeCell ref="J39:K39"/>
    <mergeCell ref="L40:N40"/>
    <mergeCell ref="D41:E42"/>
    <mergeCell ref="D43:E44"/>
    <mergeCell ref="D45:E46"/>
    <mergeCell ref="D47:E48"/>
    <mergeCell ref="D49:E49"/>
    <mergeCell ref="B54:B55"/>
    <mergeCell ref="C54:C55"/>
    <mergeCell ref="D54:D55"/>
    <mergeCell ref="E54:E55"/>
    <mergeCell ref="M54:M55"/>
    <mergeCell ref="B63:F63"/>
    <mergeCell ref="G63:J63"/>
    <mergeCell ref="K63:N63"/>
    <mergeCell ref="G54:G55"/>
    <mergeCell ref="H54:H55"/>
    <mergeCell ref="I54:I55"/>
    <mergeCell ref="J54:J55"/>
    <mergeCell ref="K54:K55"/>
    <mergeCell ref="L54:L55"/>
    <mergeCell ref="F54:F55"/>
  </mergeCells>
  <conditionalFormatting sqref="B49:B50">
    <cfRule type="cellIs" dxfId="2703" priority="141" operator="notBetween">
      <formula>#REF!</formula>
      <formula>#REF!</formula>
    </cfRule>
  </conditionalFormatting>
  <conditionalFormatting sqref="C53">
    <cfRule type="cellIs" dxfId="2702" priority="172" stopIfTrue="1" operator="lessThan">
      <formula>96</formula>
    </cfRule>
    <cfRule type="cellIs" dxfId="2701" priority="173" stopIfTrue="1" operator="greaterThan">
      <formula>100</formula>
    </cfRule>
  </conditionalFormatting>
  <conditionalFormatting sqref="C65:C66">
    <cfRule type="cellIs" dxfId="2700" priority="176" stopIfTrue="1" operator="greaterThan">
      <formula>$F65</formula>
    </cfRule>
    <cfRule type="cellIs" dxfId="2699" priority="178" stopIfTrue="1" operator="greaterThan">
      <formula>$F66</formula>
    </cfRule>
  </conditionalFormatting>
  <conditionalFormatting sqref="C65:C69">
    <cfRule type="cellIs" dxfId="2698" priority="122" stopIfTrue="1" operator="lessThanOrEqual">
      <formula>0</formula>
    </cfRule>
  </conditionalFormatting>
  <conditionalFormatting sqref="C66:C73">
    <cfRule type="cellIs" dxfId="2697" priority="121" stopIfTrue="1" operator="greaterThan">
      <formula>$F66</formula>
    </cfRule>
  </conditionalFormatting>
  <conditionalFormatting sqref="C70">
    <cfRule type="cellIs" dxfId="2696" priority="45" stopIfTrue="1" operator="lessThanOrEqual">
      <formula>0</formula>
    </cfRule>
    <cfRule type="cellIs" dxfId="2695" priority="46" stopIfTrue="1" operator="greaterThan">
      <formula>$F69</formula>
    </cfRule>
  </conditionalFormatting>
  <conditionalFormatting sqref="C76:C80">
    <cfRule type="cellIs" dxfId="2694" priority="164" stopIfTrue="1" operator="lessThanOrEqual">
      <formula>0</formula>
    </cfRule>
  </conditionalFormatting>
  <conditionalFormatting sqref="C77:C80">
    <cfRule type="cellIs" dxfId="2693" priority="163" stopIfTrue="1" operator="greaterThan">
      <formula>$F$76</formula>
    </cfRule>
  </conditionalFormatting>
  <conditionalFormatting sqref="C82">
    <cfRule type="cellIs" dxfId="2692" priority="166" stopIfTrue="1" operator="lessThanOrEqual">
      <formula>0</formula>
    </cfRule>
    <cfRule type="cellIs" dxfId="2691" priority="165" stopIfTrue="1" operator="greaterThan">
      <formula>$F$76</formula>
    </cfRule>
  </conditionalFormatting>
  <conditionalFormatting sqref="C76:D76 D78:D84">
    <cfRule type="cellIs" dxfId="2690" priority="158" stopIfTrue="1" operator="greaterThan">
      <formula>4.5</formula>
    </cfRule>
  </conditionalFormatting>
  <conditionalFormatting sqref="D49:D50">
    <cfRule type="cellIs" dxfId="2689" priority="142" operator="notBetween">
      <formula>#REF!</formula>
      <formula>#REF!</formula>
    </cfRule>
  </conditionalFormatting>
  <conditionalFormatting sqref="D65:D72">
    <cfRule type="cellIs" dxfId="2688" priority="136" stopIfTrue="1" operator="lessThanOrEqual">
      <formula>0</formula>
    </cfRule>
  </conditionalFormatting>
  <conditionalFormatting sqref="D73">
    <cfRule type="cellIs" dxfId="2687" priority="135" stopIfTrue="1" operator="lessThanOrEqual">
      <formula>0</formula>
    </cfRule>
  </conditionalFormatting>
  <conditionalFormatting sqref="D76 D78:D84">
    <cfRule type="cellIs" dxfId="2686" priority="159" stopIfTrue="1" operator="lessThanOrEqual">
      <formula>0</formula>
    </cfRule>
  </conditionalFormatting>
  <conditionalFormatting sqref="D77">
    <cfRule type="cellIs" dxfId="2685" priority="151" stopIfTrue="1" operator="lessThanOrEqual">
      <formula>0</formula>
    </cfRule>
    <cfRule type="cellIs" dxfId="2684" priority="150" stopIfTrue="1" operator="greaterThan">
      <formula>$F$76</formula>
    </cfRule>
  </conditionalFormatting>
  <conditionalFormatting sqref="D65:E74">
    <cfRule type="cellIs" dxfId="2683" priority="119" stopIfTrue="1" operator="greaterThan">
      <formula>$F65</formula>
    </cfRule>
  </conditionalFormatting>
  <conditionalFormatting sqref="D74:E74">
    <cfRule type="cellIs" dxfId="2682" priority="120" stopIfTrue="1" operator="lessThanOrEqual">
      <formula>0</formula>
    </cfRule>
  </conditionalFormatting>
  <conditionalFormatting sqref="E10:E24">
    <cfRule type="cellIs" dxfId="2681" priority="14" operator="lessThan">
      <formula>48</formula>
    </cfRule>
  </conditionalFormatting>
  <conditionalFormatting sqref="E52 E53:F53">
    <cfRule type="cellIs" dxfId="2680" priority="155" stopIfTrue="1" operator="greaterThan">
      <formula>100</formula>
    </cfRule>
  </conditionalFormatting>
  <conditionalFormatting sqref="E53">
    <cfRule type="cellIs" dxfId="2679" priority="153" stopIfTrue="1" operator="greaterThan">
      <formula>100</formula>
    </cfRule>
    <cfRule type="cellIs" dxfId="2678" priority="152" stopIfTrue="1" operator="lessThan">
      <formula>96.8</formula>
    </cfRule>
  </conditionalFormatting>
  <conditionalFormatting sqref="E65:E73">
    <cfRule type="cellIs" dxfId="2677" priority="130" stopIfTrue="1" operator="lessThanOrEqual">
      <formula>0</formula>
    </cfRule>
  </conditionalFormatting>
  <conditionalFormatting sqref="E76:E84">
    <cfRule type="cellIs" dxfId="2676" priority="144" stopIfTrue="1" operator="greaterThan">
      <formula>4.5</formula>
    </cfRule>
    <cfRule type="cellIs" dxfId="2675" priority="145" stopIfTrue="1" operator="lessThanOrEqual">
      <formula>0</formula>
    </cfRule>
  </conditionalFormatting>
  <conditionalFormatting sqref="E53:F53 E52">
    <cfRule type="cellIs" dxfId="2674" priority="154" stopIfTrue="1" operator="lessThan">
      <formula>96.5</formula>
    </cfRule>
  </conditionalFormatting>
  <conditionalFormatting sqref="F10:F20 F22:F23">
    <cfRule type="cellIs" dxfId="2673" priority="29" operator="greaterThan">
      <formula>60</formula>
    </cfRule>
  </conditionalFormatting>
  <conditionalFormatting sqref="F53">
    <cfRule type="cellIs" dxfId="2672" priority="170" stopIfTrue="1" operator="lessThan">
      <formula>96.8</formula>
    </cfRule>
    <cfRule type="cellIs" dxfId="2671" priority="171" stopIfTrue="1" operator="greaterThan">
      <formula>100</formula>
    </cfRule>
  </conditionalFormatting>
  <conditionalFormatting sqref="F74">
    <cfRule type="cellIs" dxfId="2670" priority="131" stopIfTrue="1" operator="greaterThan">
      <formula>$F74</formula>
    </cfRule>
    <cfRule type="cellIs" dxfId="2669" priority="132" stopIfTrue="1" operator="lessThanOrEqual">
      <formula>0</formula>
    </cfRule>
  </conditionalFormatting>
  <conditionalFormatting sqref="F79">
    <cfRule type="cellIs" dxfId="2668" priority="90" stopIfTrue="1" operator="lessThanOrEqual">
      <formula>0</formula>
    </cfRule>
    <cfRule type="cellIs" dxfId="2667" priority="89" stopIfTrue="1" operator="greaterThan">
      <formula>$F79</formula>
    </cfRule>
  </conditionalFormatting>
  <conditionalFormatting sqref="G20:G21">
    <cfRule type="expression" dxfId="2666" priority="26">
      <formula>IF(+(IF(G20&lt;S20,0,IF(G20&gt;T20,0,1)))=0,1)</formula>
    </cfRule>
  </conditionalFormatting>
  <conditionalFormatting sqref="G24">
    <cfRule type="expression" dxfId="2665" priority="23">
      <formula>IF(+(IF(G24&lt;S24,0,IF(G24&gt;T24,0,1)))=0,1)</formula>
    </cfRule>
  </conditionalFormatting>
  <conditionalFormatting sqref="G65:G66 C71:C73">
    <cfRule type="cellIs" dxfId="2664" priority="138" stopIfTrue="1" operator="lessThanOrEqual">
      <formula>0</formula>
    </cfRule>
  </conditionalFormatting>
  <conditionalFormatting sqref="G65:G66">
    <cfRule type="cellIs" dxfId="2663" priority="123" stopIfTrue="1" operator="greaterThan">
      <formula>$F65</formula>
    </cfRule>
    <cfRule type="cellIs" dxfId="2662" priority="137" stopIfTrue="1" operator="greaterThan">
      <formula>$F65</formula>
    </cfRule>
    <cfRule type="cellIs" dxfId="2661" priority="124" stopIfTrue="1" operator="lessThanOrEqual">
      <formula>0</formula>
    </cfRule>
  </conditionalFormatting>
  <conditionalFormatting sqref="G67">
    <cfRule type="cellIs" dxfId="2660" priority="174" stopIfTrue="1" operator="greaterThan">
      <formula>$F66</formula>
    </cfRule>
    <cfRule type="cellIs" dxfId="2659" priority="175" stopIfTrue="1" operator="lessThanOrEqual">
      <formula>0</formula>
    </cfRule>
  </conditionalFormatting>
  <conditionalFormatting sqref="G68">
    <cfRule type="cellIs" dxfId="2658" priority="133" stopIfTrue="1" operator="greaterThan">
      <formula>$F68</formula>
    </cfRule>
    <cfRule type="cellIs" dxfId="2657" priority="134" stopIfTrue="1" operator="lessThanOrEqual">
      <formula>0</formula>
    </cfRule>
  </conditionalFormatting>
  <conditionalFormatting sqref="G69:G73">
    <cfRule type="cellIs" dxfId="2656" priority="140" stopIfTrue="1" operator="lessThanOrEqual">
      <formula>0</formula>
    </cfRule>
    <cfRule type="cellIs" dxfId="2655" priority="139" stopIfTrue="1" operator="greaterThan">
      <formula>$J69</formula>
    </cfRule>
  </conditionalFormatting>
  <conditionalFormatting sqref="G78:G83 C81 C83">
    <cfRule type="cellIs" dxfId="2654" priority="168" stopIfTrue="1" operator="lessThanOrEqual">
      <formula>0</formula>
    </cfRule>
    <cfRule type="cellIs" dxfId="2653" priority="167" stopIfTrue="1" operator="greaterThan">
      <formula>4.5</formula>
    </cfRule>
  </conditionalFormatting>
  <conditionalFormatting sqref="G10:H19 H20:H21 G22:H23">
    <cfRule type="expression" dxfId="2652" priority="44">
      <formula>IF(+(IF(G10&lt;#REF!,0,IF(G10&gt;#REF!,0,1)))=0,1)</formula>
    </cfRule>
  </conditionalFormatting>
  <conditionalFormatting sqref="G77:H77">
    <cfRule type="cellIs" dxfId="2651" priority="148" stopIfTrue="1" operator="greaterThan">
      <formula>$F$76</formula>
    </cfRule>
    <cfRule type="cellIs" dxfId="2650" priority="149" stopIfTrue="1" operator="lessThanOrEqual">
      <formula>0</formula>
    </cfRule>
  </conditionalFormatting>
  <conditionalFormatting sqref="H24">
    <cfRule type="expression" dxfId="2649" priority="24">
      <formula>IF(+(IF(H24&lt;#REF!,0,IF(H24&gt;#REF!,0,1)))=0,1)</formula>
    </cfRule>
  </conditionalFormatting>
  <conditionalFormatting sqref="H38:H52">
    <cfRule type="cellIs" dxfId="2648" priority="146" stopIfTrue="1" operator="greaterThan">
      <formula>0</formula>
    </cfRule>
  </conditionalFormatting>
  <conditionalFormatting sqref="H56">
    <cfRule type="cellIs" dxfId="2647" priority="48" stopIfTrue="1" operator="lessThanOrEqual">
      <formula>0</formula>
    </cfRule>
    <cfRule type="cellIs" dxfId="2646" priority="59" stopIfTrue="1" operator="greaterThan">
      <formula>#REF!</formula>
    </cfRule>
    <cfRule type="cellIs" dxfId="2645" priority="49" stopIfTrue="1" operator="greaterThan">
      <formula>#REF!</formula>
    </cfRule>
    <cfRule type="cellIs" dxfId="2644" priority="60" stopIfTrue="1" operator="lessThanOrEqual">
      <formula>0</formula>
    </cfRule>
  </conditionalFormatting>
  <conditionalFormatting sqref="H57">
    <cfRule type="cellIs" dxfId="2643" priority="85" stopIfTrue="1" operator="greaterThan">
      <formula>$F$25</formula>
    </cfRule>
    <cfRule type="cellIs" dxfId="2642" priority="86" stopIfTrue="1" operator="lessThanOrEqual">
      <formula>0</formula>
    </cfRule>
    <cfRule type="cellIs" dxfId="2641" priority="87" stopIfTrue="1" operator="greaterThan">
      <formula>#REF!</formula>
    </cfRule>
    <cfRule type="cellIs" dxfId="2640" priority="88" stopIfTrue="1" operator="lessThanOrEqual">
      <formula>0</formula>
    </cfRule>
    <cfRule type="cellIs" dxfId="2639" priority="76" stopIfTrue="1" operator="lessThanOrEqual">
      <formula>0</formula>
    </cfRule>
    <cfRule type="cellIs" dxfId="2638" priority="77" stopIfTrue="1" operator="greaterThan">
      <formula>#REF!</formula>
    </cfRule>
  </conditionalFormatting>
  <conditionalFormatting sqref="H58">
    <cfRule type="cellIs" dxfId="2637" priority="42" stopIfTrue="1" operator="greaterThan">
      <formula>$F$44</formula>
    </cfRule>
    <cfRule type="cellIs" dxfId="2636" priority="41" stopIfTrue="1" operator="lessThanOrEqual">
      <formula>0</formula>
    </cfRule>
    <cfRule type="cellIs" dxfId="2635" priority="40" stopIfTrue="1" operator="greaterThan">
      <formula>$F$46</formula>
    </cfRule>
    <cfRule type="cellIs" dxfId="2634" priority="32" stopIfTrue="1" operator="greaterThan">
      <formula>$F$43</formula>
    </cfRule>
    <cfRule type="cellIs" dxfId="2633" priority="31" stopIfTrue="1" operator="lessThanOrEqual">
      <formula>0</formula>
    </cfRule>
    <cfRule type="cellIs" dxfId="2632" priority="43" stopIfTrue="1" operator="lessThanOrEqual">
      <formula>0</formula>
    </cfRule>
  </conditionalFormatting>
  <conditionalFormatting sqref="H59:H60">
    <cfRule type="cellIs" dxfId="2631" priority="71" stopIfTrue="1" operator="greaterThan">
      <formula>$F$24</formula>
    </cfRule>
    <cfRule type="cellIs" dxfId="2630" priority="72" stopIfTrue="1" operator="lessThanOrEqual">
      <formula>0</formula>
    </cfRule>
    <cfRule type="cellIs" dxfId="2629" priority="73" stopIfTrue="1" operator="greaterThan">
      <formula>#REF!</formula>
    </cfRule>
    <cfRule type="cellIs" dxfId="2628" priority="74" stopIfTrue="1" operator="lessThanOrEqual">
      <formula>0</formula>
    </cfRule>
    <cfRule type="cellIs" dxfId="2627" priority="62" stopIfTrue="1" operator="lessThanOrEqual">
      <formula>0</formula>
    </cfRule>
    <cfRule type="cellIs" dxfId="2626" priority="63" stopIfTrue="1" operator="greaterThan">
      <formula>#REF!</formula>
    </cfRule>
  </conditionalFormatting>
  <conditionalFormatting sqref="H61">
    <cfRule type="cellIs" dxfId="2625" priority="102" stopIfTrue="1" operator="greaterThan">
      <formula>$F$40</formula>
    </cfRule>
    <cfRule type="cellIs" dxfId="2624" priority="93" stopIfTrue="1" operator="lessThanOrEqual">
      <formula>0</formula>
    </cfRule>
    <cfRule type="cellIs" dxfId="2623" priority="103" stopIfTrue="1" operator="lessThanOrEqual">
      <formula>0</formula>
    </cfRule>
    <cfRule type="cellIs" dxfId="2622" priority="104" stopIfTrue="1" operator="greaterThan">
      <formula>$F$38</formula>
    </cfRule>
    <cfRule type="cellIs" dxfId="2621" priority="105" stopIfTrue="1" operator="lessThanOrEqual">
      <formula>0</formula>
    </cfRule>
    <cfRule type="cellIs" dxfId="2620" priority="94" stopIfTrue="1" operator="greaterThan">
      <formula>$F$37</formula>
    </cfRule>
  </conditionalFormatting>
  <conditionalFormatting sqref="H65:H72">
    <cfRule type="cellIs" dxfId="2619" priority="126" stopIfTrue="1" operator="lessThanOrEqual">
      <formula>0</formula>
    </cfRule>
    <cfRule type="cellIs" dxfId="2618" priority="125" stopIfTrue="1" operator="greaterThan">
      <formula>$J65</formula>
    </cfRule>
  </conditionalFormatting>
  <conditionalFormatting sqref="H73">
    <cfRule type="cellIs" dxfId="2617" priority="127" operator="greaterThan">
      <formula>5.3</formula>
    </cfRule>
  </conditionalFormatting>
  <conditionalFormatting sqref="H76 H78:H84">
    <cfRule type="cellIs" dxfId="2616" priority="161" stopIfTrue="1" operator="lessThanOrEqual">
      <formula>0</formula>
    </cfRule>
    <cfRule type="cellIs" dxfId="2615" priority="160" stopIfTrue="1" operator="greaterThan">
      <formula>4.5</formula>
    </cfRule>
  </conditionalFormatting>
  <conditionalFormatting sqref="H56:I56">
    <cfRule type="cellIs" dxfId="2614" priority="50" stopIfTrue="1" operator="lessThanOrEqual">
      <formula>0</formula>
    </cfRule>
    <cfRule type="cellIs" dxfId="2613" priority="47" stopIfTrue="1" operator="greaterThan">
      <formula>#REF!</formula>
    </cfRule>
    <cfRule type="cellIs" dxfId="2612" priority="56" stopIfTrue="1" operator="lessThanOrEqual">
      <formula>0</formula>
    </cfRule>
    <cfRule type="cellIs" dxfId="2611" priority="55" stopIfTrue="1" operator="greaterThan">
      <formula>#REF!</formula>
    </cfRule>
  </conditionalFormatting>
  <conditionalFormatting sqref="H57:I57">
    <cfRule type="cellIs" dxfId="2610" priority="78" stopIfTrue="1" operator="lessThanOrEqual">
      <formula>0</formula>
    </cfRule>
    <cfRule type="cellIs" dxfId="2609" priority="75" stopIfTrue="1" operator="greaterThan">
      <formula>$F$24</formula>
    </cfRule>
  </conditionalFormatting>
  <conditionalFormatting sqref="H58:I58">
    <cfRule type="cellIs" dxfId="2608" priority="33" stopIfTrue="1" operator="lessThanOrEqual">
      <formula>0</formula>
    </cfRule>
    <cfRule type="cellIs" dxfId="2607" priority="30" stopIfTrue="1" operator="greaterThan">
      <formula>$F$45</formula>
    </cfRule>
  </conditionalFormatting>
  <conditionalFormatting sqref="H59:I60">
    <cfRule type="cellIs" dxfId="2606" priority="64" stopIfTrue="1" operator="lessThanOrEqual">
      <formula>0</formula>
    </cfRule>
    <cfRule type="cellIs" dxfId="2605" priority="61" stopIfTrue="1" operator="greaterThan">
      <formula>#REF!</formula>
    </cfRule>
  </conditionalFormatting>
  <conditionalFormatting sqref="H61:I61">
    <cfRule type="cellIs" dxfId="2604" priority="95" stopIfTrue="1" operator="lessThanOrEqual">
      <formula>0</formula>
    </cfRule>
    <cfRule type="cellIs" dxfId="2603" priority="92" stopIfTrue="1" operator="greaterThan">
      <formula>$F$39</formula>
    </cfRule>
  </conditionalFormatting>
  <conditionalFormatting sqref="H74:I74">
    <cfRule type="cellIs" dxfId="2602" priority="117" stopIfTrue="1" operator="greaterThan">
      <formula>$J74</formula>
    </cfRule>
    <cfRule type="cellIs" dxfId="2601" priority="118" stopIfTrue="1" operator="lessThanOrEqual">
      <formula>0</formula>
    </cfRule>
  </conditionalFormatting>
  <conditionalFormatting sqref="I56">
    <cfRule type="cellIs" dxfId="2600" priority="54" stopIfTrue="1" operator="lessThanOrEqual">
      <formula>0</formula>
    </cfRule>
    <cfRule type="cellIs" dxfId="2599" priority="51" stopIfTrue="1" operator="greaterThan">
      <formula>#REF!</formula>
    </cfRule>
    <cfRule type="cellIs" dxfId="2598" priority="53" stopIfTrue="1" operator="greaterThan">
      <formula>#REF!</formula>
    </cfRule>
    <cfRule type="cellIs" dxfId="2597" priority="52" stopIfTrue="1" operator="lessThanOrEqual">
      <formula>0</formula>
    </cfRule>
  </conditionalFormatting>
  <conditionalFormatting sqref="I57">
    <cfRule type="cellIs" dxfId="2596" priority="80" stopIfTrue="1" operator="lessThanOrEqual">
      <formula>0</formula>
    </cfRule>
    <cfRule type="cellIs" dxfId="2595" priority="82" stopIfTrue="1" operator="lessThanOrEqual">
      <formula>0</formula>
    </cfRule>
    <cfRule type="cellIs" dxfId="2594" priority="81" stopIfTrue="1" operator="greaterThan">
      <formula>$F$24</formula>
    </cfRule>
    <cfRule type="cellIs" dxfId="2593" priority="79" stopIfTrue="1" operator="greaterThan">
      <formula>#REF!</formula>
    </cfRule>
    <cfRule type="cellIs" dxfId="2592" priority="83" stopIfTrue="1" operator="greaterThan">
      <formula>#REF!</formula>
    </cfRule>
    <cfRule type="cellIs" dxfId="2591" priority="84" stopIfTrue="1" operator="lessThanOrEqual">
      <formula>0</formula>
    </cfRule>
  </conditionalFormatting>
  <conditionalFormatting sqref="I58">
    <cfRule type="cellIs" dxfId="2590" priority="38" stopIfTrue="1" operator="greaterThan">
      <formula>$F$43</formula>
    </cfRule>
    <cfRule type="cellIs" dxfId="2589" priority="37" stopIfTrue="1" operator="lessThanOrEqual">
      <formula>0</formula>
    </cfRule>
    <cfRule type="cellIs" dxfId="2588" priority="35" stopIfTrue="1" operator="lessThanOrEqual">
      <formula>0</formula>
    </cfRule>
    <cfRule type="cellIs" dxfId="2587" priority="34" stopIfTrue="1" operator="greaterThan">
      <formula>$F$43</formula>
    </cfRule>
    <cfRule type="cellIs" dxfId="2586" priority="36" stopIfTrue="1" operator="greaterThan">
      <formula>$F$45</formula>
    </cfRule>
    <cfRule type="cellIs" dxfId="2585" priority="39" stopIfTrue="1" operator="lessThanOrEqual">
      <formula>0</formula>
    </cfRule>
  </conditionalFormatting>
  <conditionalFormatting sqref="I59:I60">
    <cfRule type="cellIs" dxfId="2584" priority="66" stopIfTrue="1" operator="lessThanOrEqual">
      <formula>0</formula>
    </cfRule>
    <cfRule type="cellIs" dxfId="2583" priority="70" stopIfTrue="1" operator="lessThanOrEqual">
      <formula>0</formula>
    </cfRule>
    <cfRule type="cellIs" dxfId="2582" priority="69" stopIfTrue="1" operator="greaterThan">
      <formula>#REF!</formula>
    </cfRule>
    <cfRule type="cellIs" dxfId="2581" priority="65" stopIfTrue="1" operator="greaterThan">
      <formula>#REF!</formula>
    </cfRule>
    <cfRule type="cellIs" dxfId="2580" priority="67" stopIfTrue="1" operator="greaterThan">
      <formula>#REF!</formula>
    </cfRule>
    <cfRule type="cellIs" dxfId="2579" priority="68" stopIfTrue="1" operator="lessThanOrEqual">
      <formula>0</formula>
    </cfRule>
  </conditionalFormatting>
  <conditionalFormatting sqref="I61">
    <cfRule type="cellIs" dxfId="2578" priority="96" stopIfTrue="1" operator="greaterThan">
      <formula>$F$37</formula>
    </cfRule>
    <cfRule type="cellIs" dxfId="2577" priority="97" stopIfTrue="1" operator="lessThanOrEqual">
      <formula>0</formula>
    </cfRule>
    <cfRule type="cellIs" dxfId="2576" priority="98" stopIfTrue="1" operator="greaterThan">
      <formula>$F$39</formula>
    </cfRule>
    <cfRule type="cellIs" dxfId="2575" priority="99" stopIfTrue="1" operator="lessThanOrEqual">
      <formula>0</formula>
    </cfRule>
    <cfRule type="cellIs" dxfId="2574" priority="100" stopIfTrue="1" operator="greaterThan">
      <formula>$F$37</formula>
    </cfRule>
    <cfRule type="cellIs" dxfId="2573" priority="101" stopIfTrue="1" operator="lessThanOrEqual">
      <formula>0</formula>
    </cfRule>
  </conditionalFormatting>
  <conditionalFormatting sqref="I65:I73">
    <cfRule type="cellIs" dxfId="2572" priority="129" stopIfTrue="1" operator="lessThanOrEqual">
      <formula>0</formula>
    </cfRule>
    <cfRule type="cellIs" dxfId="2571" priority="128" stopIfTrue="1" operator="greaterThan">
      <formula>$J65</formula>
    </cfRule>
  </conditionalFormatting>
  <conditionalFormatting sqref="I76:I84">
    <cfRule type="cellIs" dxfId="2570" priority="157" stopIfTrue="1" operator="lessThanOrEqual">
      <formula>0</formula>
    </cfRule>
    <cfRule type="cellIs" dxfId="2569" priority="156" stopIfTrue="1" operator="greaterThan">
      <formula>4.5</formula>
    </cfRule>
  </conditionalFormatting>
  <conditionalFormatting sqref="I10:J24">
    <cfRule type="cellIs" dxfId="2568" priority="15" operator="lessThan">
      <formula>97.9</formula>
    </cfRule>
  </conditionalFormatting>
  <conditionalFormatting sqref="J27:J33">
    <cfRule type="cellIs" dxfId="2567" priority="106" operator="lessThan">
      <formula>97.4</formula>
    </cfRule>
  </conditionalFormatting>
  <conditionalFormatting sqref="J27:J35">
    <cfRule type="cellIs" dxfId="2566" priority="107" stopIfTrue="1" operator="lessThan">
      <formula>96.8</formula>
    </cfRule>
    <cfRule type="cellIs" dxfId="2565" priority="108" stopIfTrue="1" operator="greaterThan">
      <formula>100</formula>
    </cfRule>
  </conditionalFormatting>
  <conditionalFormatting sqref="J27:J36">
    <cfRule type="cellIs" dxfId="2564" priority="109" operator="lessThan">
      <formula>98</formula>
    </cfRule>
  </conditionalFormatting>
  <conditionalFormatting sqref="J74">
    <cfRule type="cellIs" dxfId="2563" priority="115" stopIfTrue="1" operator="lessThanOrEqual">
      <formula>0</formula>
    </cfRule>
    <cfRule type="cellIs" dxfId="2562" priority="114" stopIfTrue="1" operator="greaterThan">
      <formula>$F74</formula>
    </cfRule>
  </conditionalFormatting>
  <conditionalFormatting sqref="K10:K24">
    <cfRule type="cellIs" dxfId="2561" priority="20" operator="greaterThan">
      <formula>6.4</formula>
    </cfRule>
    <cfRule type="cellIs" dxfId="2560" priority="19" operator="lessThan">
      <formula>4</formula>
    </cfRule>
    <cfRule type="cellIs" dxfId="2559" priority="18" operator="greaterThan">
      <formula>6</formula>
    </cfRule>
  </conditionalFormatting>
  <conditionalFormatting sqref="K56:K61 K65:N71 K72 M72:N72 K73:N73">
    <cfRule type="cellIs" dxfId="2558" priority="91" stopIfTrue="1" operator="lessThan">
      <formula>100%</formula>
    </cfRule>
  </conditionalFormatting>
  <conditionalFormatting sqref="K76:K81">
    <cfRule type="cellIs" dxfId="2557" priority="162" stopIfTrue="1" operator="lessThan">
      <formula>100%</formula>
    </cfRule>
  </conditionalFormatting>
  <conditionalFormatting sqref="K83:K84">
    <cfRule type="cellIs" dxfId="2556" priority="169" stopIfTrue="1" operator="lessThan">
      <formula>100%</formula>
    </cfRule>
  </conditionalFormatting>
  <conditionalFormatting sqref="L10:L16 L17:M19 L20:L24">
    <cfRule type="cellIs" dxfId="2555" priority="16" operator="between">
      <formula>61</formula>
      <formula>65</formula>
    </cfRule>
    <cfRule type="cellIs" dxfId="2554" priority="17" operator="greaterThan">
      <formula>65</formula>
    </cfRule>
  </conditionalFormatting>
  <conditionalFormatting sqref="L27:M38">
    <cfRule type="cellIs" dxfId="2553" priority="25" operator="lessThan">
      <formula>98</formula>
    </cfRule>
  </conditionalFormatting>
  <conditionalFormatting sqref="L42:N42">
    <cfRule type="cellIs" dxfId="2552" priority="13" operator="notEqual">
      <formula>#REF!</formula>
    </cfRule>
  </conditionalFormatting>
  <conditionalFormatting sqref="L74:N74">
    <cfRule type="cellIs" dxfId="2551" priority="116" stopIfTrue="1" operator="lessThan">
      <formula>100%</formula>
    </cfRule>
  </conditionalFormatting>
  <conditionalFormatting sqref="L76:N84">
    <cfRule type="cellIs" dxfId="2550" priority="147" stopIfTrue="1" operator="lessThan">
      <formula>100%</formula>
    </cfRule>
  </conditionalFormatting>
  <conditionalFormatting sqref="M10:M21">
    <cfRule type="expression" dxfId="2549" priority="28">
      <formula>IF(+(IF(M10&lt;U10,0,IF(M10&gt;V10,0,1)))=0,1)</formula>
    </cfRule>
  </conditionalFormatting>
  <conditionalFormatting sqref="M24">
    <cfRule type="expression" dxfId="2548" priority="22">
      <formula>IF(+(IF(M24&lt;U24,0,IF(M24&gt;V24,0,1)))=0,1)</formula>
    </cfRule>
  </conditionalFormatting>
  <conditionalFormatting sqref="M22:N23">
    <cfRule type="expression" dxfId="2547" priority="177">
      <formula>IF(+(IF(M22&lt;#REF!,0,IF(M22&gt;#REF!,0,1)))=0,1)</formula>
    </cfRule>
  </conditionalFormatting>
  <conditionalFormatting sqref="N10:N21">
    <cfRule type="expression" dxfId="2546" priority="27">
      <formula>IF(+(IF(N10&lt;W10,0,IF(N10&gt;X10,0,1)))=0,1)</formula>
    </cfRule>
  </conditionalFormatting>
  <conditionalFormatting sqref="N24">
    <cfRule type="expression" dxfId="2545" priority="21">
      <formula>IF(+(IF(N24&lt;W24,0,IF(N24&gt;X24,0,1)))=0,1)</formula>
    </cfRule>
  </conditionalFormatting>
  <conditionalFormatting sqref="P6">
    <cfRule type="cellIs" dxfId="2544" priority="143" operator="greaterThanOrEqual">
      <formula>19</formula>
    </cfRule>
  </conditionalFormatting>
  <dataValidations count="1">
    <dataValidation type="list" allowBlank="1" showInputMessage="1" showErrorMessage="1" sqref="R8" xr:uid="{C728743D-70D1-4D4B-8DD0-765E50746195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8" max="16383" man="1"/>
  </rowBreaks>
  <colBreaks count="1" manualBreakCount="1">
    <brk id="15" max="89" man="1"/>
  </col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3CA91-62C0-455A-BB25-39B16176CC8F}">
  <sheetPr>
    <pageSetUpPr fitToPage="1"/>
  </sheetPr>
  <dimension ref="A1:BE79"/>
  <sheetViews>
    <sheetView topLeftCell="A22" zoomScale="80" zoomScaleNormal="80" workbookViewId="0">
      <selection activeCell="L42" sqref="L42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67.425781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25" t="s">
        <v>0</v>
      </c>
      <c r="T1" s="525"/>
      <c r="U1" s="525" t="s">
        <v>1</v>
      </c>
      <c r="V1" s="525"/>
      <c r="W1" s="525" t="s">
        <v>2</v>
      </c>
      <c r="X1" s="525"/>
      <c r="Y1" s="525" t="s">
        <v>124</v>
      </c>
      <c r="Z1" s="525"/>
    </row>
    <row r="2" spans="2:29" ht="15">
      <c r="B2" s="526" t="s">
        <v>3</v>
      </c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45910</v>
      </c>
      <c r="J4" s="398" t="s">
        <v>168</v>
      </c>
      <c r="K4" s="398"/>
      <c r="L4" s="11"/>
      <c r="M4" s="547" t="s">
        <v>8</v>
      </c>
      <c r="N4" s="548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44"/>
      <c r="D5" s="544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167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84" t="s">
        <v>17</v>
      </c>
      <c r="C8" s="494" t="s">
        <v>18</v>
      </c>
      <c r="D8" s="494" t="s">
        <v>19</v>
      </c>
      <c r="E8" s="356" t="s">
        <v>20</v>
      </c>
      <c r="F8" s="356" t="s">
        <v>21</v>
      </c>
      <c r="G8" s="494" t="s">
        <v>22</v>
      </c>
      <c r="H8" s="535" t="s">
        <v>144</v>
      </c>
      <c r="I8" s="494" t="s">
        <v>166</v>
      </c>
      <c r="J8" s="537" t="s">
        <v>23</v>
      </c>
      <c r="K8" s="539" t="s">
        <v>142</v>
      </c>
      <c r="L8" s="541" t="s">
        <v>24</v>
      </c>
      <c r="M8" s="359" t="s">
        <v>25</v>
      </c>
      <c r="N8" s="17" t="s">
        <v>26</v>
      </c>
      <c r="O8" s="494" t="s">
        <v>155</v>
      </c>
      <c r="P8" s="56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33"/>
      <c r="C9" s="534"/>
      <c r="D9" s="534"/>
      <c r="E9" s="357" t="s">
        <v>30</v>
      </c>
      <c r="F9" s="357" t="s">
        <v>31</v>
      </c>
      <c r="G9" s="534"/>
      <c r="H9" s="536"/>
      <c r="I9" s="534"/>
      <c r="J9" s="538"/>
      <c r="K9" s="540"/>
      <c r="L9" s="542"/>
      <c r="M9" s="20" t="s">
        <v>32</v>
      </c>
      <c r="N9" s="21" t="s">
        <v>41</v>
      </c>
      <c r="O9" s="534"/>
      <c r="P9" s="561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22" t="s">
        <v>33</v>
      </c>
      <c r="C10" s="366" t="str">
        <f>[26]Brewhouse!A86</f>
        <v>VM074</v>
      </c>
      <c r="D10" s="279">
        <f>[26]Brewhouse!AE86</f>
        <v>50</v>
      </c>
      <c r="E10" s="279">
        <f>[26]Brewhouse!AJ86</f>
        <v>48.8</v>
      </c>
      <c r="F10" s="278">
        <f>[26]Brewhouse!X86</f>
        <v>89</v>
      </c>
      <c r="G10" s="279">
        <f>[26]Brewhouse!AH86</f>
        <v>14</v>
      </c>
      <c r="H10" s="396"/>
      <c r="I10" s="368">
        <f>[26]Brewhouse!AV86</f>
        <v>96.69450110380555</v>
      </c>
      <c r="J10" s="368">
        <f>[26]Brewhouse!AW86</f>
        <v>97.15829641370371</v>
      </c>
      <c r="K10" s="281">
        <f>[26]Brewhouse!S86</f>
        <v>6.5200000000000102</v>
      </c>
      <c r="L10" s="276">
        <f>[26]Brewhouse!R86</f>
        <v>58</v>
      </c>
      <c r="M10" s="374">
        <f>[26]Brewhouse!$W86-[26]Brewhouse!$V86</f>
        <v>0.13472222222222224</v>
      </c>
      <c r="N10" s="370">
        <f>[26]Brewhouse!AB86</f>
        <v>0.31527777777777777</v>
      </c>
      <c r="O10" s="371" t="str">
        <f>[26]Brewhouse!$AZ86</f>
        <v>D. Gomaz</v>
      </c>
      <c r="P10" s="418" t="s">
        <v>177</v>
      </c>
      <c r="R10" s="277" t="str">
        <f t="shared" ref="R10" si="0">B10</f>
        <v>VITAMALT</v>
      </c>
      <c r="S10" s="296">
        <f t="shared" ref="S10:S46" si="1">VLOOKUP($B10,$R$3:$X$9,2,FALSE)</f>
        <v>14.2</v>
      </c>
      <c r="T10" s="296">
        <f t="shared" ref="T10:T46" si="2">VLOOKUP($B10,$R$3:$X$9,3,FALSE)</f>
        <v>14.6</v>
      </c>
      <c r="U10" s="297">
        <f t="shared" ref="U10:U46" si="3">VLOOKUP($B10,$R$3:$X$9,4,FALSE)</f>
        <v>0</v>
      </c>
      <c r="V10" s="297">
        <f t="shared" ref="V10:V46" si="4">VLOOKUP($B10,$R$3:$X$9,5,FALSE)</f>
        <v>0.13905092592592591</v>
      </c>
      <c r="W10" s="297">
        <f t="shared" ref="W10:W46" si="5">VLOOKUP($B10,$R$3:$X$9,6,FALSE)</f>
        <v>0.26041666666666669</v>
      </c>
      <c r="X10" s="297">
        <f t="shared" ref="X10:X46" si="6">VLOOKUP($B10,$R$3:$X$9,7,FALSE)</f>
        <v>0.2951388888888889</v>
      </c>
      <c r="Y10" s="297">
        <f t="shared" ref="Y10:Y46" si="7">VLOOKUP($B10,$R$3:$Z$9,8,FALSE)</f>
        <v>0</v>
      </c>
      <c r="Z10" s="296">
        <f t="shared" ref="Z10:Z46" si="8">VLOOKUP($B10,$R$3:$Z$9,9,FALSE)</f>
        <v>75</v>
      </c>
    </row>
    <row r="11" spans="2:29" ht="15.75" customHeight="1">
      <c r="B11" s="22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74"/>
      <c r="N11" s="370"/>
      <c r="O11" s="371"/>
      <c r="P11" s="418"/>
      <c r="R11" s="277">
        <f t="shared" ref="R11:R46" si="9">B11</f>
        <v>0</v>
      </c>
      <c r="S11" s="296" t="e">
        <f t="shared" si="1"/>
        <v>#N/A</v>
      </c>
      <c r="T11" s="296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296" t="e">
        <f t="shared" si="8"/>
        <v>#N/A</v>
      </c>
    </row>
    <row r="12" spans="2:29" ht="15.75" customHeight="1">
      <c r="B12" s="29" t="s">
        <v>6</v>
      </c>
      <c r="C12" s="366" t="str">
        <f>[22]Brewhouse!$A766</f>
        <v>CA657</v>
      </c>
      <c r="D12" s="279">
        <f>[22]Brewhouse!$AF766</f>
        <v>49.7</v>
      </c>
      <c r="E12" s="279">
        <f>[22]Brewhouse!$AI766</f>
        <v>47.5</v>
      </c>
      <c r="F12" s="278">
        <f>[22]Brewhouse!$V766</f>
        <v>55</v>
      </c>
      <c r="G12" s="279">
        <f>[22]Brewhouse!AG766</f>
        <v>12</v>
      </c>
      <c r="H12" s="396"/>
      <c r="I12" s="368">
        <f>[22]Brewhouse!$AU766</f>
        <v>93.620315619787959</v>
      </c>
      <c r="J12" s="368">
        <f>[22]Brewhouse!$AV766</f>
        <v>95.695839189824568</v>
      </c>
      <c r="K12" s="281">
        <f>[22]Brewhouse!$Q766</f>
        <v>7.5849056603773519</v>
      </c>
      <c r="L12" s="276">
        <f>[22]Brewhouse!$P766</f>
        <v>61</v>
      </c>
      <c r="M12" s="397">
        <f>[22]Brewhouse!$U766-[22]Brewhouse!$T766</f>
        <v>0.10555555555555557</v>
      </c>
      <c r="N12" s="370">
        <f>[22]Brewhouse!$Z766</f>
        <v>0.23194444444444445</v>
      </c>
      <c r="O12" s="421" t="str">
        <f>[22]Brewhouse!$AX766</f>
        <v>K.Benjamin</v>
      </c>
      <c r="P12" s="418"/>
      <c r="R12" s="277" t="str">
        <f t="shared" si="9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29" t="s">
        <v>6</v>
      </c>
      <c r="C13" s="366" t="str">
        <f>[22]Brewhouse!$A767</f>
        <v>CA658</v>
      </c>
      <c r="D13" s="279">
        <f>[22]Brewhouse!$AF767</f>
        <v>48.3</v>
      </c>
      <c r="E13" s="279">
        <f>[22]Brewhouse!$AI767</f>
        <v>48.9</v>
      </c>
      <c r="F13" s="278">
        <f>[22]Brewhouse!$V767</f>
        <v>51</v>
      </c>
      <c r="G13" s="279">
        <f>[22]Brewhouse!AG767</f>
        <v>11.9</v>
      </c>
      <c r="H13" s="396"/>
      <c r="I13" s="368">
        <f>[22]Brewhouse!$AU767</f>
        <v>95.654703935410836</v>
      </c>
      <c r="J13" s="368">
        <f>[22]Brewhouse!$AV767</f>
        <v>97.775091461679722</v>
      </c>
      <c r="K13" s="281">
        <f>[22]Brewhouse!$Q767</f>
        <v>10.226415094339627</v>
      </c>
      <c r="L13" s="276">
        <f>[22]Brewhouse!$P767</f>
        <v>61</v>
      </c>
      <c r="M13" s="397">
        <f>[22]Brewhouse!$U767-[22]Brewhouse!$T767</f>
        <v>0.10902777777777772</v>
      </c>
      <c r="N13" s="370">
        <f>[22]Brewhouse!$Z767</f>
        <v>0.24166666666666664</v>
      </c>
      <c r="O13" s="421" t="str">
        <f>[22]Brewhouse!$AX767</f>
        <v>K.Benjamin</v>
      </c>
      <c r="P13" s="418"/>
      <c r="R13" s="277" t="str">
        <f t="shared" si="9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29" t="s">
        <v>6</v>
      </c>
      <c r="C14" s="366" t="str">
        <f>[22]Brewhouse!$A768</f>
        <v>CA659</v>
      </c>
      <c r="D14" s="279">
        <f>[22]Brewhouse!$AF768</f>
        <v>51.7</v>
      </c>
      <c r="E14" s="279">
        <f>[22]Brewhouse!$AI768</f>
        <v>49.7</v>
      </c>
      <c r="F14" s="278">
        <f>[22]Brewhouse!$V768</f>
        <v>53</v>
      </c>
      <c r="G14" s="279">
        <f>[22]Brewhouse!AG768</f>
        <v>11.7</v>
      </c>
      <c r="H14" s="396"/>
      <c r="I14" s="368">
        <f>[22]Brewhouse!$AU768</f>
        <v>95.740465303030746</v>
      </c>
      <c r="J14" s="368">
        <f>[22]Brewhouse!$AV768</f>
        <v>97.862276525870712</v>
      </c>
      <c r="K14" s="281">
        <f>[22]Brewhouse!$Q768</f>
        <v>3.8113207547169736</v>
      </c>
      <c r="L14" s="276">
        <f>[22]Brewhouse!$P768</f>
        <v>59</v>
      </c>
      <c r="M14" s="397">
        <f>[22]Brewhouse!$U768-[22]Brewhouse!$T768</f>
        <v>9.7916666666666652E-2</v>
      </c>
      <c r="N14" s="370">
        <f>[22]Brewhouse!$Z768</f>
        <v>0.23750000000000004</v>
      </c>
      <c r="O14" s="421" t="str">
        <f>[22]Brewhouse!$AX768</f>
        <v>K.Benjamin</v>
      </c>
      <c r="P14" s="418"/>
      <c r="R14" s="277" t="str">
        <f t="shared" si="9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29" t="s">
        <v>6</v>
      </c>
      <c r="C15" s="366" t="str">
        <f>[22]Brewhouse!$A769</f>
        <v>CA660</v>
      </c>
      <c r="D15" s="279">
        <f>[22]Brewhouse!$AF769</f>
        <v>52</v>
      </c>
      <c r="E15" s="279">
        <f>[22]Brewhouse!$AI769</f>
        <v>50.1</v>
      </c>
      <c r="F15" s="278">
        <f>[22]Brewhouse!$V769</f>
        <v>53</v>
      </c>
      <c r="G15" s="279">
        <f>[22]Brewhouse!AG769</f>
        <v>11.7</v>
      </c>
      <c r="H15" s="396"/>
      <c r="I15" s="368">
        <f>[22]Brewhouse!$AU769</f>
        <v>96.270295348127476</v>
      </c>
      <c r="J15" s="368">
        <f>[22]Brewhouse!$AV769</f>
        <v>98.404328751693555</v>
      </c>
      <c r="K15" s="281">
        <f>[22]Brewhouse!$Q769</f>
        <v>3.2452830188679229</v>
      </c>
      <c r="L15" s="276">
        <f>[22]Brewhouse!$P769</f>
        <v>60</v>
      </c>
      <c r="M15" s="397">
        <f>[22]Brewhouse!$U769-[22]Brewhouse!$T769</f>
        <v>0.10625000000000007</v>
      </c>
      <c r="N15" s="370">
        <f>[22]Brewhouse!$Z769</f>
        <v>0.24444444444444446</v>
      </c>
      <c r="O15" s="421" t="str">
        <f>[22]Brewhouse!$AX769</f>
        <v>K.Benjamin</v>
      </c>
      <c r="P15" s="418"/>
      <c r="R15" s="277" t="str">
        <f t="shared" ref="R15:R35" si="10">B15</f>
        <v>CARIB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29" t="s">
        <v>6</v>
      </c>
      <c r="C16" s="366" t="str">
        <f>[22]Brewhouse!$A770</f>
        <v>CA661</v>
      </c>
      <c r="D16" s="279">
        <f>[22]Brewhouse!$AF770</f>
        <v>52.2</v>
      </c>
      <c r="E16" s="279">
        <f>[22]Brewhouse!$AI770</f>
        <v>50.5</v>
      </c>
      <c r="F16" s="278">
        <f>[22]Brewhouse!$V770</f>
        <v>63</v>
      </c>
      <c r="G16" s="279">
        <f>[22]Brewhouse!AG770</f>
        <v>11.7</v>
      </c>
      <c r="H16" s="396"/>
      <c r="I16" s="368">
        <f>[22]Brewhouse!$AU770</f>
        <v>98.198080994074218</v>
      </c>
      <c r="J16" s="368">
        <f>[22]Brewhouse!$AV770</f>
        <v>100.46872597739835</v>
      </c>
      <c r="K16" s="281">
        <f>[22]Brewhouse!$Q770</f>
        <v>2.8679245283018791</v>
      </c>
      <c r="L16" s="276">
        <f>[22]Brewhouse!$P770</f>
        <v>60</v>
      </c>
      <c r="M16" s="397">
        <f>[22]Brewhouse!$U770-[22]Brewhouse!$T770</f>
        <v>0.11250000000000004</v>
      </c>
      <c r="N16" s="370">
        <f>[22]Brewhouse!$Z770</f>
        <v>0.25902777777777786</v>
      </c>
      <c r="O16" s="421" t="str">
        <f>[22]Brewhouse!$AX770</f>
        <v>R. Regis</v>
      </c>
      <c r="P16" s="418"/>
      <c r="R16" s="277" t="str">
        <f t="shared" si="10"/>
        <v>CARIB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1:26" ht="15.75" customHeight="1">
      <c r="B17" s="29" t="s">
        <v>6</v>
      </c>
      <c r="C17" s="366" t="str">
        <f>[22]Brewhouse!$A771</f>
        <v>CA662</v>
      </c>
      <c r="D17" s="279">
        <f>[22]Brewhouse!$AF771</f>
        <v>49.9</v>
      </c>
      <c r="E17" s="279">
        <f>[22]Brewhouse!$AI771</f>
        <v>49.9</v>
      </c>
      <c r="F17" s="278">
        <f>[22]Brewhouse!$V771</f>
        <v>55</v>
      </c>
      <c r="G17" s="279">
        <f>[22]Brewhouse!AG771</f>
        <v>11.8</v>
      </c>
      <c r="H17" s="396"/>
      <c r="I17" s="368">
        <f>[22]Brewhouse!$AU771</f>
        <v>98.151831893576741</v>
      </c>
      <c r="J17" s="368">
        <f>[22]Brewhouse!$AV771</f>
        <v>100.42114891321027</v>
      </c>
      <c r="K17" s="281">
        <f>[22]Brewhouse!$Q771</f>
        <v>7.2075471698113205</v>
      </c>
      <c r="L17" s="276">
        <f>[22]Brewhouse!$P771</f>
        <v>60</v>
      </c>
      <c r="M17" s="397">
        <f>[22]Brewhouse!$U771-[22]Brewhouse!$T771</f>
        <v>0.10833333333333328</v>
      </c>
      <c r="N17" s="370">
        <f>[22]Brewhouse!$Z771</f>
        <v>0.24444444444444435</v>
      </c>
      <c r="O17" s="421" t="str">
        <f>[22]Brewhouse!$AX771</f>
        <v>R. Regis</v>
      </c>
      <c r="P17" s="418"/>
      <c r="R17" s="277" t="str">
        <f t="shared" si="10"/>
        <v>CARIB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1:26" ht="15.75" customHeight="1">
      <c r="B18" s="29" t="s">
        <v>6</v>
      </c>
      <c r="C18" s="366" t="str">
        <f>[22]Brewhouse!$A772</f>
        <v>CA663</v>
      </c>
      <c r="D18" s="279">
        <f>[22]Brewhouse!$AF772</f>
        <v>50.6</v>
      </c>
      <c r="E18" s="279">
        <f>[22]Brewhouse!$AI772</f>
        <v>47.7</v>
      </c>
      <c r="F18" s="278">
        <f>[22]Brewhouse!$V772</f>
        <v>151</v>
      </c>
      <c r="G18" s="279">
        <f>[22]Brewhouse!AG772</f>
        <v>11.7</v>
      </c>
      <c r="H18" s="396"/>
      <c r="I18" s="368">
        <f>[22]Brewhouse!$AU772</f>
        <v>92.519915989135797</v>
      </c>
      <c r="J18" s="368">
        <f>[22]Brewhouse!$AV772</f>
        <v>94.659506620900046</v>
      </c>
      <c r="K18" s="281">
        <f>[22]Brewhouse!$Q772</f>
        <v>5.8867924528301838</v>
      </c>
      <c r="L18" s="276">
        <f>[22]Brewhouse!$P772</f>
        <v>60</v>
      </c>
      <c r="M18" s="397">
        <f>[22]Brewhouse!$U772-[22]Brewhouse!$T772</f>
        <v>0.17222222222222228</v>
      </c>
      <c r="N18" s="370">
        <f>[22]Brewhouse!$Z772</f>
        <v>0.30763888888888891</v>
      </c>
      <c r="O18" s="421" t="str">
        <f>[22]Brewhouse!$AX772</f>
        <v>R. Regis</v>
      </c>
      <c r="P18" s="418"/>
      <c r="R18" s="277" t="str">
        <f t="shared" si="10"/>
        <v>CARIB</v>
      </c>
      <c r="S18" s="296">
        <f t="shared" si="1"/>
        <v>11.6</v>
      </c>
      <c r="T18" s="296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296">
        <f t="shared" si="8"/>
        <v>60</v>
      </c>
    </row>
    <row r="19" spans="1:26" ht="15.75" customHeight="1">
      <c r="B19" s="29" t="s">
        <v>6</v>
      </c>
      <c r="C19" s="366" t="str">
        <f>[22]Brewhouse!$A773</f>
        <v>CA664</v>
      </c>
      <c r="D19" s="279">
        <f>[22]Brewhouse!$AF773</f>
        <v>52</v>
      </c>
      <c r="E19" s="279">
        <f>[22]Brewhouse!$AI773</f>
        <v>51.5</v>
      </c>
      <c r="F19" s="278">
        <f>[22]Brewhouse!$V773</f>
        <v>64</v>
      </c>
      <c r="G19" s="279">
        <f>[22]Brewhouse!AG773</f>
        <v>11.7</v>
      </c>
      <c r="H19" s="396"/>
      <c r="I19" s="368">
        <f>[22]Brewhouse!$AU773</f>
        <v>99.639619531797223</v>
      </c>
      <c r="J19" s="368">
        <f>[22]Brewhouse!$AV773</f>
        <v>101.94411833721229</v>
      </c>
      <c r="K19" s="281">
        <f>[22]Brewhouse!$Q773</f>
        <v>3.4274952919020718</v>
      </c>
      <c r="L19" s="276">
        <f>[22]Brewhouse!$P773</f>
        <v>57</v>
      </c>
      <c r="M19" s="397">
        <f>[22]Brewhouse!$U773-[22]Brewhouse!$T773</f>
        <v>0.12638888888888877</v>
      </c>
      <c r="N19" s="370">
        <f>[22]Brewhouse!$Z773</f>
        <v>0.2618055555555554</v>
      </c>
      <c r="O19" s="421" t="str">
        <f>[22]Brewhouse!$AX773</f>
        <v>D. Gomez</v>
      </c>
      <c r="P19" s="418"/>
      <c r="R19" s="277" t="str">
        <f t="shared" si="10"/>
        <v>CARIB</v>
      </c>
      <c r="S19" s="296">
        <f t="shared" si="1"/>
        <v>11.6</v>
      </c>
      <c r="T19" s="296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296">
        <f t="shared" si="8"/>
        <v>60</v>
      </c>
    </row>
    <row r="20" spans="1:26" ht="15.7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1"/>
      <c r="P20" s="418"/>
      <c r="R20" s="277">
        <f t="shared" si="1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6" ht="15.7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1"/>
      <c r="P21" s="418"/>
      <c r="R21" s="277">
        <f t="shared" si="1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6" ht="15.75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1"/>
      <c r="P22" s="418"/>
      <c r="R22" s="277">
        <f t="shared" si="1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6" ht="15.75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8"/>
      <c r="R23" s="277">
        <f t="shared" si="1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6" ht="15.75" customHeight="1">
      <c r="B24" s="37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74"/>
      <c r="N24" s="370"/>
      <c r="O24" s="371"/>
      <c r="P24" s="418"/>
      <c r="R24" s="277">
        <f t="shared" si="1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6" ht="15.75" customHeight="1" thickBot="1">
      <c r="B25" s="358"/>
      <c r="C25" s="358"/>
      <c r="D25" s="358"/>
      <c r="E25" s="358"/>
      <c r="F25" s="294"/>
      <c r="G25" s="294"/>
      <c r="H25" s="348"/>
      <c r="I25" s="514"/>
      <c r="J25" s="514"/>
      <c r="K25" s="514"/>
      <c r="L25" s="514"/>
      <c r="M25" s="514"/>
      <c r="N25" s="514"/>
      <c r="O25" s="1"/>
      <c r="P25" s="12"/>
      <c r="R25" s="277">
        <f t="shared" si="1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6" ht="15.75" thickBot="1">
      <c r="B26" s="388" t="s">
        <v>162</v>
      </c>
      <c r="C26" s="388"/>
      <c r="D26" s="527" t="s">
        <v>35</v>
      </c>
      <c r="E26" s="528"/>
      <c r="F26" s="294"/>
      <c r="G26" s="294"/>
      <c r="H26" s="348"/>
      <c r="I26" s="24" t="s">
        <v>17</v>
      </c>
      <c r="J26" s="25" t="s">
        <v>36</v>
      </c>
      <c r="K26" s="26" t="s">
        <v>138</v>
      </c>
      <c r="L26" s="25" t="s">
        <v>37</v>
      </c>
      <c r="M26" s="25" t="s">
        <v>38</v>
      </c>
      <c r="N26" s="27" t="s">
        <v>39</v>
      </c>
      <c r="O26" s="294"/>
      <c r="P26" s="12"/>
      <c r="R26" s="277" t="str">
        <f t="shared" si="10"/>
        <v xml:space="preserve">BRAND 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6" ht="15" customHeight="1">
      <c r="A27" s="28"/>
      <c r="B27" s="558" t="str">
        <f>I27</f>
        <v>CARIB</v>
      </c>
      <c r="C27" s="362"/>
      <c r="D27" s="518"/>
      <c r="E27" s="507"/>
      <c r="F27" s="294"/>
      <c r="G27" s="294"/>
      <c r="H27" s="348"/>
      <c r="I27" s="29" t="s">
        <v>6</v>
      </c>
      <c r="J27" s="280">
        <f>AVERAGE(I12:I19)</f>
        <v>96.224403576867644</v>
      </c>
      <c r="K27" s="284">
        <f>COUNTA([22]Brewhouse!$A$740:$A$758)</f>
        <v>19</v>
      </c>
      <c r="L27" s="305">
        <f>AVERAGE([22]Brewhouse!$AU$740:$AU$758)</f>
        <v>97.561908305193484</v>
      </c>
      <c r="M27" s="302">
        <f>AVERAGE([22]Brewhouse!$AU$102:$AU$171,[22]Brewhouse!$AU$173:$AU$253,[22]Brewhouse!$AU$255:$AU$339,[22]Brewhouse!$AU$341:$AU$346,[22]Brewhouse!$AU$348,[22]Brewhouse!$AU$349:$AU$406,[22]Brewhouse!$AU$408:$AU$491,[22]Brewhouse!$AU$493:$AU$578,[22]Brewhouse!$AU$580:$AU$652,[22]Brewhouse!$AU$655:$AU$758)</f>
        <v>97.70144579498259</v>
      </c>
      <c r="N27" s="30">
        <v>98</v>
      </c>
      <c r="O27" s="11"/>
      <c r="P27" s="31"/>
      <c r="R27" s="277" t="str">
        <f t="shared" si="10"/>
        <v>CARIB</v>
      </c>
      <c r="S27" s="296">
        <f t="shared" si="1"/>
        <v>11.6</v>
      </c>
      <c r="T27" s="296">
        <f t="shared" si="2"/>
        <v>12</v>
      </c>
      <c r="U27" s="297">
        <f t="shared" si="3"/>
        <v>0</v>
      </c>
      <c r="V27" s="297">
        <f t="shared" si="4"/>
        <v>0.118055555555556</v>
      </c>
      <c r="W27" s="297">
        <f t="shared" si="5"/>
        <v>0.22569444444444445</v>
      </c>
      <c r="X27" s="297">
        <f t="shared" si="6"/>
        <v>0.2638888888888889</v>
      </c>
      <c r="Y27" s="297">
        <f t="shared" si="7"/>
        <v>0</v>
      </c>
      <c r="Z27" s="296">
        <f t="shared" si="8"/>
        <v>60</v>
      </c>
    </row>
    <row r="28" spans="1:26" ht="15" customHeight="1">
      <c r="A28" s="28"/>
      <c r="B28" s="559"/>
      <c r="C28" s="362"/>
      <c r="D28" s="519"/>
      <c r="E28" s="502"/>
      <c r="F28" s="294"/>
      <c r="G28" s="294"/>
      <c r="H28" s="348"/>
      <c r="I28" s="33" t="s">
        <v>9</v>
      </c>
      <c r="J28" s="280"/>
      <c r="K28" s="284">
        <f>COUNTA([24]Brewhouse!$A$361:$A$370)</f>
        <v>10</v>
      </c>
      <c r="L28" s="302">
        <f>AVERAGE([24]Brewhouse!$AS$361:$AS$370)</f>
        <v>97.37391829333653</v>
      </c>
      <c r="M28" s="302">
        <f>AVERAGE([24]Brewhouse!$AS$15:$AS$64,[24]Brewhouse!$AS$66:$AS$103,[24]Brewhouse!$AS$105:$AS$140,[24]Brewhouse!$AS$142:$AS$193,[24]Brewhouse!$AS$195:$AS$240,[24]Brewhouse!$AS$242:$AS$273,[24]Brewhouse!$AS$275:$AS$322,[24]Brewhouse!$AS$324:$AS$359,[24]Brewhouse!$AS$361:$AS$370)</f>
        <v>98.045616899357427</v>
      </c>
      <c r="N28" s="30">
        <v>98</v>
      </c>
      <c r="O28" s="11"/>
      <c r="P28" s="31"/>
      <c r="R28" s="277">
        <f t="shared" si="1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1:26" ht="14.65" customHeight="1">
      <c r="A29" s="28"/>
      <c r="B29" s="559"/>
      <c r="C29" s="362"/>
      <c r="D29" s="518"/>
      <c r="E29" s="507"/>
      <c r="F29" s="294"/>
      <c r="G29" s="294"/>
      <c r="H29" s="348"/>
      <c r="I29" s="34" t="s">
        <v>12</v>
      </c>
      <c r="J29" s="280"/>
      <c r="K29" s="284"/>
      <c r="L29" s="302"/>
      <c r="M29" s="302">
        <f>AVERAGE([25]Brewhouse!$AU$4:$AU$7,[25]Brewhouse!$AU$9:$AU$22,[25]Brewhouse!$AU$24:$AU$35,[25]Brewhouse!$AU$37:$AU$45,[25]Brewhouse!$AU$47:$AU$62,[25]Brewhouse!$AU$64:$AU$79,[25]Brewhouse!$AU$81:$AU$92)</f>
        <v>96.938184743997624</v>
      </c>
      <c r="N29" s="30">
        <v>98</v>
      </c>
      <c r="O29" s="11"/>
      <c r="P29" s="31"/>
      <c r="R29" s="277">
        <f t="shared" si="1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1:26" ht="14.65" customHeight="1">
      <c r="A30" s="28"/>
      <c r="B30" s="559"/>
      <c r="C30" s="362"/>
      <c r="D30" s="519"/>
      <c r="E30" s="502"/>
      <c r="F30" s="294"/>
      <c r="G30" s="294"/>
      <c r="H30" s="348"/>
      <c r="I30" s="22" t="s">
        <v>33</v>
      </c>
      <c r="J30" s="280">
        <f>AVERAGE(I10)</f>
        <v>96.69450110380555</v>
      </c>
      <c r="K30" s="284">
        <f>COUNTA([26]Brewhouse!$A$79:$A$86)</f>
        <v>8</v>
      </c>
      <c r="L30" s="302">
        <f>AVERAGE([26]Brewhouse!$AV$79:$AV$86)</f>
        <v>96.412390542357869</v>
      </c>
      <c r="M30" s="302">
        <f>AVERAGE([26]Brewhouse!$AV$5:$AV$14,[26]Brewhouse!$AV$16:$AV$19,[26]Brewhouse!$AV$21:$AV$24,[26]Brewhouse!$AV$26:$AV$33,[26]Brewhouse!$AV$35:$AV$46,[26]Brewhouse!$AV$48:$AV$53,[26]Brewhouse!$AV$55:$AV$62,[26]Brewhouse!$AV$64:$AV$77,[26]Brewhouse!$AV$79:$AV$86)</f>
        <v>98.293408393493976</v>
      </c>
      <c r="N30" s="30">
        <v>98</v>
      </c>
      <c r="O30" s="11"/>
      <c r="P30" s="31"/>
      <c r="R30" s="277">
        <f t="shared" si="1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1:26" ht="14.65" customHeight="1">
      <c r="A31" s="28"/>
      <c r="B31" s="559"/>
      <c r="C31" s="362"/>
      <c r="D31" s="518"/>
      <c r="E31" s="507"/>
      <c r="F31" s="417"/>
      <c r="G31" s="294"/>
      <c r="H31" s="348"/>
      <c r="I31" s="35" t="s">
        <v>29</v>
      </c>
      <c r="J31" s="280"/>
      <c r="K31" s="284"/>
      <c r="L31" s="302"/>
      <c r="M31" s="302"/>
      <c r="N31" s="30">
        <v>98</v>
      </c>
      <c r="O31" s="11"/>
      <c r="P31" s="31"/>
      <c r="R31" s="277">
        <f t="shared" si="1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1:26" ht="14.65" customHeight="1">
      <c r="A32" s="28"/>
      <c r="B32" s="559"/>
      <c r="C32" s="362"/>
      <c r="D32" s="519"/>
      <c r="E32" s="502"/>
      <c r="F32" s="417"/>
      <c r="G32" s="294"/>
      <c r="H32" s="348"/>
      <c r="I32" s="36" t="s">
        <v>15</v>
      </c>
      <c r="J32" s="280"/>
      <c r="K32" s="284"/>
      <c r="L32" s="302"/>
      <c r="M32" s="302">
        <f>AVERAGE([27]Brewhouse!$AT$4:$AT$11,[27]Brewhouse!$AT$13:$AT$16,[27]Brewhouse!$AT$18:$AT$21,[27]Brewhouse!$AT$26)</f>
        <v>94.588057846623641</v>
      </c>
      <c r="N32" s="30">
        <v>98</v>
      </c>
      <c r="O32" s="11"/>
      <c r="P32" s="31"/>
      <c r="R32" s="277">
        <f t="shared" si="1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56" ht="14.65" customHeight="1">
      <c r="A33" s="28"/>
      <c r="B33" s="559"/>
      <c r="C33" s="362"/>
      <c r="D33" s="518"/>
      <c r="E33" s="507"/>
      <c r="F33" s="417"/>
      <c r="G33" s="294"/>
      <c r="H33" s="348"/>
      <c r="I33" s="37" t="s">
        <v>16</v>
      </c>
      <c r="J33" s="280"/>
      <c r="K33" s="284">
        <f>COUNTA([23]Brewhouse!$A$75:$A$82)</f>
        <v>8</v>
      </c>
      <c r="L33" s="302">
        <f>AVERAGE([23]Brewhouse!$AY$75:$AY$82)</f>
        <v>97.738838123294386</v>
      </c>
      <c r="M33" s="302">
        <f>AVERAGE([23]Brewhouse!$AY$6:$AY$13,[23]Brewhouse!$AY$15:$AY$20,[23]Brewhouse!$AY$22:$AY$29,[23]Brewhouse!$AY$31:$AY$34,[23]Brewhouse!$AY$36:$AY$43,[23]Brewhouse!$AY$45:$AY$50, [23]Brewhouse!$AY$56:$AY$73,[23]Brewhouse!$AY$75:$AY$82)</f>
        <v>97.409216272979165</v>
      </c>
      <c r="N33" s="30">
        <v>98</v>
      </c>
      <c r="O33" s="11"/>
      <c r="P33" s="31" t="s">
        <v>41</v>
      </c>
      <c r="R33" s="277">
        <f t="shared" si="1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56" ht="14.65" customHeight="1">
      <c r="A34" s="28"/>
      <c r="B34" s="559"/>
      <c r="C34" s="362"/>
      <c r="D34" s="519"/>
      <c r="E34" s="502"/>
      <c r="F34" s="294"/>
      <c r="G34" s="294"/>
      <c r="H34" s="348"/>
      <c r="I34" s="411" t="s">
        <v>158</v>
      </c>
      <c r="J34" s="326"/>
      <c r="K34" s="284"/>
      <c r="L34" s="305"/>
      <c r="M34" s="305">
        <f>AVERAGE([28]Brewhouse!$AU$5:$AU$8,[28]Brewhouse!$AU$10:$AU$13,[23]Brewhouse!$AY$75:$AY$77)</f>
        <v>94.749192473706671</v>
      </c>
      <c r="N34" s="30">
        <v>98</v>
      </c>
      <c r="O34" s="11"/>
      <c r="P34" s="31"/>
      <c r="R34" s="277">
        <f t="shared" si="1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</row>
    <row r="35" spans="1:56" ht="14.65" customHeight="1">
      <c r="A35" s="28"/>
      <c r="B35" s="559"/>
      <c r="C35" s="349"/>
      <c r="D35" s="518"/>
      <c r="E35" s="507"/>
      <c r="F35" s="294"/>
      <c r="G35" s="294"/>
      <c r="H35" s="348"/>
      <c r="I35" s="410" t="s">
        <v>157</v>
      </c>
      <c r="J35" s="326"/>
      <c r="K35" s="284"/>
      <c r="L35" s="305"/>
      <c r="M35" s="305">
        <f>AVERAGE([29]Brewhouse!$AW$26:$AW$27)</f>
        <v>95.310680905194914</v>
      </c>
      <c r="N35" s="30">
        <v>98</v>
      </c>
      <c r="O35" s="11"/>
      <c r="P35" s="31"/>
      <c r="R35" s="277">
        <f t="shared" si="1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</row>
    <row r="36" spans="1:56" ht="15" customHeight="1" thickBot="1">
      <c r="A36" s="28"/>
      <c r="B36" s="559"/>
      <c r="C36" s="349"/>
      <c r="D36" s="519"/>
      <c r="E36" s="502"/>
      <c r="F36" s="294"/>
      <c r="G36" s="294"/>
      <c r="H36" s="348"/>
      <c r="I36" s="406" t="s">
        <v>156</v>
      </c>
      <c r="J36" s="327"/>
      <c r="K36" s="407"/>
      <c r="L36" s="408"/>
      <c r="M36" s="408">
        <f>AVERAGE([30]Brewhouse!$AU$13:$AU$14)</f>
        <v>97.110575243268045</v>
      </c>
      <c r="N36" s="409">
        <v>98</v>
      </c>
      <c r="O36" s="11"/>
      <c r="P36" s="31"/>
      <c r="R36" s="277">
        <f t="shared" si="9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</row>
    <row r="37" spans="1:56" ht="15" customHeight="1" thickBot="1">
      <c r="A37" s="28"/>
      <c r="B37" s="559"/>
      <c r="C37" s="349"/>
      <c r="D37" s="518"/>
      <c r="E37" s="507"/>
      <c r="F37" s="294"/>
      <c r="G37" s="294"/>
      <c r="H37" s="348"/>
      <c r="I37" s="1"/>
      <c r="J37" s="39"/>
      <c r="K37" s="404">
        <f>SUM(K27:K36)</f>
        <v>45</v>
      </c>
      <c r="L37" s="405">
        <f>((L27*K27)+(L28*K28)+(L29*K29)+(L30*K30)+(L31*K31)+(K34*L34)+(L32*K32)+(L33*K33)+(L36*K36))/(K37)</f>
        <v>97.347228223494653</v>
      </c>
      <c r="M37" s="405">
        <f>AVERAGE('[31]Jan 31st'!$L$65,'[32]Feb 28th'!$L$35,'[33]Mar. 31st'!$L$35,'[34]Apr. 30th'!$L$45,'[35]May 30th'!$L$37,'[36]June 30th'!$L$57,L37)</f>
        <v>97.614162674365232</v>
      </c>
      <c r="N37" s="40">
        <v>98</v>
      </c>
      <c r="O37" s="11"/>
      <c r="P37" s="31"/>
      <c r="R37" s="277">
        <f t="shared" si="9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</row>
    <row r="38" spans="1:56" ht="15.75" thickBot="1">
      <c r="B38" s="560"/>
      <c r="C38" s="350"/>
      <c r="D38" s="519"/>
      <c r="E38" s="502"/>
      <c r="F38" s="294"/>
      <c r="G38" s="42"/>
      <c r="H38" s="41"/>
      <c r="I38" s="42"/>
      <c r="J38" s="42"/>
      <c r="K38" s="351"/>
      <c r="L38" s="348"/>
      <c r="M38" s="348"/>
      <c r="N38" s="11"/>
      <c r="O38" s="294"/>
      <c r="P38" s="12"/>
      <c r="R38" s="277">
        <f t="shared" si="9"/>
        <v>0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</row>
    <row r="39" spans="1:56" ht="15.75" thickBot="1">
      <c r="B39" s="552"/>
      <c r="C39" s="362"/>
      <c r="D39" s="499"/>
      <c r="E39" s="500"/>
      <c r="F39" s="294"/>
      <c r="G39" s="42"/>
      <c r="H39" s="41"/>
      <c r="I39" s="42"/>
      <c r="J39" s="553" t="s">
        <v>129</v>
      </c>
      <c r="K39" s="553"/>
      <c r="L39" s="294"/>
      <c r="M39" s="294"/>
      <c r="N39" s="294"/>
      <c r="O39" s="294"/>
      <c r="P39" s="12"/>
      <c r="R39" s="277">
        <f t="shared" si="9"/>
        <v>0</v>
      </c>
      <c r="S39" s="296" t="e">
        <f t="shared" si="1"/>
        <v>#N/A</v>
      </c>
      <c r="T39" s="296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296" t="e">
        <f t="shared" si="8"/>
        <v>#N/A</v>
      </c>
    </row>
    <row r="40" spans="1:56" ht="15.75" thickBot="1">
      <c r="B40" s="516"/>
      <c r="C40" s="362"/>
      <c r="D40" s="501"/>
      <c r="E40" s="502"/>
      <c r="F40" s="294"/>
      <c r="G40" s="42"/>
      <c r="H40" s="41"/>
      <c r="I40" s="42"/>
      <c r="J40" s="292" t="s">
        <v>17</v>
      </c>
      <c r="K40" s="293" t="s">
        <v>147</v>
      </c>
      <c r="L40" s="504" t="s">
        <v>136</v>
      </c>
      <c r="M40" s="504"/>
      <c r="N40" s="505"/>
      <c r="O40" s="294"/>
      <c r="P40" s="12"/>
      <c r="R40" s="277">
        <f t="shared" si="9"/>
        <v>0</v>
      </c>
      <c r="S40" s="296" t="e">
        <f t="shared" si="1"/>
        <v>#N/A</v>
      </c>
      <c r="T40" s="296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296" t="e">
        <f t="shared" si="8"/>
        <v>#N/A</v>
      </c>
    </row>
    <row r="41" spans="1:56" ht="15" customHeight="1" thickBot="1">
      <c r="B41" s="516"/>
      <c r="C41" s="349"/>
      <c r="D41" s="554"/>
      <c r="E41" s="555"/>
      <c r="F41" s="294"/>
      <c r="G41" s="42"/>
      <c r="H41" s="41"/>
      <c r="I41" s="42"/>
      <c r="J41" s="287" t="s">
        <v>6</v>
      </c>
      <c r="K41" s="324">
        <v>8</v>
      </c>
      <c r="L41" s="343" t="s">
        <v>37</v>
      </c>
      <c r="M41" s="307" t="s">
        <v>38</v>
      </c>
      <c r="N41" s="307" t="s">
        <v>84</v>
      </c>
      <c r="O41" s="294"/>
      <c r="P41" s="12"/>
      <c r="R41" s="277">
        <f t="shared" si="9"/>
        <v>0</v>
      </c>
      <c r="S41" s="296" t="e">
        <f t="shared" si="1"/>
        <v>#N/A</v>
      </c>
      <c r="T41" s="296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296" t="e">
        <f t="shared" si="8"/>
        <v>#N/A</v>
      </c>
    </row>
    <row r="42" spans="1:56" ht="15.75" customHeight="1" thickBot="1">
      <c r="B42" s="516"/>
      <c r="C42" s="349"/>
      <c r="D42" s="501"/>
      <c r="E42" s="502"/>
      <c r="F42" s="294"/>
      <c r="G42" s="42"/>
      <c r="H42" s="41"/>
      <c r="I42" s="42"/>
      <c r="J42" s="345" t="s">
        <v>9</v>
      </c>
      <c r="K42" s="324"/>
      <c r="L42" s="344">
        <f>AVERAGE('Sept 1st'!K53,'Sept 2nd'!K51,'Sept 3rd'!K52,'Sept 4th'!K61,'Sept 5th '!K49,'Sept 8th'!K51,K51)</f>
        <v>8.5714285714285712</v>
      </c>
      <c r="M42" s="325">
        <f>AVERAGE('[31]Jan 29th '!$M$70,'[32]Feb 28th'!$L$40,'[33]Mar. 31st'!$L$40,'[34]Apr. 30th'!$L$50,'[35]May 30th'!$L$42,'[36]June 30th'!$L$62,'[37]July 29th '!$L$49,'[38]Aug 29th'!$L$34,L42)</f>
        <v>7.1337927688042093</v>
      </c>
      <c r="N42" s="416">
        <v>9.1999999999999993</v>
      </c>
      <c r="O42" s="294"/>
      <c r="P42" s="12"/>
      <c r="R42" s="277">
        <f t="shared" si="9"/>
        <v>0</v>
      </c>
      <c r="S42" s="296" t="e">
        <f t="shared" si="1"/>
        <v>#N/A</v>
      </c>
      <c r="T42" s="296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296" t="e">
        <f t="shared" si="8"/>
        <v>#N/A</v>
      </c>
    </row>
    <row r="43" spans="1:56" ht="15" customHeight="1">
      <c r="B43" s="516"/>
      <c r="C43" s="349"/>
      <c r="D43" s="554"/>
      <c r="E43" s="555"/>
      <c r="F43" s="294"/>
      <c r="G43" s="42"/>
      <c r="H43" s="41"/>
      <c r="I43" s="42"/>
      <c r="J43" s="288" t="s">
        <v>40</v>
      </c>
      <c r="K43" s="324"/>
      <c r="L43" s="294"/>
      <c r="M43" s="294"/>
      <c r="N43" s="294"/>
      <c r="O43" s="294"/>
      <c r="P43" s="12"/>
      <c r="R43" s="277">
        <f t="shared" si="9"/>
        <v>0</v>
      </c>
      <c r="S43" s="296" t="e">
        <f t="shared" si="1"/>
        <v>#N/A</v>
      </c>
      <c r="T43" s="296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296" t="e">
        <f t="shared" si="8"/>
        <v>#N/A</v>
      </c>
    </row>
    <row r="44" spans="1:56" ht="15" customHeight="1">
      <c r="B44" s="516"/>
      <c r="C44" s="349"/>
      <c r="D44" s="501"/>
      <c r="E44" s="502"/>
      <c r="F44" s="294"/>
      <c r="G44" s="42"/>
      <c r="H44" s="41"/>
      <c r="I44" s="42"/>
      <c r="J44" s="289" t="s">
        <v>33</v>
      </c>
      <c r="K44" s="324">
        <v>1</v>
      </c>
      <c r="L44" s="294"/>
      <c r="M44" s="294"/>
      <c r="N44" s="294"/>
      <c r="O44" s="294"/>
      <c r="P44" s="12"/>
      <c r="R44" s="277">
        <f t="shared" si="9"/>
        <v>0</v>
      </c>
      <c r="S44" s="296" t="e">
        <f t="shared" si="1"/>
        <v>#N/A</v>
      </c>
      <c r="T44" s="296" t="e">
        <f t="shared" si="2"/>
        <v>#N/A</v>
      </c>
      <c r="U44" s="297" t="e">
        <f t="shared" si="3"/>
        <v>#N/A</v>
      </c>
      <c r="V44" s="297" t="e">
        <f t="shared" si="4"/>
        <v>#N/A</v>
      </c>
      <c r="W44" s="297" t="e">
        <f t="shared" si="5"/>
        <v>#N/A</v>
      </c>
      <c r="X44" s="297" t="e">
        <f t="shared" si="6"/>
        <v>#N/A</v>
      </c>
      <c r="Y44" s="297" t="e">
        <f t="shared" si="7"/>
        <v>#N/A</v>
      </c>
      <c r="Z44" s="296" t="e">
        <f t="shared" si="8"/>
        <v>#N/A</v>
      </c>
    </row>
    <row r="45" spans="1:56" ht="15">
      <c r="B45" s="516"/>
      <c r="C45" s="349"/>
      <c r="D45" s="554"/>
      <c r="E45" s="555"/>
      <c r="F45" s="294"/>
      <c r="G45" s="42"/>
      <c r="H45" s="41"/>
      <c r="I45" s="42"/>
      <c r="J45" s="290" t="s">
        <v>16</v>
      </c>
      <c r="K45" s="324"/>
      <c r="L45" s="294"/>
      <c r="M45" s="294"/>
      <c r="N45" s="294"/>
      <c r="O45" s="294"/>
      <c r="P45" s="12"/>
      <c r="R45" s="277">
        <f t="shared" si="9"/>
        <v>0</v>
      </c>
      <c r="S45" s="296" t="e">
        <f t="shared" si="1"/>
        <v>#N/A</v>
      </c>
      <c r="T45" s="296" t="e">
        <f t="shared" si="2"/>
        <v>#N/A</v>
      </c>
      <c r="U45" s="297" t="e">
        <f t="shared" si="3"/>
        <v>#N/A</v>
      </c>
      <c r="V45" s="297" t="e">
        <f t="shared" si="4"/>
        <v>#N/A</v>
      </c>
      <c r="W45" s="297" t="e">
        <f t="shared" si="5"/>
        <v>#N/A</v>
      </c>
      <c r="X45" s="297" t="e">
        <f t="shared" si="6"/>
        <v>#N/A</v>
      </c>
      <c r="Y45" s="297" t="e">
        <f t="shared" si="7"/>
        <v>#N/A</v>
      </c>
      <c r="Z45" s="296" t="e">
        <f t="shared" si="8"/>
        <v>#N/A</v>
      </c>
      <c r="BC45" s="44"/>
      <c r="BD45" s="44"/>
    </row>
    <row r="46" spans="1:56" ht="15">
      <c r="B46" s="516"/>
      <c r="C46" s="349"/>
      <c r="D46" s="501"/>
      <c r="E46" s="502"/>
      <c r="F46" s="294"/>
      <c r="G46" s="42"/>
      <c r="H46" s="41"/>
      <c r="I46" s="42"/>
      <c r="J46" s="291" t="s">
        <v>15</v>
      </c>
      <c r="K46" s="324"/>
      <c r="L46" s="294"/>
      <c r="M46" s="294"/>
      <c r="N46" s="294"/>
      <c r="O46" s="294"/>
      <c r="P46" s="12"/>
      <c r="R46" s="277">
        <f t="shared" si="9"/>
        <v>0</v>
      </c>
      <c r="S46" s="296" t="e">
        <f t="shared" si="1"/>
        <v>#N/A</v>
      </c>
      <c r="T46" s="296" t="e">
        <f t="shared" si="2"/>
        <v>#N/A</v>
      </c>
      <c r="U46" s="297" t="e">
        <f t="shared" si="3"/>
        <v>#N/A</v>
      </c>
      <c r="V46" s="297" t="e">
        <f t="shared" si="4"/>
        <v>#N/A</v>
      </c>
      <c r="W46" s="297" t="e">
        <f t="shared" si="5"/>
        <v>#N/A</v>
      </c>
      <c r="X46" s="297" t="e">
        <f t="shared" si="6"/>
        <v>#N/A</v>
      </c>
      <c r="Y46" s="297" t="e">
        <f t="shared" si="7"/>
        <v>#N/A</v>
      </c>
      <c r="Z46" s="296" t="e">
        <f t="shared" si="8"/>
        <v>#N/A</v>
      </c>
      <c r="BC46" s="44"/>
      <c r="BD46" s="44"/>
    </row>
    <row r="47" spans="1:56" ht="15">
      <c r="B47" s="516"/>
      <c r="C47" s="349"/>
      <c r="D47" s="554"/>
      <c r="E47" s="555"/>
      <c r="F47" s="294"/>
      <c r="G47" s="42"/>
      <c r="H47" s="41"/>
      <c r="I47" s="42"/>
      <c r="J47" s="291" t="s">
        <v>149</v>
      </c>
      <c r="K47" s="324"/>
      <c r="L47" s="294"/>
      <c r="M47" s="294"/>
      <c r="N47" s="294"/>
      <c r="O47" s="294"/>
      <c r="P47" s="12"/>
      <c r="BC47" s="44"/>
      <c r="BD47" s="44"/>
    </row>
    <row r="48" spans="1:56" ht="15.75" thickBot="1">
      <c r="B48" s="517"/>
      <c r="C48" s="350"/>
      <c r="D48" s="556"/>
      <c r="E48" s="557"/>
      <c r="F48" s="294"/>
      <c r="G48" s="42"/>
      <c r="H48" s="41"/>
      <c r="I48" s="42"/>
      <c r="J48" s="291" t="s">
        <v>148</v>
      </c>
      <c r="K48" s="324"/>
      <c r="L48" s="294"/>
      <c r="M48" s="294"/>
      <c r="N48" s="294"/>
      <c r="O48" s="294"/>
      <c r="P48" s="12"/>
      <c r="BC48" s="44"/>
      <c r="BD48" s="44"/>
    </row>
    <row r="49" spans="2:57" ht="17.649999999999999" customHeight="1" thickBot="1">
      <c r="B49" s="312" t="s">
        <v>139</v>
      </c>
      <c r="C49" s="313"/>
      <c r="D49" s="550" t="e">
        <f>AVERAGE(D27:E48)</f>
        <v>#DIV/0!</v>
      </c>
      <c r="E49" s="551"/>
      <c r="F49" s="294"/>
      <c r="H49" s="41"/>
      <c r="I49" s="42"/>
      <c r="J49" s="295" t="s">
        <v>134</v>
      </c>
      <c r="K49" s="324"/>
      <c r="L49" s="294"/>
      <c r="M49" s="294"/>
      <c r="N49" s="294"/>
      <c r="O49" s="294"/>
      <c r="P49" s="12"/>
      <c r="BC49" s="44"/>
      <c r="BD49" s="44"/>
    </row>
    <row r="50" spans="2:57" ht="17.649999999999999" customHeight="1">
      <c r="B50" s="363"/>
      <c r="C50" s="364"/>
      <c r="D50" s="365"/>
      <c r="E50" s="365"/>
      <c r="F50" s="294"/>
      <c r="G50" s="42"/>
      <c r="H50" s="41"/>
      <c r="I50" s="42"/>
      <c r="J50" s="295" t="s">
        <v>131</v>
      </c>
      <c r="K50" s="324"/>
      <c r="L50" s="294"/>
      <c r="M50" s="294"/>
      <c r="N50" s="294"/>
      <c r="O50" s="294"/>
      <c r="P50" s="12"/>
      <c r="BC50" s="44"/>
      <c r="BD50" s="44"/>
    </row>
    <row r="51" spans="2:57" ht="15.6" customHeight="1">
      <c r="B51" s="45"/>
      <c r="C51" s="11"/>
      <c r="D51" s="11"/>
      <c r="E51" s="46"/>
      <c r="F51" s="294"/>
      <c r="G51" s="42"/>
      <c r="H51" s="41"/>
      <c r="I51" s="42"/>
      <c r="J51" s="346" t="s">
        <v>130</v>
      </c>
      <c r="K51" s="324">
        <f>SUM(K41:K50)</f>
        <v>9</v>
      </c>
      <c r="L51" s="294"/>
      <c r="M51" s="294"/>
      <c r="N51" s="294"/>
      <c r="O51" s="294"/>
      <c r="P51" s="12"/>
    </row>
    <row r="52" spans="2:57" ht="20.25" customHeight="1">
      <c r="B52" s="15" t="s">
        <v>42</v>
      </c>
      <c r="C52" s="1" t="s">
        <v>43</v>
      </c>
      <c r="D52" s="1"/>
      <c r="E52" s="1"/>
      <c r="F52" s="294"/>
      <c r="G52" s="42"/>
      <c r="H52" s="41"/>
      <c r="I52" s="42"/>
      <c r="L52" s="294"/>
      <c r="N52" s="315"/>
      <c r="P52" s="334"/>
    </row>
    <row r="53" spans="2:57" ht="15" customHeight="1" thickBot="1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1"/>
      <c r="O53" s="48"/>
      <c r="P53" s="49"/>
    </row>
    <row r="54" spans="2:57" ht="15" customHeight="1" thickBot="1">
      <c r="B54" s="480" t="s">
        <v>17</v>
      </c>
      <c r="C54" s="480" t="s">
        <v>44</v>
      </c>
      <c r="D54" s="492" t="s">
        <v>45</v>
      </c>
      <c r="E54" s="494" t="s">
        <v>46</v>
      </c>
      <c r="F54" s="488" t="s">
        <v>47</v>
      </c>
      <c r="G54" s="478" t="s">
        <v>48</v>
      </c>
      <c r="H54" s="480" t="s">
        <v>49</v>
      </c>
      <c r="I54" s="480" t="s">
        <v>50</v>
      </c>
      <c r="J54" s="472" t="s">
        <v>28</v>
      </c>
      <c r="K54" s="484" t="s">
        <v>51</v>
      </c>
      <c r="L54" s="486" t="s">
        <v>52</v>
      </c>
      <c r="M54" s="472" t="s">
        <v>53</v>
      </c>
      <c r="N54" s="13"/>
      <c r="O54" s="13"/>
      <c r="P54" s="50"/>
    </row>
    <row r="55" spans="2:57" ht="28.5" customHeight="1" thickTop="1" thickBot="1">
      <c r="B55" s="481"/>
      <c r="C55" s="481"/>
      <c r="D55" s="493"/>
      <c r="E55" s="495"/>
      <c r="F55" s="489"/>
      <c r="G55" s="479"/>
      <c r="H55" s="549"/>
      <c r="I55" s="549"/>
      <c r="J55" s="473"/>
      <c r="K55" s="485"/>
      <c r="L55" s="487"/>
      <c r="M55" s="473"/>
      <c r="N55" s="13"/>
      <c r="O55" s="13"/>
      <c r="P55" s="50"/>
      <c r="Q55" s="355"/>
      <c r="AB55" s="51">
        <v>43474</v>
      </c>
      <c r="AC55" s="51">
        <v>43475</v>
      </c>
      <c r="AD55" s="51">
        <v>43476</v>
      </c>
      <c r="AE55" s="51">
        <v>43477</v>
      </c>
      <c r="AF55" s="51">
        <v>43478</v>
      </c>
      <c r="AG55" s="51">
        <v>43479</v>
      </c>
      <c r="AH55" s="51">
        <v>43480</v>
      </c>
      <c r="AI55" s="51">
        <v>43481</v>
      </c>
      <c r="AJ55" s="51">
        <v>43482</v>
      </c>
      <c r="AK55" s="51">
        <v>43483</v>
      </c>
      <c r="AL55" s="51">
        <v>43484</v>
      </c>
      <c r="AM55" s="51">
        <v>43485</v>
      </c>
      <c r="AN55" s="51">
        <v>43486</v>
      </c>
      <c r="AO55" s="51">
        <v>43487</v>
      </c>
      <c r="AP55" s="51">
        <v>43488</v>
      </c>
      <c r="AQ55" s="51">
        <v>43489</v>
      </c>
      <c r="AR55" s="51">
        <v>43490</v>
      </c>
      <c r="AS55" s="51">
        <v>43491</v>
      </c>
      <c r="AT55" s="51">
        <v>43492</v>
      </c>
      <c r="AU55" s="51">
        <v>43493</v>
      </c>
      <c r="AV55" s="51">
        <v>43494</v>
      </c>
      <c r="AW55" s="51">
        <v>43495</v>
      </c>
      <c r="AX55" s="51">
        <v>43496</v>
      </c>
    </row>
    <row r="56" spans="2:57" s="54" customFormat="1" ht="59.45" customHeight="1" thickBot="1">
      <c r="B56" s="461" t="str">
        <f>I27</f>
        <v>CARIB</v>
      </c>
      <c r="C56" s="442">
        <v>45909</v>
      </c>
      <c r="D56" s="443">
        <f>[39]September_2025!$L$3</f>
        <v>408.5</v>
      </c>
      <c r="E56" s="444"/>
      <c r="F56" s="444"/>
      <c r="G56" s="445">
        <f>[39]September_2025!$L$7</f>
        <v>388.3</v>
      </c>
      <c r="H56" s="463"/>
      <c r="I56" s="463"/>
      <c r="J56" s="449" t="s">
        <v>171</v>
      </c>
      <c r="K56" s="450">
        <f>[40]September_2025!$L$18</f>
        <v>0.68122807017543863</v>
      </c>
      <c r="L56" s="464">
        <f>(((D56+E56)-G56)/(D56+E56))*100</f>
        <v>4.944920440636472</v>
      </c>
      <c r="M56" s="457" t="s">
        <v>179</v>
      </c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[20]January_2019!L7</f>
        <v>285.8</v>
      </c>
      <c r="AC56" s="57">
        <f>[20]January_2019!M7</f>
        <v>508.1</v>
      </c>
      <c r="AD56" s="57">
        <f>[20]January_2019!N7</f>
        <v>0</v>
      </c>
      <c r="AE56" s="57">
        <f>[20]January_2019!O7</f>
        <v>0</v>
      </c>
      <c r="AF56" s="57">
        <f>[20]January_2019!P7</f>
        <v>109.56666666666666</v>
      </c>
      <c r="AG56" s="57">
        <f>[20]January_2019!Q7</f>
        <v>297.64999999999998</v>
      </c>
      <c r="AH56" s="57">
        <f>[20]January_2019!R7</f>
        <v>122.3</v>
      </c>
      <c r="AI56" s="57">
        <f>[20]January_2019!S7</f>
        <v>0</v>
      </c>
      <c r="AJ56" s="57">
        <f>[20]January_2019!T7</f>
        <v>294.7</v>
      </c>
      <c r="AK56" s="57">
        <f>[20]January_2019!U7</f>
        <v>280.5</v>
      </c>
      <c r="AL56" s="57">
        <f>[20]January_2019!V7</f>
        <v>0</v>
      </c>
      <c r="AM56" s="57">
        <f>[20]January_2019!W7</f>
        <v>0</v>
      </c>
      <c r="AN56" s="57">
        <f>[20]January_2019!X7</f>
        <v>188.25</v>
      </c>
      <c r="AO56" s="57">
        <f>[20]January_2019!Y7</f>
        <v>295.7</v>
      </c>
      <c r="AP56" s="57">
        <f>[20]January_2019!Z7</f>
        <v>257.8</v>
      </c>
      <c r="AQ56" s="57">
        <f>[20]January_2019!AA7</f>
        <v>291.2</v>
      </c>
      <c r="AR56" s="57">
        <f>[20]January_2019!AB7</f>
        <v>187</v>
      </c>
      <c r="AS56" s="57">
        <f>[20]January_2019!AC7</f>
        <v>0</v>
      </c>
      <c r="AT56" s="57">
        <f>[20]January_2019!AD7</f>
        <v>0</v>
      </c>
      <c r="AU56" s="57">
        <f>[20]January_2019!AE7</f>
        <v>485.1</v>
      </c>
      <c r="AV56" s="57">
        <f>[20]January_2019!AF7</f>
        <v>171.55</v>
      </c>
      <c r="AW56" s="57">
        <f>[20]January_2019!AG7</f>
        <v>423.8</v>
      </c>
      <c r="AX56" s="277">
        <f>[20]January_2019!AH7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20.45" hidden="1" customHeight="1" thickBot="1">
      <c r="B57" s="459"/>
      <c r="C57" s="431"/>
      <c r="D57" s="432"/>
      <c r="E57" s="433"/>
      <c r="F57" s="434"/>
      <c r="G57" s="435"/>
      <c r="H57" s="429"/>
      <c r="I57" s="429"/>
      <c r="J57" s="452"/>
      <c r="K57" s="437"/>
      <c r="L57" s="453"/>
      <c r="M57" s="422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59.45" hidden="1" customHeight="1" thickBot="1">
      <c r="B58" s="460"/>
      <c r="C58" s="442"/>
      <c r="D58" s="443"/>
      <c r="E58" s="444"/>
      <c r="F58" s="445"/>
      <c r="G58" s="446"/>
      <c r="H58" s="429"/>
      <c r="I58" s="429"/>
      <c r="J58" s="449"/>
      <c r="K58" s="450"/>
      <c r="L58" s="458"/>
      <c r="M58" s="457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5" hidden="1">
      <c r="B59" s="454"/>
      <c r="C59" s="431"/>
      <c r="D59" s="432"/>
      <c r="E59" s="433"/>
      <c r="F59" s="434"/>
      <c r="G59" s="435"/>
      <c r="H59" s="436"/>
      <c r="I59" s="451"/>
      <c r="J59" s="452"/>
      <c r="K59" s="437"/>
      <c r="L59" s="453"/>
      <c r="M59" s="422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6.6" hidden="1" customHeight="1" thickBot="1">
      <c r="B60" s="387"/>
      <c r="C60" s="442"/>
      <c r="D60" s="443"/>
      <c r="E60" s="444"/>
      <c r="F60" s="445"/>
      <c r="G60" s="446"/>
      <c r="H60" s="447"/>
      <c r="I60" s="448"/>
      <c r="J60" s="449" t="s">
        <v>163</v>
      </c>
      <c r="K60" s="450"/>
      <c r="L60" s="455" t="e">
        <f>(((D60+E60)-G60)/(D60+E60))*100</f>
        <v>#DIV/0!</v>
      </c>
      <c r="M60" s="456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6.5" hidden="1" customHeight="1" thickBot="1">
      <c r="B61" s="438"/>
      <c r="C61" s="424"/>
      <c r="D61" s="425"/>
      <c r="E61" s="426"/>
      <c r="F61" s="427"/>
      <c r="G61" s="428"/>
      <c r="H61" s="429"/>
      <c r="I61" s="439"/>
      <c r="J61" s="440"/>
      <c r="K61" s="430"/>
      <c r="L61" s="441"/>
      <c r="M61" s="423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415"/>
      <c r="AC61" s="415"/>
      <c r="AD61" s="415"/>
      <c r="AE61" s="415"/>
      <c r="AF61" s="415"/>
      <c r="AG61" s="415"/>
      <c r="AH61" s="415"/>
      <c r="AI61" s="415"/>
      <c r="AJ61" s="415"/>
      <c r="AK61" s="415"/>
      <c r="AL61" s="415"/>
      <c r="AM61" s="415"/>
      <c r="AN61" s="415"/>
      <c r="AO61" s="415"/>
      <c r="AP61" s="415"/>
      <c r="AQ61" s="415"/>
      <c r="AR61" s="415"/>
      <c r="AS61" s="415"/>
      <c r="AT61" s="415"/>
      <c r="AU61" s="415"/>
      <c r="AV61" s="415"/>
      <c r="AW61" s="415"/>
    </row>
    <row r="62" spans="2:57" ht="18" customHeight="1" thickBot="1">
      <c r="B62" s="59"/>
      <c r="C62" s="30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 t="s">
        <v>41</v>
      </c>
      <c r="O62" s="56"/>
      <c r="P62" s="60"/>
    </row>
    <row r="63" spans="2:57" ht="15.75" thickBot="1">
      <c r="B63" s="474" t="s">
        <v>55</v>
      </c>
      <c r="C63" s="475"/>
      <c r="D63" s="475"/>
      <c r="E63" s="475"/>
      <c r="F63" s="476"/>
      <c r="G63" s="474" t="s">
        <v>56</v>
      </c>
      <c r="H63" s="475"/>
      <c r="I63" s="475"/>
      <c r="J63" s="476"/>
      <c r="K63" s="474" t="s">
        <v>51</v>
      </c>
      <c r="L63" s="475"/>
      <c r="M63" s="475"/>
      <c r="N63" s="477"/>
      <c r="O63" s="56"/>
      <c r="P63" s="50"/>
    </row>
    <row r="64" spans="2:57" ht="15">
      <c r="B64" s="61" t="s">
        <v>17</v>
      </c>
      <c r="C64" s="62" t="s">
        <v>36</v>
      </c>
      <c r="D64" s="62" t="s">
        <v>37</v>
      </c>
      <c r="E64" s="62" t="s">
        <v>38</v>
      </c>
      <c r="F64" s="63" t="s">
        <v>39</v>
      </c>
      <c r="G64" s="62" t="s">
        <v>36</v>
      </c>
      <c r="H64" s="62" t="s">
        <v>37</v>
      </c>
      <c r="I64" s="62" t="s">
        <v>38</v>
      </c>
      <c r="J64" s="63" t="s">
        <v>39</v>
      </c>
      <c r="K64" s="62" t="s">
        <v>36</v>
      </c>
      <c r="L64" s="62" t="s">
        <v>37</v>
      </c>
      <c r="M64" s="62" t="s">
        <v>38</v>
      </c>
      <c r="N64" s="63" t="s">
        <v>39</v>
      </c>
      <c r="O64" s="56"/>
      <c r="P64" s="64"/>
    </row>
    <row r="65" spans="2:16" ht="15">
      <c r="B65" s="29" t="s">
        <v>6</v>
      </c>
      <c r="C65" s="65">
        <f>L56</f>
        <v>4.944920440636472</v>
      </c>
      <c r="D65" s="76"/>
      <c r="E65" s="76"/>
      <c r="F65" s="66">
        <v>4.8</v>
      </c>
      <c r="G65" s="65">
        <f>[39]September_2025!$L$11</f>
        <v>6.0277285072199298</v>
      </c>
      <c r="H65" s="76"/>
      <c r="I65" s="76"/>
      <c r="J65" s="66">
        <v>4.8</v>
      </c>
      <c r="K65" s="67">
        <f>K56</f>
        <v>0.68122807017543863</v>
      </c>
      <c r="L65" s="194"/>
      <c r="M65" s="194"/>
      <c r="N65" s="68">
        <v>1</v>
      </c>
      <c r="O65" s="56"/>
      <c r="P65" s="69"/>
    </row>
    <row r="66" spans="2:16" ht="15">
      <c r="B66" s="33" t="s">
        <v>9</v>
      </c>
      <c r="C66" s="65"/>
      <c r="D66" s="76"/>
      <c r="E66" s="76"/>
      <c r="F66" s="66">
        <v>4.8</v>
      </c>
      <c r="G66" s="65"/>
      <c r="H66" s="76"/>
      <c r="I66" s="76"/>
      <c r="J66" s="66">
        <v>4.8</v>
      </c>
      <c r="K66" s="67"/>
      <c r="L66" s="194"/>
      <c r="M66" s="194"/>
      <c r="N66" s="68">
        <v>1</v>
      </c>
      <c r="P66" s="69"/>
    </row>
    <row r="67" spans="2:16" ht="15">
      <c r="B67" s="34" t="s">
        <v>40</v>
      </c>
      <c r="C67" s="65"/>
      <c r="D67" s="76"/>
      <c r="E67" s="76"/>
      <c r="F67" s="66">
        <v>5.5</v>
      </c>
      <c r="G67" s="65"/>
      <c r="H67" s="76"/>
      <c r="I67" s="76"/>
      <c r="J67" s="66">
        <v>5.5</v>
      </c>
      <c r="K67" s="67"/>
      <c r="L67" s="194"/>
      <c r="M67" s="194"/>
      <c r="N67" s="68">
        <v>1</v>
      </c>
      <c r="P67" s="69"/>
    </row>
    <row r="68" spans="2:16" ht="15">
      <c r="B68" s="22" t="s">
        <v>33</v>
      </c>
      <c r="C68" s="65"/>
      <c r="D68" s="76"/>
      <c r="E68" s="76"/>
      <c r="F68" s="66">
        <v>3.3</v>
      </c>
      <c r="G68" s="65"/>
      <c r="H68" s="76"/>
      <c r="I68" s="76"/>
      <c r="J68" s="66">
        <v>3.3</v>
      </c>
      <c r="K68" s="67"/>
      <c r="L68" s="194"/>
      <c r="M68" s="194"/>
      <c r="N68" s="68">
        <v>1</v>
      </c>
      <c r="P68" s="69"/>
    </row>
    <row r="69" spans="2:16" ht="15">
      <c r="B69" s="35" t="s">
        <v>165</v>
      </c>
      <c r="C69" s="65"/>
      <c r="D69" s="76"/>
      <c r="E69" s="76"/>
      <c r="F69" s="66">
        <v>3.3</v>
      </c>
      <c r="G69" s="282"/>
      <c r="H69" s="76"/>
      <c r="I69" s="76"/>
      <c r="J69" s="66">
        <v>3</v>
      </c>
      <c r="K69" s="67"/>
      <c r="L69" s="194"/>
      <c r="M69" s="194"/>
      <c r="N69" s="68">
        <v>1</v>
      </c>
      <c r="P69" s="69"/>
    </row>
    <row r="70" spans="2:16" ht="15">
      <c r="B70" s="36" t="s">
        <v>15</v>
      </c>
      <c r="C70" s="65"/>
      <c r="D70" s="76"/>
      <c r="E70" s="76"/>
      <c r="F70" s="70">
        <f>[21]May_2022!$M$43</f>
        <v>3.4878406700073312</v>
      </c>
      <c r="G70" s="282"/>
      <c r="H70" s="76"/>
      <c r="I70" s="76"/>
      <c r="J70" s="66">
        <v>5.5</v>
      </c>
      <c r="K70" s="67"/>
      <c r="L70" s="194"/>
      <c r="M70" s="194"/>
      <c r="N70" s="68">
        <v>1</v>
      </c>
      <c r="P70" s="69"/>
    </row>
    <row r="71" spans="2:16" ht="15">
      <c r="B71" s="37" t="s">
        <v>16</v>
      </c>
      <c r="C71" s="65"/>
      <c r="D71" s="76"/>
      <c r="E71" s="76"/>
      <c r="F71" s="66">
        <v>3.3</v>
      </c>
      <c r="G71" s="282"/>
      <c r="H71" s="76"/>
      <c r="I71" s="76"/>
      <c r="J71" s="66">
        <v>3.3</v>
      </c>
      <c r="K71" s="67"/>
      <c r="L71" s="194"/>
      <c r="M71" s="194"/>
      <c r="N71" s="71">
        <v>1</v>
      </c>
      <c r="P71" s="69"/>
    </row>
    <row r="72" spans="2:16" ht="15.75" thickBot="1">
      <c r="B72" s="38" t="s">
        <v>164</v>
      </c>
      <c r="C72" s="65"/>
      <c r="D72" s="76"/>
      <c r="E72" s="76"/>
      <c r="F72" s="66">
        <v>7.5</v>
      </c>
      <c r="G72" s="282"/>
      <c r="H72" s="76"/>
      <c r="I72" s="76"/>
      <c r="J72" s="66">
        <v>7.5</v>
      </c>
      <c r="K72" s="67"/>
      <c r="M72" s="194"/>
      <c r="N72" s="71">
        <v>1</v>
      </c>
      <c r="P72" s="69"/>
    </row>
    <row r="73" spans="2:16" ht="15.75" thickBot="1">
      <c r="B73" s="414" t="s">
        <v>161</v>
      </c>
      <c r="C73" s="65"/>
      <c r="D73" s="76"/>
      <c r="E73" s="76"/>
      <c r="F73" s="66">
        <v>4.8</v>
      </c>
      <c r="G73" s="282"/>
      <c r="H73" s="76"/>
      <c r="I73" s="76"/>
      <c r="J73" s="66">
        <v>4.8</v>
      </c>
      <c r="K73" s="67"/>
      <c r="L73" s="194"/>
      <c r="M73" s="194"/>
      <c r="N73" s="71">
        <v>1</v>
      </c>
      <c r="O73" s="74"/>
      <c r="P73" s="75"/>
    </row>
    <row r="74" spans="2:16" ht="15">
      <c r="D74" s="76"/>
      <c r="E74" s="76"/>
      <c r="F74" s="341">
        <v>5.5</v>
      </c>
      <c r="H74" s="76"/>
      <c r="I74" s="76"/>
      <c r="J74" s="341">
        <v>5.5</v>
      </c>
      <c r="L74" s="194"/>
      <c r="M74" s="194"/>
      <c r="N74" s="386">
        <v>1</v>
      </c>
    </row>
    <row r="78" spans="2:16">
      <c r="F78" s="315"/>
    </row>
    <row r="79" spans="2:16" ht="15">
      <c r="F79" s="341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5:N25"/>
    <mergeCell ref="D26:E26"/>
    <mergeCell ref="B27:B38"/>
    <mergeCell ref="D27:E28"/>
    <mergeCell ref="D29:E30"/>
    <mergeCell ref="D31:E32"/>
    <mergeCell ref="D33:E34"/>
    <mergeCell ref="D35:E36"/>
    <mergeCell ref="D37:E38"/>
    <mergeCell ref="B39:B48"/>
    <mergeCell ref="D39:E40"/>
    <mergeCell ref="J39:K39"/>
    <mergeCell ref="L40:N40"/>
    <mergeCell ref="D41:E42"/>
    <mergeCell ref="D43:E44"/>
    <mergeCell ref="D45:E46"/>
    <mergeCell ref="D47:E48"/>
    <mergeCell ref="D49:E49"/>
    <mergeCell ref="B54:B55"/>
    <mergeCell ref="C54:C55"/>
    <mergeCell ref="D54:D55"/>
    <mergeCell ref="E54:E55"/>
    <mergeCell ref="M54:M55"/>
    <mergeCell ref="B63:F63"/>
    <mergeCell ref="G63:J63"/>
    <mergeCell ref="K63:N63"/>
    <mergeCell ref="G54:G55"/>
    <mergeCell ref="H54:H55"/>
    <mergeCell ref="I54:I55"/>
    <mergeCell ref="J54:J55"/>
    <mergeCell ref="K54:K55"/>
    <mergeCell ref="L54:L55"/>
    <mergeCell ref="F54:F55"/>
  </mergeCells>
  <conditionalFormatting sqref="B49:B50">
    <cfRule type="cellIs" dxfId="2543" priority="141" operator="notBetween">
      <formula>#REF!</formula>
      <formula>#REF!</formula>
    </cfRule>
  </conditionalFormatting>
  <conditionalFormatting sqref="C53">
    <cfRule type="cellIs" dxfId="2542" priority="172" stopIfTrue="1" operator="lessThan">
      <formula>96</formula>
    </cfRule>
    <cfRule type="cellIs" dxfId="2541" priority="173" stopIfTrue="1" operator="greaterThan">
      <formula>100</formula>
    </cfRule>
  </conditionalFormatting>
  <conditionalFormatting sqref="C65:C66">
    <cfRule type="cellIs" dxfId="2540" priority="176" stopIfTrue="1" operator="greaterThan">
      <formula>$F65</formula>
    </cfRule>
    <cfRule type="cellIs" dxfId="2539" priority="178" stopIfTrue="1" operator="greaterThan">
      <formula>$F66</formula>
    </cfRule>
  </conditionalFormatting>
  <conditionalFormatting sqref="C65:C69">
    <cfRule type="cellIs" dxfId="2538" priority="122" stopIfTrue="1" operator="lessThanOrEqual">
      <formula>0</formula>
    </cfRule>
  </conditionalFormatting>
  <conditionalFormatting sqref="C66:C73">
    <cfRule type="cellIs" dxfId="2537" priority="121" stopIfTrue="1" operator="greaterThan">
      <formula>$F66</formula>
    </cfRule>
  </conditionalFormatting>
  <conditionalFormatting sqref="C70">
    <cfRule type="cellIs" dxfId="2536" priority="46" stopIfTrue="1" operator="lessThanOrEqual">
      <formula>0</formula>
    </cfRule>
    <cfRule type="cellIs" dxfId="2535" priority="47" stopIfTrue="1" operator="greaterThan">
      <formula>$F69</formula>
    </cfRule>
  </conditionalFormatting>
  <conditionalFormatting sqref="C76:C80">
    <cfRule type="cellIs" dxfId="2534" priority="164" stopIfTrue="1" operator="lessThanOrEqual">
      <formula>0</formula>
    </cfRule>
  </conditionalFormatting>
  <conditionalFormatting sqref="C77:C80">
    <cfRule type="cellIs" dxfId="2533" priority="163" stopIfTrue="1" operator="greaterThan">
      <formula>$F$76</formula>
    </cfRule>
  </conditionalFormatting>
  <conditionalFormatting sqref="C82">
    <cfRule type="cellIs" dxfId="2532" priority="166" stopIfTrue="1" operator="lessThanOrEqual">
      <formula>0</formula>
    </cfRule>
    <cfRule type="cellIs" dxfId="2531" priority="165" stopIfTrue="1" operator="greaterThan">
      <formula>$F$76</formula>
    </cfRule>
  </conditionalFormatting>
  <conditionalFormatting sqref="C76:D76 D78:D84">
    <cfRule type="cellIs" dxfId="2530" priority="158" stopIfTrue="1" operator="greaterThan">
      <formula>4.5</formula>
    </cfRule>
  </conditionalFormatting>
  <conditionalFormatting sqref="D49:D50">
    <cfRule type="cellIs" dxfId="2529" priority="142" operator="notBetween">
      <formula>#REF!</formula>
      <formula>#REF!</formula>
    </cfRule>
  </conditionalFormatting>
  <conditionalFormatting sqref="D65:D72">
    <cfRule type="cellIs" dxfId="2528" priority="136" stopIfTrue="1" operator="lessThanOrEqual">
      <formula>0</formula>
    </cfRule>
  </conditionalFormatting>
  <conditionalFormatting sqref="D73">
    <cfRule type="cellIs" dxfId="2527" priority="135" stopIfTrue="1" operator="lessThanOrEqual">
      <formula>0</formula>
    </cfRule>
  </conditionalFormatting>
  <conditionalFormatting sqref="D76 D78:D84">
    <cfRule type="cellIs" dxfId="2526" priority="159" stopIfTrue="1" operator="lessThanOrEqual">
      <formula>0</formula>
    </cfRule>
  </conditionalFormatting>
  <conditionalFormatting sqref="D77">
    <cfRule type="cellIs" dxfId="2525" priority="150" stopIfTrue="1" operator="greaterThan">
      <formula>$F$76</formula>
    </cfRule>
    <cfRule type="cellIs" dxfId="2524" priority="151" stopIfTrue="1" operator="lessThanOrEqual">
      <formula>0</formula>
    </cfRule>
  </conditionalFormatting>
  <conditionalFormatting sqref="D65:E74">
    <cfRule type="cellIs" dxfId="2523" priority="119" stopIfTrue="1" operator="greaterThan">
      <formula>$F65</formula>
    </cfRule>
  </conditionalFormatting>
  <conditionalFormatting sqref="D74:E74">
    <cfRule type="cellIs" dxfId="2522" priority="120" stopIfTrue="1" operator="lessThanOrEqual">
      <formula>0</formula>
    </cfRule>
  </conditionalFormatting>
  <conditionalFormatting sqref="E10:E24">
    <cfRule type="cellIs" dxfId="2521" priority="15" operator="lessThan">
      <formula>48</formula>
    </cfRule>
  </conditionalFormatting>
  <conditionalFormatting sqref="E52 E53:F53">
    <cfRule type="cellIs" dxfId="2520" priority="155" stopIfTrue="1" operator="greaterThan">
      <formula>100</formula>
    </cfRule>
  </conditionalFormatting>
  <conditionalFormatting sqref="E53">
    <cfRule type="cellIs" dxfId="2519" priority="152" stopIfTrue="1" operator="lessThan">
      <formula>96.8</formula>
    </cfRule>
    <cfRule type="cellIs" dxfId="2518" priority="153" stopIfTrue="1" operator="greaterThan">
      <formula>100</formula>
    </cfRule>
  </conditionalFormatting>
  <conditionalFormatting sqref="E65:E73">
    <cfRule type="cellIs" dxfId="2517" priority="130" stopIfTrue="1" operator="lessThanOrEqual">
      <formula>0</formula>
    </cfRule>
  </conditionalFormatting>
  <conditionalFormatting sqref="E76:E84">
    <cfRule type="cellIs" dxfId="2516" priority="144" stopIfTrue="1" operator="greaterThan">
      <formula>4.5</formula>
    </cfRule>
    <cfRule type="cellIs" dxfId="2515" priority="145" stopIfTrue="1" operator="lessThanOrEqual">
      <formula>0</formula>
    </cfRule>
  </conditionalFormatting>
  <conditionalFormatting sqref="E53:F53 E52">
    <cfRule type="cellIs" dxfId="2514" priority="154" stopIfTrue="1" operator="lessThan">
      <formula>96.5</formula>
    </cfRule>
  </conditionalFormatting>
  <conditionalFormatting sqref="F10:F23">
    <cfRule type="cellIs" dxfId="2513" priority="30" operator="greaterThan">
      <formula>60</formula>
    </cfRule>
  </conditionalFormatting>
  <conditionalFormatting sqref="F53">
    <cfRule type="cellIs" dxfId="2512" priority="170" stopIfTrue="1" operator="lessThan">
      <formula>96.8</formula>
    </cfRule>
    <cfRule type="cellIs" dxfId="2511" priority="171" stopIfTrue="1" operator="greaterThan">
      <formula>100</formula>
    </cfRule>
  </conditionalFormatting>
  <conditionalFormatting sqref="F74">
    <cfRule type="cellIs" dxfId="2510" priority="132" stopIfTrue="1" operator="lessThanOrEqual">
      <formula>0</formula>
    </cfRule>
    <cfRule type="cellIs" dxfId="2509" priority="131" stopIfTrue="1" operator="greaterThan">
      <formula>$F74</formula>
    </cfRule>
  </conditionalFormatting>
  <conditionalFormatting sqref="F79">
    <cfRule type="cellIs" dxfId="2508" priority="91" stopIfTrue="1" operator="lessThanOrEqual">
      <formula>0</formula>
    </cfRule>
    <cfRule type="cellIs" dxfId="2507" priority="90" stopIfTrue="1" operator="greaterThan">
      <formula>$F79</formula>
    </cfRule>
  </conditionalFormatting>
  <conditionalFormatting sqref="G12:G22 G24">
    <cfRule type="expression" dxfId="2506" priority="24">
      <formula>IF(+(IF(G12&lt;S12,0,IF(G12&gt;T12,0,1)))=0,1)</formula>
    </cfRule>
  </conditionalFormatting>
  <conditionalFormatting sqref="G65:G66 C71:C73">
    <cfRule type="cellIs" dxfId="2505" priority="138" stopIfTrue="1" operator="lessThanOrEqual">
      <formula>0</formula>
    </cfRule>
  </conditionalFormatting>
  <conditionalFormatting sqref="G65:G66">
    <cfRule type="cellIs" dxfId="2504" priority="137" stopIfTrue="1" operator="greaterThan">
      <formula>$F65</formula>
    </cfRule>
    <cfRule type="cellIs" dxfId="2503" priority="123" stopIfTrue="1" operator="greaterThan">
      <formula>$F65</formula>
    </cfRule>
    <cfRule type="cellIs" dxfId="2502" priority="124" stopIfTrue="1" operator="lessThanOrEqual">
      <formula>0</formula>
    </cfRule>
  </conditionalFormatting>
  <conditionalFormatting sqref="G67">
    <cfRule type="cellIs" dxfId="2501" priority="174" stopIfTrue="1" operator="greaterThan">
      <formula>$F66</formula>
    </cfRule>
    <cfRule type="cellIs" dxfId="2500" priority="175" stopIfTrue="1" operator="lessThanOrEqual">
      <formula>0</formula>
    </cfRule>
  </conditionalFormatting>
  <conditionalFormatting sqref="G68">
    <cfRule type="cellIs" dxfId="2499" priority="133" stopIfTrue="1" operator="greaterThan">
      <formula>$F68</formula>
    </cfRule>
    <cfRule type="cellIs" dxfId="2498" priority="134" stopIfTrue="1" operator="lessThanOrEqual">
      <formula>0</formula>
    </cfRule>
  </conditionalFormatting>
  <conditionalFormatting sqref="G69:G73">
    <cfRule type="cellIs" dxfId="2497" priority="139" stopIfTrue="1" operator="greaterThan">
      <formula>$J69</formula>
    </cfRule>
    <cfRule type="cellIs" dxfId="2496" priority="140" stopIfTrue="1" operator="lessThanOrEqual">
      <formula>0</formula>
    </cfRule>
  </conditionalFormatting>
  <conditionalFormatting sqref="G78:G83 C81 C83">
    <cfRule type="cellIs" dxfId="2495" priority="168" stopIfTrue="1" operator="lessThanOrEqual">
      <formula>0</formula>
    </cfRule>
    <cfRule type="cellIs" dxfId="2494" priority="167" stopIfTrue="1" operator="greaterThan">
      <formula>4.5</formula>
    </cfRule>
  </conditionalFormatting>
  <conditionalFormatting sqref="G10:H11 H12:H22 G23:H23">
    <cfRule type="expression" dxfId="2493" priority="45">
      <formula>IF(+(IF(G10&lt;#REF!,0,IF(G10&gt;#REF!,0,1)))=0,1)</formula>
    </cfRule>
  </conditionalFormatting>
  <conditionalFormatting sqref="G77:H77">
    <cfRule type="cellIs" dxfId="2492" priority="148" stopIfTrue="1" operator="greaterThan">
      <formula>$F$76</formula>
    </cfRule>
    <cfRule type="cellIs" dxfId="2491" priority="149" stopIfTrue="1" operator="lessThanOrEqual">
      <formula>0</formula>
    </cfRule>
  </conditionalFormatting>
  <conditionalFormatting sqref="H24">
    <cfRule type="expression" dxfId="2490" priority="25">
      <formula>IF(+(IF(H24&lt;#REF!,0,IF(H24&gt;#REF!,0,1)))=0,1)</formula>
    </cfRule>
  </conditionalFormatting>
  <conditionalFormatting sqref="H38:H52">
    <cfRule type="cellIs" dxfId="2489" priority="146" stopIfTrue="1" operator="greaterThan">
      <formula>0</formula>
    </cfRule>
  </conditionalFormatting>
  <conditionalFormatting sqref="H56">
    <cfRule type="cellIs" dxfId="2488" priority="61" stopIfTrue="1" operator="lessThanOrEqual">
      <formula>0</formula>
    </cfRule>
    <cfRule type="cellIs" dxfId="2487" priority="49" stopIfTrue="1" operator="lessThanOrEqual">
      <formula>0</formula>
    </cfRule>
    <cfRule type="cellIs" dxfId="2486" priority="50" stopIfTrue="1" operator="greaterThan">
      <formula>#REF!</formula>
    </cfRule>
    <cfRule type="cellIs" dxfId="2485" priority="60" stopIfTrue="1" operator="greaterThan">
      <formula>#REF!</formula>
    </cfRule>
  </conditionalFormatting>
  <conditionalFormatting sqref="H57">
    <cfRule type="cellIs" dxfId="2484" priority="88" stopIfTrue="1" operator="greaterThan">
      <formula>#REF!</formula>
    </cfRule>
    <cfRule type="cellIs" dxfId="2483" priority="89" stopIfTrue="1" operator="lessThanOrEqual">
      <formula>0</formula>
    </cfRule>
    <cfRule type="cellIs" dxfId="2482" priority="77" stopIfTrue="1" operator="lessThanOrEqual">
      <formula>0</formula>
    </cfRule>
    <cfRule type="cellIs" dxfId="2481" priority="78" stopIfTrue="1" operator="greaterThan">
      <formula>#REF!</formula>
    </cfRule>
    <cfRule type="cellIs" dxfId="2480" priority="86" stopIfTrue="1" operator="greaterThan">
      <formula>$F$25</formula>
    </cfRule>
    <cfRule type="cellIs" dxfId="2479" priority="87" stopIfTrue="1" operator="lessThanOrEqual">
      <formula>0</formula>
    </cfRule>
  </conditionalFormatting>
  <conditionalFormatting sqref="H58">
    <cfRule type="cellIs" dxfId="2478" priority="44" stopIfTrue="1" operator="lessThanOrEqual">
      <formula>0</formula>
    </cfRule>
    <cfRule type="cellIs" dxfId="2477" priority="32" stopIfTrue="1" operator="lessThanOrEqual">
      <formula>0</formula>
    </cfRule>
    <cfRule type="cellIs" dxfId="2476" priority="33" stopIfTrue="1" operator="greaterThan">
      <formula>$F$43</formula>
    </cfRule>
    <cfRule type="cellIs" dxfId="2475" priority="41" stopIfTrue="1" operator="greaterThan">
      <formula>$F$46</formula>
    </cfRule>
    <cfRule type="cellIs" dxfId="2474" priority="42" stopIfTrue="1" operator="lessThanOrEqual">
      <formula>0</formula>
    </cfRule>
    <cfRule type="cellIs" dxfId="2473" priority="43" stopIfTrue="1" operator="greaterThan">
      <formula>$F$44</formula>
    </cfRule>
  </conditionalFormatting>
  <conditionalFormatting sqref="H59:H60">
    <cfRule type="cellIs" dxfId="2472" priority="72" stopIfTrue="1" operator="greaterThan">
      <formula>$F$24</formula>
    </cfRule>
    <cfRule type="cellIs" dxfId="2471" priority="73" stopIfTrue="1" operator="lessThanOrEqual">
      <formula>0</formula>
    </cfRule>
    <cfRule type="cellIs" dxfId="2470" priority="74" stopIfTrue="1" operator="greaterThan">
      <formula>#REF!</formula>
    </cfRule>
    <cfRule type="cellIs" dxfId="2469" priority="75" stopIfTrue="1" operator="lessThanOrEqual">
      <formula>0</formula>
    </cfRule>
    <cfRule type="cellIs" dxfId="2468" priority="63" stopIfTrue="1" operator="lessThanOrEqual">
      <formula>0</formula>
    </cfRule>
    <cfRule type="cellIs" dxfId="2467" priority="64" stopIfTrue="1" operator="greaterThan">
      <formula>#REF!</formula>
    </cfRule>
  </conditionalFormatting>
  <conditionalFormatting sqref="H61">
    <cfRule type="cellIs" dxfId="2466" priority="94" stopIfTrue="1" operator="lessThanOrEqual">
      <formula>0</formula>
    </cfRule>
    <cfRule type="cellIs" dxfId="2465" priority="103" stopIfTrue="1" operator="greaterThan">
      <formula>$F$40</formula>
    </cfRule>
    <cfRule type="cellIs" dxfId="2464" priority="104" stopIfTrue="1" operator="lessThanOrEqual">
      <formula>0</formula>
    </cfRule>
    <cfRule type="cellIs" dxfId="2463" priority="105" stopIfTrue="1" operator="greaterThan">
      <formula>$F$38</formula>
    </cfRule>
    <cfRule type="cellIs" dxfId="2462" priority="106" stopIfTrue="1" operator="lessThanOrEqual">
      <formula>0</formula>
    </cfRule>
    <cfRule type="cellIs" dxfId="2461" priority="95" stopIfTrue="1" operator="greaterThan">
      <formula>$F$37</formula>
    </cfRule>
  </conditionalFormatting>
  <conditionalFormatting sqref="H65:H72">
    <cfRule type="cellIs" dxfId="2460" priority="126" stopIfTrue="1" operator="lessThanOrEqual">
      <formula>0</formula>
    </cfRule>
    <cfRule type="cellIs" dxfId="2459" priority="125" stopIfTrue="1" operator="greaterThan">
      <formula>$J65</formula>
    </cfRule>
  </conditionalFormatting>
  <conditionalFormatting sqref="H73">
    <cfRule type="cellIs" dxfId="2458" priority="127" operator="greaterThan">
      <formula>5.3</formula>
    </cfRule>
  </conditionalFormatting>
  <conditionalFormatting sqref="H76 H78:H84">
    <cfRule type="cellIs" dxfId="2457" priority="160" stopIfTrue="1" operator="greaterThan">
      <formula>4.5</formula>
    </cfRule>
    <cfRule type="cellIs" dxfId="2456" priority="161" stopIfTrue="1" operator="lessThanOrEqual">
      <formula>0</formula>
    </cfRule>
  </conditionalFormatting>
  <conditionalFormatting sqref="H56:I56">
    <cfRule type="cellIs" dxfId="2455" priority="51" stopIfTrue="1" operator="lessThanOrEqual">
      <formula>0</formula>
    </cfRule>
    <cfRule type="cellIs" dxfId="2454" priority="56" stopIfTrue="1" operator="greaterThan">
      <formula>#REF!</formula>
    </cfRule>
    <cfRule type="cellIs" dxfId="2453" priority="48" stopIfTrue="1" operator="greaterThan">
      <formula>#REF!</formula>
    </cfRule>
    <cfRule type="cellIs" dxfId="2452" priority="57" stopIfTrue="1" operator="lessThanOrEqual">
      <formula>0</formula>
    </cfRule>
  </conditionalFormatting>
  <conditionalFormatting sqref="H57:I57">
    <cfRule type="cellIs" dxfId="2451" priority="76" stopIfTrue="1" operator="greaterThan">
      <formula>$F$24</formula>
    </cfRule>
    <cfRule type="cellIs" dxfId="2450" priority="79" stopIfTrue="1" operator="lessThanOrEqual">
      <formula>0</formula>
    </cfRule>
  </conditionalFormatting>
  <conditionalFormatting sqref="H58:I58">
    <cfRule type="cellIs" dxfId="2449" priority="34" stopIfTrue="1" operator="lessThanOrEqual">
      <formula>0</formula>
    </cfRule>
    <cfRule type="cellIs" dxfId="2448" priority="31" stopIfTrue="1" operator="greaterThan">
      <formula>$F$45</formula>
    </cfRule>
  </conditionalFormatting>
  <conditionalFormatting sqref="H59:I60">
    <cfRule type="cellIs" dxfId="2447" priority="62" stopIfTrue="1" operator="greaterThan">
      <formula>#REF!</formula>
    </cfRule>
    <cfRule type="cellIs" dxfId="2446" priority="65" stopIfTrue="1" operator="lessThanOrEqual">
      <formula>0</formula>
    </cfRule>
  </conditionalFormatting>
  <conditionalFormatting sqref="H61:I61">
    <cfRule type="cellIs" dxfId="2445" priority="93" stopIfTrue="1" operator="greaterThan">
      <formula>$F$39</formula>
    </cfRule>
    <cfRule type="cellIs" dxfId="2444" priority="96" stopIfTrue="1" operator="lessThanOrEqual">
      <formula>0</formula>
    </cfRule>
  </conditionalFormatting>
  <conditionalFormatting sqref="H74:I74">
    <cfRule type="cellIs" dxfId="2443" priority="118" stopIfTrue="1" operator="lessThanOrEqual">
      <formula>0</formula>
    </cfRule>
    <cfRule type="cellIs" dxfId="2442" priority="117" stopIfTrue="1" operator="greaterThan">
      <formula>$J74</formula>
    </cfRule>
  </conditionalFormatting>
  <conditionalFormatting sqref="I56">
    <cfRule type="cellIs" dxfId="2441" priority="52" stopIfTrue="1" operator="greaterThan">
      <formula>#REF!</formula>
    </cfRule>
    <cfRule type="cellIs" dxfId="2440" priority="53" stopIfTrue="1" operator="lessThanOrEqual">
      <formula>0</formula>
    </cfRule>
    <cfRule type="cellIs" dxfId="2439" priority="55" stopIfTrue="1" operator="lessThanOrEqual">
      <formula>0</formula>
    </cfRule>
    <cfRule type="cellIs" dxfId="2438" priority="54" stopIfTrue="1" operator="greaterThan">
      <formula>#REF!</formula>
    </cfRule>
  </conditionalFormatting>
  <conditionalFormatting sqref="I57">
    <cfRule type="cellIs" dxfId="2437" priority="81" stopIfTrue="1" operator="lessThanOrEqual">
      <formula>0</formula>
    </cfRule>
    <cfRule type="cellIs" dxfId="2436" priority="80" stopIfTrue="1" operator="greaterThan">
      <formula>#REF!</formula>
    </cfRule>
    <cfRule type="cellIs" dxfId="2435" priority="83" stopIfTrue="1" operator="lessThanOrEqual">
      <formula>0</formula>
    </cfRule>
    <cfRule type="cellIs" dxfId="2434" priority="84" stopIfTrue="1" operator="greaterThan">
      <formula>#REF!</formula>
    </cfRule>
    <cfRule type="cellIs" dxfId="2433" priority="85" stopIfTrue="1" operator="lessThanOrEqual">
      <formula>0</formula>
    </cfRule>
    <cfRule type="cellIs" dxfId="2432" priority="82" stopIfTrue="1" operator="greaterThan">
      <formula>$F$24</formula>
    </cfRule>
  </conditionalFormatting>
  <conditionalFormatting sqref="I58">
    <cfRule type="cellIs" dxfId="2431" priority="36" stopIfTrue="1" operator="lessThanOrEqual">
      <formula>0</formula>
    </cfRule>
    <cfRule type="cellIs" dxfId="2430" priority="35" stopIfTrue="1" operator="greaterThan">
      <formula>$F$43</formula>
    </cfRule>
    <cfRule type="cellIs" dxfId="2429" priority="40" stopIfTrue="1" operator="lessThanOrEqual">
      <formula>0</formula>
    </cfRule>
    <cfRule type="cellIs" dxfId="2428" priority="39" stopIfTrue="1" operator="greaterThan">
      <formula>$F$43</formula>
    </cfRule>
    <cfRule type="cellIs" dxfId="2427" priority="38" stopIfTrue="1" operator="lessThanOrEqual">
      <formula>0</formula>
    </cfRule>
    <cfRule type="cellIs" dxfId="2426" priority="37" stopIfTrue="1" operator="greaterThan">
      <formula>$F$45</formula>
    </cfRule>
  </conditionalFormatting>
  <conditionalFormatting sqref="I59:I60">
    <cfRule type="cellIs" dxfId="2425" priority="71" stopIfTrue="1" operator="lessThanOrEqual">
      <formula>0</formula>
    </cfRule>
    <cfRule type="cellIs" dxfId="2424" priority="70" stopIfTrue="1" operator="greaterThan">
      <formula>#REF!</formula>
    </cfRule>
    <cfRule type="cellIs" dxfId="2423" priority="69" stopIfTrue="1" operator="lessThanOrEqual">
      <formula>0</formula>
    </cfRule>
    <cfRule type="cellIs" dxfId="2422" priority="68" stopIfTrue="1" operator="greaterThan">
      <formula>#REF!</formula>
    </cfRule>
    <cfRule type="cellIs" dxfId="2421" priority="67" stopIfTrue="1" operator="lessThanOrEqual">
      <formula>0</formula>
    </cfRule>
    <cfRule type="cellIs" dxfId="2420" priority="66" stopIfTrue="1" operator="greaterThan">
      <formula>#REF!</formula>
    </cfRule>
  </conditionalFormatting>
  <conditionalFormatting sqref="I61">
    <cfRule type="cellIs" dxfId="2419" priority="101" stopIfTrue="1" operator="greaterThan">
      <formula>$F$37</formula>
    </cfRule>
    <cfRule type="cellIs" dxfId="2418" priority="102" stopIfTrue="1" operator="lessThanOrEqual">
      <formula>0</formula>
    </cfRule>
    <cfRule type="cellIs" dxfId="2417" priority="100" stopIfTrue="1" operator="lessThanOrEqual">
      <formula>0</formula>
    </cfRule>
    <cfRule type="cellIs" dxfId="2416" priority="97" stopIfTrue="1" operator="greaterThan">
      <formula>$F$37</formula>
    </cfRule>
    <cfRule type="cellIs" dxfId="2415" priority="98" stopIfTrue="1" operator="lessThanOrEqual">
      <formula>0</formula>
    </cfRule>
    <cfRule type="cellIs" dxfId="2414" priority="99" stopIfTrue="1" operator="greaterThan">
      <formula>$F$39</formula>
    </cfRule>
  </conditionalFormatting>
  <conditionalFormatting sqref="I65:I73">
    <cfRule type="cellIs" dxfId="2413" priority="128" stopIfTrue="1" operator="greaterThan">
      <formula>$J65</formula>
    </cfRule>
    <cfRule type="cellIs" dxfId="2412" priority="129" stopIfTrue="1" operator="lessThanOrEqual">
      <formula>0</formula>
    </cfRule>
  </conditionalFormatting>
  <conditionalFormatting sqref="I76:I84">
    <cfRule type="cellIs" dxfId="2411" priority="156" stopIfTrue="1" operator="greaterThan">
      <formula>4.5</formula>
    </cfRule>
    <cfRule type="cellIs" dxfId="2410" priority="157" stopIfTrue="1" operator="lessThanOrEqual">
      <formula>0</formula>
    </cfRule>
  </conditionalFormatting>
  <conditionalFormatting sqref="I10:J24">
    <cfRule type="cellIs" dxfId="2409" priority="16" operator="lessThan">
      <formula>97.9</formula>
    </cfRule>
  </conditionalFormatting>
  <conditionalFormatting sqref="J27:J33">
    <cfRule type="cellIs" dxfId="2408" priority="107" operator="lessThan">
      <formula>97.4</formula>
    </cfRule>
  </conditionalFormatting>
  <conditionalFormatting sqref="J27:J35">
    <cfRule type="cellIs" dxfId="2407" priority="108" stopIfTrue="1" operator="lessThan">
      <formula>96.8</formula>
    </cfRule>
    <cfRule type="cellIs" dxfId="2406" priority="109" stopIfTrue="1" operator="greaterThan">
      <formula>100</formula>
    </cfRule>
  </conditionalFormatting>
  <conditionalFormatting sqref="J27:J36">
    <cfRule type="cellIs" dxfId="2405" priority="110" operator="lessThan">
      <formula>98</formula>
    </cfRule>
  </conditionalFormatting>
  <conditionalFormatting sqref="J74">
    <cfRule type="cellIs" dxfId="2404" priority="114" stopIfTrue="1" operator="greaterThan">
      <formula>$F74</formula>
    </cfRule>
    <cfRule type="cellIs" dxfId="2403" priority="115" stopIfTrue="1" operator="lessThanOrEqual">
      <formula>0</formula>
    </cfRule>
  </conditionalFormatting>
  <conditionalFormatting sqref="K10:K24">
    <cfRule type="cellIs" dxfId="2402" priority="19" operator="greaterThan">
      <formula>6</formula>
    </cfRule>
    <cfRule type="cellIs" dxfId="2401" priority="20" operator="lessThan">
      <formula>4</formula>
    </cfRule>
    <cfRule type="cellIs" dxfId="2400" priority="21" operator="greaterThan">
      <formula>6.4</formula>
    </cfRule>
  </conditionalFormatting>
  <conditionalFormatting sqref="K56:K61 K65:N71 K72 M72:N72 K73:N73">
    <cfRule type="cellIs" dxfId="2399" priority="92" stopIfTrue="1" operator="lessThan">
      <formula>100%</formula>
    </cfRule>
  </conditionalFormatting>
  <conditionalFormatting sqref="K76:K81">
    <cfRule type="cellIs" dxfId="2398" priority="162" stopIfTrue="1" operator="lessThan">
      <formula>100%</formula>
    </cfRule>
  </conditionalFormatting>
  <conditionalFormatting sqref="K83:K84">
    <cfRule type="cellIs" dxfId="2397" priority="169" stopIfTrue="1" operator="lessThan">
      <formula>100%</formula>
    </cfRule>
  </conditionalFormatting>
  <conditionalFormatting sqref="L10:L24">
    <cfRule type="cellIs" dxfId="2396" priority="17" operator="between">
      <formula>61</formula>
      <formula>65</formula>
    </cfRule>
    <cfRule type="cellIs" dxfId="2395" priority="18" operator="greaterThan">
      <formula>65</formula>
    </cfRule>
  </conditionalFormatting>
  <conditionalFormatting sqref="L27:M38">
    <cfRule type="cellIs" dxfId="2394" priority="1" operator="lessThan">
      <formula>98</formula>
    </cfRule>
  </conditionalFormatting>
  <conditionalFormatting sqref="L42:N42">
    <cfRule type="cellIs" dxfId="2393" priority="14" operator="notEqual">
      <formula>#REF!</formula>
    </cfRule>
  </conditionalFormatting>
  <conditionalFormatting sqref="L74:N74">
    <cfRule type="cellIs" dxfId="2392" priority="116" stopIfTrue="1" operator="lessThan">
      <formula>100%</formula>
    </cfRule>
  </conditionalFormatting>
  <conditionalFormatting sqref="L76:N84">
    <cfRule type="cellIs" dxfId="2391" priority="147" stopIfTrue="1" operator="lessThan">
      <formula>100%</formula>
    </cfRule>
  </conditionalFormatting>
  <conditionalFormatting sqref="M10:M22">
    <cfRule type="expression" dxfId="2390" priority="29">
      <formula>IF(+(IF(M10&lt;U10,0,IF(M10&gt;V10,0,1)))=0,1)</formula>
    </cfRule>
  </conditionalFormatting>
  <conditionalFormatting sqref="M24">
    <cfRule type="expression" dxfId="2389" priority="23">
      <formula>IF(+(IF(M24&lt;U24,0,IF(M24&gt;V24,0,1)))=0,1)</formula>
    </cfRule>
  </conditionalFormatting>
  <conditionalFormatting sqref="M23:N23">
    <cfRule type="expression" dxfId="2388" priority="177">
      <formula>IF(+(IF(M23&lt;#REF!,0,IF(M23&gt;#REF!,0,1)))=0,1)</formula>
    </cfRule>
  </conditionalFormatting>
  <conditionalFormatting sqref="N10:N22">
    <cfRule type="expression" dxfId="2387" priority="28">
      <formula>IF(+(IF(N10&lt;W10,0,IF(N10&gt;X10,0,1)))=0,1)</formula>
    </cfRule>
  </conditionalFormatting>
  <conditionalFormatting sqref="N24">
    <cfRule type="expression" dxfId="2386" priority="22">
      <formula>IF(+(IF(N24&lt;W24,0,IF(N24&gt;X24,0,1)))=0,1)</formula>
    </cfRule>
  </conditionalFormatting>
  <conditionalFormatting sqref="P6">
    <cfRule type="cellIs" dxfId="2385" priority="143" operator="greaterThanOrEqual">
      <formula>19</formula>
    </cfRule>
  </conditionalFormatting>
  <dataValidations count="1">
    <dataValidation type="list" allowBlank="1" showInputMessage="1" showErrorMessage="1" sqref="R8" xr:uid="{324617D8-A9B1-4C21-AF0F-07628D259E24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8" max="16383" man="1"/>
  </rowBreaks>
  <colBreaks count="1" manualBreakCount="1">
    <brk id="15" max="89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F7C44-851F-446F-BDAD-3288DC4E63B5}">
  <sheetPr>
    <pageSetUpPr fitToPage="1"/>
  </sheetPr>
  <dimension ref="A1:BE87"/>
  <sheetViews>
    <sheetView topLeftCell="A35" zoomScale="80" zoomScaleNormal="80" workbookViewId="0">
      <selection activeCell="C76" sqref="C76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67.425781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25" t="s">
        <v>0</v>
      </c>
      <c r="T1" s="525"/>
      <c r="U1" s="525" t="s">
        <v>1</v>
      </c>
      <c r="V1" s="525"/>
      <c r="W1" s="525" t="s">
        <v>2</v>
      </c>
      <c r="X1" s="525"/>
      <c r="Y1" s="525" t="s">
        <v>124</v>
      </c>
      <c r="Z1" s="525"/>
    </row>
    <row r="2" spans="2:29" ht="15">
      <c r="B2" s="526" t="s">
        <v>3</v>
      </c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45911</v>
      </c>
      <c r="J4" s="398" t="s">
        <v>168</v>
      </c>
      <c r="K4" s="398"/>
      <c r="L4" s="11"/>
      <c r="M4" s="547" t="s">
        <v>8</v>
      </c>
      <c r="N4" s="548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44"/>
      <c r="D5" s="544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167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84" t="s">
        <v>17</v>
      </c>
      <c r="C8" s="494" t="s">
        <v>18</v>
      </c>
      <c r="D8" s="494" t="s">
        <v>19</v>
      </c>
      <c r="E8" s="356" t="s">
        <v>20</v>
      </c>
      <c r="F8" s="356" t="s">
        <v>21</v>
      </c>
      <c r="G8" s="494" t="s">
        <v>22</v>
      </c>
      <c r="H8" s="535" t="s">
        <v>144</v>
      </c>
      <c r="I8" s="494" t="s">
        <v>166</v>
      </c>
      <c r="J8" s="537" t="s">
        <v>23</v>
      </c>
      <c r="K8" s="539" t="s">
        <v>142</v>
      </c>
      <c r="L8" s="541" t="s">
        <v>24</v>
      </c>
      <c r="M8" s="359" t="s">
        <v>25</v>
      </c>
      <c r="N8" s="17" t="s">
        <v>26</v>
      </c>
      <c r="O8" s="494" t="s">
        <v>155</v>
      </c>
      <c r="P8" s="56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33"/>
      <c r="C9" s="534"/>
      <c r="D9" s="534"/>
      <c r="E9" s="357" t="s">
        <v>30</v>
      </c>
      <c r="F9" s="357" t="s">
        <v>31</v>
      </c>
      <c r="G9" s="534"/>
      <c r="H9" s="536"/>
      <c r="I9" s="534"/>
      <c r="J9" s="538"/>
      <c r="K9" s="540"/>
      <c r="L9" s="542"/>
      <c r="M9" s="20" t="s">
        <v>32</v>
      </c>
      <c r="N9" s="21" t="s">
        <v>41</v>
      </c>
      <c r="O9" s="534"/>
      <c r="P9" s="561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29" t="s">
        <v>6</v>
      </c>
      <c r="C10" s="366" t="str">
        <f>[22]Brewhouse!$A774</f>
        <v>CA665</v>
      </c>
      <c r="D10" s="279">
        <f>[22]Brewhouse!$AF774</f>
        <v>50.1</v>
      </c>
      <c r="E10" s="279">
        <f>[22]Brewhouse!$AI774</f>
        <v>48.3</v>
      </c>
      <c r="F10" s="278">
        <f>[22]Brewhouse!$V774</f>
        <v>49</v>
      </c>
      <c r="G10" s="279">
        <f>[22]Brewhouse!AG774</f>
        <v>11.6</v>
      </c>
      <c r="H10" s="396"/>
      <c r="I10" s="368">
        <f>[22]Brewhouse!$AU774</f>
        <v>92.206691377262715</v>
      </c>
      <c r="J10" s="368">
        <f>[22]Brewhouse!$AV774</f>
        <v>94.250186695213969</v>
      </c>
      <c r="K10" s="281">
        <f>[22]Brewhouse!$Q774</f>
        <v>7.0056497175141219</v>
      </c>
      <c r="L10" s="276">
        <f>[22]Brewhouse!$P774</f>
        <v>61</v>
      </c>
      <c r="M10" s="397">
        <f>[22]Brewhouse!$U774-[22]Brewhouse!$T774</f>
        <v>0.11249999999999999</v>
      </c>
      <c r="N10" s="370">
        <f>[22]Brewhouse!$Z774</f>
        <v>0.24027777777777778</v>
      </c>
      <c r="O10" s="421" t="str">
        <f>[22]Brewhouse!$AX774</f>
        <v>K.Benjamin</v>
      </c>
      <c r="P10" s="418"/>
      <c r="R10" s="277" t="str">
        <f t="shared" ref="R10:R27" si="0">B10</f>
        <v>CARIB</v>
      </c>
      <c r="S10" s="296">
        <f t="shared" ref="S10:S27" si="1">VLOOKUP($B10,$R$3:$X$9,2,FALSE)</f>
        <v>11.6</v>
      </c>
      <c r="T10" s="296">
        <f t="shared" ref="T10:T27" si="2">VLOOKUP($B10,$R$3:$X$9,3,FALSE)</f>
        <v>12</v>
      </c>
      <c r="U10" s="297">
        <f t="shared" ref="U10:U27" si="3">VLOOKUP($B10,$R$3:$X$9,4,FALSE)</f>
        <v>0</v>
      </c>
      <c r="V10" s="297">
        <f t="shared" ref="V10:V27" si="4">VLOOKUP($B10,$R$3:$X$9,5,FALSE)</f>
        <v>0.118055555555556</v>
      </c>
      <c r="W10" s="297">
        <f t="shared" ref="W10:W27" si="5">VLOOKUP($B10,$R$3:$X$9,6,FALSE)</f>
        <v>0.22569444444444445</v>
      </c>
      <c r="X10" s="297">
        <f t="shared" ref="X10:X27" si="6">VLOOKUP($B10,$R$3:$X$9,7,FALSE)</f>
        <v>0.2638888888888889</v>
      </c>
      <c r="Y10" s="297">
        <f t="shared" ref="Y10:Y27" si="7">VLOOKUP($B10,$R$3:$Z$9,8,FALSE)</f>
        <v>0</v>
      </c>
      <c r="Z10" s="296">
        <f t="shared" ref="Z10:Z27" si="8">VLOOKUP($B10,$R$3:$Z$9,9,FALSE)</f>
        <v>60</v>
      </c>
    </row>
    <row r="11" spans="2:29" ht="15.75" customHeight="1">
      <c r="B11" s="29" t="s">
        <v>6</v>
      </c>
      <c r="C11" s="366" t="str">
        <f>[22]Brewhouse!$A775</f>
        <v>CA666</v>
      </c>
      <c r="D11" s="279">
        <f>[22]Brewhouse!$AF775</f>
        <v>48.3</v>
      </c>
      <c r="E11" s="279">
        <f>[22]Brewhouse!$AI775</f>
        <v>48.9</v>
      </c>
      <c r="F11" s="278">
        <f>[22]Brewhouse!$V775</f>
        <v>55</v>
      </c>
      <c r="G11" s="279">
        <f>[22]Brewhouse!AG775</f>
        <v>11.7</v>
      </c>
      <c r="H11" s="396"/>
      <c r="I11" s="368">
        <f>[22]Brewhouse!$AU775</f>
        <v>94.317288096622562</v>
      </c>
      <c r="J11" s="368">
        <f>[22]Brewhouse!$AV775</f>
        <v>96.407322676890558</v>
      </c>
      <c r="K11" s="281">
        <f>[22]Brewhouse!$Q775</f>
        <v>10.226415094339627</v>
      </c>
      <c r="L11" s="276">
        <f>[22]Brewhouse!$P775</f>
        <v>60</v>
      </c>
      <c r="M11" s="397">
        <f>[22]Brewhouse!$U775-[22]Brewhouse!$T775</f>
        <v>0.10624999999999996</v>
      </c>
      <c r="N11" s="370">
        <f>[22]Brewhouse!$Z775</f>
        <v>0.24027777777777776</v>
      </c>
      <c r="O11" s="421" t="str">
        <f>[22]Brewhouse!$AX775</f>
        <v>K.Benjamin</v>
      </c>
      <c r="P11" s="418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29" t="s">
        <v>6</v>
      </c>
      <c r="C12" s="366" t="str">
        <f>[22]Brewhouse!$A776</f>
        <v>CA667</v>
      </c>
      <c r="D12" s="279">
        <f>[22]Brewhouse!$AF776</f>
        <v>48.9</v>
      </c>
      <c r="E12" s="279">
        <f>[22]Brewhouse!$AI776</f>
        <v>50.2</v>
      </c>
      <c r="F12" s="278">
        <f>[22]Brewhouse!$V776</f>
        <v>57</v>
      </c>
      <c r="G12" s="279">
        <f>[22]Brewhouse!AG776</f>
        <v>11.8</v>
      </c>
      <c r="H12" s="396"/>
      <c r="I12" s="368">
        <f>[22]Brewhouse!$AU776</f>
        <v>97.81801532617618</v>
      </c>
      <c r="J12" s="368">
        <f>[22]Brewhouse!$AV776</f>
        <v>99.985379268024147</v>
      </c>
      <c r="K12" s="281">
        <f>[22]Brewhouse!$Q776</f>
        <v>10.777777777777779</v>
      </c>
      <c r="L12" s="276">
        <f>[22]Brewhouse!$P776</f>
        <v>62</v>
      </c>
      <c r="M12" s="397">
        <f>[22]Brewhouse!$U776-[22]Brewhouse!$T776</f>
        <v>0.11875000000000002</v>
      </c>
      <c r="N12" s="370">
        <f>[22]Brewhouse!$Z776</f>
        <v>0.25347222222222227</v>
      </c>
      <c r="O12" s="421" t="str">
        <f>[22]Brewhouse!$AX776</f>
        <v>K.Benjamin</v>
      </c>
      <c r="P12" s="418"/>
      <c r="R12" s="277" t="str">
        <f t="shared" si="0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29" t="s">
        <v>6</v>
      </c>
      <c r="C13" s="366" t="str">
        <f>[22]Brewhouse!$A777</f>
        <v>CA668</v>
      </c>
      <c r="D13" s="279">
        <f>[22]Brewhouse!$AF777</f>
        <v>49.6</v>
      </c>
      <c r="E13" s="279">
        <f>[22]Brewhouse!$AI777</f>
        <v>49.8</v>
      </c>
      <c r="F13" s="278">
        <f>[22]Brewhouse!$V777</f>
        <v>58</v>
      </c>
      <c r="G13" s="279">
        <f>[22]Brewhouse!AG777</f>
        <v>11.8</v>
      </c>
      <c r="H13" s="396"/>
      <c r="I13" s="368">
        <f>[22]Brewhouse!$AU777</f>
        <v>96.795950887009838</v>
      </c>
      <c r="J13" s="368">
        <f>[22]Brewhouse!$AV777</f>
        <v>98.941153902970342</v>
      </c>
      <c r="K13" s="281">
        <f>[22]Brewhouse!$Q777</f>
        <v>9.4814814814814774</v>
      </c>
      <c r="L13" s="276">
        <f>[22]Brewhouse!$P777</f>
        <v>61</v>
      </c>
      <c r="M13" s="397">
        <f>[22]Brewhouse!$U777-[22]Brewhouse!$T777</f>
        <v>0.10902777777777772</v>
      </c>
      <c r="N13" s="370">
        <f>[22]Brewhouse!$Z777</f>
        <v>0.24930555555555556</v>
      </c>
      <c r="O13" s="421" t="str">
        <f>[22]Brewhouse!$AX777</f>
        <v>K.Benjamin</v>
      </c>
      <c r="P13" s="418"/>
      <c r="R13" s="277" t="str">
        <f t="shared" si="0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29" t="s">
        <v>6</v>
      </c>
      <c r="C14" s="366" t="str">
        <f>[22]Brewhouse!$A778</f>
        <v>CA669</v>
      </c>
      <c r="D14" s="279">
        <f>[22]Brewhouse!$AF778</f>
        <v>52.8</v>
      </c>
      <c r="E14" s="279">
        <f>[22]Brewhouse!$AI778</f>
        <v>50.9</v>
      </c>
      <c r="F14" s="278">
        <f>[22]Brewhouse!$V778</f>
        <v>61</v>
      </c>
      <c r="G14" s="279">
        <f>[22]Brewhouse!AG778</f>
        <v>12</v>
      </c>
      <c r="H14" s="396"/>
      <c r="I14" s="368">
        <f>[22]Brewhouse!$AU778</f>
        <v>98.121693935066816</v>
      </c>
      <c r="J14" s="368">
        <f>[22]Brewhouse!$AV778</f>
        <v>100.30129674629336</v>
      </c>
      <c r="K14" s="281">
        <f>[22]Brewhouse!$Q778</f>
        <v>3.5555555555555589</v>
      </c>
      <c r="L14" s="276">
        <f>[22]Brewhouse!$P778</f>
        <v>75</v>
      </c>
      <c r="M14" s="397">
        <f>[22]Brewhouse!$U778-[22]Brewhouse!$T778</f>
        <v>0.12847222222222221</v>
      </c>
      <c r="N14" s="370">
        <f>[22]Brewhouse!$Z778</f>
        <v>0.27013888888888893</v>
      </c>
      <c r="O14" s="421" t="str">
        <f>[22]Brewhouse!$AX778</f>
        <v>R. Regis</v>
      </c>
      <c r="P14" s="418" t="s">
        <v>180</v>
      </c>
      <c r="R14" s="277" t="str">
        <f t="shared" si="0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29" t="s">
        <v>6</v>
      </c>
      <c r="C15" s="366" t="str">
        <f>[22]Brewhouse!$A779</f>
        <v>CA670</v>
      </c>
      <c r="D15" s="279">
        <f>[22]Brewhouse!$AF779</f>
        <v>52</v>
      </c>
      <c r="E15" s="279">
        <f>[22]Brewhouse!$AI779</f>
        <v>51.5</v>
      </c>
      <c r="F15" s="278">
        <f>[22]Brewhouse!$V779</f>
        <v>60</v>
      </c>
      <c r="G15" s="279">
        <f>[22]Brewhouse!AG779</f>
        <v>11.7</v>
      </c>
      <c r="H15" s="396"/>
      <c r="I15" s="368">
        <f>[22]Brewhouse!$AU779</f>
        <v>98.526186101385562</v>
      </c>
      <c r="J15" s="368">
        <f>[22]Brewhouse!$AV779</f>
        <v>100.80607343256345</v>
      </c>
      <c r="K15" s="281">
        <f>[22]Brewhouse!$Q779</f>
        <v>3.3013435700575791</v>
      </c>
      <c r="L15" s="276">
        <f>[22]Brewhouse!$P779</f>
        <v>61</v>
      </c>
      <c r="M15" s="397">
        <f>[22]Brewhouse!$U779-[22]Brewhouse!$T779</f>
        <v>0.19583333333333341</v>
      </c>
      <c r="N15" s="370">
        <f>[22]Brewhouse!$Z779</f>
        <v>0.2597222222222223</v>
      </c>
      <c r="O15" s="421" t="str">
        <f>[22]Brewhouse!$AX779</f>
        <v>R. Regis</v>
      </c>
      <c r="P15" s="418"/>
      <c r="R15" s="277" t="str">
        <f t="shared" si="0"/>
        <v>CARIB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29" t="s">
        <v>6</v>
      </c>
      <c r="C16" s="366" t="str">
        <f>[22]Brewhouse!$A780</f>
        <v>CA671</v>
      </c>
      <c r="D16" s="279">
        <f>[22]Brewhouse!$AF780</f>
        <v>52.9</v>
      </c>
      <c r="E16" s="279">
        <f>[22]Brewhouse!$AI780</f>
        <v>49.3</v>
      </c>
      <c r="F16" s="278">
        <f>[22]Brewhouse!$V780</f>
        <v>65</v>
      </c>
      <c r="G16" s="279">
        <f>[22]Brewhouse!AG780</f>
        <v>11.7</v>
      </c>
      <c r="H16" s="396"/>
      <c r="I16" s="368">
        <f>[22]Brewhouse!$AU780</f>
        <v>94.434552577200165</v>
      </c>
      <c r="J16" s="368">
        <f>[22]Brewhouse!$AV780</f>
        <v>96.619639625036584</v>
      </c>
      <c r="K16" s="281">
        <f>[22]Brewhouse!$Q780</f>
        <v>3.8314176245216713E-2</v>
      </c>
      <c r="L16" s="276">
        <f>[22]Brewhouse!$P780</f>
        <v>60</v>
      </c>
      <c r="M16" s="397">
        <f>[22]Brewhouse!$U780-[22]Brewhouse!$T780</f>
        <v>0.11597222222222214</v>
      </c>
      <c r="N16" s="370">
        <f>[22]Brewhouse!$Z780</f>
        <v>0.2715277777777777</v>
      </c>
      <c r="O16" s="421" t="str">
        <f>[22]Brewhouse!$AX780</f>
        <v>R. Regis</v>
      </c>
      <c r="P16" s="418"/>
      <c r="R16" s="277" t="str">
        <f t="shared" si="0"/>
        <v>CARIB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2:26" ht="15.75" customHeight="1">
      <c r="B17" s="29" t="s">
        <v>6</v>
      </c>
      <c r="C17" s="366" t="str">
        <f>[22]Brewhouse!$A781</f>
        <v>CA672</v>
      </c>
      <c r="D17" s="279">
        <f>[22]Brewhouse!$AF781</f>
        <v>53</v>
      </c>
      <c r="E17" s="279">
        <f>[22]Brewhouse!$AI781</f>
        <v>51.6</v>
      </c>
      <c r="F17" s="278">
        <f>[22]Brewhouse!$V781</f>
        <v>62</v>
      </c>
      <c r="G17" s="279">
        <f>[22]Brewhouse!AG781</f>
        <v>11.7</v>
      </c>
      <c r="H17" s="396"/>
      <c r="I17" s="368">
        <f>[22]Brewhouse!$AU781</f>
        <v>98.472966518916749</v>
      </c>
      <c r="J17" s="368">
        <f>[22]Brewhouse!$AV781</f>
        <v>100.75187218955715</v>
      </c>
      <c r="K17" s="281">
        <f>[22]Brewhouse!$Q781</f>
        <v>1.3584905660377338</v>
      </c>
      <c r="L17" s="276">
        <f>[22]Brewhouse!$P781</f>
        <v>59</v>
      </c>
      <c r="M17" s="397">
        <f>[22]Brewhouse!$U781-[22]Brewhouse!$T781</f>
        <v>0.10694444444444451</v>
      </c>
      <c r="N17" s="370">
        <f>[22]Brewhouse!$Z781</f>
        <v>0.25694444444444442</v>
      </c>
      <c r="O17" s="421" t="str">
        <f>[22]Brewhouse!$AX781</f>
        <v>R.Sookram</v>
      </c>
      <c r="P17" s="418"/>
      <c r="R17" s="277" t="str">
        <f t="shared" si="0"/>
        <v>CARIB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2:26" ht="15.75" customHeight="1">
      <c r="B18" s="29" t="s">
        <v>6</v>
      </c>
      <c r="C18" s="366" t="str">
        <f>[22]Brewhouse!$A782</f>
        <v>CA673</v>
      </c>
      <c r="D18" s="279">
        <f>[22]Brewhouse!$AF782</f>
        <v>52.2</v>
      </c>
      <c r="E18" s="279">
        <f>[22]Brewhouse!$AI782</f>
        <v>51.2</v>
      </c>
      <c r="F18" s="278">
        <f>[22]Brewhouse!$V782</f>
        <v>63</v>
      </c>
      <c r="G18" s="279">
        <f>[22]Brewhouse!AG782</f>
        <v>11.6</v>
      </c>
      <c r="H18" s="396"/>
      <c r="I18" s="368">
        <f>[22]Brewhouse!$AU782</f>
        <v>96.17972276313948</v>
      </c>
      <c r="J18" s="368">
        <f>[22]Brewhouse!$AV782</f>
        <v>98.314343992824732</v>
      </c>
      <c r="K18" s="281">
        <f>[22]Brewhouse!$Q782</f>
        <v>6.1481481481481488</v>
      </c>
      <c r="L18" s="276">
        <f>[22]Brewhouse!$P782</f>
        <v>58</v>
      </c>
      <c r="M18" s="397">
        <f>[22]Brewhouse!$U782-[22]Brewhouse!$T782</f>
        <v>0.11388888888888893</v>
      </c>
      <c r="N18" s="370">
        <f>[22]Brewhouse!$Z782</f>
        <v>0.24583333333333335</v>
      </c>
      <c r="O18" s="421" t="str">
        <f>[22]Brewhouse!$AX782</f>
        <v>R.Sookram</v>
      </c>
      <c r="P18" s="418"/>
      <c r="R18" s="277" t="str">
        <f t="shared" si="0"/>
        <v>CARIB</v>
      </c>
      <c r="S18" s="296">
        <f t="shared" si="1"/>
        <v>11.6</v>
      </c>
      <c r="T18" s="296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296">
        <f t="shared" si="8"/>
        <v>60</v>
      </c>
    </row>
    <row r="19" spans="2:26" ht="15.7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1"/>
      <c r="P19" s="418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2:26" ht="15.7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1"/>
      <c r="P20" s="418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2:26" ht="15.7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1"/>
      <c r="P21" s="418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2:26" ht="15.7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1"/>
      <c r="P22" s="418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2:26" ht="15.7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421"/>
      <c r="P23" s="418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2:26" ht="15.7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421"/>
      <c r="P24" s="418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2:26" ht="15.7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421"/>
      <c r="P25" s="418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2:26" ht="15.7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421"/>
      <c r="P26" s="418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2:26" ht="15.7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421"/>
      <c r="P27" s="418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2:26" ht="15.75" hidden="1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421"/>
      <c r="P28" s="418"/>
      <c r="R28" s="277">
        <f t="shared" ref="R28:R54" si="9">B28</f>
        <v>0</v>
      </c>
      <c r="S28" s="296" t="e">
        <f t="shared" ref="S28:S54" si="10">VLOOKUP($B28,$R$3:$X$9,2,FALSE)</f>
        <v>#N/A</v>
      </c>
      <c r="T28" s="296" t="e">
        <f t="shared" ref="T28:T54" si="11">VLOOKUP($B28,$R$3:$X$9,3,FALSE)</f>
        <v>#N/A</v>
      </c>
      <c r="U28" s="297" t="e">
        <f t="shared" ref="U28:U54" si="12">VLOOKUP($B28,$R$3:$X$9,4,FALSE)</f>
        <v>#N/A</v>
      </c>
      <c r="V28" s="297" t="e">
        <f t="shared" ref="V28:V54" si="13">VLOOKUP($B28,$R$3:$X$9,5,FALSE)</f>
        <v>#N/A</v>
      </c>
      <c r="W28" s="297" t="e">
        <f t="shared" ref="W28:W54" si="14">VLOOKUP($B28,$R$3:$X$9,6,FALSE)</f>
        <v>#N/A</v>
      </c>
      <c r="X28" s="297" t="e">
        <f t="shared" ref="X28:X54" si="15">VLOOKUP($B28,$R$3:$X$9,7,FALSE)</f>
        <v>#N/A</v>
      </c>
      <c r="Y28" s="297" t="e">
        <f t="shared" ref="Y28:Y54" si="16">VLOOKUP($B28,$R$3:$Z$9,8,FALSE)</f>
        <v>#N/A</v>
      </c>
      <c r="Z28" s="296" t="e">
        <f t="shared" ref="Z28:Z54" si="17">VLOOKUP($B28,$R$3:$Z$9,9,FALSE)</f>
        <v>#N/A</v>
      </c>
    </row>
    <row r="29" spans="2:26" ht="15.75" hidden="1" customHeight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0"/>
      <c r="O29" s="421"/>
      <c r="P29" s="418"/>
      <c r="R29" s="277">
        <f t="shared" si="9"/>
        <v>0</v>
      </c>
      <c r="S29" s="296" t="e">
        <f t="shared" si="10"/>
        <v>#N/A</v>
      </c>
      <c r="T29" s="296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296" t="e">
        <f t="shared" si="17"/>
        <v>#N/A</v>
      </c>
    </row>
    <row r="30" spans="2:26" ht="15.75" hidden="1" customHeight="1">
      <c r="B30" s="29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97"/>
      <c r="N30" s="370"/>
      <c r="O30" s="421"/>
      <c r="P30" s="418"/>
      <c r="R30" s="277">
        <f t="shared" si="9"/>
        <v>0</v>
      </c>
      <c r="S30" s="296" t="e">
        <f t="shared" si="10"/>
        <v>#N/A</v>
      </c>
      <c r="T30" s="296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296" t="e">
        <f t="shared" si="17"/>
        <v>#N/A</v>
      </c>
    </row>
    <row r="31" spans="2:26" ht="15.75" hidden="1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0"/>
      <c r="O31" s="371"/>
      <c r="P31" s="418"/>
      <c r="R31" s="277">
        <f t="shared" si="9"/>
        <v>0</v>
      </c>
      <c r="S31" s="296" t="e">
        <f t="shared" si="10"/>
        <v>#N/A</v>
      </c>
      <c r="T31" s="296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296" t="e">
        <f t="shared" si="17"/>
        <v>#N/A</v>
      </c>
    </row>
    <row r="32" spans="2:26" ht="15.75" hidden="1" customHeight="1">
      <c r="B32" s="37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74"/>
      <c r="N32" s="370"/>
      <c r="O32" s="371"/>
      <c r="P32" s="418"/>
      <c r="R32" s="277">
        <f t="shared" si="9"/>
        <v>0</v>
      </c>
      <c r="S32" s="296" t="e">
        <f t="shared" si="10"/>
        <v>#N/A</v>
      </c>
      <c r="T32" s="296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296" t="e">
        <f t="shared" si="17"/>
        <v>#N/A</v>
      </c>
    </row>
    <row r="33" spans="1:26" ht="15.75" customHeight="1" thickBot="1">
      <c r="B33" s="358"/>
      <c r="C33" s="358"/>
      <c r="D33" s="358"/>
      <c r="E33" s="358"/>
      <c r="F33" s="294"/>
      <c r="G33" s="294"/>
      <c r="H33" s="348"/>
      <c r="I33" s="514"/>
      <c r="J33" s="514"/>
      <c r="K33" s="514"/>
      <c r="L33" s="514"/>
      <c r="M33" s="514"/>
      <c r="N33" s="514"/>
      <c r="O33" s="1"/>
      <c r="P33" s="12"/>
      <c r="R33" s="277">
        <f t="shared" si="9"/>
        <v>0</v>
      </c>
      <c r="S33" s="296" t="e">
        <f t="shared" si="10"/>
        <v>#N/A</v>
      </c>
      <c r="T33" s="296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296" t="e">
        <f t="shared" si="17"/>
        <v>#N/A</v>
      </c>
    </row>
    <row r="34" spans="1:26" ht="15.75" thickBot="1">
      <c r="B34" s="388" t="s">
        <v>162</v>
      </c>
      <c r="C34" s="388"/>
      <c r="D34" s="527" t="s">
        <v>35</v>
      </c>
      <c r="E34" s="528"/>
      <c r="F34" s="294"/>
      <c r="G34" s="294"/>
      <c r="H34" s="348"/>
      <c r="I34" s="24" t="s">
        <v>17</v>
      </c>
      <c r="J34" s="25" t="s">
        <v>36</v>
      </c>
      <c r="K34" s="26" t="s">
        <v>138</v>
      </c>
      <c r="L34" s="25" t="s">
        <v>37</v>
      </c>
      <c r="M34" s="25" t="s">
        <v>38</v>
      </c>
      <c r="N34" s="27" t="s">
        <v>39</v>
      </c>
      <c r="O34" s="294"/>
      <c r="P34" s="12"/>
      <c r="R34" s="277" t="str">
        <f t="shared" si="9"/>
        <v xml:space="preserve">BRAND </v>
      </c>
      <c r="S34" s="296" t="e">
        <f t="shared" si="10"/>
        <v>#N/A</v>
      </c>
      <c r="T34" s="296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296" t="e">
        <f t="shared" si="17"/>
        <v>#N/A</v>
      </c>
    </row>
    <row r="35" spans="1:26" ht="15" customHeight="1">
      <c r="A35" s="28"/>
      <c r="B35" s="565" t="str">
        <f>J51</f>
        <v>GUINN</v>
      </c>
      <c r="C35" s="362"/>
      <c r="D35" s="518"/>
      <c r="E35" s="507"/>
      <c r="F35" s="294"/>
      <c r="G35" s="294"/>
      <c r="H35" s="348"/>
      <c r="I35" s="29" t="s">
        <v>6</v>
      </c>
      <c r="J35" s="280">
        <f>AVERAGE(I10:I18)</f>
        <v>96.319229731420009</v>
      </c>
      <c r="K35" s="284">
        <f>COUNTA([22]Brewhouse!$A$740:$A$782)</f>
        <v>43</v>
      </c>
      <c r="L35" s="305">
        <f>AVERAGE([22]Brewhouse!$AU$740:$AU$782)</f>
        <v>97.363169195150917</v>
      </c>
      <c r="M35" s="302">
        <f>AVERAGE([22]Brewhouse!$AU$102:$AU$171,[22]Brewhouse!$AU$173:$AU$253,[22]Brewhouse!$AU$255:$AU$339,[22]Brewhouse!$AU$341:$AU$346,[22]Brewhouse!$AU$348,[22]Brewhouse!$AU$349:$AU$406,[22]Brewhouse!$AU$408:$AU$491,[22]Brewhouse!$AU$493:$AU$578,[22]Brewhouse!$AU$580:$AU$652,[22]Brewhouse!$AU$655:$AU$782)</f>
        <v>97.68374537610346</v>
      </c>
      <c r="N35" s="30">
        <v>98</v>
      </c>
      <c r="O35" s="11"/>
      <c r="P35" s="31"/>
      <c r="R35" s="277" t="str">
        <f t="shared" si="9"/>
        <v>GUINN</v>
      </c>
      <c r="S35" s="296" t="e">
        <f t="shared" si="10"/>
        <v>#N/A</v>
      </c>
      <c r="T35" s="296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296" t="e">
        <f t="shared" si="17"/>
        <v>#N/A</v>
      </c>
    </row>
    <row r="36" spans="1:26" ht="15" customHeight="1">
      <c r="A36" s="28"/>
      <c r="B36" s="566"/>
      <c r="C36" s="362"/>
      <c r="D36" s="519"/>
      <c r="E36" s="502"/>
      <c r="F36" s="294"/>
      <c r="G36" s="294"/>
      <c r="H36" s="348"/>
      <c r="I36" s="33" t="s">
        <v>9</v>
      </c>
      <c r="J36" s="280"/>
      <c r="K36" s="284">
        <f>COUNTA([24]Brewhouse!$A$361:$A$370)</f>
        <v>10</v>
      </c>
      <c r="L36" s="302">
        <f>AVERAGE([24]Brewhouse!$AS$361:$AS$370)</f>
        <v>97.37391829333653</v>
      </c>
      <c r="M36" s="302">
        <f>AVERAGE([24]Brewhouse!$AS$15:$AS$64,[24]Brewhouse!$AS$66:$AS$103,[24]Brewhouse!$AS$105:$AS$140,[24]Brewhouse!$AS$142:$AS$193,[24]Brewhouse!$AS$195:$AS$240,[24]Brewhouse!$AS$242:$AS$273,[24]Brewhouse!$AS$275:$AS$322,[24]Brewhouse!$AS$324:$AS$359,[24]Brewhouse!$AS$361:$AS$370)</f>
        <v>98.045616899357427</v>
      </c>
      <c r="N36" s="30">
        <v>98</v>
      </c>
      <c r="O36" s="11"/>
      <c r="P36" s="31"/>
      <c r="R36" s="277">
        <f t="shared" si="9"/>
        <v>0</v>
      </c>
      <c r="S36" s="296" t="e">
        <f t="shared" si="10"/>
        <v>#N/A</v>
      </c>
      <c r="T36" s="296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296" t="e">
        <f t="shared" si="17"/>
        <v>#N/A</v>
      </c>
    </row>
    <row r="37" spans="1:26" ht="14.65" customHeight="1">
      <c r="A37" s="28"/>
      <c r="B37" s="566"/>
      <c r="C37" s="362"/>
      <c r="D37" s="518"/>
      <c r="E37" s="507"/>
      <c r="F37" s="294"/>
      <c r="G37" s="294"/>
      <c r="H37" s="348"/>
      <c r="I37" s="34" t="s">
        <v>12</v>
      </c>
      <c r="J37" s="280"/>
      <c r="K37" s="284"/>
      <c r="L37" s="302"/>
      <c r="M37" s="302">
        <f>AVERAGE([25]Brewhouse!$AU$4:$AU$7,[25]Brewhouse!$AU$9:$AU$22,[25]Brewhouse!$AU$24:$AU$35,[25]Brewhouse!$AU$37:$AU$45,[25]Brewhouse!$AU$47:$AU$62,[25]Brewhouse!$AU$64:$AU$79,[25]Brewhouse!$AU$81:$AU$92)</f>
        <v>96.938184743997624</v>
      </c>
      <c r="N37" s="30">
        <v>98</v>
      </c>
      <c r="O37" s="11"/>
      <c r="P37" s="31"/>
      <c r="R37" s="277">
        <f t="shared" si="9"/>
        <v>0</v>
      </c>
      <c r="S37" s="296" t="e">
        <f t="shared" si="10"/>
        <v>#N/A</v>
      </c>
      <c r="T37" s="296" t="e">
        <f t="shared" si="11"/>
        <v>#N/A</v>
      </c>
      <c r="U37" s="297" t="e">
        <f t="shared" si="12"/>
        <v>#N/A</v>
      </c>
      <c r="V37" s="297" t="e">
        <f t="shared" si="13"/>
        <v>#N/A</v>
      </c>
      <c r="W37" s="297" t="e">
        <f t="shared" si="14"/>
        <v>#N/A</v>
      </c>
      <c r="X37" s="297" t="e">
        <f t="shared" si="15"/>
        <v>#N/A</v>
      </c>
      <c r="Y37" s="297" t="e">
        <f t="shared" si="16"/>
        <v>#N/A</v>
      </c>
      <c r="Z37" s="296" t="e">
        <f t="shared" si="17"/>
        <v>#N/A</v>
      </c>
    </row>
    <row r="38" spans="1:26" ht="14.65" customHeight="1">
      <c r="A38" s="28"/>
      <c r="B38" s="566"/>
      <c r="C38" s="362"/>
      <c r="D38" s="519"/>
      <c r="E38" s="502"/>
      <c r="F38" s="294"/>
      <c r="G38" s="294"/>
      <c r="H38" s="348"/>
      <c r="I38" s="22" t="s">
        <v>33</v>
      </c>
      <c r="J38" s="280"/>
      <c r="K38" s="284">
        <f>COUNTA([26]Brewhouse!$A$79:$A$86)</f>
        <v>8</v>
      </c>
      <c r="L38" s="302">
        <f>AVERAGE([26]Brewhouse!$AV$79:$AV$86)</f>
        <v>96.412390542357869</v>
      </c>
      <c r="M38" s="302">
        <f>AVERAGE([26]Brewhouse!$AV$5:$AV$14,[26]Brewhouse!$AV$16:$AV$19,[26]Brewhouse!$AV$21:$AV$24,[26]Brewhouse!$AV$26:$AV$33,[26]Brewhouse!$AV$35:$AV$46,[26]Brewhouse!$AV$48:$AV$53,[26]Brewhouse!$AV$55:$AV$62,[26]Brewhouse!$AV$64:$AV$77,[26]Brewhouse!$AV$79:$AV$86)</f>
        <v>98.293408393493976</v>
      </c>
      <c r="N38" s="30">
        <v>98</v>
      </c>
      <c r="O38" s="11"/>
      <c r="P38" s="31"/>
      <c r="R38" s="277">
        <f t="shared" si="9"/>
        <v>0</v>
      </c>
      <c r="S38" s="296" t="e">
        <f t="shared" si="10"/>
        <v>#N/A</v>
      </c>
      <c r="T38" s="296" t="e">
        <f t="shared" si="11"/>
        <v>#N/A</v>
      </c>
      <c r="U38" s="297" t="e">
        <f t="shared" si="12"/>
        <v>#N/A</v>
      </c>
      <c r="V38" s="297" t="e">
        <f t="shared" si="13"/>
        <v>#N/A</v>
      </c>
      <c r="W38" s="297" t="e">
        <f t="shared" si="14"/>
        <v>#N/A</v>
      </c>
      <c r="X38" s="297" t="e">
        <f t="shared" si="15"/>
        <v>#N/A</v>
      </c>
      <c r="Y38" s="297" t="e">
        <f t="shared" si="16"/>
        <v>#N/A</v>
      </c>
      <c r="Z38" s="296" t="e">
        <f t="shared" si="17"/>
        <v>#N/A</v>
      </c>
    </row>
    <row r="39" spans="1:26" ht="14.65" customHeight="1">
      <c r="A39" s="28"/>
      <c r="B39" s="566"/>
      <c r="C39" s="362"/>
      <c r="D39" s="518"/>
      <c r="E39" s="507"/>
      <c r="F39" s="417"/>
      <c r="G39" s="294"/>
      <c r="H39" s="348"/>
      <c r="I39" s="35" t="s">
        <v>29</v>
      </c>
      <c r="J39" s="280"/>
      <c r="K39" s="284"/>
      <c r="L39" s="302"/>
      <c r="M39" s="302"/>
      <c r="N39" s="30">
        <v>98</v>
      </c>
      <c r="O39" s="11"/>
      <c r="P39" s="31"/>
      <c r="R39" s="277">
        <f t="shared" si="9"/>
        <v>0</v>
      </c>
      <c r="S39" s="296" t="e">
        <f t="shared" si="10"/>
        <v>#N/A</v>
      </c>
      <c r="T39" s="296" t="e">
        <f t="shared" si="11"/>
        <v>#N/A</v>
      </c>
      <c r="U39" s="297" t="e">
        <f t="shared" si="12"/>
        <v>#N/A</v>
      </c>
      <c r="V39" s="297" t="e">
        <f t="shared" si="13"/>
        <v>#N/A</v>
      </c>
      <c r="W39" s="297" t="e">
        <f t="shared" si="14"/>
        <v>#N/A</v>
      </c>
      <c r="X39" s="297" t="e">
        <f t="shared" si="15"/>
        <v>#N/A</v>
      </c>
      <c r="Y39" s="297" t="e">
        <f t="shared" si="16"/>
        <v>#N/A</v>
      </c>
      <c r="Z39" s="296" t="e">
        <f t="shared" si="17"/>
        <v>#N/A</v>
      </c>
    </row>
    <row r="40" spans="1:26" ht="14.65" customHeight="1">
      <c r="A40" s="28"/>
      <c r="B40" s="566"/>
      <c r="C40" s="362"/>
      <c r="D40" s="519"/>
      <c r="E40" s="502"/>
      <c r="F40" s="417"/>
      <c r="G40" s="294"/>
      <c r="H40" s="348"/>
      <c r="I40" s="36" t="s">
        <v>15</v>
      </c>
      <c r="J40" s="280"/>
      <c r="K40" s="284"/>
      <c r="L40" s="302"/>
      <c r="M40" s="302">
        <f>AVERAGE([27]Brewhouse!$AT$4:$AT$11,[27]Brewhouse!$AT$13:$AT$16,[27]Brewhouse!$AT$18:$AT$21,[27]Brewhouse!$AT$26)</f>
        <v>94.588057846623641</v>
      </c>
      <c r="N40" s="30">
        <v>98</v>
      </c>
      <c r="O40" s="11"/>
      <c r="P40" s="31"/>
      <c r="R40" s="277">
        <f t="shared" si="9"/>
        <v>0</v>
      </c>
      <c r="S40" s="296" t="e">
        <f t="shared" si="10"/>
        <v>#N/A</v>
      </c>
      <c r="T40" s="296" t="e">
        <f t="shared" si="11"/>
        <v>#N/A</v>
      </c>
      <c r="U40" s="297" t="e">
        <f t="shared" si="12"/>
        <v>#N/A</v>
      </c>
      <c r="V40" s="297" t="e">
        <f t="shared" si="13"/>
        <v>#N/A</v>
      </c>
      <c r="W40" s="297" t="e">
        <f t="shared" si="14"/>
        <v>#N/A</v>
      </c>
      <c r="X40" s="297" t="e">
        <f t="shared" si="15"/>
        <v>#N/A</v>
      </c>
      <c r="Y40" s="297" t="e">
        <f t="shared" si="16"/>
        <v>#N/A</v>
      </c>
      <c r="Z40" s="296" t="e">
        <f t="shared" si="17"/>
        <v>#N/A</v>
      </c>
    </row>
    <row r="41" spans="1:26" ht="14.65" customHeight="1">
      <c r="A41" s="28"/>
      <c r="B41" s="566"/>
      <c r="C41" s="362"/>
      <c r="D41" s="518"/>
      <c r="E41" s="507"/>
      <c r="F41" s="417"/>
      <c r="G41" s="294"/>
      <c r="H41" s="348"/>
      <c r="I41" s="37" t="s">
        <v>16</v>
      </c>
      <c r="J41" s="280"/>
      <c r="K41" s="284">
        <f>COUNTA([23]Brewhouse!$A$75:$A$82)</f>
        <v>8</v>
      </c>
      <c r="L41" s="302">
        <f>AVERAGE([23]Brewhouse!$AY$75:$AY$82)</f>
        <v>97.738838123294386</v>
      </c>
      <c r="M41" s="302">
        <f>AVERAGE([23]Brewhouse!$AY$6:$AY$13,[23]Brewhouse!$AY$15:$AY$20,[23]Brewhouse!$AY$22:$AY$29,[23]Brewhouse!$AY$31:$AY$34,[23]Brewhouse!$AY$36:$AY$43,[23]Brewhouse!$AY$45:$AY$50, [23]Brewhouse!$AY$56:$AY$73,[23]Brewhouse!$AY$75:$AY$82)</f>
        <v>97.409216272979165</v>
      </c>
      <c r="N41" s="30">
        <v>98</v>
      </c>
      <c r="O41" s="11"/>
      <c r="P41" s="31" t="s">
        <v>41</v>
      </c>
      <c r="R41" s="277">
        <f t="shared" si="9"/>
        <v>0</v>
      </c>
      <c r="S41" s="296" t="e">
        <f t="shared" si="10"/>
        <v>#N/A</v>
      </c>
      <c r="T41" s="296" t="e">
        <f t="shared" si="11"/>
        <v>#N/A</v>
      </c>
      <c r="U41" s="297" t="e">
        <f t="shared" si="12"/>
        <v>#N/A</v>
      </c>
      <c r="V41" s="297" t="e">
        <f t="shared" si="13"/>
        <v>#N/A</v>
      </c>
      <c r="W41" s="297" t="e">
        <f t="shared" si="14"/>
        <v>#N/A</v>
      </c>
      <c r="X41" s="297" t="e">
        <f t="shared" si="15"/>
        <v>#N/A</v>
      </c>
      <c r="Y41" s="297" t="e">
        <f t="shared" si="16"/>
        <v>#N/A</v>
      </c>
      <c r="Z41" s="296" t="e">
        <f t="shared" si="17"/>
        <v>#N/A</v>
      </c>
    </row>
    <row r="42" spans="1:26" ht="14.65" customHeight="1">
      <c r="A42" s="28"/>
      <c r="B42" s="566"/>
      <c r="C42" s="362"/>
      <c r="D42" s="519"/>
      <c r="E42" s="502"/>
      <c r="F42" s="294"/>
      <c r="G42" s="294"/>
      <c r="H42" s="348"/>
      <c r="I42" s="411" t="s">
        <v>158</v>
      </c>
      <c r="J42" s="326"/>
      <c r="K42" s="284"/>
      <c r="L42" s="305"/>
      <c r="M42" s="305">
        <f>AVERAGE([28]Brewhouse!$AU$5:$AU$8,[28]Brewhouse!$AU$10:$AU$13,[23]Brewhouse!$AY$75:$AY$77)</f>
        <v>94.749192473706671</v>
      </c>
      <c r="N42" s="30">
        <v>98</v>
      </c>
      <c r="O42" s="11"/>
      <c r="P42" s="31"/>
      <c r="R42" s="277">
        <f t="shared" si="9"/>
        <v>0</v>
      </c>
      <c r="S42" s="296" t="e">
        <f t="shared" si="10"/>
        <v>#N/A</v>
      </c>
      <c r="T42" s="296" t="e">
        <f t="shared" si="11"/>
        <v>#N/A</v>
      </c>
      <c r="U42" s="297" t="e">
        <f t="shared" si="12"/>
        <v>#N/A</v>
      </c>
      <c r="V42" s="297" t="e">
        <f t="shared" si="13"/>
        <v>#N/A</v>
      </c>
      <c r="W42" s="297" t="e">
        <f t="shared" si="14"/>
        <v>#N/A</v>
      </c>
      <c r="X42" s="297" t="e">
        <f t="shared" si="15"/>
        <v>#N/A</v>
      </c>
      <c r="Y42" s="297" t="e">
        <f t="shared" si="16"/>
        <v>#N/A</v>
      </c>
      <c r="Z42" s="296" t="e">
        <f t="shared" si="17"/>
        <v>#N/A</v>
      </c>
    </row>
    <row r="43" spans="1:26" ht="14.65" customHeight="1">
      <c r="A43" s="28"/>
      <c r="B43" s="566"/>
      <c r="C43" s="349"/>
      <c r="D43" s="518"/>
      <c r="E43" s="507"/>
      <c r="F43" s="294"/>
      <c r="G43" s="294"/>
      <c r="H43" s="348"/>
      <c r="I43" s="410" t="s">
        <v>157</v>
      </c>
      <c r="J43" s="326"/>
      <c r="K43" s="284"/>
      <c r="L43" s="305"/>
      <c r="M43" s="305">
        <f>AVERAGE([29]Brewhouse!$AW$26:$AW$27)</f>
        <v>95.310680905194914</v>
      </c>
      <c r="N43" s="30">
        <v>98</v>
      </c>
      <c r="O43" s="11"/>
      <c r="P43" s="31"/>
      <c r="R43" s="277">
        <f t="shared" si="9"/>
        <v>0</v>
      </c>
      <c r="S43" s="296" t="e">
        <f t="shared" si="10"/>
        <v>#N/A</v>
      </c>
      <c r="T43" s="296" t="e">
        <f t="shared" si="11"/>
        <v>#N/A</v>
      </c>
      <c r="U43" s="297" t="e">
        <f t="shared" si="12"/>
        <v>#N/A</v>
      </c>
      <c r="V43" s="297" t="e">
        <f t="shared" si="13"/>
        <v>#N/A</v>
      </c>
      <c r="W43" s="297" t="e">
        <f t="shared" si="14"/>
        <v>#N/A</v>
      </c>
      <c r="X43" s="297" t="e">
        <f t="shared" si="15"/>
        <v>#N/A</v>
      </c>
      <c r="Y43" s="297" t="e">
        <f t="shared" si="16"/>
        <v>#N/A</v>
      </c>
      <c r="Z43" s="296" t="e">
        <f t="shared" si="17"/>
        <v>#N/A</v>
      </c>
    </row>
    <row r="44" spans="1:26" ht="15" customHeight="1" thickBot="1">
      <c r="A44" s="28"/>
      <c r="B44" s="566"/>
      <c r="C44" s="349"/>
      <c r="D44" s="519"/>
      <c r="E44" s="502"/>
      <c r="F44" s="294"/>
      <c r="G44" s="294"/>
      <c r="H44" s="348"/>
      <c r="I44" s="406" t="s">
        <v>156</v>
      </c>
      <c r="J44" s="327"/>
      <c r="K44" s="407"/>
      <c r="L44" s="408"/>
      <c r="M44" s="408">
        <f>AVERAGE([30]Brewhouse!$AU$13:$AU$14)</f>
        <v>97.110575243268045</v>
      </c>
      <c r="N44" s="409">
        <v>98</v>
      </c>
      <c r="O44" s="11"/>
      <c r="P44" s="31"/>
      <c r="R44" s="277">
        <f t="shared" si="9"/>
        <v>0</v>
      </c>
      <c r="S44" s="296" t="e">
        <f t="shared" si="10"/>
        <v>#N/A</v>
      </c>
      <c r="T44" s="296" t="e">
        <f t="shared" si="11"/>
        <v>#N/A</v>
      </c>
      <c r="U44" s="297" t="e">
        <f t="shared" si="12"/>
        <v>#N/A</v>
      </c>
      <c r="V44" s="297" t="e">
        <f t="shared" si="13"/>
        <v>#N/A</v>
      </c>
      <c r="W44" s="297" t="e">
        <f t="shared" si="14"/>
        <v>#N/A</v>
      </c>
      <c r="X44" s="297" t="e">
        <f t="shared" si="15"/>
        <v>#N/A</v>
      </c>
      <c r="Y44" s="297" t="e">
        <f t="shared" si="16"/>
        <v>#N/A</v>
      </c>
      <c r="Z44" s="296" t="e">
        <f t="shared" si="17"/>
        <v>#N/A</v>
      </c>
    </row>
    <row r="45" spans="1:26" ht="15" customHeight="1" thickBot="1">
      <c r="A45" s="28"/>
      <c r="B45" s="566"/>
      <c r="C45" s="349"/>
      <c r="D45" s="518"/>
      <c r="E45" s="507"/>
      <c r="F45" s="294"/>
      <c r="G45" s="294"/>
      <c r="H45" s="348"/>
      <c r="I45" s="1"/>
      <c r="J45" s="39"/>
      <c r="K45" s="404">
        <f>SUM(K35:K44)</f>
        <v>69</v>
      </c>
      <c r="L45" s="405">
        <f>((L35*K35)+(L36*K36)+(L37*K37)+(L38*K38)+(L39*K39)+(K42*L42)+(L40*K40)+(L41*K41)+(L44*K44))/(K45)</f>
        <v>97.298047647102521</v>
      </c>
      <c r="M45" s="405">
        <f>AVERAGE('[31]Jan 31st'!$L$65,'[32]Feb 28th'!$L$35,'[33]Mar. 31st'!$L$35,'[34]Apr. 30th'!$L$45,'[35]May 30th'!$L$37,'[36]June 30th'!$L$57,L45)</f>
        <v>97.607136877737773</v>
      </c>
      <c r="N45" s="40">
        <v>98</v>
      </c>
      <c r="O45" s="11"/>
      <c r="P45" s="31"/>
      <c r="R45" s="277">
        <f t="shared" si="9"/>
        <v>0</v>
      </c>
      <c r="S45" s="296" t="e">
        <f t="shared" si="10"/>
        <v>#N/A</v>
      </c>
      <c r="T45" s="296" t="e">
        <f t="shared" si="11"/>
        <v>#N/A</v>
      </c>
      <c r="U45" s="297" t="e">
        <f t="shared" si="12"/>
        <v>#N/A</v>
      </c>
      <c r="V45" s="297" t="e">
        <f t="shared" si="13"/>
        <v>#N/A</v>
      </c>
      <c r="W45" s="297" t="e">
        <f t="shared" si="14"/>
        <v>#N/A</v>
      </c>
      <c r="X45" s="297" t="e">
        <f t="shared" si="15"/>
        <v>#N/A</v>
      </c>
      <c r="Y45" s="297" t="e">
        <f t="shared" si="16"/>
        <v>#N/A</v>
      </c>
      <c r="Z45" s="296" t="e">
        <f t="shared" si="17"/>
        <v>#N/A</v>
      </c>
    </row>
    <row r="46" spans="1:26" ht="15.75" thickBot="1">
      <c r="B46" s="567"/>
      <c r="C46" s="350"/>
      <c r="D46" s="519"/>
      <c r="E46" s="502"/>
      <c r="F46" s="294"/>
      <c r="G46" s="42"/>
      <c r="H46" s="41"/>
      <c r="I46" s="42"/>
      <c r="J46" s="42"/>
      <c r="K46" s="351"/>
      <c r="L46" s="348"/>
      <c r="M46" s="348"/>
      <c r="N46" s="11"/>
      <c r="O46" s="294"/>
      <c r="P46" s="12"/>
      <c r="R46" s="277">
        <f t="shared" si="9"/>
        <v>0</v>
      </c>
      <c r="S46" s="296" t="e">
        <f t="shared" si="10"/>
        <v>#N/A</v>
      </c>
      <c r="T46" s="296" t="e">
        <f t="shared" si="11"/>
        <v>#N/A</v>
      </c>
      <c r="U46" s="297" t="e">
        <f t="shared" si="12"/>
        <v>#N/A</v>
      </c>
      <c r="V46" s="297" t="e">
        <f t="shared" si="13"/>
        <v>#N/A</v>
      </c>
      <c r="W46" s="297" t="e">
        <f t="shared" si="14"/>
        <v>#N/A</v>
      </c>
      <c r="X46" s="297" t="e">
        <f t="shared" si="15"/>
        <v>#N/A</v>
      </c>
      <c r="Y46" s="297" t="e">
        <f t="shared" si="16"/>
        <v>#N/A</v>
      </c>
      <c r="Z46" s="296" t="e">
        <f t="shared" si="17"/>
        <v>#N/A</v>
      </c>
    </row>
    <row r="47" spans="1:26" ht="15.75" thickBot="1">
      <c r="B47" s="552"/>
      <c r="C47" s="362"/>
      <c r="D47" s="499"/>
      <c r="E47" s="500"/>
      <c r="F47" s="294"/>
      <c r="G47" s="42"/>
      <c r="H47" s="41"/>
      <c r="I47" s="42"/>
      <c r="J47" s="553" t="s">
        <v>129</v>
      </c>
      <c r="K47" s="553"/>
      <c r="L47" s="294"/>
      <c r="M47" s="294"/>
      <c r="N47" s="294"/>
      <c r="O47" s="294"/>
      <c r="P47" s="12"/>
      <c r="R47" s="277">
        <f t="shared" si="9"/>
        <v>0</v>
      </c>
      <c r="S47" s="296" t="e">
        <f t="shared" si="10"/>
        <v>#N/A</v>
      </c>
      <c r="T47" s="296" t="e">
        <f t="shared" si="11"/>
        <v>#N/A</v>
      </c>
      <c r="U47" s="297" t="e">
        <f t="shared" si="12"/>
        <v>#N/A</v>
      </c>
      <c r="V47" s="297" t="e">
        <f t="shared" si="13"/>
        <v>#N/A</v>
      </c>
      <c r="W47" s="297" t="e">
        <f t="shared" si="14"/>
        <v>#N/A</v>
      </c>
      <c r="X47" s="297" t="e">
        <f t="shared" si="15"/>
        <v>#N/A</v>
      </c>
      <c r="Y47" s="297" t="e">
        <f t="shared" si="16"/>
        <v>#N/A</v>
      </c>
      <c r="Z47" s="296" t="e">
        <f t="shared" si="17"/>
        <v>#N/A</v>
      </c>
    </row>
    <row r="48" spans="1:26" ht="15.75" thickBot="1">
      <c r="B48" s="516"/>
      <c r="C48" s="362"/>
      <c r="D48" s="501"/>
      <c r="E48" s="502"/>
      <c r="F48" s="294"/>
      <c r="G48" s="42"/>
      <c r="H48" s="41"/>
      <c r="I48" s="42"/>
      <c r="J48" s="292" t="s">
        <v>17</v>
      </c>
      <c r="K48" s="293" t="s">
        <v>147</v>
      </c>
      <c r="L48" s="504" t="s">
        <v>136</v>
      </c>
      <c r="M48" s="504"/>
      <c r="N48" s="505"/>
      <c r="O48" s="294"/>
      <c r="P48" s="12"/>
      <c r="R48" s="277">
        <f t="shared" si="9"/>
        <v>0</v>
      </c>
      <c r="S48" s="296" t="e">
        <f t="shared" si="10"/>
        <v>#N/A</v>
      </c>
      <c r="T48" s="296" t="e">
        <f t="shared" si="11"/>
        <v>#N/A</v>
      </c>
      <c r="U48" s="297" t="e">
        <f t="shared" si="12"/>
        <v>#N/A</v>
      </c>
      <c r="V48" s="297" t="e">
        <f t="shared" si="13"/>
        <v>#N/A</v>
      </c>
      <c r="W48" s="297" t="e">
        <f t="shared" si="14"/>
        <v>#N/A</v>
      </c>
      <c r="X48" s="297" t="e">
        <f t="shared" si="15"/>
        <v>#N/A</v>
      </c>
      <c r="Y48" s="297" t="e">
        <f t="shared" si="16"/>
        <v>#N/A</v>
      </c>
      <c r="Z48" s="296" t="e">
        <f t="shared" si="17"/>
        <v>#N/A</v>
      </c>
    </row>
    <row r="49" spans="2:57" ht="15" customHeight="1" thickBot="1">
      <c r="B49" s="516"/>
      <c r="C49" s="349"/>
      <c r="D49" s="554"/>
      <c r="E49" s="555"/>
      <c r="F49" s="294"/>
      <c r="G49" s="42"/>
      <c r="H49" s="41"/>
      <c r="I49" s="42"/>
      <c r="J49" s="287" t="s">
        <v>6</v>
      </c>
      <c r="K49" s="324">
        <v>9</v>
      </c>
      <c r="L49" s="343" t="s">
        <v>37</v>
      </c>
      <c r="M49" s="307" t="s">
        <v>38</v>
      </c>
      <c r="N49" s="307" t="s">
        <v>84</v>
      </c>
      <c r="O49" s="294"/>
      <c r="P49" s="12"/>
      <c r="R49" s="277">
        <f t="shared" si="9"/>
        <v>0</v>
      </c>
      <c r="S49" s="296" t="e">
        <f t="shared" si="10"/>
        <v>#N/A</v>
      </c>
      <c r="T49" s="296" t="e">
        <f t="shared" si="11"/>
        <v>#N/A</v>
      </c>
      <c r="U49" s="297" t="e">
        <f t="shared" si="12"/>
        <v>#N/A</v>
      </c>
      <c r="V49" s="297" t="e">
        <f t="shared" si="13"/>
        <v>#N/A</v>
      </c>
      <c r="W49" s="297" t="e">
        <f t="shared" si="14"/>
        <v>#N/A</v>
      </c>
      <c r="X49" s="297" t="e">
        <f t="shared" si="15"/>
        <v>#N/A</v>
      </c>
      <c r="Y49" s="297" t="e">
        <f t="shared" si="16"/>
        <v>#N/A</v>
      </c>
      <c r="Z49" s="296" t="e">
        <f t="shared" si="17"/>
        <v>#N/A</v>
      </c>
    </row>
    <row r="50" spans="2:57" ht="15.75" customHeight="1" thickBot="1">
      <c r="B50" s="516"/>
      <c r="C50" s="349"/>
      <c r="D50" s="501"/>
      <c r="E50" s="502"/>
      <c r="F50" s="294"/>
      <c r="G50" s="42"/>
      <c r="H50" s="41"/>
      <c r="I50" s="42"/>
      <c r="J50" s="345" t="s">
        <v>9</v>
      </c>
      <c r="K50" s="324"/>
      <c r="L50" s="344">
        <f>AVERAGE('Sept 1st'!K53,'Sept 2nd'!K51,'Sept 3rd'!K52,'Sept 4th'!K61,'Sept 5th '!K49,'Sept 8th'!K51,'Sept 9th'!K51,K59)</f>
        <v>8.625</v>
      </c>
      <c r="M50" s="325">
        <f>AVERAGE('[31]Jan 29th '!$M$70,'[32]Feb 28th'!$L$40,'[33]Mar. 31st'!$L$40,'[34]Apr. 30th'!$L$50,'[35]May 30th'!$L$42,'[36]June 30th'!$L$62,'[37]July 29th '!$L$49,'[38]Aug 29th'!$L$34,L50)</f>
        <v>7.1397451497565907</v>
      </c>
      <c r="N50" s="416">
        <v>9.1999999999999993</v>
      </c>
      <c r="O50" s="294"/>
      <c r="P50" s="12"/>
      <c r="R50" s="277">
        <f t="shared" si="9"/>
        <v>0</v>
      </c>
      <c r="S50" s="296" t="e">
        <f t="shared" si="10"/>
        <v>#N/A</v>
      </c>
      <c r="T50" s="296" t="e">
        <f t="shared" si="11"/>
        <v>#N/A</v>
      </c>
      <c r="U50" s="297" t="e">
        <f t="shared" si="12"/>
        <v>#N/A</v>
      </c>
      <c r="V50" s="297" t="e">
        <f t="shared" si="13"/>
        <v>#N/A</v>
      </c>
      <c r="W50" s="297" t="e">
        <f t="shared" si="14"/>
        <v>#N/A</v>
      </c>
      <c r="X50" s="297" t="e">
        <f t="shared" si="15"/>
        <v>#N/A</v>
      </c>
      <c r="Y50" s="297" t="e">
        <f t="shared" si="16"/>
        <v>#N/A</v>
      </c>
      <c r="Z50" s="296" t="e">
        <f t="shared" si="17"/>
        <v>#N/A</v>
      </c>
    </row>
    <row r="51" spans="2:57" ht="15" customHeight="1">
      <c r="B51" s="516"/>
      <c r="C51" s="349"/>
      <c r="D51" s="554"/>
      <c r="E51" s="555"/>
      <c r="F51" s="294"/>
      <c r="G51" s="42"/>
      <c r="H51" s="41"/>
      <c r="I51" s="42"/>
      <c r="J51" s="288" t="s">
        <v>40</v>
      </c>
      <c r="K51" s="324"/>
      <c r="L51" s="294"/>
      <c r="M51" s="294"/>
      <c r="N51" s="294"/>
      <c r="O51" s="294"/>
      <c r="P51" s="12"/>
      <c r="R51" s="277">
        <f t="shared" si="9"/>
        <v>0</v>
      </c>
      <c r="S51" s="296" t="e">
        <f t="shared" si="10"/>
        <v>#N/A</v>
      </c>
      <c r="T51" s="296" t="e">
        <f t="shared" si="11"/>
        <v>#N/A</v>
      </c>
      <c r="U51" s="297" t="e">
        <f t="shared" si="12"/>
        <v>#N/A</v>
      </c>
      <c r="V51" s="297" t="e">
        <f t="shared" si="13"/>
        <v>#N/A</v>
      </c>
      <c r="W51" s="297" t="e">
        <f t="shared" si="14"/>
        <v>#N/A</v>
      </c>
      <c r="X51" s="297" t="e">
        <f t="shared" si="15"/>
        <v>#N/A</v>
      </c>
      <c r="Y51" s="297" t="e">
        <f t="shared" si="16"/>
        <v>#N/A</v>
      </c>
      <c r="Z51" s="296" t="e">
        <f t="shared" si="17"/>
        <v>#N/A</v>
      </c>
    </row>
    <row r="52" spans="2:57" ht="15" customHeight="1">
      <c r="B52" s="516"/>
      <c r="C52" s="349"/>
      <c r="D52" s="501"/>
      <c r="E52" s="502"/>
      <c r="F52" s="294"/>
      <c r="G52" s="42"/>
      <c r="H52" s="41"/>
      <c r="I52" s="42"/>
      <c r="J52" s="289" t="s">
        <v>33</v>
      </c>
      <c r="K52" s="324"/>
      <c r="L52" s="294"/>
      <c r="M52" s="294"/>
      <c r="N52" s="294"/>
      <c r="O52" s="294"/>
      <c r="P52" s="12"/>
      <c r="R52" s="277">
        <f t="shared" si="9"/>
        <v>0</v>
      </c>
      <c r="S52" s="296" t="e">
        <f t="shared" si="10"/>
        <v>#N/A</v>
      </c>
      <c r="T52" s="296" t="e">
        <f t="shared" si="11"/>
        <v>#N/A</v>
      </c>
      <c r="U52" s="297" t="e">
        <f t="shared" si="12"/>
        <v>#N/A</v>
      </c>
      <c r="V52" s="297" t="e">
        <f t="shared" si="13"/>
        <v>#N/A</v>
      </c>
      <c r="W52" s="297" t="e">
        <f t="shared" si="14"/>
        <v>#N/A</v>
      </c>
      <c r="X52" s="297" t="e">
        <f t="shared" si="15"/>
        <v>#N/A</v>
      </c>
      <c r="Y52" s="297" t="e">
        <f t="shared" si="16"/>
        <v>#N/A</v>
      </c>
      <c r="Z52" s="296" t="e">
        <f t="shared" si="17"/>
        <v>#N/A</v>
      </c>
    </row>
    <row r="53" spans="2:57" ht="15">
      <c r="B53" s="516"/>
      <c r="C53" s="349"/>
      <c r="D53" s="554"/>
      <c r="E53" s="555"/>
      <c r="F53" s="294"/>
      <c r="G53" s="42"/>
      <c r="H53" s="41"/>
      <c r="I53" s="42"/>
      <c r="J53" s="290" t="s">
        <v>16</v>
      </c>
      <c r="K53" s="324"/>
      <c r="L53" s="294"/>
      <c r="M53" s="294"/>
      <c r="N53" s="294"/>
      <c r="O53" s="294"/>
      <c r="P53" s="12"/>
      <c r="R53" s="277">
        <f t="shared" si="9"/>
        <v>0</v>
      </c>
      <c r="S53" s="296" t="e">
        <f t="shared" si="10"/>
        <v>#N/A</v>
      </c>
      <c r="T53" s="296" t="e">
        <f t="shared" si="11"/>
        <v>#N/A</v>
      </c>
      <c r="U53" s="297" t="e">
        <f t="shared" si="12"/>
        <v>#N/A</v>
      </c>
      <c r="V53" s="297" t="e">
        <f t="shared" si="13"/>
        <v>#N/A</v>
      </c>
      <c r="W53" s="297" t="e">
        <f t="shared" si="14"/>
        <v>#N/A</v>
      </c>
      <c r="X53" s="297" t="e">
        <f t="shared" si="15"/>
        <v>#N/A</v>
      </c>
      <c r="Y53" s="297" t="e">
        <f t="shared" si="16"/>
        <v>#N/A</v>
      </c>
      <c r="Z53" s="296" t="e">
        <f t="shared" si="17"/>
        <v>#N/A</v>
      </c>
      <c r="BC53" s="44"/>
      <c r="BD53" s="44"/>
    </row>
    <row r="54" spans="2:57" ht="15">
      <c r="B54" s="516"/>
      <c r="C54" s="349"/>
      <c r="D54" s="501"/>
      <c r="E54" s="502"/>
      <c r="F54" s="294"/>
      <c r="G54" s="42"/>
      <c r="H54" s="41"/>
      <c r="I54" s="42"/>
      <c r="J54" s="291" t="s">
        <v>15</v>
      </c>
      <c r="K54" s="324"/>
      <c r="L54" s="294"/>
      <c r="M54" s="294"/>
      <c r="N54" s="294"/>
      <c r="O54" s="294"/>
      <c r="P54" s="12"/>
      <c r="R54" s="277">
        <f t="shared" si="9"/>
        <v>0</v>
      </c>
      <c r="S54" s="296" t="e">
        <f t="shared" si="10"/>
        <v>#N/A</v>
      </c>
      <c r="T54" s="296" t="e">
        <f t="shared" si="11"/>
        <v>#N/A</v>
      </c>
      <c r="U54" s="297" t="e">
        <f t="shared" si="12"/>
        <v>#N/A</v>
      </c>
      <c r="V54" s="297" t="e">
        <f t="shared" si="13"/>
        <v>#N/A</v>
      </c>
      <c r="W54" s="297" t="e">
        <f t="shared" si="14"/>
        <v>#N/A</v>
      </c>
      <c r="X54" s="297" t="e">
        <f t="shared" si="15"/>
        <v>#N/A</v>
      </c>
      <c r="Y54" s="297" t="e">
        <f t="shared" si="16"/>
        <v>#N/A</v>
      </c>
      <c r="Z54" s="296" t="e">
        <f t="shared" si="17"/>
        <v>#N/A</v>
      </c>
      <c r="BC54" s="44"/>
      <c r="BD54" s="44"/>
    </row>
    <row r="55" spans="2:57" ht="15">
      <c r="B55" s="516"/>
      <c r="C55" s="349"/>
      <c r="D55" s="554"/>
      <c r="E55" s="555"/>
      <c r="F55" s="294"/>
      <c r="G55" s="42"/>
      <c r="H55" s="41"/>
      <c r="I55" s="42"/>
      <c r="J55" s="291" t="s">
        <v>149</v>
      </c>
      <c r="K55" s="324"/>
      <c r="L55" s="294"/>
      <c r="M55" s="294"/>
      <c r="N55" s="294"/>
      <c r="O55" s="294"/>
      <c r="P55" s="12"/>
      <c r="BC55" s="44"/>
      <c r="BD55" s="44"/>
    </row>
    <row r="56" spans="2:57" ht="15.75" thickBot="1">
      <c r="B56" s="517"/>
      <c r="C56" s="350"/>
      <c r="D56" s="556"/>
      <c r="E56" s="557"/>
      <c r="F56" s="294"/>
      <c r="G56" s="42"/>
      <c r="H56" s="41"/>
      <c r="I56" s="42"/>
      <c r="J56" s="291" t="s">
        <v>148</v>
      </c>
      <c r="K56" s="324"/>
      <c r="L56" s="294"/>
      <c r="M56" s="294"/>
      <c r="N56" s="294"/>
      <c r="O56" s="294"/>
      <c r="P56" s="12"/>
      <c r="BC56" s="44"/>
      <c r="BD56" s="44"/>
    </row>
    <row r="57" spans="2:57" ht="17.649999999999999" customHeight="1" thickBot="1">
      <c r="B57" s="312" t="s">
        <v>139</v>
      </c>
      <c r="C57" s="313"/>
      <c r="D57" s="550" t="e">
        <f>AVERAGE(D35:E56)</f>
        <v>#DIV/0!</v>
      </c>
      <c r="E57" s="551"/>
      <c r="F57" s="294"/>
      <c r="H57" s="41"/>
      <c r="I57" s="42"/>
      <c r="J57" s="295" t="s">
        <v>134</v>
      </c>
      <c r="K57" s="324"/>
      <c r="L57" s="294"/>
      <c r="M57" s="294"/>
      <c r="N57" s="294"/>
      <c r="O57" s="294"/>
      <c r="P57" s="12"/>
      <c r="BC57" s="44"/>
      <c r="BD57" s="44"/>
    </row>
    <row r="58" spans="2:57" ht="17.649999999999999" customHeight="1">
      <c r="B58" s="363"/>
      <c r="C58" s="364"/>
      <c r="D58" s="365"/>
      <c r="E58" s="365"/>
      <c r="F58" s="294"/>
      <c r="G58" s="42"/>
      <c r="H58" s="41"/>
      <c r="I58" s="42"/>
      <c r="J58" s="295" t="s">
        <v>131</v>
      </c>
      <c r="K58" s="324"/>
      <c r="L58" s="294"/>
      <c r="M58" s="294"/>
      <c r="N58" s="294"/>
      <c r="O58" s="294"/>
      <c r="P58" s="12"/>
      <c r="BC58" s="44"/>
      <c r="BD58" s="44"/>
    </row>
    <row r="59" spans="2:57" ht="15.6" customHeight="1">
      <c r="B59" s="45"/>
      <c r="C59" s="11"/>
      <c r="D59" s="11"/>
      <c r="E59" s="46"/>
      <c r="F59" s="294"/>
      <c r="G59" s="42"/>
      <c r="H59" s="41"/>
      <c r="I59" s="42"/>
      <c r="J59" s="346" t="s">
        <v>130</v>
      </c>
      <c r="K59" s="324">
        <f>SUM(K49:K58)</f>
        <v>9</v>
      </c>
      <c r="L59" s="294"/>
      <c r="M59" s="294"/>
      <c r="N59" s="294"/>
      <c r="O59" s="294"/>
      <c r="P59" s="12"/>
    </row>
    <row r="60" spans="2:57" ht="20.25" customHeight="1">
      <c r="B60" s="15" t="s">
        <v>42</v>
      </c>
      <c r="C60" s="1" t="s">
        <v>43</v>
      </c>
      <c r="D60" s="1"/>
      <c r="E60" s="1"/>
      <c r="F60" s="294"/>
      <c r="G60" s="42"/>
      <c r="H60" s="41"/>
      <c r="I60" s="42"/>
      <c r="L60" s="294"/>
      <c r="N60" s="315"/>
      <c r="P60" s="334"/>
    </row>
    <row r="61" spans="2:57" ht="15" customHeight="1" thickBot="1"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1"/>
      <c r="O61" s="48"/>
      <c r="P61" s="49"/>
    </row>
    <row r="62" spans="2:57" ht="15" customHeight="1" thickBot="1">
      <c r="B62" s="480" t="s">
        <v>17</v>
      </c>
      <c r="C62" s="480" t="s">
        <v>44</v>
      </c>
      <c r="D62" s="492" t="s">
        <v>45</v>
      </c>
      <c r="E62" s="494" t="s">
        <v>46</v>
      </c>
      <c r="F62" s="488" t="s">
        <v>47</v>
      </c>
      <c r="G62" s="478" t="s">
        <v>48</v>
      </c>
      <c r="H62" s="480" t="s">
        <v>49</v>
      </c>
      <c r="I62" s="480" t="s">
        <v>50</v>
      </c>
      <c r="J62" s="472" t="s">
        <v>28</v>
      </c>
      <c r="K62" s="484" t="s">
        <v>51</v>
      </c>
      <c r="L62" s="486" t="s">
        <v>52</v>
      </c>
      <c r="M62" s="472" t="s">
        <v>53</v>
      </c>
      <c r="N62" s="13"/>
      <c r="O62" s="13"/>
      <c r="P62" s="50"/>
    </row>
    <row r="63" spans="2:57" ht="28.5" customHeight="1" thickTop="1" thickBot="1">
      <c r="B63" s="481"/>
      <c r="C63" s="481"/>
      <c r="D63" s="493"/>
      <c r="E63" s="495"/>
      <c r="F63" s="489"/>
      <c r="G63" s="479"/>
      <c r="H63" s="549"/>
      <c r="I63" s="549"/>
      <c r="J63" s="473"/>
      <c r="K63" s="485"/>
      <c r="L63" s="487"/>
      <c r="M63" s="473"/>
      <c r="N63" s="13"/>
      <c r="O63" s="13"/>
      <c r="P63" s="50"/>
      <c r="Q63" s="355"/>
      <c r="AB63" s="51">
        <v>43474</v>
      </c>
      <c r="AC63" s="51">
        <v>43475</v>
      </c>
      <c r="AD63" s="51">
        <v>43476</v>
      </c>
      <c r="AE63" s="51">
        <v>43477</v>
      </c>
      <c r="AF63" s="51">
        <v>43478</v>
      </c>
      <c r="AG63" s="51">
        <v>43479</v>
      </c>
      <c r="AH63" s="51">
        <v>43480</v>
      </c>
      <c r="AI63" s="51">
        <v>43481</v>
      </c>
      <c r="AJ63" s="51">
        <v>43482</v>
      </c>
      <c r="AK63" s="51">
        <v>43483</v>
      </c>
      <c r="AL63" s="51">
        <v>43484</v>
      </c>
      <c r="AM63" s="51">
        <v>43485</v>
      </c>
      <c r="AN63" s="51">
        <v>43486</v>
      </c>
      <c r="AO63" s="51">
        <v>43487</v>
      </c>
      <c r="AP63" s="51">
        <v>43488</v>
      </c>
      <c r="AQ63" s="51">
        <v>43489</v>
      </c>
      <c r="AR63" s="51">
        <v>43490</v>
      </c>
      <c r="AS63" s="51">
        <v>43491</v>
      </c>
      <c r="AT63" s="51">
        <v>43492</v>
      </c>
      <c r="AU63" s="51">
        <v>43493</v>
      </c>
      <c r="AV63" s="51">
        <v>43494</v>
      </c>
      <c r="AW63" s="51">
        <v>43495</v>
      </c>
      <c r="AX63" s="51">
        <v>43496</v>
      </c>
    </row>
    <row r="64" spans="2:57" s="54" customFormat="1" ht="59.45" customHeight="1" thickBot="1">
      <c r="B64" s="466" t="str">
        <f>J51</f>
        <v>GUINN</v>
      </c>
      <c r="C64" s="442">
        <v>45910</v>
      </c>
      <c r="D64" s="443">
        <f>[39]September_2025!$M$23</f>
        <v>205.7</v>
      </c>
      <c r="E64" s="444">
        <f>[41]GUINNESS!$S$23</f>
        <v>4.0999999999999996</v>
      </c>
      <c r="F64" s="444"/>
      <c r="G64" s="445">
        <f>[39]September_2025!$M$28</f>
        <v>190.6</v>
      </c>
      <c r="H64" s="463"/>
      <c r="I64" s="463"/>
      <c r="J64" s="449" t="s">
        <v>150</v>
      </c>
      <c r="K64" s="450">
        <f>[40]September_2025!$M$32</f>
        <v>0.66877192982456135</v>
      </c>
      <c r="L64" s="464">
        <f>(((D64+E64)-G64)/(D64+E64))*100</f>
        <v>9.1515729265967547</v>
      </c>
      <c r="M64" s="457" t="s">
        <v>179</v>
      </c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>
        <f>[20]January_2019!L7</f>
        <v>285.8</v>
      </c>
      <c r="AC64" s="57">
        <f>[20]January_2019!M7</f>
        <v>508.1</v>
      </c>
      <c r="AD64" s="57">
        <f>[20]January_2019!N7</f>
        <v>0</v>
      </c>
      <c r="AE64" s="57">
        <f>[20]January_2019!O7</f>
        <v>0</v>
      </c>
      <c r="AF64" s="57">
        <f>[20]January_2019!P7</f>
        <v>109.56666666666666</v>
      </c>
      <c r="AG64" s="57">
        <f>[20]January_2019!Q7</f>
        <v>297.64999999999998</v>
      </c>
      <c r="AH64" s="57">
        <f>[20]January_2019!R7</f>
        <v>122.3</v>
      </c>
      <c r="AI64" s="57">
        <f>[20]January_2019!S7</f>
        <v>0</v>
      </c>
      <c r="AJ64" s="57">
        <f>[20]January_2019!T7</f>
        <v>294.7</v>
      </c>
      <c r="AK64" s="57">
        <f>[20]January_2019!U7</f>
        <v>280.5</v>
      </c>
      <c r="AL64" s="57">
        <f>[20]January_2019!V7</f>
        <v>0</v>
      </c>
      <c r="AM64" s="57">
        <f>[20]January_2019!W7</f>
        <v>0</v>
      </c>
      <c r="AN64" s="57">
        <f>[20]January_2019!X7</f>
        <v>188.25</v>
      </c>
      <c r="AO64" s="57">
        <f>[20]January_2019!Y7</f>
        <v>295.7</v>
      </c>
      <c r="AP64" s="57">
        <f>[20]January_2019!Z7</f>
        <v>257.8</v>
      </c>
      <c r="AQ64" s="57">
        <f>[20]January_2019!AA7</f>
        <v>291.2</v>
      </c>
      <c r="AR64" s="57">
        <f>[20]January_2019!AB7</f>
        <v>187</v>
      </c>
      <c r="AS64" s="57">
        <f>[20]January_2019!AC7</f>
        <v>0</v>
      </c>
      <c r="AT64" s="57">
        <f>[20]January_2019!AD7</f>
        <v>0</v>
      </c>
      <c r="AU64" s="57">
        <f>[20]January_2019!AE7</f>
        <v>485.1</v>
      </c>
      <c r="AV64" s="57">
        <f>[20]January_2019!AF7</f>
        <v>171.55</v>
      </c>
      <c r="AW64" s="57">
        <f>[20]January_2019!AG7</f>
        <v>423.8</v>
      </c>
      <c r="AX64" s="277">
        <f>[20]January_2019!AH7</f>
        <v>0</v>
      </c>
      <c r="AY64" s="277"/>
      <c r="AZ64" s="277"/>
      <c r="BA64" s="277"/>
      <c r="BB64" s="277"/>
      <c r="BC64" s="277"/>
      <c r="BD64" s="277"/>
      <c r="BE64" s="277"/>
    </row>
    <row r="65" spans="2:57" s="54" customFormat="1" ht="20.45" hidden="1" customHeight="1" thickBot="1">
      <c r="B65" s="459"/>
      <c r="C65" s="431"/>
      <c r="D65" s="432"/>
      <c r="E65" s="433"/>
      <c r="F65" s="434"/>
      <c r="G65" s="435"/>
      <c r="H65" s="429"/>
      <c r="I65" s="429"/>
      <c r="J65" s="452"/>
      <c r="K65" s="437"/>
      <c r="L65" s="453"/>
      <c r="M65" s="422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59.45" hidden="1" customHeight="1" thickBot="1">
      <c r="B66" s="460"/>
      <c r="C66" s="442"/>
      <c r="D66" s="443"/>
      <c r="E66" s="444"/>
      <c r="F66" s="445"/>
      <c r="G66" s="446"/>
      <c r="H66" s="429"/>
      <c r="I66" s="429"/>
      <c r="J66" s="449"/>
      <c r="K66" s="450"/>
      <c r="L66" s="458"/>
      <c r="M66" s="457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15" hidden="1">
      <c r="B67" s="454"/>
      <c r="C67" s="431"/>
      <c r="D67" s="432"/>
      <c r="E67" s="433"/>
      <c r="F67" s="434"/>
      <c r="G67" s="435"/>
      <c r="H67" s="436"/>
      <c r="I67" s="451"/>
      <c r="J67" s="452"/>
      <c r="K67" s="437"/>
      <c r="L67" s="453"/>
      <c r="M67" s="422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s="54" customFormat="1" ht="36.6" hidden="1" customHeight="1" thickBot="1">
      <c r="B68" s="387"/>
      <c r="C68" s="442"/>
      <c r="D68" s="443"/>
      <c r="E68" s="444"/>
      <c r="F68" s="445"/>
      <c r="G68" s="446"/>
      <c r="H68" s="447"/>
      <c r="I68" s="448"/>
      <c r="J68" s="449" t="s">
        <v>163</v>
      </c>
      <c r="K68" s="450"/>
      <c r="L68" s="455" t="e">
        <f>(((D68+E68)-G68)/(D68+E68))*100</f>
        <v>#DIV/0!</v>
      </c>
      <c r="M68" s="456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277"/>
      <c r="AY68" s="277"/>
      <c r="AZ68" s="277"/>
      <c r="BA68" s="277"/>
      <c r="BB68" s="277"/>
      <c r="BC68" s="277"/>
      <c r="BD68" s="277"/>
      <c r="BE68" s="277"/>
    </row>
    <row r="69" spans="2:57" s="54" customFormat="1" ht="16.5" hidden="1" customHeight="1" thickBot="1">
      <c r="B69" s="438"/>
      <c r="C69" s="424"/>
      <c r="D69" s="425"/>
      <c r="E69" s="426"/>
      <c r="F69" s="427"/>
      <c r="G69" s="428"/>
      <c r="H69" s="429"/>
      <c r="I69" s="439"/>
      <c r="J69" s="440"/>
      <c r="K69" s="430"/>
      <c r="L69" s="441"/>
      <c r="M69" s="423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415"/>
      <c r="AC69" s="415"/>
      <c r="AD69" s="415"/>
      <c r="AE69" s="415"/>
      <c r="AF69" s="415"/>
      <c r="AG69" s="415"/>
      <c r="AH69" s="415"/>
      <c r="AI69" s="415"/>
      <c r="AJ69" s="415"/>
      <c r="AK69" s="415"/>
      <c r="AL69" s="415"/>
      <c r="AM69" s="415"/>
      <c r="AN69" s="415"/>
      <c r="AO69" s="415"/>
      <c r="AP69" s="415"/>
      <c r="AQ69" s="415"/>
      <c r="AR69" s="415"/>
      <c r="AS69" s="415"/>
      <c r="AT69" s="415"/>
      <c r="AU69" s="415"/>
      <c r="AV69" s="415"/>
      <c r="AW69" s="415"/>
    </row>
    <row r="70" spans="2:57" ht="18" customHeight="1" thickBot="1">
      <c r="B70" s="59"/>
      <c r="C70" s="30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 t="s">
        <v>41</v>
      </c>
      <c r="O70" s="56"/>
      <c r="P70" s="60"/>
    </row>
    <row r="71" spans="2:57" ht="15.75" thickBot="1">
      <c r="B71" s="474" t="s">
        <v>55</v>
      </c>
      <c r="C71" s="475"/>
      <c r="D71" s="475"/>
      <c r="E71" s="475"/>
      <c r="F71" s="476"/>
      <c r="G71" s="474" t="s">
        <v>56</v>
      </c>
      <c r="H71" s="475"/>
      <c r="I71" s="475"/>
      <c r="J71" s="476"/>
      <c r="K71" s="474" t="s">
        <v>51</v>
      </c>
      <c r="L71" s="475"/>
      <c r="M71" s="475"/>
      <c r="N71" s="477"/>
      <c r="O71" s="56"/>
      <c r="P71" s="50"/>
    </row>
    <row r="72" spans="2:57" ht="15">
      <c r="B72" s="61" t="s">
        <v>17</v>
      </c>
      <c r="C72" s="62" t="s">
        <v>36</v>
      </c>
      <c r="D72" s="62" t="s">
        <v>37</v>
      </c>
      <c r="E72" s="62" t="s">
        <v>38</v>
      </c>
      <c r="F72" s="63" t="s">
        <v>39</v>
      </c>
      <c r="G72" s="62" t="s">
        <v>36</v>
      </c>
      <c r="H72" s="62" t="s">
        <v>37</v>
      </c>
      <c r="I72" s="62" t="s">
        <v>38</v>
      </c>
      <c r="J72" s="63" t="s">
        <v>39</v>
      </c>
      <c r="K72" s="62" t="s">
        <v>36</v>
      </c>
      <c r="L72" s="62" t="s">
        <v>37</v>
      </c>
      <c r="M72" s="62" t="s">
        <v>38</v>
      </c>
      <c r="N72" s="63" t="s">
        <v>39</v>
      </c>
      <c r="O72" s="56"/>
      <c r="P72" s="64"/>
    </row>
    <row r="73" spans="2:57" ht="15">
      <c r="B73" s="29" t="s">
        <v>6</v>
      </c>
      <c r="C73" s="65"/>
      <c r="D73" s="76"/>
      <c r="E73" s="76"/>
      <c r="F73" s="66">
        <v>4.8</v>
      </c>
      <c r="G73" s="65"/>
      <c r="H73" s="76"/>
      <c r="I73" s="76"/>
      <c r="J73" s="66">
        <v>4.8</v>
      </c>
      <c r="K73" s="67"/>
      <c r="L73" s="194"/>
      <c r="M73" s="194"/>
      <c r="N73" s="68">
        <v>1</v>
      </c>
      <c r="O73" s="56"/>
      <c r="P73" s="69"/>
    </row>
    <row r="74" spans="2:57" ht="15">
      <c r="B74" s="33" t="s">
        <v>9</v>
      </c>
      <c r="C74" s="65"/>
      <c r="D74" s="76"/>
      <c r="E74" s="76"/>
      <c r="F74" s="66">
        <v>4.8</v>
      </c>
      <c r="G74" s="65"/>
      <c r="H74" s="76"/>
      <c r="I74" s="76"/>
      <c r="J74" s="66">
        <v>4.8</v>
      </c>
      <c r="K74" s="67"/>
      <c r="L74" s="194"/>
      <c r="M74" s="194"/>
      <c r="N74" s="68">
        <v>1</v>
      </c>
      <c r="P74" s="69"/>
    </row>
    <row r="75" spans="2:57" ht="15">
      <c r="B75" s="34" t="s">
        <v>40</v>
      </c>
      <c r="C75" s="65">
        <f>L64</f>
        <v>9.1515729265967547</v>
      </c>
      <c r="D75" s="76"/>
      <c r="E75" s="76"/>
      <c r="F75" s="66">
        <v>5.5</v>
      </c>
      <c r="G75" s="65">
        <f>[39]September_2025!$M$32</f>
        <v>10.488362730767431</v>
      </c>
      <c r="H75" s="76"/>
      <c r="I75" s="76"/>
      <c r="J75" s="66">
        <v>5.5</v>
      </c>
      <c r="K75" s="67">
        <f>K64</f>
        <v>0.66877192982456135</v>
      </c>
      <c r="L75" s="194"/>
      <c r="M75" s="194"/>
      <c r="N75" s="68">
        <v>1</v>
      </c>
      <c r="P75" s="69"/>
    </row>
    <row r="76" spans="2:57" ht="15">
      <c r="B76" s="22" t="s">
        <v>33</v>
      </c>
      <c r="C76" s="65"/>
      <c r="D76" s="76"/>
      <c r="E76" s="76"/>
      <c r="F76" s="66">
        <v>3.3</v>
      </c>
      <c r="G76" s="65"/>
      <c r="H76" s="76"/>
      <c r="I76" s="76"/>
      <c r="J76" s="66">
        <v>3.3</v>
      </c>
      <c r="K76" s="67"/>
      <c r="L76" s="194"/>
      <c r="M76" s="194"/>
      <c r="N76" s="68">
        <v>1</v>
      </c>
      <c r="P76" s="69"/>
    </row>
    <row r="77" spans="2:57" ht="15">
      <c r="B77" s="35" t="s">
        <v>165</v>
      </c>
      <c r="C77" s="65"/>
      <c r="D77" s="76"/>
      <c r="E77" s="76"/>
      <c r="F77" s="66">
        <v>3.3</v>
      </c>
      <c r="G77" s="282"/>
      <c r="H77" s="76"/>
      <c r="I77" s="76"/>
      <c r="J77" s="66">
        <v>3</v>
      </c>
      <c r="K77" s="67"/>
      <c r="L77" s="194"/>
      <c r="M77" s="194"/>
      <c r="N77" s="68">
        <v>1</v>
      </c>
      <c r="P77" s="69"/>
    </row>
    <row r="78" spans="2:57" ht="15">
      <c r="B78" s="36" t="s">
        <v>15</v>
      </c>
      <c r="C78" s="65"/>
      <c r="D78" s="76"/>
      <c r="E78" s="76"/>
      <c r="F78" s="70">
        <f>[21]May_2022!$M$43</f>
        <v>3.4878406700073312</v>
      </c>
      <c r="G78" s="282"/>
      <c r="H78" s="76"/>
      <c r="I78" s="76"/>
      <c r="J78" s="66">
        <v>5.5</v>
      </c>
      <c r="K78" s="67"/>
      <c r="L78" s="194"/>
      <c r="M78" s="194"/>
      <c r="N78" s="68">
        <v>1</v>
      </c>
      <c r="P78" s="69"/>
    </row>
    <row r="79" spans="2:57" ht="15">
      <c r="B79" s="37" t="s">
        <v>16</v>
      </c>
      <c r="C79" s="65"/>
      <c r="D79" s="76"/>
      <c r="E79" s="76"/>
      <c r="F79" s="66">
        <v>3.3</v>
      </c>
      <c r="G79" s="282"/>
      <c r="H79" s="76"/>
      <c r="I79" s="76"/>
      <c r="J79" s="66">
        <v>3.3</v>
      </c>
      <c r="K79" s="67"/>
      <c r="L79" s="194"/>
      <c r="M79" s="194"/>
      <c r="N79" s="71">
        <v>1</v>
      </c>
      <c r="P79" s="69"/>
    </row>
    <row r="80" spans="2:57" ht="15.75" thickBot="1">
      <c r="B80" s="38" t="s">
        <v>164</v>
      </c>
      <c r="C80" s="65"/>
      <c r="D80" s="76"/>
      <c r="E80" s="76"/>
      <c r="F80" s="66">
        <v>7.5</v>
      </c>
      <c r="G80" s="282"/>
      <c r="H80" s="76"/>
      <c r="I80" s="76"/>
      <c r="J80" s="66">
        <v>7.5</v>
      </c>
      <c r="K80" s="67"/>
      <c r="M80" s="194"/>
      <c r="N80" s="71">
        <v>1</v>
      </c>
      <c r="P80" s="69"/>
    </row>
    <row r="81" spans="2:16" ht="15.75" thickBot="1">
      <c r="B81" s="414" t="s">
        <v>161</v>
      </c>
      <c r="C81" s="65"/>
      <c r="D81" s="76"/>
      <c r="E81" s="76"/>
      <c r="F81" s="66">
        <v>4.8</v>
      </c>
      <c r="G81" s="282"/>
      <c r="H81" s="76"/>
      <c r="I81" s="76"/>
      <c r="J81" s="66">
        <v>4.8</v>
      </c>
      <c r="K81" s="67"/>
      <c r="L81" s="194"/>
      <c r="M81" s="194"/>
      <c r="N81" s="71">
        <v>1</v>
      </c>
      <c r="O81" s="74"/>
      <c r="P81" s="75"/>
    </row>
    <row r="82" spans="2:16" ht="15">
      <c r="D82" s="76"/>
      <c r="E82" s="76"/>
      <c r="F82" s="341">
        <v>5.5</v>
      </c>
      <c r="H82" s="76"/>
      <c r="I82" s="76"/>
      <c r="J82" s="341">
        <v>5.5</v>
      </c>
      <c r="L82" s="194"/>
      <c r="M82" s="194"/>
      <c r="N82" s="386">
        <v>1</v>
      </c>
    </row>
    <row r="86" spans="2:16">
      <c r="F86" s="315"/>
    </row>
    <row r="87" spans="2:16" ht="15">
      <c r="F87" s="341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33:N33"/>
    <mergeCell ref="D34:E34"/>
    <mergeCell ref="B35:B46"/>
    <mergeCell ref="D35:E36"/>
    <mergeCell ref="D37:E38"/>
    <mergeCell ref="D39:E40"/>
    <mergeCell ref="D41:E42"/>
    <mergeCell ref="D43:E44"/>
    <mergeCell ref="D45:E46"/>
    <mergeCell ref="B47:B56"/>
    <mergeCell ref="D47:E48"/>
    <mergeCell ref="J47:K47"/>
    <mergeCell ref="L48:N48"/>
    <mergeCell ref="D49:E50"/>
    <mergeCell ref="D51:E52"/>
    <mergeCell ref="D53:E54"/>
    <mergeCell ref="D55:E56"/>
    <mergeCell ref="D57:E57"/>
    <mergeCell ref="B62:B63"/>
    <mergeCell ref="C62:C63"/>
    <mergeCell ref="D62:D63"/>
    <mergeCell ref="E62:E63"/>
    <mergeCell ref="M62:M63"/>
    <mergeCell ref="B71:F71"/>
    <mergeCell ref="G71:J71"/>
    <mergeCell ref="K71:N71"/>
    <mergeCell ref="G62:G63"/>
    <mergeCell ref="H62:H63"/>
    <mergeCell ref="I62:I63"/>
    <mergeCell ref="J62:J63"/>
    <mergeCell ref="K62:K63"/>
    <mergeCell ref="L62:L63"/>
    <mergeCell ref="F62:F63"/>
  </mergeCells>
  <conditionalFormatting sqref="B57:B58">
    <cfRule type="cellIs" dxfId="2384" priority="128" operator="notBetween">
      <formula>#REF!</formula>
      <formula>#REF!</formula>
    </cfRule>
  </conditionalFormatting>
  <conditionalFormatting sqref="C61">
    <cfRule type="cellIs" dxfId="2383" priority="159" stopIfTrue="1" operator="lessThan">
      <formula>96</formula>
    </cfRule>
    <cfRule type="cellIs" dxfId="2382" priority="160" stopIfTrue="1" operator="greaterThan">
      <formula>100</formula>
    </cfRule>
  </conditionalFormatting>
  <conditionalFormatting sqref="C73:C74">
    <cfRule type="cellIs" dxfId="2381" priority="163" stopIfTrue="1" operator="greaterThan">
      <formula>$F73</formula>
    </cfRule>
    <cfRule type="cellIs" dxfId="2380" priority="165" stopIfTrue="1" operator="greaterThan">
      <formula>$F74</formula>
    </cfRule>
  </conditionalFormatting>
  <conditionalFormatting sqref="C73:C77">
    <cfRule type="cellIs" dxfId="2379" priority="109" stopIfTrue="1" operator="lessThanOrEqual">
      <formula>0</formula>
    </cfRule>
  </conditionalFormatting>
  <conditionalFormatting sqref="C74:C81">
    <cfRule type="cellIs" dxfId="2378" priority="108" stopIfTrue="1" operator="greaterThan">
      <formula>$F74</formula>
    </cfRule>
  </conditionalFormatting>
  <conditionalFormatting sqref="C78">
    <cfRule type="cellIs" dxfId="2377" priority="34" stopIfTrue="1" operator="greaterThan">
      <formula>$F77</formula>
    </cfRule>
    <cfRule type="cellIs" dxfId="2376" priority="33" stopIfTrue="1" operator="lessThanOrEqual">
      <formula>0</formula>
    </cfRule>
  </conditionalFormatting>
  <conditionalFormatting sqref="C79:C81">
    <cfRule type="cellIs" dxfId="2375" priority="125" stopIfTrue="1" operator="lessThanOrEqual">
      <formula>0</formula>
    </cfRule>
  </conditionalFormatting>
  <conditionalFormatting sqref="C84:C88">
    <cfRule type="cellIs" dxfId="2374" priority="151" stopIfTrue="1" operator="lessThanOrEqual">
      <formula>0</formula>
    </cfRule>
  </conditionalFormatting>
  <conditionalFormatting sqref="C85:C88">
    <cfRule type="cellIs" dxfId="2373" priority="150" stopIfTrue="1" operator="greaterThan">
      <formula>$F$84</formula>
    </cfRule>
  </conditionalFormatting>
  <conditionalFormatting sqref="C90">
    <cfRule type="cellIs" dxfId="2372" priority="153" stopIfTrue="1" operator="lessThanOrEqual">
      <formula>0</formula>
    </cfRule>
    <cfRule type="cellIs" dxfId="2371" priority="152" stopIfTrue="1" operator="greaterThan">
      <formula>$F$84</formula>
    </cfRule>
  </conditionalFormatting>
  <conditionalFormatting sqref="C84:D84 D86:D92">
    <cfRule type="cellIs" dxfId="2370" priority="145" stopIfTrue="1" operator="greaterThan">
      <formula>4.5</formula>
    </cfRule>
  </conditionalFormatting>
  <conditionalFormatting sqref="D57:D58">
    <cfRule type="cellIs" dxfId="2369" priority="129" operator="notBetween">
      <formula>#REF!</formula>
      <formula>#REF!</formula>
    </cfRule>
  </conditionalFormatting>
  <conditionalFormatting sqref="D73:D80">
    <cfRule type="cellIs" dxfId="2368" priority="123" stopIfTrue="1" operator="lessThanOrEqual">
      <formula>0</formula>
    </cfRule>
  </conditionalFormatting>
  <conditionalFormatting sqref="D81">
    <cfRule type="cellIs" dxfId="2367" priority="122" stopIfTrue="1" operator="lessThanOrEqual">
      <formula>0</formula>
    </cfRule>
  </conditionalFormatting>
  <conditionalFormatting sqref="D84 D86:D92">
    <cfRule type="cellIs" dxfId="2366" priority="146" stopIfTrue="1" operator="lessThanOrEqual">
      <formula>0</formula>
    </cfRule>
  </conditionalFormatting>
  <conditionalFormatting sqref="D85">
    <cfRule type="cellIs" dxfId="2365" priority="138" stopIfTrue="1" operator="lessThanOrEqual">
      <formula>0</formula>
    </cfRule>
    <cfRule type="cellIs" dxfId="2364" priority="137" stopIfTrue="1" operator="greaterThan">
      <formula>$F$84</formula>
    </cfRule>
  </conditionalFormatting>
  <conditionalFormatting sqref="D73:E82">
    <cfRule type="cellIs" dxfId="2363" priority="106" stopIfTrue="1" operator="greaterThan">
      <formula>$F73</formula>
    </cfRule>
  </conditionalFormatting>
  <conditionalFormatting sqref="D82:E82">
    <cfRule type="cellIs" dxfId="2362" priority="107" stopIfTrue="1" operator="lessThanOrEqual">
      <formula>0</formula>
    </cfRule>
  </conditionalFormatting>
  <conditionalFormatting sqref="E10:E32">
    <cfRule type="cellIs" dxfId="2361" priority="3" operator="lessThan">
      <formula>48</formula>
    </cfRule>
  </conditionalFormatting>
  <conditionalFormatting sqref="E60 E61:F61">
    <cfRule type="cellIs" dxfId="2360" priority="142" stopIfTrue="1" operator="greaterThan">
      <formula>100</formula>
    </cfRule>
  </conditionalFormatting>
  <conditionalFormatting sqref="E61">
    <cfRule type="cellIs" dxfId="2359" priority="140" stopIfTrue="1" operator="greaterThan">
      <formula>100</formula>
    </cfRule>
    <cfRule type="cellIs" dxfId="2358" priority="139" stopIfTrue="1" operator="lessThan">
      <formula>96.8</formula>
    </cfRule>
  </conditionalFormatting>
  <conditionalFormatting sqref="E73:E81">
    <cfRule type="cellIs" dxfId="2357" priority="117" stopIfTrue="1" operator="lessThanOrEqual">
      <formula>0</formula>
    </cfRule>
  </conditionalFormatting>
  <conditionalFormatting sqref="E84:E92">
    <cfRule type="cellIs" dxfId="2356" priority="131" stopIfTrue="1" operator="greaterThan">
      <formula>4.5</formula>
    </cfRule>
    <cfRule type="cellIs" dxfId="2355" priority="132" stopIfTrue="1" operator="lessThanOrEqual">
      <formula>0</formula>
    </cfRule>
  </conditionalFormatting>
  <conditionalFormatting sqref="E61:F61 E60">
    <cfRule type="cellIs" dxfId="2354" priority="141" stopIfTrue="1" operator="lessThan">
      <formula>96.5</formula>
    </cfRule>
  </conditionalFormatting>
  <conditionalFormatting sqref="F10:F31">
    <cfRule type="cellIs" dxfId="2353" priority="17" operator="greaterThan">
      <formula>60</formula>
    </cfRule>
  </conditionalFormatting>
  <conditionalFormatting sqref="F61">
    <cfRule type="cellIs" dxfId="2352" priority="158" stopIfTrue="1" operator="greaterThan">
      <formula>100</formula>
    </cfRule>
    <cfRule type="cellIs" dxfId="2351" priority="157" stopIfTrue="1" operator="lessThan">
      <formula>96.8</formula>
    </cfRule>
  </conditionalFormatting>
  <conditionalFormatting sqref="F82">
    <cfRule type="cellIs" dxfId="2350" priority="119" stopIfTrue="1" operator="lessThanOrEqual">
      <formula>0</formula>
    </cfRule>
    <cfRule type="cellIs" dxfId="2349" priority="118" stopIfTrue="1" operator="greaterThan">
      <formula>$F82</formula>
    </cfRule>
  </conditionalFormatting>
  <conditionalFormatting sqref="F87">
    <cfRule type="cellIs" dxfId="2348" priority="78" stopIfTrue="1" operator="lessThanOrEqual">
      <formula>0</formula>
    </cfRule>
    <cfRule type="cellIs" dxfId="2347" priority="77" stopIfTrue="1" operator="greaterThan">
      <formula>$F87</formula>
    </cfRule>
  </conditionalFormatting>
  <conditionalFormatting sqref="G10:G30 G32">
    <cfRule type="expression" dxfId="2346" priority="12">
      <formula>IF(+(IF(G10&lt;S10,0,IF(G10&gt;T10,0,1)))=0,1)</formula>
    </cfRule>
  </conditionalFormatting>
  <conditionalFormatting sqref="G73:G75">
    <cfRule type="cellIs" dxfId="2345" priority="111" stopIfTrue="1" operator="lessThanOrEqual">
      <formula>0</formula>
    </cfRule>
    <cfRule type="cellIs" dxfId="2344" priority="110" stopIfTrue="1" operator="greaterThan">
      <formula>$F73</formula>
    </cfRule>
  </conditionalFormatting>
  <conditionalFormatting sqref="G73:G76">
    <cfRule type="cellIs" dxfId="2343" priority="121" stopIfTrue="1" operator="lessThanOrEqual">
      <formula>0</formula>
    </cfRule>
    <cfRule type="cellIs" dxfId="2342" priority="120" stopIfTrue="1" operator="greaterThan">
      <formula>$F73</formula>
    </cfRule>
  </conditionalFormatting>
  <conditionalFormatting sqref="G77:G81">
    <cfRule type="cellIs" dxfId="2341" priority="127" stopIfTrue="1" operator="lessThanOrEqual">
      <formula>0</formula>
    </cfRule>
    <cfRule type="cellIs" dxfId="2340" priority="126" stopIfTrue="1" operator="greaterThan">
      <formula>$J77</formula>
    </cfRule>
  </conditionalFormatting>
  <conditionalFormatting sqref="G86:G91 C89 C91">
    <cfRule type="cellIs" dxfId="2339" priority="154" stopIfTrue="1" operator="greaterThan">
      <formula>4.5</formula>
    </cfRule>
    <cfRule type="cellIs" dxfId="2338" priority="155" stopIfTrue="1" operator="lessThanOrEqual">
      <formula>0</formula>
    </cfRule>
  </conditionalFormatting>
  <conditionalFormatting sqref="G85:H85">
    <cfRule type="cellIs" dxfId="2337" priority="136" stopIfTrue="1" operator="lessThanOrEqual">
      <formula>0</formula>
    </cfRule>
    <cfRule type="cellIs" dxfId="2336" priority="135" stopIfTrue="1" operator="greaterThan">
      <formula>$F$84</formula>
    </cfRule>
  </conditionalFormatting>
  <conditionalFormatting sqref="H10:H30 G31:H31">
    <cfRule type="expression" dxfId="2335" priority="32">
      <formula>IF(+(IF(G10&lt;#REF!,0,IF(G10&gt;#REF!,0,1)))=0,1)</formula>
    </cfRule>
  </conditionalFormatting>
  <conditionalFormatting sqref="H32">
    <cfRule type="expression" dxfId="2334" priority="13">
      <formula>IF(+(IF(H32&lt;#REF!,0,IF(H32&gt;#REF!,0,1)))=0,1)</formula>
    </cfRule>
  </conditionalFormatting>
  <conditionalFormatting sqref="H46:H60">
    <cfRule type="cellIs" dxfId="2333" priority="133" stopIfTrue="1" operator="greaterThan">
      <formula>0</formula>
    </cfRule>
  </conditionalFormatting>
  <conditionalFormatting sqref="H64">
    <cfRule type="cellIs" dxfId="2332" priority="48" stopIfTrue="1" operator="lessThanOrEqual">
      <formula>0</formula>
    </cfRule>
    <cfRule type="cellIs" dxfId="2331" priority="47" stopIfTrue="1" operator="greaterThan">
      <formula>#REF!</formula>
    </cfRule>
    <cfRule type="cellIs" dxfId="2330" priority="36" stopIfTrue="1" operator="lessThanOrEqual">
      <formula>0</formula>
    </cfRule>
    <cfRule type="cellIs" dxfId="2329" priority="37" stopIfTrue="1" operator="greaterThan">
      <formula>#REF!</formula>
    </cfRule>
  </conditionalFormatting>
  <conditionalFormatting sqref="H65">
    <cfRule type="cellIs" dxfId="2328" priority="64" stopIfTrue="1" operator="lessThanOrEqual">
      <formula>0</formula>
    </cfRule>
    <cfRule type="cellIs" dxfId="2327" priority="65" stopIfTrue="1" operator="greaterThan">
      <formula>#REF!</formula>
    </cfRule>
    <cfRule type="cellIs" dxfId="2326" priority="74" stopIfTrue="1" operator="lessThanOrEqual">
      <formula>0</formula>
    </cfRule>
    <cfRule type="cellIs" dxfId="2325" priority="73" stopIfTrue="1" operator="greaterThan">
      <formula>$F$33</formula>
    </cfRule>
    <cfRule type="cellIs" dxfId="2324" priority="75" stopIfTrue="1" operator="greaterThan">
      <formula>#REF!</formula>
    </cfRule>
    <cfRule type="cellIs" dxfId="2323" priority="76" stopIfTrue="1" operator="lessThanOrEqual">
      <formula>0</formula>
    </cfRule>
  </conditionalFormatting>
  <conditionalFormatting sqref="H66">
    <cfRule type="cellIs" dxfId="2322" priority="19" stopIfTrue="1" operator="lessThanOrEqual">
      <formula>0</formula>
    </cfRule>
    <cfRule type="cellIs" dxfId="2321" priority="20" stopIfTrue="1" operator="greaterThan">
      <formula>$F$51</formula>
    </cfRule>
    <cfRule type="cellIs" dxfId="2320" priority="31" stopIfTrue="1" operator="lessThanOrEqual">
      <formula>0</formula>
    </cfRule>
    <cfRule type="cellIs" dxfId="2319" priority="30" stopIfTrue="1" operator="greaterThan">
      <formula>$F$52</formula>
    </cfRule>
    <cfRule type="cellIs" dxfId="2318" priority="29" stopIfTrue="1" operator="lessThanOrEqual">
      <formula>0</formula>
    </cfRule>
    <cfRule type="cellIs" dxfId="2317" priority="28" stopIfTrue="1" operator="greaterThan">
      <formula>$F$54</formula>
    </cfRule>
  </conditionalFormatting>
  <conditionalFormatting sqref="H67:H68">
    <cfRule type="cellIs" dxfId="2316" priority="50" stopIfTrue="1" operator="lessThanOrEqual">
      <formula>0</formula>
    </cfRule>
    <cfRule type="cellIs" dxfId="2315" priority="51" stopIfTrue="1" operator="greaterThan">
      <formula>#REF!</formula>
    </cfRule>
    <cfRule type="cellIs" dxfId="2314" priority="62" stopIfTrue="1" operator="lessThanOrEqual">
      <formula>0</formula>
    </cfRule>
    <cfRule type="cellIs" dxfId="2313" priority="61" stopIfTrue="1" operator="greaterThan">
      <formula>#REF!</formula>
    </cfRule>
    <cfRule type="cellIs" dxfId="2312" priority="60" stopIfTrue="1" operator="lessThanOrEqual">
      <formula>0</formula>
    </cfRule>
    <cfRule type="cellIs" dxfId="2311" priority="59" stopIfTrue="1" operator="greaterThan">
      <formula>$F$32</formula>
    </cfRule>
  </conditionalFormatting>
  <conditionalFormatting sqref="H69">
    <cfRule type="cellIs" dxfId="2310" priority="92" stopIfTrue="1" operator="greaterThan">
      <formula>$F$46</formula>
    </cfRule>
    <cfRule type="cellIs" dxfId="2309" priority="81" stopIfTrue="1" operator="lessThanOrEqual">
      <formula>0</formula>
    </cfRule>
    <cfRule type="cellIs" dxfId="2308" priority="93" stopIfTrue="1" operator="lessThanOrEqual">
      <formula>0</formula>
    </cfRule>
    <cfRule type="cellIs" dxfId="2307" priority="82" stopIfTrue="1" operator="greaterThan">
      <formula>$F$45</formula>
    </cfRule>
    <cfRule type="cellIs" dxfId="2306" priority="91" stopIfTrue="1" operator="lessThanOrEqual">
      <formula>0</formula>
    </cfRule>
    <cfRule type="cellIs" dxfId="2305" priority="90" stopIfTrue="1" operator="greaterThan">
      <formula>$F$48</formula>
    </cfRule>
  </conditionalFormatting>
  <conditionalFormatting sqref="H73:H80">
    <cfRule type="cellIs" dxfId="2304" priority="112" stopIfTrue="1" operator="greaterThan">
      <formula>$J73</formula>
    </cfRule>
    <cfRule type="cellIs" dxfId="2303" priority="113" stopIfTrue="1" operator="lessThanOrEqual">
      <formula>0</formula>
    </cfRule>
  </conditionalFormatting>
  <conditionalFormatting sqref="H81">
    <cfRule type="cellIs" dxfId="2302" priority="114" operator="greaterThan">
      <formula>5.3</formula>
    </cfRule>
  </conditionalFormatting>
  <conditionalFormatting sqref="H84 H86:H92">
    <cfRule type="cellIs" dxfId="2301" priority="147" stopIfTrue="1" operator="greaterThan">
      <formula>4.5</formula>
    </cfRule>
    <cfRule type="cellIs" dxfId="2300" priority="148" stopIfTrue="1" operator="lessThanOrEqual">
      <formula>0</formula>
    </cfRule>
  </conditionalFormatting>
  <conditionalFormatting sqref="H64:I64">
    <cfRule type="cellIs" dxfId="2299" priority="44" stopIfTrue="1" operator="lessThanOrEqual">
      <formula>0</formula>
    </cfRule>
    <cfRule type="cellIs" dxfId="2298" priority="43" stopIfTrue="1" operator="greaterThan">
      <formula>#REF!</formula>
    </cfRule>
    <cfRule type="cellIs" dxfId="2297" priority="38" stopIfTrue="1" operator="lessThanOrEqual">
      <formula>0</formula>
    </cfRule>
    <cfRule type="cellIs" dxfId="2296" priority="35" stopIfTrue="1" operator="greaterThan">
      <formula>#REF!</formula>
    </cfRule>
  </conditionalFormatting>
  <conditionalFormatting sqref="H65:I65">
    <cfRule type="cellIs" dxfId="2295" priority="66" stopIfTrue="1" operator="lessThanOrEqual">
      <formula>0</formula>
    </cfRule>
    <cfRule type="cellIs" dxfId="2294" priority="63" stopIfTrue="1" operator="greaterThan">
      <formula>$F$32</formula>
    </cfRule>
  </conditionalFormatting>
  <conditionalFormatting sqref="H66:I66">
    <cfRule type="cellIs" dxfId="2293" priority="18" stopIfTrue="1" operator="greaterThan">
      <formula>$F$53</formula>
    </cfRule>
    <cfRule type="cellIs" dxfId="2292" priority="21" stopIfTrue="1" operator="lessThanOrEqual">
      <formula>0</formula>
    </cfRule>
  </conditionalFormatting>
  <conditionalFormatting sqref="H67:I68">
    <cfRule type="cellIs" dxfId="2291" priority="52" stopIfTrue="1" operator="lessThanOrEqual">
      <formula>0</formula>
    </cfRule>
    <cfRule type="cellIs" dxfId="2290" priority="49" stopIfTrue="1" operator="greaterThan">
      <formula>#REF!</formula>
    </cfRule>
  </conditionalFormatting>
  <conditionalFormatting sqref="H69:I69">
    <cfRule type="cellIs" dxfId="2289" priority="80" stopIfTrue="1" operator="greaterThan">
      <formula>$F$47</formula>
    </cfRule>
    <cfRule type="cellIs" dxfId="2288" priority="83" stopIfTrue="1" operator="lessThanOrEqual">
      <formula>0</formula>
    </cfRule>
  </conditionalFormatting>
  <conditionalFormatting sqref="H82:I82">
    <cfRule type="cellIs" dxfId="2287" priority="104" stopIfTrue="1" operator="greaterThan">
      <formula>$J82</formula>
    </cfRule>
    <cfRule type="cellIs" dxfId="2286" priority="105" stopIfTrue="1" operator="lessThanOrEqual">
      <formula>0</formula>
    </cfRule>
  </conditionalFormatting>
  <conditionalFormatting sqref="I64">
    <cfRule type="cellIs" dxfId="2285" priority="40" stopIfTrue="1" operator="lessThanOrEqual">
      <formula>0</formula>
    </cfRule>
    <cfRule type="cellIs" dxfId="2284" priority="42" stopIfTrue="1" operator="lessThanOrEqual">
      <formula>0</formula>
    </cfRule>
    <cfRule type="cellIs" dxfId="2283" priority="41" stopIfTrue="1" operator="greaterThan">
      <formula>#REF!</formula>
    </cfRule>
    <cfRule type="cellIs" dxfId="2282" priority="39" stopIfTrue="1" operator="greaterThan">
      <formula>#REF!</formula>
    </cfRule>
  </conditionalFormatting>
  <conditionalFormatting sqref="I65">
    <cfRule type="cellIs" dxfId="2281" priority="70" stopIfTrue="1" operator="lessThanOrEqual">
      <formula>0</formula>
    </cfRule>
    <cfRule type="cellIs" dxfId="2280" priority="71" stopIfTrue="1" operator="greaterThan">
      <formula>#REF!</formula>
    </cfRule>
    <cfRule type="cellIs" dxfId="2279" priority="72" stopIfTrue="1" operator="lessThanOrEqual">
      <formula>0</formula>
    </cfRule>
    <cfRule type="cellIs" dxfId="2278" priority="69" stopIfTrue="1" operator="greaterThan">
      <formula>$F$32</formula>
    </cfRule>
    <cfRule type="cellIs" dxfId="2277" priority="68" stopIfTrue="1" operator="lessThanOrEqual">
      <formula>0</formula>
    </cfRule>
    <cfRule type="cellIs" dxfId="2276" priority="67" stopIfTrue="1" operator="greaterThan">
      <formula>#REF!</formula>
    </cfRule>
  </conditionalFormatting>
  <conditionalFormatting sqref="I66">
    <cfRule type="cellIs" dxfId="2275" priority="23" stopIfTrue="1" operator="lessThanOrEqual">
      <formula>0</formula>
    </cfRule>
    <cfRule type="cellIs" dxfId="2274" priority="22" stopIfTrue="1" operator="greaterThan">
      <formula>$F$51</formula>
    </cfRule>
    <cfRule type="cellIs" dxfId="2273" priority="27" stopIfTrue="1" operator="lessThanOrEqual">
      <formula>0</formula>
    </cfRule>
    <cfRule type="cellIs" dxfId="2272" priority="26" stopIfTrue="1" operator="greaterThan">
      <formula>$F$51</formula>
    </cfRule>
    <cfRule type="cellIs" dxfId="2271" priority="25" stopIfTrue="1" operator="lessThanOrEqual">
      <formula>0</formula>
    </cfRule>
    <cfRule type="cellIs" dxfId="2270" priority="24" stopIfTrue="1" operator="greaterThan">
      <formula>$F$53</formula>
    </cfRule>
  </conditionalFormatting>
  <conditionalFormatting sqref="I67:I68">
    <cfRule type="cellIs" dxfId="2269" priority="54" stopIfTrue="1" operator="lessThanOrEqual">
      <formula>0</formula>
    </cfRule>
    <cfRule type="cellIs" dxfId="2268" priority="58" stopIfTrue="1" operator="lessThanOrEqual">
      <formula>0</formula>
    </cfRule>
    <cfRule type="cellIs" dxfId="2267" priority="57" stopIfTrue="1" operator="greaterThan">
      <formula>#REF!</formula>
    </cfRule>
    <cfRule type="cellIs" dxfId="2266" priority="56" stopIfTrue="1" operator="lessThanOrEqual">
      <formula>0</formula>
    </cfRule>
    <cfRule type="cellIs" dxfId="2265" priority="55" stopIfTrue="1" operator="greaterThan">
      <formula>#REF!</formula>
    </cfRule>
    <cfRule type="cellIs" dxfId="2264" priority="53" stopIfTrue="1" operator="greaterThan">
      <formula>#REF!</formula>
    </cfRule>
  </conditionalFormatting>
  <conditionalFormatting sqref="I69">
    <cfRule type="cellIs" dxfId="2263" priority="87" stopIfTrue="1" operator="lessThanOrEqual">
      <formula>0</formula>
    </cfRule>
    <cfRule type="cellIs" dxfId="2262" priority="88" stopIfTrue="1" operator="greaterThan">
      <formula>$F$45</formula>
    </cfRule>
    <cfRule type="cellIs" dxfId="2261" priority="89" stopIfTrue="1" operator="lessThanOrEqual">
      <formula>0</formula>
    </cfRule>
    <cfRule type="cellIs" dxfId="2260" priority="84" stopIfTrue="1" operator="greaterThan">
      <formula>$F$45</formula>
    </cfRule>
    <cfRule type="cellIs" dxfId="2259" priority="85" stopIfTrue="1" operator="lessThanOrEqual">
      <formula>0</formula>
    </cfRule>
    <cfRule type="cellIs" dxfId="2258" priority="86" stopIfTrue="1" operator="greaterThan">
      <formula>$F$47</formula>
    </cfRule>
  </conditionalFormatting>
  <conditionalFormatting sqref="I73:I81">
    <cfRule type="cellIs" dxfId="2257" priority="116" stopIfTrue="1" operator="lessThanOrEqual">
      <formula>0</formula>
    </cfRule>
    <cfRule type="cellIs" dxfId="2256" priority="115" stopIfTrue="1" operator="greaterThan">
      <formula>$J73</formula>
    </cfRule>
  </conditionalFormatting>
  <conditionalFormatting sqref="I84:I92">
    <cfRule type="cellIs" dxfId="2255" priority="143" stopIfTrue="1" operator="greaterThan">
      <formula>4.5</formula>
    </cfRule>
    <cfRule type="cellIs" dxfId="2254" priority="144" stopIfTrue="1" operator="lessThanOrEqual">
      <formula>0</formula>
    </cfRule>
  </conditionalFormatting>
  <conditionalFormatting sqref="I10:J32">
    <cfRule type="cellIs" dxfId="2253" priority="4" operator="lessThan">
      <formula>97.9</formula>
    </cfRule>
  </conditionalFormatting>
  <conditionalFormatting sqref="J35:J41">
    <cfRule type="cellIs" dxfId="2252" priority="94" operator="lessThan">
      <formula>97.4</formula>
    </cfRule>
  </conditionalFormatting>
  <conditionalFormatting sqref="J35:J43">
    <cfRule type="cellIs" dxfId="2251" priority="96" stopIfTrue="1" operator="greaterThan">
      <formula>100</formula>
    </cfRule>
    <cfRule type="cellIs" dxfId="2250" priority="95" stopIfTrue="1" operator="lessThan">
      <formula>96.8</formula>
    </cfRule>
  </conditionalFormatting>
  <conditionalFormatting sqref="J35:J44">
    <cfRule type="cellIs" dxfId="2249" priority="97" operator="lessThan">
      <formula>98</formula>
    </cfRule>
  </conditionalFormatting>
  <conditionalFormatting sqref="J82">
    <cfRule type="cellIs" dxfId="2248" priority="102" stopIfTrue="1" operator="lessThanOrEqual">
      <formula>0</formula>
    </cfRule>
    <cfRule type="cellIs" dxfId="2247" priority="101" stopIfTrue="1" operator="greaterThan">
      <formula>$F82</formula>
    </cfRule>
  </conditionalFormatting>
  <conditionalFormatting sqref="K10:K32">
    <cfRule type="cellIs" dxfId="2246" priority="9" operator="greaterThan">
      <formula>6.4</formula>
    </cfRule>
    <cfRule type="cellIs" dxfId="2245" priority="7" operator="greaterThan">
      <formula>6</formula>
    </cfRule>
    <cfRule type="cellIs" dxfId="2244" priority="8" operator="lessThan">
      <formula>4</formula>
    </cfRule>
  </conditionalFormatting>
  <conditionalFormatting sqref="K64:K69 K73:N79 K80 M80:N80 K81:N81">
    <cfRule type="cellIs" dxfId="2243" priority="79" stopIfTrue="1" operator="lessThan">
      <formula>100%</formula>
    </cfRule>
  </conditionalFormatting>
  <conditionalFormatting sqref="K84:K89">
    <cfRule type="cellIs" dxfId="2242" priority="149" stopIfTrue="1" operator="lessThan">
      <formula>100%</formula>
    </cfRule>
  </conditionalFormatting>
  <conditionalFormatting sqref="K91:K92">
    <cfRule type="cellIs" dxfId="2241" priority="156" stopIfTrue="1" operator="lessThan">
      <formula>100%</formula>
    </cfRule>
  </conditionalFormatting>
  <conditionalFormatting sqref="L10:L32">
    <cfRule type="cellIs" dxfId="2240" priority="6" operator="greaterThan">
      <formula>65</formula>
    </cfRule>
    <cfRule type="cellIs" dxfId="2239" priority="5" operator="between">
      <formula>61</formula>
      <formula>65</formula>
    </cfRule>
  </conditionalFormatting>
  <conditionalFormatting sqref="L35:M46">
    <cfRule type="cellIs" dxfId="2238" priority="1" operator="lessThan">
      <formula>98</formula>
    </cfRule>
  </conditionalFormatting>
  <conditionalFormatting sqref="L50:N50">
    <cfRule type="cellIs" dxfId="2237" priority="2" operator="notEqual">
      <formula>#REF!</formula>
    </cfRule>
  </conditionalFormatting>
  <conditionalFormatting sqref="L82:N82">
    <cfRule type="cellIs" dxfId="2236" priority="103" stopIfTrue="1" operator="lessThan">
      <formula>100%</formula>
    </cfRule>
  </conditionalFormatting>
  <conditionalFormatting sqref="L84:N92">
    <cfRule type="cellIs" dxfId="2235" priority="134" stopIfTrue="1" operator="lessThan">
      <formula>100%</formula>
    </cfRule>
  </conditionalFormatting>
  <conditionalFormatting sqref="M10:M30">
    <cfRule type="expression" dxfId="2234" priority="16">
      <formula>IF(+(IF(M10&lt;U10,0,IF(M10&gt;V10,0,1)))=0,1)</formula>
    </cfRule>
  </conditionalFormatting>
  <conditionalFormatting sqref="M32">
    <cfRule type="expression" dxfId="2233" priority="11">
      <formula>IF(+(IF(M32&lt;U32,0,IF(M32&gt;V32,0,1)))=0,1)</formula>
    </cfRule>
  </conditionalFormatting>
  <conditionalFormatting sqref="M31:N31">
    <cfRule type="expression" dxfId="2232" priority="164">
      <formula>IF(+(IF(M31&lt;#REF!,0,IF(M31&gt;#REF!,0,1)))=0,1)</formula>
    </cfRule>
  </conditionalFormatting>
  <conditionalFormatting sqref="N10:N30">
    <cfRule type="expression" dxfId="2231" priority="15">
      <formula>IF(+(IF(N10&lt;W10,0,IF(N10&gt;X10,0,1)))=0,1)</formula>
    </cfRule>
  </conditionalFormatting>
  <conditionalFormatting sqref="N32">
    <cfRule type="expression" dxfId="2230" priority="10">
      <formula>IF(+(IF(N32&lt;W32,0,IF(N32&gt;X32,0,1)))=0,1)</formula>
    </cfRule>
  </conditionalFormatting>
  <conditionalFormatting sqref="P6">
    <cfRule type="cellIs" dxfId="2229" priority="130" operator="greaterThanOrEqual">
      <formula>19</formula>
    </cfRule>
  </conditionalFormatting>
  <dataValidations disablePrompts="1" count="1">
    <dataValidation type="list" allowBlank="1" showInputMessage="1" showErrorMessage="1" sqref="R8" xr:uid="{17912D4C-32C0-4C3B-AFAE-6C633DA8C5F9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6" max="16383" man="1"/>
  </rowBreaks>
  <colBreaks count="1" manualBreakCount="1">
    <brk id="15" max="89" man="1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B5B59-4969-49A6-82A7-243459D6C28A}">
  <sheetPr>
    <pageSetUpPr fitToPage="1"/>
  </sheetPr>
  <dimension ref="A1:BE81"/>
  <sheetViews>
    <sheetView topLeftCell="A25" zoomScale="80" zoomScaleNormal="80" workbookViewId="0">
      <selection activeCell="B12" sqref="B12:O12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67.425781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25" t="s">
        <v>0</v>
      </c>
      <c r="T1" s="525"/>
      <c r="U1" s="525" t="s">
        <v>1</v>
      </c>
      <c r="V1" s="525"/>
      <c r="W1" s="525" t="s">
        <v>2</v>
      </c>
      <c r="X1" s="525"/>
      <c r="Y1" s="525" t="s">
        <v>124</v>
      </c>
      <c r="Z1" s="525"/>
    </row>
    <row r="2" spans="2:29" ht="15">
      <c r="B2" s="526" t="s">
        <v>3</v>
      </c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45912</v>
      </c>
      <c r="J4" s="398" t="s">
        <v>168</v>
      </c>
      <c r="K4" s="398"/>
      <c r="L4" s="11"/>
      <c r="M4" s="547" t="s">
        <v>8</v>
      </c>
      <c r="N4" s="548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44"/>
      <c r="D5" s="544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167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84" t="s">
        <v>17</v>
      </c>
      <c r="C8" s="494" t="s">
        <v>18</v>
      </c>
      <c r="D8" s="494" t="s">
        <v>19</v>
      </c>
      <c r="E8" s="356" t="s">
        <v>20</v>
      </c>
      <c r="F8" s="356" t="s">
        <v>21</v>
      </c>
      <c r="G8" s="494" t="s">
        <v>22</v>
      </c>
      <c r="H8" s="535" t="s">
        <v>144</v>
      </c>
      <c r="I8" s="494" t="s">
        <v>166</v>
      </c>
      <c r="J8" s="537" t="s">
        <v>23</v>
      </c>
      <c r="K8" s="539" t="s">
        <v>142</v>
      </c>
      <c r="L8" s="541" t="s">
        <v>24</v>
      </c>
      <c r="M8" s="359" t="s">
        <v>25</v>
      </c>
      <c r="N8" s="17" t="s">
        <v>26</v>
      </c>
      <c r="O8" s="494" t="s">
        <v>155</v>
      </c>
      <c r="P8" s="56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33"/>
      <c r="C9" s="534"/>
      <c r="D9" s="534"/>
      <c r="E9" s="357" t="s">
        <v>30</v>
      </c>
      <c r="F9" s="357" t="s">
        <v>31</v>
      </c>
      <c r="G9" s="534"/>
      <c r="H9" s="536"/>
      <c r="I9" s="534"/>
      <c r="J9" s="538"/>
      <c r="K9" s="540"/>
      <c r="L9" s="542"/>
      <c r="M9" s="20" t="s">
        <v>32</v>
      </c>
      <c r="N9" s="21" t="s">
        <v>41</v>
      </c>
      <c r="O9" s="534"/>
      <c r="P9" s="561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29" t="s">
        <v>6</v>
      </c>
      <c r="C10" s="366" t="str">
        <f>[22]Brewhouse!$A783</f>
        <v>CA674</v>
      </c>
      <c r="D10" s="279">
        <f>[22]Brewhouse!$AF783</f>
        <v>52.2</v>
      </c>
      <c r="E10" s="279">
        <f>[22]Brewhouse!$AI783</f>
        <v>50.4</v>
      </c>
      <c r="F10" s="278">
        <f>[22]Brewhouse!$V783</f>
        <v>57</v>
      </c>
      <c r="G10" s="279">
        <f>[22]Brewhouse!AG783</f>
        <v>11.8</v>
      </c>
      <c r="H10" s="396"/>
      <c r="I10" s="368">
        <f>[22]Brewhouse!$AU783</f>
        <v>97.409933495185356</v>
      </c>
      <c r="J10" s="368">
        <f>[22]Brewhouse!$AV783</f>
        <v>99.663866808809431</v>
      </c>
      <c r="K10" s="281">
        <f>[22]Brewhouse!$Q783</f>
        <v>4.666666666666659</v>
      </c>
      <c r="L10" s="276">
        <f>[22]Brewhouse!$P783</f>
        <v>56</v>
      </c>
      <c r="M10" s="397">
        <f>[22]Brewhouse!$U783-[22]Brewhouse!$T783</f>
        <v>0.10138888888888886</v>
      </c>
      <c r="N10" s="370">
        <f>[22]Brewhouse!$Z783</f>
        <v>0.24999999999999997</v>
      </c>
      <c r="O10" s="421" t="str">
        <f>[22]Brewhouse!$AX783</f>
        <v>R.Sookram</v>
      </c>
      <c r="P10" s="418"/>
      <c r="R10" s="277" t="str">
        <f t="shared" ref="R10:R48" si="0">B10</f>
        <v>CARIB</v>
      </c>
      <c r="S10" s="296">
        <f t="shared" ref="S10:S48" si="1">VLOOKUP($B10,$R$3:$X$9,2,FALSE)</f>
        <v>11.6</v>
      </c>
      <c r="T10" s="296">
        <f t="shared" ref="T10:T48" si="2">VLOOKUP($B10,$R$3:$X$9,3,FALSE)</f>
        <v>12</v>
      </c>
      <c r="U10" s="297">
        <f t="shared" ref="U10:U48" si="3">VLOOKUP($B10,$R$3:$X$9,4,FALSE)</f>
        <v>0</v>
      </c>
      <c r="V10" s="297">
        <f t="shared" ref="V10:V48" si="4">VLOOKUP($B10,$R$3:$X$9,5,FALSE)</f>
        <v>0.118055555555556</v>
      </c>
      <c r="W10" s="297">
        <f t="shared" ref="W10:W48" si="5">VLOOKUP($B10,$R$3:$X$9,6,FALSE)</f>
        <v>0.22569444444444445</v>
      </c>
      <c r="X10" s="297">
        <f t="shared" ref="X10:X48" si="6">VLOOKUP($B10,$R$3:$X$9,7,FALSE)</f>
        <v>0.2638888888888889</v>
      </c>
      <c r="Y10" s="297">
        <f t="shared" ref="Y10:Y48" si="7">VLOOKUP($B10,$R$3:$Z$9,8,FALSE)</f>
        <v>0</v>
      </c>
      <c r="Z10" s="296">
        <f t="shared" ref="Z10:Z48" si="8">VLOOKUP($B10,$R$3:$Z$9,9,FALSE)</f>
        <v>60</v>
      </c>
    </row>
    <row r="11" spans="2:29" ht="15.75" customHeight="1">
      <c r="B11" s="29" t="s">
        <v>6</v>
      </c>
      <c r="C11" s="366" t="str">
        <f>[22]Brewhouse!$A784</f>
        <v>CA675</v>
      </c>
      <c r="D11" s="279">
        <f>[22]Brewhouse!$AF784</f>
        <v>54.9</v>
      </c>
      <c r="E11" s="279">
        <f>[22]Brewhouse!$AI784</f>
        <v>52.9</v>
      </c>
      <c r="F11" s="278">
        <f>[22]Brewhouse!$V784</f>
        <v>59</v>
      </c>
      <c r="G11" s="279">
        <f>[22]Brewhouse!AG784</f>
        <v>11.4</v>
      </c>
      <c r="H11" s="396"/>
      <c r="I11" s="368">
        <f>[22]Brewhouse!$AU784</f>
        <v>98.59620159398095</v>
      </c>
      <c r="J11" s="368">
        <f>[22]Brewhouse!$AV784</f>
        <v>100.87758353723476</v>
      </c>
      <c r="K11" s="281">
        <f>[22]Brewhouse!$Q784</f>
        <v>-0.33333333333333282</v>
      </c>
      <c r="L11" s="276">
        <f>[22]Brewhouse!$P784</f>
        <v>60</v>
      </c>
      <c r="M11" s="397">
        <f>[22]Brewhouse!$U784-[22]Brewhouse!$T784</f>
        <v>0.11597222222222225</v>
      </c>
      <c r="N11" s="370">
        <f>[22]Brewhouse!$Z784</f>
        <v>0.25208333333333333</v>
      </c>
      <c r="O11" s="421" t="str">
        <f>[22]Brewhouse!$AX784</f>
        <v>K.Benjamin</v>
      </c>
      <c r="P11" s="418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29" t="s">
        <v>6</v>
      </c>
      <c r="C12" s="366" t="str">
        <f>[22]Brewhouse!$A785</f>
        <v>CA676</v>
      </c>
      <c r="D12" s="279">
        <f>[22]Brewhouse!$AF785</f>
        <v>51</v>
      </c>
      <c r="E12" s="279">
        <f>[22]Brewhouse!$AI785</f>
        <v>51.4</v>
      </c>
      <c r="F12" s="278">
        <f>[22]Brewhouse!$V785</f>
        <v>57</v>
      </c>
      <c r="G12" s="279">
        <f>[22]Brewhouse!AG785</f>
        <v>12.2</v>
      </c>
      <c r="H12" s="396"/>
      <c r="I12" s="368">
        <f>[22]Brewhouse!$AU785</f>
        <v>102.88487245234124</v>
      </c>
      <c r="J12" s="368">
        <f>[22]Brewhouse!$AV785</f>
        <v>105.26548840358565</v>
      </c>
      <c r="K12" s="281">
        <f>[22]Brewhouse!$Q785</f>
        <v>6.8888888888888875</v>
      </c>
      <c r="L12" s="276">
        <f>[22]Brewhouse!$P785</f>
        <v>61</v>
      </c>
      <c r="M12" s="397">
        <f>[22]Brewhouse!$U785-[22]Brewhouse!$T785</f>
        <v>0.11875000000000002</v>
      </c>
      <c r="N12" s="370">
        <f>[22]Brewhouse!$Z785</f>
        <v>0.27500000000000002</v>
      </c>
      <c r="O12" s="421" t="str">
        <f>[22]Brewhouse!$AX785</f>
        <v>K.Benjamin</v>
      </c>
      <c r="P12" s="418"/>
      <c r="R12" s="277" t="str">
        <f t="shared" ref="R12:R27" si="9">B12</f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29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97"/>
      <c r="N13" s="370"/>
      <c r="O13" s="421"/>
      <c r="P13" s="418"/>
      <c r="R13" s="277"/>
      <c r="S13" s="296"/>
      <c r="T13" s="296"/>
      <c r="U13" s="297"/>
      <c r="V13" s="297"/>
      <c r="W13" s="297"/>
      <c r="X13" s="297"/>
      <c r="Y13" s="297"/>
      <c r="Z13" s="296"/>
    </row>
    <row r="14" spans="2:29" ht="15.75" customHeight="1">
      <c r="B14" s="33" t="s">
        <v>9</v>
      </c>
      <c r="C14" s="366" t="str">
        <f>[24]Brewhouse!$A371</f>
        <v>ST349</v>
      </c>
      <c r="D14" s="279">
        <f>[24]Brewhouse!$AD371</f>
        <v>51.4</v>
      </c>
      <c r="E14" s="279">
        <f>[24]Brewhouse!$AG371</f>
        <v>50.8</v>
      </c>
      <c r="F14" s="278">
        <f>[24]Brewhouse!$V371</f>
        <v>60</v>
      </c>
      <c r="G14" s="279">
        <f>[24]Brewhouse!$AE371</f>
        <v>11.5</v>
      </c>
      <c r="H14" s="396"/>
      <c r="I14" s="420">
        <f>[24]Brewhouse!$AS371</f>
        <v>97.234327492356584</v>
      </c>
      <c r="J14" s="420">
        <f>[24]Brewhouse!$AT371</f>
        <v>99.094438647990131</v>
      </c>
      <c r="K14" s="281">
        <f>[24]Brewhouse!$Q371</f>
        <v>2.8846153846153846</v>
      </c>
      <c r="L14" s="276">
        <f>[24]Brewhouse!$P371</f>
        <v>51</v>
      </c>
      <c r="M14" s="374">
        <f>[24]Brewhouse!$U371-[24]Brewhouse!$T371</f>
        <v>0.1118055555555556</v>
      </c>
      <c r="N14" s="370">
        <f>[24]Brewhouse!$AW371</f>
        <v>0.23888888888888887</v>
      </c>
      <c r="O14" s="421" t="str">
        <f>[24]Brewhouse!$AV371</f>
        <v>K. Benjamin</v>
      </c>
      <c r="P14" s="418"/>
      <c r="R14" s="277" t="str">
        <f t="shared" si="9"/>
        <v>STAG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33" t="s">
        <v>9</v>
      </c>
      <c r="C15" s="366" t="str">
        <f>[24]Brewhouse!$A372</f>
        <v>ST350</v>
      </c>
      <c r="D15" s="279">
        <f>[24]Brewhouse!$AD372</f>
        <v>50.1</v>
      </c>
      <c r="E15" s="279">
        <f>[24]Brewhouse!$AG372</f>
        <v>49.6</v>
      </c>
      <c r="F15" s="278">
        <f>[24]Brewhouse!$V372</f>
        <v>61</v>
      </c>
      <c r="G15" s="279">
        <f>[24]Brewhouse!$AE372</f>
        <v>11.9</v>
      </c>
      <c r="H15" s="396"/>
      <c r="I15" s="420">
        <f>[24]Brewhouse!$AS372</f>
        <v>98.088904356977224</v>
      </c>
      <c r="J15" s="420">
        <f>[24]Brewhouse!$AT372</f>
        <v>99.965363730367002</v>
      </c>
      <c r="K15" s="281">
        <f>[24]Brewhouse!$Q372</f>
        <v>5.5662188099808034</v>
      </c>
      <c r="L15" s="276">
        <f>[24]Brewhouse!$P372</f>
        <v>59</v>
      </c>
      <c r="M15" s="374">
        <f>[24]Brewhouse!$U372-[24]Brewhouse!$T372</f>
        <v>0.10763888888888895</v>
      </c>
      <c r="N15" s="370">
        <f>[24]Brewhouse!$AW372</f>
        <v>0.24652777777777779</v>
      </c>
      <c r="O15" s="421" t="str">
        <f>[24]Brewhouse!$AV372</f>
        <v>R. Regis</v>
      </c>
      <c r="P15" s="418"/>
      <c r="R15" s="277" t="str">
        <f t="shared" si="9"/>
        <v>STAG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33" t="s">
        <v>9</v>
      </c>
      <c r="C16" s="366" t="str">
        <f>[24]Brewhouse!$A373</f>
        <v>ST351</v>
      </c>
      <c r="D16" s="279">
        <f>[24]Brewhouse!$AD373</f>
        <v>50.3</v>
      </c>
      <c r="E16" s="279">
        <f>[24]Brewhouse!$AG373</f>
        <v>49.7</v>
      </c>
      <c r="F16" s="278">
        <f>[24]Brewhouse!$V373</f>
        <v>58</v>
      </c>
      <c r="G16" s="279">
        <f>[24]Brewhouse!$AE373</f>
        <v>11.9</v>
      </c>
      <c r="H16" s="396"/>
      <c r="I16" s="420">
        <f>[24]Brewhouse!$AS373</f>
        <v>98.286664244793712</v>
      </c>
      <c r="J16" s="420">
        <f>[24]Brewhouse!$AT373</f>
        <v>100.16690680240403</v>
      </c>
      <c r="K16" s="281">
        <f>[24]Brewhouse!$Q373</f>
        <v>5.1823416506717903</v>
      </c>
      <c r="L16" s="276">
        <f>[24]Brewhouse!$P373</f>
        <v>60</v>
      </c>
      <c r="M16" s="374">
        <f>[24]Brewhouse!$U373-[24]Brewhouse!$T373</f>
        <v>0.10625000000000007</v>
      </c>
      <c r="N16" s="370">
        <f>[24]Brewhouse!$AW373</f>
        <v>0.25069444444444444</v>
      </c>
      <c r="O16" s="421" t="str">
        <f>[24]Brewhouse!$AV373</f>
        <v>R. Regis</v>
      </c>
      <c r="P16" s="418"/>
      <c r="R16" s="277" t="str">
        <f t="shared" si="9"/>
        <v>STAG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1:26" ht="15.75" customHeight="1">
      <c r="B17" s="33" t="s">
        <v>9</v>
      </c>
      <c r="C17" s="366" t="str">
        <f>[24]Brewhouse!$A374</f>
        <v>ST352</v>
      </c>
      <c r="D17" s="279">
        <f>[24]Brewhouse!$AD374</f>
        <v>50.9</v>
      </c>
      <c r="E17" s="279">
        <f>[24]Brewhouse!$AG374</f>
        <v>50.3</v>
      </c>
      <c r="F17" s="278">
        <f>[24]Brewhouse!$V374</f>
        <v>60</v>
      </c>
      <c r="G17" s="279">
        <f>[24]Brewhouse!$AE374</f>
        <v>11.9</v>
      </c>
      <c r="H17" s="396"/>
      <c r="I17" s="420">
        <f>[24]Brewhouse!$AS374</f>
        <v>99.598796102027222</v>
      </c>
      <c r="J17" s="420">
        <f>[24]Brewhouse!$AT374</f>
        <v>101.50351005519067</v>
      </c>
      <c r="K17" s="281">
        <f>[24]Brewhouse!$Q374</f>
        <v>4.0307101727447243</v>
      </c>
      <c r="L17" s="276">
        <f>[24]Brewhouse!$P374</f>
        <v>62</v>
      </c>
      <c r="M17" s="374">
        <f>[24]Brewhouse!$U374-[24]Brewhouse!$T374</f>
        <v>0.10972222222222228</v>
      </c>
      <c r="N17" s="370">
        <f>[24]Brewhouse!$AW374</f>
        <v>0.25416666666666665</v>
      </c>
      <c r="O17" s="421" t="str">
        <f>[24]Brewhouse!$AV374</f>
        <v>R. Regis</v>
      </c>
      <c r="P17" s="418"/>
      <c r="R17" s="277" t="str">
        <f t="shared" si="9"/>
        <v>STAG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1:26" ht="15.75" customHeight="1">
      <c r="B18" s="33" t="s">
        <v>9</v>
      </c>
      <c r="C18" s="366" t="str">
        <f>[24]Brewhouse!$A375</f>
        <v>ST353</v>
      </c>
      <c r="D18" s="279">
        <f>[24]Brewhouse!$AD375</f>
        <v>53.1</v>
      </c>
      <c r="E18" s="279">
        <f>[24]Brewhouse!$AG375</f>
        <v>50.9</v>
      </c>
      <c r="F18" s="278">
        <f>[24]Brewhouse!$V375</f>
        <v>62</v>
      </c>
      <c r="G18" s="279">
        <f>[24]Brewhouse!$AE375</f>
        <v>11.6</v>
      </c>
      <c r="H18" s="396"/>
      <c r="I18" s="420">
        <f>[24]Brewhouse!$AS375</f>
        <v>97.745221120811337</v>
      </c>
      <c r="J18" s="420">
        <f>[24]Brewhouse!$AT375</f>
        <v>99.616337552162619</v>
      </c>
      <c r="K18" s="281">
        <f>[24]Brewhouse!$Q375</f>
        <v>-0.38461538461539008</v>
      </c>
      <c r="L18" s="276">
        <f>[24]Brewhouse!$P375</f>
        <v>74</v>
      </c>
      <c r="M18" s="374">
        <f>[24]Brewhouse!$U375-[24]Brewhouse!$T375</f>
        <v>0.11388888888888882</v>
      </c>
      <c r="N18" s="370">
        <f>[24]Brewhouse!$AW375</f>
        <v>0.25902777777777763</v>
      </c>
      <c r="O18" s="421" t="str">
        <f>[24]Brewhouse!$AV375</f>
        <v>R.Sookram</v>
      </c>
      <c r="P18" s="418"/>
      <c r="R18" s="277" t="str">
        <f t="shared" si="9"/>
        <v>STAG</v>
      </c>
      <c r="S18" s="296">
        <f t="shared" si="1"/>
        <v>11.6</v>
      </c>
      <c r="T18" s="296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296">
        <f t="shared" si="8"/>
        <v>60</v>
      </c>
    </row>
    <row r="19" spans="1:26" ht="15.75" customHeight="1">
      <c r="B19" s="33" t="s">
        <v>9</v>
      </c>
      <c r="C19" s="366" t="str">
        <f>[24]Brewhouse!$A376</f>
        <v>ST354</v>
      </c>
      <c r="D19" s="279">
        <f>[24]Brewhouse!$AD376</f>
        <v>50.7</v>
      </c>
      <c r="E19" s="279">
        <f>[24]Brewhouse!$AG376</f>
        <v>49.9</v>
      </c>
      <c r="F19" s="278">
        <f>[24]Brewhouse!$V376</f>
        <v>57</v>
      </c>
      <c r="G19" s="279">
        <f>[24]Brewhouse!$AE376</f>
        <v>11.8</v>
      </c>
      <c r="H19" s="396"/>
      <c r="I19" s="420">
        <f>[24]Brewhouse!$AS376</f>
        <v>97.933766526241584</v>
      </c>
      <c r="J19" s="420">
        <f>[24]Brewhouse!$AT376</f>
        <v>99.806638678203157</v>
      </c>
      <c r="K19" s="281">
        <f>[24]Brewhouse!$Q376</f>
        <v>4.2307692307692228</v>
      </c>
      <c r="L19" s="276">
        <f>[24]Brewhouse!$P376</f>
        <v>60</v>
      </c>
      <c r="M19" s="374">
        <f>[24]Brewhouse!$U376-[24]Brewhouse!$T376</f>
        <v>0.10416666666666652</v>
      </c>
      <c r="N19" s="370">
        <f>[24]Brewhouse!$AW376</f>
        <v>0.25138888888888888</v>
      </c>
      <c r="O19" s="421" t="str">
        <f>[24]Brewhouse!$AV376</f>
        <v>R.Sookram</v>
      </c>
      <c r="P19" s="418"/>
      <c r="R19" s="277" t="str">
        <f t="shared" si="9"/>
        <v>STAG</v>
      </c>
      <c r="S19" s="296">
        <f t="shared" si="1"/>
        <v>11.6</v>
      </c>
      <c r="T19" s="296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296">
        <f t="shared" si="8"/>
        <v>60</v>
      </c>
    </row>
    <row r="20" spans="1:26" ht="15.75" customHeight="1">
      <c r="B20" s="33"/>
      <c r="C20" s="366"/>
      <c r="D20" s="279"/>
      <c r="E20" s="279"/>
      <c r="F20" s="278"/>
      <c r="G20" s="279"/>
      <c r="H20" s="396"/>
      <c r="I20" s="420"/>
      <c r="J20" s="420"/>
      <c r="K20" s="281"/>
      <c r="L20" s="276"/>
      <c r="M20" s="374"/>
      <c r="N20" s="370"/>
      <c r="O20" s="421"/>
      <c r="P20" s="418"/>
      <c r="R20" s="277">
        <f t="shared" si="9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6" ht="15.7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1"/>
      <c r="P21" s="418"/>
      <c r="R21" s="277">
        <f t="shared" si="9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6" ht="15.75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1"/>
      <c r="P22" s="418"/>
      <c r="R22" s="277">
        <f t="shared" si="9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6" ht="15.75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421"/>
      <c r="P23" s="418"/>
      <c r="R23" s="277">
        <f t="shared" si="9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6" ht="15.75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421"/>
      <c r="P24" s="418"/>
      <c r="R24" s="277">
        <f t="shared" si="9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6" ht="15.75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418"/>
      <c r="R25" s="277">
        <f t="shared" si="9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6" ht="15.75" customHeight="1">
      <c r="B26" s="37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74"/>
      <c r="N26" s="370"/>
      <c r="O26" s="371"/>
      <c r="P26" s="418"/>
      <c r="R26" s="277">
        <f t="shared" si="9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6" ht="15.75" customHeight="1" thickBot="1">
      <c r="B27" s="358"/>
      <c r="C27" s="358"/>
      <c r="D27" s="358"/>
      <c r="E27" s="358"/>
      <c r="F27" s="294"/>
      <c r="G27" s="294"/>
      <c r="H27" s="348"/>
      <c r="I27" s="514"/>
      <c r="J27" s="514"/>
      <c r="K27" s="514"/>
      <c r="L27" s="514"/>
      <c r="M27" s="514"/>
      <c r="N27" s="514"/>
      <c r="O27" s="1"/>
      <c r="P27" s="12"/>
      <c r="R27" s="277">
        <f t="shared" si="9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6" ht="15.75" thickBot="1">
      <c r="B28" s="388" t="s">
        <v>162</v>
      </c>
      <c r="C28" s="388"/>
      <c r="D28" s="527" t="s">
        <v>35</v>
      </c>
      <c r="E28" s="528"/>
      <c r="F28" s="294"/>
      <c r="G28" s="294"/>
      <c r="H28" s="348"/>
      <c r="I28" s="24" t="s">
        <v>17</v>
      </c>
      <c r="J28" s="25" t="s">
        <v>36</v>
      </c>
      <c r="K28" s="26" t="s">
        <v>138</v>
      </c>
      <c r="L28" s="25" t="s">
        <v>37</v>
      </c>
      <c r="M28" s="25" t="s">
        <v>38</v>
      </c>
      <c r="N28" s="27" t="s">
        <v>39</v>
      </c>
      <c r="O28" s="294"/>
      <c r="P28" s="12"/>
      <c r="R28" s="277" t="str">
        <f t="shared" si="0"/>
        <v xml:space="preserve">BRAND 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1:26" ht="15" customHeight="1">
      <c r="A29" s="28"/>
      <c r="B29" s="568" t="str">
        <f>J46</f>
        <v>VITAMALT</v>
      </c>
      <c r="C29" s="362"/>
      <c r="D29" s="518"/>
      <c r="E29" s="507"/>
      <c r="F29" s="294"/>
      <c r="G29" s="294"/>
      <c r="H29" s="348"/>
      <c r="I29" s="29" t="s">
        <v>6</v>
      </c>
      <c r="J29" s="280">
        <f>AVERAGE(I10:I12)</f>
        <v>99.630335847169192</v>
      </c>
      <c r="K29" s="284">
        <f>COUNTA([22]Brewhouse!$A$740:$A$782)</f>
        <v>43</v>
      </c>
      <c r="L29" s="305">
        <f>AVERAGE([22]Brewhouse!$AU$740:$AU$782)</f>
        <v>97.363169195150917</v>
      </c>
      <c r="M29" s="302">
        <f>AVERAGE([22]Brewhouse!$AU$102:$AU$171,[22]Brewhouse!$AU$173:$AU$253,[22]Brewhouse!$AU$255:$AU$339,[22]Brewhouse!$AU$341:$AU$346,[22]Brewhouse!$AU$348,[22]Brewhouse!$AU$349:$AU$406,[22]Brewhouse!$AU$408:$AU$491,[22]Brewhouse!$AU$493:$AU$578,[22]Brewhouse!$AU$580:$AU$652,[22]Brewhouse!$AU$655:$AU$782)</f>
        <v>97.68374537610346</v>
      </c>
      <c r="N29" s="30">
        <v>98</v>
      </c>
      <c r="O29" s="11"/>
      <c r="P29" s="31"/>
      <c r="R29" s="277" t="str">
        <f t="shared" si="0"/>
        <v>VITAMALT</v>
      </c>
      <c r="S29" s="296">
        <f t="shared" si="1"/>
        <v>14.2</v>
      </c>
      <c r="T29" s="296">
        <f t="shared" si="2"/>
        <v>14.6</v>
      </c>
      <c r="U29" s="297">
        <f t="shared" si="3"/>
        <v>0</v>
      </c>
      <c r="V29" s="297">
        <f t="shared" si="4"/>
        <v>0.13905092592592591</v>
      </c>
      <c r="W29" s="297">
        <f t="shared" si="5"/>
        <v>0.26041666666666669</v>
      </c>
      <c r="X29" s="297">
        <f t="shared" si="6"/>
        <v>0.2951388888888889</v>
      </c>
      <c r="Y29" s="297">
        <f t="shared" si="7"/>
        <v>0</v>
      </c>
      <c r="Z29" s="296">
        <f t="shared" si="8"/>
        <v>75</v>
      </c>
    </row>
    <row r="30" spans="1:26" ht="15" customHeight="1">
      <c r="A30" s="28"/>
      <c r="B30" s="569"/>
      <c r="C30" s="362"/>
      <c r="D30" s="519"/>
      <c r="E30" s="502"/>
      <c r="F30" s="294"/>
      <c r="G30" s="294"/>
      <c r="H30" s="348"/>
      <c r="I30" s="33" t="s">
        <v>9</v>
      </c>
      <c r="J30" s="280">
        <f>AVERAGE(I14:I19)</f>
        <v>98.147946640534613</v>
      </c>
      <c r="K30" s="284">
        <f>COUNTA([24]Brewhouse!$A$361:$A$370)</f>
        <v>10</v>
      </c>
      <c r="L30" s="302">
        <f>AVERAGE([24]Brewhouse!$AS$361:$AS$370)</f>
        <v>97.37391829333653</v>
      </c>
      <c r="M30" s="302">
        <f>AVERAGE([24]Brewhouse!$AS$15:$AS$64,[24]Brewhouse!$AS$66:$AS$103,[24]Brewhouse!$AS$105:$AS$140,[24]Brewhouse!$AS$142:$AS$193,[24]Brewhouse!$AS$195:$AS$240,[24]Brewhouse!$AS$242:$AS$273,[24]Brewhouse!$AS$275:$AS$322,[24]Brewhouse!$AS$324:$AS$359,[24]Brewhouse!$AS$361:$AS$370)</f>
        <v>98.045616899357427</v>
      </c>
      <c r="N30" s="30">
        <v>98</v>
      </c>
      <c r="O30" s="11"/>
      <c r="P30" s="31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1:26" ht="14.65" customHeight="1">
      <c r="A31" s="28"/>
      <c r="B31" s="569"/>
      <c r="C31" s="362"/>
      <c r="D31" s="518"/>
      <c r="E31" s="507"/>
      <c r="F31" s="294"/>
      <c r="G31" s="294"/>
      <c r="H31" s="348"/>
      <c r="I31" s="34" t="s">
        <v>12</v>
      </c>
      <c r="J31" s="280"/>
      <c r="K31" s="284"/>
      <c r="L31" s="302"/>
      <c r="M31" s="302">
        <f>AVERAGE([25]Brewhouse!$AU$4:$AU$7,[25]Brewhouse!$AU$9:$AU$22,[25]Brewhouse!$AU$24:$AU$35,[25]Brewhouse!$AU$37:$AU$45,[25]Brewhouse!$AU$47:$AU$62,[25]Brewhouse!$AU$64:$AU$79,[25]Brewhouse!$AU$81:$AU$92)</f>
        <v>96.938184743997624</v>
      </c>
      <c r="N31" s="30">
        <v>98</v>
      </c>
      <c r="O31" s="11"/>
      <c r="P31" s="31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1:26" ht="14.65" customHeight="1">
      <c r="A32" s="28"/>
      <c r="B32" s="569"/>
      <c r="C32" s="362"/>
      <c r="D32" s="519"/>
      <c r="E32" s="502"/>
      <c r="F32" s="294"/>
      <c r="G32" s="294"/>
      <c r="H32" s="348"/>
      <c r="I32" s="22" t="s">
        <v>33</v>
      </c>
      <c r="J32" s="280"/>
      <c r="K32" s="284">
        <f>COUNTA([26]Brewhouse!$A$79:$A$86)</f>
        <v>8</v>
      </c>
      <c r="L32" s="302">
        <f>AVERAGE([26]Brewhouse!$AV$79:$AV$86)</f>
        <v>96.412390542357869</v>
      </c>
      <c r="M32" s="302">
        <f>AVERAGE([26]Brewhouse!$AV$5:$AV$14,[26]Brewhouse!$AV$16:$AV$19,[26]Brewhouse!$AV$21:$AV$24,[26]Brewhouse!$AV$26:$AV$33,[26]Brewhouse!$AV$35:$AV$46,[26]Brewhouse!$AV$48:$AV$53,[26]Brewhouse!$AV$55:$AV$62,[26]Brewhouse!$AV$64:$AV$77,[26]Brewhouse!$AV$79:$AV$86)</f>
        <v>98.293408393493976</v>
      </c>
      <c r="N32" s="30">
        <v>98</v>
      </c>
      <c r="O32" s="11"/>
      <c r="P32" s="31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56" ht="14.65" customHeight="1">
      <c r="A33" s="28"/>
      <c r="B33" s="569"/>
      <c r="C33" s="362"/>
      <c r="D33" s="518"/>
      <c r="E33" s="507"/>
      <c r="F33" s="417"/>
      <c r="G33" s="294"/>
      <c r="H33" s="348"/>
      <c r="I33" s="35" t="s">
        <v>29</v>
      </c>
      <c r="J33" s="280"/>
      <c r="K33" s="284"/>
      <c r="L33" s="302"/>
      <c r="M33" s="302"/>
      <c r="N33" s="30">
        <v>98</v>
      </c>
      <c r="O33" s="11"/>
      <c r="P33" s="31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56" ht="14.65" customHeight="1">
      <c r="A34" s="28"/>
      <c r="B34" s="569"/>
      <c r="C34" s="362"/>
      <c r="D34" s="519"/>
      <c r="E34" s="502"/>
      <c r="F34" s="417"/>
      <c r="G34" s="294"/>
      <c r="H34" s="348"/>
      <c r="I34" s="36" t="s">
        <v>15</v>
      </c>
      <c r="J34" s="280"/>
      <c r="K34" s="284"/>
      <c r="L34" s="302"/>
      <c r="M34" s="302">
        <f>AVERAGE([27]Brewhouse!$AT$4:$AT$11,[27]Brewhouse!$AT$13:$AT$16,[27]Brewhouse!$AT$18:$AT$21,[27]Brewhouse!$AT$26)</f>
        <v>94.588057846623641</v>
      </c>
      <c r="N34" s="30">
        <v>98</v>
      </c>
      <c r="O34" s="11"/>
      <c r="P34" s="31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</row>
    <row r="35" spans="1:56" ht="14.65" customHeight="1">
      <c r="A35" s="28"/>
      <c r="B35" s="569"/>
      <c r="C35" s="362"/>
      <c r="D35" s="518"/>
      <c r="E35" s="507"/>
      <c r="F35" s="417"/>
      <c r="G35" s="294"/>
      <c r="H35" s="348"/>
      <c r="I35" s="37" t="s">
        <v>16</v>
      </c>
      <c r="J35" s="280"/>
      <c r="K35" s="284">
        <f>COUNTA([23]Brewhouse!$A$75:$A$82)</f>
        <v>8</v>
      </c>
      <c r="L35" s="302">
        <f>AVERAGE([23]Brewhouse!$AY$75:$AY$82)</f>
        <v>97.738838123294386</v>
      </c>
      <c r="M35" s="302">
        <f>AVERAGE([23]Brewhouse!$AY$6:$AY$13,[23]Brewhouse!$AY$15:$AY$20,[23]Brewhouse!$AY$22:$AY$29,[23]Brewhouse!$AY$31:$AY$34,[23]Brewhouse!$AY$36:$AY$43,[23]Brewhouse!$AY$45:$AY$50, [23]Brewhouse!$AY$56:$AY$73,[23]Brewhouse!$AY$75:$AY$82)</f>
        <v>97.409216272979165</v>
      </c>
      <c r="N35" s="30">
        <v>98</v>
      </c>
      <c r="O35" s="11"/>
      <c r="P35" s="31" t="s">
        <v>41</v>
      </c>
      <c r="R35" s="277">
        <f t="shared" si="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</row>
    <row r="36" spans="1:56" ht="14.65" customHeight="1">
      <c r="A36" s="28"/>
      <c r="B36" s="569"/>
      <c r="C36" s="362"/>
      <c r="D36" s="519"/>
      <c r="E36" s="502"/>
      <c r="F36" s="294"/>
      <c r="G36" s="294"/>
      <c r="H36" s="348"/>
      <c r="I36" s="411" t="s">
        <v>158</v>
      </c>
      <c r="J36" s="326"/>
      <c r="K36" s="284"/>
      <c r="L36" s="305"/>
      <c r="M36" s="305">
        <f>AVERAGE([28]Brewhouse!$AU$5:$AU$8,[28]Brewhouse!$AU$10:$AU$13,[23]Brewhouse!$AY$75:$AY$77)</f>
        <v>94.749192473706671</v>
      </c>
      <c r="N36" s="30">
        <v>98</v>
      </c>
      <c r="O36" s="11"/>
      <c r="P36" s="31"/>
      <c r="R36" s="277">
        <f t="shared" si="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</row>
    <row r="37" spans="1:56" ht="14.65" customHeight="1">
      <c r="A37" s="28"/>
      <c r="B37" s="569"/>
      <c r="C37" s="349"/>
      <c r="D37" s="518"/>
      <c r="E37" s="507"/>
      <c r="F37" s="294"/>
      <c r="G37" s="294"/>
      <c r="H37" s="348"/>
      <c r="I37" s="410" t="s">
        <v>157</v>
      </c>
      <c r="J37" s="326"/>
      <c r="K37" s="284"/>
      <c r="L37" s="305"/>
      <c r="M37" s="305">
        <f>AVERAGE([29]Brewhouse!$AW$26:$AW$27)</f>
        <v>95.310680905194914</v>
      </c>
      <c r="N37" s="30">
        <v>98</v>
      </c>
      <c r="O37" s="11"/>
      <c r="P37" s="31"/>
      <c r="R37" s="277">
        <f t="shared" si="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</row>
    <row r="38" spans="1:56" ht="15" customHeight="1" thickBot="1">
      <c r="A38" s="28"/>
      <c r="B38" s="569"/>
      <c r="C38" s="349"/>
      <c r="D38" s="519"/>
      <c r="E38" s="502"/>
      <c r="F38" s="294"/>
      <c r="G38" s="294"/>
      <c r="H38" s="348"/>
      <c r="I38" s="406" t="s">
        <v>156</v>
      </c>
      <c r="J38" s="327"/>
      <c r="K38" s="407"/>
      <c r="L38" s="408"/>
      <c r="M38" s="408">
        <f>AVERAGE([30]Brewhouse!$AU$13:$AU$14)</f>
        <v>97.110575243268045</v>
      </c>
      <c r="N38" s="409">
        <v>98</v>
      </c>
      <c r="O38" s="11"/>
      <c r="P38" s="31"/>
      <c r="R38" s="277">
        <f t="shared" si="0"/>
        <v>0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</row>
    <row r="39" spans="1:56" ht="15" customHeight="1" thickBot="1">
      <c r="A39" s="28"/>
      <c r="B39" s="569"/>
      <c r="C39" s="349"/>
      <c r="D39" s="518"/>
      <c r="E39" s="507"/>
      <c r="F39" s="294"/>
      <c r="G39" s="294"/>
      <c r="H39" s="348"/>
      <c r="I39" s="1"/>
      <c r="J39" s="39"/>
      <c r="K39" s="404">
        <f>SUM(K29:K38)</f>
        <v>69</v>
      </c>
      <c r="L39" s="405">
        <f>((L29*K29)+(L30*K30)+(L31*K31)+(L32*K32)+(L33*K33)+(K36*L36)+(L34*K34)+(L35*K35)+(L38*K38))/(K39)</f>
        <v>97.298047647102521</v>
      </c>
      <c r="M39" s="405">
        <f>AVERAGE('[31]Jan 31st'!$L$65,'[32]Feb 28th'!$L$35,'[33]Mar. 31st'!$L$35,'[34]Apr. 30th'!$L$45,'[35]May 30th'!$L$37,'[36]June 30th'!$L$57,L39)</f>
        <v>97.607136877737773</v>
      </c>
      <c r="N39" s="40">
        <v>98</v>
      </c>
      <c r="O39" s="11"/>
      <c r="P39" s="31"/>
      <c r="R39" s="277">
        <f t="shared" si="0"/>
        <v>0</v>
      </c>
      <c r="S39" s="296" t="e">
        <f t="shared" si="1"/>
        <v>#N/A</v>
      </c>
      <c r="T39" s="296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296" t="e">
        <f t="shared" si="8"/>
        <v>#N/A</v>
      </c>
    </row>
    <row r="40" spans="1:56" ht="15.75" thickBot="1">
      <c r="B40" s="570"/>
      <c r="C40" s="350"/>
      <c r="D40" s="519"/>
      <c r="E40" s="502"/>
      <c r="F40" s="294"/>
      <c r="G40" s="42"/>
      <c r="H40" s="41"/>
      <c r="I40" s="42"/>
      <c r="J40" s="42"/>
      <c r="K40" s="351"/>
      <c r="L40" s="348"/>
      <c r="M40" s="348"/>
      <c r="N40" s="11"/>
      <c r="O40" s="294"/>
      <c r="P40" s="12"/>
      <c r="R40" s="277">
        <f t="shared" si="0"/>
        <v>0</v>
      </c>
      <c r="S40" s="296" t="e">
        <f t="shared" si="1"/>
        <v>#N/A</v>
      </c>
      <c r="T40" s="296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296" t="e">
        <f t="shared" si="8"/>
        <v>#N/A</v>
      </c>
    </row>
    <row r="41" spans="1:56" ht="15.75" thickBot="1">
      <c r="B41" s="552"/>
      <c r="C41" s="362"/>
      <c r="D41" s="499"/>
      <c r="E41" s="500"/>
      <c r="F41" s="294"/>
      <c r="G41" s="42"/>
      <c r="H41" s="41"/>
      <c r="I41" s="42"/>
      <c r="J41" s="553" t="s">
        <v>129</v>
      </c>
      <c r="K41" s="553"/>
      <c r="L41" s="294"/>
      <c r="M41" s="294"/>
      <c r="N41" s="294"/>
      <c r="O41" s="294"/>
      <c r="P41" s="12"/>
      <c r="R41" s="277">
        <f t="shared" si="0"/>
        <v>0</v>
      </c>
      <c r="S41" s="296" t="e">
        <f t="shared" si="1"/>
        <v>#N/A</v>
      </c>
      <c r="T41" s="296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296" t="e">
        <f t="shared" si="8"/>
        <v>#N/A</v>
      </c>
    </row>
    <row r="42" spans="1:56" ht="15.75" thickBot="1">
      <c r="B42" s="516"/>
      <c r="C42" s="362"/>
      <c r="D42" s="501"/>
      <c r="E42" s="502"/>
      <c r="F42" s="294"/>
      <c r="G42" s="42"/>
      <c r="H42" s="41"/>
      <c r="I42" s="42"/>
      <c r="J42" s="292" t="s">
        <v>17</v>
      </c>
      <c r="K42" s="293" t="s">
        <v>147</v>
      </c>
      <c r="L42" s="504" t="s">
        <v>136</v>
      </c>
      <c r="M42" s="504"/>
      <c r="N42" s="505"/>
      <c r="O42" s="294"/>
      <c r="P42" s="12"/>
      <c r="R42" s="277">
        <f t="shared" si="0"/>
        <v>0</v>
      </c>
      <c r="S42" s="296" t="e">
        <f t="shared" si="1"/>
        <v>#N/A</v>
      </c>
      <c r="T42" s="296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296" t="e">
        <f t="shared" si="8"/>
        <v>#N/A</v>
      </c>
    </row>
    <row r="43" spans="1:56" ht="15" customHeight="1" thickBot="1">
      <c r="B43" s="516"/>
      <c r="C43" s="349"/>
      <c r="D43" s="554"/>
      <c r="E43" s="555"/>
      <c r="F43" s="294"/>
      <c r="G43" s="42"/>
      <c r="H43" s="41"/>
      <c r="I43" s="42"/>
      <c r="J43" s="287" t="s">
        <v>6</v>
      </c>
      <c r="K43" s="324">
        <v>3</v>
      </c>
      <c r="L43" s="343" t="s">
        <v>37</v>
      </c>
      <c r="M43" s="307" t="s">
        <v>38</v>
      </c>
      <c r="N43" s="307" t="s">
        <v>84</v>
      </c>
      <c r="O43" s="294"/>
      <c r="P43" s="12"/>
      <c r="R43" s="277">
        <f t="shared" si="0"/>
        <v>0</v>
      </c>
      <c r="S43" s="296" t="e">
        <f t="shared" si="1"/>
        <v>#N/A</v>
      </c>
      <c r="T43" s="296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296" t="e">
        <f t="shared" si="8"/>
        <v>#N/A</v>
      </c>
    </row>
    <row r="44" spans="1:56" ht="15.75" customHeight="1" thickBot="1">
      <c r="B44" s="516"/>
      <c r="C44" s="349"/>
      <c r="D44" s="501"/>
      <c r="E44" s="502"/>
      <c r="F44" s="294"/>
      <c r="G44" s="42"/>
      <c r="H44" s="41"/>
      <c r="I44" s="42"/>
      <c r="J44" s="345" t="s">
        <v>9</v>
      </c>
      <c r="K44" s="324">
        <v>6</v>
      </c>
      <c r="L44" s="344">
        <f>AVERAGE('Sept 1st'!K53,'Sept 2nd'!K51,'Sept 3rd'!K52,'Sept 4th'!K61,'Sept 5th '!K49,'Sept 8th'!K51,'Sept 9th'!K51,'Sept 10th'!K59,K53)</f>
        <v>8.6666666666666661</v>
      </c>
      <c r="M44" s="325">
        <f>AVERAGE('[31]Jan 29th '!$M$70,'[32]Feb 28th'!$L$40,'[33]Mar. 31st'!$L$40,'[34]Apr. 30th'!$L$50,'[35]May 30th'!$L$42,'[36]June 30th'!$L$62,'[37]July 29th '!$L$49,'[38]Aug 29th'!$L$34,L44)</f>
        <v>7.1443747793862213</v>
      </c>
      <c r="N44" s="416">
        <v>9.1999999999999993</v>
      </c>
      <c r="O44" s="294"/>
      <c r="P44" s="12"/>
      <c r="R44" s="277">
        <f t="shared" si="0"/>
        <v>0</v>
      </c>
      <c r="S44" s="296" t="e">
        <f t="shared" si="1"/>
        <v>#N/A</v>
      </c>
      <c r="T44" s="296" t="e">
        <f t="shared" si="2"/>
        <v>#N/A</v>
      </c>
      <c r="U44" s="297" t="e">
        <f t="shared" si="3"/>
        <v>#N/A</v>
      </c>
      <c r="V44" s="297" t="e">
        <f t="shared" si="4"/>
        <v>#N/A</v>
      </c>
      <c r="W44" s="297" t="e">
        <f t="shared" si="5"/>
        <v>#N/A</v>
      </c>
      <c r="X44" s="297" t="e">
        <f t="shared" si="6"/>
        <v>#N/A</v>
      </c>
      <c r="Y44" s="297" t="e">
        <f t="shared" si="7"/>
        <v>#N/A</v>
      </c>
      <c r="Z44" s="296" t="e">
        <f t="shared" si="8"/>
        <v>#N/A</v>
      </c>
    </row>
    <row r="45" spans="1:56" ht="15" customHeight="1">
      <c r="B45" s="516"/>
      <c r="C45" s="349"/>
      <c r="D45" s="554"/>
      <c r="E45" s="555"/>
      <c r="F45" s="294"/>
      <c r="G45" s="42"/>
      <c r="H45" s="41"/>
      <c r="I45" s="42"/>
      <c r="J45" s="288" t="s">
        <v>40</v>
      </c>
      <c r="K45" s="324"/>
      <c r="L45" s="294"/>
      <c r="M45" s="294"/>
      <c r="N45" s="294"/>
      <c r="O45" s="294"/>
      <c r="P45" s="12"/>
      <c r="R45" s="277">
        <f t="shared" si="0"/>
        <v>0</v>
      </c>
      <c r="S45" s="296" t="e">
        <f t="shared" si="1"/>
        <v>#N/A</v>
      </c>
      <c r="T45" s="296" t="e">
        <f t="shared" si="2"/>
        <v>#N/A</v>
      </c>
      <c r="U45" s="297" t="e">
        <f t="shared" si="3"/>
        <v>#N/A</v>
      </c>
      <c r="V45" s="297" t="e">
        <f t="shared" si="4"/>
        <v>#N/A</v>
      </c>
      <c r="W45" s="297" t="e">
        <f t="shared" si="5"/>
        <v>#N/A</v>
      </c>
      <c r="X45" s="297" t="e">
        <f t="shared" si="6"/>
        <v>#N/A</v>
      </c>
      <c r="Y45" s="297" t="e">
        <f t="shared" si="7"/>
        <v>#N/A</v>
      </c>
      <c r="Z45" s="296" t="e">
        <f t="shared" si="8"/>
        <v>#N/A</v>
      </c>
    </row>
    <row r="46" spans="1:56" ht="15" customHeight="1">
      <c r="B46" s="516"/>
      <c r="C46" s="349"/>
      <c r="D46" s="501"/>
      <c r="E46" s="502"/>
      <c r="F46" s="294"/>
      <c r="G46" s="42"/>
      <c r="H46" s="41"/>
      <c r="I46" s="42"/>
      <c r="J46" s="289" t="s">
        <v>33</v>
      </c>
      <c r="K46" s="324"/>
      <c r="L46" s="294"/>
      <c r="M46" s="294"/>
      <c r="N46" s="294"/>
      <c r="O46" s="294"/>
      <c r="P46" s="12"/>
      <c r="R46" s="277">
        <f t="shared" si="0"/>
        <v>0</v>
      </c>
      <c r="S46" s="296" t="e">
        <f t="shared" si="1"/>
        <v>#N/A</v>
      </c>
      <c r="T46" s="296" t="e">
        <f t="shared" si="2"/>
        <v>#N/A</v>
      </c>
      <c r="U46" s="297" t="e">
        <f t="shared" si="3"/>
        <v>#N/A</v>
      </c>
      <c r="V46" s="297" t="e">
        <f t="shared" si="4"/>
        <v>#N/A</v>
      </c>
      <c r="W46" s="297" t="e">
        <f t="shared" si="5"/>
        <v>#N/A</v>
      </c>
      <c r="X46" s="297" t="e">
        <f t="shared" si="6"/>
        <v>#N/A</v>
      </c>
      <c r="Y46" s="297" t="e">
        <f t="shared" si="7"/>
        <v>#N/A</v>
      </c>
      <c r="Z46" s="296" t="e">
        <f t="shared" si="8"/>
        <v>#N/A</v>
      </c>
    </row>
    <row r="47" spans="1:56" ht="15">
      <c r="B47" s="516"/>
      <c r="C47" s="349"/>
      <c r="D47" s="554"/>
      <c r="E47" s="555"/>
      <c r="F47" s="294"/>
      <c r="G47" s="42"/>
      <c r="H47" s="41"/>
      <c r="I47" s="42"/>
      <c r="J47" s="290" t="s">
        <v>16</v>
      </c>
      <c r="K47" s="324"/>
      <c r="L47" s="294"/>
      <c r="M47" s="294"/>
      <c r="N47" s="294"/>
      <c r="O47" s="294"/>
      <c r="P47" s="12"/>
      <c r="R47" s="277">
        <f t="shared" si="0"/>
        <v>0</v>
      </c>
      <c r="S47" s="296" t="e">
        <f t="shared" si="1"/>
        <v>#N/A</v>
      </c>
      <c r="T47" s="296" t="e">
        <f t="shared" si="2"/>
        <v>#N/A</v>
      </c>
      <c r="U47" s="297" t="e">
        <f t="shared" si="3"/>
        <v>#N/A</v>
      </c>
      <c r="V47" s="297" t="e">
        <f t="shared" si="4"/>
        <v>#N/A</v>
      </c>
      <c r="W47" s="297" t="e">
        <f t="shared" si="5"/>
        <v>#N/A</v>
      </c>
      <c r="X47" s="297" t="e">
        <f t="shared" si="6"/>
        <v>#N/A</v>
      </c>
      <c r="Y47" s="297" t="e">
        <f t="shared" si="7"/>
        <v>#N/A</v>
      </c>
      <c r="Z47" s="296" t="e">
        <f t="shared" si="8"/>
        <v>#N/A</v>
      </c>
      <c r="BC47" s="44"/>
      <c r="BD47" s="44"/>
    </row>
    <row r="48" spans="1:56" ht="15">
      <c r="B48" s="516"/>
      <c r="C48" s="349"/>
      <c r="D48" s="501"/>
      <c r="E48" s="502"/>
      <c r="F48" s="294"/>
      <c r="G48" s="42"/>
      <c r="H48" s="41"/>
      <c r="I48" s="42"/>
      <c r="J48" s="291" t="s">
        <v>15</v>
      </c>
      <c r="K48" s="324"/>
      <c r="L48" s="294"/>
      <c r="M48" s="294"/>
      <c r="N48" s="294"/>
      <c r="O48" s="294"/>
      <c r="P48" s="12"/>
      <c r="R48" s="277">
        <f t="shared" si="0"/>
        <v>0</v>
      </c>
      <c r="S48" s="296" t="e">
        <f t="shared" si="1"/>
        <v>#N/A</v>
      </c>
      <c r="T48" s="296" t="e">
        <f t="shared" si="2"/>
        <v>#N/A</v>
      </c>
      <c r="U48" s="297" t="e">
        <f t="shared" si="3"/>
        <v>#N/A</v>
      </c>
      <c r="V48" s="297" t="e">
        <f t="shared" si="4"/>
        <v>#N/A</v>
      </c>
      <c r="W48" s="297" t="e">
        <f t="shared" si="5"/>
        <v>#N/A</v>
      </c>
      <c r="X48" s="297" t="e">
        <f t="shared" si="6"/>
        <v>#N/A</v>
      </c>
      <c r="Y48" s="297" t="e">
        <f t="shared" si="7"/>
        <v>#N/A</v>
      </c>
      <c r="Z48" s="296" t="e">
        <f t="shared" si="8"/>
        <v>#N/A</v>
      </c>
      <c r="BC48" s="44"/>
      <c r="BD48" s="44"/>
    </row>
    <row r="49" spans="2:57" ht="15">
      <c r="B49" s="516"/>
      <c r="C49" s="349"/>
      <c r="D49" s="554"/>
      <c r="E49" s="555"/>
      <c r="F49" s="294"/>
      <c r="G49" s="42"/>
      <c r="H49" s="41"/>
      <c r="I49" s="42"/>
      <c r="J49" s="291" t="s">
        <v>149</v>
      </c>
      <c r="K49" s="324"/>
      <c r="L49" s="294"/>
      <c r="M49" s="294"/>
      <c r="N49" s="294"/>
      <c r="O49" s="294"/>
      <c r="P49" s="12"/>
      <c r="BC49" s="44"/>
      <c r="BD49" s="44"/>
    </row>
    <row r="50" spans="2:57" ht="15.75" thickBot="1">
      <c r="B50" s="517"/>
      <c r="C50" s="350"/>
      <c r="D50" s="556"/>
      <c r="E50" s="557"/>
      <c r="F50" s="294"/>
      <c r="G50" s="42"/>
      <c r="H50" s="41"/>
      <c r="I50" s="42"/>
      <c r="J50" s="291" t="s">
        <v>148</v>
      </c>
      <c r="K50" s="324"/>
      <c r="L50" s="294"/>
      <c r="M50" s="294"/>
      <c r="N50" s="294"/>
      <c r="O50" s="294"/>
      <c r="P50" s="12"/>
      <c r="BC50" s="44"/>
      <c r="BD50" s="44"/>
    </row>
    <row r="51" spans="2:57" ht="17.649999999999999" customHeight="1" thickBot="1">
      <c r="B51" s="312" t="s">
        <v>139</v>
      </c>
      <c r="C51" s="313"/>
      <c r="D51" s="550" t="e">
        <f>AVERAGE(D29:E50)</f>
        <v>#DIV/0!</v>
      </c>
      <c r="E51" s="551"/>
      <c r="F51" s="294"/>
      <c r="H51" s="41"/>
      <c r="I51" s="42"/>
      <c r="J51" s="295" t="s">
        <v>134</v>
      </c>
      <c r="K51" s="324"/>
      <c r="L51" s="294"/>
      <c r="M51" s="294"/>
      <c r="N51" s="294"/>
      <c r="O51" s="294"/>
      <c r="P51" s="12"/>
      <c r="BC51" s="44"/>
      <c r="BD51" s="44"/>
    </row>
    <row r="52" spans="2:57" ht="17.649999999999999" customHeight="1">
      <c r="B52" s="363"/>
      <c r="C52" s="364"/>
      <c r="D52" s="365"/>
      <c r="E52" s="365"/>
      <c r="F52" s="294"/>
      <c r="G52" s="42"/>
      <c r="H52" s="41"/>
      <c r="I52" s="42"/>
      <c r="J52" s="295" t="s">
        <v>131</v>
      </c>
      <c r="K52" s="324"/>
      <c r="L52" s="294"/>
      <c r="M52" s="294"/>
      <c r="N52" s="294"/>
      <c r="O52" s="294"/>
      <c r="P52" s="12"/>
      <c r="BC52" s="44"/>
      <c r="BD52" s="44"/>
    </row>
    <row r="53" spans="2:57" ht="15.6" customHeight="1">
      <c r="B53" s="45"/>
      <c r="C53" s="11"/>
      <c r="D53" s="11"/>
      <c r="E53" s="46"/>
      <c r="F53" s="294"/>
      <c r="G53" s="42"/>
      <c r="H53" s="41"/>
      <c r="I53" s="42"/>
      <c r="J53" s="346" t="s">
        <v>130</v>
      </c>
      <c r="K53" s="324">
        <f>SUM(K43:K52)</f>
        <v>9</v>
      </c>
      <c r="L53" s="294"/>
      <c r="M53" s="294"/>
      <c r="N53" s="294"/>
      <c r="O53" s="294"/>
      <c r="P53" s="12"/>
    </row>
    <row r="54" spans="2:57" ht="20.25" customHeight="1">
      <c r="B54" s="15" t="s">
        <v>42</v>
      </c>
      <c r="C54" s="1" t="s">
        <v>43</v>
      </c>
      <c r="D54" s="1"/>
      <c r="E54" s="1"/>
      <c r="F54" s="294"/>
      <c r="G54" s="42"/>
      <c r="H54" s="41"/>
      <c r="I54" s="42"/>
      <c r="L54" s="294"/>
      <c r="N54" s="315"/>
      <c r="P54" s="334"/>
    </row>
    <row r="55" spans="2:57" ht="15" customHeight="1" thickBot="1"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1"/>
      <c r="O55" s="48"/>
      <c r="P55" s="49"/>
    </row>
    <row r="56" spans="2:57" ht="15" customHeight="1" thickBot="1">
      <c r="B56" s="480" t="s">
        <v>17</v>
      </c>
      <c r="C56" s="480" t="s">
        <v>44</v>
      </c>
      <c r="D56" s="492" t="s">
        <v>45</v>
      </c>
      <c r="E56" s="494" t="s">
        <v>46</v>
      </c>
      <c r="F56" s="488" t="s">
        <v>47</v>
      </c>
      <c r="G56" s="478" t="s">
        <v>48</v>
      </c>
      <c r="H56" s="480" t="s">
        <v>49</v>
      </c>
      <c r="I56" s="480" t="s">
        <v>50</v>
      </c>
      <c r="J56" s="472" t="s">
        <v>28</v>
      </c>
      <c r="K56" s="484" t="s">
        <v>51</v>
      </c>
      <c r="L56" s="486" t="s">
        <v>52</v>
      </c>
      <c r="M56" s="472" t="s">
        <v>53</v>
      </c>
      <c r="N56" s="13"/>
      <c r="O56" s="13"/>
      <c r="P56" s="50"/>
    </row>
    <row r="57" spans="2:57" ht="28.5" customHeight="1" thickTop="1" thickBot="1">
      <c r="B57" s="481"/>
      <c r="C57" s="481"/>
      <c r="D57" s="493"/>
      <c r="E57" s="495"/>
      <c r="F57" s="489"/>
      <c r="G57" s="479"/>
      <c r="H57" s="481"/>
      <c r="I57" s="481"/>
      <c r="J57" s="473"/>
      <c r="K57" s="485"/>
      <c r="L57" s="487"/>
      <c r="M57" s="473"/>
      <c r="N57" s="13"/>
      <c r="O57" s="13"/>
      <c r="P57" s="50"/>
      <c r="Q57" s="355"/>
      <c r="AB57" s="51">
        <v>43474</v>
      </c>
      <c r="AC57" s="51">
        <v>43475</v>
      </c>
      <c r="AD57" s="51">
        <v>43476</v>
      </c>
      <c r="AE57" s="51">
        <v>43477</v>
      </c>
      <c r="AF57" s="51">
        <v>43478</v>
      </c>
      <c r="AG57" s="51">
        <v>43479</v>
      </c>
      <c r="AH57" s="51">
        <v>43480</v>
      </c>
      <c r="AI57" s="51">
        <v>43481</v>
      </c>
      <c r="AJ57" s="51">
        <v>43482</v>
      </c>
      <c r="AK57" s="51">
        <v>43483</v>
      </c>
      <c r="AL57" s="51">
        <v>43484</v>
      </c>
      <c r="AM57" s="51">
        <v>43485</v>
      </c>
      <c r="AN57" s="51">
        <v>43486</v>
      </c>
      <c r="AO57" s="51">
        <v>43487</v>
      </c>
      <c r="AP57" s="51">
        <v>43488</v>
      </c>
      <c r="AQ57" s="51">
        <v>43489</v>
      </c>
      <c r="AR57" s="51">
        <v>43490</v>
      </c>
      <c r="AS57" s="51">
        <v>43491</v>
      </c>
      <c r="AT57" s="51">
        <v>43492</v>
      </c>
      <c r="AU57" s="51">
        <v>43493</v>
      </c>
      <c r="AV57" s="51">
        <v>43494</v>
      </c>
      <c r="AW57" s="51">
        <v>43495</v>
      </c>
      <c r="AX57" s="51">
        <v>43496</v>
      </c>
    </row>
    <row r="58" spans="2:57" s="54" customFormat="1" ht="59.45" customHeight="1" thickBot="1">
      <c r="B58" s="467" t="str">
        <f>'Sept 12th '!J46</f>
        <v>VITAMALT</v>
      </c>
      <c r="C58" s="442">
        <v>45911</v>
      </c>
      <c r="D58" s="443">
        <f>[39]September_2025!$N$65</f>
        <v>187.5</v>
      </c>
      <c r="E58" s="444">
        <f>SUM([41]VITAMALT!$J$6,[41]VITAMALT!$J$10)</f>
        <v>8.1999999999999993</v>
      </c>
      <c r="F58" s="445"/>
      <c r="G58" s="446">
        <f>[39]September_2025!$N$70</f>
        <v>188</v>
      </c>
      <c r="H58" s="429"/>
      <c r="I58" s="429"/>
      <c r="J58" s="449" t="s">
        <v>150</v>
      </c>
      <c r="K58" s="450">
        <f>[40]September_2025!$N$60</f>
        <v>0.6596491228070176</v>
      </c>
      <c r="L58" s="464">
        <f>(((D58+E58)-G58)/(D58+E58))*100</f>
        <v>3.9345937659683132</v>
      </c>
      <c r="M58" s="457" t="s">
        <v>181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[20]January_2019!L7</f>
        <v>285.8</v>
      </c>
      <c r="AC58" s="57">
        <f>[20]January_2019!M7</f>
        <v>508.1</v>
      </c>
      <c r="AD58" s="57">
        <f>[20]January_2019!N7</f>
        <v>0</v>
      </c>
      <c r="AE58" s="57">
        <f>[20]January_2019!O7</f>
        <v>0</v>
      </c>
      <c r="AF58" s="57">
        <f>[20]January_2019!P7</f>
        <v>109.56666666666666</v>
      </c>
      <c r="AG58" s="57">
        <f>[20]January_2019!Q7</f>
        <v>297.64999999999998</v>
      </c>
      <c r="AH58" s="57">
        <f>[20]January_2019!R7</f>
        <v>122.3</v>
      </c>
      <c r="AI58" s="57">
        <f>[20]January_2019!S7</f>
        <v>0</v>
      </c>
      <c r="AJ58" s="57">
        <f>[20]January_2019!T7</f>
        <v>294.7</v>
      </c>
      <c r="AK58" s="57">
        <f>[20]January_2019!U7</f>
        <v>280.5</v>
      </c>
      <c r="AL58" s="57">
        <f>[20]January_2019!V7</f>
        <v>0</v>
      </c>
      <c r="AM58" s="57">
        <f>[20]January_2019!W7</f>
        <v>0</v>
      </c>
      <c r="AN58" s="57">
        <f>[20]January_2019!X7</f>
        <v>188.25</v>
      </c>
      <c r="AO58" s="57">
        <f>[20]January_2019!Y7</f>
        <v>295.7</v>
      </c>
      <c r="AP58" s="57">
        <f>[20]January_2019!Z7</f>
        <v>257.8</v>
      </c>
      <c r="AQ58" s="57">
        <f>[20]January_2019!AA7</f>
        <v>291.2</v>
      </c>
      <c r="AR58" s="57">
        <f>[20]January_2019!AB7</f>
        <v>187</v>
      </c>
      <c r="AS58" s="57">
        <f>[20]January_2019!AC7</f>
        <v>0</v>
      </c>
      <c r="AT58" s="57">
        <f>[20]January_2019!AD7</f>
        <v>0</v>
      </c>
      <c r="AU58" s="57">
        <f>[20]January_2019!AE7</f>
        <v>485.1</v>
      </c>
      <c r="AV58" s="57">
        <f>[20]January_2019!AF7</f>
        <v>171.55</v>
      </c>
      <c r="AW58" s="57">
        <f>[20]January_2019!AG7</f>
        <v>423.8</v>
      </c>
      <c r="AX58" s="277">
        <f>[20]January_2019!AH7</f>
        <v>0</v>
      </c>
      <c r="AY58" s="277"/>
      <c r="AZ58" s="277"/>
      <c r="BA58" s="277"/>
      <c r="BB58" s="277"/>
      <c r="BC58" s="277"/>
      <c r="BD58" s="277"/>
      <c r="BE58" s="277"/>
    </row>
    <row r="59" spans="2:57" s="54" customFormat="1" ht="20.45" hidden="1" customHeight="1" thickBot="1">
      <c r="B59" s="459"/>
      <c r="C59" s="431"/>
      <c r="D59" s="432"/>
      <c r="E59" s="433"/>
      <c r="F59" s="434"/>
      <c r="G59" s="435"/>
      <c r="H59" s="429"/>
      <c r="I59" s="429"/>
      <c r="J59" s="452"/>
      <c r="K59" s="437"/>
      <c r="L59" s="453"/>
      <c r="M59" s="422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59.45" hidden="1" customHeight="1" thickBot="1">
      <c r="B60" s="460"/>
      <c r="C60" s="442"/>
      <c r="D60" s="443"/>
      <c r="E60" s="444"/>
      <c r="F60" s="445"/>
      <c r="G60" s="446"/>
      <c r="H60" s="429"/>
      <c r="I60" s="429"/>
      <c r="J60" s="449"/>
      <c r="K60" s="450"/>
      <c r="L60" s="458"/>
      <c r="M60" s="457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5" hidden="1">
      <c r="B61" s="454"/>
      <c r="C61" s="431"/>
      <c r="D61" s="432"/>
      <c r="E61" s="433"/>
      <c r="F61" s="434"/>
      <c r="G61" s="435"/>
      <c r="H61" s="436"/>
      <c r="I61" s="451"/>
      <c r="J61" s="452"/>
      <c r="K61" s="437"/>
      <c r="L61" s="453"/>
      <c r="M61" s="422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6.6" hidden="1" customHeight="1" thickBot="1">
      <c r="B62" s="387"/>
      <c r="C62" s="442"/>
      <c r="D62" s="443"/>
      <c r="E62" s="444"/>
      <c r="F62" s="445"/>
      <c r="G62" s="446"/>
      <c r="H62" s="447"/>
      <c r="I62" s="448"/>
      <c r="J62" s="449" t="s">
        <v>163</v>
      </c>
      <c r="K62" s="450"/>
      <c r="L62" s="455" t="e">
        <f>(((D62+E62)-G62)/(D62+E62))*100</f>
        <v>#DIV/0!</v>
      </c>
      <c r="M62" s="456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16.5" hidden="1" customHeight="1" thickBot="1">
      <c r="B63" s="438"/>
      <c r="C63" s="424"/>
      <c r="D63" s="425"/>
      <c r="E63" s="426"/>
      <c r="F63" s="427"/>
      <c r="G63" s="428"/>
      <c r="H63" s="429"/>
      <c r="I63" s="439"/>
      <c r="J63" s="440"/>
      <c r="K63" s="430"/>
      <c r="L63" s="441"/>
      <c r="M63" s="423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415"/>
      <c r="AC63" s="415"/>
      <c r="AD63" s="415"/>
      <c r="AE63" s="415"/>
      <c r="AF63" s="415"/>
      <c r="AG63" s="415"/>
      <c r="AH63" s="415"/>
      <c r="AI63" s="415"/>
      <c r="AJ63" s="415"/>
      <c r="AK63" s="415"/>
      <c r="AL63" s="415"/>
      <c r="AM63" s="415"/>
      <c r="AN63" s="415"/>
      <c r="AO63" s="415"/>
      <c r="AP63" s="415"/>
      <c r="AQ63" s="415"/>
      <c r="AR63" s="415"/>
      <c r="AS63" s="415"/>
      <c r="AT63" s="415"/>
      <c r="AU63" s="415"/>
      <c r="AV63" s="415"/>
      <c r="AW63" s="415"/>
    </row>
    <row r="64" spans="2:57" ht="18" customHeight="1" thickBot="1">
      <c r="B64" s="59"/>
      <c r="C64" s="30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 t="s">
        <v>41</v>
      </c>
      <c r="O64" s="56"/>
      <c r="P64" s="60"/>
    </row>
    <row r="65" spans="2:16" ht="15.75" thickBot="1">
      <c r="B65" s="474" t="s">
        <v>55</v>
      </c>
      <c r="C65" s="475"/>
      <c r="D65" s="475"/>
      <c r="E65" s="475"/>
      <c r="F65" s="476"/>
      <c r="G65" s="474" t="s">
        <v>56</v>
      </c>
      <c r="H65" s="475"/>
      <c r="I65" s="475"/>
      <c r="J65" s="476"/>
      <c r="K65" s="474" t="s">
        <v>51</v>
      </c>
      <c r="L65" s="475"/>
      <c r="M65" s="475"/>
      <c r="N65" s="477"/>
      <c r="O65" s="56"/>
      <c r="P65" s="50"/>
    </row>
    <row r="66" spans="2:16" ht="15">
      <c r="B66" s="61" t="s">
        <v>17</v>
      </c>
      <c r="C66" s="62" t="s">
        <v>36</v>
      </c>
      <c r="D66" s="62" t="s">
        <v>37</v>
      </c>
      <c r="E66" s="62" t="s">
        <v>38</v>
      </c>
      <c r="F66" s="63" t="s">
        <v>39</v>
      </c>
      <c r="G66" s="62" t="s">
        <v>36</v>
      </c>
      <c r="H66" s="62" t="s">
        <v>37</v>
      </c>
      <c r="I66" s="62" t="s">
        <v>38</v>
      </c>
      <c r="J66" s="63" t="s">
        <v>39</v>
      </c>
      <c r="K66" s="62" t="s">
        <v>36</v>
      </c>
      <c r="L66" s="62" t="s">
        <v>37</v>
      </c>
      <c r="M66" s="62" t="s">
        <v>38</v>
      </c>
      <c r="N66" s="63" t="s">
        <v>39</v>
      </c>
      <c r="O66" s="56"/>
      <c r="P66" s="64"/>
    </row>
    <row r="67" spans="2:16" ht="15">
      <c r="B67" s="29" t="s">
        <v>6</v>
      </c>
      <c r="C67" s="65"/>
      <c r="D67" s="76"/>
      <c r="E67" s="76"/>
      <c r="F67" s="66">
        <v>4.8</v>
      </c>
      <c r="G67" s="65"/>
      <c r="H67" s="76"/>
      <c r="I67" s="76"/>
      <c r="J67" s="66">
        <v>4.8</v>
      </c>
      <c r="K67" s="67"/>
      <c r="L67" s="194"/>
      <c r="M67" s="194"/>
      <c r="N67" s="68">
        <v>1</v>
      </c>
      <c r="O67" s="56"/>
      <c r="P67" s="69"/>
    </row>
    <row r="68" spans="2:16" ht="15">
      <c r="B68" s="33" t="s">
        <v>9</v>
      </c>
      <c r="C68" s="65"/>
      <c r="D68" s="76"/>
      <c r="E68" s="76"/>
      <c r="F68" s="66">
        <v>4.8</v>
      </c>
      <c r="G68" s="65"/>
      <c r="H68" s="76"/>
      <c r="I68" s="76"/>
      <c r="J68" s="66">
        <v>4.8</v>
      </c>
      <c r="K68" s="67"/>
      <c r="L68" s="194"/>
      <c r="M68" s="194"/>
      <c r="N68" s="68">
        <v>1</v>
      </c>
      <c r="P68" s="69"/>
    </row>
    <row r="69" spans="2:16" ht="15">
      <c r="B69" s="34" t="s">
        <v>40</v>
      </c>
      <c r="C69" s="65"/>
      <c r="D69" s="76"/>
      <c r="E69" s="76"/>
      <c r="F69" s="66">
        <v>5.5</v>
      </c>
      <c r="G69" s="65"/>
      <c r="H69" s="76"/>
      <c r="I69" s="76"/>
      <c r="J69" s="66">
        <v>5.5</v>
      </c>
      <c r="K69" s="67"/>
      <c r="L69" s="194"/>
      <c r="M69" s="194"/>
      <c r="N69" s="68">
        <v>1</v>
      </c>
      <c r="P69" s="69"/>
    </row>
    <row r="70" spans="2:16" ht="15">
      <c r="B70" s="22" t="s">
        <v>33</v>
      </c>
      <c r="C70" s="65">
        <f>L58</f>
        <v>3.9345937659683132</v>
      </c>
      <c r="D70" s="76"/>
      <c r="E70" s="76"/>
      <c r="F70" s="66">
        <v>3.3</v>
      </c>
      <c r="G70" s="65">
        <f>[39]September_2025!$N$74</f>
        <v>2.8690627805348297</v>
      </c>
      <c r="H70" s="76"/>
      <c r="I70" s="76"/>
      <c r="J70" s="66">
        <v>3.3</v>
      </c>
      <c r="K70" s="67">
        <f>K58</f>
        <v>0.6596491228070176</v>
      </c>
      <c r="L70" s="194"/>
      <c r="M70" s="194"/>
      <c r="N70" s="68">
        <v>1</v>
      </c>
      <c r="P70" s="69"/>
    </row>
    <row r="71" spans="2:16" ht="15">
      <c r="B71" s="35" t="s">
        <v>165</v>
      </c>
      <c r="C71" s="65"/>
      <c r="D71" s="76"/>
      <c r="E71" s="76"/>
      <c r="F71" s="66">
        <v>3.3</v>
      </c>
      <c r="G71" s="282"/>
      <c r="H71" s="76"/>
      <c r="I71" s="76"/>
      <c r="J71" s="66">
        <v>3</v>
      </c>
      <c r="K71" s="67"/>
      <c r="L71" s="194"/>
      <c r="M71" s="194"/>
      <c r="N71" s="68">
        <v>1</v>
      </c>
      <c r="P71" s="69"/>
    </row>
    <row r="72" spans="2:16" ht="15">
      <c r="B72" s="36" t="s">
        <v>15</v>
      </c>
      <c r="C72" s="65"/>
      <c r="D72" s="76"/>
      <c r="E72" s="76"/>
      <c r="F72" s="70">
        <f>[21]May_2022!$M$43</f>
        <v>3.4878406700073312</v>
      </c>
      <c r="G72" s="282"/>
      <c r="H72" s="76"/>
      <c r="I72" s="76"/>
      <c r="J72" s="66">
        <v>5.5</v>
      </c>
      <c r="K72" s="67"/>
      <c r="L72" s="194"/>
      <c r="M72" s="194"/>
      <c r="N72" s="68">
        <v>1</v>
      </c>
      <c r="P72" s="69"/>
    </row>
    <row r="73" spans="2:16" ht="15">
      <c r="B73" s="37" t="s">
        <v>16</v>
      </c>
      <c r="C73" s="65"/>
      <c r="D73" s="76"/>
      <c r="E73" s="76"/>
      <c r="F73" s="66">
        <v>3.3</v>
      </c>
      <c r="G73" s="282"/>
      <c r="H73" s="76"/>
      <c r="I73" s="76"/>
      <c r="J73" s="66">
        <v>3.3</v>
      </c>
      <c r="K73" s="67"/>
      <c r="L73" s="194"/>
      <c r="M73" s="194"/>
      <c r="N73" s="71">
        <v>1</v>
      </c>
      <c r="P73" s="69"/>
    </row>
    <row r="74" spans="2:16" ht="15.75" thickBot="1">
      <c r="B74" s="38" t="s">
        <v>164</v>
      </c>
      <c r="C74" s="65"/>
      <c r="D74" s="76"/>
      <c r="E74" s="76"/>
      <c r="F74" s="66">
        <v>7.5</v>
      </c>
      <c r="G74" s="282"/>
      <c r="H74" s="76"/>
      <c r="I74" s="76"/>
      <c r="J74" s="66">
        <v>7.5</v>
      </c>
      <c r="K74" s="67"/>
      <c r="M74" s="194"/>
      <c r="N74" s="71">
        <v>1</v>
      </c>
      <c r="P74" s="69"/>
    </row>
    <row r="75" spans="2:16" ht="15.75" thickBot="1">
      <c r="B75" s="414" t="s">
        <v>161</v>
      </c>
      <c r="C75" s="65"/>
      <c r="D75" s="76"/>
      <c r="E75" s="76"/>
      <c r="F75" s="66">
        <v>4.8</v>
      </c>
      <c r="G75" s="282"/>
      <c r="H75" s="76"/>
      <c r="I75" s="76"/>
      <c r="J75" s="66">
        <v>4.8</v>
      </c>
      <c r="K75" s="67"/>
      <c r="L75" s="194"/>
      <c r="M75" s="194"/>
      <c r="N75" s="71">
        <v>1</v>
      </c>
      <c r="O75" s="74"/>
      <c r="P75" s="75"/>
    </row>
    <row r="76" spans="2:16" ht="15">
      <c r="D76" s="76"/>
      <c r="E76" s="76"/>
      <c r="F76" s="341">
        <v>5.5</v>
      </c>
      <c r="H76" s="76"/>
      <c r="I76" s="76"/>
      <c r="J76" s="341">
        <v>5.5</v>
      </c>
      <c r="L76" s="194"/>
      <c r="M76" s="194"/>
      <c r="N76" s="386">
        <v>1</v>
      </c>
    </row>
    <row r="80" spans="2:16">
      <c r="F80" s="315"/>
    </row>
    <row r="81" spans="6:6" ht="15">
      <c r="F81" s="341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7:N27"/>
    <mergeCell ref="D28:E28"/>
    <mergeCell ref="B29:B40"/>
    <mergeCell ref="D29:E30"/>
    <mergeCell ref="D31:E32"/>
    <mergeCell ref="D33:E34"/>
    <mergeCell ref="D35:E36"/>
    <mergeCell ref="D37:E38"/>
    <mergeCell ref="D39:E40"/>
    <mergeCell ref="B41:B50"/>
    <mergeCell ref="D41:E42"/>
    <mergeCell ref="J41:K41"/>
    <mergeCell ref="L42:N42"/>
    <mergeCell ref="D43:E44"/>
    <mergeCell ref="D45:E46"/>
    <mergeCell ref="D47:E48"/>
    <mergeCell ref="D49:E50"/>
    <mergeCell ref="D51:E51"/>
    <mergeCell ref="B56:B57"/>
    <mergeCell ref="C56:C57"/>
    <mergeCell ref="D56:D57"/>
    <mergeCell ref="E56:E57"/>
    <mergeCell ref="M56:M57"/>
    <mergeCell ref="B65:F65"/>
    <mergeCell ref="G65:J65"/>
    <mergeCell ref="K65:N65"/>
    <mergeCell ref="G56:G57"/>
    <mergeCell ref="H56:H57"/>
    <mergeCell ref="I56:I57"/>
    <mergeCell ref="J56:J57"/>
    <mergeCell ref="K56:K57"/>
    <mergeCell ref="L56:L57"/>
    <mergeCell ref="F56:F57"/>
  </mergeCells>
  <conditionalFormatting sqref="B51:B52">
    <cfRule type="cellIs" dxfId="2228" priority="154" operator="notBetween">
      <formula>#REF!</formula>
      <formula>#REF!</formula>
    </cfRule>
  </conditionalFormatting>
  <conditionalFormatting sqref="C55">
    <cfRule type="cellIs" dxfId="2227" priority="186" stopIfTrue="1" operator="greaterThan">
      <formula>100</formula>
    </cfRule>
    <cfRule type="cellIs" dxfId="2226" priority="185" stopIfTrue="1" operator="lessThan">
      <formula>96</formula>
    </cfRule>
  </conditionalFormatting>
  <conditionalFormatting sqref="C67:C68">
    <cfRule type="cellIs" dxfId="2225" priority="189" stopIfTrue="1" operator="greaterThan">
      <formula>$F67</formula>
    </cfRule>
    <cfRule type="cellIs" dxfId="2224" priority="191" stopIfTrue="1" operator="greaterThan">
      <formula>$F68</formula>
    </cfRule>
  </conditionalFormatting>
  <conditionalFormatting sqref="C67:C71">
    <cfRule type="cellIs" dxfId="2223" priority="135" stopIfTrue="1" operator="lessThanOrEqual">
      <formula>0</formula>
    </cfRule>
  </conditionalFormatting>
  <conditionalFormatting sqref="C68:C75">
    <cfRule type="cellIs" dxfId="2222" priority="134" stopIfTrue="1" operator="greaterThan">
      <formula>$F68</formula>
    </cfRule>
  </conditionalFormatting>
  <conditionalFormatting sqref="C72">
    <cfRule type="cellIs" dxfId="2221" priority="60" stopIfTrue="1" operator="greaterThan">
      <formula>$F71</formula>
    </cfRule>
    <cfRule type="cellIs" dxfId="2220" priority="59" stopIfTrue="1" operator="lessThanOrEqual">
      <formula>0</formula>
    </cfRule>
  </conditionalFormatting>
  <conditionalFormatting sqref="C78:C82">
    <cfRule type="cellIs" dxfId="2219" priority="177" stopIfTrue="1" operator="lessThanOrEqual">
      <formula>0</formula>
    </cfRule>
  </conditionalFormatting>
  <conditionalFormatting sqref="C79:C82">
    <cfRule type="cellIs" dxfId="2218" priority="176" stopIfTrue="1" operator="greaterThan">
      <formula>$F$78</formula>
    </cfRule>
  </conditionalFormatting>
  <conditionalFormatting sqref="C84">
    <cfRule type="cellIs" dxfId="2217" priority="179" stopIfTrue="1" operator="lessThanOrEqual">
      <formula>0</formula>
    </cfRule>
    <cfRule type="cellIs" dxfId="2216" priority="178" stopIfTrue="1" operator="greaterThan">
      <formula>$F$78</formula>
    </cfRule>
  </conditionalFormatting>
  <conditionalFormatting sqref="C78:D78 D80:D86">
    <cfRule type="cellIs" dxfId="2215" priority="171" stopIfTrue="1" operator="greaterThan">
      <formula>4.5</formula>
    </cfRule>
  </conditionalFormatting>
  <conditionalFormatting sqref="D51:D52">
    <cfRule type="cellIs" dxfId="2214" priority="155" operator="notBetween">
      <formula>#REF!</formula>
      <formula>#REF!</formula>
    </cfRule>
  </conditionalFormatting>
  <conditionalFormatting sqref="D67:D74">
    <cfRule type="cellIs" dxfId="2213" priority="149" stopIfTrue="1" operator="lessThanOrEqual">
      <formula>0</formula>
    </cfRule>
  </conditionalFormatting>
  <conditionalFormatting sqref="D75">
    <cfRule type="cellIs" dxfId="2212" priority="148" stopIfTrue="1" operator="lessThanOrEqual">
      <formula>0</formula>
    </cfRule>
  </conditionalFormatting>
  <conditionalFormatting sqref="D78 D80:D86">
    <cfRule type="cellIs" dxfId="2211" priority="172" stopIfTrue="1" operator="lessThanOrEqual">
      <formula>0</formula>
    </cfRule>
  </conditionalFormatting>
  <conditionalFormatting sqref="D79">
    <cfRule type="cellIs" dxfId="2210" priority="164" stopIfTrue="1" operator="lessThanOrEqual">
      <formula>0</formula>
    </cfRule>
    <cfRule type="cellIs" dxfId="2209" priority="163" stopIfTrue="1" operator="greaterThan">
      <formula>$F$78</formula>
    </cfRule>
  </conditionalFormatting>
  <conditionalFormatting sqref="D67:E76">
    <cfRule type="cellIs" dxfId="2208" priority="132" stopIfTrue="1" operator="greaterThan">
      <formula>$F67</formula>
    </cfRule>
  </conditionalFormatting>
  <conditionalFormatting sqref="D76:E76">
    <cfRule type="cellIs" dxfId="2207" priority="133" stopIfTrue="1" operator="lessThanOrEqual">
      <formula>0</formula>
    </cfRule>
  </conditionalFormatting>
  <conditionalFormatting sqref="E10:E26">
    <cfRule type="cellIs" dxfId="2206" priority="29" operator="lessThan">
      <formula>48</formula>
    </cfRule>
  </conditionalFormatting>
  <conditionalFormatting sqref="E54 E55:F55">
    <cfRule type="cellIs" dxfId="2205" priority="168" stopIfTrue="1" operator="greaterThan">
      <formula>100</formula>
    </cfRule>
  </conditionalFormatting>
  <conditionalFormatting sqref="E55">
    <cfRule type="cellIs" dxfId="2204" priority="166" stopIfTrue="1" operator="greaterThan">
      <formula>100</formula>
    </cfRule>
    <cfRule type="cellIs" dxfId="2203" priority="165" stopIfTrue="1" operator="lessThan">
      <formula>96.8</formula>
    </cfRule>
  </conditionalFormatting>
  <conditionalFormatting sqref="E67:E75">
    <cfRule type="cellIs" dxfId="2202" priority="143" stopIfTrue="1" operator="lessThanOrEqual">
      <formula>0</formula>
    </cfRule>
  </conditionalFormatting>
  <conditionalFormatting sqref="E78:E86">
    <cfRule type="cellIs" dxfId="2201" priority="157" stopIfTrue="1" operator="greaterThan">
      <formula>4.5</formula>
    </cfRule>
    <cfRule type="cellIs" dxfId="2200" priority="158" stopIfTrue="1" operator="lessThanOrEqual">
      <formula>0</formula>
    </cfRule>
  </conditionalFormatting>
  <conditionalFormatting sqref="E55:F55 E54">
    <cfRule type="cellIs" dxfId="2199" priority="167" stopIfTrue="1" operator="lessThan">
      <formula>96.5</formula>
    </cfRule>
  </conditionalFormatting>
  <conditionalFormatting sqref="F10:F25">
    <cfRule type="cellIs" dxfId="2198" priority="43" operator="greaterThan">
      <formula>60</formula>
    </cfRule>
  </conditionalFormatting>
  <conditionalFormatting sqref="F55">
    <cfRule type="cellIs" dxfId="2197" priority="183" stopIfTrue="1" operator="lessThan">
      <formula>96.8</formula>
    </cfRule>
    <cfRule type="cellIs" dxfId="2196" priority="184" stopIfTrue="1" operator="greaterThan">
      <formula>100</formula>
    </cfRule>
  </conditionalFormatting>
  <conditionalFormatting sqref="F76">
    <cfRule type="cellIs" dxfId="2195" priority="144" stopIfTrue="1" operator="greaterThan">
      <formula>$F76</formula>
    </cfRule>
    <cfRule type="cellIs" dxfId="2194" priority="145" stopIfTrue="1" operator="lessThanOrEqual">
      <formula>0</formula>
    </cfRule>
  </conditionalFormatting>
  <conditionalFormatting sqref="F81">
    <cfRule type="cellIs" dxfId="2193" priority="103" stopIfTrue="1" operator="greaterThan">
      <formula>$F81</formula>
    </cfRule>
    <cfRule type="cellIs" dxfId="2192" priority="104" stopIfTrue="1" operator="lessThanOrEqual">
      <formula>0</formula>
    </cfRule>
  </conditionalFormatting>
  <conditionalFormatting sqref="G10:G13 G21:G24 G26">
    <cfRule type="expression" dxfId="2191" priority="38">
      <formula>IF(+(IF(G10&lt;S10,0,IF(G10&gt;T10,0,1)))=0,1)</formula>
    </cfRule>
  </conditionalFormatting>
  <conditionalFormatting sqref="G67:G68 C73:C75">
    <cfRule type="cellIs" dxfId="2190" priority="151" stopIfTrue="1" operator="lessThanOrEqual">
      <formula>0</formula>
    </cfRule>
  </conditionalFormatting>
  <conditionalFormatting sqref="G67:G68">
    <cfRule type="cellIs" dxfId="2189" priority="150" stopIfTrue="1" operator="greaterThan">
      <formula>$F67</formula>
    </cfRule>
    <cfRule type="cellIs" dxfId="2188" priority="137" stopIfTrue="1" operator="lessThanOrEqual">
      <formula>0</formula>
    </cfRule>
    <cfRule type="cellIs" dxfId="2187" priority="136" stopIfTrue="1" operator="greaterThan">
      <formula>$F67</formula>
    </cfRule>
  </conditionalFormatting>
  <conditionalFormatting sqref="G69">
    <cfRule type="cellIs" dxfId="2186" priority="188" stopIfTrue="1" operator="lessThanOrEqual">
      <formula>0</formula>
    </cfRule>
    <cfRule type="cellIs" dxfId="2185" priority="187" stopIfTrue="1" operator="greaterThan">
      <formula>$F68</formula>
    </cfRule>
  </conditionalFormatting>
  <conditionalFormatting sqref="G70">
    <cfRule type="cellIs" dxfId="2184" priority="147" stopIfTrue="1" operator="lessThanOrEqual">
      <formula>0</formula>
    </cfRule>
    <cfRule type="cellIs" dxfId="2183" priority="146" stopIfTrue="1" operator="greaterThan">
      <formula>$F70</formula>
    </cfRule>
  </conditionalFormatting>
  <conditionalFormatting sqref="G71:G75">
    <cfRule type="cellIs" dxfId="2182" priority="153" stopIfTrue="1" operator="lessThanOrEqual">
      <formula>0</formula>
    </cfRule>
    <cfRule type="cellIs" dxfId="2181" priority="152" stopIfTrue="1" operator="greaterThan">
      <formula>$J71</formula>
    </cfRule>
  </conditionalFormatting>
  <conditionalFormatting sqref="G80:G85 C83 C85">
    <cfRule type="cellIs" dxfId="2180" priority="181" stopIfTrue="1" operator="lessThanOrEqual">
      <formula>0</formula>
    </cfRule>
    <cfRule type="cellIs" dxfId="2179" priority="180" stopIfTrue="1" operator="greaterThan">
      <formula>4.5</formula>
    </cfRule>
  </conditionalFormatting>
  <conditionalFormatting sqref="G79:H79">
    <cfRule type="cellIs" dxfId="2178" priority="161" stopIfTrue="1" operator="greaterThan">
      <formula>$F$78</formula>
    </cfRule>
    <cfRule type="cellIs" dxfId="2177" priority="162" stopIfTrue="1" operator="lessThanOrEqual">
      <formula>0</formula>
    </cfRule>
  </conditionalFormatting>
  <conditionalFormatting sqref="H10:H13 G14:H20 H21:H24 G25:H25">
    <cfRule type="expression" dxfId="2176" priority="58">
      <formula>IF(+(IF(G10&lt;#REF!,0,IF(G10&gt;#REF!,0,1)))=0,1)</formula>
    </cfRule>
  </conditionalFormatting>
  <conditionalFormatting sqref="H26">
    <cfRule type="expression" dxfId="2175" priority="39">
      <formula>IF(+(IF(H26&lt;#REF!,0,IF(H26&gt;#REF!,0,1)))=0,1)</formula>
    </cfRule>
  </conditionalFormatting>
  <conditionalFormatting sqref="H40:H54">
    <cfRule type="cellIs" dxfId="2174" priority="159" stopIfTrue="1" operator="greaterThan">
      <formula>0</formula>
    </cfRule>
  </conditionalFormatting>
  <conditionalFormatting sqref="H58">
    <cfRule type="cellIs" dxfId="2173" priority="2" stopIfTrue="1" operator="lessThanOrEqual">
      <formula>0</formula>
    </cfRule>
    <cfRule type="cellIs" dxfId="2172" priority="3" stopIfTrue="1" operator="greaterThan">
      <formula>$F$45</formula>
    </cfRule>
    <cfRule type="cellIs" dxfId="2171" priority="11" stopIfTrue="1" operator="greaterThan">
      <formula>$F$48</formula>
    </cfRule>
    <cfRule type="cellIs" dxfId="2170" priority="13" stopIfTrue="1" operator="greaterThan">
      <formula>$F$46</formula>
    </cfRule>
    <cfRule type="cellIs" dxfId="2169" priority="14" stopIfTrue="1" operator="lessThanOrEqual">
      <formula>0</formula>
    </cfRule>
    <cfRule type="cellIs" dxfId="2168" priority="12" stopIfTrue="1" operator="lessThanOrEqual">
      <formula>0</formula>
    </cfRule>
  </conditionalFormatting>
  <conditionalFormatting sqref="H59">
    <cfRule type="cellIs" dxfId="2167" priority="90" stopIfTrue="1" operator="lessThanOrEqual">
      <formula>0</formula>
    </cfRule>
    <cfRule type="cellIs" dxfId="2166" priority="91" stopIfTrue="1" operator="greaterThan">
      <formula>#REF!</formula>
    </cfRule>
    <cfRule type="cellIs" dxfId="2165" priority="99" stopIfTrue="1" operator="greaterThan">
      <formula>$F$27</formula>
    </cfRule>
    <cfRule type="cellIs" dxfId="2164" priority="100" stopIfTrue="1" operator="lessThanOrEqual">
      <formula>0</formula>
    </cfRule>
    <cfRule type="cellIs" dxfId="2163" priority="101" stopIfTrue="1" operator="greaterThan">
      <formula>#REF!</formula>
    </cfRule>
    <cfRule type="cellIs" dxfId="2162" priority="102" stopIfTrue="1" operator="lessThanOrEqual">
      <formula>0</formula>
    </cfRule>
  </conditionalFormatting>
  <conditionalFormatting sqref="H60">
    <cfRule type="cellIs" dxfId="2161" priority="57" stopIfTrue="1" operator="lessThanOrEqual">
      <formula>0</formula>
    </cfRule>
    <cfRule type="cellIs" dxfId="2160" priority="56" stopIfTrue="1" operator="greaterThan">
      <formula>$F$46</formula>
    </cfRule>
    <cfRule type="cellIs" dxfId="2159" priority="55" stopIfTrue="1" operator="lessThanOrEqual">
      <formula>0</formula>
    </cfRule>
    <cfRule type="cellIs" dxfId="2158" priority="54" stopIfTrue="1" operator="greaterThan">
      <formula>$F$48</formula>
    </cfRule>
    <cfRule type="cellIs" dxfId="2157" priority="45" stopIfTrue="1" operator="lessThanOrEqual">
      <formula>0</formula>
    </cfRule>
    <cfRule type="cellIs" dxfId="2156" priority="46" stopIfTrue="1" operator="greaterThan">
      <formula>$F$45</formula>
    </cfRule>
  </conditionalFormatting>
  <conditionalFormatting sqref="H61:H62">
    <cfRule type="cellIs" dxfId="2155" priority="88" stopIfTrue="1" operator="lessThanOrEqual">
      <formula>0</formula>
    </cfRule>
    <cfRule type="cellIs" dxfId="2154" priority="77" stopIfTrue="1" operator="greaterThan">
      <formula>#REF!</formula>
    </cfRule>
    <cfRule type="cellIs" dxfId="2153" priority="85" stopIfTrue="1" operator="greaterThan">
      <formula>$F$26</formula>
    </cfRule>
    <cfRule type="cellIs" dxfId="2152" priority="86" stopIfTrue="1" operator="lessThanOrEqual">
      <formula>0</formula>
    </cfRule>
    <cfRule type="cellIs" dxfId="2151" priority="76" stopIfTrue="1" operator="lessThanOrEqual">
      <formula>0</formula>
    </cfRule>
    <cfRule type="cellIs" dxfId="2150" priority="87" stopIfTrue="1" operator="greaterThan">
      <formula>#REF!</formula>
    </cfRule>
  </conditionalFormatting>
  <conditionalFormatting sqref="H63">
    <cfRule type="cellIs" dxfId="2149" priority="119" stopIfTrue="1" operator="lessThanOrEqual">
      <formula>0</formula>
    </cfRule>
    <cfRule type="cellIs" dxfId="2148" priority="107" stopIfTrue="1" operator="lessThanOrEqual">
      <formula>0</formula>
    </cfRule>
    <cfRule type="cellIs" dxfId="2147" priority="108" stopIfTrue="1" operator="greaterThan">
      <formula>$F$39</formula>
    </cfRule>
    <cfRule type="cellIs" dxfId="2146" priority="116" stopIfTrue="1" operator="greaterThan">
      <formula>$F$42</formula>
    </cfRule>
    <cfRule type="cellIs" dxfId="2145" priority="117" stopIfTrue="1" operator="lessThanOrEqual">
      <formula>0</formula>
    </cfRule>
    <cfRule type="cellIs" dxfId="2144" priority="118" stopIfTrue="1" operator="greaterThan">
      <formula>$F$40</formula>
    </cfRule>
  </conditionalFormatting>
  <conditionalFormatting sqref="H67:H74">
    <cfRule type="cellIs" dxfId="2143" priority="138" stopIfTrue="1" operator="greaterThan">
      <formula>$J67</formula>
    </cfRule>
    <cfRule type="cellIs" dxfId="2142" priority="139" stopIfTrue="1" operator="lessThanOrEqual">
      <formula>0</formula>
    </cfRule>
  </conditionalFormatting>
  <conditionalFormatting sqref="H75">
    <cfRule type="cellIs" dxfId="2141" priority="140" operator="greaterThan">
      <formula>5.3</formula>
    </cfRule>
  </conditionalFormatting>
  <conditionalFormatting sqref="H78 H80:H86">
    <cfRule type="cellIs" dxfId="2140" priority="174" stopIfTrue="1" operator="lessThanOrEqual">
      <formula>0</formula>
    </cfRule>
    <cfRule type="cellIs" dxfId="2139" priority="173" stopIfTrue="1" operator="greaterThan">
      <formula>4.5</formula>
    </cfRule>
  </conditionalFormatting>
  <conditionalFormatting sqref="H58:I58">
    <cfRule type="cellIs" dxfId="2138" priority="1" stopIfTrue="1" operator="greaterThan">
      <formula>$F$47</formula>
    </cfRule>
    <cfRule type="cellIs" dxfId="2137" priority="4" stopIfTrue="1" operator="lessThanOrEqual">
      <formula>0</formula>
    </cfRule>
  </conditionalFormatting>
  <conditionalFormatting sqref="H59:I59">
    <cfRule type="cellIs" dxfId="2136" priority="92" stopIfTrue="1" operator="lessThanOrEqual">
      <formula>0</formula>
    </cfRule>
    <cfRule type="cellIs" dxfId="2135" priority="89" stopIfTrue="1" operator="greaterThan">
      <formula>$F$26</formula>
    </cfRule>
  </conditionalFormatting>
  <conditionalFormatting sqref="H60:I60">
    <cfRule type="cellIs" dxfId="2134" priority="44" stopIfTrue="1" operator="greaterThan">
      <formula>$F$47</formula>
    </cfRule>
    <cfRule type="cellIs" dxfId="2133" priority="47" stopIfTrue="1" operator="lessThanOrEqual">
      <formula>0</formula>
    </cfRule>
  </conditionalFormatting>
  <conditionalFormatting sqref="H61:I62">
    <cfRule type="cellIs" dxfId="2132" priority="75" stopIfTrue="1" operator="greaterThan">
      <formula>#REF!</formula>
    </cfRule>
    <cfRule type="cellIs" dxfId="2131" priority="78" stopIfTrue="1" operator="lessThanOrEqual">
      <formula>0</formula>
    </cfRule>
  </conditionalFormatting>
  <conditionalFormatting sqref="H63:I63">
    <cfRule type="cellIs" dxfId="2130" priority="109" stopIfTrue="1" operator="lessThanOrEqual">
      <formula>0</formula>
    </cfRule>
    <cfRule type="cellIs" dxfId="2129" priority="106" stopIfTrue="1" operator="greaterThan">
      <formula>$F$41</formula>
    </cfRule>
  </conditionalFormatting>
  <conditionalFormatting sqref="H76:I76">
    <cfRule type="cellIs" dxfId="2128" priority="130" stopIfTrue="1" operator="greaterThan">
      <formula>$J76</formula>
    </cfRule>
    <cfRule type="cellIs" dxfId="2127" priority="131" stopIfTrue="1" operator="lessThanOrEqual">
      <formula>0</formula>
    </cfRule>
  </conditionalFormatting>
  <conditionalFormatting sqref="I58">
    <cfRule type="cellIs" dxfId="2126" priority="8" stopIfTrue="1" operator="lessThanOrEqual">
      <formula>0</formula>
    </cfRule>
    <cfRule type="cellIs" dxfId="2125" priority="9" stopIfTrue="1" operator="greaterThan">
      <formula>$F$45</formula>
    </cfRule>
    <cfRule type="cellIs" dxfId="2124" priority="10" stopIfTrue="1" operator="lessThanOrEqual">
      <formula>0</formula>
    </cfRule>
    <cfRule type="cellIs" dxfId="2123" priority="5" stopIfTrue="1" operator="greaterThan">
      <formula>$F$45</formula>
    </cfRule>
    <cfRule type="cellIs" dxfId="2122" priority="6" stopIfTrue="1" operator="lessThanOrEqual">
      <formula>0</formula>
    </cfRule>
    <cfRule type="cellIs" dxfId="2121" priority="7" stopIfTrue="1" operator="greaterThan">
      <formula>$F$47</formula>
    </cfRule>
  </conditionalFormatting>
  <conditionalFormatting sqref="I59">
    <cfRule type="cellIs" dxfId="2120" priority="96" stopIfTrue="1" operator="lessThanOrEqual">
      <formula>0</formula>
    </cfRule>
    <cfRule type="cellIs" dxfId="2119" priority="95" stopIfTrue="1" operator="greaterThan">
      <formula>$F$26</formula>
    </cfRule>
    <cfRule type="cellIs" dxfId="2118" priority="94" stopIfTrue="1" operator="lessThanOrEqual">
      <formula>0</formula>
    </cfRule>
    <cfRule type="cellIs" dxfId="2117" priority="93" stopIfTrue="1" operator="greaterThan">
      <formula>#REF!</formula>
    </cfRule>
    <cfRule type="cellIs" dxfId="2116" priority="98" stopIfTrue="1" operator="lessThanOrEqual">
      <formula>0</formula>
    </cfRule>
    <cfRule type="cellIs" dxfId="2115" priority="97" stopIfTrue="1" operator="greaterThan">
      <formula>#REF!</formula>
    </cfRule>
  </conditionalFormatting>
  <conditionalFormatting sqref="I60">
    <cfRule type="cellIs" dxfId="2114" priority="52" stopIfTrue="1" operator="greaterThan">
      <formula>$F$45</formula>
    </cfRule>
    <cfRule type="cellIs" dxfId="2113" priority="51" stopIfTrue="1" operator="lessThanOrEqual">
      <formula>0</formula>
    </cfRule>
    <cfRule type="cellIs" dxfId="2112" priority="50" stopIfTrue="1" operator="greaterThan">
      <formula>$F$47</formula>
    </cfRule>
    <cfRule type="cellIs" dxfId="2111" priority="49" stopIfTrue="1" operator="lessThanOrEqual">
      <formula>0</formula>
    </cfRule>
    <cfRule type="cellIs" dxfId="2110" priority="48" stopIfTrue="1" operator="greaterThan">
      <formula>$F$45</formula>
    </cfRule>
    <cfRule type="cellIs" dxfId="2109" priority="53" stopIfTrue="1" operator="lessThanOrEqual">
      <formula>0</formula>
    </cfRule>
  </conditionalFormatting>
  <conditionalFormatting sqref="I61:I62">
    <cfRule type="cellIs" dxfId="2108" priority="83" stopIfTrue="1" operator="greaterThan">
      <formula>#REF!</formula>
    </cfRule>
    <cfRule type="cellIs" dxfId="2107" priority="79" stopIfTrue="1" operator="greaterThan">
      <formula>#REF!</formula>
    </cfRule>
    <cfRule type="cellIs" dxfId="2106" priority="84" stopIfTrue="1" operator="lessThanOrEqual">
      <formula>0</formula>
    </cfRule>
    <cfRule type="cellIs" dxfId="2105" priority="82" stopIfTrue="1" operator="lessThanOrEqual">
      <formula>0</formula>
    </cfRule>
    <cfRule type="cellIs" dxfId="2104" priority="80" stopIfTrue="1" operator="lessThanOrEqual">
      <formula>0</formula>
    </cfRule>
    <cfRule type="cellIs" dxfId="2103" priority="81" stopIfTrue="1" operator="greaterThan">
      <formula>#REF!</formula>
    </cfRule>
  </conditionalFormatting>
  <conditionalFormatting sqref="I63">
    <cfRule type="cellIs" dxfId="2102" priority="113" stopIfTrue="1" operator="lessThanOrEqual">
      <formula>0</formula>
    </cfRule>
    <cfRule type="cellIs" dxfId="2101" priority="114" stopIfTrue="1" operator="greaterThan">
      <formula>$F$39</formula>
    </cfRule>
    <cfRule type="cellIs" dxfId="2100" priority="115" stopIfTrue="1" operator="lessThanOrEqual">
      <formula>0</formula>
    </cfRule>
    <cfRule type="cellIs" dxfId="2099" priority="110" stopIfTrue="1" operator="greaterThan">
      <formula>$F$39</formula>
    </cfRule>
    <cfRule type="cellIs" dxfId="2098" priority="111" stopIfTrue="1" operator="lessThanOrEqual">
      <formula>0</formula>
    </cfRule>
    <cfRule type="cellIs" dxfId="2097" priority="112" stopIfTrue="1" operator="greaterThan">
      <formula>$F$41</formula>
    </cfRule>
  </conditionalFormatting>
  <conditionalFormatting sqref="I67:I75">
    <cfRule type="cellIs" dxfId="2096" priority="141" stopIfTrue="1" operator="greaterThan">
      <formula>$J67</formula>
    </cfRule>
    <cfRule type="cellIs" dxfId="2095" priority="142" stopIfTrue="1" operator="lessThanOrEqual">
      <formula>0</formula>
    </cfRule>
  </conditionalFormatting>
  <conditionalFormatting sqref="I78:I86">
    <cfRule type="cellIs" dxfId="2094" priority="170" stopIfTrue="1" operator="lessThanOrEqual">
      <formula>0</formula>
    </cfRule>
    <cfRule type="cellIs" dxfId="2093" priority="169" stopIfTrue="1" operator="greaterThan">
      <formula>4.5</formula>
    </cfRule>
  </conditionalFormatting>
  <conditionalFormatting sqref="I10:J26">
    <cfRule type="cellIs" dxfId="2092" priority="30" operator="lessThan">
      <formula>97.9</formula>
    </cfRule>
  </conditionalFormatting>
  <conditionalFormatting sqref="J29:J35">
    <cfRule type="cellIs" dxfId="2091" priority="120" operator="lessThan">
      <formula>97.4</formula>
    </cfRule>
  </conditionalFormatting>
  <conditionalFormatting sqref="J29:J37">
    <cfRule type="cellIs" dxfId="2090" priority="122" stopIfTrue="1" operator="greaterThan">
      <formula>100</formula>
    </cfRule>
    <cfRule type="cellIs" dxfId="2089" priority="121" stopIfTrue="1" operator="lessThan">
      <formula>96.8</formula>
    </cfRule>
  </conditionalFormatting>
  <conditionalFormatting sqref="J29:J38">
    <cfRule type="cellIs" dxfId="2088" priority="123" operator="lessThan">
      <formula>98</formula>
    </cfRule>
  </conditionalFormatting>
  <conditionalFormatting sqref="J76">
    <cfRule type="cellIs" dxfId="2087" priority="127" stopIfTrue="1" operator="greaterThan">
      <formula>$F76</formula>
    </cfRule>
    <cfRule type="cellIs" dxfId="2086" priority="128" stopIfTrue="1" operator="lessThanOrEqual">
      <formula>0</formula>
    </cfRule>
  </conditionalFormatting>
  <conditionalFormatting sqref="K10:K26">
    <cfRule type="cellIs" dxfId="2085" priority="35" operator="greaterThan">
      <formula>6.4</formula>
    </cfRule>
    <cfRule type="cellIs" dxfId="2084" priority="34" operator="lessThan">
      <formula>4</formula>
    </cfRule>
    <cfRule type="cellIs" dxfId="2083" priority="33" operator="greaterThan">
      <formula>6</formula>
    </cfRule>
  </conditionalFormatting>
  <conditionalFormatting sqref="K58:K63">
    <cfRule type="cellIs" dxfId="2082" priority="15" stopIfTrue="1" operator="lessThan">
      <formula>100%</formula>
    </cfRule>
  </conditionalFormatting>
  <conditionalFormatting sqref="K78:K83">
    <cfRule type="cellIs" dxfId="2081" priority="175" stopIfTrue="1" operator="lessThan">
      <formula>100%</formula>
    </cfRule>
  </conditionalFormatting>
  <conditionalFormatting sqref="K85:K86">
    <cfRule type="cellIs" dxfId="2080" priority="182" stopIfTrue="1" operator="lessThan">
      <formula>100%</formula>
    </cfRule>
  </conditionalFormatting>
  <conditionalFormatting sqref="K67:N73 K74 M74:N74 K75:N75">
    <cfRule type="cellIs" dxfId="2079" priority="105" stopIfTrue="1" operator="lessThan">
      <formula>100%</formula>
    </cfRule>
  </conditionalFormatting>
  <conditionalFormatting sqref="L10:L13 L14:M20 L21:L26">
    <cfRule type="cellIs" dxfId="2078" priority="31" operator="between">
      <formula>61</formula>
      <formula>65</formula>
    </cfRule>
    <cfRule type="cellIs" dxfId="2077" priority="32" operator="greaterThan">
      <formula>65</formula>
    </cfRule>
  </conditionalFormatting>
  <conditionalFormatting sqref="L29:M40">
    <cfRule type="cellIs" dxfId="2076" priority="27" operator="lessThan">
      <formula>98</formula>
    </cfRule>
  </conditionalFormatting>
  <conditionalFormatting sqref="L44:N44">
    <cfRule type="cellIs" dxfId="2075" priority="28" operator="notEqual">
      <formula>#REF!</formula>
    </cfRule>
  </conditionalFormatting>
  <conditionalFormatting sqref="L76:N76">
    <cfRule type="cellIs" dxfId="2074" priority="129" stopIfTrue="1" operator="lessThan">
      <formula>100%</formula>
    </cfRule>
  </conditionalFormatting>
  <conditionalFormatting sqref="L78:N86">
    <cfRule type="cellIs" dxfId="2073" priority="160" stopIfTrue="1" operator="lessThan">
      <formula>100%</formula>
    </cfRule>
  </conditionalFormatting>
  <conditionalFormatting sqref="M10:M24">
    <cfRule type="expression" dxfId="2072" priority="42">
      <formula>IF(+(IF(M10&lt;U10,0,IF(M10&gt;V10,0,1)))=0,1)</formula>
    </cfRule>
  </conditionalFormatting>
  <conditionalFormatting sqref="M26">
    <cfRule type="expression" dxfId="2071" priority="37">
      <formula>IF(+(IF(M26&lt;U26,0,IF(M26&gt;V26,0,1)))=0,1)</formula>
    </cfRule>
  </conditionalFormatting>
  <conditionalFormatting sqref="M25:N25">
    <cfRule type="expression" dxfId="2070" priority="190">
      <formula>IF(+(IF(M25&lt;#REF!,0,IF(M25&gt;#REF!,0,1)))=0,1)</formula>
    </cfRule>
  </conditionalFormatting>
  <conditionalFormatting sqref="N10:N24">
    <cfRule type="expression" dxfId="2069" priority="41">
      <formula>IF(+(IF(N10&lt;W10,0,IF(N10&gt;X10,0,1)))=0,1)</formula>
    </cfRule>
  </conditionalFormatting>
  <conditionalFormatting sqref="N26">
    <cfRule type="expression" dxfId="2068" priority="36">
      <formula>IF(+(IF(N26&lt;W26,0,IF(N26&gt;X26,0,1)))=0,1)</formula>
    </cfRule>
  </conditionalFormatting>
  <conditionalFormatting sqref="P6">
    <cfRule type="cellIs" dxfId="2067" priority="156" operator="greaterThanOrEqual">
      <formula>19</formula>
    </cfRule>
  </conditionalFormatting>
  <dataValidations count="1">
    <dataValidation type="list" allowBlank="1" showInputMessage="1" showErrorMessage="1" sqref="R8" xr:uid="{8249767F-3852-4DB7-B621-454AE184902F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0" max="16383" man="1"/>
  </rowBreaks>
  <colBreaks count="1" manualBreakCount="1">
    <brk id="15" max="89" man="1"/>
  </col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AFBA7-58F2-4400-A864-EE9F433829F0}">
  <sheetPr>
    <pageSetUpPr fitToPage="1"/>
  </sheetPr>
  <dimension ref="A1:BE81"/>
  <sheetViews>
    <sheetView topLeftCell="A16" zoomScaleNormal="100" workbookViewId="0">
      <selection activeCell="K53" sqref="K53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67.425781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25" t="s">
        <v>0</v>
      </c>
      <c r="T1" s="525"/>
      <c r="U1" s="525" t="s">
        <v>1</v>
      </c>
      <c r="V1" s="525"/>
      <c r="W1" s="525" t="s">
        <v>2</v>
      </c>
      <c r="X1" s="525"/>
      <c r="Y1" s="525" t="s">
        <v>124</v>
      </c>
      <c r="Z1" s="525"/>
    </row>
    <row r="2" spans="2:29" ht="15">
      <c r="B2" s="526" t="s">
        <v>3</v>
      </c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45915</v>
      </c>
      <c r="J4" s="398" t="s">
        <v>168</v>
      </c>
      <c r="K4" s="398"/>
      <c r="L4" s="11"/>
      <c r="M4" s="547" t="s">
        <v>8</v>
      </c>
      <c r="N4" s="548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44"/>
      <c r="D5" s="544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167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84" t="s">
        <v>17</v>
      </c>
      <c r="C8" s="494" t="s">
        <v>18</v>
      </c>
      <c r="D8" s="494" t="s">
        <v>19</v>
      </c>
      <c r="E8" s="356" t="s">
        <v>20</v>
      </c>
      <c r="F8" s="356" t="s">
        <v>21</v>
      </c>
      <c r="G8" s="494" t="s">
        <v>22</v>
      </c>
      <c r="H8" s="535" t="s">
        <v>144</v>
      </c>
      <c r="I8" s="494" t="s">
        <v>166</v>
      </c>
      <c r="J8" s="537" t="s">
        <v>23</v>
      </c>
      <c r="K8" s="539" t="s">
        <v>142</v>
      </c>
      <c r="L8" s="541" t="s">
        <v>24</v>
      </c>
      <c r="M8" s="359" t="s">
        <v>25</v>
      </c>
      <c r="N8" s="17" t="s">
        <v>26</v>
      </c>
      <c r="O8" s="494" t="s">
        <v>155</v>
      </c>
      <c r="P8" s="56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33"/>
      <c r="C9" s="534"/>
      <c r="D9" s="534"/>
      <c r="E9" s="357" t="s">
        <v>30</v>
      </c>
      <c r="F9" s="357" t="s">
        <v>31</v>
      </c>
      <c r="G9" s="534"/>
      <c r="H9" s="536"/>
      <c r="I9" s="534"/>
      <c r="J9" s="538"/>
      <c r="K9" s="540"/>
      <c r="L9" s="542"/>
      <c r="M9" s="20" t="s">
        <v>32</v>
      </c>
      <c r="N9" s="21" t="s">
        <v>41</v>
      </c>
      <c r="O9" s="534"/>
      <c r="P9" s="561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29"/>
      <c r="C10" s="366"/>
      <c r="D10" s="279"/>
      <c r="E10" s="279"/>
      <c r="F10" s="278"/>
      <c r="G10" s="279"/>
      <c r="H10" s="396"/>
      <c r="I10" s="368"/>
      <c r="J10" s="368"/>
      <c r="K10" s="281"/>
      <c r="L10" s="276"/>
      <c r="M10" s="397"/>
      <c r="N10" s="370"/>
      <c r="O10" s="421"/>
      <c r="P10" s="418"/>
      <c r="R10" s="277">
        <f t="shared" ref="R10:R48" si="0">B10</f>
        <v>0</v>
      </c>
      <c r="S10" s="296" t="e">
        <f t="shared" ref="S10:S48" si="1">VLOOKUP($B10,$R$3:$X$9,2,FALSE)</f>
        <v>#N/A</v>
      </c>
      <c r="T10" s="296" t="e">
        <f t="shared" ref="T10:T48" si="2">VLOOKUP($B10,$R$3:$X$9,3,FALSE)</f>
        <v>#N/A</v>
      </c>
      <c r="U10" s="297" t="e">
        <f t="shared" ref="U10:U48" si="3">VLOOKUP($B10,$R$3:$X$9,4,FALSE)</f>
        <v>#N/A</v>
      </c>
      <c r="V10" s="297" t="e">
        <f t="shared" ref="V10:V48" si="4">VLOOKUP($B10,$R$3:$X$9,5,FALSE)</f>
        <v>#N/A</v>
      </c>
      <c r="W10" s="297" t="e">
        <f t="shared" ref="W10:W48" si="5">VLOOKUP($B10,$R$3:$X$9,6,FALSE)</f>
        <v>#N/A</v>
      </c>
      <c r="X10" s="297" t="e">
        <f t="shared" ref="X10:X48" si="6">VLOOKUP($B10,$R$3:$X$9,7,FALSE)</f>
        <v>#N/A</v>
      </c>
      <c r="Y10" s="297" t="e">
        <f t="shared" ref="Y10:Y48" si="7">VLOOKUP($B10,$R$3:$Z$9,8,FALSE)</f>
        <v>#N/A</v>
      </c>
      <c r="Z10" s="296" t="e">
        <f t="shared" ref="Z10:Z48" si="8">VLOOKUP($B10,$R$3:$Z$9,9,FALSE)</f>
        <v>#N/A</v>
      </c>
    </row>
    <row r="11" spans="2:29" ht="15.75" customHeight="1">
      <c r="B11" s="29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97"/>
      <c r="N11" s="370"/>
      <c r="O11" s="421"/>
      <c r="P11" s="418"/>
      <c r="R11" s="277">
        <f t="shared" si="0"/>
        <v>0</v>
      </c>
      <c r="S11" s="296" t="e">
        <f t="shared" si="1"/>
        <v>#N/A</v>
      </c>
      <c r="T11" s="296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296" t="e">
        <f t="shared" si="8"/>
        <v>#N/A</v>
      </c>
    </row>
    <row r="12" spans="2:29" ht="15.75" customHeight="1">
      <c r="B12" s="29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97"/>
      <c r="N12" s="370"/>
      <c r="O12" s="421"/>
      <c r="P12" s="418"/>
      <c r="R12" s="277">
        <f t="shared" si="0"/>
        <v>0</v>
      </c>
      <c r="S12" s="296" t="e">
        <f t="shared" si="1"/>
        <v>#N/A</v>
      </c>
      <c r="T12" s="296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296" t="e">
        <f t="shared" si="8"/>
        <v>#N/A</v>
      </c>
    </row>
    <row r="13" spans="2:29" ht="15.75" customHeight="1">
      <c r="B13" s="29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97"/>
      <c r="N13" s="370"/>
      <c r="O13" s="421"/>
      <c r="P13" s="418"/>
      <c r="R13" s="277"/>
      <c r="S13" s="296"/>
      <c r="T13" s="296"/>
      <c r="U13" s="297"/>
      <c r="V13" s="297"/>
      <c r="W13" s="297"/>
      <c r="X13" s="297"/>
      <c r="Y13" s="297"/>
      <c r="Z13" s="296"/>
    </row>
    <row r="14" spans="2:29" ht="15.75" customHeight="1">
      <c r="B14" s="33"/>
      <c r="C14" s="366"/>
      <c r="D14" s="279"/>
      <c r="E14" s="279"/>
      <c r="F14" s="278"/>
      <c r="G14" s="279"/>
      <c r="H14" s="396"/>
      <c r="I14" s="420"/>
      <c r="J14" s="420"/>
      <c r="K14" s="281"/>
      <c r="L14" s="276"/>
      <c r="M14" s="374"/>
      <c r="N14" s="370"/>
      <c r="O14" s="421"/>
      <c r="P14" s="418"/>
      <c r="R14" s="277">
        <f t="shared" si="0"/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5.75" customHeight="1">
      <c r="B15" s="33"/>
      <c r="C15" s="366"/>
      <c r="D15" s="279"/>
      <c r="E15" s="279"/>
      <c r="F15" s="278"/>
      <c r="G15" s="279"/>
      <c r="H15" s="396"/>
      <c r="I15" s="420"/>
      <c r="J15" s="420"/>
      <c r="K15" s="281"/>
      <c r="L15" s="276"/>
      <c r="M15" s="374"/>
      <c r="N15" s="370"/>
      <c r="O15" s="421"/>
      <c r="P15" s="418"/>
      <c r="R15" s="277">
        <f t="shared" si="0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.75" customHeight="1">
      <c r="B16" s="33"/>
      <c r="C16" s="366"/>
      <c r="D16" s="279"/>
      <c r="E16" s="279"/>
      <c r="F16" s="278"/>
      <c r="G16" s="279"/>
      <c r="H16" s="396"/>
      <c r="I16" s="420"/>
      <c r="J16" s="420"/>
      <c r="K16" s="281"/>
      <c r="L16" s="276"/>
      <c r="M16" s="374"/>
      <c r="N16" s="370"/>
      <c r="O16" s="421"/>
      <c r="P16" s="418"/>
      <c r="R16" s="277">
        <f t="shared" si="0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1:26" ht="15.75" hidden="1" customHeight="1">
      <c r="B17" s="33"/>
      <c r="C17" s="366"/>
      <c r="D17" s="279"/>
      <c r="E17" s="279"/>
      <c r="F17" s="278"/>
      <c r="G17" s="279"/>
      <c r="H17" s="396"/>
      <c r="I17" s="420"/>
      <c r="J17" s="420"/>
      <c r="K17" s="281"/>
      <c r="L17" s="276"/>
      <c r="M17" s="374"/>
      <c r="N17" s="370"/>
      <c r="O17" s="421"/>
      <c r="P17" s="418"/>
      <c r="R17" s="277">
        <f t="shared" si="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1:26" ht="15.75" hidden="1" customHeight="1">
      <c r="B18" s="33"/>
      <c r="C18" s="366"/>
      <c r="D18" s="279"/>
      <c r="E18" s="279"/>
      <c r="F18" s="278"/>
      <c r="G18" s="279"/>
      <c r="H18" s="396"/>
      <c r="I18" s="420"/>
      <c r="J18" s="420"/>
      <c r="K18" s="281"/>
      <c r="L18" s="276"/>
      <c r="M18" s="374"/>
      <c r="N18" s="370"/>
      <c r="O18" s="421"/>
      <c r="P18" s="418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1:26" ht="15.75" hidden="1" customHeight="1">
      <c r="B19" s="33"/>
      <c r="C19" s="366"/>
      <c r="D19" s="279"/>
      <c r="E19" s="279"/>
      <c r="F19" s="278"/>
      <c r="G19" s="279"/>
      <c r="H19" s="396"/>
      <c r="I19" s="420"/>
      <c r="J19" s="420"/>
      <c r="K19" s="281"/>
      <c r="L19" s="276"/>
      <c r="M19" s="374"/>
      <c r="N19" s="370"/>
      <c r="O19" s="421"/>
      <c r="P19" s="418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6" ht="15.75" hidden="1" customHeight="1">
      <c r="B20" s="33"/>
      <c r="C20" s="366"/>
      <c r="D20" s="279"/>
      <c r="E20" s="279"/>
      <c r="F20" s="278"/>
      <c r="G20" s="279"/>
      <c r="H20" s="396"/>
      <c r="I20" s="420"/>
      <c r="J20" s="420"/>
      <c r="K20" s="281"/>
      <c r="L20" s="276"/>
      <c r="M20" s="374"/>
      <c r="N20" s="370"/>
      <c r="O20" s="421"/>
      <c r="P20" s="418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6" ht="15.7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1"/>
      <c r="P21" s="418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6" ht="15.7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1"/>
      <c r="P22" s="418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6" ht="15.7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421"/>
      <c r="P23" s="418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6" ht="15.7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421"/>
      <c r="P24" s="418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6" ht="15.7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418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6" ht="15.75" hidden="1" customHeight="1">
      <c r="B26" s="37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74"/>
      <c r="N26" s="370"/>
      <c r="O26" s="371"/>
      <c r="P26" s="418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6" ht="15.75" customHeight="1" thickBot="1">
      <c r="B27" s="358"/>
      <c r="C27" s="358"/>
      <c r="D27" s="358"/>
      <c r="E27" s="358"/>
      <c r="F27" s="294"/>
      <c r="G27" s="294"/>
      <c r="H27" s="348"/>
      <c r="I27" s="514"/>
      <c r="J27" s="514"/>
      <c r="K27" s="514"/>
      <c r="L27" s="514"/>
      <c r="M27" s="514"/>
      <c r="N27" s="514"/>
      <c r="O27" s="1"/>
      <c r="P27" s="12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6" ht="15.75" thickBot="1">
      <c r="B28" s="388" t="s">
        <v>162</v>
      </c>
      <c r="C28" s="388"/>
      <c r="D28" s="527" t="s">
        <v>35</v>
      </c>
      <c r="E28" s="528"/>
      <c r="F28" s="294"/>
      <c r="G28" s="294"/>
      <c r="H28" s="348"/>
      <c r="I28" s="24" t="s">
        <v>17</v>
      </c>
      <c r="J28" s="25" t="s">
        <v>36</v>
      </c>
      <c r="K28" s="26" t="s">
        <v>138</v>
      </c>
      <c r="L28" s="25" t="s">
        <v>37</v>
      </c>
      <c r="M28" s="25" t="s">
        <v>38</v>
      </c>
      <c r="N28" s="27" t="s">
        <v>39</v>
      </c>
      <c r="O28" s="294"/>
      <c r="P28" s="12"/>
      <c r="R28" s="277" t="str">
        <f t="shared" si="0"/>
        <v xml:space="preserve">BRAND 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1:26" ht="15" customHeight="1">
      <c r="A29" s="28"/>
      <c r="B29" s="568" t="str">
        <f>J46</f>
        <v>VITAMALT</v>
      </c>
      <c r="C29" s="362"/>
      <c r="D29" s="518"/>
      <c r="E29" s="507"/>
      <c r="F29" s="294"/>
      <c r="G29" s="294"/>
      <c r="H29" s="348"/>
      <c r="I29" s="29" t="s">
        <v>6</v>
      </c>
      <c r="J29" s="280"/>
      <c r="K29" s="284">
        <f>COUNTA([22]Brewhouse!$A$740:$A$782)</f>
        <v>43</v>
      </c>
      <c r="L29" s="305">
        <f>AVERAGE([22]Brewhouse!$AU$740:$AU$782)</f>
        <v>97.363169195150917</v>
      </c>
      <c r="M29" s="302">
        <f>AVERAGE([22]Brewhouse!$AU$102:$AU$171,[22]Brewhouse!$AU$173:$AU$253,[22]Brewhouse!$AU$255:$AU$339,[22]Brewhouse!$AU$341:$AU$346,[22]Brewhouse!$AU$348,[22]Brewhouse!$AU$349:$AU$406,[22]Brewhouse!$AU$408:$AU$491,[22]Brewhouse!$AU$493:$AU$578,[22]Brewhouse!$AU$580:$AU$652,[22]Brewhouse!$AU$655:$AU$782)</f>
        <v>97.68374537610346</v>
      </c>
      <c r="N29" s="30">
        <v>98</v>
      </c>
      <c r="O29" s="11"/>
      <c r="P29" s="31"/>
      <c r="R29" s="277" t="str">
        <f t="shared" si="0"/>
        <v>VITAMALT</v>
      </c>
      <c r="S29" s="296">
        <f t="shared" si="1"/>
        <v>14.2</v>
      </c>
      <c r="T29" s="296">
        <f t="shared" si="2"/>
        <v>14.6</v>
      </c>
      <c r="U29" s="297">
        <f t="shared" si="3"/>
        <v>0</v>
      </c>
      <c r="V29" s="297">
        <f t="shared" si="4"/>
        <v>0.13905092592592591</v>
      </c>
      <c r="W29" s="297">
        <f t="shared" si="5"/>
        <v>0.26041666666666669</v>
      </c>
      <c r="X29" s="297">
        <f t="shared" si="6"/>
        <v>0.2951388888888889</v>
      </c>
      <c r="Y29" s="297">
        <f t="shared" si="7"/>
        <v>0</v>
      </c>
      <c r="Z29" s="296">
        <f t="shared" si="8"/>
        <v>75</v>
      </c>
    </row>
    <row r="30" spans="1:26" ht="15" customHeight="1">
      <c r="A30" s="28"/>
      <c r="B30" s="569"/>
      <c r="C30" s="362"/>
      <c r="D30" s="519"/>
      <c r="E30" s="502"/>
      <c r="F30" s="294"/>
      <c r="G30" s="294"/>
      <c r="H30" s="348"/>
      <c r="I30" s="33" t="s">
        <v>9</v>
      </c>
      <c r="J30" s="280"/>
      <c r="K30" s="284">
        <f>COUNTA([24]Brewhouse!$A$361:$A$370)</f>
        <v>10</v>
      </c>
      <c r="L30" s="302">
        <f>AVERAGE([24]Brewhouse!$AS$361:$AS$370)</f>
        <v>97.37391829333653</v>
      </c>
      <c r="M30" s="302">
        <f>AVERAGE([24]Brewhouse!$AS$15:$AS$64,[24]Brewhouse!$AS$66:$AS$103,[24]Brewhouse!$AS$105:$AS$140,[24]Brewhouse!$AS$142:$AS$193,[24]Brewhouse!$AS$195:$AS$240,[24]Brewhouse!$AS$242:$AS$273,[24]Brewhouse!$AS$275:$AS$322,[24]Brewhouse!$AS$324:$AS$359,[24]Brewhouse!$AS$361:$AS$370)</f>
        <v>98.045616899357427</v>
      </c>
      <c r="N30" s="30">
        <v>98</v>
      </c>
      <c r="O30" s="11"/>
      <c r="P30" s="31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1:26" ht="14.65" customHeight="1">
      <c r="A31" s="28"/>
      <c r="B31" s="569"/>
      <c r="C31" s="362"/>
      <c r="D31" s="518"/>
      <c r="E31" s="507"/>
      <c r="F31" s="294"/>
      <c r="G31" s="294"/>
      <c r="H31" s="348"/>
      <c r="I31" s="34" t="s">
        <v>12</v>
      </c>
      <c r="J31" s="280"/>
      <c r="K31" s="284"/>
      <c r="L31" s="302"/>
      <c r="M31" s="302">
        <f>AVERAGE([25]Brewhouse!$AU$4:$AU$7,[25]Brewhouse!$AU$9:$AU$22,[25]Brewhouse!$AU$24:$AU$35,[25]Brewhouse!$AU$37:$AU$45,[25]Brewhouse!$AU$47:$AU$62,[25]Brewhouse!$AU$64:$AU$79,[25]Brewhouse!$AU$81:$AU$92)</f>
        <v>96.938184743997624</v>
      </c>
      <c r="N31" s="30">
        <v>98</v>
      </c>
      <c r="O31" s="11"/>
      <c r="P31" s="31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1:26" ht="14.65" customHeight="1">
      <c r="A32" s="28"/>
      <c r="B32" s="569"/>
      <c r="C32" s="362"/>
      <c r="D32" s="519"/>
      <c r="E32" s="502"/>
      <c r="F32" s="294"/>
      <c r="G32" s="294"/>
      <c r="H32" s="348"/>
      <c r="I32" s="22" t="s">
        <v>33</v>
      </c>
      <c r="J32" s="280"/>
      <c r="K32" s="284">
        <f>COUNTA([26]Brewhouse!$A$79:$A$86)</f>
        <v>8</v>
      </c>
      <c r="L32" s="302">
        <f>AVERAGE([26]Brewhouse!$AV$79:$AV$86)</f>
        <v>96.412390542357869</v>
      </c>
      <c r="M32" s="302">
        <f>AVERAGE([26]Brewhouse!$AV$5:$AV$14,[26]Brewhouse!$AV$16:$AV$19,[26]Brewhouse!$AV$21:$AV$24,[26]Brewhouse!$AV$26:$AV$33,[26]Brewhouse!$AV$35:$AV$46,[26]Brewhouse!$AV$48:$AV$53,[26]Brewhouse!$AV$55:$AV$62,[26]Brewhouse!$AV$64:$AV$77,[26]Brewhouse!$AV$79:$AV$86)</f>
        <v>98.293408393493976</v>
      </c>
      <c r="N32" s="30">
        <v>98</v>
      </c>
      <c r="O32" s="11"/>
      <c r="P32" s="31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56" ht="14.65" customHeight="1">
      <c r="A33" s="28"/>
      <c r="B33" s="569"/>
      <c r="C33" s="362"/>
      <c r="D33" s="518"/>
      <c r="E33" s="507"/>
      <c r="F33" s="417"/>
      <c r="G33" s="294"/>
      <c r="H33" s="348"/>
      <c r="I33" s="35" t="s">
        <v>29</v>
      </c>
      <c r="J33" s="280"/>
      <c r="K33" s="284"/>
      <c r="L33" s="302"/>
      <c r="M33" s="302"/>
      <c r="N33" s="30">
        <v>98</v>
      </c>
      <c r="O33" s="11"/>
      <c r="P33" s="31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56" ht="14.65" customHeight="1">
      <c r="A34" s="28"/>
      <c r="B34" s="569"/>
      <c r="C34" s="362"/>
      <c r="D34" s="519"/>
      <c r="E34" s="502"/>
      <c r="F34" s="417"/>
      <c r="G34" s="294"/>
      <c r="H34" s="348"/>
      <c r="I34" s="36" t="s">
        <v>15</v>
      </c>
      <c r="J34" s="280"/>
      <c r="K34" s="284"/>
      <c r="L34" s="302"/>
      <c r="M34" s="302">
        <f>AVERAGE([27]Brewhouse!$AT$4:$AT$11,[27]Brewhouse!$AT$13:$AT$16,[27]Brewhouse!$AT$18:$AT$21,[27]Brewhouse!$AT$26)</f>
        <v>94.588057846623641</v>
      </c>
      <c r="N34" s="30">
        <v>98</v>
      </c>
      <c r="O34" s="11"/>
      <c r="P34" s="31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</row>
    <row r="35" spans="1:56" ht="14.65" customHeight="1">
      <c r="A35" s="28"/>
      <c r="B35" s="569"/>
      <c r="C35" s="362"/>
      <c r="D35" s="518"/>
      <c r="E35" s="507"/>
      <c r="F35" s="417"/>
      <c r="G35" s="294"/>
      <c r="H35" s="348"/>
      <c r="I35" s="37" t="s">
        <v>16</v>
      </c>
      <c r="J35" s="280"/>
      <c r="K35" s="284">
        <f>COUNTA([23]Brewhouse!$A$75:$A$82)</f>
        <v>8</v>
      </c>
      <c r="L35" s="302">
        <f>AVERAGE([23]Brewhouse!$AY$75:$AY$82)</f>
        <v>97.738838123294386</v>
      </c>
      <c r="M35" s="302">
        <f>AVERAGE([23]Brewhouse!$AY$6:$AY$13,[23]Brewhouse!$AY$15:$AY$20,[23]Brewhouse!$AY$22:$AY$29,[23]Brewhouse!$AY$31:$AY$34,[23]Brewhouse!$AY$36:$AY$43,[23]Brewhouse!$AY$45:$AY$50, [23]Brewhouse!$AY$56:$AY$73,[23]Brewhouse!$AY$75:$AY$82)</f>
        <v>97.409216272979165</v>
      </c>
      <c r="N35" s="30">
        <v>98</v>
      </c>
      <c r="O35" s="11"/>
      <c r="P35" s="31" t="s">
        <v>41</v>
      </c>
      <c r="R35" s="277">
        <f t="shared" si="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</row>
    <row r="36" spans="1:56" ht="14.65" customHeight="1">
      <c r="A36" s="28"/>
      <c r="B36" s="569"/>
      <c r="C36" s="362"/>
      <c r="D36" s="519"/>
      <c r="E36" s="502"/>
      <c r="F36" s="294"/>
      <c r="G36" s="294"/>
      <c r="H36" s="348"/>
      <c r="I36" s="411" t="s">
        <v>158</v>
      </c>
      <c r="J36" s="326"/>
      <c r="K36" s="284"/>
      <c r="L36" s="305"/>
      <c r="M36" s="305">
        <f>AVERAGE([28]Brewhouse!$AU$5:$AU$8,[28]Brewhouse!$AU$10:$AU$13,[23]Brewhouse!$AY$75:$AY$77)</f>
        <v>94.749192473706671</v>
      </c>
      <c r="N36" s="30">
        <v>98</v>
      </c>
      <c r="O36" s="11"/>
      <c r="P36" s="31"/>
      <c r="R36" s="277">
        <f t="shared" si="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</row>
    <row r="37" spans="1:56" ht="14.65" customHeight="1">
      <c r="A37" s="28"/>
      <c r="B37" s="569"/>
      <c r="C37" s="349"/>
      <c r="D37" s="518"/>
      <c r="E37" s="507"/>
      <c r="F37" s="294"/>
      <c r="G37" s="294"/>
      <c r="H37" s="348"/>
      <c r="I37" s="410" t="s">
        <v>157</v>
      </c>
      <c r="J37" s="326"/>
      <c r="K37" s="284"/>
      <c r="L37" s="305"/>
      <c r="M37" s="305">
        <f>AVERAGE([29]Brewhouse!$AW$26:$AW$27)</f>
        <v>95.310680905194914</v>
      </c>
      <c r="N37" s="30">
        <v>98</v>
      </c>
      <c r="O37" s="11"/>
      <c r="P37" s="31"/>
      <c r="R37" s="277">
        <f t="shared" si="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</row>
    <row r="38" spans="1:56" ht="15" customHeight="1" thickBot="1">
      <c r="A38" s="28"/>
      <c r="B38" s="569"/>
      <c r="C38" s="349"/>
      <c r="D38" s="519"/>
      <c r="E38" s="502"/>
      <c r="F38" s="294"/>
      <c r="G38" s="294"/>
      <c r="H38" s="348"/>
      <c r="I38" s="406" t="s">
        <v>156</v>
      </c>
      <c r="J38" s="327"/>
      <c r="K38" s="407"/>
      <c r="L38" s="408"/>
      <c r="M38" s="408">
        <f>AVERAGE([30]Brewhouse!$AU$13:$AU$14)</f>
        <v>97.110575243268045</v>
      </c>
      <c r="N38" s="409">
        <v>98</v>
      </c>
      <c r="O38" s="11"/>
      <c r="P38" s="31"/>
      <c r="R38" s="277">
        <f t="shared" si="0"/>
        <v>0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</row>
    <row r="39" spans="1:56" ht="15" customHeight="1" thickBot="1">
      <c r="A39" s="28"/>
      <c r="B39" s="569"/>
      <c r="C39" s="349"/>
      <c r="D39" s="518"/>
      <c r="E39" s="507"/>
      <c r="F39" s="294"/>
      <c r="G39" s="294"/>
      <c r="H39" s="348"/>
      <c r="I39" s="1"/>
      <c r="J39" s="39"/>
      <c r="K39" s="404">
        <f>SUM(K29:K38)</f>
        <v>69</v>
      </c>
      <c r="L39" s="405">
        <f>((L29*K29)+(L30*K30)+(L31*K31)+(L32*K32)+(L33*K33)+(K36*L36)+(L34*K34)+(L35*K35)+(L38*K38))/(K39)</f>
        <v>97.298047647102521</v>
      </c>
      <c r="M39" s="405">
        <f>AVERAGE('[31]Jan 31st'!$L$65,'[32]Feb 28th'!$L$35,'[33]Mar. 31st'!$L$35,'[34]Apr. 30th'!$L$45,'[35]May 30th'!$L$37,'[36]June 30th'!$L$57,L39)</f>
        <v>97.607136877737773</v>
      </c>
      <c r="N39" s="40">
        <v>98</v>
      </c>
      <c r="O39" s="11"/>
      <c r="P39" s="31"/>
      <c r="R39" s="277">
        <f t="shared" si="0"/>
        <v>0</v>
      </c>
      <c r="S39" s="296" t="e">
        <f t="shared" si="1"/>
        <v>#N/A</v>
      </c>
      <c r="T39" s="296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296" t="e">
        <f t="shared" si="8"/>
        <v>#N/A</v>
      </c>
    </row>
    <row r="40" spans="1:56" ht="15.75" thickBot="1">
      <c r="B40" s="570"/>
      <c r="C40" s="350"/>
      <c r="D40" s="519"/>
      <c r="E40" s="502"/>
      <c r="F40" s="294"/>
      <c r="G40" s="42"/>
      <c r="H40" s="41"/>
      <c r="I40" s="42"/>
      <c r="J40" s="42"/>
      <c r="K40" s="351"/>
      <c r="L40" s="348"/>
      <c r="M40" s="348"/>
      <c r="N40" s="11"/>
      <c r="O40" s="294"/>
      <c r="P40" s="12"/>
      <c r="R40" s="277">
        <f t="shared" si="0"/>
        <v>0</v>
      </c>
      <c r="S40" s="296" t="e">
        <f t="shared" si="1"/>
        <v>#N/A</v>
      </c>
      <c r="T40" s="296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296" t="e">
        <f t="shared" si="8"/>
        <v>#N/A</v>
      </c>
    </row>
    <row r="41" spans="1:56" ht="15.75" thickBot="1">
      <c r="B41" s="552"/>
      <c r="C41" s="362"/>
      <c r="D41" s="499"/>
      <c r="E41" s="500"/>
      <c r="F41" s="294"/>
      <c r="G41" s="42"/>
      <c r="H41" s="41"/>
      <c r="I41" s="42"/>
      <c r="J41" s="553" t="s">
        <v>129</v>
      </c>
      <c r="K41" s="553"/>
      <c r="L41" s="294"/>
      <c r="M41" s="294"/>
      <c r="N41" s="294"/>
      <c r="O41" s="294"/>
      <c r="P41" s="12"/>
      <c r="R41" s="277">
        <f t="shared" si="0"/>
        <v>0</v>
      </c>
      <c r="S41" s="296" t="e">
        <f t="shared" si="1"/>
        <v>#N/A</v>
      </c>
      <c r="T41" s="296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296" t="e">
        <f t="shared" si="8"/>
        <v>#N/A</v>
      </c>
    </row>
    <row r="42" spans="1:56" ht="15.75" thickBot="1">
      <c r="B42" s="516"/>
      <c r="C42" s="362"/>
      <c r="D42" s="501"/>
      <c r="E42" s="502"/>
      <c r="F42" s="294"/>
      <c r="G42" s="42"/>
      <c r="H42" s="41"/>
      <c r="I42" s="42"/>
      <c r="J42" s="292" t="s">
        <v>17</v>
      </c>
      <c r="K42" s="293" t="s">
        <v>147</v>
      </c>
      <c r="L42" s="504" t="s">
        <v>136</v>
      </c>
      <c r="M42" s="504"/>
      <c r="N42" s="505"/>
      <c r="O42" s="294"/>
      <c r="P42" s="12"/>
      <c r="R42" s="277">
        <f t="shared" si="0"/>
        <v>0</v>
      </c>
      <c r="S42" s="296" t="e">
        <f t="shared" si="1"/>
        <v>#N/A</v>
      </c>
      <c r="T42" s="296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296" t="e">
        <f t="shared" si="8"/>
        <v>#N/A</v>
      </c>
    </row>
    <row r="43" spans="1:56" ht="15" customHeight="1" thickBot="1">
      <c r="B43" s="516"/>
      <c r="C43" s="349"/>
      <c r="D43" s="554"/>
      <c r="E43" s="555"/>
      <c r="F43" s="294"/>
      <c r="G43" s="42"/>
      <c r="H43" s="41"/>
      <c r="I43" s="42"/>
      <c r="J43" s="287" t="s">
        <v>6</v>
      </c>
      <c r="K43" s="324"/>
      <c r="L43" s="343" t="s">
        <v>37</v>
      </c>
      <c r="M43" s="307" t="s">
        <v>38</v>
      </c>
      <c r="N43" s="307" t="s">
        <v>84</v>
      </c>
      <c r="O43" s="294"/>
      <c r="P43" s="12"/>
      <c r="R43" s="277">
        <f t="shared" si="0"/>
        <v>0</v>
      </c>
      <c r="S43" s="296" t="e">
        <f t="shared" si="1"/>
        <v>#N/A</v>
      </c>
      <c r="T43" s="296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296" t="e">
        <f t="shared" si="8"/>
        <v>#N/A</v>
      </c>
    </row>
    <row r="44" spans="1:56" ht="15.75" customHeight="1" thickBot="1">
      <c r="B44" s="516"/>
      <c r="C44" s="349"/>
      <c r="D44" s="501"/>
      <c r="E44" s="502"/>
      <c r="F44" s="294"/>
      <c r="G44" s="42"/>
      <c r="H44" s="41"/>
      <c r="I44" s="42"/>
      <c r="J44" s="345" t="s">
        <v>9</v>
      </c>
      <c r="K44" s="324"/>
      <c r="L44" s="344">
        <f>AVERAGE('Sept 1st'!K53,'Sept 2nd'!K51,'Sept 3rd'!K52,'Sept 4th'!K61,'Sept 5th '!K49,'Sept 8th'!K51,'Sept 9th'!K51,'Sept 10th'!K59,'Sept 11th'!K53,K53)</f>
        <v>7.8</v>
      </c>
      <c r="M44" s="325">
        <f>AVERAGE('[31]Jan 29th '!$M$70,'[32]Feb 28th'!$L$40,'[33]Mar. 31st'!$L$40,'[34]Apr. 30th'!$L$50,'[35]May 30th'!$L$42,'[36]June 30th'!$L$62,'[37]July 29th '!$L$49,'[38]Aug 29th'!$L$34,L44)</f>
        <v>7.0480784830899239</v>
      </c>
      <c r="N44" s="416">
        <v>9.1999999999999993</v>
      </c>
      <c r="O44" s="294"/>
      <c r="P44" s="12"/>
      <c r="R44" s="277">
        <f t="shared" si="0"/>
        <v>0</v>
      </c>
      <c r="S44" s="296" t="e">
        <f t="shared" si="1"/>
        <v>#N/A</v>
      </c>
      <c r="T44" s="296" t="e">
        <f t="shared" si="2"/>
        <v>#N/A</v>
      </c>
      <c r="U44" s="297" t="e">
        <f t="shared" si="3"/>
        <v>#N/A</v>
      </c>
      <c r="V44" s="297" t="e">
        <f t="shared" si="4"/>
        <v>#N/A</v>
      </c>
      <c r="W44" s="297" t="e">
        <f t="shared" si="5"/>
        <v>#N/A</v>
      </c>
      <c r="X44" s="297" t="e">
        <f t="shared" si="6"/>
        <v>#N/A</v>
      </c>
      <c r="Y44" s="297" t="e">
        <f t="shared" si="7"/>
        <v>#N/A</v>
      </c>
      <c r="Z44" s="296" t="e">
        <f t="shared" si="8"/>
        <v>#N/A</v>
      </c>
    </row>
    <row r="45" spans="1:56" ht="15" customHeight="1">
      <c r="B45" s="516"/>
      <c r="C45" s="349"/>
      <c r="D45" s="554"/>
      <c r="E45" s="555"/>
      <c r="F45" s="294"/>
      <c r="G45" s="42"/>
      <c r="H45" s="41"/>
      <c r="I45" s="42"/>
      <c r="J45" s="288" t="s">
        <v>40</v>
      </c>
      <c r="K45" s="324"/>
      <c r="L45" s="294"/>
      <c r="M45" s="294"/>
      <c r="N45" s="294"/>
      <c r="O45" s="294"/>
      <c r="P45" s="12"/>
      <c r="R45" s="277">
        <f t="shared" si="0"/>
        <v>0</v>
      </c>
      <c r="S45" s="296" t="e">
        <f t="shared" si="1"/>
        <v>#N/A</v>
      </c>
      <c r="T45" s="296" t="e">
        <f t="shared" si="2"/>
        <v>#N/A</v>
      </c>
      <c r="U45" s="297" t="e">
        <f t="shared" si="3"/>
        <v>#N/A</v>
      </c>
      <c r="V45" s="297" t="e">
        <f t="shared" si="4"/>
        <v>#N/A</v>
      </c>
      <c r="W45" s="297" t="e">
        <f t="shared" si="5"/>
        <v>#N/A</v>
      </c>
      <c r="X45" s="297" t="e">
        <f t="shared" si="6"/>
        <v>#N/A</v>
      </c>
      <c r="Y45" s="297" t="e">
        <f t="shared" si="7"/>
        <v>#N/A</v>
      </c>
      <c r="Z45" s="296" t="e">
        <f t="shared" si="8"/>
        <v>#N/A</v>
      </c>
    </row>
    <row r="46" spans="1:56" ht="15" customHeight="1">
      <c r="B46" s="516"/>
      <c r="C46" s="349"/>
      <c r="D46" s="501"/>
      <c r="E46" s="502"/>
      <c r="F46" s="294"/>
      <c r="G46" s="42"/>
      <c r="H46" s="41"/>
      <c r="I46" s="42"/>
      <c r="J46" s="289" t="s">
        <v>33</v>
      </c>
      <c r="K46" s="324"/>
      <c r="L46" s="294"/>
      <c r="M46" s="294"/>
      <c r="N46" s="294"/>
      <c r="O46" s="294"/>
      <c r="P46" s="12"/>
      <c r="R46" s="277">
        <f t="shared" si="0"/>
        <v>0</v>
      </c>
      <c r="S46" s="296" t="e">
        <f t="shared" si="1"/>
        <v>#N/A</v>
      </c>
      <c r="T46" s="296" t="e">
        <f t="shared" si="2"/>
        <v>#N/A</v>
      </c>
      <c r="U46" s="297" t="e">
        <f t="shared" si="3"/>
        <v>#N/A</v>
      </c>
      <c r="V46" s="297" t="e">
        <f t="shared" si="4"/>
        <v>#N/A</v>
      </c>
      <c r="W46" s="297" t="e">
        <f t="shared" si="5"/>
        <v>#N/A</v>
      </c>
      <c r="X46" s="297" t="e">
        <f t="shared" si="6"/>
        <v>#N/A</v>
      </c>
      <c r="Y46" s="297" t="e">
        <f t="shared" si="7"/>
        <v>#N/A</v>
      </c>
      <c r="Z46" s="296" t="e">
        <f t="shared" si="8"/>
        <v>#N/A</v>
      </c>
    </row>
    <row r="47" spans="1:56" ht="15">
      <c r="B47" s="516"/>
      <c r="C47" s="349"/>
      <c r="D47" s="554"/>
      <c r="E47" s="555"/>
      <c r="F47" s="294"/>
      <c r="G47" s="42"/>
      <c r="H47" s="41"/>
      <c r="I47" s="42"/>
      <c r="J47" s="290" t="s">
        <v>16</v>
      </c>
      <c r="K47" s="324"/>
      <c r="L47" s="294"/>
      <c r="M47" s="294"/>
      <c r="N47" s="294"/>
      <c r="O47" s="294"/>
      <c r="P47" s="12"/>
      <c r="R47" s="277">
        <f t="shared" si="0"/>
        <v>0</v>
      </c>
      <c r="S47" s="296" t="e">
        <f t="shared" si="1"/>
        <v>#N/A</v>
      </c>
      <c r="T47" s="296" t="e">
        <f t="shared" si="2"/>
        <v>#N/A</v>
      </c>
      <c r="U47" s="297" t="e">
        <f t="shared" si="3"/>
        <v>#N/A</v>
      </c>
      <c r="V47" s="297" t="e">
        <f t="shared" si="4"/>
        <v>#N/A</v>
      </c>
      <c r="W47" s="297" t="e">
        <f t="shared" si="5"/>
        <v>#N/A</v>
      </c>
      <c r="X47" s="297" t="e">
        <f t="shared" si="6"/>
        <v>#N/A</v>
      </c>
      <c r="Y47" s="297" t="e">
        <f t="shared" si="7"/>
        <v>#N/A</v>
      </c>
      <c r="Z47" s="296" t="e">
        <f t="shared" si="8"/>
        <v>#N/A</v>
      </c>
      <c r="BC47" s="44"/>
      <c r="BD47" s="44"/>
    </row>
    <row r="48" spans="1:56" ht="15">
      <c r="B48" s="516"/>
      <c r="C48" s="349"/>
      <c r="D48" s="501"/>
      <c r="E48" s="502"/>
      <c r="F48" s="294"/>
      <c r="G48" s="42"/>
      <c r="H48" s="41"/>
      <c r="I48" s="42"/>
      <c r="J48" s="291" t="s">
        <v>15</v>
      </c>
      <c r="K48" s="324"/>
      <c r="L48" s="294"/>
      <c r="M48" s="294"/>
      <c r="N48" s="294"/>
      <c r="O48" s="294"/>
      <c r="P48" s="12"/>
      <c r="R48" s="277">
        <f t="shared" si="0"/>
        <v>0</v>
      </c>
      <c r="S48" s="296" t="e">
        <f t="shared" si="1"/>
        <v>#N/A</v>
      </c>
      <c r="T48" s="296" t="e">
        <f t="shared" si="2"/>
        <v>#N/A</v>
      </c>
      <c r="U48" s="297" t="e">
        <f t="shared" si="3"/>
        <v>#N/A</v>
      </c>
      <c r="V48" s="297" t="e">
        <f t="shared" si="4"/>
        <v>#N/A</v>
      </c>
      <c r="W48" s="297" t="e">
        <f t="shared" si="5"/>
        <v>#N/A</v>
      </c>
      <c r="X48" s="297" t="e">
        <f t="shared" si="6"/>
        <v>#N/A</v>
      </c>
      <c r="Y48" s="297" t="e">
        <f t="shared" si="7"/>
        <v>#N/A</v>
      </c>
      <c r="Z48" s="296" t="e">
        <f t="shared" si="8"/>
        <v>#N/A</v>
      </c>
      <c r="BC48" s="44"/>
      <c r="BD48" s="44"/>
    </row>
    <row r="49" spans="2:57" ht="15">
      <c r="B49" s="516"/>
      <c r="C49" s="349"/>
      <c r="D49" s="554"/>
      <c r="E49" s="555"/>
      <c r="F49" s="294"/>
      <c r="G49" s="42"/>
      <c r="H49" s="41"/>
      <c r="I49" s="42"/>
      <c r="J49" s="291" t="s">
        <v>149</v>
      </c>
      <c r="K49" s="324"/>
      <c r="L49" s="294"/>
      <c r="M49" s="294"/>
      <c r="N49" s="294"/>
      <c r="O49" s="294"/>
      <c r="P49" s="12"/>
      <c r="BC49" s="44"/>
      <c r="BD49" s="44"/>
    </row>
    <row r="50" spans="2:57" ht="15.75" thickBot="1">
      <c r="B50" s="517"/>
      <c r="C50" s="350"/>
      <c r="D50" s="556"/>
      <c r="E50" s="557"/>
      <c r="F50" s="294"/>
      <c r="G50" s="42"/>
      <c r="H50" s="41"/>
      <c r="I50" s="42"/>
      <c r="J50" s="291" t="s">
        <v>148</v>
      </c>
      <c r="K50" s="324"/>
      <c r="L50" s="294"/>
      <c r="M50" s="294"/>
      <c r="N50" s="294"/>
      <c r="O50" s="294"/>
      <c r="P50" s="12"/>
      <c r="BC50" s="44"/>
      <c r="BD50" s="44"/>
    </row>
    <row r="51" spans="2:57" ht="17.649999999999999" customHeight="1" thickBot="1">
      <c r="B51" s="312" t="s">
        <v>139</v>
      </c>
      <c r="C51" s="313"/>
      <c r="D51" s="550" t="e">
        <f>AVERAGE(D29:E50)</f>
        <v>#DIV/0!</v>
      </c>
      <c r="E51" s="551"/>
      <c r="F51" s="294"/>
      <c r="H51" s="41"/>
      <c r="I51" s="42"/>
      <c r="J51" s="295" t="s">
        <v>134</v>
      </c>
      <c r="K51" s="324"/>
      <c r="L51" s="294"/>
      <c r="M51" s="294"/>
      <c r="N51" s="294"/>
      <c r="O51" s="294"/>
      <c r="P51" s="12"/>
      <c r="BC51" s="44"/>
      <c r="BD51" s="44"/>
    </row>
    <row r="52" spans="2:57" ht="17.649999999999999" customHeight="1">
      <c r="B52" s="363"/>
      <c r="C52" s="364"/>
      <c r="D52" s="365"/>
      <c r="E52" s="365"/>
      <c r="F52" s="294"/>
      <c r="G52" s="42"/>
      <c r="H52" s="41"/>
      <c r="I52" s="42"/>
      <c r="J52" s="295" t="s">
        <v>131</v>
      </c>
      <c r="K52" s="324"/>
      <c r="L52" s="294"/>
      <c r="M52" s="294"/>
      <c r="N52" s="294"/>
      <c r="O52" s="294"/>
      <c r="P52" s="12"/>
      <c r="BC52" s="44"/>
      <c r="BD52" s="44"/>
    </row>
    <row r="53" spans="2:57" ht="15.6" customHeight="1">
      <c r="B53" s="45"/>
      <c r="C53" s="11"/>
      <c r="D53" s="11"/>
      <c r="E53" s="46"/>
      <c r="F53" s="294"/>
      <c r="G53" s="42"/>
      <c r="H53" s="41"/>
      <c r="I53" s="42"/>
      <c r="J53" s="346" t="s">
        <v>130</v>
      </c>
      <c r="K53" s="324">
        <f>SUM(K43:K52)</f>
        <v>0</v>
      </c>
      <c r="L53" s="294"/>
      <c r="M53" s="294"/>
      <c r="N53" s="294"/>
      <c r="O53" s="294"/>
      <c r="P53" s="12"/>
    </row>
    <row r="54" spans="2:57" ht="20.25" customHeight="1">
      <c r="B54" s="15" t="s">
        <v>42</v>
      </c>
      <c r="C54" s="1" t="s">
        <v>43</v>
      </c>
      <c r="D54" s="1"/>
      <c r="E54" s="1"/>
      <c r="F54" s="294"/>
      <c r="G54" s="42"/>
      <c r="H54" s="41"/>
      <c r="I54" s="42"/>
      <c r="L54" s="294"/>
      <c r="N54" s="315"/>
      <c r="P54" s="334"/>
    </row>
    <row r="55" spans="2:57" ht="15" customHeight="1" thickBot="1"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1"/>
      <c r="O55" s="48"/>
      <c r="P55" s="49"/>
    </row>
    <row r="56" spans="2:57" ht="15" customHeight="1" thickBot="1">
      <c r="B56" s="480" t="s">
        <v>17</v>
      </c>
      <c r="C56" s="480" t="s">
        <v>44</v>
      </c>
      <c r="D56" s="492" t="s">
        <v>45</v>
      </c>
      <c r="E56" s="494" t="s">
        <v>46</v>
      </c>
      <c r="F56" s="488" t="s">
        <v>47</v>
      </c>
      <c r="G56" s="478" t="s">
        <v>48</v>
      </c>
      <c r="H56" s="480" t="s">
        <v>49</v>
      </c>
      <c r="I56" s="480" t="s">
        <v>50</v>
      </c>
      <c r="J56" s="472" t="s">
        <v>28</v>
      </c>
      <c r="K56" s="484" t="s">
        <v>51</v>
      </c>
      <c r="L56" s="486" t="s">
        <v>52</v>
      </c>
      <c r="M56" s="472" t="s">
        <v>53</v>
      </c>
      <c r="N56" s="13"/>
      <c r="O56" s="13"/>
      <c r="P56" s="50"/>
    </row>
    <row r="57" spans="2:57" ht="28.5" customHeight="1" thickTop="1" thickBot="1">
      <c r="B57" s="481"/>
      <c r="C57" s="481"/>
      <c r="D57" s="493"/>
      <c r="E57" s="495"/>
      <c r="F57" s="489"/>
      <c r="G57" s="479"/>
      <c r="H57" s="481"/>
      <c r="I57" s="481"/>
      <c r="J57" s="473"/>
      <c r="K57" s="485"/>
      <c r="L57" s="487"/>
      <c r="M57" s="473"/>
      <c r="N57" s="13"/>
      <c r="O57" s="13"/>
      <c r="P57" s="50"/>
      <c r="Q57" s="355"/>
      <c r="AB57" s="51">
        <v>43474</v>
      </c>
      <c r="AC57" s="51">
        <v>43475</v>
      </c>
      <c r="AD57" s="51">
        <v>43476</v>
      </c>
      <c r="AE57" s="51">
        <v>43477</v>
      </c>
      <c r="AF57" s="51">
        <v>43478</v>
      </c>
      <c r="AG57" s="51">
        <v>43479</v>
      </c>
      <c r="AH57" s="51">
        <v>43480</v>
      </c>
      <c r="AI57" s="51">
        <v>43481</v>
      </c>
      <c r="AJ57" s="51">
        <v>43482</v>
      </c>
      <c r="AK57" s="51">
        <v>43483</v>
      </c>
      <c r="AL57" s="51">
        <v>43484</v>
      </c>
      <c r="AM57" s="51">
        <v>43485</v>
      </c>
      <c r="AN57" s="51">
        <v>43486</v>
      </c>
      <c r="AO57" s="51">
        <v>43487</v>
      </c>
      <c r="AP57" s="51">
        <v>43488</v>
      </c>
      <c r="AQ57" s="51">
        <v>43489</v>
      </c>
      <c r="AR57" s="51">
        <v>43490</v>
      </c>
      <c r="AS57" s="51">
        <v>43491</v>
      </c>
      <c r="AT57" s="51">
        <v>43492</v>
      </c>
      <c r="AU57" s="51">
        <v>43493</v>
      </c>
      <c r="AV57" s="51">
        <v>43494</v>
      </c>
      <c r="AW57" s="51">
        <v>43495</v>
      </c>
      <c r="AX57" s="51">
        <v>43496</v>
      </c>
    </row>
    <row r="58" spans="2:57" s="54" customFormat="1" ht="59.45" customHeight="1" thickBot="1">
      <c r="B58" s="467" t="str">
        <f>'Sept 12th '!J46</f>
        <v>VITAMALT</v>
      </c>
      <c r="C58" s="442">
        <v>45912</v>
      </c>
      <c r="D58" s="443">
        <f>[39]September_2025!$O$65</f>
        <v>189.7</v>
      </c>
      <c r="E58" s="444">
        <f>SUM([41]VITAMALT!$J$8,[41]VITAMALT!$J$12)</f>
        <v>8.1999999999999993</v>
      </c>
      <c r="F58" s="445"/>
      <c r="G58" s="428">
        <f>[39]September_2025!$O$70</f>
        <v>194.7</v>
      </c>
      <c r="H58" s="429"/>
      <c r="I58" s="429"/>
      <c r="J58" s="449" t="s">
        <v>150</v>
      </c>
      <c r="K58" s="450">
        <f>[40]September_2025!$O$60</f>
        <v>0.68315789473684208</v>
      </c>
      <c r="L58" s="464">
        <f>(((D58+E58)-G58)/(D58+E58))*100</f>
        <v>1.6169782718544665</v>
      </c>
      <c r="M58" s="457" t="s">
        <v>181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[20]January_2019!L7</f>
        <v>285.8</v>
      </c>
      <c r="AC58" s="57">
        <f>[20]January_2019!M7</f>
        <v>508.1</v>
      </c>
      <c r="AD58" s="57">
        <f>[20]January_2019!N7</f>
        <v>0</v>
      </c>
      <c r="AE58" s="57">
        <f>[20]January_2019!O7</f>
        <v>0</v>
      </c>
      <c r="AF58" s="57">
        <f>[20]January_2019!P7</f>
        <v>109.56666666666666</v>
      </c>
      <c r="AG58" s="57">
        <f>[20]January_2019!Q7</f>
        <v>297.64999999999998</v>
      </c>
      <c r="AH58" s="57">
        <f>[20]January_2019!R7</f>
        <v>122.3</v>
      </c>
      <c r="AI58" s="57">
        <f>[20]January_2019!S7</f>
        <v>0</v>
      </c>
      <c r="AJ58" s="57">
        <f>[20]January_2019!T7</f>
        <v>294.7</v>
      </c>
      <c r="AK58" s="57">
        <f>[20]January_2019!U7</f>
        <v>280.5</v>
      </c>
      <c r="AL58" s="57">
        <f>[20]January_2019!V7</f>
        <v>0</v>
      </c>
      <c r="AM58" s="57">
        <f>[20]January_2019!W7</f>
        <v>0</v>
      </c>
      <c r="AN58" s="57">
        <f>[20]January_2019!X7</f>
        <v>188.25</v>
      </c>
      <c r="AO58" s="57">
        <f>[20]January_2019!Y7</f>
        <v>295.7</v>
      </c>
      <c r="AP58" s="57">
        <f>[20]January_2019!Z7</f>
        <v>257.8</v>
      </c>
      <c r="AQ58" s="57">
        <f>[20]January_2019!AA7</f>
        <v>291.2</v>
      </c>
      <c r="AR58" s="57">
        <f>[20]January_2019!AB7</f>
        <v>187</v>
      </c>
      <c r="AS58" s="57">
        <f>[20]January_2019!AC7</f>
        <v>0</v>
      </c>
      <c r="AT58" s="57">
        <f>[20]January_2019!AD7</f>
        <v>0</v>
      </c>
      <c r="AU58" s="57">
        <f>[20]January_2019!AE7</f>
        <v>485.1</v>
      </c>
      <c r="AV58" s="57">
        <f>[20]January_2019!AF7</f>
        <v>171.55</v>
      </c>
      <c r="AW58" s="57">
        <f>[20]January_2019!AG7</f>
        <v>423.8</v>
      </c>
      <c r="AX58" s="277">
        <f>[20]January_2019!AH7</f>
        <v>0</v>
      </c>
      <c r="AY58" s="277"/>
      <c r="AZ58" s="277"/>
      <c r="BA58" s="277"/>
      <c r="BB58" s="277"/>
      <c r="BC58" s="277"/>
      <c r="BD58" s="277"/>
      <c r="BE58" s="277"/>
    </row>
    <row r="59" spans="2:57" s="54" customFormat="1" ht="20.25" customHeight="1" thickBot="1">
      <c r="B59" s="459"/>
      <c r="C59" s="431"/>
      <c r="D59" s="432"/>
      <c r="E59" s="433"/>
      <c r="F59" s="434"/>
      <c r="G59" s="435"/>
      <c r="H59" s="429"/>
      <c r="I59" s="429"/>
      <c r="J59" s="452"/>
      <c r="K59" s="437"/>
      <c r="L59" s="453"/>
      <c r="M59" s="422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59.45" hidden="1" customHeight="1" thickBot="1">
      <c r="B60" s="466"/>
      <c r="C60" s="442"/>
      <c r="D60" s="443"/>
      <c r="E60" s="444"/>
      <c r="F60" s="444"/>
      <c r="G60" s="445"/>
      <c r="H60" s="463"/>
      <c r="I60" s="463"/>
      <c r="J60" s="449"/>
      <c r="K60" s="450"/>
      <c r="L60" s="464"/>
      <c r="M60" s="457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5.75" hidden="1" thickBot="1">
      <c r="B61" s="454"/>
      <c r="C61" s="431"/>
      <c r="D61" s="432"/>
      <c r="E61" s="433"/>
      <c r="F61" s="434"/>
      <c r="G61" s="435"/>
      <c r="H61" s="436"/>
      <c r="I61" s="451"/>
      <c r="J61" s="452"/>
      <c r="K61" s="437"/>
      <c r="L61" s="453"/>
      <c r="M61" s="422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6.6" hidden="1" customHeight="1" thickBot="1">
      <c r="B62" s="387"/>
      <c r="C62" s="442"/>
      <c r="D62" s="443"/>
      <c r="E62" s="444"/>
      <c r="F62" s="445"/>
      <c r="G62" s="446"/>
      <c r="H62" s="447"/>
      <c r="I62" s="448"/>
      <c r="J62" s="449" t="s">
        <v>163</v>
      </c>
      <c r="K62" s="450"/>
      <c r="L62" s="455" t="e">
        <f>(((D62+E62)-G62)/(D62+E62))*100</f>
        <v>#DIV/0!</v>
      </c>
      <c r="M62" s="456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16.5" hidden="1" customHeight="1" thickBot="1">
      <c r="B63" s="438"/>
      <c r="C63" s="424"/>
      <c r="D63" s="425"/>
      <c r="E63" s="426"/>
      <c r="F63" s="427"/>
      <c r="G63" s="428"/>
      <c r="H63" s="429"/>
      <c r="I63" s="439"/>
      <c r="J63" s="440"/>
      <c r="K63" s="430"/>
      <c r="L63" s="441"/>
      <c r="M63" s="423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415"/>
      <c r="AC63" s="415"/>
      <c r="AD63" s="415"/>
      <c r="AE63" s="415"/>
      <c r="AF63" s="415"/>
      <c r="AG63" s="415"/>
      <c r="AH63" s="415"/>
      <c r="AI63" s="415"/>
      <c r="AJ63" s="415"/>
      <c r="AK63" s="415"/>
      <c r="AL63" s="415"/>
      <c r="AM63" s="415"/>
      <c r="AN63" s="415"/>
      <c r="AO63" s="415"/>
      <c r="AP63" s="415"/>
      <c r="AQ63" s="415"/>
      <c r="AR63" s="415"/>
      <c r="AS63" s="415"/>
      <c r="AT63" s="415"/>
      <c r="AU63" s="415"/>
      <c r="AV63" s="415"/>
      <c r="AW63" s="415"/>
    </row>
    <row r="64" spans="2:57" ht="18" customHeight="1" thickBot="1">
      <c r="B64" s="59"/>
      <c r="C64" s="30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 t="s">
        <v>41</v>
      </c>
      <c r="O64" s="56"/>
      <c r="P64" s="60"/>
    </row>
    <row r="65" spans="2:16" ht="15.75" thickBot="1">
      <c r="B65" s="474" t="s">
        <v>55</v>
      </c>
      <c r="C65" s="475"/>
      <c r="D65" s="475"/>
      <c r="E65" s="475"/>
      <c r="F65" s="476"/>
      <c r="G65" s="474" t="s">
        <v>56</v>
      </c>
      <c r="H65" s="475"/>
      <c r="I65" s="475"/>
      <c r="J65" s="476"/>
      <c r="K65" s="474" t="s">
        <v>51</v>
      </c>
      <c r="L65" s="475"/>
      <c r="M65" s="475"/>
      <c r="N65" s="477"/>
      <c r="O65" s="56"/>
      <c r="P65" s="50"/>
    </row>
    <row r="66" spans="2:16" ht="15">
      <c r="B66" s="61" t="s">
        <v>17</v>
      </c>
      <c r="C66" s="62" t="s">
        <v>36</v>
      </c>
      <c r="D66" s="62" t="s">
        <v>37</v>
      </c>
      <c r="E66" s="62" t="s">
        <v>38</v>
      </c>
      <c r="F66" s="63" t="s">
        <v>39</v>
      </c>
      <c r="G66" s="62" t="s">
        <v>36</v>
      </c>
      <c r="H66" s="62" t="s">
        <v>37</v>
      </c>
      <c r="I66" s="62" t="s">
        <v>38</v>
      </c>
      <c r="J66" s="63" t="s">
        <v>39</v>
      </c>
      <c r="K66" s="62" t="s">
        <v>36</v>
      </c>
      <c r="L66" s="62" t="s">
        <v>37</v>
      </c>
      <c r="M66" s="62" t="s">
        <v>38</v>
      </c>
      <c r="N66" s="63" t="s">
        <v>39</v>
      </c>
      <c r="O66" s="56"/>
      <c r="P66" s="64"/>
    </row>
    <row r="67" spans="2:16" ht="15">
      <c r="B67" s="29" t="s">
        <v>6</v>
      </c>
      <c r="C67" s="65"/>
      <c r="D67" s="76"/>
      <c r="E67" s="76"/>
      <c r="F67" s="66">
        <v>4.8</v>
      </c>
      <c r="G67" s="65"/>
      <c r="H67" s="76"/>
      <c r="I67" s="76"/>
      <c r="J67" s="66">
        <v>4.8</v>
      </c>
      <c r="K67" s="67"/>
      <c r="L67" s="194"/>
      <c r="M67" s="194"/>
      <c r="N67" s="68">
        <v>1</v>
      </c>
      <c r="O67" s="56"/>
      <c r="P67" s="69"/>
    </row>
    <row r="68" spans="2:16" ht="15">
      <c r="B68" s="33" t="s">
        <v>9</v>
      </c>
      <c r="C68" s="65"/>
      <c r="D68" s="76"/>
      <c r="E68" s="76"/>
      <c r="F68" s="66">
        <v>4.8</v>
      </c>
      <c r="G68" s="65"/>
      <c r="H68" s="76"/>
      <c r="I68" s="76"/>
      <c r="J68" s="66">
        <v>4.8</v>
      </c>
      <c r="K68" s="67"/>
      <c r="L68" s="194"/>
      <c r="M68" s="194"/>
      <c r="N68" s="68">
        <v>1</v>
      </c>
      <c r="P68" s="69"/>
    </row>
    <row r="69" spans="2:16" ht="15">
      <c r="B69" s="34" t="s">
        <v>40</v>
      </c>
      <c r="C69" s="65"/>
      <c r="D69" s="76"/>
      <c r="E69" s="76"/>
      <c r="F69" s="66">
        <v>5.5</v>
      </c>
      <c r="G69" s="65"/>
      <c r="H69" s="76"/>
      <c r="I69" s="76"/>
      <c r="J69" s="66">
        <v>5.5</v>
      </c>
      <c r="K69" s="67"/>
      <c r="L69" s="194"/>
      <c r="M69" s="194"/>
      <c r="N69" s="68">
        <v>1</v>
      </c>
      <c r="P69" s="69"/>
    </row>
    <row r="70" spans="2:16" ht="15">
      <c r="B70" s="22" t="s">
        <v>33</v>
      </c>
      <c r="C70" s="65">
        <f>L58</f>
        <v>1.6169782718544665</v>
      </c>
      <c r="D70" s="76"/>
      <c r="E70" s="76"/>
      <c r="F70" s="66">
        <v>3.3</v>
      </c>
      <c r="G70" s="65">
        <f>[39]September_2025!$O$74</f>
        <v>1.3216048242656369</v>
      </c>
      <c r="H70" s="76"/>
      <c r="I70" s="76"/>
      <c r="J70" s="66">
        <v>3.3</v>
      </c>
      <c r="K70" s="67">
        <f>K58</f>
        <v>0.68315789473684208</v>
      </c>
      <c r="L70" s="194"/>
      <c r="M70" s="194"/>
      <c r="N70" s="68">
        <v>1</v>
      </c>
      <c r="P70" s="69"/>
    </row>
    <row r="71" spans="2:16" ht="15">
      <c r="B71" s="35" t="s">
        <v>165</v>
      </c>
      <c r="C71" s="65"/>
      <c r="D71" s="76"/>
      <c r="E71" s="76"/>
      <c r="F71" s="66">
        <v>3.3</v>
      </c>
      <c r="G71" s="282"/>
      <c r="H71" s="76"/>
      <c r="I71" s="76"/>
      <c r="J71" s="66">
        <v>3</v>
      </c>
      <c r="K71" s="67"/>
      <c r="L71" s="194"/>
      <c r="M71" s="194"/>
      <c r="N71" s="68">
        <v>1</v>
      </c>
      <c r="P71" s="69"/>
    </row>
    <row r="72" spans="2:16" ht="15">
      <c r="B72" s="36" t="s">
        <v>15</v>
      </c>
      <c r="C72" s="65"/>
      <c r="D72" s="76"/>
      <c r="E72" s="76"/>
      <c r="F72" s="70">
        <f>[21]May_2022!$M$43</f>
        <v>3.4878406700073312</v>
      </c>
      <c r="G72" s="282"/>
      <c r="H72" s="76"/>
      <c r="I72" s="76"/>
      <c r="J72" s="66">
        <v>5.5</v>
      </c>
      <c r="K72" s="67"/>
      <c r="L72" s="194"/>
      <c r="M72" s="194"/>
      <c r="N72" s="68">
        <v>1</v>
      </c>
      <c r="P72" s="69"/>
    </row>
    <row r="73" spans="2:16" ht="15">
      <c r="B73" s="37" t="s">
        <v>16</v>
      </c>
      <c r="C73" s="65"/>
      <c r="D73" s="76"/>
      <c r="E73" s="76"/>
      <c r="F73" s="66">
        <v>3.3</v>
      </c>
      <c r="G73" s="282"/>
      <c r="H73" s="76"/>
      <c r="I73" s="76"/>
      <c r="J73" s="66">
        <v>3.3</v>
      </c>
      <c r="K73" s="67"/>
      <c r="L73" s="194"/>
      <c r="M73" s="194"/>
      <c r="N73" s="71">
        <v>1</v>
      </c>
      <c r="P73" s="69"/>
    </row>
    <row r="74" spans="2:16" ht="15.75" thickBot="1">
      <c r="B74" s="38" t="s">
        <v>164</v>
      </c>
      <c r="C74" s="65"/>
      <c r="D74" s="76"/>
      <c r="E74" s="76"/>
      <c r="F74" s="66">
        <v>7.5</v>
      </c>
      <c r="G74" s="282"/>
      <c r="H74" s="76"/>
      <c r="I74" s="76"/>
      <c r="J74" s="66">
        <v>7.5</v>
      </c>
      <c r="K74" s="67"/>
      <c r="M74" s="194"/>
      <c r="N74" s="71">
        <v>1</v>
      </c>
      <c r="P74" s="69"/>
    </row>
    <row r="75" spans="2:16" ht="15.75" thickBot="1">
      <c r="B75" s="414" t="s">
        <v>161</v>
      </c>
      <c r="C75" s="65"/>
      <c r="D75" s="76"/>
      <c r="E75" s="76"/>
      <c r="F75" s="66">
        <v>4.8</v>
      </c>
      <c r="G75" s="282"/>
      <c r="H75" s="76"/>
      <c r="I75" s="76"/>
      <c r="J75" s="66">
        <v>4.8</v>
      </c>
      <c r="K75" s="67"/>
      <c r="L75" s="194"/>
      <c r="M75" s="194"/>
      <c r="N75" s="71">
        <v>1</v>
      </c>
      <c r="O75" s="74"/>
      <c r="P75" s="75"/>
    </row>
    <row r="76" spans="2:16" ht="15">
      <c r="D76" s="76"/>
      <c r="E76" s="76"/>
      <c r="F76" s="341">
        <v>5.5</v>
      </c>
      <c r="H76" s="76"/>
      <c r="I76" s="76"/>
      <c r="J76" s="341">
        <v>5.5</v>
      </c>
      <c r="L76" s="194"/>
      <c r="M76" s="194"/>
      <c r="N76" s="386">
        <v>1</v>
      </c>
    </row>
    <row r="80" spans="2:16">
      <c r="F80" s="315"/>
    </row>
    <row r="81" spans="6:6" ht="15">
      <c r="F81" s="341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7:N27"/>
    <mergeCell ref="D28:E28"/>
    <mergeCell ref="B29:B40"/>
    <mergeCell ref="D29:E30"/>
    <mergeCell ref="D31:E32"/>
    <mergeCell ref="D33:E34"/>
    <mergeCell ref="D35:E36"/>
    <mergeCell ref="D37:E38"/>
    <mergeCell ref="D39:E40"/>
    <mergeCell ref="B41:B50"/>
    <mergeCell ref="D41:E42"/>
    <mergeCell ref="J41:K41"/>
    <mergeCell ref="L42:N42"/>
    <mergeCell ref="D43:E44"/>
    <mergeCell ref="D45:E46"/>
    <mergeCell ref="D47:E48"/>
    <mergeCell ref="D49:E50"/>
    <mergeCell ref="D51:E51"/>
    <mergeCell ref="B56:B57"/>
    <mergeCell ref="C56:C57"/>
    <mergeCell ref="D56:D57"/>
    <mergeCell ref="E56:E57"/>
    <mergeCell ref="M56:M57"/>
    <mergeCell ref="B65:F65"/>
    <mergeCell ref="G65:J65"/>
    <mergeCell ref="K65:N65"/>
    <mergeCell ref="G56:G57"/>
    <mergeCell ref="H56:H57"/>
    <mergeCell ref="I56:I57"/>
    <mergeCell ref="J56:J57"/>
    <mergeCell ref="K56:K57"/>
    <mergeCell ref="L56:L57"/>
    <mergeCell ref="F56:F57"/>
  </mergeCells>
  <conditionalFormatting sqref="B51:B52">
    <cfRule type="cellIs" dxfId="2066" priority="157" operator="notBetween">
      <formula>#REF!</formula>
      <formula>#REF!</formula>
    </cfRule>
  </conditionalFormatting>
  <conditionalFormatting sqref="C55">
    <cfRule type="cellIs" dxfId="2065" priority="189" stopIfTrue="1" operator="greaterThan">
      <formula>100</formula>
    </cfRule>
    <cfRule type="cellIs" dxfId="2064" priority="188" stopIfTrue="1" operator="lessThan">
      <formula>96</formula>
    </cfRule>
  </conditionalFormatting>
  <conditionalFormatting sqref="C67:C68">
    <cfRule type="cellIs" dxfId="2063" priority="192" stopIfTrue="1" operator="greaterThan">
      <formula>$F67</formula>
    </cfRule>
    <cfRule type="cellIs" dxfId="2062" priority="194" stopIfTrue="1" operator="greaterThan">
      <formula>$F68</formula>
    </cfRule>
  </conditionalFormatting>
  <conditionalFormatting sqref="C67:C71">
    <cfRule type="cellIs" dxfId="2061" priority="138" stopIfTrue="1" operator="lessThanOrEqual">
      <formula>0</formula>
    </cfRule>
  </conditionalFormatting>
  <conditionalFormatting sqref="C68:C75">
    <cfRule type="cellIs" dxfId="2060" priority="137" stopIfTrue="1" operator="greaterThan">
      <formula>$F68</formula>
    </cfRule>
  </conditionalFormatting>
  <conditionalFormatting sqref="C72">
    <cfRule type="cellIs" dxfId="2059" priority="63" stopIfTrue="1" operator="greaterThan">
      <formula>$F71</formula>
    </cfRule>
    <cfRule type="cellIs" dxfId="2058" priority="62" stopIfTrue="1" operator="lessThanOrEqual">
      <formula>0</formula>
    </cfRule>
  </conditionalFormatting>
  <conditionalFormatting sqref="C73:C75">
    <cfRule type="cellIs" dxfId="2057" priority="154" stopIfTrue="1" operator="lessThanOrEqual">
      <formula>0</formula>
    </cfRule>
  </conditionalFormatting>
  <conditionalFormatting sqref="C78:C82">
    <cfRule type="cellIs" dxfId="2056" priority="180" stopIfTrue="1" operator="lessThanOrEqual">
      <formula>0</formula>
    </cfRule>
  </conditionalFormatting>
  <conditionalFormatting sqref="C79:C82">
    <cfRule type="cellIs" dxfId="2055" priority="179" stopIfTrue="1" operator="greaterThan">
      <formula>$F$78</formula>
    </cfRule>
  </conditionalFormatting>
  <conditionalFormatting sqref="C84">
    <cfRule type="cellIs" dxfId="2054" priority="181" stopIfTrue="1" operator="greaterThan">
      <formula>$F$78</formula>
    </cfRule>
    <cfRule type="cellIs" dxfId="2053" priority="182" stopIfTrue="1" operator="lessThanOrEqual">
      <formula>0</formula>
    </cfRule>
  </conditionalFormatting>
  <conditionalFormatting sqref="C78:D78 D80:D86">
    <cfRule type="cellIs" dxfId="2052" priority="174" stopIfTrue="1" operator="greaterThan">
      <formula>4.5</formula>
    </cfRule>
  </conditionalFormatting>
  <conditionalFormatting sqref="D51:D52">
    <cfRule type="cellIs" dxfId="2051" priority="158" operator="notBetween">
      <formula>#REF!</formula>
      <formula>#REF!</formula>
    </cfRule>
  </conditionalFormatting>
  <conditionalFormatting sqref="D67:D74">
    <cfRule type="cellIs" dxfId="2050" priority="152" stopIfTrue="1" operator="lessThanOrEqual">
      <formula>0</formula>
    </cfRule>
  </conditionalFormatting>
  <conditionalFormatting sqref="D75">
    <cfRule type="cellIs" dxfId="2049" priority="151" stopIfTrue="1" operator="lessThanOrEqual">
      <formula>0</formula>
    </cfRule>
  </conditionalFormatting>
  <conditionalFormatting sqref="D78 D80:D86">
    <cfRule type="cellIs" dxfId="2048" priority="175" stopIfTrue="1" operator="lessThanOrEqual">
      <formula>0</formula>
    </cfRule>
  </conditionalFormatting>
  <conditionalFormatting sqref="D79">
    <cfRule type="cellIs" dxfId="2047" priority="167" stopIfTrue="1" operator="lessThanOrEqual">
      <formula>0</formula>
    </cfRule>
    <cfRule type="cellIs" dxfId="2046" priority="166" stopIfTrue="1" operator="greaterThan">
      <formula>$F$78</formula>
    </cfRule>
  </conditionalFormatting>
  <conditionalFormatting sqref="D67:E76">
    <cfRule type="cellIs" dxfId="2045" priority="135" stopIfTrue="1" operator="greaterThan">
      <formula>$F67</formula>
    </cfRule>
  </conditionalFormatting>
  <conditionalFormatting sqref="D76:E76">
    <cfRule type="cellIs" dxfId="2044" priority="136" stopIfTrue="1" operator="lessThanOrEqual">
      <formula>0</formula>
    </cfRule>
  </conditionalFormatting>
  <conditionalFormatting sqref="E10:E26">
    <cfRule type="cellIs" dxfId="2043" priority="32" operator="lessThan">
      <formula>48</formula>
    </cfRule>
  </conditionalFormatting>
  <conditionalFormatting sqref="E54 E55:F55">
    <cfRule type="cellIs" dxfId="2042" priority="171" stopIfTrue="1" operator="greaterThan">
      <formula>100</formula>
    </cfRule>
  </conditionalFormatting>
  <conditionalFormatting sqref="E55">
    <cfRule type="cellIs" dxfId="2041" priority="169" stopIfTrue="1" operator="greaterThan">
      <formula>100</formula>
    </cfRule>
    <cfRule type="cellIs" dxfId="2040" priority="168" stopIfTrue="1" operator="lessThan">
      <formula>96.8</formula>
    </cfRule>
  </conditionalFormatting>
  <conditionalFormatting sqref="E67:E75">
    <cfRule type="cellIs" dxfId="2039" priority="146" stopIfTrue="1" operator="lessThanOrEqual">
      <formula>0</formula>
    </cfRule>
  </conditionalFormatting>
  <conditionalFormatting sqref="E78:E86">
    <cfRule type="cellIs" dxfId="2038" priority="160" stopIfTrue="1" operator="greaterThan">
      <formula>4.5</formula>
    </cfRule>
    <cfRule type="cellIs" dxfId="2037" priority="161" stopIfTrue="1" operator="lessThanOrEqual">
      <formula>0</formula>
    </cfRule>
  </conditionalFormatting>
  <conditionalFormatting sqref="E55:F55 E54">
    <cfRule type="cellIs" dxfId="2036" priority="170" stopIfTrue="1" operator="lessThan">
      <formula>96.5</formula>
    </cfRule>
  </conditionalFormatting>
  <conditionalFormatting sqref="F10:F25">
    <cfRule type="cellIs" dxfId="2035" priority="46" operator="greaterThan">
      <formula>60</formula>
    </cfRule>
  </conditionalFormatting>
  <conditionalFormatting sqref="F55">
    <cfRule type="cellIs" dxfId="2034" priority="187" stopIfTrue="1" operator="greaterThan">
      <formula>100</formula>
    </cfRule>
    <cfRule type="cellIs" dxfId="2033" priority="186" stopIfTrue="1" operator="lessThan">
      <formula>96.8</formula>
    </cfRule>
  </conditionalFormatting>
  <conditionalFormatting sqref="F76">
    <cfRule type="cellIs" dxfId="2032" priority="148" stopIfTrue="1" operator="lessThanOrEqual">
      <formula>0</formula>
    </cfRule>
    <cfRule type="cellIs" dxfId="2031" priority="147" stopIfTrue="1" operator="greaterThan">
      <formula>$F76</formula>
    </cfRule>
  </conditionalFormatting>
  <conditionalFormatting sqref="F81">
    <cfRule type="cellIs" dxfId="2030" priority="106" stopIfTrue="1" operator="greaterThan">
      <formula>$F81</formula>
    </cfRule>
    <cfRule type="cellIs" dxfId="2029" priority="107" stopIfTrue="1" operator="lessThanOrEqual">
      <formula>0</formula>
    </cfRule>
  </conditionalFormatting>
  <conditionalFormatting sqref="G10:G13 G21:G24 G26">
    <cfRule type="expression" dxfId="2028" priority="41">
      <formula>IF(+(IF(G10&lt;S10,0,IF(G10&gt;T10,0,1)))=0,1)</formula>
    </cfRule>
  </conditionalFormatting>
  <conditionalFormatting sqref="G67:G69">
    <cfRule type="cellIs" dxfId="2027" priority="140" stopIfTrue="1" operator="lessThanOrEqual">
      <formula>0</formula>
    </cfRule>
    <cfRule type="cellIs" dxfId="2026" priority="139" stopIfTrue="1" operator="greaterThan">
      <formula>$F67</formula>
    </cfRule>
  </conditionalFormatting>
  <conditionalFormatting sqref="G67:G70">
    <cfRule type="cellIs" dxfId="2025" priority="149" stopIfTrue="1" operator="greaterThan">
      <formula>$F67</formula>
    </cfRule>
    <cfRule type="cellIs" dxfId="2024" priority="150" stopIfTrue="1" operator="lessThanOrEqual">
      <formula>0</formula>
    </cfRule>
  </conditionalFormatting>
  <conditionalFormatting sqref="G71:G75">
    <cfRule type="cellIs" dxfId="2023" priority="156" stopIfTrue="1" operator="lessThanOrEqual">
      <formula>0</formula>
    </cfRule>
    <cfRule type="cellIs" dxfId="2022" priority="155" stopIfTrue="1" operator="greaterThan">
      <formula>$J71</formula>
    </cfRule>
  </conditionalFormatting>
  <conditionalFormatting sqref="G80:G85 C83 C85">
    <cfRule type="cellIs" dxfId="2021" priority="183" stopIfTrue="1" operator="greaterThan">
      <formula>4.5</formula>
    </cfRule>
    <cfRule type="cellIs" dxfId="2020" priority="184" stopIfTrue="1" operator="lessThanOrEqual">
      <formula>0</formula>
    </cfRule>
  </conditionalFormatting>
  <conditionalFormatting sqref="G79:H79">
    <cfRule type="cellIs" dxfId="2019" priority="165" stopIfTrue="1" operator="lessThanOrEqual">
      <formula>0</formula>
    </cfRule>
    <cfRule type="cellIs" dxfId="2018" priority="164" stopIfTrue="1" operator="greaterThan">
      <formula>$F$78</formula>
    </cfRule>
  </conditionalFormatting>
  <conditionalFormatting sqref="H10:H13 G14:H20 H21:H24 G25:H25">
    <cfRule type="expression" dxfId="2017" priority="61">
      <formula>IF(+(IF(G10&lt;#REF!,0,IF(G10&gt;#REF!,0,1)))=0,1)</formula>
    </cfRule>
  </conditionalFormatting>
  <conditionalFormatting sqref="H26">
    <cfRule type="expression" dxfId="2016" priority="42">
      <formula>IF(+(IF(H26&lt;#REF!,0,IF(H26&gt;#REF!,0,1)))=0,1)</formula>
    </cfRule>
  </conditionalFormatting>
  <conditionalFormatting sqref="H40:H54">
    <cfRule type="cellIs" dxfId="2015" priority="162" stopIfTrue="1" operator="greaterThan">
      <formula>0</formula>
    </cfRule>
  </conditionalFormatting>
  <conditionalFormatting sqref="H58">
    <cfRule type="cellIs" dxfId="2014" priority="3" stopIfTrue="1" operator="greaterThan">
      <formula>$F$45</formula>
    </cfRule>
    <cfRule type="cellIs" dxfId="2013" priority="2" stopIfTrue="1" operator="lessThanOrEqual">
      <formula>0</formula>
    </cfRule>
    <cfRule type="cellIs" dxfId="2012" priority="12" stopIfTrue="1" operator="lessThanOrEqual">
      <formula>0</formula>
    </cfRule>
    <cfRule type="cellIs" dxfId="2011" priority="14" stopIfTrue="1" operator="lessThanOrEqual">
      <formula>0</formula>
    </cfRule>
    <cfRule type="cellIs" dxfId="2010" priority="11" stopIfTrue="1" operator="greaterThan">
      <formula>$F$48</formula>
    </cfRule>
    <cfRule type="cellIs" dxfId="2009" priority="13" stopIfTrue="1" operator="greaterThan">
      <formula>$F$46</formula>
    </cfRule>
  </conditionalFormatting>
  <conditionalFormatting sqref="H59">
    <cfRule type="cellIs" dxfId="2008" priority="93" stopIfTrue="1" operator="lessThanOrEqual">
      <formula>0</formula>
    </cfRule>
    <cfRule type="cellIs" dxfId="2007" priority="94" stopIfTrue="1" operator="greaterThan">
      <formula>#REF!</formula>
    </cfRule>
    <cfRule type="cellIs" dxfId="2006" priority="102" stopIfTrue="1" operator="greaterThan">
      <formula>$F$27</formula>
    </cfRule>
    <cfRule type="cellIs" dxfId="2005" priority="103" stopIfTrue="1" operator="lessThanOrEqual">
      <formula>0</formula>
    </cfRule>
    <cfRule type="cellIs" dxfId="2004" priority="104" stopIfTrue="1" operator="greaterThan">
      <formula>#REF!</formula>
    </cfRule>
    <cfRule type="cellIs" dxfId="2003" priority="105" stopIfTrue="1" operator="lessThanOrEqual">
      <formula>0</formula>
    </cfRule>
  </conditionalFormatting>
  <conditionalFormatting sqref="H60">
    <cfRule type="cellIs" dxfId="2002" priority="18" stopIfTrue="1" operator="greaterThan">
      <formula>#REF!</formula>
    </cfRule>
    <cfRule type="cellIs" dxfId="2001" priority="17" stopIfTrue="1" operator="lessThanOrEqual">
      <formula>0</formula>
    </cfRule>
    <cfRule type="cellIs" dxfId="2000" priority="28" stopIfTrue="1" operator="greaterThan">
      <formula>#REF!</formula>
    </cfRule>
  </conditionalFormatting>
  <conditionalFormatting sqref="H60:H62">
    <cfRule type="cellIs" dxfId="1999" priority="29" stopIfTrue="1" operator="lessThanOrEqual">
      <formula>0</formula>
    </cfRule>
  </conditionalFormatting>
  <conditionalFormatting sqref="H61:H62">
    <cfRule type="cellIs" dxfId="1998" priority="91" stopIfTrue="1" operator="lessThanOrEqual">
      <formula>0</formula>
    </cfRule>
    <cfRule type="cellIs" dxfId="1997" priority="90" stopIfTrue="1" operator="greaterThan">
      <formula>#REF!</formula>
    </cfRule>
    <cfRule type="cellIs" dxfId="1996" priority="89" stopIfTrue="1" operator="lessThanOrEqual">
      <formula>0</formula>
    </cfRule>
    <cfRule type="cellIs" dxfId="1995" priority="88" stopIfTrue="1" operator="greaterThan">
      <formula>$F$26</formula>
    </cfRule>
    <cfRule type="cellIs" dxfId="1994" priority="80" stopIfTrue="1" operator="greaterThan">
      <formula>#REF!</formula>
    </cfRule>
  </conditionalFormatting>
  <conditionalFormatting sqref="H63">
    <cfRule type="cellIs" dxfId="1993" priority="110" stopIfTrue="1" operator="lessThanOrEqual">
      <formula>0</formula>
    </cfRule>
    <cfRule type="cellIs" dxfId="1992" priority="122" stopIfTrue="1" operator="lessThanOrEqual">
      <formula>0</formula>
    </cfRule>
    <cfRule type="cellIs" dxfId="1991" priority="121" stopIfTrue="1" operator="greaterThan">
      <formula>$F$40</formula>
    </cfRule>
    <cfRule type="cellIs" dxfId="1990" priority="120" stopIfTrue="1" operator="lessThanOrEqual">
      <formula>0</formula>
    </cfRule>
    <cfRule type="cellIs" dxfId="1989" priority="119" stopIfTrue="1" operator="greaterThan">
      <formula>$F$42</formula>
    </cfRule>
    <cfRule type="cellIs" dxfId="1988" priority="111" stopIfTrue="1" operator="greaterThan">
      <formula>$F$39</formula>
    </cfRule>
  </conditionalFormatting>
  <conditionalFormatting sqref="H67:H74">
    <cfRule type="cellIs" dxfId="1987" priority="141" stopIfTrue="1" operator="greaterThan">
      <formula>$J67</formula>
    </cfRule>
    <cfRule type="cellIs" dxfId="1986" priority="142" stopIfTrue="1" operator="lessThanOrEqual">
      <formula>0</formula>
    </cfRule>
  </conditionalFormatting>
  <conditionalFormatting sqref="H75">
    <cfRule type="cellIs" dxfId="1985" priority="143" operator="greaterThan">
      <formula>5.3</formula>
    </cfRule>
  </conditionalFormatting>
  <conditionalFormatting sqref="H78 H80:H86">
    <cfRule type="cellIs" dxfId="1984" priority="176" stopIfTrue="1" operator="greaterThan">
      <formula>4.5</formula>
    </cfRule>
    <cfRule type="cellIs" dxfId="1983" priority="177" stopIfTrue="1" operator="lessThanOrEqual">
      <formula>0</formula>
    </cfRule>
  </conditionalFormatting>
  <conditionalFormatting sqref="H58:I58">
    <cfRule type="cellIs" dxfId="1982" priority="4" stopIfTrue="1" operator="lessThanOrEqual">
      <formula>0</formula>
    </cfRule>
    <cfRule type="cellIs" dxfId="1981" priority="1" stopIfTrue="1" operator="greaterThan">
      <formula>$F$47</formula>
    </cfRule>
  </conditionalFormatting>
  <conditionalFormatting sqref="H59:I59">
    <cfRule type="cellIs" dxfId="1980" priority="95" stopIfTrue="1" operator="lessThanOrEqual">
      <formula>0</formula>
    </cfRule>
    <cfRule type="cellIs" dxfId="1979" priority="92" stopIfTrue="1" operator="greaterThan">
      <formula>$F$26</formula>
    </cfRule>
  </conditionalFormatting>
  <conditionalFormatting sqref="H60:I60">
    <cfRule type="cellIs" dxfId="1978" priority="25" stopIfTrue="1" operator="lessThanOrEqual">
      <formula>0</formula>
    </cfRule>
    <cfRule type="cellIs" dxfId="1977" priority="19" stopIfTrue="1" operator="lessThanOrEqual">
      <formula>0</formula>
    </cfRule>
    <cfRule type="cellIs" dxfId="1976" priority="16" stopIfTrue="1" operator="greaterThan">
      <formula>#REF!</formula>
    </cfRule>
  </conditionalFormatting>
  <conditionalFormatting sqref="H60:I62">
    <cfRule type="cellIs" dxfId="1975" priority="24" stopIfTrue="1" operator="greaterThan">
      <formula>#REF!</formula>
    </cfRule>
  </conditionalFormatting>
  <conditionalFormatting sqref="H61:I62">
    <cfRule type="cellIs" dxfId="1974" priority="81" stopIfTrue="1" operator="lessThanOrEqual">
      <formula>0</formula>
    </cfRule>
  </conditionalFormatting>
  <conditionalFormatting sqref="H63:I63">
    <cfRule type="cellIs" dxfId="1973" priority="112" stopIfTrue="1" operator="lessThanOrEqual">
      <formula>0</formula>
    </cfRule>
    <cfRule type="cellIs" dxfId="1972" priority="109" stopIfTrue="1" operator="greaterThan">
      <formula>$F$41</formula>
    </cfRule>
  </conditionalFormatting>
  <conditionalFormatting sqref="H76:I76">
    <cfRule type="cellIs" dxfId="1971" priority="133" stopIfTrue="1" operator="greaterThan">
      <formula>$J76</formula>
    </cfRule>
    <cfRule type="cellIs" dxfId="1970" priority="134" stopIfTrue="1" operator="lessThanOrEqual">
      <formula>0</formula>
    </cfRule>
  </conditionalFormatting>
  <conditionalFormatting sqref="I58">
    <cfRule type="cellIs" dxfId="1969" priority="10" stopIfTrue="1" operator="lessThanOrEqual">
      <formula>0</formula>
    </cfRule>
    <cfRule type="cellIs" dxfId="1968" priority="9" stopIfTrue="1" operator="greaterThan">
      <formula>$F$45</formula>
    </cfRule>
    <cfRule type="cellIs" dxfId="1967" priority="8" stopIfTrue="1" operator="lessThanOrEqual">
      <formula>0</formula>
    </cfRule>
    <cfRule type="cellIs" dxfId="1966" priority="7" stopIfTrue="1" operator="greaterThan">
      <formula>$F$47</formula>
    </cfRule>
    <cfRule type="cellIs" dxfId="1965" priority="6" stopIfTrue="1" operator="lessThanOrEqual">
      <formula>0</formula>
    </cfRule>
    <cfRule type="cellIs" dxfId="1964" priority="5" stopIfTrue="1" operator="greaterThan">
      <formula>$F$45</formula>
    </cfRule>
  </conditionalFormatting>
  <conditionalFormatting sqref="I59">
    <cfRule type="cellIs" dxfId="1963" priority="101" stopIfTrue="1" operator="lessThanOrEqual">
      <formula>0</formula>
    </cfRule>
    <cfRule type="cellIs" dxfId="1962" priority="100" stopIfTrue="1" operator="greaterThan">
      <formula>#REF!</formula>
    </cfRule>
    <cfRule type="cellIs" dxfId="1961" priority="99" stopIfTrue="1" operator="lessThanOrEqual">
      <formula>0</formula>
    </cfRule>
    <cfRule type="cellIs" dxfId="1960" priority="98" stopIfTrue="1" operator="greaterThan">
      <formula>$F$26</formula>
    </cfRule>
    <cfRule type="cellIs" dxfId="1959" priority="97" stopIfTrue="1" operator="lessThanOrEqual">
      <formula>0</formula>
    </cfRule>
    <cfRule type="cellIs" dxfId="1958" priority="96" stopIfTrue="1" operator="greaterThan">
      <formula>#REF!</formula>
    </cfRule>
  </conditionalFormatting>
  <conditionalFormatting sqref="I60">
    <cfRule type="cellIs" dxfId="1957" priority="23" stopIfTrue="1" operator="lessThanOrEqual">
      <formula>0</formula>
    </cfRule>
    <cfRule type="cellIs" dxfId="1956" priority="21" stopIfTrue="1" operator="lessThanOrEqual">
      <formula>0</formula>
    </cfRule>
    <cfRule type="cellIs" dxfId="1955" priority="20" stopIfTrue="1" operator="greaterThan">
      <formula>#REF!</formula>
    </cfRule>
    <cfRule type="cellIs" dxfId="1954" priority="22" stopIfTrue="1" operator="greaterThan">
      <formula>#REF!</formula>
    </cfRule>
  </conditionalFormatting>
  <conditionalFormatting sqref="I61:I62">
    <cfRule type="cellIs" dxfId="1953" priority="85" stopIfTrue="1" operator="lessThanOrEqual">
      <formula>0</formula>
    </cfRule>
    <cfRule type="cellIs" dxfId="1952" priority="84" stopIfTrue="1" operator="greaterThan">
      <formula>#REF!</formula>
    </cfRule>
    <cfRule type="cellIs" dxfId="1951" priority="83" stopIfTrue="1" operator="lessThanOrEqual">
      <formula>0</formula>
    </cfRule>
    <cfRule type="cellIs" dxfId="1950" priority="86" stopIfTrue="1" operator="greaterThan">
      <formula>#REF!</formula>
    </cfRule>
    <cfRule type="cellIs" dxfId="1949" priority="82" stopIfTrue="1" operator="greaterThan">
      <formula>#REF!</formula>
    </cfRule>
    <cfRule type="cellIs" dxfId="1948" priority="87" stopIfTrue="1" operator="lessThanOrEqual">
      <formula>0</formula>
    </cfRule>
  </conditionalFormatting>
  <conditionalFormatting sqref="I63">
    <cfRule type="cellIs" dxfId="1947" priority="114" stopIfTrue="1" operator="lessThanOrEqual">
      <formula>0</formula>
    </cfRule>
    <cfRule type="cellIs" dxfId="1946" priority="113" stopIfTrue="1" operator="greaterThan">
      <formula>$F$39</formula>
    </cfRule>
    <cfRule type="cellIs" dxfId="1945" priority="115" stopIfTrue="1" operator="greaterThan">
      <formula>$F$41</formula>
    </cfRule>
    <cfRule type="cellIs" dxfId="1944" priority="116" stopIfTrue="1" operator="lessThanOrEqual">
      <formula>0</formula>
    </cfRule>
    <cfRule type="cellIs" dxfId="1943" priority="117" stopIfTrue="1" operator="greaterThan">
      <formula>$F$39</formula>
    </cfRule>
    <cfRule type="cellIs" dxfId="1942" priority="118" stopIfTrue="1" operator="lessThanOrEqual">
      <formula>0</formula>
    </cfRule>
  </conditionalFormatting>
  <conditionalFormatting sqref="I67:I75">
    <cfRule type="cellIs" dxfId="1941" priority="144" stopIfTrue="1" operator="greaterThan">
      <formula>$J67</formula>
    </cfRule>
    <cfRule type="cellIs" dxfId="1940" priority="145" stopIfTrue="1" operator="lessThanOrEqual">
      <formula>0</formula>
    </cfRule>
  </conditionalFormatting>
  <conditionalFormatting sqref="I78:I86">
    <cfRule type="cellIs" dxfId="1939" priority="172" stopIfTrue="1" operator="greaterThan">
      <formula>4.5</formula>
    </cfRule>
    <cfRule type="cellIs" dxfId="1938" priority="173" stopIfTrue="1" operator="lessThanOrEqual">
      <formula>0</formula>
    </cfRule>
  </conditionalFormatting>
  <conditionalFormatting sqref="I10:J26">
    <cfRule type="cellIs" dxfId="1937" priority="33" operator="lessThan">
      <formula>97.9</formula>
    </cfRule>
  </conditionalFormatting>
  <conditionalFormatting sqref="J29:J35">
    <cfRule type="cellIs" dxfId="1936" priority="123" operator="lessThan">
      <formula>97.4</formula>
    </cfRule>
  </conditionalFormatting>
  <conditionalFormatting sqref="J29:J37">
    <cfRule type="cellIs" dxfId="1935" priority="124" stopIfTrue="1" operator="lessThan">
      <formula>96.8</formula>
    </cfRule>
    <cfRule type="cellIs" dxfId="1934" priority="125" stopIfTrue="1" operator="greaterThan">
      <formula>100</formula>
    </cfRule>
  </conditionalFormatting>
  <conditionalFormatting sqref="J29:J38">
    <cfRule type="cellIs" dxfId="1933" priority="126" operator="lessThan">
      <formula>98</formula>
    </cfRule>
  </conditionalFormatting>
  <conditionalFormatting sqref="J76">
    <cfRule type="cellIs" dxfId="1932" priority="131" stopIfTrue="1" operator="lessThanOrEqual">
      <formula>0</formula>
    </cfRule>
    <cfRule type="cellIs" dxfId="1931" priority="130" stopIfTrue="1" operator="greaterThan">
      <formula>$F76</formula>
    </cfRule>
  </conditionalFormatting>
  <conditionalFormatting sqref="K10:K26">
    <cfRule type="cellIs" dxfId="1930" priority="36" operator="greaterThan">
      <formula>6</formula>
    </cfRule>
    <cfRule type="cellIs" dxfId="1929" priority="37" operator="lessThan">
      <formula>4</formula>
    </cfRule>
    <cfRule type="cellIs" dxfId="1928" priority="38" operator="greaterThan">
      <formula>6.4</formula>
    </cfRule>
  </conditionalFormatting>
  <conditionalFormatting sqref="K58:K63">
    <cfRule type="cellIs" dxfId="1927" priority="15" stopIfTrue="1" operator="lessThan">
      <formula>100%</formula>
    </cfRule>
  </conditionalFormatting>
  <conditionalFormatting sqref="K78:K83">
    <cfRule type="cellIs" dxfId="1926" priority="178" stopIfTrue="1" operator="lessThan">
      <formula>100%</formula>
    </cfRule>
  </conditionalFormatting>
  <conditionalFormatting sqref="K85:K86">
    <cfRule type="cellIs" dxfId="1925" priority="185" stopIfTrue="1" operator="lessThan">
      <formula>100%</formula>
    </cfRule>
  </conditionalFormatting>
  <conditionalFormatting sqref="K67:N73 K74 M74:N74 K75:N75">
    <cfRule type="cellIs" dxfId="1924" priority="108" stopIfTrue="1" operator="lessThan">
      <formula>100%</formula>
    </cfRule>
  </conditionalFormatting>
  <conditionalFormatting sqref="L10:L13 L14:M20 L21:L26">
    <cfRule type="cellIs" dxfId="1923" priority="34" operator="between">
      <formula>61</formula>
      <formula>65</formula>
    </cfRule>
    <cfRule type="cellIs" dxfId="1922" priority="35" operator="greaterThan">
      <formula>65</formula>
    </cfRule>
  </conditionalFormatting>
  <conditionalFormatting sqref="L29:M40">
    <cfRule type="cellIs" dxfId="1921" priority="30" operator="lessThan">
      <formula>98</formula>
    </cfRule>
  </conditionalFormatting>
  <conditionalFormatting sqref="L44:N44">
    <cfRule type="cellIs" dxfId="1920" priority="31" operator="notEqual">
      <formula>#REF!</formula>
    </cfRule>
  </conditionalFormatting>
  <conditionalFormatting sqref="L76:N76">
    <cfRule type="cellIs" dxfId="1919" priority="132" stopIfTrue="1" operator="lessThan">
      <formula>100%</formula>
    </cfRule>
  </conditionalFormatting>
  <conditionalFormatting sqref="L78:N86">
    <cfRule type="cellIs" dxfId="1918" priority="163" stopIfTrue="1" operator="lessThan">
      <formula>100%</formula>
    </cfRule>
  </conditionalFormatting>
  <conditionalFormatting sqref="M10:M24">
    <cfRule type="expression" dxfId="1917" priority="45">
      <formula>IF(+(IF(M10&lt;U10,0,IF(M10&gt;V10,0,1)))=0,1)</formula>
    </cfRule>
  </conditionalFormatting>
  <conditionalFormatting sqref="M26">
    <cfRule type="expression" dxfId="1916" priority="40">
      <formula>IF(+(IF(M26&lt;U26,0,IF(M26&gt;V26,0,1)))=0,1)</formula>
    </cfRule>
  </conditionalFormatting>
  <conditionalFormatting sqref="M25:N25">
    <cfRule type="expression" dxfId="1915" priority="193">
      <formula>IF(+(IF(M25&lt;#REF!,0,IF(M25&gt;#REF!,0,1)))=0,1)</formula>
    </cfRule>
  </conditionalFormatting>
  <conditionalFormatting sqref="N10:N24">
    <cfRule type="expression" dxfId="1914" priority="44">
      <formula>IF(+(IF(N10&lt;W10,0,IF(N10&gt;X10,0,1)))=0,1)</formula>
    </cfRule>
  </conditionalFormatting>
  <conditionalFormatting sqref="N26">
    <cfRule type="expression" dxfId="1913" priority="39">
      <formula>IF(+(IF(N26&lt;W26,0,IF(N26&gt;X26,0,1)))=0,1)</formula>
    </cfRule>
  </conditionalFormatting>
  <conditionalFormatting sqref="P6">
    <cfRule type="cellIs" dxfId="1912" priority="159" operator="greaterThanOrEqual">
      <formula>19</formula>
    </cfRule>
  </conditionalFormatting>
  <dataValidations count="1">
    <dataValidation type="list" allowBlank="1" showInputMessage="1" showErrorMessage="1" sqref="R8" xr:uid="{9A92CD15-0545-486F-A52B-004A79818519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0" max="16383" man="1"/>
  </rowBreaks>
  <colBreaks count="1" manualBreakCount="1">
    <brk id="15" max="89" man="1"/>
  </col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11A6F-27D2-4CA1-8E73-E5DE2A8716E6}">
  <sheetPr>
    <pageSetUpPr fitToPage="1"/>
  </sheetPr>
  <dimension ref="A1:BE71"/>
  <sheetViews>
    <sheetView topLeftCell="A18" zoomScaleNormal="100" workbookViewId="0">
      <selection activeCell="B13" sqref="B13:O13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67.425781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25" t="s">
        <v>0</v>
      </c>
      <c r="T1" s="525"/>
      <c r="U1" s="525" t="s">
        <v>1</v>
      </c>
      <c r="V1" s="525"/>
      <c r="W1" s="525" t="s">
        <v>2</v>
      </c>
      <c r="X1" s="525"/>
      <c r="Y1" s="525" t="s">
        <v>124</v>
      </c>
      <c r="Z1" s="525"/>
    </row>
    <row r="2" spans="2:29" ht="15">
      <c r="B2" s="526" t="s">
        <v>3</v>
      </c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45916</v>
      </c>
      <c r="J4" s="398" t="s">
        <v>168</v>
      </c>
      <c r="K4" s="398"/>
      <c r="L4" s="11"/>
      <c r="M4" s="547" t="s">
        <v>8</v>
      </c>
      <c r="N4" s="548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44"/>
      <c r="D5" s="544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167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84" t="s">
        <v>17</v>
      </c>
      <c r="C8" s="494" t="s">
        <v>18</v>
      </c>
      <c r="D8" s="494" t="s">
        <v>19</v>
      </c>
      <c r="E8" s="356" t="s">
        <v>20</v>
      </c>
      <c r="F8" s="356" t="s">
        <v>21</v>
      </c>
      <c r="G8" s="494" t="s">
        <v>22</v>
      </c>
      <c r="H8" s="535" t="s">
        <v>144</v>
      </c>
      <c r="I8" s="494" t="s">
        <v>166</v>
      </c>
      <c r="J8" s="537" t="s">
        <v>23</v>
      </c>
      <c r="K8" s="539" t="s">
        <v>142</v>
      </c>
      <c r="L8" s="541" t="s">
        <v>24</v>
      </c>
      <c r="M8" s="359" t="s">
        <v>25</v>
      </c>
      <c r="N8" s="17" t="s">
        <v>26</v>
      </c>
      <c r="O8" s="494" t="s">
        <v>155</v>
      </c>
      <c r="P8" s="56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33"/>
      <c r="C9" s="534"/>
      <c r="D9" s="534"/>
      <c r="E9" s="357" t="s">
        <v>30</v>
      </c>
      <c r="F9" s="357" t="s">
        <v>31</v>
      </c>
      <c r="G9" s="534"/>
      <c r="H9" s="536"/>
      <c r="I9" s="534"/>
      <c r="J9" s="538"/>
      <c r="K9" s="540"/>
      <c r="L9" s="542"/>
      <c r="M9" s="20" t="s">
        <v>32</v>
      </c>
      <c r="N9" s="21" t="s">
        <v>41</v>
      </c>
      <c r="O9" s="534"/>
      <c r="P9" s="561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33" t="s">
        <v>9</v>
      </c>
      <c r="C10" s="366" t="str">
        <f>[24]Brewhouse!$A377</f>
        <v>ST355</v>
      </c>
      <c r="D10" s="279">
        <f>[24]Brewhouse!$AD377</f>
        <v>47.3</v>
      </c>
      <c r="E10" s="279">
        <f>[24]Brewhouse!$AG377</f>
        <v>46.4</v>
      </c>
      <c r="F10" s="278">
        <f>[24]Brewhouse!$V377</f>
        <v>58</v>
      </c>
      <c r="G10" s="279">
        <f>[24]Brewhouse!$AE377</f>
        <v>12.1</v>
      </c>
      <c r="H10" s="396"/>
      <c r="I10" s="420">
        <f>[24]Brewhouse!$AS377</f>
        <v>93.319913077052291</v>
      </c>
      <c r="J10" s="420">
        <f>[24]Brewhouse!$AT377</f>
        <v>94.93028044840689</v>
      </c>
      <c r="K10" s="281">
        <f>[24]Brewhouse!$Q377</f>
        <v>14.999999999999995</v>
      </c>
      <c r="L10" s="276">
        <f>[24]Brewhouse!$P377</f>
        <v>58</v>
      </c>
      <c r="M10" s="374">
        <f>[24]Brewhouse!$U377-[24]Brewhouse!$T377</f>
        <v>0.11180555555555555</v>
      </c>
      <c r="N10" s="370">
        <f>[24]Brewhouse!$AW377</f>
        <v>0.24583333333333335</v>
      </c>
      <c r="O10" s="421" t="str">
        <f>[24]Brewhouse!$AV377</f>
        <v>R.Sookram</v>
      </c>
      <c r="P10" s="418"/>
      <c r="R10" s="277" t="str">
        <f t="shared" ref="R10:R38" si="0">B10</f>
        <v>STAG</v>
      </c>
      <c r="S10" s="296">
        <f t="shared" ref="S10:S38" si="1">VLOOKUP($B10,$R$3:$X$9,2,FALSE)</f>
        <v>11.6</v>
      </c>
      <c r="T10" s="296">
        <f t="shared" ref="T10:T38" si="2">VLOOKUP($B10,$R$3:$X$9,3,FALSE)</f>
        <v>12</v>
      </c>
      <c r="U10" s="297">
        <f t="shared" ref="U10:U38" si="3">VLOOKUP($B10,$R$3:$X$9,4,FALSE)</f>
        <v>0</v>
      </c>
      <c r="V10" s="297">
        <f t="shared" ref="V10:V38" si="4">VLOOKUP($B10,$R$3:$X$9,5,FALSE)</f>
        <v>0.118055555555556</v>
      </c>
      <c r="W10" s="297">
        <f t="shared" ref="W10:W38" si="5">VLOOKUP($B10,$R$3:$X$9,6,FALSE)</f>
        <v>0.22569444444444445</v>
      </c>
      <c r="X10" s="297">
        <f t="shared" ref="X10:X38" si="6">VLOOKUP($B10,$R$3:$X$9,7,FALSE)</f>
        <v>0.2638888888888889</v>
      </c>
      <c r="Y10" s="297">
        <f t="shared" ref="Y10:Y38" si="7">VLOOKUP($B10,$R$3:$Z$9,8,FALSE)</f>
        <v>0</v>
      </c>
      <c r="Z10" s="296">
        <f t="shared" ref="Z10:Z38" si="8">VLOOKUP($B10,$R$3:$Z$9,9,FALSE)</f>
        <v>60</v>
      </c>
    </row>
    <row r="11" spans="2:29" ht="15.75" customHeight="1">
      <c r="B11" s="33" t="s">
        <v>9</v>
      </c>
      <c r="C11" s="366" t="str">
        <f>[24]Brewhouse!$A378</f>
        <v>ST356</v>
      </c>
      <c r="D11" s="279">
        <f>[24]Brewhouse!$AD378</f>
        <v>51.4</v>
      </c>
      <c r="E11" s="279">
        <f>[24]Brewhouse!$AG378</f>
        <v>50.5</v>
      </c>
      <c r="F11" s="278">
        <f>[24]Brewhouse!$V378</f>
        <v>63</v>
      </c>
      <c r="G11" s="279">
        <f>[24]Brewhouse!$AE378</f>
        <v>11.9</v>
      </c>
      <c r="H11" s="396"/>
      <c r="I11" s="420">
        <f>[24]Brewhouse!$AS378</f>
        <v>99.239577105440517</v>
      </c>
      <c r="J11" s="420">
        <f>[24]Brewhouse!$AT378</f>
        <v>100.76787613868619</v>
      </c>
      <c r="K11" s="281">
        <f>[24]Brewhouse!$Q378</f>
        <v>10.576923076923077</v>
      </c>
      <c r="L11" s="276">
        <f>[24]Brewhouse!$P378</f>
        <v>60</v>
      </c>
      <c r="M11" s="374">
        <f>[24]Brewhouse!$U378-[24]Brewhouse!$T378</f>
        <v>0.11805555555555558</v>
      </c>
      <c r="N11" s="370">
        <f>[24]Brewhouse!$AW378</f>
        <v>0.25416666666666665</v>
      </c>
      <c r="O11" s="421" t="str">
        <f>[24]Brewhouse!$AV378</f>
        <v>R.Sookram</v>
      </c>
      <c r="P11" s="418"/>
      <c r="R11" s="277" t="str">
        <f t="shared" si="0"/>
        <v>STAG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33" t="s">
        <v>9</v>
      </c>
      <c r="C12" s="366" t="str">
        <f>[24]Brewhouse!$A379</f>
        <v>ST357</v>
      </c>
      <c r="D12" s="279">
        <f>[24]Brewhouse!$AD379</f>
        <v>49.9</v>
      </c>
      <c r="E12" s="279">
        <f>[24]Brewhouse!$AG379</f>
        <v>48.6</v>
      </c>
      <c r="F12" s="278">
        <f>[24]Brewhouse!$V379</f>
        <v>59</v>
      </c>
      <c r="G12" s="279">
        <f>[24]Brewhouse!$AE379</f>
        <v>11.6</v>
      </c>
      <c r="H12" s="396"/>
      <c r="I12" s="420">
        <f>[24]Brewhouse!$AS379</f>
        <v>93.440417849192812</v>
      </c>
      <c r="J12" s="420">
        <f>[24]Brewhouse!$AT379</f>
        <v>94.877541814883955</v>
      </c>
      <c r="K12" s="281">
        <f>[24]Brewhouse!$Q379</f>
        <v>9.2307692307692264</v>
      </c>
      <c r="L12" s="276">
        <f>[24]Brewhouse!$P379</f>
        <v>58</v>
      </c>
      <c r="M12" s="374">
        <f>[24]Brewhouse!$U379-[24]Brewhouse!$T379</f>
        <v>0.1069444444444444</v>
      </c>
      <c r="N12" s="370">
        <f>[24]Brewhouse!$AW379</f>
        <v>0.24791666666666662</v>
      </c>
      <c r="O12" s="421" t="str">
        <f>[24]Brewhouse!$AV379</f>
        <v>R.Sookram</v>
      </c>
      <c r="P12" s="418"/>
      <c r="R12" s="277" t="str">
        <f t="shared" si="0"/>
        <v>STAG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33" t="s">
        <v>9</v>
      </c>
      <c r="C13" s="366" t="str">
        <f>[24]Brewhouse!$A380</f>
        <v>ST358</v>
      </c>
      <c r="D13" s="279">
        <f>[24]Brewhouse!$AD380</f>
        <v>49.3</v>
      </c>
      <c r="E13" s="279">
        <f>[24]Brewhouse!$AG380</f>
        <v>48.9</v>
      </c>
      <c r="F13" s="278">
        <f>[24]Brewhouse!$V380</f>
        <v>51</v>
      </c>
      <c r="G13" s="279">
        <f>[24]Brewhouse!$AE380</f>
        <v>12</v>
      </c>
      <c r="H13" s="396"/>
      <c r="I13" s="420">
        <f>[24]Brewhouse!$AS380</f>
        <v>97.798077676001839</v>
      </c>
      <c r="J13" s="420">
        <f>[24]Brewhouse!$AT380</f>
        <v>99.300744163835546</v>
      </c>
      <c r="K13" s="281">
        <f>[24]Brewhouse!$Q380</f>
        <v>8.4615384615384599</v>
      </c>
      <c r="L13" s="276">
        <f>[24]Brewhouse!$P380</f>
        <v>60</v>
      </c>
      <c r="M13" s="374">
        <f>[24]Brewhouse!$U380-[24]Brewhouse!$T380</f>
        <v>0.11111111111111105</v>
      </c>
      <c r="N13" s="370">
        <f>[24]Brewhouse!$AW380</f>
        <v>0.25069444444444444</v>
      </c>
      <c r="O13" s="421" t="str">
        <f>[24]Brewhouse!$AV380</f>
        <v>R.Sookram</v>
      </c>
      <c r="P13" s="418"/>
      <c r="R13" s="277" t="str">
        <f t="shared" si="0"/>
        <v>STAG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29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97"/>
      <c r="N14" s="370"/>
      <c r="O14" s="421"/>
      <c r="P14" s="418"/>
      <c r="R14" s="277">
        <f t="shared" si="0"/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5.75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371"/>
      <c r="P15" s="418"/>
      <c r="R15" s="277">
        <f t="shared" si="0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.75" customHeight="1">
      <c r="B16" s="37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371"/>
      <c r="P16" s="418"/>
      <c r="R16" s="277">
        <f t="shared" si="0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1:26" ht="15.75" customHeight="1" thickBot="1">
      <c r="B17" s="358"/>
      <c r="C17" s="358"/>
      <c r="D17" s="358"/>
      <c r="E17" s="358"/>
      <c r="F17" s="294"/>
      <c r="G17" s="294"/>
      <c r="H17" s="348"/>
      <c r="I17" s="514"/>
      <c r="J17" s="514"/>
      <c r="K17" s="514"/>
      <c r="L17" s="514"/>
      <c r="M17" s="514"/>
      <c r="N17" s="514"/>
      <c r="O17" s="1"/>
      <c r="P17" s="12"/>
      <c r="R17" s="277">
        <f t="shared" si="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1:26" ht="15.75" thickBot="1">
      <c r="B18" s="388" t="s">
        <v>162</v>
      </c>
      <c r="C18" s="388"/>
      <c r="D18" s="527" t="s">
        <v>35</v>
      </c>
      <c r="E18" s="528"/>
      <c r="F18" s="294"/>
      <c r="G18" s="294"/>
      <c r="H18" s="348"/>
      <c r="I18" s="24" t="s">
        <v>17</v>
      </c>
      <c r="J18" s="25" t="s">
        <v>36</v>
      </c>
      <c r="K18" s="26" t="s">
        <v>138</v>
      </c>
      <c r="L18" s="25" t="s">
        <v>37</v>
      </c>
      <c r="M18" s="25" t="s">
        <v>38</v>
      </c>
      <c r="N18" s="27" t="s">
        <v>39</v>
      </c>
      <c r="O18" s="294"/>
      <c r="P18" s="12"/>
      <c r="R18" s="277" t="str">
        <f t="shared" si="0"/>
        <v xml:space="preserve">BRAND 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1:26" ht="15" customHeight="1">
      <c r="A19" s="28"/>
      <c r="B19" s="515"/>
      <c r="C19" s="362"/>
      <c r="D19" s="518"/>
      <c r="E19" s="507"/>
      <c r="F19" s="294"/>
      <c r="G19" s="294"/>
      <c r="H19" s="348"/>
      <c r="I19" s="29" t="s">
        <v>6</v>
      </c>
      <c r="J19" s="280"/>
      <c r="K19" s="284">
        <f>COUNTA([22]Brewhouse!$A$740:$A$782)</f>
        <v>43</v>
      </c>
      <c r="L19" s="305">
        <f>AVERAGE([22]Brewhouse!$AU$740:$AU$782)</f>
        <v>97.363169195150917</v>
      </c>
      <c r="M19" s="302">
        <f>AVERAGE([22]Brewhouse!$AU$102:$AU$171,[22]Brewhouse!$AU$173:$AU$253,[22]Brewhouse!$AU$255:$AU$339,[22]Brewhouse!$AU$341:$AU$346,[22]Brewhouse!$AU$348,[22]Brewhouse!$AU$349:$AU$406,[22]Brewhouse!$AU$408:$AU$491,[22]Brewhouse!$AU$493:$AU$578,[22]Brewhouse!$AU$580:$AU$652,[22]Brewhouse!$AU$655:$AU$782)</f>
        <v>97.68374537610346</v>
      </c>
      <c r="N19" s="30">
        <v>98</v>
      </c>
      <c r="O19" s="11"/>
      <c r="P19" s="31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6" ht="15" customHeight="1">
      <c r="A20" s="28"/>
      <c r="B20" s="516"/>
      <c r="C20" s="362"/>
      <c r="D20" s="519"/>
      <c r="E20" s="502"/>
      <c r="F20" s="294"/>
      <c r="G20" s="294"/>
      <c r="H20" s="348"/>
      <c r="I20" s="33" t="s">
        <v>9</v>
      </c>
      <c r="J20" s="280">
        <f>AVERAGE(I10:I13)</f>
        <v>95.949496426921883</v>
      </c>
      <c r="K20" s="284">
        <f>COUNTA([24]Brewhouse!$A$361:$A$380)</f>
        <v>20</v>
      </c>
      <c r="L20" s="302">
        <f>AVERAGE([24]Brewhouse!$AS$361:$AS$380)</f>
        <v>97.321242424213011</v>
      </c>
      <c r="M20" s="302">
        <f>AVERAGE([24]Brewhouse!$AS$15:$AS$64,[24]Brewhouse!$AS$66:$AS$103,[24]Brewhouse!$AS$105:$AS$140,[24]Brewhouse!$AS$142:$AS$193,[24]Brewhouse!$AS$195:$AS$240,[24]Brewhouse!$AS$242:$AS$273,[24]Brewhouse!$AS$275:$AS$322,[24]Brewhouse!$AS$324:$AS$359,[24]Brewhouse!$AS$361:$AS$380)</f>
        <v>98.023911582478434</v>
      </c>
      <c r="N20" s="30">
        <v>98</v>
      </c>
      <c r="O20" s="11"/>
      <c r="P20" s="31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6" ht="14.65" customHeight="1">
      <c r="A21" s="28"/>
      <c r="B21" s="516"/>
      <c r="C21" s="362"/>
      <c r="D21" s="518"/>
      <c r="E21" s="507"/>
      <c r="F21" s="294"/>
      <c r="G21" s="294"/>
      <c r="H21" s="348"/>
      <c r="I21" s="34" t="s">
        <v>12</v>
      </c>
      <c r="J21" s="280"/>
      <c r="K21" s="284"/>
      <c r="L21" s="302"/>
      <c r="M21" s="302">
        <f>AVERAGE([25]Brewhouse!$AU$4:$AU$7,[25]Brewhouse!$AU$9:$AU$22,[25]Brewhouse!$AU$24:$AU$35,[25]Brewhouse!$AU$37:$AU$45,[25]Brewhouse!$AU$47:$AU$62,[25]Brewhouse!$AU$64:$AU$79,[25]Brewhouse!$AU$81:$AU$92)</f>
        <v>96.938184743997624</v>
      </c>
      <c r="N21" s="30">
        <v>98</v>
      </c>
      <c r="O21" s="11"/>
      <c r="P21" s="31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6" ht="14.65" customHeight="1">
      <c r="A22" s="28"/>
      <c r="B22" s="516"/>
      <c r="C22" s="362"/>
      <c r="D22" s="519"/>
      <c r="E22" s="502"/>
      <c r="F22" s="294"/>
      <c r="G22" s="294"/>
      <c r="H22" s="348"/>
      <c r="I22" s="22" t="s">
        <v>33</v>
      </c>
      <c r="J22" s="280"/>
      <c r="K22" s="284">
        <f>COUNTA([26]Brewhouse!$A$79:$A$86)</f>
        <v>8</v>
      </c>
      <c r="L22" s="302">
        <f>AVERAGE([26]Brewhouse!$AV$79:$AV$86)</f>
        <v>96.412390542357869</v>
      </c>
      <c r="M22" s="302">
        <f>AVERAGE([26]Brewhouse!$AV$5:$AV$14,[26]Brewhouse!$AV$16:$AV$19,[26]Brewhouse!$AV$21:$AV$24,[26]Brewhouse!$AV$26:$AV$33,[26]Brewhouse!$AV$35:$AV$46,[26]Brewhouse!$AV$48:$AV$53,[26]Brewhouse!$AV$55:$AV$62,[26]Brewhouse!$AV$64:$AV$77,[26]Brewhouse!$AV$79:$AV$86)</f>
        <v>98.293408393493976</v>
      </c>
      <c r="N22" s="30">
        <v>98</v>
      </c>
      <c r="O22" s="11"/>
      <c r="P22" s="31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6" ht="14.65" customHeight="1">
      <c r="A23" s="28"/>
      <c r="B23" s="516"/>
      <c r="C23" s="362"/>
      <c r="D23" s="518"/>
      <c r="E23" s="507"/>
      <c r="F23" s="417"/>
      <c r="G23" s="294"/>
      <c r="H23" s="348"/>
      <c r="I23" s="35" t="s">
        <v>29</v>
      </c>
      <c r="J23" s="280"/>
      <c r="K23" s="284"/>
      <c r="L23" s="302"/>
      <c r="M23" s="302"/>
      <c r="N23" s="30">
        <v>98</v>
      </c>
      <c r="O23" s="11"/>
      <c r="P23" s="31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6" ht="14.65" customHeight="1">
      <c r="A24" s="28"/>
      <c r="B24" s="516"/>
      <c r="C24" s="362"/>
      <c r="D24" s="519"/>
      <c r="E24" s="502"/>
      <c r="F24" s="417"/>
      <c r="G24" s="294"/>
      <c r="H24" s="348"/>
      <c r="I24" s="36" t="s">
        <v>15</v>
      </c>
      <c r="J24" s="280"/>
      <c r="K24" s="284"/>
      <c r="L24" s="302"/>
      <c r="M24" s="302">
        <f>AVERAGE([27]Brewhouse!$AT$4:$AT$11,[27]Brewhouse!$AT$13:$AT$16,[27]Brewhouse!$AT$18:$AT$21,[27]Brewhouse!$AT$26)</f>
        <v>94.588057846623641</v>
      </c>
      <c r="N24" s="30">
        <v>98</v>
      </c>
      <c r="O24" s="11"/>
      <c r="P24" s="31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6" ht="14.65" customHeight="1">
      <c r="A25" s="28"/>
      <c r="B25" s="516"/>
      <c r="C25" s="362"/>
      <c r="D25" s="518"/>
      <c r="E25" s="507"/>
      <c r="F25" s="417"/>
      <c r="G25" s="294"/>
      <c r="H25" s="348"/>
      <c r="I25" s="37" t="s">
        <v>16</v>
      </c>
      <c r="J25" s="280"/>
      <c r="K25" s="284">
        <f>COUNTA([23]Brewhouse!$A$75:$A$82)</f>
        <v>8</v>
      </c>
      <c r="L25" s="302">
        <f>AVERAGE([23]Brewhouse!$AY$75:$AY$82)</f>
        <v>97.738838123294386</v>
      </c>
      <c r="M25" s="302">
        <f>AVERAGE([23]Brewhouse!$AY$6:$AY$13,[23]Brewhouse!$AY$15:$AY$20,[23]Brewhouse!$AY$22:$AY$29,[23]Brewhouse!$AY$31:$AY$34,[23]Brewhouse!$AY$36:$AY$43,[23]Brewhouse!$AY$45:$AY$50, [23]Brewhouse!$AY$56:$AY$73,[23]Brewhouse!$AY$75:$AY$82)</f>
        <v>97.409216272979165</v>
      </c>
      <c r="N25" s="30">
        <v>98</v>
      </c>
      <c r="O25" s="11"/>
      <c r="P25" s="31" t="s">
        <v>41</v>
      </c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6" ht="14.65" customHeight="1">
      <c r="A26" s="28"/>
      <c r="B26" s="516"/>
      <c r="C26" s="362"/>
      <c r="D26" s="519"/>
      <c r="E26" s="502"/>
      <c r="F26" s="294"/>
      <c r="G26" s="294"/>
      <c r="H26" s="348"/>
      <c r="I26" s="411" t="s">
        <v>158</v>
      </c>
      <c r="J26" s="326"/>
      <c r="K26" s="284"/>
      <c r="L26" s="305"/>
      <c r="M26" s="305">
        <f>AVERAGE([28]Brewhouse!$AU$5:$AU$8,[28]Brewhouse!$AU$10:$AU$13,[23]Brewhouse!$AY$75:$AY$77)</f>
        <v>94.749192473706671</v>
      </c>
      <c r="N26" s="30">
        <v>98</v>
      </c>
      <c r="O26" s="11"/>
      <c r="P26" s="31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6" ht="14.65" customHeight="1">
      <c r="A27" s="28"/>
      <c r="B27" s="516"/>
      <c r="C27" s="349"/>
      <c r="D27" s="518"/>
      <c r="E27" s="507"/>
      <c r="F27" s="294"/>
      <c r="G27" s="294"/>
      <c r="H27" s="348"/>
      <c r="I27" s="410" t="s">
        <v>157</v>
      </c>
      <c r="J27" s="326"/>
      <c r="K27" s="284"/>
      <c r="L27" s="305"/>
      <c r="M27" s="305">
        <f>AVERAGE([29]Brewhouse!$AW$26:$AW$27)</f>
        <v>95.310680905194914</v>
      </c>
      <c r="N27" s="30">
        <v>98</v>
      </c>
      <c r="O27" s="11"/>
      <c r="P27" s="31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6" ht="15" customHeight="1" thickBot="1">
      <c r="A28" s="28"/>
      <c r="B28" s="516"/>
      <c r="C28" s="349"/>
      <c r="D28" s="519"/>
      <c r="E28" s="502"/>
      <c r="F28" s="294"/>
      <c r="G28" s="294"/>
      <c r="H28" s="348"/>
      <c r="I28" s="406" t="s">
        <v>156</v>
      </c>
      <c r="J28" s="327"/>
      <c r="K28" s="407"/>
      <c r="L28" s="408"/>
      <c r="M28" s="408">
        <f>AVERAGE([30]Brewhouse!$AU$13:$AU$14)</f>
        <v>97.110575243268045</v>
      </c>
      <c r="N28" s="409">
        <v>98</v>
      </c>
      <c r="O28" s="11"/>
      <c r="P28" s="31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1:26" ht="15" customHeight="1" thickBot="1">
      <c r="A29" s="28"/>
      <c r="B29" s="516"/>
      <c r="C29" s="349"/>
      <c r="D29" s="518"/>
      <c r="E29" s="507"/>
      <c r="F29" s="294"/>
      <c r="G29" s="294"/>
      <c r="H29" s="348"/>
      <c r="I29" s="1"/>
      <c r="J29" s="39"/>
      <c r="K29" s="404">
        <f>SUM(K19:K28)</f>
        <v>79</v>
      </c>
      <c r="L29" s="405">
        <f>((L19*K19)+(L20*K20)+(L21*K21)+(L22*K22)+(L23*K23)+(K26*L26)+(L24*K24)+(L25*K25)+(L28*K28))/(K29)</f>
        <v>97.294315863303396</v>
      </c>
      <c r="M29" s="405">
        <f>AVERAGE('[31]Jan 31st'!$L$65,'[32]Feb 28th'!$L$35,'[33]Mar. 31st'!$L$35,'[34]Apr. 30th'!$L$45,'[35]May 30th'!$L$37,'[36]June 30th'!$L$57,L29)</f>
        <v>97.606603765766479</v>
      </c>
      <c r="N29" s="40">
        <v>98</v>
      </c>
      <c r="O29" s="11"/>
      <c r="P29" s="31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1:26" ht="15.75" thickBot="1">
      <c r="B30" s="517"/>
      <c r="C30" s="350"/>
      <c r="D30" s="519"/>
      <c r="E30" s="502"/>
      <c r="F30" s="294"/>
      <c r="G30" s="42"/>
      <c r="H30" s="41"/>
      <c r="I30" s="42"/>
      <c r="J30" s="42"/>
      <c r="K30" s="351"/>
      <c r="L30" s="348"/>
      <c r="M30" s="348"/>
      <c r="N30" s="11"/>
      <c r="O30" s="294"/>
      <c r="P30" s="12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1:26" ht="15.75" thickBot="1">
      <c r="B31" s="552"/>
      <c r="C31" s="362"/>
      <c r="D31" s="499"/>
      <c r="E31" s="500"/>
      <c r="F31" s="294"/>
      <c r="G31" s="42"/>
      <c r="H31" s="41"/>
      <c r="I31" s="42"/>
      <c r="J31" s="553" t="s">
        <v>129</v>
      </c>
      <c r="K31" s="553"/>
      <c r="L31" s="294"/>
      <c r="M31" s="294"/>
      <c r="N31" s="294"/>
      <c r="O31" s="294"/>
      <c r="P31" s="12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1:26" ht="15.75" thickBot="1">
      <c r="B32" s="516"/>
      <c r="C32" s="362"/>
      <c r="D32" s="501"/>
      <c r="E32" s="502"/>
      <c r="F32" s="294"/>
      <c r="G32" s="42"/>
      <c r="H32" s="41"/>
      <c r="I32" s="42"/>
      <c r="J32" s="292" t="s">
        <v>17</v>
      </c>
      <c r="K32" s="293" t="s">
        <v>147</v>
      </c>
      <c r="L32" s="504" t="s">
        <v>136</v>
      </c>
      <c r="M32" s="504"/>
      <c r="N32" s="505"/>
      <c r="O32" s="294"/>
      <c r="P32" s="12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2:57" ht="15" customHeight="1" thickBot="1">
      <c r="B33" s="516"/>
      <c r="C33" s="349"/>
      <c r="D33" s="554"/>
      <c r="E33" s="555"/>
      <c r="F33" s="294"/>
      <c r="G33" s="42"/>
      <c r="H33" s="41"/>
      <c r="I33" s="42"/>
      <c r="J33" s="287" t="s">
        <v>6</v>
      </c>
      <c r="K33" s="324"/>
      <c r="L33" s="343" t="s">
        <v>37</v>
      </c>
      <c r="M33" s="307" t="s">
        <v>38</v>
      </c>
      <c r="N33" s="307" t="s">
        <v>84</v>
      </c>
      <c r="O33" s="294"/>
      <c r="P33" s="12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2:57" ht="15.75" customHeight="1" thickBot="1">
      <c r="B34" s="516"/>
      <c r="C34" s="349"/>
      <c r="D34" s="501"/>
      <c r="E34" s="502"/>
      <c r="F34" s="294"/>
      <c r="G34" s="42"/>
      <c r="H34" s="41"/>
      <c r="I34" s="42"/>
      <c r="J34" s="345" t="s">
        <v>9</v>
      </c>
      <c r="K34" s="324">
        <v>4</v>
      </c>
      <c r="L34" s="344">
        <f>AVERAGE('Sept 1st'!K53,'Sept 2nd'!K51,'Sept 3rd'!K52,'Sept 4th'!K61,'Sept 5th '!K49,'Sept 8th'!K51,'Sept 9th'!K51,'Sept 10th'!K59,'Sept 11th'!K53,K43)</f>
        <v>8.1999999999999993</v>
      </c>
      <c r="M34" s="325">
        <f>AVERAGE('[31]Jan 29th '!$M$70,'[32]Feb 28th'!$L$40,'[33]Mar. 31st'!$L$40,'[34]Apr. 30th'!$L$50,'[35]May 30th'!$L$42,'[36]June 30th'!$L$62,'[37]July 29th '!$L$49,'[38]Aug 29th'!$L$34,L34)</f>
        <v>7.0925229275343691</v>
      </c>
      <c r="N34" s="416">
        <v>9.1999999999999993</v>
      </c>
      <c r="O34" s="294"/>
      <c r="P34" s="12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</row>
    <row r="35" spans="2:57" ht="15" customHeight="1">
      <c r="B35" s="516"/>
      <c r="C35" s="349"/>
      <c r="D35" s="554"/>
      <c r="E35" s="555"/>
      <c r="F35" s="294"/>
      <c r="G35" s="42"/>
      <c r="H35" s="41"/>
      <c r="I35" s="42"/>
      <c r="J35" s="288" t="s">
        <v>40</v>
      </c>
      <c r="K35" s="324"/>
      <c r="L35" s="294"/>
      <c r="M35" s="294"/>
      <c r="N35" s="294"/>
      <c r="O35" s="294"/>
      <c r="P35" s="12"/>
      <c r="R35" s="277">
        <f t="shared" si="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</row>
    <row r="36" spans="2:57" ht="15" customHeight="1">
      <c r="B36" s="516"/>
      <c r="C36" s="349"/>
      <c r="D36" s="501"/>
      <c r="E36" s="502"/>
      <c r="F36" s="294"/>
      <c r="G36" s="42"/>
      <c r="H36" s="41"/>
      <c r="I36" s="42"/>
      <c r="J36" s="289" t="s">
        <v>33</v>
      </c>
      <c r="K36" s="324"/>
      <c r="L36" s="294"/>
      <c r="M36" s="294"/>
      <c r="N36" s="294"/>
      <c r="O36" s="294"/>
      <c r="P36" s="12"/>
      <c r="R36" s="277">
        <f t="shared" si="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</row>
    <row r="37" spans="2:57" ht="15">
      <c r="B37" s="516"/>
      <c r="C37" s="349"/>
      <c r="D37" s="554"/>
      <c r="E37" s="555"/>
      <c r="F37" s="294"/>
      <c r="G37" s="42"/>
      <c r="H37" s="41"/>
      <c r="I37" s="42"/>
      <c r="J37" s="290" t="s">
        <v>16</v>
      </c>
      <c r="K37" s="324"/>
      <c r="L37" s="294"/>
      <c r="M37" s="294"/>
      <c r="N37" s="294"/>
      <c r="O37" s="294"/>
      <c r="P37" s="12"/>
      <c r="R37" s="277">
        <f t="shared" si="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  <c r="BC37" s="44"/>
      <c r="BD37" s="44"/>
    </row>
    <row r="38" spans="2:57" ht="15">
      <c r="B38" s="516"/>
      <c r="C38" s="349"/>
      <c r="D38" s="501"/>
      <c r="E38" s="502"/>
      <c r="F38" s="294"/>
      <c r="G38" s="42"/>
      <c r="H38" s="41"/>
      <c r="I38" s="42"/>
      <c r="J38" s="291" t="s">
        <v>15</v>
      </c>
      <c r="K38" s="324"/>
      <c r="L38" s="294"/>
      <c r="M38" s="294"/>
      <c r="N38" s="294"/>
      <c r="O38" s="294"/>
      <c r="P38" s="12"/>
      <c r="R38" s="277">
        <f t="shared" si="0"/>
        <v>0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  <c r="BC38" s="44"/>
      <c r="BD38" s="44"/>
    </row>
    <row r="39" spans="2:57" ht="15">
      <c r="B39" s="516"/>
      <c r="C39" s="349"/>
      <c r="D39" s="554"/>
      <c r="E39" s="555"/>
      <c r="F39" s="294"/>
      <c r="G39" s="42"/>
      <c r="H39" s="41"/>
      <c r="I39" s="42"/>
      <c r="J39" s="291" t="s">
        <v>149</v>
      </c>
      <c r="K39" s="324"/>
      <c r="L39" s="294"/>
      <c r="M39" s="294"/>
      <c r="N39" s="294"/>
      <c r="O39" s="294"/>
      <c r="P39" s="12"/>
      <c r="BC39" s="44"/>
      <c r="BD39" s="44"/>
    </row>
    <row r="40" spans="2:57" ht="15.75" thickBot="1">
      <c r="B40" s="517"/>
      <c r="C40" s="350"/>
      <c r="D40" s="556"/>
      <c r="E40" s="557"/>
      <c r="F40" s="294"/>
      <c r="G40" s="42"/>
      <c r="H40" s="41"/>
      <c r="I40" s="42"/>
      <c r="J40" s="291" t="s">
        <v>148</v>
      </c>
      <c r="K40" s="324"/>
      <c r="L40" s="294"/>
      <c r="M40" s="294"/>
      <c r="N40" s="294"/>
      <c r="O40" s="294"/>
      <c r="P40" s="12"/>
      <c r="BC40" s="44"/>
      <c r="BD40" s="44"/>
    </row>
    <row r="41" spans="2:57" ht="17.649999999999999" customHeight="1" thickBot="1">
      <c r="B41" s="312" t="s">
        <v>139</v>
      </c>
      <c r="C41" s="313"/>
      <c r="D41" s="550" t="e">
        <f>AVERAGE(D19:E40)</f>
        <v>#DIV/0!</v>
      </c>
      <c r="E41" s="551"/>
      <c r="F41" s="294"/>
      <c r="H41" s="41"/>
      <c r="I41" s="42"/>
      <c r="J41" s="295" t="s">
        <v>134</v>
      </c>
      <c r="K41" s="324"/>
      <c r="L41" s="294"/>
      <c r="M41" s="294"/>
      <c r="N41" s="294"/>
      <c r="O41" s="294"/>
      <c r="P41" s="12"/>
      <c r="BC41" s="44"/>
      <c r="BD41" s="44"/>
    </row>
    <row r="42" spans="2:57" ht="17.649999999999999" customHeight="1">
      <c r="B42" s="363"/>
      <c r="C42" s="364"/>
      <c r="D42" s="365"/>
      <c r="E42" s="365"/>
      <c r="F42" s="294"/>
      <c r="G42" s="42"/>
      <c r="H42" s="41"/>
      <c r="I42" s="42"/>
      <c r="J42" s="295" t="s">
        <v>131</v>
      </c>
      <c r="K42" s="324"/>
      <c r="L42" s="294"/>
      <c r="M42" s="294"/>
      <c r="N42" s="294"/>
      <c r="O42" s="294"/>
      <c r="P42" s="12"/>
      <c r="BC42" s="44"/>
      <c r="BD42" s="44"/>
    </row>
    <row r="43" spans="2:57" ht="15.6" customHeight="1">
      <c r="B43" s="45"/>
      <c r="C43" s="11"/>
      <c r="D43" s="11"/>
      <c r="E43" s="46"/>
      <c r="F43" s="294"/>
      <c r="G43" s="42"/>
      <c r="H43" s="41"/>
      <c r="I43" s="42"/>
      <c r="J43" s="346" t="s">
        <v>130</v>
      </c>
      <c r="K43" s="324">
        <f>SUM(K33:K42)</f>
        <v>4</v>
      </c>
      <c r="L43" s="294"/>
      <c r="M43" s="294"/>
      <c r="N43" s="294"/>
      <c r="O43" s="294"/>
      <c r="P43" s="12"/>
    </row>
    <row r="44" spans="2:57" ht="20.25" customHeight="1">
      <c r="B44" s="15" t="s">
        <v>42</v>
      </c>
      <c r="C44" s="1" t="s">
        <v>43</v>
      </c>
      <c r="D44" s="1"/>
      <c r="E44" s="1"/>
      <c r="F44" s="294"/>
      <c r="G44" s="42"/>
      <c r="H44" s="41"/>
      <c r="I44" s="42"/>
      <c r="L44" s="294"/>
      <c r="N44" s="315"/>
      <c r="P44" s="334"/>
    </row>
    <row r="45" spans="2:57" ht="15" customHeight="1" thickBot="1"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1"/>
      <c r="O45" s="48"/>
      <c r="P45" s="49"/>
    </row>
    <row r="46" spans="2:57" ht="15" customHeight="1" thickBot="1">
      <c r="B46" s="480" t="s">
        <v>17</v>
      </c>
      <c r="C46" s="480" t="s">
        <v>44</v>
      </c>
      <c r="D46" s="492" t="s">
        <v>45</v>
      </c>
      <c r="E46" s="494" t="s">
        <v>46</v>
      </c>
      <c r="F46" s="488" t="s">
        <v>47</v>
      </c>
      <c r="G46" s="478" t="s">
        <v>48</v>
      </c>
      <c r="H46" s="480" t="s">
        <v>49</v>
      </c>
      <c r="I46" s="480" t="s">
        <v>50</v>
      </c>
      <c r="J46" s="472" t="s">
        <v>28</v>
      </c>
      <c r="K46" s="484" t="s">
        <v>51</v>
      </c>
      <c r="L46" s="486" t="s">
        <v>52</v>
      </c>
      <c r="M46" s="472" t="s">
        <v>53</v>
      </c>
      <c r="N46" s="13"/>
      <c r="O46" s="13"/>
      <c r="P46" s="50"/>
    </row>
    <row r="47" spans="2:57" ht="28.5" customHeight="1" thickTop="1" thickBot="1">
      <c r="B47" s="481"/>
      <c r="C47" s="481"/>
      <c r="D47" s="493"/>
      <c r="E47" s="495"/>
      <c r="F47" s="489"/>
      <c r="G47" s="479"/>
      <c r="H47" s="481"/>
      <c r="I47" s="481"/>
      <c r="J47" s="473"/>
      <c r="K47" s="485"/>
      <c r="L47" s="487"/>
      <c r="M47" s="473"/>
      <c r="N47" s="13"/>
      <c r="O47" s="13"/>
      <c r="P47" s="50"/>
      <c r="Q47" s="355"/>
      <c r="AB47" s="51">
        <v>43474</v>
      </c>
      <c r="AC47" s="51">
        <v>43475</v>
      </c>
      <c r="AD47" s="51">
        <v>43476</v>
      </c>
      <c r="AE47" s="51">
        <v>43477</v>
      </c>
      <c r="AF47" s="51">
        <v>43478</v>
      </c>
      <c r="AG47" s="51">
        <v>43479</v>
      </c>
      <c r="AH47" s="51">
        <v>43480</v>
      </c>
      <c r="AI47" s="51">
        <v>43481</v>
      </c>
      <c r="AJ47" s="51">
        <v>43482</v>
      </c>
      <c r="AK47" s="51">
        <v>43483</v>
      </c>
      <c r="AL47" s="51">
        <v>43484</v>
      </c>
      <c r="AM47" s="51">
        <v>43485</v>
      </c>
      <c r="AN47" s="51">
        <v>43486</v>
      </c>
      <c r="AO47" s="51">
        <v>43487</v>
      </c>
      <c r="AP47" s="51">
        <v>43488</v>
      </c>
      <c r="AQ47" s="51">
        <v>43489</v>
      </c>
      <c r="AR47" s="51">
        <v>43490</v>
      </c>
      <c r="AS47" s="51">
        <v>43491</v>
      </c>
      <c r="AT47" s="51">
        <v>43492</v>
      </c>
      <c r="AU47" s="51">
        <v>43493</v>
      </c>
      <c r="AV47" s="51">
        <v>43494</v>
      </c>
      <c r="AW47" s="51">
        <v>43495</v>
      </c>
      <c r="AX47" s="51">
        <v>43496</v>
      </c>
    </row>
    <row r="48" spans="2:57" s="54" customFormat="1" ht="59.45" customHeight="1" thickBot="1">
      <c r="B48" s="460"/>
      <c r="C48" s="442"/>
      <c r="D48" s="443"/>
      <c r="E48" s="444"/>
      <c r="F48" s="445"/>
      <c r="G48" s="428"/>
      <c r="H48" s="429"/>
      <c r="I48" s="429"/>
      <c r="J48" s="449"/>
      <c r="K48" s="450"/>
      <c r="L48" s="464"/>
      <c r="M48" s="457"/>
      <c r="N48" s="13"/>
      <c r="O48" s="13"/>
      <c r="P48" s="50"/>
      <c r="R48" s="275"/>
      <c r="S48" s="275"/>
      <c r="T48" s="275"/>
      <c r="U48" s="275"/>
      <c r="V48" s="275"/>
      <c r="W48" s="275"/>
      <c r="X48" s="275"/>
      <c r="Y48" s="275"/>
      <c r="Z48" s="275"/>
      <c r="AA48" s="275"/>
      <c r="AB48" s="57">
        <f>[20]January_2019!L7</f>
        <v>285.8</v>
      </c>
      <c r="AC48" s="57">
        <f>[20]January_2019!M7</f>
        <v>508.1</v>
      </c>
      <c r="AD48" s="57">
        <f>[20]January_2019!N7</f>
        <v>0</v>
      </c>
      <c r="AE48" s="57">
        <f>[20]January_2019!O7</f>
        <v>0</v>
      </c>
      <c r="AF48" s="57">
        <f>[20]January_2019!P7</f>
        <v>109.56666666666666</v>
      </c>
      <c r="AG48" s="57">
        <f>[20]January_2019!Q7</f>
        <v>297.64999999999998</v>
      </c>
      <c r="AH48" s="57">
        <f>[20]January_2019!R7</f>
        <v>122.3</v>
      </c>
      <c r="AI48" s="57">
        <f>[20]January_2019!S7</f>
        <v>0</v>
      </c>
      <c r="AJ48" s="57">
        <f>[20]January_2019!T7</f>
        <v>294.7</v>
      </c>
      <c r="AK48" s="57">
        <f>[20]January_2019!U7</f>
        <v>280.5</v>
      </c>
      <c r="AL48" s="57">
        <f>[20]January_2019!V7</f>
        <v>0</v>
      </c>
      <c r="AM48" s="57">
        <f>[20]January_2019!W7</f>
        <v>0</v>
      </c>
      <c r="AN48" s="57">
        <f>[20]January_2019!X7</f>
        <v>188.25</v>
      </c>
      <c r="AO48" s="57">
        <f>[20]January_2019!Y7</f>
        <v>295.7</v>
      </c>
      <c r="AP48" s="57">
        <f>[20]January_2019!Z7</f>
        <v>257.8</v>
      </c>
      <c r="AQ48" s="57">
        <f>[20]January_2019!AA7</f>
        <v>291.2</v>
      </c>
      <c r="AR48" s="57">
        <f>[20]January_2019!AB7</f>
        <v>187</v>
      </c>
      <c r="AS48" s="57">
        <f>[20]January_2019!AC7</f>
        <v>0</v>
      </c>
      <c r="AT48" s="57">
        <f>[20]January_2019!AD7</f>
        <v>0</v>
      </c>
      <c r="AU48" s="57">
        <f>[20]January_2019!AE7</f>
        <v>485.1</v>
      </c>
      <c r="AV48" s="57">
        <f>[20]January_2019!AF7</f>
        <v>171.55</v>
      </c>
      <c r="AW48" s="57">
        <f>[20]January_2019!AG7</f>
        <v>423.8</v>
      </c>
      <c r="AX48" s="277">
        <f>[20]January_2019!AH7</f>
        <v>0</v>
      </c>
      <c r="AY48" s="277"/>
      <c r="AZ48" s="277"/>
      <c r="BA48" s="277"/>
      <c r="BB48" s="277"/>
      <c r="BC48" s="277"/>
      <c r="BD48" s="277"/>
      <c r="BE48" s="277"/>
    </row>
    <row r="49" spans="2:57" s="54" customFormat="1" ht="20.25" customHeight="1" thickBot="1">
      <c r="B49" s="459"/>
      <c r="C49" s="431"/>
      <c r="D49" s="432"/>
      <c r="E49" s="433"/>
      <c r="F49" s="434"/>
      <c r="G49" s="435"/>
      <c r="H49" s="429"/>
      <c r="I49" s="429"/>
      <c r="J49" s="452"/>
      <c r="K49" s="437"/>
      <c r="L49" s="453"/>
      <c r="M49" s="422"/>
      <c r="N49" s="13"/>
      <c r="O49" s="13"/>
      <c r="P49" s="50"/>
      <c r="R49" s="275"/>
      <c r="S49" s="275"/>
      <c r="T49" s="275"/>
      <c r="U49" s="275"/>
      <c r="V49" s="275"/>
      <c r="W49" s="275"/>
      <c r="X49" s="275"/>
      <c r="Y49" s="275"/>
      <c r="Z49" s="275"/>
      <c r="AA49" s="275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277"/>
      <c r="AY49" s="277"/>
      <c r="AZ49" s="277"/>
      <c r="BA49" s="277"/>
      <c r="BB49" s="277"/>
      <c r="BC49" s="277"/>
      <c r="BD49" s="277"/>
      <c r="BE49" s="277"/>
    </row>
    <row r="50" spans="2:57" s="54" customFormat="1" ht="59.45" hidden="1" customHeight="1" thickBot="1">
      <c r="B50" s="466"/>
      <c r="C50" s="442"/>
      <c r="D50" s="443"/>
      <c r="E50" s="444"/>
      <c r="F50" s="444"/>
      <c r="G50" s="445"/>
      <c r="H50" s="463"/>
      <c r="I50" s="463"/>
      <c r="J50" s="449"/>
      <c r="K50" s="450"/>
      <c r="L50" s="464"/>
      <c r="M50" s="457"/>
      <c r="N50" s="13"/>
      <c r="O50" s="13"/>
      <c r="P50" s="50"/>
      <c r="R50" s="275"/>
      <c r="S50" s="275"/>
      <c r="T50" s="275"/>
      <c r="U50" s="275"/>
      <c r="V50" s="275"/>
      <c r="W50" s="275"/>
      <c r="X50" s="275"/>
      <c r="Y50" s="275"/>
      <c r="Z50" s="275"/>
      <c r="AA50" s="275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277"/>
      <c r="AY50" s="277"/>
      <c r="AZ50" s="277"/>
      <c r="BA50" s="277"/>
      <c r="BB50" s="277"/>
      <c r="BC50" s="277"/>
      <c r="BD50" s="277"/>
      <c r="BE50" s="277"/>
    </row>
    <row r="51" spans="2:57" s="54" customFormat="1" ht="15" hidden="1">
      <c r="B51" s="454"/>
      <c r="C51" s="431"/>
      <c r="D51" s="432"/>
      <c r="E51" s="433"/>
      <c r="F51" s="434"/>
      <c r="G51" s="435"/>
      <c r="H51" s="436"/>
      <c r="I51" s="451"/>
      <c r="J51" s="452"/>
      <c r="K51" s="437"/>
      <c r="L51" s="453"/>
      <c r="M51" s="422"/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277"/>
      <c r="AY51" s="277"/>
      <c r="AZ51" s="277"/>
      <c r="BA51" s="277"/>
      <c r="BB51" s="277"/>
      <c r="BC51" s="277"/>
      <c r="BD51" s="277"/>
      <c r="BE51" s="277"/>
    </row>
    <row r="52" spans="2:57" s="54" customFormat="1" ht="36.6" hidden="1" customHeight="1" thickBot="1">
      <c r="B52" s="387"/>
      <c r="C52" s="442"/>
      <c r="D52" s="443"/>
      <c r="E52" s="444"/>
      <c r="F52" s="445"/>
      <c r="G52" s="446"/>
      <c r="H52" s="447"/>
      <c r="I52" s="448"/>
      <c r="J52" s="449" t="s">
        <v>163</v>
      </c>
      <c r="K52" s="450"/>
      <c r="L52" s="455" t="e">
        <f>(((D52+E52)-G52)/(D52+E52))*100</f>
        <v>#DIV/0!</v>
      </c>
      <c r="M52" s="456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277"/>
      <c r="AY52" s="277"/>
      <c r="AZ52" s="277"/>
      <c r="BA52" s="277"/>
      <c r="BB52" s="277"/>
      <c r="BC52" s="277"/>
      <c r="BD52" s="277"/>
      <c r="BE52" s="277"/>
    </row>
    <row r="53" spans="2:57" s="54" customFormat="1" ht="16.5" hidden="1" customHeight="1" thickBot="1">
      <c r="B53" s="438"/>
      <c r="C53" s="424"/>
      <c r="D53" s="425"/>
      <c r="E53" s="426"/>
      <c r="F53" s="427"/>
      <c r="G53" s="428"/>
      <c r="H53" s="429"/>
      <c r="I53" s="439"/>
      <c r="J53" s="440"/>
      <c r="K53" s="430"/>
      <c r="L53" s="441"/>
      <c r="M53" s="423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415"/>
      <c r="AC53" s="415"/>
      <c r="AD53" s="415"/>
      <c r="AE53" s="415"/>
      <c r="AF53" s="415"/>
      <c r="AG53" s="415"/>
      <c r="AH53" s="415"/>
      <c r="AI53" s="415"/>
      <c r="AJ53" s="415"/>
      <c r="AK53" s="415"/>
      <c r="AL53" s="415"/>
      <c r="AM53" s="415"/>
      <c r="AN53" s="415"/>
      <c r="AO53" s="415"/>
      <c r="AP53" s="415"/>
      <c r="AQ53" s="415"/>
      <c r="AR53" s="415"/>
      <c r="AS53" s="415"/>
      <c r="AT53" s="415"/>
      <c r="AU53" s="415"/>
      <c r="AV53" s="415"/>
      <c r="AW53" s="415"/>
    </row>
    <row r="54" spans="2:57" ht="18" customHeight="1" thickBot="1">
      <c r="B54" s="59"/>
      <c r="C54" s="30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 t="s">
        <v>41</v>
      </c>
      <c r="O54" s="56"/>
      <c r="P54" s="60"/>
    </row>
    <row r="55" spans="2:57" ht="15.75" thickBot="1">
      <c r="B55" s="474" t="s">
        <v>55</v>
      </c>
      <c r="C55" s="475"/>
      <c r="D55" s="475"/>
      <c r="E55" s="475"/>
      <c r="F55" s="476"/>
      <c r="G55" s="474" t="s">
        <v>56</v>
      </c>
      <c r="H55" s="475"/>
      <c r="I55" s="475"/>
      <c r="J55" s="476"/>
      <c r="K55" s="474" t="s">
        <v>51</v>
      </c>
      <c r="L55" s="475"/>
      <c r="M55" s="475"/>
      <c r="N55" s="477"/>
      <c r="O55" s="56"/>
      <c r="P55" s="50"/>
    </row>
    <row r="56" spans="2:57" ht="15">
      <c r="B56" s="61" t="s">
        <v>17</v>
      </c>
      <c r="C56" s="62" t="s">
        <v>36</v>
      </c>
      <c r="D56" s="62" t="s">
        <v>37</v>
      </c>
      <c r="E56" s="62" t="s">
        <v>38</v>
      </c>
      <c r="F56" s="63" t="s">
        <v>39</v>
      </c>
      <c r="G56" s="62" t="s">
        <v>36</v>
      </c>
      <c r="H56" s="62" t="s">
        <v>37</v>
      </c>
      <c r="I56" s="62" t="s">
        <v>38</v>
      </c>
      <c r="J56" s="63" t="s">
        <v>39</v>
      </c>
      <c r="K56" s="62" t="s">
        <v>36</v>
      </c>
      <c r="L56" s="62" t="s">
        <v>37</v>
      </c>
      <c r="M56" s="62" t="s">
        <v>38</v>
      </c>
      <c r="N56" s="63" t="s">
        <v>39</v>
      </c>
      <c r="O56" s="56"/>
      <c r="P56" s="64"/>
    </row>
    <row r="57" spans="2:57" ht="15">
      <c r="B57" s="29" t="s">
        <v>6</v>
      </c>
      <c r="C57" s="65"/>
      <c r="D57" s="76"/>
      <c r="E57" s="76"/>
      <c r="F57" s="66">
        <v>4.8</v>
      </c>
      <c r="G57" s="65"/>
      <c r="H57" s="76"/>
      <c r="I57" s="76"/>
      <c r="J57" s="66">
        <v>4.8</v>
      </c>
      <c r="K57" s="67"/>
      <c r="L57" s="194"/>
      <c r="M57" s="194"/>
      <c r="N57" s="68">
        <v>1</v>
      </c>
      <c r="O57" s="56"/>
      <c r="P57" s="69"/>
    </row>
    <row r="58" spans="2:57" ht="15">
      <c r="B58" s="33" t="s">
        <v>9</v>
      </c>
      <c r="C58" s="65"/>
      <c r="D58" s="76"/>
      <c r="E58" s="76"/>
      <c r="F58" s="66">
        <v>4.8</v>
      </c>
      <c r="G58" s="65"/>
      <c r="H58" s="76"/>
      <c r="I58" s="76"/>
      <c r="J58" s="66">
        <v>4.8</v>
      </c>
      <c r="K58" s="67"/>
      <c r="L58" s="194"/>
      <c r="M58" s="194"/>
      <c r="N58" s="68">
        <v>1</v>
      </c>
      <c r="P58" s="69"/>
    </row>
    <row r="59" spans="2:57" ht="15">
      <c r="B59" s="34" t="s">
        <v>40</v>
      </c>
      <c r="C59" s="65"/>
      <c r="D59" s="76"/>
      <c r="E59" s="76"/>
      <c r="F59" s="66">
        <v>5.5</v>
      </c>
      <c r="G59" s="65"/>
      <c r="H59" s="76"/>
      <c r="I59" s="76"/>
      <c r="J59" s="66">
        <v>5.5</v>
      </c>
      <c r="K59" s="67"/>
      <c r="L59" s="194"/>
      <c r="M59" s="194"/>
      <c r="N59" s="68">
        <v>1</v>
      </c>
      <c r="P59" s="69"/>
    </row>
    <row r="60" spans="2:57" ht="15">
      <c r="B60" s="22" t="s">
        <v>33</v>
      </c>
      <c r="C60" s="65"/>
      <c r="D60" s="76"/>
      <c r="E60" s="76"/>
      <c r="F60" s="66">
        <v>3.3</v>
      </c>
      <c r="G60" s="65"/>
      <c r="H60" s="76"/>
      <c r="I60" s="76"/>
      <c r="J60" s="66">
        <v>3.3</v>
      </c>
      <c r="K60" s="67"/>
      <c r="L60" s="194"/>
      <c r="M60" s="194"/>
      <c r="N60" s="68">
        <v>1</v>
      </c>
      <c r="P60" s="69"/>
    </row>
    <row r="61" spans="2:57" ht="15">
      <c r="B61" s="35" t="s">
        <v>165</v>
      </c>
      <c r="C61" s="65"/>
      <c r="D61" s="76"/>
      <c r="E61" s="76"/>
      <c r="F61" s="66">
        <v>3.3</v>
      </c>
      <c r="G61" s="282"/>
      <c r="H61" s="76"/>
      <c r="I61" s="76"/>
      <c r="J61" s="66">
        <v>3</v>
      </c>
      <c r="K61" s="67"/>
      <c r="L61" s="194"/>
      <c r="M61" s="194"/>
      <c r="N61" s="68">
        <v>1</v>
      </c>
      <c r="P61" s="69"/>
    </row>
    <row r="62" spans="2:57" ht="15">
      <c r="B62" s="36" t="s">
        <v>15</v>
      </c>
      <c r="C62" s="65"/>
      <c r="D62" s="76"/>
      <c r="E62" s="76"/>
      <c r="F62" s="70">
        <f>[21]May_2022!$M$43</f>
        <v>3.4878406700073312</v>
      </c>
      <c r="G62" s="282"/>
      <c r="H62" s="76"/>
      <c r="I62" s="76"/>
      <c r="J62" s="66">
        <v>5.5</v>
      </c>
      <c r="K62" s="67"/>
      <c r="L62" s="194"/>
      <c r="M62" s="194"/>
      <c r="N62" s="68">
        <v>1</v>
      </c>
      <c r="P62" s="69"/>
    </row>
    <row r="63" spans="2:57" ht="15">
      <c r="B63" s="37" t="s">
        <v>16</v>
      </c>
      <c r="C63" s="65"/>
      <c r="D63" s="76"/>
      <c r="E63" s="76"/>
      <c r="F63" s="66">
        <v>3.3</v>
      </c>
      <c r="G63" s="282"/>
      <c r="H63" s="76"/>
      <c r="I63" s="76"/>
      <c r="J63" s="66">
        <v>3.3</v>
      </c>
      <c r="K63" s="67"/>
      <c r="L63" s="194"/>
      <c r="M63" s="194"/>
      <c r="N63" s="71">
        <v>1</v>
      </c>
      <c r="P63" s="69"/>
    </row>
    <row r="64" spans="2:57" ht="15.75" thickBot="1">
      <c r="B64" s="38" t="s">
        <v>164</v>
      </c>
      <c r="C64" s="65"/>
      <c r="D64" s="76"/>
      <c r="E64" s="76"/>
      <c r="F64" s="66">
        <v>7.5</v>
      </c>
      <c r="G64" s="282"/>
      <c r="H64" s="76"/>
      <c r="I64" s="76"/>
      <c r="J64" s="66">
        <v>7.5</v>
      </c>
      <c r="K64" s="67"/>
      <c r="M64" s="194"/>
      <c r="N64" s="71">
        <v>1</v>
      </c>
      <c r="P64" s="69"/>
    </row>
    <row r="65" spans="2:16" ht="15.75" thickBot="1">
      <c r="B65" s="414" t="s">
        <v>161</v>
      </c>
      <c r="C65" s="65"/>
      <c r="D65" s="76"/>
      <c r="E65" s="76"/>
      <c r="F65" s="66">
        <v>4.8</v>
      </c>
      <c r="G65" s="282"/>
      <c r="H65" s="76"/>
      <c r="I65" s="76"/>
      <c r="J65" s="66">
        <v>4.8</v>
      </c>
      <c r="K65" s="67"/>
      <c r="L65" s="194"/>
      <c r="M65" s="194"/>
      <c r="N65" s="71">
        <v>1</v>
      </c>
      <c r="O65" s="74"/>
      <c r="P65" s="75"/>
    </row>
    <row r="66" spans="2:16" ht="15">
      <c r="D66" s="76"/>
      <c r="E66" s="76"/>
      <c r="F66" s="341">
        <v>5.5</v>
      </c>
      <c r="H66" s="76"/>
      <c r="I66" s="76"/>
      <c r="J66" s="341">
        <v>5.5</v>
      </c>
      <c r="L66" s="194"/>
      <c r="M66" s="194"/>
      <c r="N66" s="386">
        <v>1</v>
      </c>
    </row>
    <row r="70" spans="2:16">
      <c r="F70" s="315"/>
    </row>
    <row r="71" spans="2:16" ht="15">
      <c r="F71" s="341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17:N17"/>
    <mergeCell ref="D18:E18"/>
    <mergeCell ref="B19:B30"/>
    <mergeCell ref="D19:E20"/>
    <mergeCell ref="D21:E22"/>
    <mergeCell ref="D23:E24"/>
    <mergeCell ref="D25:E26"/>
    <mergeCell ref="D27:E28"/>
    <mergeCell ref="D29:E30"/>
    <mergeCell ref="B31:B40"/>
    <mergeCell ref="D31:E32"/>
    <mergeCell ref="J31:K31"/>
    <mergeCell ref="L32:N32"/>
    <mergeCell ref="D33:E34"/>
    <mergeCell ref="D35:E36"/>
    <mergeCell ref="D37:E38"/>
    <mergeCell ref="D39:E40"/>
    <mergeCell ref="D41:E41"/>
    <mergeCell ref="B46:B47"/>
    <mergeCell ref="C46:C47"/>
    <mergeCell ref="D46:D47"/>
    <mergeCell ref="E46:E47"/>
    <mergeCell ref="M46:M47"/>
    <mergeCell ref="B55:F55"/>
    <mergeCell ref="G55:J55"/>
    <mergeCell ref="K55:N55"/>
    <mergeCell ref="G46:G47"/>
    <mergeCell ref="H46:H47"/>
    <mergeCell ref="I46:I47"/>
    <mergeCell ref="J46:J47"/>
    <mergeCell ref="K46:K47"/>
    <mergeCell ref="L46:L47"/>
    <mergeCell ref="F46:F47"/>
  </mergeCells>
  <conditionalFormatting sqref="B41:B42">
    <cfRule type="cellIs" dxfId="1911" priority="140" operator="notBetween">
      <formula>#REF!</formula>
      <formula>#REF!</formula>
    </cfRule>
  </conditionalFormatting>
  <conditionalFormatting sqref="C45">
    <cfRule type="cellIs" dxfId="1910" priority="172" stopIfTrue="1" operator="greaterThan">
      <formula>100</formula>
    </cfRule>
    <cfRule type="cellIs" dxfId="1909" priority="171" stopIfTrue="1" operator="lessThan">
      <formula>96</formula>
    </cfRule>
  </conditionalFormatting>
  <conditionalFormatting sqref="C57:C58">
    <cfRule type="cellIs" dxfId="1908" priority="173" stopIfTrue="1" operator="greaterThan">
      <formula>$F57</formula>
    </cfRule>
    <cfRule type="cellIs" dxfId="1907" priority="175" stopIfTrue="1" operator="greaterThan">
      <formula>$F58</formula>
    </cfRule>
  </conditionalFormatting>
  <conditionalFormatting sqref="C57:C61">
    <cfRule type="cellIs" dxfId="1906" priority="121" stopIfTrue="1" operator="lessThanOrEqual">
      <formula>0</formula>
    </cfRule>
  </conditionalFormatting>
  <conditionalFormatting sqref="C58:C65">
    <cfRule type="cellIs" dxfId="1905" priority="120" stopIfTrue="1" operator="greaterThan">
      <formula>$F58</formula>
    </cfRule>
  </conditionalFormatting>
  <conditionalFormatting sqref="C62">
    <cfRule type="cellIs" dxfId="1904" priority="60" stopIfTrue="1" operator="greaterThan">
      <formula>$F61</formula>
    </cfRule>
    <cfRule type="cellIs" dxfId="1903" priority="59" stopIfTrue="1" operator="lessThanOrEqual">
      <formula>0</formula>
    </cfRule>
  </conditionalFormatting>
  <conditionalFormatting sqref="C63:C65">
    <cfRule type="cellIs" dxfId="1902" priority="137" stopIfTrue="1" operator="lessThanOrEqual">
      <formula>0</formula>
    </cfRule>
  </conditionalFormatting>
  <conditionalFormatting sqref="C68:C72">
    <cfRule type="cellIs" dxfId="1901" priority="163" stopIfTrue="1" operator="lessThanOrEqual">
      <formula>0</formula>
    </cfRule>
  </conditionalFormatting>
  <conditionalFormatting sqref="C69:C72">
    <cfRule type="cellIs" dxfId="1900" priority="162" stopIfTrue="1" operator="greaterThan">
      <formula>$F$68</formula>
    </cfRule>
  </conditionalFormatting>
  <conditionalFormatting sqref="C74">
    <cfRule type="cellIs" dxfId="1899" priority="164" stopIfTrue="1" operator="greaterThan">
      <formula>$F$68</formula>
    </cfRule>
    <cfRule type="cellIs" dxfId="1898" priority="165" stopIfTrue="1" operator="lessThanOrEqual">
      <formula>0</formula>
    </cfRule>
  </conditionalFormatting>
  <conditionalFormatting sqref="C68:D68 D70:D76">
    <cfRule type="cellIs" dxfId="1897" priority="157" stopIfTrue="1" operator="greaterThan">
      <formula>4.5</formula>
    </cfRule>
  </conditionalFormatting>
  <conditionalFormatting sqref="D41:D42">
    <cfRule type="cellIs" dxfId="1896" priority="141" operator="notBetween">
      <formula>#REF!</formula>
      <formula>#REF!</formula>
    </cfRule>
  </conditionalFormatting>
  <conditionalFormatting sqref="D57:D64">
    <cfRule type="cellIs" dxfId="1895" priority="135" stopIfTrue="1" operator="lessThanOrEqual">
      <formula>0</formula>
    </cfRule>
  </conditionalFormatting>
  <conditionalFormatting sqref="D65">
    <cfRule type="cellIs" dxfId="1894" priority="134" stopIfTrue="1" operator="lessThanOrEqual">
      <formula>0</formula>
    </cfRule>
  </conditionalFormatting>
  <conditionalFormatting sqref="D68 D70:D76">
    <cfRule type="cellIs" dxfId="1893" priority="158" stopIfTrue="1" operator="lessThanOrEqual">
      <formula>0</formula>
    </cfRule>
  </conditionalFormatting>
  <conditionalFormatting sqref="D69">
    <cfRule type="cellIs" dxfId="1892" priority="150" stopIfTrue="1" operator="lessThanOrEqual">
      <formula>0</formula>
    </cfRule>
    <cfRule type="cellIs" dxfId="1891" priority="149" stopIfTrue="1" operator="greaterThan">
      <formula>$F$68</formula>
    </cfRule>
  </conditionalFormatting>
  <conditionalFormatting sqref="D57:E66">
    <cfRule type="cellIs" dxfId="1890" priority="118" stopIfTrue="1" operator="greaterThan">
      <formula>$F57</formula>
    </cfRule>
  </conditionalFormatting>
  <conditionalFormatting sqref="D66:E66">
    <cfRule type="cellIs" dxfId="1889" priority="119" stopIfTrue="1" operator="lessThanOrEqual">
      <formula>0</formula>
    </cfRule>
  </conditionalFormatting>
  <conditionalFormatting sqref="E10:E16">
    <cfRule type="cellIs" dxfId="1888" priority="43" operator="lessThan">
      <formula>48</formula>
    </cfRule>
  </conditionalFormatting>
  <conditionalFormatting sqref="E44 E45:F45">
    <cfRule type="cellIs" dxfId="1887" priority="154" stopIfTrue="1" operator="greaterThan">
      <formula>100</formula>
    </cfRule>
  </conditionalFormatting>
  <conditionalFormatting sqref="E45">
    <cfRule type="cellIs" dxfId="1886" priority="152" stopIfTrue="1" operator="greaterThan">
      <formula>100</formula>
    </cfRule>
    <cfRule type="cellIs" dxfId="1885" priority="151" stopIfTrue="1" operator="lessThan">
      <formula>96.8</formula>
    </cfRule>
  </conditionalFormatting>
  <conditionalFormatting sqref="E57:E65">
    <cfRule type="cellIs" dxfId="1884" priority="129" stopIfTrue="1" operator="lessThanOrEqual">
      <formula>0</formula>
    </cfRule>
  </conditionalFormatting>
  <conditionalFormatting sqref="E68:E76">
    <cfRule type="cellIs" dxfId="1883" priority="143" stopIfTrue="1" operator="greaterThan">
      <formula>4.5</formula>
    </cfRule>
    <cfRule type="cellIs" dxfId="1882" priority="144" stopIfTrue="1" operator="lessThanOrEqual">
      <formula>0</formula>
    </cfRule>
  </conditionalFormatting>
  <conditionalFormatting sqref="E45:F45 E44">
    <cfRule type="cellIs" dxfId="1881" priority="153" stopIfTrue="1" operator="lessThan">
      <formula>96.5</formula>
    </cfRule>
  </conditionalFormatting>
  <conditionalFormatting sqref="F10:F15">
    <cfRule type="cellIs" dxfId="1880" priority="57" operator="greaterThan">
      <formula>60</formula>
    </cfRule>
  </conditionalFormatting>
  <conditionalFormatting sqref="F45">
    <cfRule type="cellIs" dxfId="1879" priority="170" stopIfTrue="1" operator="greaterThan">
      <formula>100</formula>
    </cfRule>
    <cfRule type="cellIs" dxfId="1878" priority="169" stopIfTrue="1" operator="lessThan">
      <formula>96.8</formula>
    </cfRule>
  </conditionalFormatting>
  <conditionalFormatting sqref="F66">
    <cfRule type="cellIs" dxfId="1877" priority="131" stopIfTrue="1" operator="lessThanOrEqual">
      <formula>0</formula>
    </cfRule>
    <cfRule type="cellIs" dxfId="1876" priority="130" stopIfTrue="1" operator="greaterThan">
      <formula>$F66</formula>
    </cfRule>
  </conditionalFormatting>
  <conditionalFormatting sqref="F71">
    <cfRule type="cellIs" dxfId="1875" priority="89" stopIfTrue="1" operator="greaterThan">
      <formula>$F71</formula>
    </cfRule>
    <cfRule type="cellIs" dxfId="1874" priority="90" stopIfTrue="1" operator="lessThanOrEqual">
      <formula>0</formula>
    </cfRule>
  </conditionalFormatting>
  <conditionalFormatting sqref="G14 G16">
    <cfRule type="expression" dxfId="1873" priority="52">
      <formula>IF(+(IF(G14&lt;S14,0,IF(G14&gt;T14,0,1)))=0,1)</formula>
    </cfRule>
  </conditionalFormatting>
  <conditionalFormatting sqref="G57:G59">
    <cfRule type="cellIs" dxfId="1872" priority="123" stopIfTrue="1" operator="lessThanOrEqual">
      <formula>0</formula>
    </cfRule>
    <cfRule type="cellIs" dxfId="1871" priority="122" stopIfTrue="1" operator="greaterThan">
      <formula>$F57</formula>
    </cfRule>
  </conditionalFormatting>
  <conditionalFormatting sqref="G57:G60">
    <cfRule type="cellIs" dxfId="1870" priority="132" stopIfTrue="1" operator="greaterThan">
      <formula>$F57</formula>
    </cfRule>
    <cfRule type="cellIs" dxfId="1869" priority="133" stopIfTrue="1" operator="lessThanOrEqual">
      <formula>0</formula>
    </cfRule>
  </conditionalFormatting>
  <conditionalFormatting sqref="G61:G65">
    <cfRule type="cellIs" dxfId="1868" priority="139" stopIfTrue="1" operator="lessThanOrEqual">
      <formula>0</formula>
    </cfRule>
    <cfRule type="cellIs" dxfId="1867" priority="138" stopIfTrue="1" operator="greaterThan">
      <formula>$J61</formula>
    </cfRule>
  </conditionalFormatting>
  <conditionalFormatting sqref="G70:G75 C73 C75">
    <cfRule type="cellIs" dxfId="1866" priority="166" stopIfTrue="1" operator="greaterThan">
      <formula>4.5</formula>
    </cfRule>
    <cfRule type="cellIs" dxfId="1865" priority="167" stopIfTrue="1" operator="lessThanOrEqual">
      <formula>0</formula>
    </cfRule>
  </conditionalFormatting>
  <conditionalFormatting sqref="G10:H13 H14 G15:H15">
    <cfRule type="expression" dxfId="1864" priority="58">
      <formula>IF(+(IF(G10&lt;#REF!,0,IF(G10&gt;#REF!,0,1)))=0,1)</formula>
    </cfRule>
  </conditionalFormatting>
  <conditionalFormatting sqref="G69:H69">
    <cfRule type="cellIs" dxfId="1863" priority="148" stopIfTrue="1" operator="lessThanOrEqual">
      <formula>0</formula>
    </cfRule>
    <cfRule type="cellIs" dxfId="1862" priority="147" stopIfTrue="1" operator="greaterThan">
      <formula>$F$68</formula>
    </cfRule>
  </conditionalFormatting>
  <conditionalFormatting sqref="H16">
    <cfRule type="expression" dxfId="1861" priority="53">
      <formula>IF(+(IF(H16&lt;#REF!,0,IF(H16&gt;#REF!,0,1)))=0,1)</formula>
    </cfRule>
  </conditionalFormatting>
  <conditionalFormatting sqref="H30:H44">
    <cfRule type="cellIs" dxfId="1860" priority="145" stopIfTrue="1" operator="greaterThan">
      <formula>0</formula>
    </cfRule>
  </conditionalFormatting>
  <conditionalFormatting sqref="H48">
    <cfRule type="cellIs" dxfId="1859" priority="14" stopIfTrue="1" operator="greaterThan">
      <formula>$F$35</formula>
    </cfRule>
    <cfRule type="cellIs" dxfId="1858" priority="13" stopIfTrue="1" operator="lessThanOrEqual">
      <formula>0</formula>
    </cfRule>
    <cfRule type="cellIs" dxfId="1857" priority="23" stopIfTrue="1" operator="lessThanOrEqual">
      <formula>0</formula>
    </cfRule>
    <cfRule type="cellIs" dxfId="1856" priority="25" stopIfTrue="1" operator="lessThanOrEqual">
      <formula>0</formula>
    </cfRule>
    <cfRule type="cellIs" dxfId="1855" priority="22" stopIfTrue="1" operator="greaterThan">
      <formula>$F$38</formula>
    </cfRule>
    <cfRule type="cellIs" dxfId="1854" priority="24" stopIfTrue="1" operator="greaterThan">
      <formula>$F$36</formula>
    </cfRule>
  </conditionalFormatting>
  <conditionalFormatting sqref="H49">
    <cfRule type="cellIs" dxfId="1853" priority="76" stopIfTrue="1" operator="lessThanOrEqual">
      <formula>0</formula>
    </cfRule>
    <cfRule type="cellIs" dxfId="1852" priority="77" stopIfTrue="1" operator="greaterThan">
      <formula>#REF!</formula>
    </cfRule>
    <cfRule type="cellIs" dxfId="1851" priority="85" stopIfTrue="1" operator="greaterThan">
      <formula>$F$17</formula>
    </cfRule>
    <cfRule type="cellIs" dxfId="1850" priority="86" stopIfTrue="1" operator="lessThanOrEqual">
      <formula>0</formula>
    </cfRule>
    <cfRule type="cellIs" dxfId="1849" priority="87" stopIfTrue="1" operator="greaterThan">
      <formula>#REF!</formula>
    </cfRule>
    <cfRule type="cellIs" dxfId="1848" priority="88" stopIfTrue="1" operator="lessThanOrEqual">
      <formula>0</formula>
    </cfRule>
  </conditionalFormatting>
  <conditionalFormatting sqref="H50">
    <cfRule type="cellIs" dxfId="1847" priority="29" stopIfTrue="1" operator="greaterThan">
      <formula>#REF!</formula>
    </cfRule>
    <cfRule type="cellIs" dxfId="1846" priority="28" stopIfTrue="1" operator="lessThanOrEqual">
      <formula>0</formula>
    </cfRule>
    <cfRule type="cellIs" dxfId="1845" priority="39" stopIfTrue="1" operator="greaterThan">
      <formula>#REF!</formula>
    </cfRule>
  </conditionalFormatting>
  <conditionalFormatting sqref="H50:H52">
    <cfRule type="cellIs" dxfId="1844" priority="40" stopIfTrue="1" operator="lessThanOrEqual">
      <formula>0</formula>
    </cfRule>
  </conditionalFormatting>
  <conditionalFormatting sqref="H51:H52">
    <cfRule type="cellIs" dxfId="1843" priority="74" stopIfTrue="1" operator="lessThanOrEqual">
      <formula>0</formula>
    </cfRule>
    <cfRule type="cellIs" dxfId="1842" priority="73" stopIfTrue="1" operator="greaterThan">
      <formula>#REF!</formula>
    </cfRule>
    <cfRule type="cellIs" dxfId="1841" priority="72" stopIfTrue="1" operator="lessThanOrEqual">
      <formula>0</formula>
    </cfRule>
    <cfRule type="cellIs" dxfId="1840" priority="71" stopIfTrue="1" operator="greaterThan">
      <formula>$F$16</formula>
    </cfRule>
    <cfRule type="cellIs" dxfId="1839" priority="63" stopIfTrue="1" operator="greaterThan">
      <formula>#REF!</formula>
    </cfRule>
  </conditionalFormatting>
  <conditionalFormatting sqref="H53">
    <cfRule type="cellIs" dxfId="1838" priority="93" stopIfTrue="1" operator="lessThanOrEqual">
      <formula>0</formula>
    </cfRule>
    <cfRule type="cellIs" dxfId="1837" priority="105" stopIfTrue="1" operator="lessThanOrEqual">
      <formula>0</formula>
    </cfRule>
    <cfRule type="cellIs" dxfId="1836" priority="104" stopIfTrue="1" operator="greaterThan">
      <formula>$F$30</formula>
    </cfRule>
    <cfRule type="cellIs" dxfId="1835" priority="103" stopIfTrue="1" operator="lessThanOrEqual">
      <formula>0</formula>
    </cfRule>
    <cfRule type="cellIs" dxfId="1834" priority="102" stopIfTrue="1" operator="greaterThan">
      <formula>$F$32</formula>
    </cfRule>
    <cfRule type="cellIs" dxfId="1833" priority="94" stopIfTrue="1" operator="greaterThan">
      <formula>$F$29</formula>
    </cfRule>
  </conditionalFormatting>
  <conditionalFormatting sqref="H57:H64">
    <cfRule type="cellIs" dxfId="1832" priority="124" stopIfTrue="1" operator="greaterThan">
      <formula>$J57</formula>
    </cfRule>
    <cfRule type="cellIs" dxfId="1831" priority="125" stopIfTrue="1" operator="lessThanOrEqual">
      <formula>0</formula>
    </cfRule>
  </conditionalFormatting>
  <conditionalFormatting sqref="H65">
    <cfRule type="cellIs" dxfId="1830" priority="126" operator="greaterThan">
      <formula>5.3</formula>
    </cfRule>
  </conditionalFormatting>
  <conditionalFormatting sqref="H68 H70:H76">
    <cfRule type="cellIs" dxfId="1829" priority="159" stopIfTrue="1" operator="greaterThan">
      <formula>4.5</formula>
    </cfRule>
    <cfRule type="cellIs" dxfId="1828" priority="160" stopIfTrue="1" operator="lessThanOrEqual">
      <formula>0</formula>
    </cfRule>
  </conditionalFormatting>
  <conditionalFormatting sqref="H48:I48">
    <cfRule type="cellIs" dxfId="1827" priority="15" stopIfTrue="1" operator="lessThanOrEqual">
      <formula>0</formula>
    </cfRule>
    <cfRule type="cellIs" dxfId="1826" priority="12" stopIfTrue="1" operator="greaterThan">
      <formula>$F$37</formula>
    </cfRule>
  </conditionalFormatting>
  <conditionalFormatting sqref="H49:I49">
    <cfRule type="cellIs" dxfId="1825" priority="78" stopIfTrue="1" operator="lessThanOrEqual">
      <formula>0</formula>
    </cfRule>
    <cfRule type="cellIs" dxfId="1824" priority="75" stopIfTrue="1" operator="greaterThan">
      <formula>$F$16</formula>
    </cfRule>
  </conditionalFormatting>
  <conditionalFormatting sqref="H50:I50">
    <cfRule type="cellIs" dxfId="1823" priority="36" stopIfTrue="1" operator="lessThanOrEqual">
      <formula>0</formula>
    </cfRule>
    <cfRule type="cellIs" dxfId="1822" priority="30" stopIfTrue="1" operator="lessThanOrEqual">
      <formula>0</formula>
    </cfRule>
    <cfRule type="cellIs" dxfId="1821" priority="27" stopIfTrue="1" operator="greaterThan">
      <formula>#REF!</formula>
    </cfRule>
  </conditionalFormatting>
  <conditionalFormatting sqref="H50:I52">
    <cfRule type="cellIs" dxfId="1820" priority="35" stopIfTrue="1" operator="greaterThan">
      <formula>#REF!</formula>
    </cfRule>
  </conditionalFormatting>
  <conditionalFormatting sqref="H51:I52">
    <cfRule type="cellIs" dxfId="1819" priority="64" stopIfTrue="1" operator="lessThanOrEqual">
      <formula>0</formula>
    </cfRule>
  </conditionalFormatting>
  <conditionalFormatting sqref="H53:I53">
    <cfRule type="cellIs" dxfId="1818" priority="95" stopIfTrue="1" operator="lessThanOrEqual">
      <formula>0</formula>
    </cfRule>
    <cfRule type="cellIs" dxfId="1817" priority="92" stopIfTrue="1" operator="greaterThan">
      <formula>$F$31</formula>
    </cfRule>
  </conditionalFormatting>
  <conditionalFormatting sqref="H66:I66">
    <cfRule type="cellIs" dxfId="1816" priority="116" stopIfTrue="1" operator="greaterThan">
      <formula>$J66</formula>
    </cfRule>
    <cfRule type="cellIs" dxfId="1815" priority="117" stopIfTrue="1" operator="lessThanOrEqual">
      <formula>0</formula>
    </cfRule>
  </conditionalFormatting>
  <conditionalFormatting sqref="I48">
    <cfRule type="cellIs" dxfId="1814" priority="21" stopIfTrue="1" operator="lessThanOrEqual">
      <formula>0</formula>
    </cfRule>
    <cfRule type="cellIs" dxfId="1813" priority="20" stopIfTrue="1" operator="greaterThan">
      <formula>$F$35</formula>
    </cfRule>
    <cfRule type="cellIs" dxfId="1812" priority="19" stopIfTrue="1" operator="lessThanOrEqual">
      <formula>0</formula>
    </cfRule>
    <cfRule type="cellIs" dxfId="1811" priority="18" stopIfTrue="1" operator="greaterThan">
      <formula>$F$37</formula>
    </cfRule>
    <cfRule type="cellIs" dxfId="1810" priority="17" stopIfTrue="1" operator="lessThanOrEqual">
      <formula>0</formula>
    </cfRule>
    <cfRule type="cellIs" dxfId="1809" priority="16" stopIfTrue="1" operator="greaterThan">
      <formula>$F$35</formula>
    </cfRule>
  </conditionalFormatting>
  <conditionalFormatting sqref="I49">
    <cfRule type="cellIs" dxfId="1808" priority="84" stopIfTrue="1" operator="lessThanOrEqual">
      <formula>0</formula>
    </cfRule>
    <cfRule type="cellIs" dxfId="1807" priority="83" stopIfTrue="1" operator="greaterThan">
      <formula>#REF!</formula>
    </cfRule>
    <cfRule type="cellIs" dxfId="1806" priority="82" stopIfTrue="1" operator="lessThanOrEqual">
      <formula>0</formula>
    </cfRule>
    <cfRule type="cellIs" dxfId="1805" priority="81" stopIfTrue="1" operator="greaterThan">
      <formula>$F$16</formula>
    </cfRule>
    <cfRule type="cellIs" dxfId="1804" priority="80" stopIfTrue="1" operator="lessThanOrEqual">
      <formula>0</formula>
    </cfRule>
    <cfRule type="cellIs" dxfId="1803" priority="79" stopIfTrue="1" operator="greaterThan">
      <formula>#REF!</formula>
    </cfRule>
  </conditionalFormatting>
  <conditionalFormatting sqref="I50">
    <cfRule type="cellIs" dxfId="1802" priority="34" stopIfTrue="1" operator="lessThanOrEqual">
      <formula>0</formula>
    </cfRule>
    <cfRule type="cellIs" dxfId="1801" priority="32" stopIfTrue="1" operator="lessThanOrEqual">
      <formula>0</formula>
    </cfRule>
    <cfRule type="cellIs" dxfId="1800" priority="31" stopIfTrue="1" operator="greaterThan">
      <formula>#REF!</formula>
    </cfRule>
    <cfRule type="cellIs" dxfId="1799" priority="33" stopIfTrue="1" operator="greaterThan">
      <formula>#REF!</formula>
    </cfRule>
  </conditionalFormatting>
  <conditionalFormatting sqref="I51:I52">
    <cfRule type="cellIs" dxfId="1798" priority="68" stopIfTrue="1" operator="lessThanOrEqual">
      <formula>0</formula>
    </cfRule>
    <cfRule type="cellIs" dxfId="1797" priority="67" stopIfTrue="1" operator="greaterThan">
      <formula>#REF!</formula>
    </cfRule>
    <cfRule type="cellIs" dxfId="1796" priority="66" stopIfTrue="1" operator="lessThanOrEqual">
      <formula>0</formula>
    </cfRule>
    <cfRule type="cellIs" dxfId="1795" priority="69" stopIfTrue="1" operator="greaterThan">
      <formula>#REF!</formula>
    </cfRule>
    <cfRule type="cellIs" dxfId="1794" priority="65" stopIfTrue="1" operator="greaterThan">
      <formula>#REF!</formula>
    </cfRule>
    <cfRule type="cellIs" dxfId="1793" priority="70" stopIfTrue="1" operator="lessThanOrEqual">
      <formula>0</formula>
    </cfRule>
  </conditionalFormatting>
  <conditionalFormatting sqref="I53">
    <cfRule type="cellIs" dxfId="1792" priority="97" stopIfTrue="1" operator="lessThanOrEqual">
      <formula>0</formula>
    </cfRule>
    <cfRule type="cellIs" dxfId="1791" priority="96" stopIfTrue="1" operator="greaterThan">
      <formula>$F$29</formula>
    </cfRule>
    <cfRule type="cellIs" dxfId="1790" priority="98" stopIfTrue="1" operator="greaterThan">
      <formula>$F$31</formula>
    </cfRule>
    <cfRule type="cellIs" dxfId="1789" priority="99" stopIfTrue="1" operator="lessThanOrEqual">
      <formula>0</formula>
    </cfRule>
    <cfRule type="cellIs" dxfId="1788" priority="100" stopIfTrue="1" operator="greaterThan">
      <formula>$F$29</formula>
    </cfRule>
    <cfRule type="cellIs" dxfId="1787" priority="101" stopIfTrue="1" operator="lessThanOrEqual">
      <formula>0</formula>
    </cfRule>
  </conditionalFormatting>
  <conditionalFormatting sqref="I57:I65">
    <cfRule type="cellIs" dxfId="1786" priority="127" stopIfTrue="1" operator="greaterThan">
      <formula>$J57</formula>
    </cfRule>
    <cfRule type="cellIs" dxfId="1785" priority="128" stopIfTrue="1" operator="lessThanOrEqual">
      <formula>0</formula>
    </cfRule>
  </conditionalFormatting>
  <conditionalFormatting sqref="I68:I76">
    <cfRule type="cellIs" dxfId="1784" priority="155" stopIfTrue="1" operator="greaterThan">
      <formula>4.5</formula>
    </cfRule>
    <cfRule type="cellIs" dxfId="1783" priority="156" stopIfTrue="1" operator="lessThanOrEqual">
      <formula>0</formula>
    </cfRule>
  </conditionalFormatting>
  <conditionalFormatting sqref="I10:J16">
    <cfRule type="cellIs" dxfId="1782" priority="44" operator="lessThan">
      <formula>97.9</formula>
    </cfRule>
  </conditionalFormatting>
  <conditionalFormatting sqref="J19:J25">
    <cfRule type="cellIs" dxfId="1781" priority="106" operator="lessThan">
      <formula>97.4</formula>
    </cfRule>
  </conditionalFormatting>
  <conditionalFormatting sqref="J19:J27">
    <cfRule type="cellIs" dxfId="1780" priority="107" stopIfTrue="1" operator="lessThan">
      <formula>96.8</formula>
    </cfRule>
    <cfRule type="cellIs" dxfId="1779" priority="108" stopIfTrue="1" operator="greaterThan">
      <formula>100</formula>
    </cfRule>
  </conditionalFormatting>
  <conditionalFormatting sqref="J19:J28">
    <cfRule type="cellIs" dxfId="1778" priority="109" operator="lessThan">
      <formula>98</formula>
    </cfRule>
  </conditionalFormatting>
  <conditionalFormatting sqref="J66">
    <cfRule type="cellIs" dxfId="1777" priority="114" stopIfTrue="1" operator="lessThanOrEqual">
      <formula>0</formula>
    </cfRule>
    <cfRule type="cellIs" dxfId="1776" priority="113" stopIfTrue="1" operator="greaterThan">
      <formula>$F66</formula>
    </cfRule>
  </conditionalFormatting>
  <conditionalFormatting sqref="K10:K16">
    <cfRule type="cellIs" dxfId="1775" priority="47" operator="greaterThan">
      <formula>6</formula>
    </cfRule>
    <cfRule type="cellIs" dxfId="1774" priority="48" operator="lessThan">
      <formula>4</formula>
    </cfRule>
    <cfRule type="cellIs" dxfId="1773" priority="49" operator="greaterThan">
      <formula>6.4</formula>
    </cfRule>
  </conditionalFormatting>
  <conditionalFormatting sqref="K48:K53">
    <cfRule type="cellIs" dxfId="1772" priority="26" stopIfTrue="1" operator="lessThan">
      <formula>100%</formula>
    </cfRule>
  </conditionalFormatting>
  <conditionalFormatting sqref="K68:K73">
    <cfRule type="cellIs" dxfId="1771" priority="161" stopIfTrue="1" operator="lessThan">
      <formula>100%</formula>
    </cfRule>
  </conditionalFormatting>
  <conditionalFormatting sqref="K75:K76">
    <cfRule type="cellIs" dxfId="1770" priority="168" stopIfTrue="1" operator="lessThan">
      <formula>100%</formula>
    </cfRule>
  </conditionalFormatting>
  <conditionalFormatting sqref="K57:N63 K64 M64:N64 K65:N65">
    <cfRule type="cellIs" dxfId="1769" priority="91" stopIfTrue="1" operator="lessThan">
      <formula>100%</formula>
    </cfRule>
  </conditionalFormatting>
  <conditionalFormatting sqref="L10:M13 L14:L16">
    <cfRule type="cellIs" dxfId="1768" priority="45" operator="between">
      <formula>61</formula>
      <formula>65</formula>
    </cfRule>
    <cfRule type="cellIs" dxfId="1767" priority="46" operator="greaterThan">
      <formula>65</formula>
    </cfRule>
  </conditionalFormatting>
  <conditionalFormatting sqref="L19:M30">
    <cfRule type="cellIs" dxfId="1766" priority="41" operator="lessThan">
      <formula>98</formula>
    </cfRule>
  </conditionalFormatting>
  <conditionalFormatting sqref="L34:N34">
    <cfRule type="cellIs" dxfId="1765" priority="42" operator="notEqual">
      <formula>#REF!</formula>
    </cfRule>
  </conditionalFormatting>
  <conditionalFormatting sqref="L66:N66">
    <cfRule type="cellIs" dxfId="1764" priority="115" stopIfTrue="1" operator="lessThan">
      <formula>100%</formula>
    </cfRule>
  </conditionalFormatting>
  <conditionalFormatting sqref="L68:N76">
    <cfRule type="cellIs" dxfId="1763" priority="146" stopIfTrue="1" operator="lessThan">
      <formula>100%</formula>
    </cfRule>
  </conditionalFormatting>
  <conditionalFormatting sqref="M10:M14">
    <cfRule type="expression" dxfId="1762" priority="56">
      <formula>IF(+(IF(M10&lt;U10,0,IF(M10&gt;V10,0,1)))=0,1)</formula>
    </cfRule>
  </conditionalFormatting>
  <conditionalFormatting sqref="M16">
    <cfRule type="expression" dxfId="1761" priority="51">
      <formula>IF(+(IF(M16&lt;U16,0,IF(M16&gt;V16,0,1)))=0,1)</formula>
    </cfRule>
  </conditionalFormatting>
  <conditionalFormatting sqref="M15:N15">
    <cfRule type="expression" dxfId="1760" priority="174">
      <formula>IF(+(IF(M15&lt;#REF!,0,IF(M15&gt;#REF!,0,1)))=0,1)</formula>
    </cfRule>
  </conditionalFormatting>
  <conditionalFormatting sqref="N10:N14">
    <cfRule type="expression" dxfId="1759" priority="55">
      <formula>IF(+(IF(N10&lt;W10,0,IF(N10&gt;X10,0,1)))=0,1)</formula>
    </cfRule>
  </conditionalFormatting>
  <conditionalFormatting sqref="N16">
    <cfRule type="expression" dxfId="1758" priority="50">
      <formula>IF(+(IF(N16&lt;W16,0,IF(N16&gt;X16,0,1)))=0,1)</formula>
    </cfRule>
  </conditionalFormatting>
  <conditionalFormatting sqref="P6">
    <cfRule type="cellIs" dxfId="1757" priority="142" operator="greaterThanOrEqual">
      <formula>19</formula>
    </cfRule>
  </conditionalFormatting>
  <dataValidations count="1">
    <dataValidation type="list" allowBlank="1" showInputMessage="1" showErrorMessage="1" sqref="R8" xr:uid="{561EE0FC-BB6E-4923-BAAF-38B392BE01D6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0" max="16383" man="1"/>
  </rowBreaks>
  <colBreaks count="1" manualBreakCount="1">
    <brk id="15" max="89" man="1"/>
  </col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9F5D5-830A-48A3-A5C2-8E46FE6F5EDD}">
  <sheetPr>
    <pageSetUpPr fitToPage="1"/>
  </sheetPr>
  <dimension ref="A1:BE72"/>
  <sheetViews>
    <sheetView topLeftCell="A20" zoomScaleNormal="100" workbookViewId="0">
      <selection activeCell="K20" sqref="K20:M29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67.425781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25" t="s">
        <v>0</v>
      </c>
      <c r="T1" s="525"/>
      <c r="U1" s="525" t="s">
        <v>1</v>
      </c>
      <c r="V1" s="525"/>
      <c r="W1" s="525" t="s">
        <v>2</v>
      </c>
      <c r="X1" s="525"/>
      <c r="Y1" s="525" t="s">
        <v>124</v>
      </c>
      <c r="Z1" s="525"/>
    </row>
    <row r="2" spans="2:29" ht="15">
      <c r="B2" s="526" t="s">
        <v>3</v>
      </c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45917</v>
      </c>
      <c r="J4" s="398" t="s">
        <v>168</v>
      </c>
      <c r="K4" s="398"/>
      <c r="L4" s="11"/>
      <c r="M4" s="547" t="s">
        <v>8</v>
      </c>
      <c r="N4" s="548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44"/>
      <c r="D5" s="544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167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84" t="s">
        <v>17</v>
      </c>
      <c r="C8" s="494" t="s">
        <v>18</v>
      </c>
      <c r="D8" s="494" t="s">
        <v>19</v>
      </c>
      <c r="E8" s="356" t="s">
        <v>20</v>
      </c>
      <c r="F8" s="356" t="s">
        <v>21</v>
      </c>
      <c r="G8" s="494" t="s">
        <v>22</v>
      </c>
      <c r="H8" s="535" t="s">
        <v>144</v>
      </c>
      <c r="I8" s="494" t="s">
        <v>166</v>
      </c>
      <c r="J8" s="537" t="s">
        <v>23</v>
      </c>
      <c r="K8" s="539" t="s">
        <v>142</v>
      </c>
      <c r="L8" s="541" t="s">
        <v>24</v>
      </c>
      <c r="M8" s="359" t="s">
        <v>25</v>
      </c>
      <c r="N8" s="17" t="s">
        <v>26</v>
      </c>
      <c r="O8" s="494" t="s">
        <v>155</v>
      </c>
      <c r="P8" s="56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33"/>
      <c r="C9" s="534"/>
      <c r="D9" s="534"/>
      <c r="E9" s="357" t="s">
        <v>30</v>
      </c>
      <c r="F9" s="357" t="s">
        <v>31</v>
      </c>
      <c r="G9" s="534"/>
      <c r="H9" s="536"/>
      <c r="I9" s="534"/>
      <c r="J9" s="538"/>
      <c r="K9" s="540"/>
      <c r="L9" s="542"/>
      <c r="M9" s="20" t="s">
        <v>32</v>
      </c>
      <c r="N9" s="21" t="s">
        <v>41</v>
      </c>
      <c r="O9" s="534"/>
      <c r="P9" s="561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36" t="s">
        <v>15</v>
      </c>
      <c r="C10" s="366" t="str">
        <f>[27]Brewhouse!$A28</f>
        <v>MK021</v>
      </c>
      <c r="D10" s="279">
        <f>[27]Brewhouse!$AF28</f>
        <v>53.2</v>
      </c>
      <c r="E10" s="279">
        <f>[27]Brewhouse!$AI28</f>
        <v>49.8</v>
      </c>
      <c r="F10" s="278">
        <f>[27]Brewhouse!$X28</f>
        <v>54</v>
      </c>
      <c r="G10" s="279">
        <f>[27]Brewhouse!$AG28</f>
        <v>13.5</v>
      </c>
      <c r="H10" s="396"/>
      <c r="I10" s="420">
        <f>[27]Brewhouse!$AT28</f>
        <v>94.489668133257737</v>
      </c>
      <c r="J10" s="420">
        <f>[27]Brewhouse!$AU28</f>
        <v>96.028262237171987</v>
      </c>
      <c r="K10" s="462">
        <f>[27]Brewhouse!$S28</f>
        <v>5.5657142857142814</v>
      </c>
      <c r="L10" s="276">
        <f>[27]Brewhouse!$R28</f>
        <v>74</v>
      </c>
      <c r="M10" s="374">
        <f>[27]Brewhouse!$W28-[27]Brewhouse!$V28</f>
        <v>0.12222222222222212</v>
      </c>
      <c r="N10" s="370">
        <f>[27]Brewhouse!$AA28</f>
        <v>0.27222222222222214</v>
      </c>
      <c r="O10" s="421" t="str">
        <f>[27]Brewhouse!$AX28</f>
        <v>R.Regis</v>
      </c>
      <c r="P10" s="418"/>
      <c r="R10" s="277" t="str">
        <f t="shared" ref="R10:R13" si="0">B10</f>
        <v>MACKESON</v>
      </c>
      <c r="S10" s="296">
        <f t="shared" ref="S10:S13" si="1">VLOOKUP($B10,$R$3:$X$9,2,FALSE)</f>
        <v>13.3</v>
      </c>
      <c r="T10" s="296">
        <f t="shared" ref="T10:T13" si="2">VLOOKUP($B10,$R$3:$X$9,3,FALSE)</f>
        <v>13.5</v>
      </c>
      <c r="U10" s="297">
        <f t="shared" ref="U10:U13" si="3">VLOOKUP($B10,$R$3:$X$9,4,FALSE)</f>
        <v>0</v>
      </c>
      <c r="V10" s="297">
        <f t="shared" ref="V10:V13" si="4">VLOOKUP($B10,$R$3:$X$9,5,FALSE)</f>
        <v>0.12905092592592593</v>
      </c>
      <c r="W10" s="297">
        <f t="shared" ref="W10:W13" si="5">VLOOKUP($B10,$R$3:$X$9,6,FALSE)</f>
        <v>0.27430555555555552</v>
      </c>
      <c r="X10" s="297">
        <f t="shared" ref="X10:X13" si="6">VLOOKUP($B10,$R$3:$X$9,7,FALSE)</f>
        <v>0.30208333333333331</v>
      </c>
      <c r="Y10" s="297">
        <f t="shared" ref="Y10:Y13" si="7">VLOOKUP($B10,$R$3:$Z$9,8,FALSE)</f>
        <v>0</v>
      </c>
      <c r="Z10" s="296">
        <f t="shared" ref="Z10:Z13" si="8">VLOOKUP($B10,$R$3:$Z$9,9,FALSE)</f>
        <v>0</v>
      </c>
    </row>
    <row r="11" spans="2:29" ht="15.75" customHeight="1">
      <c r="B11" s="36" t="s">
        <v>15</v>
      </c>
      <c r="C11" s="366" t="str">
        <f>[27]Brewhouse!$A29</f>
        <v>MK022</v>
      </c>
      <c r="D11" s="279">
        <f>[27]Brewhouse!$AF29</f>
        <v>53.6</v>
      </c>
      <c r="E11" s="279">
        <f>[27]Brewhouse!$AI29</f>
        <v>50.7</v>
      </c>
      <c r="F11" s="278">
        <f>[27]Brewhouse!$X29</f>
        <v>54</v>
      </c>
      <c r="G11" s="279">
        <f>[27]Brewhouse!$AG29</f>
        <v>13.5</v>
      </c>
      <c r="H11" s="396"/>
      <c r="I11" s="420">
        <f>[27]Brewhouse!$AT29</f>
        <v>95.994784321626057</v>
      </c>
      <c r="J11" s="420">
        <f>[27]Brewhouse!$AU29</f>
        <v>97.558515040689173</v>
      </c>
      <c r="K11" s="462">
        <f>[27]Brewhouse!$S29</f>
        <v>4.8514285714285696</v>
      </c>
      <c r="L11" s="276">
        <f>[27]Brewhouse!$R29</f>
        <v>75</v>
      </c>
      <c r="M11" s="374">
        <f>[27]Brewhouse!$W29-[27]Brewhouse!$V29</f>
        <v>0.11944444444444446</v>
      </c>
      <c r="N11" s="370">
        <f>[27]Brewhouse!$AA29</f>
        <v>0.28055555555555556</v>
      </c>
      <c r="O11" s="421" t="str">
        <f>[27]Brewhouse!$AX29</f>
        <v>R.Regis</v>
      </c>
      <c r="P11" s="418"/>
      <c r="R11" s="277" t="str">
        <f t="shared" si="0"/>
        <v>MACKESON</v>
      </c>
      <c r="S11" s="296">
        <f t="shared" si="1"/>
        <v>13.3</v>
      </c>
      <c r="T11" s="296">
        <f t="shared" si="2"/>
        <v>13.5</v>
      </c>
      <c r="U11" s="297">
        <f t="shared" si="3"/>
        <v>0</v>
      </c>
      <c r="V11" s="297">
        <f t="shared" si="4"/>
        <v>0.12905092592592593</v>
      </c>
      <c r="W11" s="297">
        <f t="shared" si="5"/>
        <v>0.27430555555555552</v>
      </c>
      <c r="X11" s="297">
        <f t="shared" si="6"/>
        <v>0.30208333333333331</v>
      </c>
      <c r="Y11" s="297">
        <f t="shared" si="7"/>
        <v>0</v>
      </c>
      <c r="Z11" s="296">
        <f t="shared" si="8"/>
        <v>0</v>
      </c>
    </row>
    <row r="12" spans="2:29" ht="15.75" customHeight="1">
      <c r="B12" s="36" t="s">
        <v>15</v>
      </c>
      <c r="C12" s="366" t="str">
        <f>[27]Brewhouse!$A30</f>
        <v>MK023</v>
      </c>
      <c r="D12" s="279">
        <f>[27]Brewhouse!$AF30</f>
        <v>53</v>
      </c>
      <c r="E12" s="279">
        <f>[27]Brewhouse!$AI30</f>
        <v>50.3</v>
      </c>
      <c r="F12" s="278">
        <f>[27]Brewhouse!$X30</f>
        <v>55</v>
      </c>
      <c r="G12" s="279">
        <f>[27]Brewhouse!$AG30</f>
        <v>13.5</v>
      </c>
      <c r="H12" s="396"/>
      <c r="I12" s="420">
        <f>[27]Brewhouse!$AT30</f>
        <v>95.337788432396806</v>
      </c>
      <c r="J12" s="420">
        <f>[27]Brewhouse!$AU30</f>
        <v>96.89050507942369</v>
      </c>
      <c r="K12" s="462">
        <f>[27]Brewhouse!$S30</f>
        <v>5.9228571428571444</v>
      </c>
      <c r="L12" s="276">
        <f>[27]Brewhouse!$R30</f>
        <v>76</v>
      </c>
      <c r="M12" s="374">
        <f>[27]Brewhouse!$W30-[27]Brewhouse!$V30</f>
        <v>0.1166666666666667</v>
      </c>
      <c r="N12" s="370">
        <f>[27]Brewhouse!$AA30</f>
        <v>0.27222222222222225</v>
      </c>
      <c r="O12" s="421" t="str">
        <f>[27]Brewhouse!$AX30</f>
        <v>R.Regis</v>
      </c>
      <c r="P12" s="418"/>
      <c r="R12" s="277" t="str">
        <f t="shared" si="0"/>
        <v>MACKESON</v>
      </c>
      <c r="S12" s="296">
        <f t="shared" si="1"/>
        <v>13.3</v>
      </c>
      <c r="T12" s="296">
        <f t="shared" si="2"/>
        <v>13.5</v>
      </c>
      <c r="U12" s="297">
        <f t="shared" si="3"/>
        <v>0</v>
      </c>
      <c r="V12" s="297">
        <f t="shared" si="4"/>
        <v>0.12905092592592593</v>
      </c>
      <c r="W12" s="297">
        <f t="shared" si="5"/>
        <v>0.27430555555555552</v>
      </c>
      <c r="X12" s="297">
        <f t="shared" si="6"/>
        <v>0.30208333333333331</v>
      </c>
      <c r="Y12" s="297">
        <f t="shared" si="7"/>
        <v>0</v>
      </c>
      <c r="Z12" s="296">
        <f t="shared" si="8"/>
        <v>0</v>
      </c>
    </row>
    <row r="13" spans="2:29" ht="15.75" customHeight="1">
      <c r="B13" s="33"/>
      <c r="C13" s="366"/>
      <c r="D13" s="279"/>
      <c r="E13" s="279"/>
      <c r="F13" s="278"/>
      <c r="G13" s="279"/>
      <c r="H13" s="396"/>
      <c r="I13" s="420"/>
      <c r="J13" s="420"/>
      <c r="K13" s="281"/>
      <c r="L13" s="276"/>
      <c r="M13" s="374"/>
      <c r="N13" s="370"/>
      <c r="O13" s="421"/>
      <c r="P13" s="418"/>
      <c r="R13" s="277">
        <f t="shared" si="0"/>
        <v>0</v>
      </c>
      <c r="S13" s="296" t="e">
        <f t="shared" si="1"/>
        <v>#N/A</v>
      </c>
      <c r="T13" s="296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296" t="e">
        <f t="shared" si="8"/>
        <v>#N/A</v>
      </c>
    </row>
    <row r="14" spans="2:29" ht="15.75" customHeight="1">
      <c r="B14" s="33"/>
      <c r="C14" s="366"/>
      <c r="D14" s="279"/>
      <c r="E14" s="279"/>
      <c r="F14" s="278"/>
      <c r="G14" s="279"/>
      <c r="H14" s="396"/>
      <c r="I14" s="420"/>
      <c r="J14" s="420"/>
      <c r="K14" s="281"/>
      <c r="L14" s="276"/>
      <c r="M14" s="374"/>
      <c r="N14" s="370"/>
      <c r="O14" s="421"/>
      <c r="P14" s="418"/>
      <c r="R14" s="277">
        <f t="shared" ref="R14:R39" si="9">B14</f>
        <v>0</v>
      </c>
      <c r="S14" s="296" t="e">
        <f t="shared" ref="S14:S39" si="10">VLOOKUP($B14,$R$3:$X$9,2,FALSE)</f>
        <v>#N/A</v>
      </c>
      <c r="T14" s="296" t="e">
        <f t="shared" ref="T14:T39" si="11">VLOOKUP($B14,$R$3:$X$9,3,FALSE)</f>
        <v>#N/A</v>
      </c>
      <c r="U14" s="297" t="e">
        <f t="shared" ref="U14:U39" si="12">VLOOKUP($B14,$R$3:$X$9,4,FALSE)</f>
        <v>#N/A</v>
      </c>
      <c r="V14" s="297" t="e">
        <f t="shared" ref="V14:V39" si="13">VLOOKUP($B14,$R$3:$X$9,5,FALSE)</f>
        <v>#N/A</v>
      </c>
      <c r="W14" s="297" t="e">
        <f t="shared" ref="W14:W39" si="14">VLOOKUP($B14,$R$3:$X$9,6,FALSE)</f>
        <v>#N/A</v>
      </c>
      <c r="X14" s="297" t="e">
        <f t="shared" ref="X14:X39" si="15">VLOOKUP($B14,$R$3:$X$9,7,FALSE)</f>
        <v>#N/A</v>
      </c>
      <c r="Y14" s="297" t="e">
        <f t="shared" ref="Y14:Y39" si="16">VLOOKUP($B14,$R$3:$Z$9,8,FALSE)</f>
        <v>#N/A</v>
      </c>
      <c r="Z14" s="296" t="e">
        <f t="shared" ref="Z14:Z39" si="17">VLOOKUP($B14,$R$3:$Z$9,9,FALSE)</f>
        <v>#N/A</v>
      </c>
    </row>
    <row r="15" spans="2:29" ht="15.75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421"/>
      <c r="P15" s="418"/>
      <c r="R15" s="277">
        <f t="shared" si="9"/>
        <v>0</v>
      </c>
      <c r="S15" s="296" t="e">
        <f t="shared" si="10"/>
        <v>#N/A</v>
      </c>
      <c r="T15" s="296" t="e">
        <f t="shared" si="11"/>
        <v>#N/A</v>
      </c>
      <c r="U15" s="297" t="e">
        <f t="shared" si="12"/>
        <v>#N/A</v>
      </c>
      <c r="V15" s="297" t="e">
        <f t="shared" si="13"/>
        <v>#N/A</v>
      </c>
      <c r="W15" s="297" t="e">
        <f t="shared" si="14"/>
        <v>#N/A</v>
      </c>
      <c r="X15" s="297" t="e">
        <f t="shared" si="15"/>
        <v>#N/A</v>
      </c>
      <c r="Y15" s="297" t="e">
        <f t="shared" si="16"/>
        <v>#N/A</v>
      </c>
      <c r="Z15" s="296" t="e">
        <f t="shared" si="17"/>
        <v>#N/A</v>
      </c>
    </row>
    <row r="16" spans="2:29" ht="15.75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371"/>
      <c r="P16" s="418"/>
      <c r="R16" s="277">
        <f t="shared" si="9"/>
        <v>0</v>
      </c>
      <c r="S16" s="296" t="e">
        <f t="shared" si="10"/>
        <v>#N/A</v>
      </c>
      <c r="T16" s="296" t="e">
        <f t="shared" si="11"/>
        <v>#N/A</v>
      </c>
      <c r="U16" s="297" t="e">
        <f t="shared" si="12"/>
        <v>#N/A</v>
      </c>
      <c r="V16" s="297" t="e">
        <f t="shared" si="13"/>
        <v>#N/A</v>
      </c>
      <c r="W16" s="297" t="e">
        <f t="shared" si="14"/>
        <v>#N/A</v>
      </c>
      <c r="X16" s="297" t="e">
        <f t="shared" si="15"/>
        <v>#N/A</v>
      </c>
      <c r="Y16" s="297" t="e">
        <f t="shared" si="16"/>
        <v>#N/A</v>
      </c>
      <c r="Z16" s="296" t="e">
        <f t="shared" si="17"/>
        <v>#N/A</v>
      </c>
    </row>
    <row r="17" spans="1:26" ht="15.75" customHeight="1">
      <c r="B17" s="37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371"/>
      <c r="P17" s="418"/>
      <c r="R17" s="277">
        <f t="shared" si="9"/>
        <v>0</v>
      </c>
      <c r="S17" s="296" t="e">
        <f t="shared" si="10"/>
        <v>#N/A</v>
      </c>
      <c r="T17" s="296" t="e">
        <f t="shared" si="11"/>
        <v>#N/A</v>
      </c>
      <c r="U17" s="297" t="e">
        <f t="shared" si="12"/>
        <v>#N/A</v>
      </c>
      <c r="V17" s="297" t="e">
        <f t="shared" si="13"/>
        <v>#N/A</v>
      </c>
      <c r="W17" s="297" t="e">
        <f t="shared" si="14"/>
        <v>#N/A</v>
      </c>
      <c r="X17" s="297" t="e">
        <f t="shared" si="15"/>
        <v>#N/A</v>
      </c>
      <c r="Y17" s="297" t="e">
        <f t="shared" si="16"/>
        <v>#N/A</v>
      </c>
      <c r="Z17" s="296" t="e">
        <f t="shared" si="17"/>
        <v>#N/A</v>
      </c>
    </row>
    <row r="18" spans="1:26" ht="15.75" customHeight="1" thickBot="1">
      <c r="B18" s="358"/>
      <c r="C18" s="358"/>
      <c r="D18" s="358"/>
      <c r="E18" s="358"/>
      <c r="F18" s="294"/>
      <c r="G18" s="294"/>
      <c r="H18" s="348"/>
      <c r="I18" s="514"/>
      <c r="J18" s="514"/>
      <c r="K18" s="514"/>
      <c r="L18" s="514"/>
      <c r="M18" s="514"/>
      <c r="N18" s="514"/>
      <c r="O18" s="1"/>
      <c r="P18" s="12"/>
      <c r="R18" s="277">
        <f t="shared" si="9"/>
        <v>0</v>
      </c>
      <c r="S18" s="296" t="e">
        <f t="shared" si="10"/>
        <v>#N/A</v>
      </c>
      <c r="T18" s="296" t="e">
        <f t="shared" si="11"/>
        <v>#N/A</v>
      </c>
      <c r="U18" s="297" t="e">
        <f t="shared" si="12"/>
        <v>#N/A</v>
      </c>
      <c r="V18" s="297" t="e">
        <f t="shared" si="13"/>
        <v>#N/A</v>
      </c>
      <c r="W18" s="297" t="e">
        <f t="shared" si="14"/>
        <v>#N/A</v>
      </c>
      <c r="X18" s="297" t="e">
        <f t="shared" si="15"/>
        <v>#N/A</v>
      </c>
      <c r="Y18" s="297" t="e">
        <f t="shared" si="16"/>
        <v>#N/A</v>
      </c>
      <c r="Z18" s="296" t="e">
        <f t="shared" si="17"/>
        <v>#N/A</v>
      </c>
    </row>
    <row r="19" spans="1:26" ht="15.75" thickBot="1">
      <c r="B19" s="388" t="s">
        <v>162</v>
      </c>
      <c r="C19" s="388"/>
      <c r="D19" s="527" t="s">
        <v>35</v>
      </c>
      <c r="E19" s="528"/>
      <c r="F19" s="294"/>
      <c r="G19" s="294"/>
      <c r="H19" s="348"/>
      <c r="I19" s="24" t="s">
        <v>17</v>
      </c>
      <c r="J19" s="25" t="s">
        <v>36</v>
      </c>
      <c r="K19" s="26" t="s">
        <v>138</v>
      </c>
      <c r="L19" s="25" t="s">
        <v>37</v>
      </c>
      <c r="M19" s="25" t="s">
        <v>38</v>
      </c>
      <c r="N19" s="27" t="s">
        <v>39</v>
      </c>
      <c r="O19" s="294"/>
      <c r="P19" s="12"/>
      <c r="R19" s="277" t="str">
        <f t="shared" si="9"/>
        <v xml:space="preserve">BRAND </v>
      </c>
      <c r="S19" s="296" t="e">
        <f t="shared" si="10"/>
        <v>#N/A</v>
      </c>
      <c r="T19" s="296" t="e">
        <f t="shared" si="11"/>
        <v>#N/A</v>
      </c>
      <c r="U19" s="297" t="e">
        <f t="shared" si="12"/>
        <v>#N/A</v>
      </c>
      <c r="V19" s="297" t="e">
        <f t="shared" si="13"/>
        <v>#N/A</v>
      </c>
      <c r="W19" s="297" t="e">
        <f t="shared" si="14"/>
        <v>#N/A</v>
      </c>
      <c r="X19" s="297" t="e">
        <f t="shared" si="15"/>
        <v>#N/A</v>
      </c>
      <c r="Y19" s="297" t="e">
        <f t="shared" si="16"/>
        <v>#N/A</v>
      </c>
      <c r="Z19" s="296" t="e">
        <f t="shared" si="17"/>
        <v>#N/A</v>
      </c>
    </row>
    <row r="20" spans="1:26" ht="15" customHeight="1">
      <c r="A20" s="28"/>
      <c r="B20" s="515" t="str">
        <f>J35</f>
        <v>STAG</v>
      </c>
      <c r="C20" s="362"/>
      <c r="D20" s="518"/>
      <c r="E20" s="507"/>
      <c r="F20" s="294"/>
      <c r="G20" s="294"/>
      <c r="H20" s="348"/>
      <c r="I20" s="29" t="s">
        <v>6</v>
      </c>
      <c r="J20" s="280"/>
      <c r="K20" s="284">
        <f>COUNTA([22]Brewhouse!$A$740:$A$782)</f>
        <v>43</v>
      </c>
      <c r="L20" s="305">
        <f>AVERAGE([22]Brewhouse!$AU$740:$AU$782)</f>
        <v>97.363169195150917</v>
      </c>
      <c r="M20" s="302">
        <f>AVERAGE([22]Brewhouse!$AU$102:$AU$171,[22]Brewhouse!$AU$173:$AU$253,[22]Brewhouse!$AU$255:$AU$339,[22]Brewhouse!$AU$341:$AU$346,[22]Brewhouse!$AU$348,[22]Brewhouse!$AU$349:$AU$406,[22]Brewhouse!$AU$408:$AU$491,[22]Brewhouse!$AU$493:$AU$578,[22]Brewhouse!$AU$580:$AU$652,[22]Brewhouse!$AU$655:$AU$782)</f>
        <v>97.68374537610346</v>
      </c>
      <c r="N20" s="30">
        <v>98</v>
      </c>
      <c r="O20" s="11"/>
      <c r="P20" s="31"/>
      <c r="R20" s="277" t="str">
        <f t="shared" si="9"/>
        <v>STAG</v>
      </c>
      <c r="S20" s="296">
        <f t="shared" si="10"/>
        <v>11.6</v>
      </c>
      <c r="T20" s="296">
        <f t="shared" si="11"/>
        <v>12</v>
      </c>
      <c r="U20" s="297">
        <f t="shared" si="12"/>
        <v>0</v>
      </c>
      <c r="V20" s="297">
        <f t="shared" si="13"/>
        <v>0.118055555555556</v>
      </c>
      <c r="W20" s="297">
        <f t="shared" si="14"/>
        <v>0.22569444444444445</v>
      </c>
      <c r="X20" s="297">
        <f t="shared" si="15"/>
        <v>0.2638888888888889</v>
      </c>
      <c r="Y20" s="297">
        <f t="shared" si="16"/>
        <v>0</v>
      </c>
      <c r="Z20" s="296">
        <f t="shared" si="17"/>
        <v>60</v>
      </c>
    </row>
    <row r="21" spans="1:26" ht="15" customHeight="1">
      <c r="A21" s="28"/>
      <c r="B21" s="516"/>
      <c r="C21" s="362"/>
      <c r="D21" s="519"/>
      <c r="E21" s="502"/>
      <c r="F21" s="294"/>
      <c r="G21" s="294"/>
      <c r="H21" s="348"/>
      <c r="I21" s="33" t="s">
        <v>9</v>
      </c>
      <c r="J21" s="280"/>
      <c r="K21" s="284">
        <f>COUNTA([24]Brewhouse!$A$361:$A$380)</f>
        <v>20</v>
      </c>
      <c r="L21" s="302">
        <f>AVERAGE([24]Brewhouse!$AS$361:$AS$380)</f>
        <v>97.321242424213011</v>
      </c>
      <c r="M21" s="302">
        <f>AVERAGE([24]Brewhouse!$AS$15:$AS$64,[24]Brewhouse!$AS$66:$AS$103,[24]Brewhouse!$AS$105:$AS$140,[24]Brewhouse!$AS$142:$AS$193,[24]Brewhouse!$AS$195:$AS$240,[24]Brewhouse!$AS$242:$AS$273,[24]Brewhouse!$AS$275:$AS$322,[24]Brewhouse!$AS$324:$AS$359,[24]Brewhouse!$AS$361:$AS$380)</f>
        <v>98.023911582478434</v>
      </c>
      <c r="N21" s="30">
        <v>98</v>
      </c>
      <c r="O21" s="11"/>
      <c r="P21" s="31"/>
      <c r="R21" s="277">
        <f t="shared" si="9"/>
        <v>0</v>
      </c>
      <c r="S21" s="296" t="e">
        <f t="shared" si="10"/>
        <v>#N/A</v>
      </c>
      <c r="T21" s="296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296" t="e">
        <f t="shared" si="17"/>
        <v>#N/A</v>
      </c>
    </row>
    <row r="22" spans="1:26" ht="14.65" customHeight="1">
      <c r="A22" s="28"/>
      <c r="B22" s="516"/>
      <c r="C22" s="362"/>
      <c r="D22" s="518"/>
      <c r="E22" s="507"/>
      <c r="F22" s="294"/>
      <c r="G22" s="294"/>
      <c r="H22" s="348"/>
      <c r="I22" s="34" t="s">
        <v>12</v>
      </c>
      <c r="J22" s="280"/>
      <c r="K22" s="284"/>
      <c r="L22" s="302"/>
      <c r="M22" s="302">
        <f>AVERAGE([25]Brewhouse!$AU$4:$AU$7,[25]Brewhouse!$AU$9:$AU$22,[25]Brewhouse!$AU$24:$AU$35,[25]Brewhouse!$AU$37:$AU$45,[25]Brewhouse!$AU$47:$AU$62,[25]Brewhouse!$AU$64:$AU$79,[25]Brewhouse!$AU$81:$AU$92)</f>
        <v>96.938184743997624</v>
      </c>
      <c r="N22" s="30">
        <v>98</v>
      </c>
      <c r="O22" s="11"/>
      <c r="P22" s="31"/>
      <c r="R22" s="277">
        <f t="shared" si="9"/>
        <v>0</v>
      </c>
      <c r="S22" s="296" t="e">
        <f t="shared" si="10"/>
        <v>#N/A</v>
      </c>
      <c r="T22" s="296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296" t="e">
        <f t="shared" si="17"/>
        <v>#N/A</v>
      </c>
    </row>
    <row r="23" spans="1:26" ht="14.65" customHeight="1">
      <c r="A23" s="28"/>
      <c r="B23" s="516"/>
      <c r="C23" s="362"/>
      <c r="D23" s="519"/>
      <c r="E23" s="502"/>
      <c r="F23" s="294"/>
      <c r="G23" s="294"/>
      <c r="H23" s="348"/>
      <c r="I23" s="22" t="s">
        <v>33</v>
      </c>
      <c r="J23" s="280"/>
      <c r="K23" s="284">
        <f>COUNTA([26]Brewhouse!$A$79:$A$86)</f>
        <v>8</v>
      </c>
      <c r="L23" s="302">
        <f>AVERAGE([26]Brewhouse!$AV$79:$AV$86)</f>
        <v>96.412390542357869</v>
      </c>
      <c r="M23" s="302">
        <f>AVERAGE([26]Brewhouse!$AV$5:$AV$14,[26]Brewhouse!$AV$16:$AV$19,[26]Brewhouse!$AV$21:$AV$24,[26]Brewhouse!$AV$26:$AV$33,[26]Brewhouse!$AV$35:$AV$46,[26]Brewhouse!$AV$48:$AV$53,[26]Brewhouse!$AV$55:$AV$62,[26]Brewhouse!$AV$64:$AV$77,[26]Brewhouse!$AV$79:$AV$86)</f>
        <v>98.293408393493976</v>
      </c>
      <c r="N23" s="30">
        <v>98</v>
      </c>
      <c r="O23" s="11"/>
      <c r="P23" s="31"/>
      <c r="R23" s="277">
        <f t="shared" si="9"/>
        <v>0</v>
      </c>
      <c r="S23" s="296" t="e">
        <f t="shared" si="10"/>
        <v>#N/A</v>
      </c>
      <c r="T23" s="296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296" t="e">
        <f t="shared" si="17"/>
        <v>#N/A</v>
      </c>
    </row>
    <row r="24" spans="1:26" ht="14.65" customHeight="1">
      <c r="A24" s="28"/>
      <c r="B24" s="516"/>
      <c r="C24" s="362"/>
      <c r="D24" s="518"/>
      <c r="E24" s="507"/>
      <c r="F24" s="417"/>
      <c r="G24" s="294"/>
      <c r="H24" s="348"/>
      <c r="I24" s="35" t="s">
        <v>29</v>
      </c>
      <c r="J24" s="280"/>
      <c r="K24" s="284"/>
      <c r="L24" s="302"/>
      <c r="M24" s="302"/>
      <c r="N24" s="30">
        <v>98</v>
      </c>
      <c r="O24" s="11"/>
      <c r="P24" s="31"/>
      <c r="R24" s="277">
        <f t="shared" si="9"/>
        <v>0</v>
      </c>
      <c r="S24" s="296" t="e">
        <f t="shared" si="10"/>
        <v>#N/A</v>
      </c>
      <c r="T24" s="296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296" t="e">
        <f t="shared" si="17"/>
        <v>#N/A</v>
      </c>
    </row>
    <row r="25" spans="1:26" ht="14.65" customHeight="1">
      <c r="A25" s="28"/>
      <c r="B25" s="516"/>
      <c r="C25" s="362"/>
      <c r="D25" s="519"/>
      <c r="E25" s="502"/>
      <c r="F25" s="417"/>
      <c r="G25" s="294"/>
      <c r="H25" s="348"/>
      <c r="I25" s="36" t="s">
        <v>15</v>
      </c>
      <c r="J25" s="280">
        <f>AVERAGE(I10:I12)</f>
        <v>95.2740802957602</v>
      </c>
      <c r="K25" s="284">
        <f>COUNTA([27]Brewhouse!$A$28:$A$30)</f>
        <v>3</v>
      </c>
      <c r="L25" s="302">
        <f>AVERAGE([27]Brewhouse!$AT$28:$AT$30)</f>
        <v>95.2740802957602</v>
      </c>
      <c r="M25" s="302">
        <f>AVERAGE([27]Brewhouse!$AT$4:$AT$11,[27]Brewhouse!$AT$13:$AT$16,[27]Brewhouse!$AT$18:$AT$21,[27]Brewhouse!$AT$26,[27]Brewhouse!$AT$28:$AT$30)</f>
        <v>94.690961213994115</v>
      </c>
      <c r="N25" s="30">
        <v>98</v>
      </c>
      <c r="O25" s="11"/>
      <c r="P25" s="31"/>
      <c r="R25" s="277">
        <f t="shared" si="9"/>
        <v>0</v>
      </c>
      <c r="S25" s="296" t="e">
        <f t="shared" si="10"/>
        <v>#N/A</v>
      </c>
      <c r="T25" s="296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296" t="e">
        <f t="shared" si="17"/>
        <v>#N/A</v>
      </c>
    </row>
    <row r="26" spans="1:26" ht="14.65" customHeight="1">
      <c r="A26" s="28"/>
      <c r="B26" s="516"/>
      <c r="C26" s="362"/>
      <c r="D26" s="518"/>
      <c r="E26" s="507"/>
      <c r="F26" s="417"/>
      <c r="G26" s="294"/>
      <c r="H26" s="348"/>
      <c r="I26" s="37" t="s">
        <v>16</v>
      </c>
      <c r="J26" s="280"/>
      <c r="K26" s="284">
        <f>COUNTA([23]Brewhouse!$A$75:$A$82)</f>
        <v>8</v>
      </c>
      <c r="L26" s="302">
        <f>AVERAGE([23]Brewhouse!$AY$75:$AY$82)</f>
        <v>97.738838123294386</v>
      </c>
      <c r="M26" s="302">
        <f>AVERAGE([23]Brewhouse!$AY$6:$AY$13,[23]Brewhouse!$AY$15:$AY$20,[23]Brewhouse!$AY$22:$AY$29,[23]Brewhouse!$AY$31:$AY$34,[23]Brewhouse!$AY$36:$AY$43,[23]Brewhouse!$AY$45:$AY$50, [23]Brewhouse!$AY$56:$AY$73,[23]Brewhouse!$AY$75:$AY$82)</f>
        <v>97.409216272979165</v>
      </c>
      <c r="N26" s="30">
        <v>98</v>
      </c>
      <c r="O26" s="11"/>
      <c r="P26" s="31" t="s">
        <v>41</v>
      </c>
      <c r="R26" s="277">
        <f t="shared" si="9"/>
        <v>0</v>
      </c>
      <c r="S26" s="296" t="e">
        <f t="shared" si="10"/>
        <v>#N/A</v>
      </c>
      <c r="T26" s="296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296" t="e">
        <f t="shared" si="17"/>
        <v>#N/A</v>
      </c>
    </row>
    <row r="27" spans="1:26" ht="14.65" customHeight="1">
      <c r="A27" s="28"/>
      <c r="B27" s="516"/>
      <c r="C27" s="362"/>
      <c r="D27" s="519"/>
      <c r="E27" s="502"/>
      <c r="F27" s="294"/>
      <c r="G27" s="294"/>
      <c r="H27" s="348"/>
      <c r="I27" s="411" t="s">
        <v>158</v>
      </c>
      <c r="J27" s="326"/>
      <c r="K27" s="284"/>
      <c r="L27" s="305"/>
      <c r="M27" s="305">
        <f>AVERAGE([28]Brewhouse!$AU$5:$AU$8,[28]Brewhouse!$AU$10:$AU$13,[23]Brewhouse!$AY$75:$AY$77)</f>
        <v>94.749192473706671</v>
      </c>
      <c r="N27" s="30">
        <v>98</v>
      </c>
      <c r="O27" s="11"/>
      <c r="P27" s="31"/>
      <c r="R27" s="277">
        <f t="shared" si="9"/>
        <v>0</v>
      </c>
      <c r="S27" s="296" t="e">
        <f t="shared" si="10"/>
        <v>#N/A</v>
      </c>
      <c r="T27" s="296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296" t="e">
        <f t="shared" si="17"/>
        <v>#N/A</v>
      </c>
    </row>
    <row r="28" spans="1:26" ht="14.65" customHeight="1">
      <c r="A28" s="28"/>
      <c r="B28" s="516"/>
      <c r="C28" s="349"/>
      <c r="D28" s="518"/>
      <c r="E28" s="507"/>
      <c r="F28" s="294"/>
      <c r="G28" s="294"/>
      <c r="H28" s="348"/>
      <c r="I28" s="410" t="s">
        <v>157</v>
      </c>
      <c r="J28" s="326"/>
      <c r="K28" s="284"/>
      <c r="L28" s="305"/>
      <c r="M28" s="305">
        <f>AVERAGE([29]Brewhouse!$AW$26:$AW$27)</f>
        <v>95.310680905194914</v>
      </c>
      <c r="N28" s="30">
        <v>98</v>
      </c>
      <c r="O28" s="11"/>
      <c r="P28" s="31"/>
      <c r="R28" s="277">
        <f t="shared" si="9"/>
        <v>0</v>
      </c>
      <c r="S28" s="296" t="e">
        <f t="shared" si="10"/>
        <v>#N/A</v>
      </c>
      <c r="T28" s="296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296" t="e">
        <f t="shared" si="17"/>
        <v>#N/A</v>
      </c>
    </row>
    <row r="29" spans="1:26" ht="15" customHeight="1" thickBot="1">
      <c r="A29" s="28"/>
      <c r="B29" s="516"/>
      <c r="C29" s="349"/>
      <c r="D29" s="519"/>
      <c r="E29" s="502"/>
      <c r="F29" s="294"/>
      <c r="G29" s="294"/>
      <c r="H29" s="348"/>
      <c r="I29" s="406" t="s">
        <v>156</v>
      </c>
      <c r="J29" s="327"/>
      <c r="K29" s="407"/>
      <c r="L29" s="408"/>
      <c r="M29" s="408">
        <f>AVERAGE([30]Brewhouse!$AU$13:$AU$14)</f>
        <v>97.110575243268045</v>
      </c>
      <c r="N29" s="409">
        <v>98</v>
      </c>
      <c r="O29" s="11"/>
      <c r="P29" s="31"/>
      <c r="R29" s="277">
        <f t="shared" si="9"/>
        <v>0</v>
      </c>
      <c r="S29" s="296" t="e">
        <f t="shared" si="10"/>
        <v>#N/A</v>
      </c>
      <c r="T29" s="296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296" t="e">
        <f t="shared" si="17"/>
        <v>#N/A</v>
      </c>
    </row>
    <row r="30" spans="1:26" ht="15" customHeight="1" thickBot="1">
      <c r="A30" s="28"/>
      <c r="B30" s="516"/>
      <c r="C30" s="349"/>
      <c r="D30" s="518"/>
      <c r="E30" s="507"/>
      <c r="F30" s="294"/>
      <c r="G30" s="294"/>
      <c r="H30" s="348"/>
      <c r="I30" s="1"/>
      <c r="J30" s="39"/>
      <c r="K30" s="404">
        <f>SUM(K20:K29)</f>
        <v>82</v>
      </c>
      <c r="L30" s="405">
        <f>((L20*K20)+(L21*K21)+(L22*K22)+(L23*K23)+(L24*K24)+(K27*L27)+(L25*K25)+(L26*K26)+(L29*K29))/(K30)</f>
        <v>97.22040480595426</v>
      </c>
      <c r="M30" s="405">
        <f>AVERAGE('[31]Jan 31st'!$L$65,'[32]Feb 28th'!$L$35,'[33]Mar. 31st'!$L$35,'[34]Apr. 30th'!$L$45,'[35]May 30th'!$L$37,'[36]June 30th'!$L$57,L30)</f>
        <v>97.596045043288015</v>
      </c>
      <c r="N30" s="40">
        <v>98</v>
      </c>
      <c r="O30" s="11"/>
      <c r="P30" s="31"/>
      <c r="R30" s="277">
        <f t="shared" si="9"/>
        <v>0</v>
      </c>
      <c r="S30" s="296" t="e">
        <f t="shared" si="10"/>
        <v>#N/A</v>
      </c>
      <c r="T30" s="296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296" t="e">
        <f t="shared" si="17"/>
        <v>#N/A</v>
      </c>
    </row>
    <row r="31" spans="1:26" ht="15.75" thickBot="1">
      <c r="B31" s="517"/>
      <c r="C31" s="350"/>
      <c r="D31" s="519"/>
      <c r="E31" s="502"/>
      <c r="F31" s="294"/>
      <c r="G31" s="42"/>
      <c r="H31" s="41"/>
      <c r="I31" s="42"/>
      <c r="J31" s="42"/>
      <c r="K31" s="351"/>
      <c r="L31" s="348"/>
      <c r="M31" s="348"/>
      <c r="N31" s="11"/>
      <c r="O31" s="294"/>
      <c r="P31" s="12"/>
      <c r="R31" s="277">
        <f t="shared" si="9"/>
        <v>0</v>
      </c>
      <c r="S31" s="296" t="e">
        <f t="shared" si="10"/>
        <v>#N/A</v>
      </c>
      <c r="T31" s="296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296" t="e">
        <f t="shared" si="17"/>
        <v>#N/A</v>
      </c>
    </row>
    <row r="32" spans="1:26" ht="15.75" thickBot="1">
      <c r="B32" s="571" t="str">
        <f>J34</f>
        <v>CARIB</v>
      </c>
      <c r="C32" s="362"/>
      <c r="D32" s="499"/>
      <c r="E32" s="500"/>
      <c r="F32" s="294"/>
      <c r="G32" s="42"/>
      <c r="H32" s="41"/>
      <c r="I32" s="42"/>
      <c r="J32" s="553" t="s">
        <v>129</v>
      </c>
      <c r="K32" s="553"/>
      <c r="L32" s="294"/>
      <c r="M32" s="294"/>
      <c r="N32" s="294"/>
      <c r="O32" s="294"/>
      <c r="P32" s="12"/>
      <c r="R32" s="277" t="str">
        <f t="shared" si="9"/>
        <v>CARIB</v>
      </c>
      <c r="S32" s="296">
        <f t="shared" si="10"/>
        <v>11.6</v>
      </c>
      <c r="T32" s="296">
        <f t="shared" si="11"/>
        <v>12</v>
      </c>
      <c r="U32" s="297">
        <f t="shared" si="12"/>
        <v>0</v>
      </c>
      <c r="V32" s="297">
        <f t="shared" si="13"/>
        <v>0.118055555555556</v>
      </c>
      <c r="W32" s="297">
        <f t="shared" si="14"/>
        <v>0.22569444444444445</v>
      </c>
      <c r="X32" s="297">
        <f t="shared" si="15"/>
        <v>0.2638888888888889</v>
      </c>
      <c r="Y32" s="297">
        <f t="shared" si="16"/>
        <v>0</v>
      </c>
      <c r="Z32" s="296">
        <f t="shared" si="17"/>
        <v>60</v>
      </c>
    </row>
    <row r="33" spans="2:56" ht="15.75" thickBot="1">
      <c r="B33" s="559"/>
      <c r="C33" s="362"/>
      <c r="D33" s="501"/>
      <c r="E33" s="502"/>
      <c r="F33" s="294"/>
      <c r="G33" s="42"/>
      <c r="H33" s="41"/>
      <c r="I33" s="42"/>
      <c r="J33" s="292" t="s">
        <v>17</v>
      </c>
      <c r="K33" s="293" t="s">
        <v>147</v>
      </c>
      <c r="L33" s="504" t="s">
        <v>136</v>
      </c>
      <c r="M33" s="504"/>
      <c r="N33" s="505"/>
      <c r="O33" s="294"/>
      <c r="P33" s="12"/>
      <c r="R33" s="277">
        <f t="shared" si="9"/>
        <v>0</v>
      </c>
      <c r="S33" s="296" t="e">
        <f t="shared" si="10"/>
        <v>#N/A</v>
      </c>
      <c r="T33" s="296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296" t="e">
        <f t="shared" si="17"/>
        <v>#N/A</v>
      </c>
    </row>
    <row r="34" spans="2:56" ht="15" customHeight="1" thickBot="1">
      <c r="B34" s="559"/>
      <c r="C34" s="349"/>
      <c r="D34" s="554"/>
      <c r="E34" s="555"/>
      <c r="F34" s="294"/>
      <c r="G34" s="42"/>
      <c r="H34" s="41"/>
      <c r="I34" s="42"/>
      <c r="J34" s="287" t="s">
        <v>6</v>
      </c>
      <c r="K34" s="324"/>
      <c r="L34" s="343" t="s">
        <v>37</v>
      </c>
      <c r="M34" s="307" t="s">
        <v>38</v>
      </c>
      <c r="N34" s="307" t="s">
        <v>84</v>
      </c>
      <c r="O34" s="294"/>
      <c r="P34" s="12"/>
      <c r="R34" s="277">
        <f t="shared" si="9"/>
        <v>0</v>
      </c>
      <c r="S34" s="296" t="e">
        <f t="shared" si="10"/>
        <v>#N/A</v>
      </c>
      <c r="T34" s="296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296" t="e">
        <f t="shared" si="17"/>
        <v>#N/A</v>
      </c>
    </row>
    <row r="35" spans="2:56" ht="15.75" customHeight="1" thickBot="1">
      <c r="B35" s="559"/>
      <c r="C35" s="349"/>
      <c r="D35" s="501"/>
      <c r="E35" s="502"/>
      <c r="F35" s="294"/>
      <c r="G35" s="42"/>
      <c r="H35" s="41"/>
      <c r="I35" s="42"/>
      <c r="J35" s="345" t="s">
        <v>9</v>
      </c>
      <c r="K35" s="324"/>
      <c r="L35" s="344">
        <f>AVERAGE('Sept 1st'!K53,'Sept 2nd'!K51,'Sept 3rd'!K52,'Sept 4th'!K61,'Sept 5th '!K49,'Sept 8th'!K51,'Sept 9th'!K51,'Sept 10th'!K59,'Sept 11th'!K53,K44)</f>
        <v>8.1</v>
      </c>
      <c r="M35" s="325">
        <f>AVERAGE('[31]Jan 29th '!$M$70,'[32]Feb 28th'!$L$40,'[33]Mar. 31st'!$L$40,'[34]Apr. 30th'!$L$50,'[35]May 30th'!$L$42,'[36]June 30th'!$L$62,'[37]July 29th '!$L$49,'[38]Aug 29th'!$L$34,L35)</f>
        <v>7.081411816423258</v>
      </c>
      <c r="N35" s="416">
        <v>9.1999999999999993</v>
      </c>
      <c r="O35" s="294"/>
      <c r="P35" s="12"/>
      <c r="R35" s="277">
        <f t="shared" si="9"/>
        <v>0</v>
      </c>
      <c r="S35" s="296" t="e">
        <f t="shared" si="10"/>
        <v>#N/A</v>
      </c>
      <c r="T35" s="296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296" t="e">
        <f t="shared" si="17"/>
        <v>#N/A</v>
      </c>
    </row>
    <row r="36" spans="2:56" ht="15" customHeight="1">
      <c r="B36" s="559"/>
      <c r="C36" s="349"/>
      <c r="D36" s="554"/>
      <c r="E36" s="555"/>
      <c r="F36" s="294"/>
      <c r="G36" s="42"/>
      <c r="H36" s="41"/>
      <c r="I36" s="42"/>
      <c r="J36" s="288" t="s">
        <v>40</v>
      </c>
      <c r="K36" s="324"/>
      <c r="L36" s="294"/>
      <c r="M36" s="294"/>
      <c r="N36" s="294"/>
      <c r="O36" s="294"/>
      <c r="P36" s="12"/>
      <c r="R36" s="277">
        <f t="shared" si="9"/>
        <v>0</v>
      </c>
      <c r="S36" s="296" t="e">
        <f t="shared" si="10"/>
        <v>#N/A</v>
      </c>
      <c r="T36" s="296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296" t="e">
        <f t="shared" si="17"/>
        <v>#N/A</v>
      </c>
    </row>
    <row r="37" spans="2:56" ht="15" customHeight="1">
      <c r="B37" s="559"/>
      <c r="C37" s="349"/>
      <c r="D37" s="501"/>
      <c r="E37" s="502"/>
      <c r="F37" s="294"/>
      <c r="G37" s="42"/>
      <c r="H37" s="41"/>
      <c r="I37" s="42"/>
      <c r="J37" s="289" t="s">
        <v>33</v>
      </c>
      <c r="K37" s="324"/>
      <c r="L37" s="294"/>
      <c r="M37" s="294"/>
      <c r="N37" s="294"/>
      <c r="O37" s="294"/>
      <c r="P37" s="12"/>
      <c r="R37" s="277">
        <f t="shared" si="9"/>
        <v>0</v>
      </c>
      <c r="S37" s="296" t="e">
        <f t="shared" si="10"/>
        <v>#N/A</v>
      </c>
      <c r="T37" s="296" t="e">
        <f t="shared" si="11"/>
        <v>#N/A</v>
      </c>
      <c r="U37" s="297" t="e">
        <f t="shared" si="12"/>
        <v>#N/A</v>
      </c>
      <c r="V37" s="297" t="e">
        <f t="shared" si="13"/>
        <v>#N/A</v>
      </c>
      <c r="W37" s="297" t="e">
        <f t="shared" si="14"/>
        <v>#N/A</v>
      </c>
      <c r="X37" s="297" t="e">
        <f t="shared" si="15"/>
        <v>#N/A</v>
      </c>
      <c r="Y37" s="297" t="e">
        <f t="shared" si="16"/>
        <v>#N/A</v>
      </c>
      <c r="Z37" s="296" t="e">
        <f t="shared" si="17"/>
        <v>#N/A</v>
      </c>
    </row>
    <row r="38" spans="2:56" ht="15">
      <c r="B38" s="559"/>
      <c r="C38" s="349"/>
      <c r="D38" s="554"/>
      <c r="E38" s="555"/>
      <c r="F38" s="294"/>
      <c r="G38" s="42"/>
      <c r="H38" s="41"/>
      <c r="I38" s="42"/>
      <c r="J38" s="290" t="s">
        <v>16</v>
      </c>
      <c r="K38" s="324"/>
      <c r="L38" s="294"/>
      <c r="M38" s="294"/>
      <c r="N38" s="294"/>
      <c r="O38" s="294"/>
      <c r="P38" s="12"/>
      <c r="R38" s="277">
        <f t="shared" si="9"/>
        <v>0</v>
      </c>
      <c r="S38" s="296" t="e">
        <f t="shared" si="10"/>
        <v>#N/A</v>
      </c>
      <c r="T38" s="296" t="e">
        <f t="shared" si="11"/>
        <v>#N/A</v>
      </c>
      <c r="U38" s="297" t="e">
        <f t="shared" si="12"/>
        <v>#N/A</v>
      </c>
      <c r="V38" s="297" t="e">
        <f t="shared" si="13"/>
        <v>#N/A</v>
      </c>
      <c r="W38" s="297" t="e">
        <f t="shared" si="14"/>
        <v>#N/A</v>
      </c>
      <c r="X38" s="297" t="e">
        <f t="shared" si="15"/>
        <v>#N/A</v>
      </c>
      <c r="Y38" s="297" t="e">
        <f t="shared" si="16"/>
        <v>#N/A</v>
      </c>
      <c r="Z38" s="296" t="e">
        <f t="shared" si="17"/>
        <v>#N/A</v>
      </c>
      <c r="BC38" s="44"/>
      <c r="BD38" s="44"/>
    </row>
    <row r="39" spans="2:56" ht="15">
      <c r="B39" s="559"/>
      <c r="C39" s="349"/>
      <c r="D39" s="501"/>
      <c r="E39" s="502"/>
      <c r="F39" s="294"/>
      <c r="G39" s="42"/>
      <c r="H39" s="41"/>
      <c r="I39" s="42"/>
      <c r="J39" s="291" t="s">
        <v>15</v>
      </c>
      <c r="K39" s="324">
        <v>3</v>
      </c>
      <c r="L39" s="294"/>
      <c r="M39" s="294"/>
      <c r="N39" s="294"/>
      <c r="O39" s="294"/>
      <c r="P39" s="12"/>
      <c r="R39" s="277">
        <f t="shared" si="9"/>
        <v>0</v>
      </c>
      <c r="S39" s="296" t="e">
        <f t="shared" si="10"/>
        <v>#N/A</v>
      </c>
      <c r="T39" s="296" t="e">
        <f t="shared" si="11"/>
        <v>#N/A</v>
      </c>
      <c r="U39" s="297" t="e">
        <f t="shared" si="12"/>
        <v>#N/A</v>
      </c>
      <c r="V39" s="297" t="e">
        <f t="shared" si="13"/>
        <v>#N/A</v>
      </c>
      <c r="W39" s="297" t="e">
        <f t="shared" si="14"/>
        <v>#N/A</v>
      </c>
      <c r="X39" s="297" t="e">
        <f t="shared" si="15"/>
        <v>#N/A</v>
      </c>
      <c r="Y39" s="297" t="e">
        <f t="shared" si="16"/>
        <v>#N/A</v>
      </c>
      <c r="Z39" s="296" t="e">
        <f t="shared" si="17"/>
        <v>#N/A</v>
      </c>
      <c r="BC39" s="44"/>
      <c r="BD39" s="44"/>
    </row>
    <row r="40" spans="2:56" ht="15">
      <c r="B40" s="559"/>
      <c r="C40" s="349"/>
      <c r="D40" s="554"/>
      <c r="E40" s="555"/>
      <c r="F40" s="294"/>
      <c r="G40" s="42"/>
      <c r="H40" s="41"/>
      <c r="I40" s="42"/>
      <c r="J40" s="291" t="s">
        <v>149</v>
      </c>
      <c r="K40" s="324"/>
      <c r="L40" s="294"/>
      <c r="M40" s="294"/>
      <c r="N40" s="294"/>
      <c r="O40" s="294"/>
      <c r="P40" s="12"/>
      <c r="BC40" s="44"/>
      <c r="BD40" s="44"/>
    </row>
    <row r="41" spans="2:56" ht="15.75" thickBot="1">
      <c r="B41" s="560"/>
      <c r="C41" s="350"/>
      <c r="D41" s="556"/>
      <c r="E41" s="557"/>
      <c r="F41" s="294"/>
      <c r="G41" s="42"/>
      <c r="H41" s="41"/>
      <c r="I41" s="42"/>
      <c r="J41" s="291" t="s">
        <v>148</v>
      </c>
      <c r="K41" s="324"/>
      <c r="L41" s="294"/>
      <c r="M41" s="294"/>
      <c r="N41" s="294"/>
      <c r="O41" s="294"/>
      <c r="P41" s="12"/>
      <c r="BC41" s="44"/>
      <c r="BD41" s="44"/>
    </row>
    <row r="42" spans="2:56" ht="17.649999999999999" customHeight="1" thickBot="1">
      <c r="B42" s="312" t="s">
        <v>139</v>
      </c>
      <c r="C42" s="313"/>
      <c r="D42" s="550" t="e">
        <f>AVERAGE(D20:E41)</f>
        <v>#DIV/0!</v>
      </c>
      <c r="E42" s="551"/>
      <c r="F42" s="294"/>
      <c r="H42" s="41"/>
      <c r="I42" s="42"/>
      <c r="J42" s="295" t="s">
        <v>134</v>
      </c>
      <c r="K42" s="324"/>
      <c r="L42" s="294"/>
      <c r="M42" s="294"/>
      <c r="N42" s="294"/>
      <c r="O42" s="294"/>
      <c r="P42" s="12"/>
      <c r="BC42" s="44"/>
      <c r="BD42" s="44"/>
    </row>
    <row r="43" spans="2:56" ht="17.649999999999999" customHeight="1">
      <c r="B43" s="363"/>
      <c r="C43" s="364"/>
      <c r="D43" s="365"/>
      <c r="E43" s="365"/>
      <c r="F43" s="294"/>
      <c r="G43" s="42"/>
      <c r="H43" s="41"/>
      <c r="I43" s="42"/>
      <c r="J43" s="295" t="s">
        <v>131</v>
      </c>
      <c r="K43" s="324"/>
      <c r="L43" s="294"/>
      <c r="M43" s="294"/>
      <c r="N43" s="294"/>
      <c r="O43" s="294"/>
      <c r="P43" s="12"/>
      <c r="BC43" s="44"/>
      <c r="BD43" s="44"/>
    </row>
    <row r="44" spans="2:56" ht="15.6" customHeight="1">
      <c r="B44" s="45"/>
      <c r="C44" s="11"/>
      <c r="D44" s="11"/>
      <c r="E44" s="46"/>
      <c r="F44" s="294"/>
      <c r="G44" s="42"/>
      <c r="H44" s="41"/>
      <c r="I44" s="42"/>
      <c r="J44" s="346" t="s">
        <v>130</v>
      </c>
      <c r="K44" s="324">
        <f>SUM(K34:K43)</f>
        <v>3</v>
      </c>
      <c r="L44" s="294"/>
      <c r="M44" s="294"/>
      <c r="N44" s="294"/>
      <c r="O44" s="294"/>
      <c r="P44" s="12"/>
    </row>
    <row r="45" spans="2:56" ht="20.25" customHeight="1">
      <c r="B45" s="15" t="s">
        <v>42</v>
      </c>
      <c r="C45" s="1" t="s">
        <v>43</v>
      </c>
      <c r="D45" s="1"/>
      <c r="E45" s="1"/>
      <c r="F45" s="294"/>
      <c r="G45" s="42"/>
      <c r="H45" s="41"/>
      <c r="I45" s="42"/>
      <c r="L45" s="294"/>
      <c r="N45" s="315"/>
      <c r="P45" s="334"/>
    </row>
    <row r="46" spans="2:56" ht="15" customHeight="1" thickBot="1"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1"/>
      <c r="O46" s="48"/>
      <c r="P46" s="49"/>
    </row>
    <row r="47" spans="2:56" ht="15" customHeight="1" thickBot="1">
      <c r="B47" s="480" t="s">
        <v>17</v>
      </c>
      <c r="C47" s="480" t="s">
        <v>44</v>
      </c>
      <c r="D47" s="492" t="s">
        <v>45</v>
      </c>
      <c r="E47" s="494" t="s">
        <v>46</v>
      </c>
      <c r="F47" s="488" t="s">
        <v>47</v>
      </c>
      <c r="G47" s="478" t="s">
        <v>48</v>
      </c>
      <c r="H47" s="480" t="s">
        <v>49</v>
      </c>
      <c r="I47" s="480" t="s">
        <v>50</v>
      </c>
      <c r="J47" s="472" t="s">
        <v>28</v>
      </c>
      <c r="K47" s="484" t="s">
        <v>51</v>
      </c>
      <c r="L47" s="486" t="s">
        <v>52</v>
      </c>
      <c r="M47" s="472" t="s">
        <v>53</v>
      </c>
      <c r="N47" s="13"/>
      <c r="O47" s="13"/>
      <c r="P47" s="50"/>
    </row>
    <row r="48" spans="2:56" ht="28.5" customHeight="1" thickTop="1" thickBot="1">
      <c r="B48" s="481"/>
      <c r="C48" s="481"/>
      <c r="D48" s="493"/>
      <c r="E48" s="495"/>
      <c r="F48" s="489"/>
      <c r="G48" s="479"/>
      <c r="H48" s="481"/>
      <c r="I48" s="481"/>
      <c r="J48" s="473"/>
      <c r="K48" s="485"/>
      <c r="L48" s="487"/>
      <c r="M48" s="473"/>
      <c r="N48" s="13"/>
      <c r="O48" s="13"/>
      <c r="P48" s="50"/>
      <c r="Q48" s="355"/>
      <c r="AB48" s="51">
        <v>43474</v>
      </c>
      <c r="AC48" s="51">
        <v>43475</v>
      </c>
      <c r="AD48" s="51">
        <v>43476</v>
      </c>
      <c r="AE48" s="51">
        <v>43477</v>
      </c>
      <c r="AF48" s="51">
        <v>43478</v>
      </c>
      <c r="AG48" s="51">
        <v>43479</v>
      </c>
      <c r="AH48" s="51">
        <v>43480</v>
      </c>
      <c r="AI48" s="51">
        <v>43481</v>
      </c>
      <c r="AJ48" s="51">
        <v>43482</v>
      </c>
      <c r="AK48" s="51">
        <v>43483</v>
      </c>
      <c r="AL48" s="51">
        <v>43484</v>
      </c>
      <c r="AM48" s="51">
        <v>43485</v>
      </c>
      <c r="AN48" s="51">
        <v>43486</v>
      </c>
      <c r="AO48" s="51">
        <v>43487</v>
      </c>
      <c r="AP48" s="51">
        <v>43488</v>
      </c>
      <c r="AQ48" s="51">
        <v>43489</v>
      </c>
      <c r="AR48" s="51">
        <v>43490</v>
      </c>
      <c r="AS48" s="51">
        <v>43491</v>
      </c>
      <c r="AT48" s="51">
        <v>43492</v>
      </c>
      <c r="AU48" s="51">
        <v>43493</v>
      </c>
      <c r="AV48" s="51">
        <v>43494</v>
      </c>
      <c r="AW48" s="51">
        <v>43495</v>
      </c>
      <c r="AX48" s="51">
        <v>43496</v>
      </c>
    </row>
    <row r="49" spans="2:57" s="54" customFormat="1" ht="59.45" customHeight="1" thickBot="1">
      <c r="B49" s="460" t="str">
        <f>J35</f>
        <v>STAG</v>
      </c>
      <c r="C49" s="442">
        <v>45916</v>
      </c>
      <c r="D49" s="443">
        <f>[39]September_2025!$S$13</f>
        <v>212.79999999999998</v>
      </c>
      <c r="E49" s="444"/>
      <c r="F49" s="445"/>
      <c r="G49" s="428">
        <f>[39]September_2025!$S$17</f>
        <v>211.6</v>
      </c>
      <c r="H49" s="429"/>
      <c r="I49" s="429"/>
      <c r="J49" s="449" t="s">
        <v>183</v>
      </c>
      <c r="K49" s="450">
        <f>[40]September_2025!$S$25</f>
        <v>0.14849122807017545</v>
      </c>
      <c r="L49" s="464">
        <f>(((D49+E49)-G49)/(D49+E49))*100</f>
        <v>0.56390977443608492</v>
      </c>
      <c r="M49" s="457" t="s">
        <v>182</v>
      </c>
      <c r="N49" s="13"/>
      <c r="O49" s="13"/>
      <c r="P49" s="50"/>
      <c r="R49" s="275"/>
      <c r="S49" s="275"/>
      <c r="T49" s="275"/>
      <c r="U49" s="275"/>
      <c r="V49" s="275"/>
      <c r="W49" s="275"/>
      <c r="X49" s="275"/>
      <c r="Y49" s="275"/>
      <c r="Z49" s="275"/>
      <c r="AA49" s="275"/>
      <c r="AB49" s="57">
        <f>[20]January_2019!L7</f>
        <v>285.8</v>
      </c>
      <c r="AC49" s="57">
        <f>[20]January_2019!M7</f>
        <v>508.1</v>
      </c>
      <c r="AD49" s="57">
        <f>[20]January_2019!N7</f>
        <v>0</v>
      </c>
      <c r="AE49" s="57">
        <f>[20]January_2019!O7</f>
        <v>0</v>
      </c>
      <c r="AF49" s="57">
        <f>[20]January_2019!P7</f>
        <v>109.56666666666666</v>
      </c>
      <c r="AG49" s="57">
        <f>[20]January_2019!Q7</f>
        <v>297.64999999999998</v>
      </c>
      <c r="AH49" s="57">
        <f>[20]January_2019!R7</f>
        <v>122.3</v>
      </c>
      <c r="AI49" s="57">
        <f>[20]January_2019!S7</f>
        <v>0</v>
      </c>
      <c r="AJ49" s="57">
        <f>[20]January_2019!T7</f>
        <v>294.7</v>
      </c>
      <c r="AK49" s="57">
        <f>[20]January_2019!U7</f>
        <v>280.5</v>
      </c>
      <c r="AL49" s="57">
        <f>[20]January_2019!V7</f>
        <v>0</v>
      </c>
      <c r="AM49" s="57">
        <f>[20]January_2019!W7</f>
        <v>0</v>
      </c>
      <c r="AN49" s="57">
        <f>[20]January_2019!X7</f>
        <v>188.25</v>
      </c>
      <c r="AO49" s="57">
        <f>[20]January_2019!Y7</f>
        <v>295.7</v>
      </c>
      <c r="AP49" s="57">
        <f>[20]January_2019!Z7</f>
        <v>257.8</v>
      </c>
      <c r="AQ49" s="57">
        <f>[20]January_2019!AA7</f>
        <v>291.2</v>
      </c>
      <c r="AR49" s="57">
        <f>[20]January_2019!AB7</f>
        <v>187</v>
      </c>
      <c r="AS49" s="57">
        <f>[20]January_2019!AC7</f>
        <v>0</v>
      </c>
      <c r="AT49" s="57">
        <f>[20]January_2019!AD7</f>
        <v>0</v>
      </c>
      <c r="AU49" s="57">
        <f>[20]January_2019!AE7</f>
        <v>485.1</v>
      </c>
      <c r="AV49" s="57">
        <f>[20]January_2019!AF7</f>
        <v>171.55</v>
      </c>
      <c r="AW49" s="57">
        <f>[20]January_2019!AG7</f>
        <v>423.8</v>
      </c>
      <c r="AX49" s="277">
        <f>[20]January_2019!AH7</f>
        <v>0</v>
      </c>
      <c r="AY49" s="277"/>
      <c r="AZ49" s="277"/>
      <c r="BA49" s="277"/>
      <c r="BB49" s="277"/>
      <c r="BC49" s="277"/>
      <c r="BD49" s="277"/>
      <c r="BE49" s="277"/>
    </row>
    <row r="50" spans="2:57" s="54" customFormat="1" ht="20.25" customHeight="1" thickBot="1">
      <c r="B50" s="459"/>
      <c r="C50" s="431"/>
      <c r="D50" s="432"/>
      <c r="E50" s="433"/>
      <c r="F50" s="434"/>
      <c r="G50" s="435"/>
      <c r="H50" s="429"/>
      <c r="I50" s="429"/>
      <c r="J50" s="452"/>
      <c r="K50" s="437"/>
      <c r="L50" s="453"/>
      <c r="M50" s="422"/>
      <c r="N50" s="13"/>
      <c r="O50" s="13"/>
      <c r="P50" s="50"/>
      <c r="R50" s="275"/>
      <c r="S50" s="275"/>
      <c r="T50" s="275"/>
      <c r="U50" s="275"/>
      <c r="V50" s="275"/>
      <c r="W50" s="275"/>
      <c r="X50" s="275"/>
      <c r="Y50" s="275"/>
      <c r="Z50" s="275"/>
      <c r="AA50" s="275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277"/>
      <c r="AY50" s="277"/>
      <c r="AZ50" s="277"/>
      <c r="BA50" s="277"/>
      <c r="BB50" s="277"/>
      <c r="BC50" s="277"/>
      <c r="BD50" s="277"/>
      <c r="BE50" s="277"/>
    </row>
    <row r="51" spans="2:57" s="54" customFormat="1" ht="59.45" customHeight="1" thickBot="1">
      <c r="B51" s="461" t="str">
        <f>J34</f>
        <v>CARIB</v>
      </c>
      <c r="C51" s="442">
        <v>45916</v>
      </c>
      <c r="D51" s="443">
        <f>[39]September_2025!$S$3</f>
        <v>403.2</v>
      </c>
      <c r="E51" s="444"/>
      <c r="F51" s="444"/>
      <c r="G51" s="445">
        <f>[39]September_2025!$S$7</f>
        <v>366.8</v>
      </c>
      <c r="H51" s="463"/>
      <c r="I51" s="463"/>
      <c r="J51" s="449" t="s">
        <v>185</v>
      </c>
      <c r="K51" s="450">
        <f>[40]September_2025!$S$18</f>
        <v>1.2870175438596492</v>
      </c>
      <c r="L51" s="464">
        <f>(((D51+E51)-G51)/(D51+E51))*100</f>
        <v>9.0277777777777715</v>
      </c>
      <c r="M51" s="457" t="s">
        <v>184</v>
      </c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277"/>
      <c r="AY51" s="277"/>
      <c r="AZ51" s="277"/>
      <c r="BA51" s="277"/>
      <c r="BB51" s="277"/>
      <c r="BC51" s="277"/>
      <c r="BD51" s="277"/>
      <c r="BE51" s="277"/>
    </row>
    <row r="52" spans="2:57" s="54" customFormat="1" ht="15.75" thickBot="1">
      <c r="B52" s="454"/>
      <c r="C52" s="431"/>
      <c r="D52" s="432"/>
      <c r="E52" s="433"/>
      <c r="F52" s="434"/>
      <c r="G52" s="435"/>
      <c r="H52" s="436"/>
      <c r="I52" s="451"/>
      <c r="J52" s="452"/>
      <c r="K52" s="437"/>
      <c r="L52" s="453"/>
      <c r="M52" s="422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277"/>
      <c r="AY52" s="277"/>
      <c r="AZ52" s="277"/>
      <c r="BA52" s="277"/>
      <c r="BB52" s="277"/>
      <c r="BC52" s="277"/>
      <c r="BD52" s="277"/>
      <c r="BE52" s="277"/>
    </row>
    <row r="53" spans="2:57" s="54" customFormat="1" ht="36.6" customHeight="1" thickBot="1">
      <c r="B53" s="460" t="str">
        <f>B49</f>
        <v>STAG</v>
      </c>
      <c r="C53" s="442">
        <v>45916</v>
      </c>
      <c r="D53" s="443">
        <f>[39]September_2025!$T$13</f>
        <v>399.59999999999997</v>
      </c>
      <c r="E53" s="444"/>
      <c r="F53" s="445"/>
      <c r="G53" s="446">
        <f>[39]September_2025!$T$17</f>
        <v>379.9</v>
      </c>
      <c r="H53" s="447"/>
      <c r="I53" s="448"/>
      <c r="J53" s="449" t="s">
        <v>171</v>
      </c>
      <c r="K53" s="450">
        <f>[40]September_2025!$T$25</f>
        <v>0.66649122807017536</v>
      </c>
      <c r="L53" s="455">
        <f>(((D53+E53)-G53)/(D53+E53))*100</f>
        <v>4.9299299299299282</v>
      </c>
      <c r="M53" s="456" t="s">
        <v>179</v>
      </c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2:57" s="54" customFormat="1" ht="16.5" customHeight="1" thickBot="1">
      <c r="B54" s="438"/>
      <c r="C54" s="424"/>
      <c r="D54" s="425"/>
      <c r="E54" s="426"/>
      <c r="F54" s="427"/>
      <c r="G54" s="428"/>
      <c r="H54" s="429"/>
      <c r="I54" s="439"/>
      <c r="J54" s="440"/>
      <c r="K54" s="430"/>
      <c r="L54" s="441"/>
      <c r="M54" s="423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415"/>
      <c r="AC54" s="415"/>
      <c r="AD54" s="415"/>
      <c r="AE54" s="415"/>
      <c r="AF54" s="415"/>
      <c r="AG54" s="415"/>
      <c r="AH54" s="415"/>
      <c r="AI54" s="415"/>
      <c r="AJ54" s="415"/>
      <c r="AK54" s="415"/>
      <c r="AL54" s="415"/>
      <c r="AM54" s="415"/>
      <c r="AN54" s="415"/>
      <c r="AO54" s="415"/>
      <c r="AP54" s="415"/>
      <c r="AQ54" s="415"/>
      <c r="AR54" s="415"/>
      <c r="AS54" s="415"/>
      <c r="AT54" s="415"/>
      <c r="AU54" s="415"/>
      <c r="AV54" s="415"/>
      <c r="AW54" s="415"/>
    </row>
    <row r="55" spans="2:57" ht="18" customHeight="1" thickBot="1">
      <c r="B55" s="59"/>
      <c r="C55" s="30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 t="s">
        <v>41</v>
      </c>
      <c r="O55" s="56"/>
      <c r="P55" s="60"/>
    </row>
    <row r="56" spans="2:57" ht="15.75" thickBot="1">
      <c r="B56" s="474" t="s">
        <v>55</v>
      </c>
      <c r="C56" s="475"/>
      <c r="D56" s="475"/>
      <c r="E56" s="475"/>
      <c r="F56" s="476"/>
      <c r="G56" s="474" t="s">
        <v>56</v>
      </c>
      <c r="H56" s="475"/>
      <c r="I56" s="475"/>
      <c r="J56" s="476"/>
      <c r="K56" s="474" t="s">
        <v>51</v>
      </c>
      <c r="L56" s="475"/>
      <c r="M56" s="475"/>
      <c r="N56" s="477"/>
      <c r="O56" s="56"/>
      <c r="P56" s="50"/>
    </row>
    <row r="57" spans="2:57" ht="15">
      <c r="B57" s="61" t="s">
        <v>17</v>
      </c>
      <c r="C57" s="62" t="s">
        <v>36</v>
      </c>
      <c r="D57" s="62" t="s">
        <v>37</v>
      </c>
      <c r="E57" s="62" t="s">
        <v>38</v>
      </c>
      <c r="F57" s="63" t="s">
        <v>39</v>
      </c>
      <c r="G57" s="62" t="s">
        <v>36</v>
      </c>
      <c r="H57" s="62" t="s">
        <v>37</v>
      </c>
      <c r="I57" s="62" t="s">
        <v>38</v>
      </c>
      <c r="J57" s="63" t="s">
        <v>39</v>
      </c>
      <c r="K57" s="62" t="s">
        <v>36</v>
      </c>
      <c r="L57" s="62" t="s">
        <v>37</v>
      </c>
      <c r="M57" s="62" t="s">
        <v>38</v>
      </c>
      <c r="N57" s="63" t="s">
        <v>39</v>
      </c>
      <c r="O57" s="56"/>
      <c r="P57" s="64"/>
    </row>
    <row r="58" spans="2:57" ht="15">
      <c r="B58" s="29" t="s">
        <v>6</v>
      </c>
      <c r="C58" s="65">
        <f>L51</f>
        <v>9.0277777777777715</v>
      </c>
      <c r="D58" s="76"/>
      <c r="E58" s="76"/>
      <c r="F58" s="66">
        <v>4.8</v>
      </c>
      <c r="G58" s="65"/>
      <c r="H58" s="76">
        <f>[39]September_2025!$S$11</f>
        <v>11.358531269460007</v>
      </c>
      <c r="I58" s="76"/>
      <c r="J58" s="66">
        <v>4.8</v>
      </c>
      <c r="K58" s="67">
        <f>K51</f>
        <v>1.2870175438596492</v>
      </c>
      <c r="L58" s="194"/>
      <c r="M58" s="194"/>
      <c r="N58" s="68">
        <v>1</v>
      </c>
      <c r="O58" s="56"/>
      <c r="P58" s="69"/>
    </row>
    <row r="59" spans="2:57" ht="15">
      <c r="B59" s="33" t="s">
        <v>9</v>
      </c>
      <c r="C59" s="65">
        <f>AVERAGE(L49,L53)</f>
        <v>2.7469198521830065</v>
      </c>
      <c r="D59" s="76"/>
      <c r="E59" s="76"/>
      <c r="F59" s="66">
        <v>4.8</v>
      </c>
      <c r="G59" s="65"/>
      <c r="H59" s="76">
        <f>AVERAGE([39]September_2025!$S$21:$T$21)</f>
        <v>4.0633714471842035</v>
      </c>
      <c r="I59" s="76"/>
      <c r="J59" s="66">
        <v>4.8</v>
      </c>
      <c r="K59" s="67">
        <f>AVERAGE([40]September_2025!$S$25:$T$25)</f>
        <v>0.4074912280701754</v>
      </c>
      <c r="L59" s="194"/>
      <c r="M59" s="194"/>
      <c r="N59" s="68">
        <v>1</v>
      </c>
      <c r="P59" s="69"/>
    </row>
    <row r="60" spans="2:57" ht="15">
      <c r="B60" s="34" t="s">
        <v>40</v>
      </c>
      <c r="C60" s="65"/>
      <c r="D60" s="76"/>
      <c r="E60" s="76"/>
      <c r="F60" s="66">
        <v>5.5</v>
      </c>
      <c r="G60" s="65"/>
      <c r="H60" s="76"/>
      <c r="I60" s="76"/>
      <c r="J60" s="66">
        <v>5.5</v>
      </c>
      <c r="K60" s="67"/>
      <c r="L60" s="194"/>
      <c r="M60" s="194"/>
      <c r="N60" s="68">
        <v>1</v>
      </c>
      <c r="P60" s="69"/>
    </row>
    <row r="61" spans="2:57" ht="15">
      <c r="B61" s="22" t="s">
        <v>33</v>
      </c>
      <c r="C61" s="65"/>
      <c r="D61" s="76"/>
      <c r="E61" s="76"/>
      <c r="F61" s="66">
        <v>3.3</v>
      </c>
      <c r="G61" s="65"/>
      <c r="H61" s="76"/>
      <c r="I61" s="76"/>
      <c r="J61" s="66">
        <v>3.3</v>
      </c>
      <c r="K61" s="67"/>
      <c r="L61" s="194"/>
      <c r="M61" s="194"/>
      <c r="N61" s="68">
        <v>1</v>
      </c>
      <c r="P61" s="69"/>
    </row>
    <row r="62" spans="2:57" ht="15">
      <c r="B62" s="35" t="s">
        <v>165</v>
      </c>
      <c r="C62" s="65"/>
      <c r="D62" s="76"/>
      <c r="E62" s="76"/>
      <c r="F62" s="66">
        <v>3.3</v>
      </c>
      <c r="G62" s="282"/>
      <c r="H62" s="76"/>
      <c r="I62" s="76"/>
      <c r="J62" s="66">
        <v>3</v>
      </c>
      <c r="K62" s="67"/>
      <c r="L62" s="194"/>
      <c r="M62" s="194"/>
      <c r="N62" s="68">
        <v>1</v>
      </c>
      <c r="P62" s="69"/>
    </row>
    <row r="63" spans="2:57" ht="15">
      <c r="B63" s="36" t="s">
        <v>15</v>
      </c>
      <c r="C63" s="65"/>
      <c r="D63" s="76"/>
      <c r="E63" s="76"/>
      <c r="F63" s="70">
        <f>[21]May_2022!$M$43</f>
        <v>3.4878406700073312</v>
      </c>
      <c r="G63" s="282"/>
      <c r="H63" s="76"/>
      <c r="I63" s="76"/>
      <c r="J63" s="66">
        <v>5.5</v>
      </c>
      <c r="K63" s="67"/>
      <c r="L63" s="194"/>
      <c r="M63" s="194"/>
      <c r="N63" s="68">
        <v>1</v>
      </c>
      <c r="P63" s="69"/>
    </row>
    <row r="64" spans="2:57" ht="15">
      <c r="B64" s="37" t="s">
        <v>16</v>
      </c>
      <c r="C64" s="65"/>
      <c r="D64" s="76"/>
      <c r="E64" s="76"/>
      <c r="F64" s="66">
        <v>3.3</v>
      </c>
      <c r="G64" s="282"/>
      <c r="H64" s="76"/>
      <c r="I64" s="76"/>
      <c r="J64" s="66">
        <v>3.3</v>
      </c>
      <c r="K64" s="67"/>
      <c r="L64" s="194"/>
      <c r="M64" s="194"/>
      <c r="N64" s="71">
        <v>1</v>
      </c>
      <c r="P64" s="69"/>
    </row>
    <row r="65" spans="2:16" ht="15.75" thickBot="1">
      <c r="B65" s="38" t="s">
        <v>164</v>
      </c>
      <c r="C65" s="65"/>
      <c r="D65" s="76"/>
      <c r="E65" s="76"/>
      <c r="F65" s="66">
        <v>7.5</v>
      </c>
      <c r="G65" s="282"/>
      <c r="H65" s="76"/>
      <c r="I65" s="76"/>
      <c r="J65" s="66">
        <v>7.5</v>
      </c>
      <c r="K65" s="67"/>
      <c r="M65" s="194"/>
      <c r="N65" s="71">
        <v>1</v>
      </c>
      <c r="P65" s="69"/>
    </row>
    <row r="66" spans="2:16" ht="15.75" thickBot="1">
      <c r="B66" s="414" t="s">
        <v>161</v>
      </c>
      <c r="C66" s="65"/>
      <c r="D66" s="76"/>
      <c r="E66" s="76"/>
      <c r="F66" s="66">
        <v>4.8</v>
      </c>
      <c r="G66" s="282"/>
      <c r="H66" s="76"/>
      <c r="I66" s="76"/>
      <c r="J66" s="66">
        <v>4.8</v>
      </c>
      <c r="K66" s="67"/>
      <c r="L66" s="194"/>
      <c r="M66" s="194"/>
      <c r="N66" s="71">
        <v>1</v>
      </c>
      <c r="O66" s="74"/>
      <c r="P66" s="75"/>
    </row>
    <row r="67" spans="2:16" ht="15">
      <c r="D67" s="76"/>
      <c r="E67" s="76"/>
      <c r="F67" s="341">
        <v>5.5</v>
      </c>
      <c r="H67" s="76"/>
      <c r="I67" s="76"/>
      <c r="J67" s="341">
        <v>5.5</v>
      </c>
      <c r="L67" s="194"/>
      <c r="M67" s="194"/>
      <c r="N67" s="386">
        <v>1</v>
      </c>
    </row>
    <row r="71" spans="2:16">
      <c r="F71" s="315"/>
    </row>
    <row r="72" spans="2:16" ht="15">
      <c r="F72" s="341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18:N18"/>
    <mergeCell ref="D19:E19"/>
    <mergeCell ref="B20:B31"/>
    <mergeCell ref="D20:E21"/>
    <mergeCell ref="D22:E23"/>
    <mergeCell ref="D24:E25"/>
    <mergeCell ref="D26:E27"/>
    <mergeCell ref="D28:E29"/>
    <mergeCell ref="D30:E31"/>
    <mergeCell ref="B32:B41"/>
    <mergeCell ref="D32:E33"/>
    <mergeCell ref="J32:K32"/>
    <mergeCell ref="L33:N33"/>
    <mergeCell ref="D34:E35"/>
    <mergeCell ref="D36:E37"/>
    <mergeCell ref="D38:E39"/>
    <mergeCell ref="D40:E41"/>
    <mergeCell ref="D42:E42"/>
    <mergeCell ref="B47:B48"/>
    <mergeCell ref="C47:C48"/>
    <mergeCell ref="D47:D48"/>
    <mergeCell ref="E47:E48"/>
    <mergeCell ref="M47:M48"/>
    <mergeCell ref="B56:F56"/>
    <mergeCell ref="G56:J56"/>
    <mergeCell ref="K56:N56"/>
    <mergeCell ref="G47:G48"/>
    <mergeCell ref="H47:H48"/>
    <mergeCell ref="I47:I48"/>
    <mergeCell ref="J47:J48"/>
    <mergeCell ref="K47:K48"/>
    <mergeCell ref="L47:L48"/>
    <mergeCell ref="F47:F48"/>
  </mergeCells>
  <conditionalFormatting sqref="B42:B43">
    <cfRule type="cellIs" dxfId="1756" priority="141" operator="notBetween">
      <formula>#REF!</formula>
      <formula>#REF!</formula>
    </cfRule>
  </conditionalFormatting>
  <conditionalFormatting sqref="C46">
    <cfRule type="cellIs" dxfId="1755" priority="173" stopIfTrue="1" operator="greaterThan">
      <formula>100</formula>
    </cfRule>
    <cfRule type="cellIs" dxfId="1754" priority="172" stopIfTrue="1" operator="lessThan">
      <formula>96</formula>
    </cfRule>
  </conditionalFormatting>
  <conditionalFormatting sqref="C58:C59">
    <cfRule type="cellIs" dxfId="1753" priority="174" stopIfTrue="1" operator="greaterThan">
      <formula>$F58</formula>
    </cfRule>
    <cfRule type="cellIs" dxfId="1752" priority="176" stopIfTrue="1" operator="greaterThan">
      <formula>$F59</formula>
    </cfRule>
  </conditionalFormatting>
  <conditionalFormatting sqref="C58:C62">
    <cfRule type="cellIs" dxfId="1751" priority="122" stopIfTrue="1" operator="lessThanOrEqual">
      <formula>0</formula>
    </cfRule>
  </conditionalFormatting>
  <conditionalFormatting sqref="C59:C66">
    <cfRule type="cellIs" dxfId="1750" priority="121" stopIfTrue="1" operator="greaterThan">
      <formula>$F59</formula>
    </cfRule>
  </conditionalFormatting>
  <conditionalFormatting sqref="C63">
    <cfRule type="cellIs" dxfId="1749" priority="61" stopIfTrue="1" operator="greaterThan">
      <formula>$F62</formula>
    </cfRule>
    <cfRule type="cellIs" dxfId="1748" priority="60" stopIfTrue="1" operator="lessThanOrEqual">
      <formula>0</formula>
    </cfRule>
  </conditionalFormatting>
  <conditionalFormatting sqref="C64:C66">
    <cfRule type="cellIs" dxfId="1747" priority="138" stopIfTrue="1" operator="lessThanOrEqual">
      <formula>0</formula>
    </cfRule>
  </conditionalFormatting>
  <conditionalFormatting sqref="C69:C73">
    <cfRule type="cellIs" dxfId="1746" priority="164" stopIfTrue="1" operator="lessThanOrEqual">
      <formula>0</formula>
    </cfRule>
  </conditionalFormatting>
  <conditionalFormatting sqref="C70:C73">
    <cfRule type="cellIs" dxfId="1745" priority="163" stopIfTrue="1" operator="greaterThan">
      <formula>$F$69</formula>
    </cfRule>
  </conditionalFormatting>
  <conditionalFormatting sqref="C75">
    <cfRule type="cellIs" dxfId="1744" priority="165" stopIfTrue="1" operator="greaterThan">
      <formula>$F$69</formula>
    </cfRule>
    <cfRule type="cellIs" dxfId="1743" priority="166" stopIfTrue="1" operator="lessThanOrEqual">
      <formula>0</formula>
    </cfRule>
  </conditionalFormatting>
  <conditionalFormatting sqref="C69:D69 D71:D77">
    <cfRule type="cellIs" dxfId="1742" priority="158" stopIfTrue="1" operator="greaterThan">
      <formula>4.5</formula>
    </cfRule>
  </conditionalFormatting>
  <conditionalFormatting sqref="D42:D43">
    <cfRule type="cellIs" dxfId="1741" priority="142" operator="notBetween">
      <formula>#REF!</formula>
      <formula>#REF!</formula>
    </cfRule>
  </conditionalFormatting>
  <conditionalFormatting sqref="D58:D65">
    <cfRule type="cellIs" dxfId="1740" priority="136" stopIfTrue="1" operator="lessThanOrEqual">
      <formula>0</formula>
    </cfRule>
  </conditionalFormatting>
  <conditionalFormatting sqref="D66">
    <cfRule type="cellIs" dxfId="1739" priority="135" stopIfTrue="1" operator="lessThanOrEqual">
      <formula>0</formula>
    </cfRule>
  </conditionalFormatting>
  <conditionalFormatting sqref="D69 D71:D77">
    <cfRule type="cellIs" dxfId="1738" priority="159" stopIfTrue="1" operator="lessThanOrEqual">
      <formula>0</formula>
    </cfRule>
  </conditionalFormatting>
  <conditionalFormatting sqref="D70">
    <cfRule type="cellIs" dxfId="1737" priority="151" stopIfTrue="1" operator="lessThanOrEqual">
      <formula>0</formula>
    </cfRule>
    <cfRule type="cellIs" dxfId="1736" priority="150" stopIfTrue="1" operator="greaterThan">
      <formula>$F$69</formula>
    </cfRule>
  </conditionalFormatting>
  <conditionalFormatting sqref="D58:E67">
    <cfRule type="cellIs" dxfId="1735" priority="119" stopIfTrue="1" operator="greaterThan">
      <formula>$F58</formula>
    </cfRule>
  </conditionalFormatting>
  <conditionalFormatting sqref="D67:E67">
    <cfRule type="cellIs" dxfId="1734" priority="120" stopIfTrue="1" operator="lessThanOrEqual">
      <formula>0</formula>
    </cfRule>
  </conditionalFormatting>
  <conditionalFormatting sqref="E10:E17">
    <cfRule type="cellIs" dxfId="1733" priority="44" operator="lessThan">
      <formula>48</formula>
    </cfRule>
  </conditionalFormatting>
  <conditionalFormatting sqref="E45 E46:F46">
    <cfRule type="cellIs" dxfId="1732" priority="155" stopIfTrue="1" operator="greaterThan">
      <formula>100</formula>
    </cfRule>
  </conditionalFormatting>
  <conditionalFormatting sqref="E46">
    <cfRule type="cellIs" dxfId="1731" priority="153" stopIfTrue="1" operator="greaterThan">
      <formula>100</formula>
    </cfRule>
    <cfRule type="cellIs" dxfId="1730" priority="152" stopIfTrue="1" operator="lessThan">
      <formula>96.8</formula>
    </cfRule>
  </conditionalFormatting>
  <conditionalFormatting sqref="E58:E66">
    <cfRule type="cellIs" dxfId="1729" priority="130" stopIfTrue="1" operator="lessThanOrEqual">
      <formula>0</formula>
    </cfRule>
  </conditionalFormatting>
  <conditionalFormatting sqref="E69:E77">
    <cfRule type="cellIs" dxfId="1728" priority="144" stopIfTrue="1" operator="greaterThan">
      <formula>4.5</formula>
    </cfRule>
    <cfRule type="cellIs" dxfId="1727" priority="145" stopIfTrue="1" operator="lessThanOrEqual">
      <formula>0</formula>
    </cfRule>
  </conditionalFormatting>
  <conditionalFormatting sqref="E46:F46 E45">
    <cfRule type="cellIs" dxfId="1726" priority="154" stopIfTrue="1" operator="lessThan">
      <formula>96.5</formula>
    </cfRule>
  </conditionalFormatting>
  <conditionalFormatting sqref="F10:F16">
    <cfRule type="cellIs" dxfId="1725" priority="58" operator="greaterThan">
      <formula>60</formula>
    </cfRule>
  </conditionalFormatting>
  <conditionalFormatting sqref="F46">
    <cfRule type="cellIs" dxfId="1724" priority="171" stopIfTrue="1" operator="greaterThan">
      <formula>100</formula>
    </cfRule>
    <cfRule type="cellIs" dxfId="1723" priority="170" stopIfTrue="1" operator="lessThan">
      <formula>96.8</formula>
    </cfRule>
  </conditionalFormatting>
  <conditionalFormatting sqref="F67">
    <cfRule type="cellIs" dxfId="1722" priority="132" stopIfTrue="1" operator="lessThanOrEqual">
      <formula>0</formula>
    </cfRule>
    <cfRule type="cellIs" dxfId="1721" priority="131" stopIfTrue="1" operator="greaterThan">
      <formula>$F67</formula>
    </cfRule>
  </conditionalFormatting>
  <conditionalFormatting sqref="F72">
    <cfRule type="cellIs" dxfId="1720" priority="90" stopIfTrue="1" operator="greaterThan">
      <formula>$F72</formula>
    </cfRule>
    <cfRule type="cellIs" dxfId="1719" priority="91" stopIfTrue="1" operator="lessThanOrEqual">
      <formula>0</formula>
    </cfRule>
  </conditionalFormatting>
  <conditionalFormatting sqref="G10:G12 G15 G17">
    <cfRule type="expression" dxfId="1718" priority="53">
      <formula>IF(+(IF(G10&lt;S10,0,IF(G10&gt;T10,0,1)))=0,1)</formula>
    </cfRule>
  </conditionalFormatting>
  <conditionalFormatting sqref="G58:G60">
    <cfRule type="cellIs" dxfId="1717" priority="124" stopIfTrue="1" operator="lessThanOrEqual">
      <formula>0</formula>
    </cfRule>
    <cfRule type="cellIs" dxfId="1716" priority="123" stopIfTrue="1" operator="greaterThan">
      <formula>$F58</formula>
    </cfRule>
  </conditionalFormatting>
  <conditionalFormatting sqref="G58:G61">
    <cfRule type="cellIs" dxfId="1715" priority="133" stopIfTrue="1" operator="greaterThan">
      <formula>$F58</formula>
    </cfRule>
    <cfRule type="cellIs" dxfId="1714" priority="134" stopIfTrue="1" operator="lessThanOrEqual">
      <formula>0</formula>
    </cfRule>
  </conditionalFormatting>
  <conditionalFormatting sqref="G62:G66">
    <cfRule type="cellIs" dxfId="1713" priority="140" stopIfTrue="1" operator="lessThanOrEqual">
      <formula>0</formula>
    </cfRule>
    <cfRule type="cellIs" dxfId="1712" priority="139" stopIfTrue="1" operator="greaterThan">
      <formula>$J62</formula>
    </cfRule>
  </conditionalFormatting>
  <conditionalFormatting sqref="G71:G76 C74 C76">
    <cfRule type="cellIs" dxfId="1711" priority="167" stopIfTrue="1" operator="greaterThan">
      <formula>4.5</formula>
    </cfRule>
    <cfRule type="cellIs" dxfId="1710" priority="168" stopIfTrue="1" operator="lessThanOrEqual">
      <formula>0</formula>
    </cfRule>
  </conditionalFormatting>
  <conditionalFormatting sqref="G70:H70">
    <cfRule type="cellIs" dxfId="1709" priority="149" stopIfTrue="1" operator="lessThanOrEqual">
      <formula>0</formula>
    </cfRule>
    <cfRule type="cellIs" dxfId="1708" priority="148" stopIfTrue="1" operator="greaterThan">
      <formula>$F$69</formula>
    </cfRule>
  </conditionalFormatting>
  <conditionalFormatting sqref="H10:H12 G13:H14 H15 G16:H16">
    <cfRule type="expression" dxfId="1707" priority="59">
      <formula>IF(+(IF(G10&lt;#REF!,0,IF(G10&gt;#REF!,0,1)))=0,1)</formula>
    </cfRule>
  </conditionalFormatting>
  <conditionalFormatting sqref="H17">
    <cfRule type="expression" dxfId="1706" priority="54">
      <formula>IF(+(IF(H17&lt;#REF!,0,IF(H17&gt;#REF!,0,1)))=0,1)</formula>
    </cfRule>
  </conditionalFormatting>
  <conditionalFormatting sqref="H31:H45">
    <cfRule type="cellIs" dxfId="1705" priority="146" stopIfTrue="1" operator="greaterThan">
      <formula>0</formula>
    </cfRule>
  </conditionalFormatting>
  <conditionalFormatting sqref="H49">
    <cfRule type="cellIs" dxfId="1704" priority="15" stopIfTrue="1" operator="greaterThan">
      <formula>$F$36</formula>
    </cfRule>
    <cfRule type="cellIs" dxfId="1703" priority="14" stopIfTrue="1" operator="lessThanOrEqual">
      <formula>0</formula>
    </cfRule>
    <cfRule type="cellIs" dxfId="1702" priority="24" stopIfTrue="1" operator="lessThanOrEqual">
      <formula>0</formula>
    </cfRule>
    <cfRule type="cellIs" dxfId="1701" priority="26" stopIfTrue="1" operator="lessThanOrEqual">
      <formula>0</formula>
    </cfRule>
    <cfRule type="cellIs" dxfId="1700" priority="23" stopIfTrue="1" operator="greaterThan">
      <formula>$F$39</formula>
    </cfRule>
    <cfRule type="cellIs" dxfId="1699" priority="25" stopIfTrue="1" operator="greaterThan">
      <formula>$F$37</formula>
    </cfRule>
  </conditionalFormatting>
  <conditionalFormatting sqref="H50">
    <cfRule type="cellIs" dxfId="1698" priority="77" stopIfTrue="1" operator="lessThanOrEqual">
      <formula>0</formula>
    </cfRule>
    <cfRule type="cellIs" dxfId="1697" priority="78" stopIfTrue="1" operator="greaterThan">
      <formula>#REF!</formula>
    </cfRule>
    <cfRule type="cellIs" dxfId="1696" priority="86" stopIfTrue="1" operator="greaterThan">
      <formula>$F$18</formula>
    </cfRule>
    <cfRule type="cellIs" dxfId="1695" priority="87" stopIfTrue="1" operator="lessThanOrEqual">
      <formula>0</formula>
    </cfRule>
    <cfRule type="cellIs" dxfId="1694" priority="88" stopIfTrue="1" operator="greaterThan">
      <formula>#REF!</formula>
    </cfRule>
    <cfRule type="cellIs" dxfId="1693" priority="89" stopIfTrue="1" operator="lessThanOrEqual">
      <formula>0</formula>
    </cfRule>
  </conditionalFormatting>
  <conditionalFormatting sqref="H51">
    <cfRule type="cellIs" dxfId="1692" priority="30" stopIfTrue="1" operator="greaterThan">
      <formula>#REF!</formula>
    </cfRule>
    <cfRule type="cellIs" dxfId="1691" priority="29" stopIfTrue="1" operator="lessThanOrEqual">
      <formula>0</formula>
    </cfRule>
    <cfRule type="cellIs" dxfId="1690" priority="40" stopIfTrue="1" operator="greaterThan">
      <formula>#REF!</formula>
    </cfRule>
  </conditionalFormatting>
  <conditionalFormatting sqref="H51:H53">
    <cfRule type="cellIs" dxfId="1689" priority="41" stopIfTrue="1" operator="lessThanOrEqual">
      <formula>0</formula>
    </cfRule>
  </conditionalFormatting>
  <conditionalFormatting sqref="H52:H53">
    <cfRule type="cellIs" dxfId="1688" priority="75" stopIfTrue="1" operator="lessThanOrEqual">
      <formula>0</formula>
    </cfRule>
    <cfRule type="cellIs" dxfId="1687" priority="74" stopIfTrue="1" operator="greaterThan">
      <formula>#REF!</formula>
    </cfRule>
    <cfRule type="cellIs" dxfId="1686" priority="73" stopIfTrue="1" operator="lessThanOrEqual">
      <formula>0</formula>
    </cfRule>
    <cfRule type="cellIs" dxfId="1685" priority="72" stopIfTrue="1" operator="greaterThan">
      <formula>$F$17</formula>
    </cfRule>
    <cfRule type="cellIs" dxfId="1684" priority="64" stopIfTrue="1" operator="greaterThan">
      <formula>#REF!</formula>
    </cfRule>
  </conditionalFormatting>
  <conditionalFormatting sqref="H54">
    <cfRule type="cellIs" dxfId="1683" priority="94" stopIfTrue="1" operator="lessThanOrEqual">
      <formula>0</formula>
    </cfRule>
    <cfRule type="cellIs" dxfId="1682" priority="106" stopIfTrue="1" operator="lessThanOrEqual">
      <formula>0</formula>
    </cfRule>
    <cfRule type="cellIs" dxfId="1681" priority="105" stopIfTrue="1" operator="greaterThan">
      <formula>$F$31</formula>
    </cfRule>
    <cfRule type="cellIs" dxfId="1680" priority="104" stopIfTrue="1" operator="lessThanOrEqual">
      <formula>0</formula>
    </cfRule>
    <cfRule type="cellIs" dxfId="1679" priority="103" stopIfTrue="1" operator="greaterThan">
      <formula>$F$33</formula>
    </cfRule>
    <cfRule type="cellIs" dxfId="1678" priority="95" stopIfTrue="1" operator="greaterThan">
      <formula>$F$30</formula>
    </cfRule>
  </conditionalFormatting>
  <conditionalFormatting sqref="H58:H65">
    <cfRule type="cellIs" dxfId="1677" priority="125" stopIfTrue="1" operator="greaterThan">
      <formula>$J58</formula>
    </cfRule>
    <cfRule type="cellIs" dxfId="1676" priority="126" stopIfTrue="1" operator="lessThanOrEqual">
      <formula>0</formula>
    </cfRule>
  </conditionalFormatting>
  <conditionalFormatting sqref="H66">
    <cfRule type="cellIs" dxfId="1675" priority="127" operator="greaterThan">
      <formula>5.3</formula>
    </cfRule>
  </conditionalFormatting>
  <conditionalFormatting sqref="H69 H71:H77">
    <cfRule type="cellIs" dxfId="1674" priority="160" stopIfTrue="1" operator="greaterThan">
      <formula>4.5</formula>
    </cfRule>
    <cfRule type="cellIs" dxfId="1673" priority="161" stopIfTrue="1" operator="lessThanOrEqual">
      <formula>0</formula>
    </cfRule>
  </conditionalFormatting>
  <conditionalFormatting sqref="H49:I49">
    <cfRule type="cellIs" dxfId="1672" priority="16" stopIfTrue="1" operator="lessThanOrEqual">
      <formula>0</formula>
    </cfRule>
    <cfRule type="cellIs" dxfId="1671" priority="13" stopIfTrue="1" operator="greaterThan">
      <formula>$F$38</formula>
    </cfRule>
  </conditionalFormatting>
  <conditionalFormatting sqref="H50:I50">
    <cfRule type="cellIs" dxfId="1670" priority="79" stopIfTrue="1" operator="lessThanOrEqual">
      <formula>0</formula>
    </cfRule>
    <cfRule type="cellIs" dxfId="1669" priority="76" stopIfTrue="1" operator="greaterThan">
      <formula>$F$17</formula>
    </cfRule>
  </conditionalFormatting>
  <conditionalFormatting sqref="H51:I51">
    <cfRule type="cellIs" dxfId="1668" priority="37" stopIfTrue="1" operator="lessThanOrEqual">
      <formula>0</formula>
    </cfRule>
    <cfRule type="cellIs" dxfId="1667" priority="31" stopIfTrue="1" operator="lessThanOrEqual">
      <formula>0</formula>
    </cfRule>
    <cfRule type="cellIs" dxfId="1666" priority="28" stopIfTrue="1" operator="greaterThan">
      <formula>#REF!</formula>
    </cfRule>
  </conditionalFormatting>
  <conditionalFormatting sqref="H51:I53">
    <cfRule type="cellIs" dxfId="1665" priority="36" stopIfTrue="1" operator="greaterThan">
      <formula>#REF!</formula>
    </cfRule>
  </conditionalFormatting>
  <conditionalFormatting sqref="H52:I53">
    <cfRule type="cellIs" dxfId="1664" priority="65" stopIfTrue="1" operator="lessThanOrEqual">
      <formula>0</formula>
    </cfRule>
  </conditionalFormatting>
  <conditionalFormatting sqref="H54:I54">
    <cfRule type="cellIs" dxfId="1663" priority="96" stopIfTrue="1" operator="lessThanOrEqual">
      <formula>0</formula>
    </cfRule>
    <cfRule type="cellIs" dxfId="1662" priority="93" stopIfTrue="1" operator="greaterThan">
      <formula>$F$32</formula>
    </cfRule>
  </conditionalFormatting>
  <conditionalFormatting sqref="H67:I67">
    <cfRule type="cellIs" dxfId="1661" priority="117" stopIfTrue="1" operator="greaterThan">
      <formula>$J67</formula>
    </cfRule>
    <cfRule type="cellIs" dxfId="1660" priority="118" stopIfTrue="1" operator="lessThanOrEqual">
      <formula>0</formula>
    </cfRule>
  </conditionalFormatting>
  <conditionalFormatting sqref="I49">
    <cfRule type="cellIs" dxfId="1659" priority="22" stopIfTrue="1" operator="lessThanOrEqual">
      <formula>0</formula>
    </cfRule>
    <cfRule type="cellIs" dxfId="1658" priority="21" stopIfTrue="1" operator="greaterThan">
      <formula>$F$36</formula>
    </cfRule>
    <cfRule type="cellIs" dxfId="1657" priority="20" stopIfTrue="1" operator="lessThanOrEqual">
      <formula>0</formula>
    </cfRule>
    <cfRule type="cellIs" dxfId="1656" priority="19" stopIfTrue="1" operator="greaterThan">
      <formula>$F$38</formula>
    </cfRule>
    <cfRule type="cellIs" dxfId="1655" priority="18" stopIfTrue="1" operator="lessThanOrEqual">
      <formula>0</formula>
    </cfRule>
    <cfRule type="cellIs" dxfId="1654" priority="17" stopIfTrue="1" operator="greaterThan">
      <formula>$F$36</formula>
    </cfRule>
  </conditionalFormatting>
  <conditionalFormatting sqref="I50">
    <cfRule type="cellIs" dxfId="1653" priority="85" stopIfTrue="1" operator="lessThanOrEqual">
      <formula>0</formula>
    </cfRule>
    <cfRule type="cellIs" dxfId="1652" priority="84" stopIfTrue="1" operator="greaterThan">
      <formula>#REF!</formula>
    </cfRule>
    <cfRule type="cellIs" dxfId="1651" priority="83" stopIfTrue="1" operator="lessThanOrEqual">
      <formula>0</formula>
    </cfRule>
    <cfRule type="cellIs" dxfId="1650" priority="82" stopIfTrue="1" operator="greaterThan">
      <formula>$F$17</formula>
    </cfRule>
    <cfRule type="cellIs" dxfId="1649" priority="81" stopIfTrue="1" operator="lessThanOrEqual">
      <formula>0</formula>
    </cfRule>
    <cfRule type="cellIs" dxfId="1648" priority="80" stopIfTrue="1" operator="greaterThan">
      <formula>#REF!</formula>
    </cfRule>
  </conditionalFormatting>
  <conditionalFormatting sqref="I51">
    <cfRule type="cellIs" dxfId="1647" priority="35" stopIfTrue="1" operator="lessThanOrEqual">
      <formula>0</formula>
    </cfRule>
    <cfRule type="cellIs" dxfId="1646" priority="33" stopIfTrue="1" operator="lessThanOrEqual">
      <formula>0</formula>
    </cfRule>
    <cfRule type="cellIs" dxfId="1645" priority="32" stopIfTrue="1" operator="greaterThan">
      <formula>#REF!</formula>
    </cfRule>
    <cfRule type="cellIs" dxfId="1644" priority="34" stopIfTrue="1" operator="greaterThan">
      <formula>#REF!</formula>
    </cfRule>
  </conditionalFormatting>
  <conditionalFormatting sqref="I52:I53">
    <cfRule type="cellIs" dxfId="1643" priority="69" stopIfTrue="1" operator="lessThanOrEqual">
      <formula>0</formula>
    </cfRule>
    <cfRule type="cellIs" dxfId="1642" priority="68" stopIfTrue="1" operator="greaterThan">
      <formula>#REF!</formula>
    </cfRule>
    <cfRule type="cellIs" dxfId="1641" priority="67" stopIfTrue="1" operator="lessThanOrEqual">
      <formula>0</formula>
    </cfRule>
    <cfRule type="cellIs" dxfId="1640" priority="70" stopIfTrue="1" operator="greaterThan">
      <formula>#REF!</formula>
    </cfRule>
    <cfRule type="cellIs" dxfId="1639" priority="66" stopIfTrue="1" operator="greaterThan">
      <formula>#REF!</formula>
    </cfRule>
    <cfRule type="cellIs" dxfId="1638" priority="71" stopIfTrue="1" operator="lessThanOrEqual">
      <formula>0</formula>
    </cfRule>
  </conditionalFormatting>
  <conditionalFormatting sqref="I54">
    <cfRule type="cellIs" dxfId="1637" priority="98" stopIfTrue="1" operator="lessThanOrEqual">
      <formula>0</formula>
    </cfRule>
    <cfRule type="cellIs" dxfId="1636" priority="97" stopIfTrue="1" operator="greaterThan">
      <formula>$F$30</formula>
    </cfRule>
    <cfRule type="cellIs" dxfId="1635" priority="99" stopIfTrue="1" operator="greaterThan">
      <formula>$F$32</formula>
    </cfRule>
    <cfRule type="cellIs" dxfId="1634" priority="100" stopIfTrue="1" operator="lessThanOrEqual">
      <formula>0</formula>
    </cfRule>
    <cfRule type="cellIs" dxfId="1633" priority="101" stopIfTrue="1" operator="greaterThan">
      <formula>$F$30</formula>
    </cfRule>
    <cfRule type="cellIs" dxfId="1632" priority="102" stopIfTrue="1" operator="lessThanOrEqual">
      <formula>0</formula>
    </cfRule>
  </conditionalFormatting>
  <conditionalFormatting sqref="I58:I66">
    <cfRule type="cellIs" dxfId="1631" priority="128" stopIfTrue="1" operator="greaterThan">
      <formula>$J58</formula>
    </cfRule>
    <cfRule type="cellIs" dxfId="1630" priority="129" stopIfTrue="1" operator="lessThanOrEqual">
      <formula>0</formula>
    </cfRule>
  </conditionalFormatting>
  <conditionalFormatting sqref="I69:I77">
    <cfRule type="cellIs" dxfId="1629" priority="156" stopIfTrue="1" operator="greaterThan">
      <formula>4.5</formula>
    </cfRule>
    <cfRule type="cellIs" dxfId="1628" priority="157" stopIfTrue="1" operator="lessThanOrEqual">
      <formula>0</formula>
    </cfRule>
  </conditionalFormatting>
  <conditionalFormatting sqref="I10:J17">
    <cfRule type="cellIs" dxfId="1627" priority="45" operator="lessThan">
      <formula>97.9</formula>
    </cfRule>
  </conditionalFormatting>
  <conditionalFormatting sqref="J20:J26">
    <cfRule type="cellIs" dxfId="1626" priority="107" operator="lessThan">
      <formula>97.4</formula>
    </cfRule>
  </conditionalFormatting>
  <conditionalFormatting sqref="J20:J28">
    <cfRule type="cellIs" dxfId="1625" priority="108" stopIfTrue="1" operator="lessThan">
      <formula>96.8</formula>
    </cfRule>
    <cfRule type="cellIs" dxfId="1624" priority="109" stopIfTrue="1" operator="greaterThan">
      <formula>100</formula>
    </cfRule>
  </conditionalFormatting>
  <conditionalFormatting sqref="J20:J29">
    <cfRule type="cellIs" dxfId="1623" priority="110" operator="lessThan">
      <formula>98</formula>
    </cfRule>
  </conditionalFormatting>
  <conditionalFormatting sqref="J67">
    <cfRule type="cellIs" dxfId="1622" priority="115" stopIfTrue="1" operator="lessThanOrEqual">
      <formula>0</formula>
    </cfRule>
    <cfRule type="cellIs" dxfId="1621" priority="114" stopIfTrue="1" operator="greaterThan">
      <formula>$F67</formula>
    </cfRule>
  </conditionalFormatting>
  <conditionalFormatting sqref="K10:K17">
    <cfRule type="cellIs" dxfId="1620" priority="48" operator="greaterThan">
      <formula>6</formula>
    </cfRule>
    <cfRule type="cellIs" dxfId="1619" priority="49" operator="lessThan">
      <formula>4</formula>
    </cfRule>
    <cfRule type="cellIs" dxfId="1618" priority="50" operator="greaterThan">
      <formula>6.4</formula>
    </cfRule>
  </conditionalFormatting>
  <conditionalFormatting sqref="K49:K54">
    <cfRule type="cellIs" dxfId="1617" priority="27" stopIfTrue="1" operator="lessThan">
      <formula>100%</formula>
    </cfRule>
  </conditionalFormatting>
  <conditionalFormatting sqref="K69:K74">
    <cfRule type="cellIs" dxfId="1616" priority="162" stopIfTrue="1" operator="lessThan">
      <formula>100%</formula>
    </cfRule>
  </conditionalFormatting>
  <conditionalFormatting sqref="K76:K77">
    <cfRule type="cellIs" dxfId="1615" priority="169" stopIfTrue="1" operator="lessThan">
      <formula>100%</formula>
    </cfRule>
  </conditionalFormatting>
  <conditionalFormatting sqref="K58:N64 K65 M65:N65 K66:N66">
    <cfRule type="cellIs" dxfId="1614" priority="92" stopIfTrue="1" operator="lessThan">
      <formula>100%</formula>
    </cfRule>
  </conditionalFormatting>
  <conditionalFormatting sqref="L10:L12 L13:M14 L15:L17">
    <cfRule type="cellIs" dxfId="1613" priority="46" operator="between">
      <formula>61</formula>
      <formula>65</formula>
    </cfRule>
    <cfRule type="cellIs" dxfId="1612" priority="47" operator="greaterThan">
      <formula>65</formula>
    </cfRule>
  </conditionalFormatting>
  <conditionalFormatting sqref="L20:M31">
    <cfRule type="cellIs" dxfId="1611" priority="42" operator="lessThan">
      <formula>98</formula>
    </cfRule>
  </conditionalFormatting>
  <conditionalFormatting sqref="L35:N35">
    <cfRule type="cellIs" dxfId="1610" priority="43" operator="notEqual">
      <formula>#REF!</formula>
    </cfRule>
  </conditionalFormatting>
  <conditionalFormatting sqref="L67:N67">
    <cfRule type="cellIs" dxfId="1609" priority="116" stopIfTrue="1" operator="lessThan">
      <formula>100%</formula>
    </cfRule>
  </conditionalFormatting>
  <conditionalFormatting sqref="L69:N77">
    <cfRule type="cellIs" dxfId="1608" priority="147" stopIfTrue="1" operator="lessThan">
      <formula>100%</formula>
    </cfRule>
  </conditionalFormatting>
  <conditionalFormatting sqref="M10:M15">
    <cfRule type="expression" dxfId="1607" priority="57">
      <formula>IF(+(IF(M10&lt;U10,0,IF(M10&gt;V10,0,1)))=0,1)</formula>
    </cfRule>
  </conditionalFormatting>
  <conditionalFormatting sqref="M17">
    <cfRule type="expression" dxfId="1606" priority="52">
      <formula>IF(+(IF(M17&lt;U17,0,IF(M17&gt;V17,0,1)))=0,1)</formula>
    </cfRule>
  </conditionalFormatting>
  <conditionalFormatting sqref="M16:N16">
    <cfRule type="expression" dxfId="1605" priority="175">
      <formula>IF(+(IF(M16&lt;#REF!,0,IF(M16&gt;#REF!,0,1)))=0,1)</formula>
    </cfRule>
  </conditionalFormatting>
  <conditionalFormatting sqref="N10:N15">
    <cfRule type="expression" dxfId="1604" priority="56">
      <formula>IF(+(IF(N10&lt;W10,0,IF(N10&gt;X10,0,1)))=0,1)</formula>
    </cfRule>
  </conditionalFormatting>
  <conditionalFormatting sqref="N17">
    <cfRule type="expression" dxfId="1603" priority="51">
      <formula>IF(+(IF(N17&lt;W17,0,IF(N17&gt;X17,0,1)))=0,1)</formula>
    </cfRule>
  </conditionalFormatting>
  <conditionalFormatting sqref="P6">
    <cfRule type="cellIs" dxfId="1602" priority="143" operator="greaterThanOrEqual">
      <formula>19</formula>
    </cfRule>
  </conditionalFormatting>
  <dataValidations count="1">
    <dataValidation type="list" allowBlank="1" showInputMessage="1" showErrorMessage="1" sqref="R8" xr:uid="{7267EFCE-C6CE-4387-A026-9519B4AEB0C2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1" max="16383" man="1"/>
  </rowBreaks>
  <colBreaks count="1" manualBreakCount="1">
    <brk id="15" max="89" man="1"/>
  </col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F444-D111-4D08-BC99-2244E5D81553}">
  <sheetPr>
    <pageSetUpPr fitToPage="1"/>
  </sheetPr>
  <dimension ref="A1:BE76"/>
  <sheetViews>
    <sheetView topLeftCell="A30" zoomScaleNormal="100" workbookViewId="0">
      <selection activeCell="P10" sqref="P10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67.425781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25" t="s">
        <v>0</v>
      </c>
      <c r="T1" s="525"/>
      <c r="U1" s="525" t="s">
        <v>1</v>
      </c>
      <c r="V1" s="525"/>
      <c r="W1" s="525" t="s">
        <v>2</v>
      </c>
      <c r="X1" s="525"/>
      <c r="Y1" s="525" t="s">
        <v>124</v>
      </c>
      <c r="Z1" s="525"/>
    </row>
    <row r="2" spans="2:29" ht="15">
      <c r="B2" s="526" t="s">
        <v>3</v>
      </c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45918</v>
      </c>
      <c r="J4" s="398" t="s">
        <v>168</v>
      </c>
      <c r="K4" s="398"/>
      <c r="L4" s="11"/>
      <c r="M4" s="547" t="s">
        <v>8</v>
      </c>
      <c r="N4" s="548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44"/>
      <c r="D5" s="544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167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84" t="s">
        <v>17</v>
      </c>
      <c r="C8" s="494" t="s">
        <v>18</v>
      </c>
      <c r="D8" s="494" t="s">
        <v>19</v>
      </c>
      <c r="E8" s="356" t="s">
        <v>20</v>
      </c>
      <c r="F8" s="356" t="s">
        <v>21</v>
      </c>
      <c r="G8" s="494" t="s">
        <v>22</v>
      </c>
      <c r="H8" s="535" t="s">
        <v>144</v>
      </c>
      <c r="I8" s="494" t="s">
        <v>166</v>
      </c>
      <c r="J8" s="537" t="s">
        <v>23</v>
      </c>
      <c r="K8" s="539" t="s">
        <v>142</v>
      </c>
      <c r="L8" s="541" t="s">
        <v>24</v>
      </c>
      <c r="M8" s="359" t="s">
        <v>25</v>
      </c>
      <c r="N8" s="17" t="s">
        <v>26</v>
      </c>
      <c r="O8" s="494" t="s">
        <v>155</v>
      </c>
      <c r="P8" s="56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33"/>
      <c r="C9" s="534"/>
      <c r="D9" s="534"/>
      <c r="E9" s="357" t="s">
        <v>30</v>
      </c>
      <c r="F9" s="357" t="s">
        <v>31</v>
      </c>
      <c r="G9" s="534"/>
      <c r="H9" s="536"/>
      <c r="I9" s="534"/>
      <c r="J9" s="538"/>
      <c r="K9" s="540"/>
      <c r="L9" s="542"/>
      <c r="M9" s="20" t="s">
        <v>32</v>
      </c>
      <c r="N9" s="21" t="s">
        <v>41</v>
      </c>
      <c r="O9" s="534"/>
      <c r="P9" s="561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36" t="s">
        <v>15</v>
      </c>
      <c r="C10" s="366" t="str">
        <f>[27]Brewhouse!$A31</f>
        <v>MK024</v>
      </c>
      <c r="D10" s="279">
        <f>[27]Brewhouse!$AF31</f>
        <v>53.9</v>
      </c>
      <c r="E10" s="279">
        <f>[27]Brewhouse!$AI31</f>
        <v>50.9</v>
      </c>
      <c r="F10" s="278">
        <f>[27]Brewhouse!$X31</f>
        <v>59</v>
      </c>
      <c r="G10" s="279">
        <f>[27]Brewhouse!$AG31</f>
        <v>13.2</v>
      </c>
      <c r="H10" s="396"/>
      <c r="I10" s="420">
        <f>[27]Brewhouse!$AT31</f>
        <v>94.03638367048454</v>
      </c>
      <c r="J10" s="420">
        <f>[27]Brewhouse!$AU31</f>
        <v>95.568519413818137</v>
      </c>
      <c r="K10" s="462">
        <f>[27]Brewhouse!$S31</f>
        <v>4.3157142857142894</v>
      </c>
      <c r="L10" s="276">
        <f>[27]Brewhouse!$R31</f>
        <v>77</v>
      </c>
      <c r="M10" s="374">
        <f>[27]Brewhouse!$W31-[27]Brewhouse!$V31</f>
        <v>0.11875000000000002</v>
      </c>
      <c r="N10" s="370">
        <f>[27]Brewhouse!$AA31</f>
        <v>0.27013888888888887</v>
      </c>
      <c r="O10" s="421" t="str">
        <f>[27]Brewhouse!$AX31</f>
        <v>R.Regis</v>
      </c>
      <c r="P10" s="418"/>
      <c r="R10" s="277" t="str">
        <f t="shared" ref="R10" si="0">B10</f>
        <v>MACKESON</v>
      </c>
      <c r="S10" s="296">
        <f t="shared" ref="S10:S43" si="1">VLOOKUP($B10,$R$3:$X$9,2,FALSE)</f>
        <v>13.3</v>
      </c>
      <c r="T10" s="296">
        <f t="shared" ref="T10:T43" si="2">VLOOKUP($B10,$R$3:$X$9,3,FALSE)</f>
        <v>13.5</v>
      </c>
      <c r="U10" s="297">
        <f t="shared" ref="U10:U43" si="3">VLOOKUP($B10,$R$3:$X$9,4,FALSE)</f>
        <v>0</v>
      </c>
      <c r="V10" s="297">
        <f t="shared" ref="V10:V43" si="4">VLOOKUP($B10,$R$3:$X$9,5,FALSE)</f>
        <v>0.12905092592592593</v>
      </c>
      <c r="W10" s="297">
        <f t="shared" ref="W10:W43" si="5">VLOOKUP($B10,$R$3:$X$9,6,FALSE)</f>
        <v>0.27430555555555552</v>
      </c>
      <c r="X10" s="297">
        <f t="shared" ref="X10:X43" si="6">VLOOKUP($B10,$R$3:$X$9,7,FALSE)</f>
        <v>0.30208333333333331</v>
      </c>
      <c r="Y10" s="297">
        <f t="shared" ref="Y10:Y43" si="7">VLOOKUP($B10,$R$3:$Z$9,8,FALSE)</f>
        <v>0</v>
      </c>
      <c r="Z10" s="296">
        <f t="shared" ref="Z10:Z43" si="8">VLOOKUP($B10,$R$3:$Z$9,9,FALSE)</f>
        <v>0</v>
      </c>
    </row>
    <row r="11" spans="2:29" ht="15.75" customHeight="1">
      <c r="B11" s="36" t="s">
        <v>15</v>
      </c>
      <c r="C11" s="366" t="str">
        <f>[27]Brewhouse!$A32</f>
        <v>MK025</v>
      </c>
      <c r="D11" s="279">
        <f>[27]Brewhouse!$AF32</f>
        <v>53.3</v>
      </c>
      <c r="E11" s="279">
        <f>[27]Brewhouse!$AI32</f>
        <v>50.4</v>
      </c>
      <c r="F11" s="278">
        <f>[27]Brewhouse!$X32</f>
        <v>50</v>
      </c>
      <c r="G11" s="279">
        <f>[27]Brewhouse!$AG32</f>
        <v>13.3</v>
      </c>
      <c r="H11" s="396"/>
      <c r="I11" s="420">
        <f>[27]Brewhouse!$AT32</f>
        <v>93.850571528798568</v>
      </c>
      <c r="J11" s="420">
        <f>[27]Brewhouse!$AU32</f>
        <v>95.379679833042005</v>
      </c>
      <c r="K11" s="462">
        <f>[27]Brewhouse!$S32</f>
        <v>5.3871428571428632</v>
      </c>
      <c r="L11" s="276">
        <f>[27]Brewhouse!$R32</f>
        <v>77</v>
      </c>
      <c r="M11" s="374">
        <f>[27]Brewhouse!$W32-[27]Brewhouse!$V32</f>
        <v>0.125</v>
      </c>
      <c r="N11" s="370">
        <f>[27]Brewhouse!$AA32</f>
        <v>0.27916666666666662</v>
      </c>
      <c r="O11" s="421" t="str">
        <f>[27]Brewhouse!$AX32</f>
        <v>K.Benjamin</v>
      </c>
      <c r="P11" s="418"/>
      <c r="R11" s="277" t="str">
        <f t="shared" ref="R11:R26" si="9">B11</f>
        <v>MACKESON</v>
      </c>
      <c r="S11" s="296">
        <f t="shared" si="1"/>
        <v>13.3</v>
      </c>
      <c r="T11" s="296">
        <f t="shared" si="2"/>
        <v>13.5</v>
      </c>
      <c r="U11" s="297">
        <f t="shared" si="3"/>
        <v>0</v>
      </c>
      <c r="V11" s="297">
        <f t="shared" si="4"/>
        <v>0.12905092592592593</v>
      </c>
      <c r="W11" s="297">
        <f t="shared" si="5"/>
        <v>0.27430555555555552</v>
      </c>
      <c r="X11" s="297">
        <f t="shared" si="6"/>
        <v>0.30208333333333331</v>
      </c>
      <c r="Y11" s="297">
        <f t="shared" si="7"/>
        <v>0</v>
      </c>
      <c r="Z11" s="296">
        <f t="shared" si="8"/>
        <v>0</v>
      </c>
    </row>
    <row r="12" spans="2:29" ht="15.75" customHeight="1">
      <c r="B12" s="36" t="s">
        <v>15</v>
      </c>
      <c r="C12" s="366" t="str">
        <f>[27]Brewhouse!$A33</f>
        <v>MK026</v>
      </c>
      <c r="D12" s="279">
        <f>[27]Brewhouse!$AF33</f>
        <v>54.5</v>
      </c>
      <c r="E12" s="279">
        <f>[27]Brewhouse!$AI33</f>
        <v>51.7</v>
      </c>
      <c r="F12" s="278">
        <f>[27]Brewhouse!$X33</f>
        <v>52</v>
      </c>
      <c r="G12" s="279">
        <f>[27]Brewhouse!$AG33</f>
        <v>13.3</v>
      </c>
      <c r="H12" s="396"/>
      <c r="I12" s="420">
        <f>[27]Brewhouse!$AT33</f>
        <v>96.575988170029959</v>
      </c>
      <c r="J12" s="420">
        <f>[27]Brewhouse!$AU33</f>
        <v>98.14855423903704</v>
      </c>
      <c r="K12" s="462">
        <f>[27]Brewhouse!$S33</f>
        <v>3.2442857142857155</v>
      </c>
      <c r="L12" s="276">
        <f>[27]Brewhouse!$R33</f>
        <v>75</v>
      </c>
      <c r="M12" s="374">
        <f>[27]Brewhouse!$W33-[27]Brewhouse!$V33</f>
        <v>0.125</v>
      </c>
      <c r="N12" s="370">
        <f>[27]Brewhouse!$AA33</f>
        <v>0.27777777777777779</v>
      </c>
      <c r="O12" s="421" t="str">
        <f>[27]Brewhouse!$AX33</f>
        <v>K.Benjamin</v>
      </c>
      <c r="P12" s="418"/>
      <c r="R12" s="277" t="str">
        <f t="shared" si="9"/>
        <v>MACKESON</v>
      </c>
      <c r="S12" s="296">
        <f t="shared" si="1"/>
        <v>13.3</v>
      </c>
      <c r="T12" s="296">
        <f t="shared" si="2"/>
        <v>13.5</v>
      </c>
      <c r="U12" s="297">
        <f t="shared" si="3"/>
        <v>0</v>
      </c>
      <c r="V12" s="297">
        <f t="shared" si="4"/>
        <v>0.12905092592592593</v>
      </c>
      <c r="W12" s="297">
        <f t="shared" si="5"/>
        <v>0.27430555555555552</v>
      </c>
      <c r="X12" s="297">
        <f t="shared" si="6"/>
        <v>0.30208333333333331</v>
      </c>
      <c r="Y12" s="297">
        <f t="shared" si="7"/>
        <v>0</v>
      </c>
      <c r="Z12" s="296">
        <f t="shared" si="8"/>
        <v>0</v>
      </c>
    </row>
    <row r="13" spans="2:29" ht="15.75" customHeight="1">
      <c r="B13" s="36" t="s">
        <v>15</v>
      </c>
      <c r="C13" s="366" t="str">
        <f>[27]Brewhouse!$A34</f>
        <v>MK027</v>
      </c>
      <c r="D13" s="279">
        <f>[27]Brewhouse!$AF34</f>
        <v>53.8</v>
      </c>
      <c r="E13" s="279">
        <f>[27]Brewhouse!$AI34</f>
        <v>51.1</v>
      </c>
      <c r="F13" s="278">
        <f>[27]Brewhouse!$X34</f>
        <v>50</v>
      </c>
      <c r="G13" s="279">
        <f>[27]Brewhouse!$AG34</f>
        <v>13.4</v>
      </c>
      <c r="H13" s="396"/>
      <c r="I13" s="420">
        <f>[27]Brewhouse!$AT34</f>
        <v>96.307318678936582</v>
      </c>
      <c r="J13" s="420">
        <f>[27]Brewhouse!$AU34</f>
        <v>97.875193676086909</v>
      </c>
      <c r="K13" s="462">
        <f>[27]Brewhouse!$S34</f>
        <v>0.95703703703704357</v>
      </c>
      <c r="L13" s="276">
        <f>[27]Brewhouse!$R34</f>
        <v>75</v>
      </c>
      <c r="M13" s="374">
        <f>[27]Brewhouse!$W34-[27]Brewhouse!$V34</f>
        <v>0.11111111111111116</v>
      </c>
      <c r="N13" s="370">
        <f>[27]Brewhouse!$AA34</f>
        <v>0.26527777777777783</v>
      </c>
      <c r="O13" s="421" t="str">
        <f>[27]Brewhouse!$AX34</f>
        <v>K.Benjamin</v>
      </c>
      <c r="P13" s="418"/>
      <c r="R13" s="277" t="str">
        <f t="shared" si="9"/>
        <v>MACKESON</v>
      </c>
      <c r="S13" s="296">
        <f t="shared" si="1"/>
        <v>13.3</v>
      </c>
      <c r="T13" s="296">
        <f t="shared" si="2"/>
        <v>13.5</v>
      </c>
      <c r="U13" s="297">
        <f t="shared" si="3"/>
        <v>0</v>
      </c>
      <c r="V13" s="297">
        <f t="shared" si="4"/>
        <v>0.12905092592592593</v>
      </c>
      <c r="W13" s="297">
        <f t="shared" si="5"/>
        <v>0.27430555555555552</v>
      </c>
      <c r="X13" s="297">
        <f t="shared" si="6"/>
        <v>0.30208333333333331</v>
      </c>
      <c r="Y13" s="297">
        <f t="shared" si="7"/>
        <v>0</v>
      </c>
      <c r="Z13" s="296">
        <f t="shared" si="8"/>
        <v>0</v>
      </c>
    </row>
    <row r="14" spans="2:29" ht="15.75" customHeight="1">
      <c r="B14" s="36" t="s">
        <v>15</v>
      </c>
      <c r="C14" s="366" t="str">
        <f>[27]Brewhouse!$A35</f>
        <v>MK028</v>
      </c>
      <c r="D14" s="279">
        <f>[27]Brewhouse!$AF35</f>
        <v>53.3</v>
      </c>
      <c r="E14" s="279">
        <f>[27]Brewhouse!$AI35</f>
        <v>50.5</v>
      </c>
      <c r="F14" s="278">
        <f>[27]Brewhouse!$X35</f>
        <v>62</v>
      </c>
      <c r="G14" s="279">
        <f>[27]Brewhouse!$AG35</f>
        <v>13.4</v>
      </c>
      <c r="H14" s="396"/>
      <c r="I14" s="420">
        <f>[27]Brewhouse!$AT35</f>
        <v>95.27712196247154</v>
      </c>
      <c r="J14" s="420">
        <f>[27]Brewhouse!$AU35</f>
        <v>96.827911894963222</v>
      </c>
      <c r="K14" s="462">
        <f>[27]Brewhouse!$S35</f>
        <v>1.8829629629629692</v>
      </c>
      <c r="L14" s="276">
        <f>[27]Brewhouse!$R35</f>
        <v>73</v>
      </c>
      <c r="M14" s="374">
        <f>[27]Brewhouse!$W35-[27]Brewhouse!$V35</f>
        <v>0.12013888888888891</v>
      </c>
      <c r="N14" s="370">
        <f>[27]Brewhouse!$AA35</f>
        <v>0.27152777777777781</v>
      </c>
      <c r="O14" s="421" t="str">
        <f>[27]Brewhouse!$AX35</f>
        <v>R.Regis</v>
      </c>
      <c r="P14" s="418"/>
      <c r="R14" s="277" t="str">
        <f t="shared" si="9"/>
        <v>MACKESON</v>
      </c>
      <c r="S14" s="296">
        <f t="shared" si="1"/>
        <v>13.3</v>
      </c>
      <c r="T14" s="296">
        <f t="shared" si="2"/>
        <v>13.5</v>
      </c>
      <c r="U14" s="297">
        <f t="shared" si="3"/>
        <v>0</v>
      </c>
      <c r="V14" s="297">
        <f t="shared" si="4"/>
        <v>0.12905092592592593</v>
      </c>
      <c r="W14" s="297">
        <f t="shared" si="5"/>
        <v>0.27430555555555552</v>
      </c>
      <c r="X14" s="297">
        <f t="shared" si="6"/>
        <v>0.30208333333333331</v>
      </c>
      <c r="Y14" s="297">
        <f t="shared" si="7"/>
        <v>0</v>
      </c>
      <c r="Z14" s="296">
        <f t="shared" si="8"/>
        <v>0</v>
      </c>
    </row>
    <row r="15" spans="2:29" ht="15.75" customHeight="1">
      <c r="B15" s="36"/>
      <c r="C15" s="366"/>
      <c r="D15" s="279"/>
      <c r="E15" s="279"/>
      <c r="F15" s="278"/>
      <c r="G15" s="279"/>
      <c r="H15" s="396"/>
      <c r="I15" s="420"/>
      <c r="J15" s="420"/>
      <c r="K15" s="462"/>
      <c r="L15" s="276"/>
      <c r="M15" s="374"/>
      <c r="N15" s="370"/>
      <c r="O15" s="421"/>
      <c r="P15" s="418"/>
      <c r="R15" s="277">
        <f t="shared" si="9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.75" customHeight="1">
      <c r="B16" s="29" t="s">
        <v>6</v>
      </c>
      <c r="C16" s="366" t="str">
        <f>[22]Brewhouse!$A786</f>
        <v>CA677</v>
      </c>
      <c r="D16" s="279">
        <f>[22]Brewhouse!$AF786</f>
        <v>48.5</v>
      </c>
      <c r="E16" s="279">
        <f>[22]Brewhouse!$AI786</f>
        <v>47.6</v>
      </c>
      <c r="F16" s="278">
        <f>[22]Brewhouse!$V786</f>
        <v>58</v>
      </c>
      <c r="G16" s="279">
        <f>[22]Brewhouse!AG786</f>
        <v>12</v>
      </c>
      <c r="H16" s="396"/>
      <c r="I16" s="368">
        <f>[22]Brewhouse!$AU786</f>
        <v>96.825643973550442</v>
      </c>
      <c r="J16" s="368">
        <f>[22]Brewhouse!$AV786</f>
        <v>98.622160058360365</v>
      </c>
      <c r="K16" s="281">
        <f>[22]Brewhouse!$Q786</f>
        <v>14.064748201438848</v>
      </c>
      <c r="L16" s="276">
        <f>[22]Brewhouse!$P786</f>
        <v>61</v>
      </c>
      <c r="M16" s="397">
        <f>[22]Brewhouse!$U786-[22]Brewhouse!$T786</f>
        <v>0.11874999999999991</v>
      </c>
      <c r="N16" s="370">
        <f>[22]Brewhouse!$Z786</f>
        <v>0.24861111111111112</v>
      </c>
      <c r="O16" s="421" t="str">
        <f>[22]Brewhouse!$AX786</f>
        <v>R. Regis</v>
      </c>
      <c r="P16" s="418"/>
      <c r="R16" s="277" t="str">
        <f t="shared" si="9"/>
        <v>CARIB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1:26" ht="15.75" customHeight="1">
      <c r="B17" s="36"/>
      <c r="C17" s="366"/>
      <c r="D17" s="279"/>
      <c r="E17" s="279"/>
      <c r="F17" s="278"/>
      <c r="G17" s="279"/>
      <c r="H17" s="396"/>
      <c r="I17" s="420"/>
      <c r="J17" s="420"/>
      <c r="K17" s="462"/>
      <c r="L17" s="276"/>
      <c r="M17" s="374"/>
      <c r="N17" s="370"/>
      <c r="O17" s="421"/>
      <c r="P17" s="418"/>
      <c r="R17" s="277">
        <f t="shared" si="9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1:26" ht="15.75" customHeight="1">
      <c r="B18" s="36"/>
      <c r="C18" s="366"/>
      <c r="D18" s="279"/>
      <c r="E18" s="279"/>
      <c r="F18" s="278"/>
      <c r="G18" s="279"/>
      <c r="H18" s="396"/>
      <c r="I18" s="420"/>
      <c r="J18" s="420"/>
      <c r="K18" s="462"/>
      <c r="L18" s="276"/>
      <c r="M18" s="374"/>
      <c r="N18" s="370"/>
      <c r="O18" s="421"/>
      <c r="P18" s="418"/>
      <c r="R18" s="277">
        <f t="shared" si="9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1:26" ht="15.75" customHeight="1">
      <c r="B19" s="36"/>
      <c r="C19" s="366"/>
      <c r="D19" s="279"/>
      <c r="E19" s="279"/>
      <c r="F19" s="278"/>
      <c r="G19" s="279"/>
      <c r="H19" s="396"/>
      <c r="I19" s="420"/>
      <c r="J19" s="420"/>
      <c r="K19" s="462"/>
      <c r="L19" s="276"/>
      <c r="M19" s="374"/>
      <c r="N19" s="370"/>
      <c r="O19" s="421"/>
      <c r="P19" s="418"/>
      <c r="R19" s="277">
        <f t="shared" si="9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6" ht="15.7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18"/>
      <c r="R20" s="277">
        <f t="shared" si="9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6" ht="15.75" customHeight="1">
      <c r="B21" s="37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371"/>
      <c r="P21" s="418"/>
      <c r="R21" s="277">
        <f t="shared" si="9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6" ht="15.75" customHeight="1" thickBot="1">
      <c r="B22" s="358"/>
      <c r="C22" s="358"/>
      <c r="D22" s="358"/>
      <c r="E22" s="358"/>
      <c r="F22" s="294"/>
      <c r="G22" s="294"/>
      <c r="H22" s="348"/>
      <c r="I22" s="514"/>
      <c r="J22" s="514"/>
      <c r="K22" s="514"/>
      <c r="L22" s="514"/>
      <c r="M22" s="514"/>
      <c r="N22" s="514"/>
      <c r="O22" s="1"/>
      <c r="P22" s="12"/>
      <c r="R22" s="277">
        <f t="shared" si="9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6" ht="15.75" thickBot="1">
      <c r="B23" s="388" t="s">
        <v>162</v>
      </c>
      <c r="C23" s="388"/>
      <c r="D23" s="527" t="s">
        <v>35</v>
      </c>
      <c r="E23" s="528"/>
      <c r="F23" s="294"/>
      <c r="G23" s="294"/>
      <c r="H23" s="348"/>
      <c r="I23" s="24" t="s">
        <v>17</v>
      </c>
      <c r="J23" s="25" t="s">
        <v>36</v>
      </c>
      <c r="K23" s="26" t="s">
        <v>138</v>
      </c>
      <c r="L23" s="25" t="s">
        <v>37</v>
      </c>
      <c r="M23" s="25" t="s">
        <v>38</v>
      </c>
      <c r="N23" s="27" t="s">
        <v>39</v>
      </c>
      <c r="O23" s="294"/>
      <c r="P23" s="12"/>
      <c r="R23" s="277" t="str">
        <f t="shared" si="9"/>
        <v xml:space="preserve">BRAND 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6" ht="15" customHeight="1">
      <c r="A24" s="28"/>
      <c r="B24" s="515" t="str">
        <f>I24</f>
        <v>CARIB</v>
      </c>
      <c r="C24" s="362"/>
      <c r="D24" s="518"/>
      <c r="E24" s="507"/>
      <c r="F24" s="294"/>
      <c r="G24" s="294"/>
      <c r="H24" s="348"/>
      <c r="I24" s="29" t="s">
        <v>6</v>
      </c>
      <c r="J24" s="280">
        <f>I16</f>
        <v>96.825643973550442</v>
      </c>
      <c r="K24" s="284">
        <f>COUNTA([22]Brewhouse!$A$740:$A$783)</f>
        <v>44</v>
      </c>
      <c r="L24" s="305">
        <f>AVERAGE([22]Brewhouse!$AU$740:$AU$783)</f>
        <v>97.364232020151704</v>
      </c>
      <c r="M24" s="302">
        <f>AVERAGE([22]Brewhouse!$AU$102:$AU$171,[22]Brewhouse!$AU$173:$AU$253,[22]Brewhouse!$AU$255:$AU$339,[22]Brewhouse!$AU$341:$AU$346,[22]Brewhouse!$AU$348,[22]Brewhouse!$AU$349:$AU$406,[22]Brewhouse!$AU$408:$AU$491,[22]Brewhouse!$AU$493:$AU$578,[22]Brewhouse!$AU$580:$AU$652,[22]Brewhouse!$AU$655:$AU$783)</f>
        <v>97.683338523382943</v>
      </c>
      <c r="N24" s="30">
        <v>98</v>
      </c>
      <c r="O24" s="11"/>
      <c r="P24" s="31"/>
      <c r="R24" s="277" t="str">
        <f t="shared" si="9"/>
        <v>CARIB</v>
      </c>
      <c r="S24" s="296">
        <f t="shared" si="1"/>
        <v>11.6</v>
      </c>
      <c r="T24" s="296">
        <f t="shared" si="2"/>
        <v>12</v>
      </c>
      <c r="U24" s="297">
        <f t="shared" si="3"/>
        <v>0</v>
      </c>
      <c r="V24" s="297">
        <f t="shared" si="4"/>
        <v>0.118055555555556</v>
      </c>
      <c r="W24" s="297">
        <f t="shared" si="5"/>
        <v>0.22569444444444445</v>
      </c>
      <c r="X24" s="297">
        <f t="shared" si="6"/>
        <v>0.2638888888888889</v>
      </c>
      <c r="Y24" s="297">
        <f t="shared" si="7"/>
        <v>0</v>
      </c>
      <c r="Z24" s="296">
        <f t="shared" si="8"/>
        <v>60</v>
      </c>
    </row>
    <row r="25" spans="1:26" ht="15" customHeight="1">
      <c r="A25" s="28"/>
      <c r="B25" s="516"/>
      <c r="C25" s="362"/>
      <c r="D25" s="519"/>
      <c r="E25" s="502"/>
      <c r="F25" s="294"/>
      <c r="G25" s="294"/>
      <c r="H25" s="348"/>
      <c r="I25" s="33" t="s">
        <v>9</v>
      </c>
      <c r="J25" s="280"/>
      <c r="K25" s="284">
        <f>COUNTA([24]Brewhouse!$A$361:$A$380)</f>
        <v>20</v>
      </c>
      <c r="L25" s="302">
        <f>AVERAGE([24]Brewhouse!$AS$361:$AS$380)</f>
        <v>97.321242424213011</v>
      </c>
      <c r="M25" s="302">
        <f>AVERAGE([24]Brewhouse!$AS$15:$AS$64,[24]Brewhouse!$AS$66:$AS$103,[24]Brewhouse!$AS$105:$AS$140,[24]Brewhouse!$AS$142:$AS$193,[24]Brewhouse!$AS$195:$AS$240,[24]Brewhouse!$AS$242:$AS$273,[24]Brewhouse!$AS$275:$AS$322,[24]Brewhouse!$AS$324:$AS$359,[24]Brewhouse!$AS$361:$AS$380)</f>
        <v>98.023911582478434</v>
      </c>
      <c r="N25" s="30">
        <v>98</v>
      </c>
      <c r="O25" s="11"/>
      <c r="P25" s="31"/>
      <c r="R25" s="277">
        <f t="shared" si="9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6" ht="14.65" customHeight="1">
      <c r="A26" s="28"/>
      <c r="B26" s="516"/>
      <c r="C26" s="362"/>
      <c r="D26" s="518"/>
      <c r="E26" s="507"/>
      <c r="F26" s="294"/>
      <c r="G26" s="294"/>
      <c r="H26" s="348"/>
      <c r="I26" s="34" t="s">
        <v>12</v>
      </c>
      <c r="J26" s="280"/>
      <c r="K26" s="284"/>
      <c r="L26" s="302"/>
      <c r="M26" s="302">
        <f>AVERAGE([25]Brewhouse!$AU$4:$AU$7,[25]Brewhouse!$AU$9:$AU$22,[25]Brewhouse!$AU$24:$AU$35,[25]Brewhouse!$AU$37:$AU$45,[25]Brewhouse!$AU$47:$AU$62,[25]Brewhouse!$AU$64:$AU$79,[25]Brewhouse!$AU$81:$AU$92)</f>
        <v>96.938184743997624</v>
      </c>
      <c r="N26" s="30">
        <v>98</v>
      </c>
      <c r="O26" s="11"/>
      <c r="P26" s="31"/>
      <c r="R26" s="277">
        <f t="shared" si="9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6" ht="14.65" customHeight="1">
      <c r="A27" s="28"/>
      <c r="B27" s="516"/>
      <c r="C27" s="362"/>
      <c r="D27" s="519"/>
      <c r="E27" s="502"/>
      <c r="F27" s="294"/>
      <c r="G27" s="294"/>
      <c r="H27" s="348"/>
      <c r="I27" s="22" t="s">
        <v>33</v>
      </c>
      <c r="J27" s="280"/>
      <c r="K27" s="284">
        <f>COUNTA([26]Brewhouse!$A$79:$A$86)</f>
        <v>8</v>
      </c>
      <c r="L27" s="302">
        <f>AVERAGE([26]Brewhouse!$AV$79:$AV$86)</f>
        <v>96.412390542357869</v>
      </c>
      <c r="M27" s="302">
        <f>AVERAGE([26]Brewhouse!$AV$5:$AV$14,[26]Brewhouse!$AV$16:$AV$19,[26]Brewhouse!$AV$21:$AV$24,[26]Brewhouse!$AV$26:$AV$33,[26]Brewhouse!$AV$35:$AV$46,[26]Brewhouse!$AV$48:$AV$53,[26]Brewhouse!$AV$55:$AV$62,[26]Brewhouse!$AV$64:$AV$77,[26]Brewhouse!$AV$79:$AV$86)</f>
        <v>98.293408393493976</v>
      </c>
      <c r="N27" s="30">
        <v>98</v>
      </c>
      <c r="O27" s="11"/>
      <c r="P27" s="31"/>
      <c r="R27" s="277">
        <f t="shared" ref="R27:R43" si="10">B27</f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6" ht="14.65" customHeight="1">
      <c r="A28" s="28"/>
      <c r="B28" s="516"/>
      <c r="C28" s="362"/>
      <c r="D28" s="518"/>
      <c r="E28" s="507"/>
      <c r="F28" s="417"/>
      <c r="G28" s="294"/>
      <c r="H28" s="348"/>
      <c r="I28" s="35" t="s">
        <v>29</v>
      </c>
      <c r="J28" s="280"/>
      <c r="K28" s="284"/>
      <c r="L28" s="302"/>
      <c r="M28" s="302"/>
      <c r="N28" s="30">
        <v>98</v>
      </c>
      <c r="O28" s="11"/>
      <c r="P28" s="31"/>
      <c r="R28" s="277">
        <f t="shared" si="1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1:26" ht="14.65" customHeight="1">
      <c r="A29" s="28"/>
      <c r="B29" s="516"/>
      <c r="C29" s="362"/>
      <c r="D29" s="519"/>
      <c r="E29" s="502"/>
      <c r="F29" s="417"/>
      <c r="G29" s="294"/>
      <c r="H29" s="348"/>
      <c r="I29" s="36" t="s">
        <v>15</v>
      </c>
      <c r="J29" s="280">
        <f>AVERAGE(I10:I14)</f>
        <v>95.209476802144223</v>
      </c>
      <c r="K29" s="284">
        <f>COUNTA([27]Brewhouse!$A$28:$A$35)</f>
        <v>8</v>
      </c>
      <c r="L29" s="302">
        <f>AVERAGE([27]Brewhouse!$AT$28:$AT$35)</f>
        <v>95.233703112250225</v>
      </c>
      <c r="M29" s="302">
        <f>AVERAGE([27]Brewhouse!$AT$4:$AT$11,[27]Brewhouse!$AT$13:$AT$16,[27]Brewhouse!$AT$18:$AT$21,[27]Brewhouse!$AT$26,[27]Brewhouse!$AT$28:$AT$35)</f>
        <v>94.794664331624134</v>
      </c>
      <c r="N29" s="30">
        <v>98</v>
      </c>
      <c r="O29" s="11"/>
      <c r="P29" s="31"/>
      <c r="R29" s="277">
        <f t="shared" si="1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1:26" ht="14.65" customHeight="1">
      <c r="A30" s="28"/>
      <c r="B30" s="516"/>
      <c r="C30" s="362"/>
      <c r="D30" s="518"/>
      <c r="E30" s="507"/>
      <c r="F30" s="417"/>
      <c r="G30" s="294"/>
      <c r="H30" s="348"/>
      <c r="I30" s="37" t="s">
        <v>16</v>
      </c>
      <c r="J30" s="280"/>
      <c r="K30" s="284">
        <f>COUNTA([23]Brewhouse!$A$75:$A$82)</f>
        <v>8</v>
      </c>
      <c r="L30" s="302">
        <f>AVERAGE([23]Brewhouse!$AY$75:$AY$82)</f>
        <v>97.738838123294386</v>
      </c>
      <c r="M30" s="302">
        <f>AVERAGE([23]Brewhouse!$AY$6:$AY$13,[23]Brewhouse!$AY$15:$AY$20,[23]Brewhouse!$AY$22:$AY$29,[23]Brewhouse!$AY$31:$AY$34,[23]Brewhouse!$AY$36:$AY$43,[23]Brewhouse!$AY$45:$AY$50, [23]Brewhouse!$AY$56:$AY$73,[23]Brewhouse!$AY$75:$AY$82)</f>
        <v>97.409216272979165</v>
      </c>
      <c r="N30" s="30">
        <v>98</v>
      </c>
      <c r="O30" s="11"/>
      <c r="P30" s="31" t="s">
        <v>41</v>
      </c>
      <c r="R30" s="277">
        <f t="shared" si="1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1:26" ht="14.65" customHeight="1">
      <c r="A31" s="28"/>
      <c r="B31" s="516"/>
      <c r="C31" s="362"/>
      <c r="D31" s="519"/>
      <c r="E31" s="502"/>
      <c r="F31" s="294"/>
      <c r="G31" s="294"/>
      <c r="H31" s="348"/>
      <c r="I31" s="411" t="s">
        <v>158</v>
      </c>
      <c r="J31" s="326"/>
      <c r="K31" s="284"/>
      <c r="L31" s="305"/>
      <c r="M31" s="305">
        <f>AVERAGE([28]Brewhouse!$AU$5:$AU$8,[28]Brewhouse!$AU$10:$AU$13,[23]Brewhouse!$AY$75:$AY$77)</f>
        <v>94.749192473706671</v>
      </c>
      <c r="N31" s="30">
        <v>98</v>
      </c>
      <c r="O31" s="11"/>
      <c r="P31" s="31"/>
      <c r="R31" s="277">
        <f t="shared" si="1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1:26" ht="14.65" customHeight="1">
      <c r="A32" s="28"/>
      <c r="B32" s="516"/>
      <c r="C32" s="349"/>
      <c r="D32" s="518"/>
      <c r="E32" s="507"/>
      <c r="F32" s="294"/>
      <c r="G32" s="294"/>
      <c r="H32" s="348"/>
      <c r="I32" s="410" t="s">
        <v>157</v>
      </c>
      <c r="J32" s="326"/>
      <c r="K32" s="284"/>
      <c r="L32" s="305"/>
      <c r="M32" s="305">
        <f>AVERAGE([29]Brewhouse!$AW$26:$AW$27)</f>
        <v>95.310680905194914</v>
      </c>
      <c r="N32" s="30">
        <v>98</v>
      </c>
      <c r="O32" s="11"/>
      <c r="P32" s="31"/>
      <c r="R32" s="277">
        <f t="shared" si="1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56" ht="15" customHeight="1" thickBot="1">
      <c r="A33" s="28"/>
      <c r="B33" s="516"/>
      <c r="C33" s="349"/>
      <c r="D33" s="519"/>
      <c r="E33" s="502"/>
      <c r="F33" s="294"/>
      <c r="G33" s="294"/>
      <c r="H33" s="348"/>
      <c r="I33" s="406" t="s">
        <v>156</v>
      </c>
      <c r="J33" s="327"/>
      <c r="K33" s="407"/>
      <c r="L33" s="408"/>
      <c r="M33" s="408">
        <f>AVERAGE([30]Brewhouse!$AU$13:$AU$14)</f>
        <v>97.110575243268045</v>
      </c>
      <c r="N33" s="409">
        <v>98</v>
      </c>
      <c r="O33" s="11"/>
      <c r="P33" s="31"/>
      <c r="R33" s="277">
        <f t="shared" si="1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56" ht="15" customHeight="1" thickBot="1">
      <c r="A34" s="28"/>
      <c r="B34" s="516"/>
      <c r="C34" s="349"/>
      <c r="D34" s="518"/>
      <c r="E34" s="507"/>
      <c r="F34" s="294"/>
      <c r="G34" s="294"/>
      <c r="H34" s="348"/>
      <c r="I34" s="1"/>
      <c r="J34" s="39"/>
      <c r="K34" s="404">
        <f>SUM(K24:K33)</f>
        <v>88</v>
      </c>
      <c r="L34" s="405">
        <f>((L24*K24)+(L25*K25)+(L26*K26)+(L27*K27)+(L28*K28)+(K31*L31)+(L29*K29)+(L30*K30)+(L33*K33))/(K34)</f>
        <v>97.108301268115397</v>
      </c>
      <c r="M34" s="405">
        <f>AVERAGE('[31]Jan 31st'!$L$65,'[32]Feb 28th'!$L$35,'[33]Mar. 31st'!$L$35,'[34]Apr. 30th'!$L$45,'[35]May 30th'!$L$37,'[36]June 30th'!$L$57,L34)</f>
        <v>97.580030252168186</v>
      </c>
      <c r="N34" s="40">
        <v>98</v>
      </c>
      <c r="O34" s="11"/>
      <c r="P34" s="31"/>
      <c r="R34" s="277">
        <f t="shared" si="1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</row>
    <row r="35" spans="1:56" ht="15.75" thickBot="1">
      <c r="B35" s="517"/>
      <c r="C35" s="350"/>
      <c r="D35" s="519"/>
      <c r="E35" s="502"/>
      <c r="F35" s="294"/>
      <c r="G35" s="42"/>
      <c r="H35" s="41"/>
      <c r="I35" s="42"/>
      <c r="J35" s="42"/>
      <c r="K35" s="351"/>
      <c r="L35" s="348"/>
      <c r="M35" s="348"/>
      <c r="N35" s="11"/>
      <c r="O35" s="294"/>
      <c r="P35" s="12"/>
      <c r="R35" s="277">
        <f t="shared" si="1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</row>
    <row r="36" spans="1:56" ht="15.75" thickBot="1">
      <c r="B36" s="571"/>
      <c r="C36" s="362"/>
      <c r="D36" s="499"/>
      <c r="E36" s="500"/>
      <c r="F36" s="294"/>
      <c r="G36" s="42"/>
      <c r="H36" s="41"/>
      <c r="I36" s="42"/>
      <c r="J36" s="553" t="s">
        <v>129</v>
      </c>
      <c r="K36" s="553"/>
      <c r="L36" s="294"/>
      <c r="M36" s="294"/>
      <c r="N36" s="294"/>
      <c r="O36" s="294"/>
      <c r="P36" s="12"/>
      <c r="R36" s="277">
        <f t="shared" si="1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</row>
    <row r="37" spans="1:56" ht="15.75" thickBot="1">
      <c r="B37" s="559"/>
      <c r="C37" s="362"/>
      <c r="D37" s="501"/>
      <c r="E37" s="502"/>
      <c r="F37" s="294"/>
      <c r="G37" s="42"/>
      <c r="H37" s="41"/>
      <c r="I37" s="42"/>
      <c r="J37" s="292" t="s">
        <v>17</v>
      </c>
      <c r="K37" s="293" t="s">
        <v>147</v>
      </c>
      <c r="L37" s="504" t="s">
        <v>136</v>
      </c>
      <c r="M37" s="504"/>
      <c r="N37" s="505"/>
      <c r="O37" s="294"/>
      <c r="P37" s="12"/>
      <c r="R37" s="277">
        <f t="shared" si="1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</row>
    <row r="38" spans="1:56" ht="15" customHeight="1" thickBot="1">
      <c r="B38" s="559"/>
      <c r="C38" s="349"/>
      <c r="D38" s="554"/>
      <c r="E38" s="555"/>
      <c r="F38" s="294"/>
      <c r="G38" s="42"/>
      <c r="H38" s="41"/>
      <c r="I38" s="42"/>
      <c r="J38" s="287" t="s">
        <v>6</v>
      </c>
      <c r="K38" s="324">
        <v>1</v>
      </c>
      <c r="L38" s="343" t="s">
        <v>37</v>
      </c>
      <c r="M38" s="307" t="s">
        <v>38</v>
      </c>
      <c r="N38" s="307" t="s">
        <v>84</v>
      </c>
      <c r="O38" s="294"/>
      <c r="P38" s="12"/>
      <c r="R38" s="277">
        <f t="shared" si="10"/>
        <v>0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</row>
    <row r="39" spans="1:56" ht="15.75" customHeight="1" thickBot="1">
      <c r="B39" s="559"/>
      <c r="C39" s="349"/>
      <c r="D39" s="501"/>
      <c r="E39" s="502"/>
      <c r="F39" s="294"/>
      <c r="G39" s="42"/>
      <c r="H39" s="41"/>
      <c r="I39" s="42"/>
      <c r="J39" s="345" t="s">
        <v>9</v>
      </c>
      <c r="K39" s="324"/>
      <c r="L39" s="344">
        <f>AVERAGE('Sept 1st'!K53,'Sept 2nd'!K51,'Sept 3rd'!K52,'Sept 4th'!K61,'Sept 5th '!K49,'Sept 8th'!K51,'Sept 9th'!K51,'Sept 10th'!K59,'Sept 11th'!K53,'Sept 15th '!K43,'Sept 16th'!K44,K48)</f>
        <v>7.583333333333333</v>
      </c>
      <c r="M39" s="325">
        <f>AVERAGE('[31]Jan 29th '!$M$70,'[32]Feb 28th'!$L$40,'[33]Mar. 31st'!$L$40,'[34]Apr. 30th'!$L$50,'[35]May 30th'!$L$42,'[36]June 30th'!$L$62,'[37]July 29th '!$L$49,'[38]Aug 29th'!$L$34,L39)</f>
        <v>7.0240044090158502</v>
      </c>
      <c r="N39" s="416">
        <v>9.1999999999999993</v>
      </c>
      <c r="O39" s="294"/>
      <c r="P39" s="12"/>
      <c r="R39" s="277">
        <f t="shared" si="10"/>
        <v>0</v>
      </c>
      <c r="S39" s="296" t="e">
        <f t="shared" si="1"/>
        <v>#N/A</v>
      </c>
      <c r="T39" s="296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296" t="e">
        <f t="shared" si="8"/>
        <v>#N/A</v>
      </c>
    </row>
    <row r="40" spans="1:56" ht="15" customHeight="1">
      <c r="B40" s="559"/>
      <c r="C40" s="349"/>
      <c r="D40" s="554"/>
      <c r="E40" s="555"/>
      <c r="F40" s="294"/>
      <c r="G40" s="42"/>
      <c r="H40" s="41"/>
      <c r="I40" s="42"/>
      <c r="J40" s="288" t="s">
        <v>40</v>
      </c>
      <c r="K40" s="324"/>
      <c r="L40" s="294"/>
      <c r="M40" s="294"/>
      <c r="N40" s="294"/>
      <c r="O40" s="294"/>
      <c r="P40" s="12"/>
      <c r="R40" s="277">
        <f t="shared" si="10"/>
        <v>0</v>
      </c>
      <c r="S40" s="296" t="e">
        <f t="shared" si="1"/>
        <v>#N/A</v>
      </c>
      <c r="T40" s="296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296" t="e">
        <f t="shared" si="8"/>
        <v>#N/A</v>
      </c>
    </row>
    <row r="41" spans="1:56" ht="15" customHeight="1">
      <c r="B41" s="559"/>
      <c r="C41" s="349"/>
      <c r="D41" s="501"/>
      <c r="E41" s="502"/>
      <c r="F41" s="294"/>
      <c r="G41" s="42"/>
      <c r="H41" s="41"/>
      <c r="I41" s="42"/>
      <c r="J41" s="289" t="s">
        <v>33</v>
      </c>
      <c r="K41" s="324"/>
      <c r="L41" s="294"/>
      <c r="M41" s="294"/>
      <c r="N41" s="294"/>
      <c r="O41" s="294"/>
      <c r="P41" s="12"/>
      <c r="R41" s="277">
        <f t="shared" si="10"/>
        <v>0</v>
      </c>
      <c r="S41" s="296" t="e">
        <f t="shared" si="1"/>
        <v>#N/A</v>
      </c>
      <c r="T41" s="296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296" t="e">
        <f t="shared" si="8"/>
        <v>#N/A</v>
      </c>
    </row>
    <row r="42" spans="1:56" ht="15">
      <c r="B42" s="559"/>
      <c r="C42" s="349"/>
      <c r="D42" s="554"/>
      <c r="E42" s="555"/>
      <c r="F42" s="294"/>
      <c r="G42" s="42"/>
      <c r="H42" s="41"/>
      <c r="I42" s="42"/>
      <c r="J42" s="290" t="s">
        <v>16</v>
      </c>
      <c r="K42" s="324"/>
      <c r="L42" s="294"/>
      <c r="M42" s="294"/>
      <c r="N42" s="294"/>
      <c r="O42" s="294"/>
      <c r="P42" s="12"/>
      <c r="R42" s="277">
        <f t="shared" si="10"/>
        <v>0</v>
      </c>
      <c r="S42" s="296" t="e">
        <f t="shared" si="1"/>
        <v>#N/A</v>
      </c>
      <c r="T42" s="296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296" t="e">
        <f t="shared" si="8"/>
        <v>#N/A</v>
      </c>
      <c r="BC42" s="44"/>
      <c r="BD42" s="44"/>
    </row>
    <row r="43" spans="1:56" ht="15">
      <c r="B43" s="559"/>
      <c r="C43" s="349"/>
      <c r="D43" s="501"/>
      <c r="E43" s="502"/>
      <c r="F43" s="294"/>
      <c r="G43" s="42"/>
      <c r="H43" s="41"/>
      <c r="I43" s="42"/>
      <c r="J43" s="291" t="s">
        <v>15</v>
      </c>
      <c r="K43" s="324">
        <v>5</v>
      </c>
      <c r="L43" s="294"/>
      <c r="M43" s="294"/>
      <c r="N43" s="294"/>
      <c r="O43" s="294"/>
      <c r="P43" s="12"/>
      <c r="R43" s="277">
        <f t="shared" si="10"/>
        <v>0</v>
      </c>
      <c r="S43" s="296" t="e">
        <f t="shared" si="1"/>
        <v>#N/A</v>
      </c>
      <c r="T43" s="296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296" t="e">
        <f t="shared" si="8"/>
        <v>#N/A</v>
      </c>
      <c r="BC43" s="44"/>
      <c r="BD43" s="44"/>
    </row>
    <row r="44" spans="1:56" ht="15">
      <c r="B44" s="559"/>
      <c r="C44" s="349"/>
      <c r="D44" s="554"/>
      <c r="E44" s="555"/>
      <c r="F44" s="294"/>
      <c r="G44" s="42"/>
      <c r="H44" s="41"/>
      <c r="I44" s="42"/>
      <c r="J44" s="291" t="s">
        <v>149</v>
      </c>
      <c r="K44" s="324"/>
      <c r="L44" s="294"/>
      <c r="M44" s="294"/>
      <c r="N44" s="294"/>
      <c r="O44" s="294"/>
      <c r="P44" s="12"/>
      <c r="BC44" s="44"/>
      <c r="BD44" s="44"/>
    </row>
    <row r="45" spans="1:56" ht="15.75" thickBot="1">
      <c r="B45" s="560"/>
      <c r="C45" s="350"/>
      <c r="D45" s="556"/>
      <c r="E45" s="557"/>
      <c r="F45" s="294"/>
      <c r="G45" s="42"/>
      <c r="H45" s="41"/>
      <c r="I45" s="42"/>
      <c r="J45" s="291" t="s">
        <v>148</v>
      </c>
      <c r="K45" s="324"/>
      <c r="L45" s="294"/>
      <c r="M45" s="294"/>
      <c r="N45" s="294"/>
      <c r="O45" s="294"/>
      <c r="P45" s="12"/>
      <c r="BC45" s="44"/>
      <c r="BD45" s="44"/>
    </row>
    <row r="46" spans="1:56" ht="17.649999999999999" customHeight="1" thickBot="1">
      <c r="B46" s="312" t="s">
        <v>139</v>
      </c>
      <c r="C46" s="313"/>
      <c r="D46" s="550" t="e">
        <f>AVERAGE(D24:E45)</f>
        <v>#DIV/0!</v>
      </c>
      <c r="E46" s="551"/>
      <c r="F46" s="294"/>
      <c r="H46" s="41"/>
      <c r="I46" s="42"/>
      <c r="J46" s="295" t="s">
        <v>134</v>
      </c>
      <c r="K46" s="324"/>
      <c r="L46" s="294"/>
      <c r="M46" s="294"/>
      <c r="N46" s="294"/>
      <c r="O46" s="294"/>
      <c r="P46" s="12"/>
      <c r="BC46" s="44"/>
      <c r="BD46" s="44"/>
    </row>
    <row r="47" spans="1:56" ht="17.649999999999999" customHeight="1">
      <c r="B47" s="363"/>
      <c r="C47" s="364"/>
      <c r="D47" s="365"/>
      <c r="E47" s="365"/>
      <c r="F47" s="294"/>
      <c r="G47" s="42"/>
      <c r="H47" s="41"/>
      <c r="I47" s="42"/>
      <c r="J47" s="295" t="s">
        <v>131</v>
      </c>
      <c r="K47" s="324"/>
      <c r="L47" s="294"/>
      <c r="M47" s="294"/>
      <c r="N47" s="294"/>
      <c r="O47" s="294"/>
      <c r="P47" s="12"/>
      <c r="BC47" s="44"/>
      <c r="BD47" s="44"/>
    </row>
    <row r="48" spans="1:56" ht="15.6" customHeight="1">
      <c r="B48" s="45"/>
      <c r="C48" s="11"/>
      <c r="D48" s="11"/>
      <c r="E48" s="46"/>
      <c r="F48" s="294"/>
      <c r="G48" s="42"/>
      <c r="H48" s="41"/>
      <c r="I48" s="42"/>
      <c r="J48" s="346" t="s">
        <v>130</v>
      </c>
      <c r="K48" s="324">
        <f>SUM(K38:K47)</f>
        <v>6</v>
      </c>
      <c r="L48" s="294"/>
      <c r="M48" s="294"/>
      <c r="N48" s="294"/>
      <c r="O48" s="294"/>
      <c r="P48" s="12"/>
    </row>
    <row r="49" spans="2:57" ht="20.25" customHeight="1">
      <c r="B49" s="15" t="s">
        <v>42</v>
      </c>
      <c r="C49" s="1" t="s">
        <v>43</v>
      </c>
      <c r="D49" s="1"/>
      <c r="E49" s="1"/>
      <c r="F49" s="294"/>
      <c r="G49" s="42"/>
      <c r="H49" s="41"/>
      <c r="I49" s="42"/>
      <c r="L49" s="294"/>
      <c r="N49" s="315"/>
      <c r="P49" s="334"/>
    </row>
    <row r="50" spans="2:57" ht="15" customHeight="1" thickBot="1"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1"/>
      <c r="O50" s="48"/>
      <c r="P50" s="49"/>
    </row>
    <row r="51" spans="2:57" ht="15" customHeight="1" thickBot="1">
      <c r="B51" s="480" t="s">
        <v>17</v>
      </c>
      <c r="C51" s="480" t="s">
        <v>44</v>
      </c>
      <c r="D51" s="492" t="s">
        <v>45</v>
      </c>
      <c r="E51" s="494" t="s">
        <v>46</v>
      </c>
      <c r="F51" s="488" t="s">
        <v>47</v>
      </c>
      <c r="G51" s="478" t="s">
        <v>48</v>
      </c>
      <c r="H51" s="480" t="s">
        <v>49</v>
      </c>
      <c r="I51" s="480" t="s">
        <v>50</v>
      </c>
      <c r="J51" s="472" t="s">
        <v>28</v>
      </c>
      <c r="K51" s="484" t="s">
        <v>51</v>
      </c>
      <c r="L51" s="486" t="s">
        <v>52</v>
      </c>
      <c r="M51" s="472" t="s">
        <v>53</v>
      </c>
      <c r="N51" s="13"/>
      <c r="O51" s="13"/>
      <c r="P51" s="50"/>
    </row>
    <row r="52" spans="2:57" ht="28.5" customHeight="1" thickTop="1" thickBot="1">
      <c r="B52" s="481"/>
      <c r="C52" s="481"/>
      <c r="D52" s="493"/>
      <c r="E52" s="495"/>
      <c r="F52" s="489"/>
      <c r="G52" s="479"/>
      <c r="H52" s="481"/>
      <c r="I52" s="481"/>
      <c r="J52" s="473"/>
      <c r="K52" s="485"/>
      <c r="L52" s="487"/>
      <c r="M52" s="473"/>
      <c r="N52" s="13"/>
      <c r="O52" s="13"/>
      <c r="P52" s="50"/>
      <c r="Q52" s="355"/>
      <c r="AB52" s="51">
        <v>43474</v>
      </c>
      <c r="AC52" s="51">
        <v>43475</v>
      </c>
      <c r="AD52" s="51">
        <v>43476</v>
      </c>
      <c r="AE52" s="51">
        <v>43477</v>
      </c>
      <c r="AF52" s="51">
        <v>43478</v>
      </c>
      <c r="AG52" s="51">
        <v>43479</v>
      </c>
      <c r="AH52" s="51">
        <v>43480</v>
      </c>
      <c r="AI52" s="51">
        <v>43481</v>
      </c>
      <c r="AJ52" s="51">
        <v>43482</v>
      </c>
      <c r="AK52" s="51">
        <v>43483</v>
      </c>
      <c r="AL52" s="51">
        <v>43484</v>
      </c>
      <c r="AM52" s="51">
        <v>43485</v>
      </c>
      <c r="AN52" s="51">
        <v>43486</v>
      </c>
      <c r="AO52" s="51">
        <v>43487</v>
      </c>
      <c r="AP52" s="51">
        <v>43488</v>
      </c>
      <c r="AQ52" s="51">
        <v>43489</v>
      </c>
      <c r="AR52" s="51">
        <v>43490</v>
      </c>
      <c r="AS52" s="51">
        <v>43491</v>
      </c>
      <c r="AT52" s="51">
        <v>43492</v>
      </c>
      <c r="AU52" s="51">
        <v>43493</v>
      </c>
      <c r="AV52" s="51">
        <v>43494</v>
      </c>
      <c r="AW52" s="51">
        <v>43495</v>
      </c>
      <c r="AX52" s="51">
        <v>43496</v>
      </c>
    </row>
    <row r="53" spans="2:57" s="54" customFormat="1" ht="59.45" hidden="1" customHeight="1" thickBot="1">
      <c r="B53" s="460"/>
      <c r="C53" s="442"/>
      <c r="D53" s="443"/>
      <c r="E53" s="444"/>
      <c r="F53" s="445"/>
      <c r="G53" s="428"/>
      <c r="H53" s="429"/>
      <c r="I53" s="429"/>
      <c r="J53" s="449"/>
      <c r="K53" s="450"/>
      <c r="L53" s="464"/>
      <c r="M53" s="457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[20]January_2019!L7</f>
        <v>285.8</v>
      </c>
      <c r="AC53" s="57">
        <f>[20]January_2019!M7</f>
        <v>508.1</v>
      </c>
      <c r="AD53" s="57">
        <f>[20]January_2019!N7</f>
        <v>0</v>
      </c>
      <c r="AE53" s="57">
        <f>[20]January_2019!O7</f>
        <v>0</v>
      </c>
      <c r="AF53" s="57">
        <f>[20]January_2019!P7</f>
        <v>109.56666666666666</v>
      </c>
      <c r="AG53" s="57">
        <f>[20]January_2019!Q7</f>
        <v>297.64999999999998</v>
      </c>
      <c r="AH53" s="57">
        <f>[20]January_2019!R7</f>
        <v>122.3</v>
      </c>
      <c r="AI53" s="57">
        <f>[20]January_2019!S7</f>
        <v>0</v>
      </c>
      <c r="AJ53" s="57">
        <f>[20]January_2019!T7</f>
        <v>294.7</v>
      </c>
      <c r="AK53" s="57">
        <f>[20]January_2019!U7</f>
        <v>280.5</v>
      </c>
      <c r="AL53" s="57">
        <f>[20]January_2019!V7</f>
        <v>0</v>
      </c>
      <c r="AM53" s="57">
        <f>[20]January_2019!W7</f>
        <v>0</v>
      </c>
      <c r="AN53" s="57">
        <f>[20]January_2019!X7</f>
        <v>188.25</v>
      </c>
      <c r="AO53" s="57">
        <f>[20]January_2019!Y7</f>
        <v>295.7</v>
      </c>
      <c r="AP53" s="57">
        <f>[20]January_2019!Z7</f>
        <v>257.8</v>
      </c>
      <c r="AQ53" s="57">
        <f>[20]January_2019!AA7</f>
        <v>291.2</v>
      </c>
      <c r="AR53" s="57">
        <f>[20]January_2019!AB7</f>
        <v>187</v>
      </c>
      <c r="AS53" s="57">
        <f>[20]January_2019!AC7</f>
        <v>0</v>
      </c>
      <c r="AT53" s="57">
        <f>[20]January_2019!AD7</f>
        <v>0</v>
      </c>
      <c r="AU53" s="57">
        <f>[20]January_2019!AE7</f>
        <v>485.1</v>
      </c>
      <c r="AV53" s="57">
        <f>[20]January_2019!AF7</f>
        <v>171.55</v>
      </c>
      <c r="AW53" s="57">
        <f>[20]January_2019!AG7</f>
        <v>423.8</v>
      </c>
      <c r="AX53" s="277">
        <f>[20]January_2019!AH7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14.25" hidden="1" customHeight="1" thickBot="1">
      <c r="B54" s="459"/>
      <c r="C54" s="431"/>
      <c r="D54" s="432"/>
      <c r="E54" s="433"/>
      <c r="F54" s="434"/>
      <c r="G54" s="435"/>
      <c r="H54" s="429"/>
      <c r="I54" s="429"/>
      <c r="J54" s="452"/>
      <c r="K54" s="437"/>
      <c r="L54" s="453"/>
      <c r="M54" s="422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59.45" customHeight="1" thickBot="1">
      <c r="B55" s="461" t="str">
        <f>J38</f>
        <v>CARIB</v>
      </c>
      <c r="C55" s="442">
        <v>45917</v>
      </c>
      <c r="D55" s="443">
        <f>[39]September_2025!$T$3</f>
        <v>409.19999999999993</v>
      </c>
      <c r="E55" s="444"/>
      <c r="F55" s="444"/>
      <c r="G55" s="445">
        <f>[39]September_2025!$T$7</f>
        <v>368</v>
      </c>
      <c r="H55" s="463"/>
      <c r="I55" s="463"/>
      <c r="J55" s="449" t="s">
        <v>186</v>
      </c>
      <c r="K55" s="450">
        <f>[40]September_2025!$T$18</f>
        <v>0.32280701754385965</v>
      </c>
      <c r="L55" s="464">
        <f>(((D55+E55)-G55)/(D55+E55))*100</f>
        <v>10.068426197458441</v>
      </c>
      <c r="M55" s="457" t="s">
        <v>184</v>
      </c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15">
      <c r="B56" s="454"/>
      <c r="C56" s="431"/>
      <c r="D56" s="432"/>
      <c r="E56" s="433"/>
      <c r="F56" s="434"/>
      <c r="G56" s="435"/>
      <c r="H56" s="436"/>
      <c r="I56" s="451"/>
      <c r="J56" s="452"/>
      <c r="K56" s="437"/>
      <c r="L56" s="453"/>
      <c r="M56" s="422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6.6" hidden="1" customHeight="1" thickBot="1">
      <c r="B57" s="460"/>
      <c r="C57" s="442"/>
      <c r="D57" s="443"/>
      <c r="E57" s="444"/>
      <c r="F57" s="445"/>
      <c r="G57" s="446"/>
      <c r="H57" s="447"/>
      <c r="I57" s="448"/>
      <c r="J57" s="449"/>
      <c r="K57" s="450"/>
      <c r="L57" s="455"/>
      <c r="M57" s="456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6.5" hidden="1" customHeight="1" thickBot="1">
      <c r="B58" s="438"/>
      <c r="C58" s="424"/>
      <c r="D58" s="425"/>
      <c r="E58" s="426"/>
      <c r="F58" s="427"/>
      <c r="G58" s="428"/>
      <c r="H58" s="429"/>
      <c r="I58" s="439"/>
      <c r="J58" s="440"/>
      <c r="K58" s="430"/>
      <c r="L58" s="441"/>
      <c r="M58" s="423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415"/>
      <c r="AC58" s="415"/>
      <c r="AD58" s="415"/>
      <c r="AE58" s="415"/>
      <c r="AF58" s="415"/>
      <c r="AG58" s="415"/>
      <c r="AH58" s="415"/>
      <c r="AI58" s="415"/>
      <c r="AJ58" s="415"/>
      <c r="AK58" s="415"/>
      <c r="AL58" s="415"/>
      <c r="AM58" s="415"/>
      <c r="AN58" s="415"/>
      <c r="AO58" s="415"/>
      <c r="AP58" s="415"/>
      <c r="AQ58" s="415"/>
      <c r="AR58" s="415"/>
      <c r="AS58" s="415"/>
      <c r="AT58" s="415"/>
      <c r="AU58" s="415"/>
      <c r="AV58" s="415"/>
      <c r="AW58" s="415"/>
    </row>
    <row r="59" spans="2:57" ht="18" customHeight="1" thickBot="1">
      <c r="B59" s="59"/>
      <c r="C59" s="30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 t="s">
        <v>41</v>
      </c>
      <c r="O59" s="56"/>
      <c r="P59" s="60"/>
    </row>
    <row r="60" spans="2:57" ht="15.75" thickBot="1">
      <c r="B60" s="474" t="s">
        <v>55</v>
      </c>
      <c r="C60" s="475"/>
      <c r="D60" s="475"/>
      <c r="E60" s="475"/>
      <c r="F60" s="476"/>
      <c r="G60" s="474" t="s">
        <v>56</v>
      </c>
      <c r="H60" s="475"/>
      <c r="I60" s="475"/>
      <c r="J60" s="476"/>
      <c r="K60" s="474" t="s">
        <v>51</v>
      </c>
      <c r="L60" s="475"/>
      <c r="M60" s="475"/>
      <c r="N60" s="477"/>
      <c r="O60" s="56"/>
      <c r="P60" s="50"/>
    </row>
    <row r="61" spans="2:57" ht="15">
      <c r="B61" s="61" t="s">
        <v>17</v>
      </c>
      <c r="C61" s="62" t="s">
        <v>36</v>
      </c>
      <c r="D61" s="62" t="s">
        <v>37</v>
      </c>
      <c r="E61" s="62" t="s">
        <v>38</v>
      </c>
      <c r="F61" s="63" t="s">
        <v>39</v>
      </c>
      <c r="G61" s="62" t="s">
        <v>36</v>
      </c>
      <c r="H61" s="62" t="s">
        <v>37</v>
      </c>
      <c r="I61" s="62" t="s">
        <v>38</v>
      </c>
      <c r="J61" s="63" t="s">
        <v>39</v>
      </c>
      <c r="K61" s="62" t="s">
        <v>36</v>
      </c>
      <c r="L61" s="62" t="s">
        <v>37</v>
      </c>
      <c r="M61" s="62" t="s">
        <v>38</v>
      </c>
      <c r="N61" s="63" t="s">
        <v>39</v>
      </c>
      <c r="O61" s="56"/>
      <c r="P61" s="64"/>
    </row>
    <row r="62" spans="2:57" ht="15">
      <c r="B62" s="29" t="s">
        <v>6</v>
      </c>
      <c r="C62" s="65">
        <f>L55</f>
        <v>10.068426197458441</v>
      </c>
      <c r="D62" s="76"/>
      <c r="E62" s="76"/>
      <c r="F62" s="66">
        <v>4.8</v>
      </c>
      <c r="G62" s="65">
        <f>[39]September_2025!$T$11</f>
        <v>10.87400218428901</v>
      </c>
      <c r="H62" s="76"/>
      <c r="I62" s="76"/>
      <c r="J62" s="66">
        <v>4.8</v>
      </c>
      <c r="K62" s="67">
        <f>K55</f>
        <v>0.32280701754385965</v>
      </c>
      <c r="L62" s="194"/>
      <c r="M62" s="194"/>
      <c r="N62" s="68">
        <v>1</v>
      </c>
      <c r="O62" s="56"/>
      <c r="P62" s="69"/>
    </row>
    <row r="63" spans="2:57" ht="15">
      <c r="B63" s="33" t="s">
        <v>9</v>
      </c>
      <c r="C63" s="65"/>
      <c r="D63" s="76"/>
      <c r="E63" s="76"/>
      <c r="F63" s="66">
        <v>4.8</v>
      </c>
      <c r="G63" s="65"/>
      <c r="H63" s="76"/>
      <c r="I63" s="76"/>
      <c r="J63" s="66">
        <v>4.8</v>
      </c>
      <c r="K63" s="67"/>
      <c r="L63" s="194"/>
      <c r="M63" s="194"/>
      <c r="N63" s="68">
        <v>1</v>
      </c>
      <c r="P63" s="69"/>
    </row>
    <row r="64" spans="2:57" ht="15">
      <c r="B64" s="34" t="s">
        <v>40</v>
      </c>
      <c r="C64" s="65"/>
      <c r="D64" s="76"/>
      <c r="E64" s="76"/>
      <c r="F64" s="66">
        <v>5.5</v>
      </c>
      <c r="G64" s="65"/>
      <c r="H64" s="76"/>
      <c r="I64" s="76"/>
      <c r="J64" s="66">
        <v>5.5</v>
      </c>
      <c r="K64" s="67"/>
      <c r="L64" s="194"/>
      <c r="M64" s="194"/>
      <c r="N64" s="68">
        <v>1</v>
      </c>
      <c r="P64" s="69"/>
    </row>
    <row r="65" spans="2:16" ht="15">
      <c r="B65" s="22" t="s">
        <v>33</v>
      </c>
      <c r="C65" s="65"/>
      <c r="D65" s="76"/>
      <c r="E65" s="76"/>
      <c r="F65" s="66">
        <v>3.3</v>
      </c>
      <c r="G65" s="65"/>
      <c r="H65" s="76"/>
      <c r="I65" s="76"/>
      <c r="J65" s="66">
        <v>3.3</v>
      </c>
      <c r="K65" s="67"/>
      <c r="L65" s="194"/>
      <c r="M65" s="194"/>
      <c r="N65" s="68">
        <v>1</v>
      </c>
      <c r="P65" s="69"/>
    </row>
    <row r="66" spans="2:16" ht="15">
      <c r="B66" s="35" t="s">
        <v>165</v>
      </c>
      <c r="C66" s="65"/>
      <c r="D66" s="76"/>
      <c r="E66" s="76"/>
      <c r="F66" s="66">
        <v>3.3</v>
      </c>
      <c r="G66" s="282"/>
      <c r="H66" s="76"/>
      <c r="I66" s="76"/>
      <c r="J66" s="66">
        <v>3</v>
      </c>
      <c r="K66" s="67"/>
      <c r="L66" s="194"/>
      <c r="M66" s="194"/>
      <c r="N66" s="68">
        <v>1</v>
      </c>
      <c r="P66" s="69"/>
    </row>
    <row r="67" spans="2:16" ht="15">
      <c r="B67" s="36" t="s">
        <v>15</v>
      </c>
      <c r="C67" s="65"/>
      <c r="D67" s="76"/>
      <c r="E67" s="76"/>
      <c r="F67" s="70">
        <f>[21]May_2022!$M$43</f>
        <v>3.4878406700073312</v>
      </c>
      <c r="G67" s="282"/>
      <c r="H67" s="76"/>
      <c r="I67" s="76"/>
      <c r="J67" s="66">
        <v>5.5</v>
      </c>
      <c r="K67" s="67"/>
      <c r="L67" s="194"/>
      <c r="M67" s="194"/>
      <c r="N67" s="68">
        <v>1</v>
      </c>
      <c r="P67" s="69"/>
    </row>
    <row r="68" spans="2:16" ht="15">
      <c r="B68" s="37" t="s">
        <v>16</v>
      </c>
      <c r="C68" s="65"/>
      <c r="D68" s="76"/>
      <c r="E68" s="76"/>
      <c r="F68" s="66">
        <v>3.3</v>
      </c>
      <c r="G68" s="282"/>
      <c r="H68" s="76"/>
      <c r="I68" s="76"/>
      <c r="J68" s="66">
        <v>3.3</v>
      </c>
      <c r="K68" s="67"/>
      <c r="L68" s="194"/>
      <c r="M68" s="194"/>
      <c r="N68" s="71">
        <v>1</v>
      </c>
      <c r="P68" s="69"/>
    </row>
    <row r="69" spans="2:16" ht="15.75" thickBot="1">
      <c r="B69" s="38" t="s">
        <v>164</v>
      </c>
      <c r="C69" s="65"/>
      <c r="D69" s="76"/>
      <c r="E69" s="76"/>
      <c r="F69" s="66">
        <v>7.5</v>
      </c>
      <c r="G69" s="282"/>
      <c r="H69" s="76"/>
      <c r="I69" s="76"/>
      <c r="J69" s="66">
        <v>7.5</v>
      </c>
      <c r="K69" s="67"/>
      <c r="M69" s="194"/>
      <c r="N69" s="71">
        <v>1</v>
      </c>
      <c r="P69" s="69"/>
    </row>
    <row r="70" spans="2:16" ht="15.75" thickBot="1">
      <c r="B70" s="414" t="s">
        <v>161</v>
      </c>
      <c r="C70" s="65"/>
      <c r="D70" s="76"/>
      <c r="E70" s="76"/>
      <c r="F70" s="66">
        <v>4.8</v>
      </c>
      <c r="G70" s="282"/>
      <c r="H70" s="76"/>
      <c r="I70" s="76"/>
      <c r="J70" s="66">
        <v>4.8</v>
      </c>
      <c r="K70" s="67"/>
      <c r="L70" s="194"/>
      <c r="M70" s="194"/>
      <c r="N70" s="71">
        <v>1</v>
      </c>
      <c r="O70" s="74"/>
      <c r="P70" s="75"/>
    </row>
    <row r="71" spans="2:16" ht="15">
      <c r="D71" s="76"/>
      <c r="E71" s="76"/>
      <c r="F71" s="341">
        <v>5.5</v>
      </c>
      <c r="H71" s="76"/>
      <c r="I71" s="76"/>
      <c r="J71" s="341">
        <v>5.5</v>
      </c>
      <c r="L71" s="194"/>
      <c r="M71" s="194"/>
      <c r="N71" s="386">
        <v>1</v>
      </c>
    </row>
    <row r="75" spans="2:16">
      <c r="F75" s="315"/>
    </row>
    <row r="76" spans="2:16" ht="15">
      <c r="F76" s="341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2:N22"/>
    <mergeCell ref="D23:E23"/>
    <mergeCell ref="B24:B35"/>
    <mergeCell ref="D24:E25"/>
    <mergeCell ref="D26:E27"/>
    <mergeCell ref="D28:E29"/>
    <mergeCell ref="D30:E31"/>
    <mergeCell ref="D32:E33"/>
    <mergeCell ref="D34:E35"/>
    <mergeCell ref="B36:B45"/>
    <mergeCell ref="D36:E37"/>
    <mergeCell ref="J36:K36"/>
    <mergeCell ref="L37:N37"/>
    <mergeCell ref="D38:E39"/>
    <mergeCell ref="D40:E41"/>
    <mergeCell ref="D42:E43"/>
    <mergeCell ref="D44:E45"/>
    <mergeCell ref="D46:E46"/>
    <mergeCell ref="B51:B52"/>
    <mergeCell ref="C51:C52"/>
    <mergeCell ref="D51:D52"/>
    <mergeCell ref="E51:E52"/>
    <mergeCell ref="M51:M52"/>
    <mergeCell ref="B60:F60"/>
    <mergeCell ref="G60:J60"/>
    <mergeCell ref="K60:N60"/>
    <mergeCell ref="G51:G52"/>
    <mergeCell ref="H51:H52"/>
    <mergeCell ref="I51:I52"/>
    <mergeCell ref="J51:J52"/>
    <mergeCell ref="K51:K52"/>
    <mergeCell ref="L51:L52"/>
    <mergeCell ref="F51:F52"/>
  </mergeCells>
  <conditionalFormatting sqref="B46:B47">
    <cfRule type="cellIs" dxfId="1601" priority="155" operator="notBetween">
      <formula>#REF!</formula>
      <formula>#REF!</formula>
    </cfRule>
  </conditionalFormatting>
  <conditionalFormatting sqref="C50">
    <cfRule type="cellIs" dxfId="1600" priority="186" stopIfTrue="1" operator="lessThan">
      <formula>96</formula>
    </cfRule>
    <cfRule type="cellIs" dxfId="1599" priority="187" stopIfTrue="1" operator="greaterThan">
      <formula>100</formula>
    </cfRule>
  </conditionalFormatting>
  <conditionalFormatting sqref="C62:C63">
    <cfRule type="cellIs" dxfId="1598" priority="188" stopIfTrue="1" operator="greaterThan">
      <formula>$F62</formula>
    </cfRule>
    <cfRule type="cellIs" dxfId="1597" priority="190" stopIfTrue="1" operator="greaterThan">
      <formula>$F63</formula>
    </cfRule>
  </conditionalFormatting>
  <conditionalFormatting sqref="C62:C66">
    <cfRule type="cellIs" dxfId="1596" priority="136" stopIfTrue="1" operator="lessThanOrEqual">
      <formula>0</formula>
    </cfRule>
  </conditionalFormatting>
  <conditionalFormatting sqref="C63:C70">
    <cfRule type="cellIs" dxfId="1595" priority="135" stopIfTrue="1" operator="greaterThan">
      <formula>$F63</formula>
    </cfRule>
  </conditionalFormatting>
  <conditionalFormatting sqref="C67">
    <cfRule type="cellIs" dxfId="1594" priority="74" stopIfTrue="1" operator="lessThanOrEqual">
      <formula>0</formula>
    </cfRule>
    <cfRule type="cellIs" dxfId="1593" priority="75" stopIfTrue="1" operator="greaterThan">
      <formula>$F66</formula>
    </cfRule>
  </conditionalFormatting>
  <conditionalFormatting sqref="C68:C70">
    <cfRule type="cellIs" dxfId="1592" priority="152" stopIfTrue="1" operator="lessThanOrEqual">
      <formula>0</formula>
    </cfRule>
  </conditionalFormatting>
  <conditionalFormatting sqref="C73:C77">
    <cfRule type="cellIs" dxfId="1591" priority="178" stopIfTrue="1" operator="lessThanOrEqual">
      <formula>0</formula>
    </cfRule>
  </conditionalFormatting>
  <conditionalFormatting sqref="C74:C77">
    <cfRule type="cellIs" dxfId="1590" priority="177" stopIfTrue="1" operator="greaterThan">
      <formula>$F$73</formula>
    </cfRule>
  </conditionalFormatting>
  <conditionalFormatting sqref="C79">
    <cfRule type="cellIs" dxfId="1589" priority="179" stopIfTrue="1" operator="greaterThan">
      <formula>$F$73</formula>
    </cfRule>
    <cfRule type="cellIs" dxfId="1588" priority="180" stopIfTrue="1" operator="lessThanOrEqual">
      <formula>0</formula>
    </cfRule>
  </conditionalFormatting>
  <conditionalFormatting sqref="C73:D73 D75:D81">
    <cfRule type="cellIs" dxfId="1587" priority="172" stopIfTrue="1" operator="greaterThan">
      <formula>4.5</formula>
    </cfRule>
  </conditionalFormatting>
  <conditionalFormatting sqref="D46:D47">
    <cfRule type="cellIs" dxfId="1586" priority="156" operator="notBetween">
      <formula>#REF!</formula>
      <formula>#REF!</formula>
    </cfRule>
  </conditionalFormatting>
  <conditionalFormatting sqref="D62:D69">
    <cfRule type="cellIs" dxfId="1585" priority="150" stopIfTrue="1" operator="lessThanOrEqual">
      <formula>0</formula>
    </cfRule>
  </conditionalFormatting>
  <conditionalFormatting sqref="D70">
    <cfRule type="cellIs" dxfId="1584" priority="149" stopIfTrue="1" operator="lessThanOrEqual">
      <formula>0</formula>
    </cfRule>
  </conditionalFormatting>
  <conditionalFormatting sqref="D73 D75:D81">
    <cfRule type="cellIs" dxfId="1583" priority="173" stopIfTrue="1" operator="lessThanOrEqual">
      <formula>0</formula>
    </cfRule>
  </conditionalFormatting>
  <conditionalFormatting sqref="D74">
    <cfRule type="cellIs" dxfId="1582" priority="165" stopIfTrue="1" operator="lessThanOrEqual">
      <formula>0</formula>
    </cfRule>
    <cfRule type="cellIs" dxfId="1581" priority="164" stopIfTrue="1" operator="greaterThan">
      <formula>$F$73</formula>
    </cfRule>
  </conditionalFormatting>
  <conditionalFormatting sqref="D62:E71">
    <cfRule type="cellIs" dxfId="1580" priority="133" stopIfTrue="1" operator="greaterThan">
      <formula>$F62</formula>
    </cfRule>
  </conditionalFormatting>
  <conditionalFormatting sqref="D71:E71">
    <cfRule type="cellIs" dxfId="1579" priority="134" stopIfTrue="1" operator="lessThanOrEqual">
      <formula>0</formula>
    </cfRule>
  </conditionalFormatting>
  <conditionalFormatting sqref="E10:E21">
    <cfRule type="cellIs" dxfId="1578" priority="15" operator="lessThan">
      <formula>48</formula>
    </cfRule>
  </conditionalFormatting>
  <conditionalFormatting sqref="E49 E50:F50">
    <cfRule type="cellIs" dxfId="1577" priority="169" stopIfTrue="1" operator="greaterThan">
      <formula>100</formula>
    </cfRule>
  </conditionalFormatting>
  <conditionalFormatting sqref="E50">
    <cfRule type="cellIs" dxfId="1576" priority="166" stopIfTrue="1" operator="lessThan">
      <formula>96.8</formula>
    </cfRule>
    <cfRule type="cellIs" dxfId="1575" priority="167" stopIfTrue="1" operator="greaterThan">
      <formula>100</formula>
    </cfRule>
  </conditionalFormatting>
  <conditionalFormatting sqref="E62:E70">
    <cfRule type="cellIs" dxfId="1574" priority="144" stopIfTrue="1" operator="lessThanOrEqual">
      <formula>0</formula>
    </cfRule>
  </conditionalFormatting>
  <conditionalFormatting sqref="E73:E81">
    <cfRule type="cellIs" dxfId="1573" priority="158" stopIfTrue="1" operator="greaterThan">
      <formula>4.5</formula>
    </cfRule>
    <cfRule type="cellIs" dxfId="1572" priority="159" stopIfTrue="1" operator="lessThanOrEqual">
      <formula>0</formula>
    </cfRule>
  </conditionalFormatting>
  <conditionalFormatting sqref="E50:F50 E49">
    <cfRule type="cellIs" dxfId="1571" priority="168" stopIfTrue="1" operator="lessThan">
      <formula>96.5</formula>
    </cfRule>
  </conditionalFormatting>
  <conditionalFormatting sqref="F10:F20">
    <cfRule type="cellIs" dxfId="1570" priority="25" operator="greaterThan">
      <formula>60</formula>
    </cfRule>
  </conditionalFormatting>
  <conditionalFormatting sqref="F50">
    <cfRule type="cellIs" dxfId="1569" priority="184" stopIfTrue="1" operator="lessThan">
      <formula>96.8</formula>
    </cfRule>
    <cfRule type="cellIs" dxfId="1568" priority="185" stopIfTrue="1" operator="greaterThan">
      <formula>100</formula>
    </cfRule>
  </conditionalFormatting>
  <conditionalFormatting sqref="F71">
    <cfRule type="cellIs" dxfId="1567" priority="146" stopIfTrue="1" operator="lessThanOrEqual">
      <formula>0</formula>
    </cfRule>
    <cfRule type="cellIs" dxfId="1566" priority="145" stopIfTrue="1" operator="greaterThan">
      <formula>$F71</formula>
    </cfRule>
  </conditionalFormatting>
  <conditionalFormatting sqref="F76">
    <cfRule type="cellIs" dxfId="1565" priority="105" stopIfTrue="1" operator="lessThanOrEqual">
      <formula>0</formula>
    </cfRule>
    <cfRule type="cellIs" dxfId="1564" priority="104" stopIfTrue="1" operator="greaterThan">
      <formula>$F76</formula>
    </cfRule>
  </conditionalFormatting>
  <conditionalFormatting sqref="G10:G19 G21">
    <cfRule type="expression" dxfId="1563" priority="67">
      <formula>IF(+(IF(G10&lt;S10,0,IF(G10&gt;T10,0,1)))=0,1)</formula>
    </cfRule>
  </conditionalFormatting>
  <conditionalFormatting sqref="G62:G64">
    <cfRule type="cellIs" dxfId="1562" priority="138" stopIfTrue="1" operator="lessThanOrEqual">
      <formula>0</formula>
    </cfRule>
    <cfRule type="cellIs" dxfId="1561" priority="137" stopIfTrue="1" operator="greaterThan">
      <formula>$F62</formula>
    </cfRule>
  </conditionalFormatting>
  <conditionalFormatting sqref="G62:G65">
    <cfRule type="cellIs" dxfId="1560" priority="148" stopIfTrue="1" operator="lessThanOrEqual">
      <formula>0</formula>
    </cfRule>
    <cfRule type="cellIs" dxfId="1559" priority="147" stopIfTrue="1" operator="greaterThan">
      <formula>$F62</formula>
    </cfRule>
  </conditionalFormatting>
  <conditionalFormatting sqref="G66:G70">
    <cfRule type="cellIs" dxfId="1558" priority="153" stopIfTrue="1" operator="greaterThan">
      <formula>$J66</formula>
    </cfRule>
    <cfRule type="cellIs" dxfId="1557" priority="154" stopIfTrue="1" operator="lessThanOrEqual">
      <formula>0</formula>
    </cfRule>
  </conditionalFormatting>
  <conditionalFormatting sqref="G75:G80 C78 C80">
    <cfRule type="cellIs" dxfId="1556" priority="181" stopIfTrue="1" operator="greaterThan">
      <formula>4.5</formula>
    </cfRule>
    <cfRule type="cellIs" dxfId="1555" priority="182" stopIfTrue="1" operator="lessThanOrEqual">
      <formula>0</formula>
    </cfRule>
  </conditionalFormatting>
  <conditionalFormatting sqref="G20:H20">
    <cfRule type="expression" dxfId="1554" priority="73">
      <formula>IF(+(IF(G20&lt;#REF!,0,IF(G20&gt;#REF!,0,1)))=0,1)</formula>
    </cfRule>
  </conditionalFormatting>
  <conditionalFormatting sqref="G74:H74">
    <cfRule type="cellIs" dxfId="1553" priority="162" stopIfTrue="1" operator="greaterThan">
      <formula>$F$73</formula>
    </cfRule>
    <cfRule type="cellIs" dxfId="1552" priority="163" stopIfTrue="1" operator="lessThanOrEqual">
      <formula>0</formula>
    </cfRule>
  </conditionalFormatting>
  <conditionalFormatting sqref="H10:H19">
    <cfRule type="expression" dxfId="1551" priority="26">
      <formula>IF(+(IF(H10&lt;#REF!,0,IF(H10&gt;#REF!,0,1)))=0,1)</formula>
    </cfRule>
  </conditionalFormatting>
  <conditionalFormatting sqref="H21">
    <cfRule type="expression" dxfId="1550" priority="68">
      <formula>IF(+(IF(H21&lt;#REF!,0,IF(H21&gt;#REF!,0,1)))=0,1)</formula>
    </cfRule>
  </conditionalFormatting>
  <conditionalFormatting sqref="H35:H49">
    <cfRule type="cellIs" dxfId="1549" priority="160" stopIfTrue="1" operator="greaterThan">
      <formula>0</formula>
    </cfRule>
  </conditionalFormatting>
  <conditionalFormatting sqref="H53">
    <cfRule type="cellIs" dxfId="1548" priority="28" stopIfTrue="1" operator="lessThanOrEqual">
      <formula>0</formula>
    </cfRule>
    <cfRule type="cellIs" dxfId="1547" priority="29" stopIfTrue="1" operator="greaterThan">
      <formula>$F$40</formula>
    </cfRule>
    <cfRule type="cellIs" dxfId="1546" priority="37" stopIfTrue="1" operator="greaterThan">
      <formula>$F$43</formula>
    </cfRule>
    <cfRule type="cellIs" dxfId="1545" priority="38" stopIfTrue="1" operator="lessThanOrEqual">
      <formula>0</formula>
    </cfRule>
    <cfRule type="cellIs" dxfId="1544" priority="39" stopIfTrue="1" operator="greaterThan">
      <formula>$F$41</formula>
    </cfRule>
    <cfRule type="cellIs" dxfId="1543" priority="40" stopIfTrue="1" operator="lessThanOrEqual">
      <formula>0</formula>
    </cfRule>
  </conditionalFormatting>
  <conditionalFormatting sqref="H54">
    <cfRule type="cellIs" dxfId="1542" priority="92" stopIfTrue="1" operator="greaterThan">
      <formula>#REF!</formula>
    </cfRule>
    <cfRule type="cellIs" dxfId="1541" priority="103" stopIfTrue="1" operator="lessThanOrEqual">
      <formula>0</formula>
    </cfRule>
    <cfRule type="cellIs" dxfId="1540" priority="91" stopIfTrue="1" operator="lessThanOrEqual">
      <formula>0</formula>
    </cfRule>
    <cfRule type="cellIs" dxfId="1539" priority="100" stopIfTrue="1" operator="greaterThan">
      <formula>$F$22</formula>
    </cfRule>
    <cfRule type="cellIs" dxfId="1538" priority="101" stopIfTrue="1" operator="lessThanOrEqual">
      <formula>0</formula>
    </cfRule>
    <cfRule type="cellIs" dxfId="1537" priority="102" stopIfTrue="1" operator="greaterThan">
      <formula>#REF!</formula>
    </cfRule>
  </conditionalFormatting>
  <conditionalFormatting sqref="H55">
    <cfRule type="cellIs" dxfId="1536" priority="43" stopIfTrue="1" operator="lessThanOrEqual">
      <formula>0</formula>
    </cfRule>
    <cfRule type="cellIs" dxfId="1535" priority="54" stopIfTrue="1" operator="greaterThan">
      <formula>#REF!</formula>
    </cfRule>
    <cfRule type="cellIs" dxfId="1534" priority="44" stopIfTrue="1" operator="greaterThan">
      <formula>#REF!</formula>
    </cfRule>
  </conditionalFormatting>
  <conditionalFormatting sqref="H55:H57">
    <cfRule type="cellIs" dxfId="1533" priority="55" stopIfTrue="1" operator="lessThanOrEqual">
      <formula>0</formula>
    </cfRule>
  </conditionalFormatting>
  <conditionalFormatting sqref="H56:H57">
    <cfRule type="cellIs" dxfId="1532" priority="78" stopIfTrue="1" operator="greaterThan">
      <formula>#REF!</formula>
    </cfRule>
    <cfRule type="cellIs" dxfId="1531" priority="86" stopIfTrue="1" operator="greaterThan">
      <formula>$F$21</formula>
    </cfRule>
    <cfRule type="cellIs" dxfId="1530" priority="87" stopIfTrue="1" operator="lessThanOrEqual">
      <formula>0</formula>
    </cfRule>
    <cfRule type="cellIs" dxfId="1529" priority="88" stopIfTrue="1" operator="greaterThan">
      <formula>#REF!</formula>
    </cfRule>
    <cfRule type="cellIs" dxfId="1528" priority="89" stopIfTrue="1" operator="lessThanOrEqual">
      <formula>0</formula>
    </cfRule>
  </conditionalFormatting>
  <conditionalFormatting sqref="H58">
    <cfRule type="cellIs" dxfId="1527" priority="120" stopIfTrue="1" operator="lessThanOrEqual">
      <formula>0</formula>
    </cfRule>
    <cfRule type="cellIs" dxfId="1526" priority="119" stopIfTrue="1" operator="greaterThan">
      <formula>$F$35</formula>
    </cfRule>
    <cfRule type="cellIs" dxfId="1525" priority="118" stopIfTrue="1" operator="lessThanOrEqual">
      <formula>0</formula>
    </cfRule>
    <cfRule type="cellIs" dxfId="1524" priority="117" stopIfTrue="1" operator="greaterThan">
      <formula>$F$37</formula>
    </cfRule>
    <cfRule type="cellIs" dxfId="1523" priority="109" stopIfTrue="1" operator="greaterThan">
      <formula>$F$34</formula>
    </cfRule>
    <cfRule type="cellIs" dxfId="1522" priority="108" stopIfTrue="1" operator="lessThanOrEqual">
      <formula>0</formula>
    </cfRule>
  </conditionalFormatting>
  <conditionalFormatting sqref="H62:H69">
    <cfRule type="cellIs" dxfId="1521" priority="140" stopIfTrue="1" operator="lessThanOrEqual">
      <formula>0</formula>
    </cfRule>
    <cfRule type="cellIs" dxfId="1520" priority="139" stopIfTrue="1" operator="greaterThan">
      <formula>$J62</formula>
    </cfRule>
  </conditionalFormatting>
  <conditionalFormatting sqref="H70">
    <cfRule type="cellIs" dxfId="1519" priority="141" operator="greaterThan">
      <formula>5.3</formula>
    </cfRule>
  </conditionalFormatting>
  <conditionalFormatting sqref="H73 H75:H81">
    <cfRule type="cellIs" dxfId="1518" priority="174" stopIfTrue="1" operator="greaterThan">
      <formula>4.5</formula>
    </cfRule>
    <cfRule type="cellIs" dxfId="1517" priority="175" stopIfTrue="1" operator="lessThanOrEqual">
      <formula>0</formula>
    </cfRule>
  </conditionalFormatting>
  <conditionalFormatting sqref="H53:I53">
    <cfRule type="cellIs" dxfId="1516" priority="30" stopIfTrue="1" operator="lessThanOrEqual">
      <formula>0</formula>
    </cfRule>
    <cfRule type="cellIs" dxfId="1515" priority="27" stopIfTrue="1" operator="greaterThan">
      <formula>$F$42</formula>
    </cfRule>
  </conditionalFormatting>
  <conditionalFormatting sqref="H54:I54">
    <cfRule type="cellIs" dxfId="1514" priority="93" stopIfTrue="1" operator="lessThanOrEqual">
      <formula>0</formula>
    </cfRule>
    <cfRule type="cellIs" dxfId="1513" priority="90" stopIfTrue="1" operator="greaterThan">
      <formula>$F$21</formula>
    </cfRule>
  </conditionalFormatting>
  <conditionalFormatting sqref="H55:I55">
    <cfRule type="cellIs" dxfId="1512" priority="51" stopIfTrue="1" operator="lessThanOrEqual">
      <formula>0</formula>
    </cfRule>
    <cfRule type="cellIs" dxfId="1511" priority="45" stopIfTrue="1" operator="lessThanOrEqual">
      <formula>0</formula>
    </cfRule>
    <cfRule type="cellIs" dxfId="1510" priority="42" stopIfTrue="1" operator="greaterThan">
      <formula>#REF!</formula>
    </cfRule>
  </conditionalFormatting>
  <conditionalFormatting sqref="H55:I57">
    <cfRule type="cellIs" dxfId="1509" priority="50" stopIfTrue="1" operator="greaterThan">
      <formula>#REF!</formula>
    </cfRule>
  </conditionalFormatting>
  <conditionalFormatting sqref="H56:I57">
    <cfRule type="cellIs" dxfId="1508" priority="79" stopIfTrue="1" operator="lessThanOrEqual">
      <formula>0</formula>
    </cfRule>
  </conditionalFormatting>
  <conditionalFormatting sqref="H58:I58">
    <cfRule type="cellIs" dxfId="1507" priority="107" stopIfTrue="1" operator="greaterThan">
      <formula>$F$36</formula>
    </cfRule>
    <cfRule type="cellIs" dxfId="1506" priority="110" stopIfTrue="1" operator="lessThanOrEqual">
      <formula>0</formula>
    </cfRule>
  </conditionalFormatting>
  <conditionalFormatting sqref="H71:I71">
    <cfRule type="cellIs" dxfId="1505" priority="132" stopIfTrue="1" operator="lessThanOrEqual">
      <formula>0</formula>
    </cfRule>
    <cfRule type="cellIs" dxfId="1504" priority="131" stopIfTrue="1" operator="greaterThan">
      <formula>$J71</formula>
    </cfRule>
  </conditionalFormatting>
  <conditionalFormatting sqref="I53">
    <cfRule type="cellIs" dxfId="1503" priority="31" stopIfTrue="1" operator="greaterThan">
      <formula>$F$40</formula>
    </cfRule>
    <cfRule type="cellIs" dxfId="1502" priority="36" stopIfTrue="1" operator="lessThanOrEqual">
      <formula>0</formula>
    </cfRule>
    <cfRule type="cellIs" dxfId="1501" priority="35" stopIfTrue="1" operator="greaterThan">
      <formula>$F$40</formula>
    </cfRule>
    <cfRule type="cellIs" dxfId="1500" priority="34" stopIfTrue="1" operator="lessThanOrEqual">
      <formula>0</formula>
    </cfRule>
    <cfRule type="cellIs" dxfId="1499" priority="33" stopIfTrue="1" operator="greaterThan">
      <formula>$F$42</formula>
    </cfRule>
    <cfRule type="cellIs" dxfId="1498" priority="32" stopIfTrue="1" operator="lessThanOrEqual">
      <formula>0</formula>
    </cfRule>
  </conditionalFormatting>
  <conditionalFormatting sqref="I54">
    <cfRule type="cellIs" dxfId="1497" priority="96" stopIfTrue="1" operator="greaterThan">
      <formula>$F$21</formula>
    </cfRule>
    <cfRule type="cellIs" dxfId="1496" priority="95" stopIfTrue="1" operator="lessThanOrEqual">
      <formula>0</formula>
    </cfRule>
    <cfRule type="cellIs" dxfId="1495" priority="94" stopIfTrue="1" operator="greaterThan">
      <formula>#REF!</formula>
    </cfRule>
    <cfRule type="cellIs" dxfId="1494" priority="97" stopIfTrue="1" operator="lessThanOrEqual">
      <formula>0</formula>
    </cfRule>
    <cfRule type="cellIs" dxfId="1493" priority="98" stopIfTrue="1" operator="greaterThan">
      <formula>#REF!</formula>
    </cfRule>
    <cfRule type="cellIs" dxfId="1492" priority="99" stopIfTrue="1" operator="lessThanOrEqual">
      <formula>0</formula>
    </cfRule>
  </conditionalFormatting>
  <conditionalFormatting sqref="I55">
    <cfRule type="cellIs" dxfId="1491" priority="49" stopIfTrue="1" operator="lessThanOrEqual">
      <formula>0</formula>
    </cfRule>
    <cfRule type="cellIs" dxfId="1490" priority="48" stopIfTrue="1" operator="greaterThan">
      <formula>#REF!</formula>
    </cfRule>
    <cfRule type="cellIs" dxfId="1489" priority="47" stopIfTrue="1" operator="lessThanOrEqual">
      <formula>0</formula>
    </cfRule>
    <cfRule type="cellIs" dxfId="1488" priority="46" stopIfTrue="1" operator="greaterThan">
      <formula>#REF!</formula>
    </cfRule>
  </conditionalFormatting>
  <conditionalFormatting sqref="I56:I57">
    <cfRule type="cellIs" dxfId="1487" priority="85" stopIfTrue="1" operator="lessThanOrEqual">
      <formula>0</formula>
    </cfRule>
    <cfRule type="cellIs" dxfId="1486" priority="84" stopIfTrue="1" operator="greaterThan">
      <formula>#REF!</formula>
    </cfRule>
    <cfRule type="cellIs" dxfId="1485" priority="83" stopIfTrue="1" operator="lessThanOrEqual">
      <formula>0</formula>
    </cfRule>
    <cfRule type="cellIs" dxfId="1484" priority="82" stopIfTrue="1" operator="greaterThan">
      <formula>#REF!</formula>
    </cfRule>
    <cfRule type="cellIs" dxfId="1483" priority="81" stopIfTrue="1" operator="lessThanOrEqual">
      <formula>0</formula>
    </cfRule>
    <cfRule type="cellIs" dxfId="1482" priority="80" stopIfTrue="1" operator="greaterThan">
      <formula>#REF!</formula>
    </cfRule>
  </conditionalFormatting>
  <conditionalFormatting sqref="I58">
    <cfRule type="cellIs" dxfId="1481" priority="111" stopIfTrue="1" operator="greaterThan">
      <formula>$F$34</formula>
    </cfRule>
    <cfRule type="cellIs" dxfId="1480" priority="112" stopIfTrue="1" operator="lessThanOrEqual">
      <formula>0</formula>
    </cfRule>
    <cfRule type="cellIs" dxfId="1479" priority="114" stopIfTrue="1" operator="lessThanOrEqual">
      <formula>0</formula>
    </cfRule>
    <cfRule type="cellIs" dxfId="1478" priority="115" stopIfTrue="1" operator="greaterThan">
      <formula>$F$34</formula>
    </cfRule>
    <cfRule type="cellIs" dxfId="1477" priority="116" stopIfTrue="1" operator="lessThanOrEqual">
      <formula>0</formula>
    </cfRule>
    <cfRule type="cellIs" dxfId="1476" priority="113" stopIfTrue="1" operator="greaterThan">
      <formula>$F$36</formula>
    </cfRule>
  </conditionalFormatting>
  <conditionalFormatting sqref="I62:I70">
    <cfRule type="cellIs" dxfId="1475" priority="142" stopIfTrue="1" operator="greaterThan">
      <formula>$J62</formula>
    </cfRule>
    <cfRule type="cellIs" dxfId="1474" priority="143" stopIfTrue="1" operator="lessThanOrEqual">
      <formula>0</formula>
    </cfRule>
  </conditionalFormatting>
  <conditionalFormatting sqref="I73:I81">
    <cfRule type="cellIs" dxfId="1473" priority="170" stopIfTrue="1" operator="greaterThan">
      <formula>4.5</formula>
    </cfRule>
    <cfRule type="cellIs" dxfId="1472" priority="171" stopIfTrue="1" operator="lessThanOrEqual">
      <formula>0</formula>
    </cfRule>
  </conditionalFormatting>
  <conditionalFormatting sqref="I10:J21">
    <cfRule type="cellIs" dxfId="1471" priority="16" operator="lessThan">
      <formula>97.9</formula>
    </cfRule>
  </conditionalFormatting>
  <conditionalFormatting sqref="J24:J30">
    <cfRule type="cellIs" dxfId="1470" priority="121" operator="lessThan">
      <formula>97.4</formula>
    </cfRule>
  </conditionalFormatting>
  <conditionalFormatting sqref="J24:J32">
    <cfRule type="cellIs" dxfId="1469" priority="122" stopIfTrue="1" operator="lessThan">
      <formula>96.8</formula>
    </cfRule>
    <cfRule type="cellIs" dxfId="1468" priority="123" stopIfTrue="1" operator="greaterThan">
      <formula>100</formula>
    </cfRule>
  </conditionalFormatting>
  <conditionalFormatting sqref="J24:J33">
    <cfRule type="cellIs" dxfId="1467" priority="124" operator="lessThan">
      <formula>98</formula>
    </cfRule>
  </conditionalFormatting>
  <conditionalFormatting sqref="J71">
    <cfRule type="cellIs" dxfId="1466" priority="128" stopIfTrue="1" operator="greaterThan">
      <formula>$F71</formula>
    </cfRule>
    <cfRule type="cellIs" dxfId="1465" priority="129" stopIfTrue="1" operator="lessThanOrEqual">
      <formula>0</formula>
    </cfRule>
  </conditionalFormatting>
  <conditionalFormatting sqref="K10:K21">
    <cfRule type="cellIs" dxfId="1464" priority="19" operator="greaterThan">
      <formula>6</formula>
    </cfRule>
    <cfRule type="cellIs" dxfId="1463" priority="20" operator="lessThan">
      <formula>4</formula>
    </cfRule>
    <cfRule type="cellIs" dxfId="1462" priority="21" operator="greaterThan">
      <formula>6.4</formula>
    </cfRule>
  </conditionalFormatting>
  <conditionalFormatting sqref="K53:K58">
    <cfRule type="cellIs" dxfId="1461" priority="41" stopIfTrue="1" operator="lessThan">
      <formula>100%</formula>
    </cfRule>
  </conditionalFormatting>
  <conditionalFormatting sqref="K73:K78">
    <cfRule type="cellIs" dxfId="1460" priority="176" stopIfTrue="1" operator="lessThan">
      <formula>100%</formula>
    </cfRule>
  </conditionalFormatting>
  <conditionalFormatting sqref="K80:K81">
    <cfRule type="cellIs" dxfId="1459" priority="183" stopIfTrue="1" operator="lessThan">
      <formula>100%</formula>
    </cfRule>
  </conditionalFormatting>
  <conditionalFormatting sqref="K62:N68 K69 M69:N69 K70:N70">
    <cfRule type="cellIs" dxfId="1458" priority="106" stopIfTrue="1" operator="lessThan">
      <formula>100%</formula>
    </cfRule>
  </conditionalFormatting>
  <conditionalFormatting sqref="L10:L21">
    <cfRule type="cellIs" dxfId="1457" priority="17" operator="between">
      <formula>61</formula>
      <formula>65</formula>
    </cfRule>
    <cfRule type="cellIs" dxfId="1456" priority="18" operator="greaterThan">
      <formula>65</formula>
    </cfRule>
  </conditionalFormatting>
  <conditionalFormatting sqref="L24:M35">
    <cfRule type="cellIs" dxfId="1455" priority="13" operator="lessThan">
      <formula>98</formula>
    </cfRule>
  </conditionalFormatting>
  <conditionalFormatting sqref="L39:N39">
    <cfRule type="cellIs" dxfId="1454" priority="57" operator="notEqual">
      <formula>#REF!</formula>
    </cfRule>
  </conditionalFormatting>
  <conditionalFormatting sqref="L71:N71">
    <cfRule type="cellIs" dxfId="1453" priority="130" stopIfTrue="1" operator="lessThan">
      <formula>100%</formula>
    </cfRule>
  </conditionalFormatting>
  <conditionalFormatting sqref="L73:N81">
    <cfRule type="cellIs" dxfId="1452" priority="161" stopIfTrue="1" operator="lessThan">
      <formula>100%</formula>
    </cfRule>
  </conditionalFormatting>
  <conditionalFormatting sqref="M10:M19 M21">
    <cfRule type="expression" dxfId="1451" priority="66">
      <formula>IF(+(IF(M10&lt;U10,0,IF(M10&gt;V10,0,1)))=0,1)</formula>
    </cfRule>
  </conditionalFormatting>
  <conditionalFormatting sqref="M20:N20">
    <cfRule type="expression" dxfId="1450" priority="189">
      <formula>IF(+(IF(M20&lt;#REF!,0,IF(M20&gt;#REF!,0,1)))=0,1)</formula>
    </cfRule>
  </conditionalFormatting>
  <conditionalFormatting sqref="N10:N19 N21">
    <cfRule type="expression" dxfId="1449" priority="65">
      <formula>IF(+(IF(N10&lt;W10,0,IF(N10&gt;X10,0,1)))=0,1)</formula>
    </cfRule>
  </conditionalFormatting>
  <conditionalFormatting sqref="P6">
    <cfRule type="cellIs" dxfId="1448" priority="157" operator="greaterThanOrEqual">
      <formula>19</formula>
    </cfRule>
  </conditionalFormatting>
  <dataValidations disablePrompts="1" count="1">
    <dataValidation type="list" allowBlank="1" showInputMessage="1" showErrorMessage="1" sqref="R8" xr:uid="{8C1A6F56-ACB5-4E60-9C59-6DED86313BD0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5" max="16383" man="1"/>
  </rowBreaks>
  <colBreaks count="1" manualBreakCount="1">
    <brk id="15" max="89" man="1"/>
  </col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A4930-60A7-4DEF-BFC3-622E360A6951}">
  <sheetPr>
    <pageSetUpPr fitToPage="1"/>
  </sheetPr>
  <dimension ref="A1:BE74"/>
  <sheetViews>
    <sheetView topLeftCell="A16" zoomScaleNormal="100" workbookViewId="0">
      <selection activeCell="L38" sqref="L38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67.425781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25" t="s">
        <v>0</v>
      </c>
      <c r="T1" s="525"/>
      <c r="U1" s="525" t="s">
        <v>1</v>
      </c>
      <c r="V1" s="525"/>
      <c r="W1" s="525" t="s">
        <v>2</v>
      </c>
      <c r="X1" s="525"/>
      <c r="Y1" s="525" t="s">
        <v>124</v>
      </c>
      <c r="Z1" s="525"/>
    </row>
    <row r="2" spans="2:29" ht="15">
      <c r="B2" s="526" t="s">
        <v>3</v>
      </c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45919</v>
      </c>
      <c r="J4" s="398" t="s">
        <v>168</v>
      </c>
      <c r="K4" s="398"/>
      <c r="L4" s="11"/>
      <c r="M4" s="547" t="s">
        <v>8</v>
      </c>
      <c r="N4" s="548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44"/>
      <c r="D5" s="544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167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84" t="s">
        <v>17</v>
      </c>
      <c r="C8" s="494" t="s">
        <v>18</v>
      </c>
      <c r="D8" s="494" t="s">
        <v>19</v>
      </c>
      <c r="E8" s="356" t="s">
        <v>20</v>
      </c>
      <c r="F8" s="356" t="s">
        <v>21</v>
      </c>
      <c r="G8" s="494" t="s">
        <v>22</v>
      </c>
      <c r="H8" s="535" t="s">
        <v>144</v>
      </c>
      <c r="I8" s="494" t="s">
        <v>166</v>
      </c>
      <c r="J8" s="537" t="s">
        <v>23</v>
      </c>
      <c r="K8" s="539" t="s">
        <v>142</v>
      </c>
      <c r="L8" s="541" t="s">
        <v>24</v>
      </c>
      <c r="M8" s="359" t="s">
        <v>25</v>
      </c>
      <c r="N8" s="17" t="s">
        <v>26</v>
      </c>
      <c r="O8" s="494" t="s">
        <v>155</v>
      </c>
      <c r="P8" s="56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33"/>
      <c r="C9" s="534"/>
      <c r="D9" s="534"/>
      <c r="E9" s="357" t="s">
        <v>30</v>
      </c>
      <c r="F9" s="357" t="s">
        <v>31</v>
      </c>
      <c r="G9" s="534"/>
      <c r="H9" s="536"/>
      <c r="I9" s="534"/>
      <c r="J9" s="538"/>
      <c r="K9" s="540"/>
      <c r="L9" s="542"/>
      <c r="M9" s="20" t="s">
        <v>32</v>
      </c>
      <c r="N9" s="21" t="s">
        <v>41</v>
      </c>
      <c r="O9" s="534"/>
      <c r="P9" s="561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29" t="s">
        <v>6</v>
      </c>
      <c r="C10" s="366" t="str">
        <f>[22]Brewhouse!$A787</f>
        <v>CA678</v>
      </c>
      <c r="D10" s="279">
        <f>[22]Brewhouse!$AF787</f>
        <v>52</v>
      </c>
      <c r="E10" s="279">
        <f>[22]Brewhouse!$AI787</f>
        <v>51.6</v>
      </c>
      <c r="F10" s="278">
        <f>[22]Brewhouse!$V787</f>
        <v>64</v>
      </c>
      <c r="G10" s="279">
        <f>[22]Brewhouse!AG787</f>
        <v>11.7</v>
      </c>
      <c r="H10" s="396"/>
      <c r="I10" s="368">
        <f>[22]Brewhouse!$AU787</f>
        <v>98.110557430749992</v>
      </c>
      <c r="J10" s="368">
        <f>[22]Brewhouse!$AV787</f>
        <v>99.859075575117103</v>
      </c>
      <c r="K10" s="281">
        <f>[22]Brewhouse!$Q787</f>
        <v>4.1807909604519748</v>
      </c>
      <c r="L10" s="276">
        <f>[22]Brewhouse!$P787</f>
        <v>61</v>
      </c>
      <c r="M10" s="397">
        <f>[22]Brewhouse!$U787-[22]Brewhouse!$T787</f>
        <v>0.11388888888888893</v>
      </c>
      <c r="N10" s="370">
        <f>[22]Brewhouse!$Z787</f>
        <v>0.24097222222222225</v>
      </c>
      <c r="O10" s="421" t="str">
        <f>[22]Brewhouse!$AX787</f>
        <v>R. Regis</v>
      </c>
      <c r="P10" s="418"/>
      <c r="R10" s="277" t="str">
        <f t="shared" ref="R10:R14" si="0">B10</f>
        <v>CARIB</v>
      </c>
      <c r="S10" s="296">
        <f t="shared" ref="S10:S14" si="1">VLOOKUP($B10,$R$3:$X$9,2,FALSE)</f>
        <v>11.6</v>
      </c>
      <c r="T10" s="296">
        <f t="shared" ref="T10:T14" si="2">VLOOKUP($B10,$R$3:$X$9,3,FALSE)</f>
        <v>12</v>
      </c>
      <c r="U10" s="297">
        <f t="shared" ref="U10:U14" si="3">VLOOKUP($B10,$R$3:$X$9,4,FALSE)</f>
        <v>0</v>
      </c>
      <c r="V10" s="297">
        <f t="shared" ref="V10:V14" si="4">VLOOKUP($B10,$R$3:$X$9,5,FALSE)</f>
        <v>0.118055555555556</v>
      </c>
      <c r="W10" s="297">
        <f t="shared" ref="W10:W14" si="5">VLOOKUP($B10,$R$3:$X$9,6,FALSE)</f>
        <v>0.22569444444444445</v>
      </c>
      <c r="X10" s="297">
        <f t="shared" ref="X10:X14" si="6">VLOOKUP($B10,$R$3:$X$9,7,FALSE)</f>
        <v>0.2638888888888889</v>
      </c>
      <c r="Y10" s="297">
        <f t="shared" ref="Y10:Y14" si="7">VLOOKUP($B10,$R$3:$Z$9,8,FALSE)</f>
        <v>0</v>
      </c>
      <c r="Z10" s="296">
        <f t="shared" ref="Z10:Z14" si="8">VLOOKUP($B10,$R$3:$Z$9,9,FALSE)</f>
        <v>60</v>
      </c>
    </row>
    <row r="11" spans="2:29" ht="15.75" customHeight="1">
      <c r="B11" s="29" t="s">
        <v>6</v>
      </c>
      <c r="C11" s="366" t="str">
        <f>[22]Brewhouse!$A788</f>
        <v>CA679</v>
      </c>
      <c r="D11" s="279">
        <f>[22]Brewhouse!$AF788</f>
        <v>52.7</v>
      </c>
      <c r="E11" s="279">
        <f>[22]Brewhouse!$AI788</f>
        <v>51.5</v>
      </c>
      <c r="F11" s="278">
        <f>[22]Brewhouse!$V788</f>
        <v>59</v>
      </c>
      <c r="G11" s="279">
        <f>[22]Brewhouse!AG788</f>
        <v>11.7</v>
      </c>
      <c r="H11" s="396"/>
      <c r="I11" s="368">
        <f>[22]Brewhouse!$AU788</f>
        <v>97.851940748827133</v>
      </c>
      <c r="J11" s="368">
        <f>[22]Brewhouse!$AV788</f>
        <v>99.787924775939658</v>
      </c>
      <c r="K11" s="281">
        <f>[22]Brewhouse!$Q788</f>
        <v>5.2222222222222223</v>
      </c>
      <c r="L11" s="276">
        <f>[22]Brewhouse!$P788</f>
        <v>60</v>
      </c>
      <c r="M11" s="397">
        <f>[22]Brewhouse!$U788-[22]Brewhouse!$T788</f>
        <v>0.10972222222222222</v>
      </c>
      <c r="N11" s="370">
        <f>[22]Brewhouse!$Z788</f>
        <v>0.24166666666666664</v>
      </c>
      <c r="O11" s="421" t="str">
        <f>[22]Brewhouse!$AX788</f>
        <v>R.Sookram</v>
      </c>
      <c r="P11" s="418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29" t="s">
        <v>6</v>
      </c>
      <c r="C12" s="366" t="str">
        <f>[22]Brewhouse!$A789</f>
        <v>CA680</v>
      </c>
      <c r="D12" s="279">
        <f>[22]Brewhouse!$AF789</f>
        <v>53.1</v>
      </c>
      <c r="E12" s="279">
        <f>[22]Brewhouse!$AI789</f>
        <v>51</v>
      </c>
      <c r="F12" s="278">
        <f>[22]Brewhouse!$V789</f>
        <v>64</v>
      </c>
      <c r="G12" s="279">
        <f>[22]Brewhouse!AG789</f>
        <v>11.8</v>
      </c>
      <c r="H12" s="396"/>
      <c r="I12" s="368">
        <f>[22]Brewhouse!$AU789</f>
        <v>98.082850265996697</v>
      </c>
      <c r="J12" s="368">
        <f>[22]Brewhouse!$AV789</f>
        <v>99.830493424880132</v>
      </c>
      <c r="K12" s="281">
        <f>[22]Brewhouse!$Q789</f>
        <v>3.7407407407407334</v>
      </c>
      <c r="L12" s="276">
        <f>[22]Brewhouse!$P789</f>
        <v>58</v>
      </c>
      <c r="M12" s="397">
        <f>[22]Brewhouse!$U789-[22]Brewhouse!$T789</f>
        <v>0.10624999999999996</v>
      </c>
      <c r="N12" s="370">
        <f>[22]Brewhouse!$Z789</f>
        <v>0.25555555555555554</v>
      </c>
      <c r="O12" s="421" t="str">
        <f>[22]Brewhouse!$AX789</f>
        <v>R.Sookram</v>
      </c>
      <c r="P12" s="418"/>
      <c r="R12" s="277" t="str">
        <f t="shared" si="0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29" t="s">
        <v>6</v>
      </c>
      <c r="C13" s="366" t="str">
        <f>[22]Brewhouse!$A790</f>
        <v>CA681</v>
      </c>
      <c r="D13" s="279">
        <f>[22]Brewhouse!$AF790</f>
        <v>52.5</v>
      </c>
      <c r="E13" s="279">
        <f>[22]Brewhouse!$AI790</f>
        <v>50.8</v>
      </c>
      <c r="F13" s="278">
        <f>[22]Brewhouse!$V790</f>
        <v>62</v>
      </c>
      <c r="G13" s="279">
        <f>[22]Brewhouse!AG790</f>
        <v>11.6</v>
      </c>
      <c r="H13" s="396"/>
      <c r="I13" s="368">
        <f>[22]Brewhouse!$AU790</f>
        <v>97.592137471095853</v>
      </c>
      <c r="J13" s="368">
        <f>[22]Brewhouse!$AV790</f>
        <v>99.404636465147235</v>
      </c>
      <c r="K13" s="281">
        <f>[22]Brewhouse!$Q790</f>
        <v>4.1111111111111089</v>
      </c>
      <c r="L13" s="276">
        <f>[22]Brewhouse!$P790</f>
        <v>57</v>
      </c>
      <c r="M13" s="397">
        <f>[22]Brewhouse!$U790-[22]Brewhouse!$T790</f>
        <v>0.1069444444444444</v>
      </c>
      <c r="N13" s="370">
        <f>[22]Brewhouse!$Z790</f>
        <v>0.24652777777777773</v>
      </c>
      <c r="O13" s="421" t="str">
        <f>[22]Brewhouse!$AX790</f>
        <v>R.Sookram</v>
      </c>
      <c r="P13" s="418"/>
      <c r="R13" s="277" t="str">
        <f t="shared" si="0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29" t="s">
        <v>6</v>
      </c>
      <c r="C14" s="366" t="str">
        <f>[22]Brewhouse!$A791</f>
        <v>CA682</v>
      </c>
      <c r="D14" s="279">
        <f>[22]Brewhouse!$AF791</f>
        <v>50.6</v>
      </c>
      <c r="E14" s="279">
        <f>[22]Brewhouse!$AI791</f>
        <v>50.2</v>
      </c>
      <c r="F14" s="278">
        <f>[22]Brewhouse!$V791</f>
        <v>61</v>
      </c>
      <c r="G14" s="279">
        <f>[22]Brewhouse!AG791</f>
        <v>11.6</v>
      </c>
      <c r="H14" s="396"/>
      <c r="I14" s="368">
        <f>[22]Brewhouse!$AU791</f>
        <v>96.43947443009867</v>
      </c>
      <c r="J14" s="368">
        <f>[22]Brewhouse!$AV791</f>
        <v>98.230565955716372</v>
      </c>
      <c r="K14" s="281">
        <f>[22]Brewhouse!$Q791</f>
        <v>5.8867924528301838</v>
      </c>
      <c r="L14" s="276">
        <f>[22]Brewhouse!$P791</f>
        <v>57</v>
      </c>
      <c r="M14" s="397">
        <f>[22]Brewhouse!$U791-[22]Brewhouse!$T791</f>
        <v>0.11805555555555558</v>
      </c>
      <c r="N14" s="370">
        <f>[22]Brewhouse!$Z791</f>
        <v>0.25277777777777777</v>
      </c>
      <c r="O14" s="421" t="str">
        <f>[22]Brewhouse!$AX791</f>
        <v>K.Benjamin</v>
      </c>
      <c r="P14" s="418"/>
      <c r="R14" s="277" t="str">
        <f t="shared" si="0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29" t="s">
        <v>6</v>
      </c>
      <c r="C15" s="366" t="str">
        <f>[22]Brewhouse!$A792</f>
        <v>CA683</v>
      </c>
      <c r="D15" s="279">
        <f>[22]Brewhouse!$AF792</f>
        <v>50.7</v>
      </c>
      <c r="E15" s="279">
        <f>[22]Brewhouse!$AI792</f>
        <v>50.6</v>
      </c>
      <c r="F15" s="278">
        <f>[22]Brewhouse!$V792</f>
        <v>64</v>
      </c>
      <c r="G15" s="279">
        <f>[22]Brewhouse!AG792</f>
        <v>11.6</v>
      </c>
      <c r="H15" s="396"/>
      <c r="I15" s="368">
        <f>[22]Brewhouse!$AU792</f>
        <v>96.482983401253932</v>
      </c>
      <c r="J15" s="368">
        <f>[22]Brewhouse!$AV792</f>
        <v>98.27547999403825</v>
      </c>
      <c r="K15" s="281">
        <f>[22]Brewhouse!$Q792</f>
        <v>5.6981132075471628</v>
      </c>
      <c r="L15" s="276">
        <f>[22]Brewhouse!$P792</f>
        <v>60</v>
      </c>
      <c r="M15" s="397">
        <f>[22]Brewhouse!$U792-[22]Brewhouse!$T792</f>
        <v>0.11180555555555549</v>
      </c>
      <c r="N15" s="370">
        <f>[22]Brewhouse!$Z792</f>
        <v>0.2402777777777777</v>
      </c>
      <c r="O15" s="421" t="str">
        <f>[22]Brewhouse!$AX792</f>
        <v>K.Benjamin</v>
      </c>
      <c r="P15" s="418"/>
      <c r="R15" s="277" t="str">
        <f t="shared" ref="R15:R41" si="9">B15</f>
        <v>CARIB</v>
      </c>
      <c r="S15" s="296">
        <f t="shared" ref="S15:S41" si="10">VLOOKUP($B15,$R$3:$X$9,2,FALSE)</f>
        <v>11.6</v>
      </c>
      <c r="T15" s="296">
        <f t="shared" ref="T15:T41" si="11">VLOOKUP($B15,$R$3:$X$9,3,FALSE)</f>
        <v>12</v>
      </c>
      <c r="U15" s="297">
        <f t="shared" ref="U15:U41" si="12">VLOOKUP($B15,$R$3:$X$9,4,FALSE)</f>
        <v>0</v>
      </c>
      <c r="V15" s="297">
        <f t="shared" ref="V15:V41" si="13">VLOOKUP($B15,$R$3:$X$9,5,FALSE)</f>
        <v>0.118055555555556</v>
      </c>
      <c r="W15" s="297">
        <f t="shared" ref="W15:W41" si="14">VLOOKUP($B15,$R$3:$X$9,6,FALSE)</f>
        <v>0.22569444444444445</v>
      </c>
      <c r="X15" s="297">
        <f t="shared" ref="X15:X41" si="15">VLOOKUP($B15,$R$3:$X$9,7,FALSE)</f>
        <v>0.2638888888888889</v>
      </c>
      <c r="Y15" s="297">
        <f t="shared" ref="Y15:Y41" si="16">VLOOKUP($B15,$R$3:$Z$9,8,FALSE)</f>
        <v>0</v>
      </c>
      <c r="Z15" s="296">
        <f t="shared" ref="Z15:Z41" si="17">VLOOKUP($B15,$R$3:$Z$9,9,FALSE)</f>
        <v>60</v>
      </c>
    </row>
    <row r="16" spans="2:29" ht="15.75" customHeight="1">
      <c r="B16" s="29" t="s">
        <v>6</v>
      </c>
      <c r="C16" s="366" t="str">
        <f>[22]Brewhouse!$A793</f>
        <v>CA684</v>
      </c>
      <c r="D16" s="279">
        <f>[22]Brewhouse!$AF793</f>
        <v>51</v>
      </c>
      <c r="E16" s="279">
        <f>[22]Brewhouse!$AI793</f>
        <v>51.3</v>
      </c>
      <c r="F16" s="278">
        <f>[22]Brewhouse!$V793</f>
        <v>65</v>
      </c>
      <c r="G16" s="279">
        <f>[22]Brewhouse!AG793</f>
        <v>11.6</v>
      </c>
      <c r="H16" s="396"/>
      <c r="I16" s="368">
        <f>[22]Brewhouse!$AU793</f>
        <v>97.696299031841932</v>
      </c>
      <c r="J16" s="368">
        <f>[22]Brewhouse!$AV793</f>
        <v>99.511436929938185</v>
      </c>
      <c r="K16" s="281">
        <f>[22]Brewhouse!$Q793</f>
        <v>5.1320754716981112</v>
      </c>
      <c r="L16" s="276">
        <f>[22]Brewhouse!$P793</f>
        <v>57</v>
      </c>
      <c r="M16" s="397">
        <f>[22]Brewhouse!$U793-[22]Brewhouse!$T793</f>
        <v>0.11041666666666661</v>
      </c>
      <c r="N16" s="370">
        <f>[22]Brewhouse!$Z793</f>
        <v>0.24236111111111114</v>
      </c>
      <c r="O16" s="421" t="str">
        <f>[22]Brewhouse!$AX793</f>
        <v>R. Regis</v>
      </c>
      <c r="P16" s="418"/>
      <c r="R16" s="277" t="str">
        <f t="shared" si="9"/>
        <v>CARIB</v>
      </c>
      <c r="S16" s="296">
        <f t="shared" si="10"/>
        <v>11.6</v>
      </c>
      <c r="T16" s="296">
        <f t="shared" si="11"/>
        <v>12</v>
      </c>
      <c r="U16" s="297">
        <f t="shared" si="12"/>
        <v>0</v>
      </c>
      <c r="V16" s="297">
        <f t="shared" si="13"/>
        <v>0.118055555555556</v>
      </c>
      <c r="W16" s="297">
        <f t="shared" si="14"/>
        <v>0.22569444444444445</v>
      </c>
      <c r="X16" s="297">
        <f t="shared" si="15"/>
        <v>0.2638888888888889</v>
      </c>
      <c r="Y16" s="297">
        <f t="shared" si="16"/>
        <v>0</v>
      </c>
      <c r="Z16" s="296">
        <f t="shared" si="17"/>
        <v>60</v>
      </c>
    </row>
    <row r="17" spans="1:26" ht="15.75" customHeight="1">
      <c r="B17" s="36"/>
      <c r="C17" s="366"/>
      <c r="D17" s="279"/>
      <c r="E17" s="279"/>
      <c r="F17" s="278"/>
      <c r="G17" s="279"/>
      <c r="H17" s="396"/>
      <c r="I17" s="420"/>
      <c r="J17" s="420"/>
      <c r="K17" s="462"/>
      <c r="L17" s="276"/>
      <c r="M17" s="374"/>
      <c r="N17" s="370"/>
      <c r="O17" s="421"/>
      <c r="P17" s="418"/>
      <c r="R17" s="277">
        <f t="shared" si="9"/>
        <v>0</v>
      </c>
      <c r="S17" s="296" t="e">
        <f t="shared" si="10"/>
        <v>#N/A</v>
      </c>
      <c r="T17" s="296" t="e">
        <f t="shared" si="11"/>
        <v>#N/A</v>
      </c>
      <c r="U17" s="297" t="e">
        <f t="shared" si="12"/>
        <v>#N/A</v>
      </c>
      <c r="V17" s="297" t="e">
        <f t="shared" si="13"/>
        <v>#N/A</v>
      </c>
      <c r="W17" s="297" t="e">
        <f t="shared" si="14"/>
        <v>#N/A</v>
      </c>
      <c r="X17" s="297" t="e">
        <f t="shared" si="15"/>
        <v>#N/A</v>
      </c>
      <c r="Y17" s="297" t="e">
        <f t="shared" si="16"/>
        <v>#N/A</v>
      </c>
      <c r="Z17" s="296" t="e">
        <f t="shared" si="17"/>
        <v>#N/A</v>
      </c>
    </row>
    <row r="18" spans="1:26" ht="15.7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418"/>
      <c r="R18" s="277">
        <f t="shared" si="9"/>
        <v>0</v>
      </c>
      <c r="S18" s="296" t="e">
        <f t="shared" si="10"/>
        <v>#N/A</v>
      </c>
      <c r="T18" s="296" t="e">
        <f t="shared" si="11"/>
        <v>#N/A</v>
      </c>
      <c r="U18" s="297" t="e">
        <f t="shared" si="12"/>
        <v>#N/A</v>
      </c>
      <c r="V18" s="297" t="e">
        <f t="shared" si="13"/>
        <v>#N/A</v>
      </c>
      <c r="W18" s="297" t="e">
        <f t="shared" si="14"/>
        <v>#N/A</v>
      </c>
      <c r="X18" s="297" t="e">
        <f t="shared" si="15"/>
        <v>#N/A</v>
      </c>
      <c r="Y18" s="297" t="e">
        <f t="shared" si="16"/>
        <v>#N/A</v>
      </c>
      <c r="Z18" s="296" t="e">
        <f t="shared" si="17"/>
        <v>#N/A</v>
      </c>
    </row>
    <row r="19" spans="1:26" ht="15.75" customHeight="1">
      <c r="B19" s="37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8"/>
      <c r="R19" s="277">
        <f t="shared" si="9"/>
        <v>0</v>
      </c>
      <c r="S19" s="296" t="e">
        <f t="shared" si="10"/>
        <v>#N/A</v>
      </c>
      <c r="T19" s="296" t="e">
        <f t="shared" si="11"/>
        <v>#N/A</v>
      </c>
      <c r="U19" s="297" t="e">
        <f t="shared" si="12"/>
        <v>#N/A</v>
      </c>
      <c r="V19" s="297" t="e">
        <f t="shared" si="13"/>
        <v>#N/A</v>
      </c>
      <c r="W19" s="297" t="e">
        <f t="shared" si="14"/>
        <v>#N/A</v>
      </c>
      <c r="X19" s="297" t="e">
        <f t="shared" si="15"/>
        <v>#N/A</v>
      </c>
      <c r="Y19" s="297" t="e">
        <f t="shared" si="16"/>
        <v>#N/A</v>
      </c>
      <c r="Z19" s="296" t="e">
        <f t="shared" si="17"/>
        <v>#N/A</v>
      </c>
    </row>
    <row r="20" spans="1:26" ht="15.75" customHeight="1" thickBot="1">
      <c r="B20" s="358"/>
      <c r="C20" s="358"/>
      <c r="D20" s="358"/>
      <c r="E20" s="358"/>
      <c r="F20" s="294"/>
      <c r="G20" s="294"/>
      <c r="H20" s="348"/>
      <c r="I20" s="514"/>
      <c r="J20" s="514"/>
      <c r="K20" s="514"/>
      <c r="L20" s="514"/>
      <c r="M20" s="514"/>
      <c r="N20" s="514"/>
      <c r="O20" s="1"/>
      <c r="P20" s="12"/>
      <c r="R20" s="277">
        <f t="shared" si="9"/>
        <v>0</v>
      </c>
      <c r="S20" s="296" t="e">
        <f t="shared" si="10"/>
        <v>#N/A</v>
      </c>
      <c r="T20" s="296" t="e">
        <f t="shared" si="11"/>
        <v>#N/A</v>
      </c>
      <c r="U20" s="297" t="e">
        <f t="shared" si="12"/>
        <v>#N/A</v>
      </c>
      <c r="V20" s="297" t="e">
        <f t="shared" si="13"/>
        <v>#N/A</v>
      </c>
      <c r="W20" s="297" t="e">
        <f t="shared" si="14"/>
        <v>#N/A</v>
      </c>
      <c r="X20" s="297" t="e">
        <f t="shared" si="15"/>
        <v>#N/A</v>
      </c>
      <c r="Y20" s="297" t="e">
        <f t="shared" si="16"/>
        <v>#N/A</v>
      </c>
      <c r="Z20" s="296" t="e">
        <f t="shared" si="17"/>
        <v>#N/A</v>
      </c>
    </row>
    <row r="21" spans="1:26" ht="15.75" thickBot="1">
      <c r="B21" s="388" t="s">
        <v>162</v>
      </c>
      <c r="C21" s="388"/>
      <c r="D21" s="527" t="s">
        <v>35</v>
      </c>
      <c r="E21" s="528"/>
      <c r="F21" s="294"/>
      <c r="G21" s="294"/>
      <c r="H21" s="348"/>
      <c r="I21" s="24" t="s">
        <v>17</v>
      </c>
      <c r="J21" s="25" t="s">
        <v>36</v>
      </c>
      <c r="K21" s="26" t="s">
        <v>138</v>
      </c>
      <c r="L21" s="25" t="s">
        <v>37</v>
      </c>
      <c r="M21" s="25" t="s">
        <v>38</v>
      </c>
      <c r="N21" s="27" t="s">
        <v>39</v>
      </c>
      <c r="O21" s="294"/>
      <c r="P21" s="12"/>
      <c r="R21" s="277" t="str">
        <f t="shared" si="9"/>
        <v xml:space="preserve">BRAND </v>
      </c>
      <c r="S21" s="296" t="e">
        <f t="shared" si="10"/>
        <v>#N/A</v>
      </c>
      <c r="T21" s="296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296" t="e">
        <f t="shared" si="17"/>
        <v>#N/A</v>
      </c>
    </row>
    <row r="22" spans="1:26" ht="15" customHeight="1">
      <c r="A22" s="28"/>
      <c r="B22" s="558" t="str">
        <f>I22</f>
        <v>CARIB</v>
      </c>
      <c r="C22" s="362"/>
      <c r="D22" s="518"/>
      <c r="E22" s="507"/>
      <c r="F22" s="294"/>
      <c r="G22" s="294"/>
      <c r="H22" s="348"/>
      <c r="I22" s="29" t="s">
        <v>6</v>
      </c>
      <c r="J22" s="280">
        <f>AVERAGE(I10:I16)</f>
        <v>97.465177539980601</v>
      </c>
      <c r="K22" s="284">
        <f>COUNTA([22]Brewhouse!$A$740:$A$793)</f>
        <v>54</v>
      </c>
      <c r="L22" s="305">
        <f>AVERAGE([22]Brewhouse!$AU$740:$AU$793)</f>
        <v>97.492392031229883</v>
      </c>
      <c r="M22" s="302">
        <f>AVERAGE([22]Brewhouse!$AU$102:$AU$171,[22]Brewhouse!$AU$173:$AU$253,[22]Brewhouse!$AU$255:$AU$339,[22]Brewhouse!$AU$341:$AU$346,[22]Brewhouse!$AU$348,[22]Brewhouse!$AU$349:$AU$406,[22]Brewhouse!$AU$408:$AU$491,[22]Brewhouse!$AU$493:$AU$578,[22]Brewhouse!$AU$580:$AU$652,[22]Brewhouse!$AU$655:$AU$793)</f>
        <v>97.688799102542376</v>
      </c>
      <c r="N22" s="30">
        <v>98</v>
      </c>
      <c r="O22" s="11"/>
      <c r="P22" s="31"/>
      <c r="R22" s="277" t="str">
        <f t="shared" si="9"/>
        <v>CARIB</v>
      </c>
      <c r="S22" s="296">
        <f t="shared" si="10"/>
        <v>11.6</v>
      </c>
      <c r="T22" s="296">
        <f t="shared" si="11"/>
        <v>12</v>
      </c>
      <c r="U22" s="297">
        <f t="shared" si="12"/>
        <v>0</v>
      </c>
      <c r="V22" s="297">
        <f t="shared" si="13"/>
        <v>0.118055555555556</v>
      </c>
      <c r="W22" s="297">
        <f t="shared" si="14"/>
        <v>0.22569444444444445</v>
      </c>
      <c r="X22" s="297">
        <f t="shared" si="15"/>
        <v>0.2638888888888889</v>
      </c>
      <c r="Y22" s="297">
        <f t="shared" si="16"/>
        <v>0</v>
      </c>
      <c r="Z22" s="296">
        <f t="shared" si="17"/>
        <v>60</v>
      </c>
    </row>
    <row r="23" spans="1:26" ht="15" customHeight="1">
      <c r="A23" s="28"/>
      <c r="B23" s="559"/>
      <c r="C23" s="362"/>
      <c r="D23" s="519"/>
      <c r="E23" s="502"/>
      <c r="F23" s="294"/>
      <c r="G23" s="294"/>
      <c r="H23" s="348"/>
      <c r="I23" s="33" t="s">
        <v>9</v>
      </c>
      <c r="J23" s="280"/>
      <c r="K23" s="284">
        <f>COUNTA([24]Brewhouse!$A$361:$A$380)</f>
        <v>20</v>
      </c>
      <c r="L23" s="302">
        <f>AVERAGE([24]Brewhouse!$AS$361:$AS$380)</f>
        <v>97.321242424213011</v>
      </c>
      <c r="M23" s="302">
        <f>AVERAGE([24]Brewhouse!$AS$15:$AS$64,[24]Brewhouse!$AS$66:$AS$103,[24]Brewhouse!$AS$105:$AS$140,[24]Brewhouse!$AS$142:$AS$193,[24]Brewhouse!$AS$195:$AS$240,[24]Brewhouse!$AS$242:$AS$273,[24]Brewhouse!$AS$275:$AS$322,[24]Brewhouse!$AS$324:$AS$359,[24]Brewhouse!$AS$361:$AS$380)</f>
        <v>98.023911582478434</v>
      </c>
      <c r="N23" s="30">
        <v>98</v>
      </c>
      <c r="O23" s="11"/>
      <c r="P23" s="31"/>
      <c r="R23" s="277">
        <f t="shared" si="9"/>
        <v>0</v>
      </c>
      <c r="S23" s="296" t="e">
        <f t="shared" si="10"/>
        <v>#N/A</v>
      </c>
      <c r="T23" s="296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296" t="e">
        <f t="shared" si="17"/>
        <v>#N/A</v>
      </c>
    </row>
    <row r="24" spans="1:26" ht="14.65" customHeight="1">
      <c r="A24" s="28"/>
      <c r="B24" s="559"/>
      <c r="C24" s="362"/>
      <c r="D24" s="518"/>
      <c r="E24" s="507"/>
      <c r="F24" s="294"/>
      <c r="G24" s="294"/>
      <c r="H24" s="348"/>
      <c r="I24" s="34" t="s">
        <v>12</v>
      </c>
      <c r="J24" s="280"/>
      <c r="K24" s="284"/>
      <c r="L24" s="302"/>
      <c r="M24" s="302">
        <f>AVERAGE([25]Brewhouse!$AU$4:$AU$7,[25]Brewhouse!$AU$9:$AU$22,[25]Brewhouse!$AU$24:$AU$35,[25]Brewhouse!$AU$37:$AU$45,[25]Brewhouse!$AU$47:$AU$62,[25]Brewhouse!$AU$64:$AU$79,[25]Brewhouse!$AU$81:$AU$92)</f>
        <v>96.938184743997624</v>
      </c>
      <c r="N24" s="30">
        <v>98</v>
      </c>
      <c r="O24" s="11"/>
      <c r="P24" s="31"/>
      <c r="R24" s="277">
        <f t="shared" si="9"/>
        <v>0</v>
      </c>
      <c r="S24" s="296" t="e">
        <f t="shared" si="10"/>
        <v>#N/A</v>
      </c>
      <c r="T24" s="296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296" t="e">
        <f t="shared" si="17"/>
        <v>#N/A</v>
      </c>
    </row>
    <row r="25" spans="1:26" ht="14.65" customHeight="1">
      <c r="A25" s="28"/>
      <c r="B25" s="559"/>
      <c r="C25" s="362"/>
      <c r="D25" s="519"/>
      <c r="E25" s="502"/>
      <c r="F25" s="294"/>
      <c r="G25" s="294"/>
      <c r="H25" s="348"/>
      <c r="I25" s="22" t="s">
        <v>33</v>
      </c>
      <c r="J25" s="280"/>
      <c r="K25" s="284">
        <f>COUNTA([26]Brewhouse!$A$79:$A$86)</f>
        <v>8</v>
      </c>
      <c r="L25" s="302">
        <f>AVERAGE([26]Brewhouse!$AV$79:$AV$86)</f>
        <v>96.412390542357869</v>
      </c>
      <c r="M25" s="302">
        <f>AVERAGE([26]Brewhouse!$AV$5:$AV$14,[26]Brewhouse!$AV$16:$AV$19,[26]Brewhouse!$AV$21:$AV$24,[26]Brewhouse!$AV$26:$AV$33,[26]Brewhouse!$AV$35:$AV$46,[26]Brewhouse!$AV$48:$AV$53,[26]Brewhouse!$AV$55:$AV$62,[26]Brewhouse!$AV$64:$AV$77,[26]Brewhouse!$AV$79:$AV$86)</f>
        <v>98.293408393493976</v>
      </c>
      <c r="N25" s="30">
        <v>98</v>
      </c>
      <c r="O25" s="11"/>
      <c r="P25" s="31"/>
      <c r="R25" s="277">
        <f t="shared" si="9"/>
        <v>0</v>
      </c>
      <c r="S25" s="296" t="e">
        <f t="shared" si="10"/>
        <v>#N/A</v>
      </c>
      <c r="T25" s="296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296" t="e">
        <f t="shared" si="17"/>
        <v>#N/A</v>
      </c>
    </row>
    <row r="26" spans="1:26" ht="14.65" customHeight="1">
      <c r="A26" s="28"/>
      <c r="B26" s="559"/>
      <c r="C26" s="362"/>
      <c r="D26" s="518"/>
      <c r="E26" s="507"/>
      <c r="F26" s="417"/>
      <c r="G26" s="294"/>
      <c r="H26" s="348"/>
      <c r="I26" s="35" t="s">
        <v>29</v>
      </c>
      <c r="J26" s="280"/>
      <c r="K26" s="284"/>
      <c r="L26" s="302"/>
      <c r="M26" s="302"/>
      <c r="N26" s="30">
        <v>98</v>
      </c>
      <c r="O26" s="11"/>
      <c r="P26" s="31"/>
      <c r="R26" s="277">
        <f t="shared" si="9"/>
        <v>0</v>
      </c>
      <c r="S26" s="296" t="e">
        <f t="shared" si="10"/>
        <v>#N/A</v>
      </c>
      <c r="T26" s="296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296" t="e">
        <f t="shared" si="17"/>
        <v>#N/A</v>
      </c>
    </row>
    <row r="27" spans="1:26" ht="14.65" customHeight="1">
      <c r="A27" s="28"/>
      <c r="B27" s="559"/>
      <c r="C27" s="362"/>
      <c r="D27" s="519"/>
      <c r="E27" s="502"/>
      <c r="F27" s="417"/>
      <c r="G27" s="294"/>
      <c r="H27" s="348"/>
      <c r="I27" s="36" t="s">
        <v>15</v>
      </c>
      <c r="J27" s="280"/>
      <c r="K27" s="284">
        <f>COUNTA([27]Brewhouse!$A$28:$A$35)</f>
        <v>8</v>
      </c>
      <c r="L27" s="302">
        <f>AVERAGE([27]Brewhouse!$AT$28:$AT$35)</f>
        <v>95.233703112250225</v>
      </c>
      <c r="M27" s="302">
        <f>AVERAGE([27]Brewhouse!$AT$4:$AT$11,[27]Brewhouse!$AT$13:$AT$16,[27]Brewhouse!$AT$18:$AT$21,[27]Brewhouse!$AT$26,[27]Brewhouse!$AT$28:$AT$35)</f>
        <v>94.794664331624134</v>
      </c>
      <c r="N27" s="30">
        <v>98</v>
      </c>
      <c r="O27" s="11"/>
      <c r="P27" s="31"/>
      <c r="R27" s="277">
        <f t="shared" si="9"/>
        <v>0</v>
      </c>
      <c r="S27" s="296" t="e">
        <f t="shared" si="10"/>
        <v>#N/A</v>
      </c>
      <c r="T27" s="296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296" t="e">
        <f t="shared" si="17"/>
        <v>#N/A</v>
      </c>
    </row>
    <row r="28" spans="1:26" ht="14.65" customHeight="1">
      <c r="A28" s="28"/>
      <c r="B28" s="559"/>
      <c r="C28" s="362"/>
      <c r="D28" s="518"/>
      <c r="E28" s="507"/>
      <c r="F28" s="417"/>
      <c r="G28" s="294"/>
      <c r="H28" s="348"/>
      <c r="I28" s="37" t="s">
        <v>16</v>
      </c>
      <c r="J28" s="280"/>
      <c r="K28" s="284">
        <f>COUNTA([23]Brewhouse!$A$75:$A$82)</f>
        <v>8</v>
      </c>
      <c r="L28" s="302">
        <f>AVERAGE([23]Brewhouse!$AY$75:$AY$82)</f>
        <v>97.738838123294386</v>
      </c>
      <c r="M28" s="302">
        <f>AVERAGE([23]Brewhouse!$AY$6:$AY$13,[23]Brewhouse!$AY$15:$AY$20,[23]Brewhouse!$AY$22:$AY$29,[23]Brewhouse!$AY$31:$AY$34,[23]Brewhouse!$AY$36:$AY$43,[23]Brewhouse!$AY$45:$AY$50, [23]Brewhouse!$AY$56:$AY$73,[23]Brewhouse!$AY$75:$AY$82)</f>
        <v>97.409216272979165</v>
      </c>
      <c r="N28" s="30">
        <v>98</v>
      </c>
      <c r="O28" s="11"/>
      <c r="P28" s="31" t="s">
        <v>41</v>
      </c>
      <c r="R28" s="277">
        <f t="shared" si="9"/>
        <v>0</v>
      </c>
      <c r="S28" s="296" t="e">
        <f t="shared" si="10"/>
        <v>#N/A</v>
      </c>
      <c r="T28" s="296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296" t="e">
        <f t="shared" si="17"/>
        <v>#N/A</v>
      </c>
    </row>
    <row r="29" spans="1:26" ht="14.65" customHeight="1">
      <c r="A29" s="28"/>
      <c r="B29" s="559"/>
      <c r="C29" s="362"/>
      <c r="D29" s="519"/>
      <c r="E29" s="502"/>
      <c r="F29" s="294"/>
      <c r="G29" s="294"/>
      <c r="H29" s="348"/>
      <c r="I29" s="411" t="s">
        <v>158</v>
      </c>
      <c r="J29" s="326"/>
      <c r="K29" s="284"/>
      <c r="L29" s="305"/>
      <c r="M29" s="305">
        <f>AVERAGE([28]Brewhouse!$AU$5:$AU$8,[28]Brewhouse!$AU$10:$AU$13,[23]Brewhouse!$AY$75:$AY$77)</f>
        <v>94.749192473706671</v>
      </c>
      <c r="N29" s="30">
        <v>98</v>
      </c>
      <c r="O29" s="11"/>
      <c r="P29" s="31"/>
      <c r="R29" s="277">
        <f t="shared" si="9"/>
        <v>0</v>
      </c>
      <c r="S29" s="296" t="e">
        <f t="shared" si="10"/>
        <v>#N/A</v>
      </c>
      <c r="T29" s="296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296" t="e">
        <f t="shared" si="17"/>
        <v>#N/A</v>
      </c>
    </row>
    <row r="30" spans="1:26" ht="14.65" customHeight="1">
      <c r="A30" s="28"/>
      <c r="B30" s="559"/>
      <c r="C30" s="349"/>
      <c r="D30" s="518"/>
      <c r="E30" s="507"/>
      <c r="F30" s="294"/>
      <c r="G30" s="294"/>
      <c r="H30" s="348"/>
      <c r="I30" s="410" t="s">
        <v>157</v>
      </c>
      <c r="J30" s="326"/>
      <c r="K30" s="284"/>
      <c r="L30" s="305"/>
      <c r="M30" s="305">
        <f>AVERAGE([29]Brewhouse!$AW$26:$AW$27)</f>
        <v>95.310680905194914</v>
      </c>
      <c r="N30" s="30">
        <v>98</v>
      </c>
      <c r="O30" s="11"/>
      <c r="P30" s="31"/>
      <c r="R30" s="277">
        <f t="shared" si="9"/>
        <v>0</v>
      </c>
      <c r="S30" s="296" t="e">
        <f t="shared" si="10"/>
        <v>#N/A</v>
      </c>
      <c r="T30" s="296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296" t="e">
        <f t="shared" si="17"/>
        <v>#N/A</v>
      </c>
    </row>
    <row r="31" spans="1:26" ht="15" customHeight="1" thickBot="1">
      <c r="A31" s="28"/>
      <c r="B31" s="559"/>
      <c r="C31" s="349"/>
      <c r="D31" s="519"/>
      <c r="E31" s="502"/>
      <c r="F31" s="294"/>
      <c r="G31" s="294"/>
      <c r="H31" s="348"/>
      <c r="I31" s="406" t="s">
        <v>156</v>
      </c>
      <c r="J31" s="327"/>
      <c r="K31" s="407"/>
      <c r="L31" s="408"/>
      <c r="M31" s="408">
        <f>AVERAGE([30]Brewhouse!$AU$13:$AU$14)</f>
        <v>97.110575243268045</v>
      </c>
      <c r="N31" s="409">
        <v>98</v>
      </c>
      <c r="O31" s="11"/>
      <c r="P31" s="31"/>
      <c r="R31" s="277">
        <f t="shared" si="9"/>
        <v>0</v>
      </c>
      <c r="S31" s="296" t="e">
        <f t="shared" si="10"/>
        <v>#N/A</v>
      </c>
      <c r="T31" s="296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296" t="e">
        <f t="shared" si="17"/>
        <v>#N/A</v>
      </c>
    </row>
    <row r="32" spans="1:26" ht="15" customHeight="1" thickBot="1">
      <c r="A32" s="28"/>
      <c r="B32" s="559"/>
      <c r="C32" s="349"/>
      <c r="D32" s="518"/>
      <c r="E32" s="507"/>
      <c r="F32" s="294"/>
      <c r="G32" s="294"/>
      <c r="H32" s="348"/>
      <c r="I32" s="1"/>
      <c r="J32" s="39"/>
      <c r="K32" s="404">
        <f>SUM(K22:K31)</f>
        <v>98</v>
      </c>
      <c r="L32" s="405">
        <f>((L22*K22)+(L23*K23)+(L24*K24)+(L25*K25)+(L26*K26)+(K29*L29)+(L27*K27)+(L28*K28)+(L31*K31))/(K32)</f>
        <v>97.205035432590762</v>
      </c>
      <c r="M32" s="405">
        <f>AVERAGE('[31]Jan 31st'!$L$65,'[32]Feb 28th'!$L$35,'[33]Mar. 31st'!$L$35,'[34]Apr. 30th'!$L$45,'[35]May 30th'!$L$37,'[36]June 30th'!$L$57,L32)</f>
        <v>97.593849418521813</v>
      </c>
      <c r="N32" s="40">
        <v>98</v>
      </c>
      <c r="O32" s="11"/>
      <c r="P32" s="31"/>
      <c r="R32" s="277">
        <f t="shared" si="9"/>
        <v>0</v>
      </c>
      <c r="S32" s="296" t="e">
        <f t="shared" si="10"/>
        <v>#N/A</v>
      </c>
      <c r="T32" s="296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296" t="e">
        <f t="shared" si="17"/>
        <v>#N/A</v>
      </c>
    </row>
    <row r="33" spans="2:56" ht="15.75" thickBot="1">
      <c r="B33" s="560"/>
      <c r="C33" s="350"/>
      <c r="D33" s="519"/>
      <c r="E33" s="502"/>
      <c r="F33" s="294"/>
      <c r="G33" s="42"/>
      <c r="H33" s="41"/>
      <c r="I33" s="42"/>
      <c r="J33" s="42"/>
      <c r="K33" s="351"/>
      <c r="L33" s="348"/>
      <c r="M33" s="348"/>
      <c r="N33" s="11"/>
      <c r="O33" s="294"/>
      <c r="P33" s="12"/>
      <c r="R33" s="277">
        <f t="shared" si="9"/>
        <v>0</v>
      </c>
      <c r="S33" s="296" t="e">
        <f t="shared" si="10"/>
        <v>#N/A</v>
      </c>
      <c r="T33" s="296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296" t="e">
        <f t="shared" si="17"/>
        <v>#N/A</v>
      </c>
    </row>
    <row r="34" spans="2:56" ht="15.75" thickBot="1">
      <c r="B34" s="571"/>
      <c r="C34" s="362"/>
      <c r="D34" s="499"/>
      <c r="E34" s="500"/>
      <c r="F34" s="294"/>
      <c r="G34" s="42"/>
      <c r="H34" s="41"/>
      <c r="I34" s="42"/>
      <c r="J34" s="553" t="s">
        <v>129</v>
      </c>
      <c r="K34" s="553"/>
      <c r="L34" s="294"/>
      <c r="M34" s="294"/>
      <c r="N34" s="294"/>
      <c r="O34" s="294"/>
      <c r="P34" s="12"/>
      <c r="R34" s="277">
        <f t="shared" si="9"/>
        <v>0</v>
      </c>
      <c r="S34" s="296" t="e">
        <f t="shared" si="10"/>
        <v>#N/A</v>
      </c>
      <c r="T34" s="296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296" t="e">
        <f t="shared" si="17"/>
        <v>#N/A</v>
      </c>
    </row>
    <row r="35" spans="2:56" ht="15.75" thickBot="1">
      <c r="B35" s="559"/>
      <c r="C35" s="362"/>
      <c r="D35" s="501"/>
      <c r="E35" s="502"/>
      <c r="F35" s="294"/>
      <c r="G35" s="42"/>
      <c r="H35" s="41"/>
      <c r="I35" s="42"/>
      <c r="J35" s="292" t="s">
        <v>17</v>
      </c>
      <c r="K35" s="293" t="s">
        <v>147</v>
      </c>
      <c r="L35" s="504" t="s">
        <v>136</v>
      </c>
      <c r="M35" s="504"/>
      <c r="N35" s="505"/>
      <c r="O35" s="294"/>
      <c r="P35" s="12"/>
      <c r="R35" s="277">
        <f t="shared" si="9"/>
        <v>0</v>
      </c>
      <c r="S35" s="296" t="e">
        <f t="shared" si="10"/>
        <v>#N/A</v>
      </c>
      <c r="T35" s="296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296" t="e">
        <f t="shared" si="17"/>
        <v>#N/A</v>
      </c>
    </row>
    <row r="36" spans="2:56" ht="15" customHeight="1" thickBot="1">
      <c r="B36" s="559"/>
      <c r="C36" s="349"/>
      <c r="D36" s="554"/>
      <c r="E36" s="555"/>
      <c r="F36" s="294"/>
      <c r="G36" s="42"/>
      <c r="H36" s="41"/>
      <c r="I36" s="42"/>
      <c r="J36" s="287" t="s">
        <v>6</v>
      </c>
      <c r="K36" s="324">
        <v>7</v>
      </c>
      <c r="L36" s="343" t="s">
        <v>37</v>
      </c>
      <c r="M36" s="307" t="s">
        <v>38</v>
      </c>
      <c r="N36" s="307" t="s">
        <v>84</v>
      </c>
      <c r="O36" s="294"/>
      <c r="P36" s="12"/>
      <c r="R36" s="277">
        <f t="shared" si="9"/>
        <v>0</v>
      </c>
      <c r="S36" s="296" t="e">
        <f t="shared" si="10"/>
        <v>#N/A</v>
      </c>
      <c r="T36" s="296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296" t="e">
        <f t="shared" si="17"/>
        <v>#N/A</v>
      </c>
    </row>
    <row r="37" spans="2:56" ht="15.75" customHeight="1" thickBot="1">
      <c r="B37" s="559"/>
      <c r="C37" s="349"/>
      <c r="D37" s="501"/>
      <c r="E37" s="502"/>
      <c r="F37" s="294"/>
      <c r="G37" s="42"/>
      <c r="H37" s="41"/>
      <c r="I37" s="42"/>
      <c r="J37" s="345" t="s">
        <v>9</v>
      </c>
      <c r="K37" s="324"/>
      <c r="L37" s="344">
        <f>AVERAGE('Sept 1st'!K53,'Sept 2nd'!K51,'Sept 3rd'!K52,'Sept 4th'!K61,'Sept 5th '!K49,'Sept 8th'!K51,'Sept 9th'!K51,'Sept 10th'!K59,'Sept 11th'!K53,'Sept 15th '!K43,'Sept 16th'!K44,'Sept 17th'!K48,K46)</f>
        <v>7.5384615384615383</v>
      </c>
      <c r="M37" s="325">
        <f>AVERAGE('[31]Jan 29th '!$M$70,'[32]Feb 28th'!$L$40,'[33]Mar. 31st'!$L$40,'[34]Apr. 30th'!$L$50,'[35]May 30th'!$L$42,'[36]June 30th'!$L$62,'[37]July 29th '!$L$49,'[38]Aug 29th'!$L$34,L37)</f>
        <v>7.019018654030095</v>
      </c>
      <c r="N37" s="416">
        <v>9.1999999999999993</v>
      </c>
      <c r="O37" s="294"/>
      <c r="P37" s="12"/>
      <c r="R37" s="277">
        <f t="shared" si="9"/>
        <v>0</v>
      </c>
      <c r="S37" s="296" t="e">
        <f t="shared" si="10"/>
        <v>#N/A</v>
      </c>
      <c r="T37" s="296" t="e">
        <f t="shared" si="11"/>
        <v>#N/A</v>
      </c>
      <c r="U37" s="297" t="e">
        <f t="shared" si="12"/>
        <v>#N/A</v>
      </c>
      <c r="V37" s="297" t="e">
        <f t="shared" si="13"/>
        <v>#N/A</v>
      </c>
      <c r="W37" s="297" t="e">
        <f t="shared" si="14"/>
        <v>#N/A</v>
      </c>
      <c r="X37" s="297" t="e">
        <f t="shared" si="15"/>
        <v>#N/A</v>
      </c>
      <c r="Y37" s="297" t="e">
        <f t="shared" si="16"/>
        <v>#N/A</v>
      </c>
      <c r="Z37" s="296" t="e">
        <f t="shared" si="17"/>
        <v>#N/A</v>
      </c>
    </row>
    <row r="38" spans="2:56" ht="15" customHeight="1">
      <c r="B38" s="559"/>
      <c r="C38" s="349"/>
      <c r="D38" s="554"/>
      <c r="E38" s="555"/>
      <c r="F38" s="294"/>
      <c r="G38" s="42"/>
      <c r="H38" s="41"/>
      <c r="I38" s="42"/>
      <c r="J38" s="288" t="s">
        <v>40</v>
      </c>
      <c r="K38" s="324"/>
      <c r="L38" s="294"/>
      <c r="M38" s="294"/>
      <c r="N38" s="294"/>
      <c r="O38" s="294"/>
      <c r="P38" s="12"/>
      <c r="R38" s="277">
        <f t="shared" si="9"/>
        <v>0</v>
      </c>
      <c r="S38" s="296" t="e">
        <f t="shared" si="10"/>
        <v>#N/A</v>
      </c>
      <c r="T38" s="296" t="e">
        <f t="shared" si="11"/>
        <v>#N/A</v>
      </c>
      <c r="U38" s="297" t="e">
        <f t="shared" si="12"/>
        <v>#N/A</v>
      </c>
      <c r="V38" s="297" t="e">
        <f t="shared" si="13"/>
        <v>#N/A</v>
      </c>
      <c r="W38" s="297" t="e">
        <f t="shared" si="14"/>
        <v>#N/A</v>
      </c>
      <c r="X38" s="297" t="e">
        <f t="shared" si="15"/>
        <v>#N/A</v>
      </c>
      <c r="Y38" s="297" t="e">
        <f t="shared" si="16"/>
        <v>#N/A</v>
      </c>
      <c r="Z38" s="296" t="e">
        <f t="shared" si="17"/>
        <v>#N/A</v>
      </c>
    </row>
    <row r="39" spans="2:56" ht="15" customHeight="1">
      <c r="B39" s="559"/>
      <c r="C39" s="349"/>
      <c r="D39" s="501"/>
      <c r="E39" s="502"/>
      <c r="F39" s="294"/>
      <c r="G39" s="42"/>
      <c r="H39" s="41"/>
      <c r="I39" s="42"/>
      <c r="J39" s="289" t="s">
        <v>33</v>
      </c>
      <c r="K39" s="324"/>
      <c r="L39" s="294"/>
      <c r="M39" s="294"/>
      <c r="N39" s="294"/>
      <c r="O39" s="294"/>
      <c r="P39" s="12"/>
      <c r="R39" s="277">
        <f t="shared" si="9"/>
        <v>0</v>
      </c>
      <c r="S39" s="296" t="e">
        <f t="shared" si="10"/>
        <v>#N/A</v>
      </c>
      <c r="T39" s="296" t="e">
        <f t="shared" si="11"/>
        <v>#N/A</v>
      </c>
      <c r="U39" s="297" t="e">
        <f t="shared" si="12"/>
        <v>#N/A</v>
      </c>
      <c r="V39" s="297" t="e">
        <f t="shared" si="13"/>
        <v>#N/A</v>
      </c>
      <c r="W39" s="297" t="e">
        <f t="shared" si="14"/>
        <v>#N/A</v>
      </c>
      <c r="X39" s="297" t="e">
        <f t="shared" si="15"/>
        <v>#N/A</v>
      </c>
      <c r="Y39" s="297" t="e">
        <f t="shared" si="16"/>
        <v>#N/A</v>
      </c>
      <c r="Z39" s="296" t="e">
        <f t="shared" si="17"/>
        <v>#N/A</v>
      </c>
    </row>
    <row r="40" spans="2:56" ht="15">
      <c r="B40" s="559"/>
      <c r="C40" s="349"/>
      <c r="D40" s="554"/>
      <c r="E40" s="555"/>
      <c r="F40" s="294"/>
      <c r="G40" s="42"/>
      <c r="H40" s="41"/>
      <c r="I40" s="42"/>
      <c r="J40" s="290" t="s">
        <v>16</v>
      </c>
      <c r="K40" s="324"/>
      <c r="L40" s="294"/>
      <c r="M40" s="294"/>
      <c r="N40" s="294"/>
      <c r="O40" s="294"/>
      <c r="P40" s="12"/>
      <c r="R40" s="277">
        <f t="shared" si="9"/>
        <v>0</v>
      </c>
      <c r="S40" s="296" t="e">
        <f t="shared" si="10"/>
        <v>#N/A</v>
      </c>
      <c r="T40" s="296" t="e">
        <f t="shared" si="11"/>
        <v>#N/A</v>
      </c>
      <c r="U40" s="297" t="e">
        <f t="shared" si="12"/>
        <v>#N/A</v>
      </c>
      <c r="V40" s="297" t="e">
        <f t="shared" si="13"/>
        <v>#N/A</v>
      </c>
      <c r="W40" s="297" t="e">
        <f t="shared" si="14"/>
        <v>#N/A</v>
      </c>
      <c r="X40" s="297" t="e">
        <f t="shared" si="15"/>
        <v>#N/A</v>
      </c>
      <c r="Y40" s="297" t="e">
        <f t="shared" si="16"/>
        <v>#N/A</v>
      </c>
      <c r="Z40" s="296" t="e">
        <f t="shared" si="17"/>
        <v>#N/A</v>
      </c>
      <c r="BC40" s="44"/>
      <c r="BD40" s="44"/>
    </row>
    <row r="41" spans="2:56" ht="15">
      <c r="B41" s="559"/>
      <c r="C41" s="349"/>
      <c r="D41" s="501"/>
      <c r="E41" s="502"/>
      <c r="F41" s="294"/>
      <c r="G41" s="42"/>
      <c r="H41" s="41"/>
      <c r="I41" s="42"/>
      <c r="J41" s="291" t="s">
        <v>15</v>
      </c>
      <c r="K41" s="324"/>
      <c r="L41" s="294"/>
      <c r="M41" s="294"/>
      <c r="N41" s="294"/>
      <c r="O41" s="294"/>
      <c r="P41" s="12"/>
      <c r="R41" s="277">
        <f t="shared" si="9"/>
        <v>0</v>
      </c>
      <c r="S41" s="296" t="e">
        <f t="shared" si="10"/>
        <v>#N/A</v>
      </c>
      <c r="T41" s="296" t="e">
        <f t="shared" si="11"/>
        <v>#N/A</v>
      </c>
      <c r="U41" s="297" t="e">
        <f t="shared" si="12"/>
        <v>#N/A</v>
      </c>
      <c r="V41" s="297" t="e">
        <f t="shared" si="13"/>
        <v>#N/A</v>
      </c>
      <c r="W41" s="297" t="e">
        <f t="shared" si="14"/>
        <v>#N/A</v>
      </c>
      <c r="X41" s="297" t="e">
        <f t="shared" si="15"/>
        <v>#N/A</v>
      </c>
      <c r="Y41" s="297" t="e">
        <f t="shared" si="16"/>
        <v>#N/A</v>
      </c>
      <c r="Z41" s="296" t="e">
        <f t="shared" si="17"/>
        <v>#N/A</v>
      </c>
      <c r="BC41" s="44"/>
      <c r="BD41" s="44"/>
    </row>
    <row r="42" spans="2:56" ht="15">
      <c r="B42" s="559"/>
      <c r="C42" s="349"/>
      <c r="D42" s="554"/>
      <c r="E42" s="555"/>
      <c r="F42" s="294"/>
      <c r="G42" s="42"/>
      <c r="H42" s="41"/>
      <c r="I42" s="42"/>
      <c r="J42" s="291" t="s">
        <v>149</v>
      </c>
      <c r="K42" s="324"/>
      <c r="L42" s="294"/>
      <c r="M42" s="294"/>
      <c r="N42" s="294"/>
      <c r="O42" s="294"/>
      <c r="P42" s="12"/>
      <c r="BC42" s="44"/>
      <c r="BD42" s="44"/>
    </row>
    <row r="43" spans="2:56" ht="15.75" thickBot="1">
      <c r="B43" s="560"/>
      <c r="C43" s="350"/>
      <c r="D43" s="556"/>
      <c r="E43" s="557"/>
      <c r="F43" s="294"/>
      <c r="G43" s="42"/>
      <c r="H43" s="41"/>
      <c r="I43" s="42"/>
      <c r="J43" s="291" t="s">
        <v>148</v>
      </c>
      <c r="K43" s="324"/>
      <c r="L43" s="294"/>
      <c r="M43" s="294"/>
      <c r="N43" s="294"/>
      <c r="O43" s="294"/>
      <c r="P43" s="12"/>
      <c r="BC43" s="44"/>
      <c r="BD43" s="44"/>
    </row>
    <row r="44" spans="2:56" ht="17.649999999999999" customHeight="1" thickBot="1">
      <c r="B44" s="312" t="s">
        <v>139</v>
      </c>
      <c r="C44" s="313"/>
      <c r="D44" s="550" t="e">
        <f>AVERAGE(D22:E43)</f>
        <v>#DIV/0!</v>
      </c>
      <c r="E44" s="551"/>
      <c r="F44" s="294"/>
      <c r="H44" s="41"/>
      <c r="I44" s="42"/>
      <c r="J44" s="295" t="s">
        <v>134</v>
      </c>
      <c r="K44" s="324"/>
      <c r="L44" s="294"/>
      <c r="M44" s="294"/>
      <c r="N44" s="294"/>
      <c r="O44" s="294"/>
      <c r="P44" s="12"/>
      <c r="BC44" s="44"/>
      <c r="BD44" s="44"/>
    </row>
    <row r="45" spans="2:56" ht="17.649999999999999" customHeight="1">
      <c r="B45" s="363"/>
      <c r="C45" s="364"/>
      <c r="D45" s="365"/>
      <c r="E45" s="365"/>
      <c r="F45" s="294"/>
      <c r="G45" s="42"/>
      <c r="H45" s="41"/>
      <c r="I45" s="42"/>
      <c r="J45" s="295" t="s">
        <v>131</v>
      </c>
      <c r="K45" s="324"/>
      <c r="L45" s="294"/>
      <c r="M45" s="294"/>
      <c r="N45" s="294"/>
      <c r="O45" s="294"/>
      <c r="P45" s="12"/>
      <c r="BC45" s="44"/>
      <c r="BD45" s="44"/>
    </row>
    <row r="46" spans="2:56" ht="15.6" customHeight="1">
      <c r="B46" s="45"/>
      <c r="C46" s="11"/>
      <c r="D46" s="11"/>
      <c r="E46" s="46"/>
      <c r="F46" s="294"/>
      <c r="G46" s="42"/>
      <c r="H46" s="41"/>
      <c r="I46" s="42"/>
      <c r="J46" s="346" t="s">
        <v>130</v>
      </c>
      <c r="K46" s="324">
        <f>SUM(K36:K45)</f>
        <v>7</v>
      </c>
      <c r="L46" s="294"/>
      <c r="M46" s="294"/>
      <c r="N46" s="294"/>
      <c r="O46" s="294"/>
      <c r="P46" s="12"/>
    </row>
    <row r="47" spans="2:56" ht="20.25" customHeight="1">
      <c r="B47" s="15" t="s">
        <v>42</v>
      </c>
      <c r="C47" s="1" t="s">
        <v>43</v>
      </c>
      <c r="D47" s="1"/>
      <c r="E47" s="1"/>
      <c r="F47" s="294"/>
      <c r="G47" s="42"/>
      <c r="H47" s="41"/>
      <c r="I47" s="42"/>
      <c r="L47" s="294"/>
      <c r="N47" s="315"/>
      <c r="P47" s="334"/>
    </row>
    <row r="48" spans="2:56" ht="15" customHeight="1" thickBot="1"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1"/>
      <c r="O48" s="48"/>
      <c r="P48" s="49"/>
    </row>
    <row r="49" spans="2:57" ht="15" customHeight="1" thickBot="1">
      <c r="B49" s="480" t="s">
        <v>17</v>
      </c>
      <c r="C49" s="480" t="s">
        <v>44</v>
      </c>
      <c r="D49" s="492" t="s">
        <v>45</v>
      </c>
      <c r="E49" s="494" t="s">
        <v>46</v>
      </c>
      <c r="F49" s="488" t="s">
        <v>47</v>
      </c>
      <c r="G49" s="478" t="s">
        <v>48</v>
      </c>
      <c r="H49" s="480" t="s">
        <v>49</v>
      </c>
      <c r="I49" s="480" t="s">
        <v>50</v>
      </c>
      <c r="J49" s="472" t="s">
        <v>28</v>
      </c>
      <c r="K49" s="484" t="s">
        <v>51</v>
      </c>
      <c r="L49" s="486" t="s">
        <v>52</v>
      </c>
      <c r="M49" s="472" t="s">
        <v>53</v>
      </c>
      <c r="N49" s="13"/>
      <c r="O49" s="13"/>
      <c r="P49" s="50"/>
    </row>
    <row r="50" spans="2:57" ht="28.5" customHeight="1" thickTop="1" thickBot="1">
      <c r="B50" s="481"/>
      <c r="C50" s="481"/>
      <c r="D50" s="493"/>
      <c r="E50" s="495"/>
      <c r="F50" s="489"/>
      <c r="G50" s="479"/>
      <c r="H50" s="481"/>
      <c r="I50" s="481"/>
      <c r="J50" s="473"/>
      <c r="K50" s="485"/>
      <c r="L50" s="487"/>
      <c r="M50" s="473"/>
      <c r="N50" s="13"/>
      <c r="O50" s="13"/>
      <c r="P50" s="50"/>
      <c r="Q50" s="355"/>
      <c r="AB50" s="51">
        <v>43474</v>
      </c>
      <c r="AC50" s="51">
        <v>43475</v>
      </c>
      <c r="AD50" s="51">
        <v>43476</v>
      </c>
      <c r="AE50" s="51">
        <v>43477</v>
      </c>
      <c r="AF50" s="51">
        <v>43478</v>
      </c>
      <c r="AG50" s="51">
        <v>43479</v>
      </c>
      <c r="AH50" s="51">
        <v>43480</v>
      </c>
      <c r="AI50" s="51">
        <v>43481</v>
      </c>
      <c r="AJ50" s="51">
        <v>43482</v>
      </c>
      <c r="AK50" s="51">
        <v>43483</v>
      </c>
      <c r="AL50" s="51">
        <v>43484</v>
      </c>
      <c r="AM50" s="51">
        <v>43485</v>
      </c>
      <c r="AN50" s="51">
        <v>43486</v>
      </c>
      <c r="AO50" s="51">
        <v>43487</v>
      </c>
      <c r="AP50" s="51">
        <v>43488</v>
      </c>
      <c r="AQ50" s="51">
        <v>43489</v>
      </c>
      <c r="AR50" s="51">
        <v>43490</v>
      </c>
      <c r="AS50" s="51">
        <v>43491</v>
      </c>
      <c r="AT50" s="51">
        <v>43492</v>
      </c>
      <c r="AU50" s="51">
        <v>43493</v>
      </c>
      <c r="AV50" s="51">
        <v>43494</v>
      </c>
      <c r="AW50" s="51">
        <v>43495</v>
      </c>
      <c r="AX50" s="51">
        <v>43496</v>
      </c>
    </row>
    <row r="51" spans="2:57" s="54" customFormat="1" ht="59.45" hidden="1" customHeight="1" thickBot="1">
      <c r="B51" s="460"/>
      <c r="C51" s="442"/>
      <c r="D51" s="443"/>
      <c r="E51" s="444"/>
      <c r="F51" s="445"/>
      <c r="G51" s="428"/>
      <c r="H51" s="429"/>
      <c r="I51" s="429"/>
      <c r="J51" s="449"/>
      <c r="K51" s="450"/>
      <c r="L51" s="464"/>
      <c r="M51" s="457"/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>
        <f>[20]January_2019!L7</f>
        <v>285.8</v>
      </c>
      <c r="AC51" s="57">
        <f>[20]January_2019!M7</f>
        <v>508.1</v>
      </c>
      <c r="AD51" s="57">
        <f>[20]January_2019!N7</f>
        <v>0</v>
      </c>
      <c r="AE51" s="57">
        <f>[20]January_2019!O7</f>
        <v>0</v>
      </c>
      <c r="AF51" s="57">
        <f>[20]January_2019!P7</f>
        <v>109.56666666666666</v>
      </c>
      <c r="AG51" s="57">
        <f>[20]January_2019!Q7</f>
        <v>297.64999999999998</v>
      </c>
      <c r="AH51" s="57">
        <f>[20]January_2019!R7</f>
        <v>122.3</v>
      </c>
      <c r="AI51" s="57">
        <f>[20]January_2019!S7</f>
        <v>0</v>
      </c>
      <c r="AJ51" s="57">
        <f>[20]January_2019!T7</f>
        <v>294.7</v>
      </c>
      <c r="AK51" s="57">
        <f>[20]January_2019!U7</f>
        <v>280.5</v>
      </c>
      <c r="AL51" s="57">
        <f>[20]January_2019!V7</f>
        <v>0</v>
      </c>
      <c r="AM51" s="57">
        <f>[20]January_2019!W7</f>
        <v>0</v>
      </c>
      <c r="AN51" s="57">
        <f>[20]January_2019!X7</f>
        <v>188.25</v>
      </c>
      <c r="AO51" s="57">
        <f>[20]January_2019!Y7</f>
        <v>295.7</v>
      </c>
      <c r="AP51" s="57">
        <f>[20]January_2019!Z7</f>
        <v>257.8</v>
      </c>
      <c r="AQ51" s="57">
        <f>[20]January_2019!AA7</f>
        <v>291.2</v>
      </c>
      <c r="AR51" s="57">
        <f>[20]January_2019!AB7</f>
        <v>187</v>
      </c>
      <c r="AS51" s="57">
        <f>[20]January_2019!AC7</f>
        <v>0</v>
      </c>
      <c r="AT51" s="57">
        <f>[20]January_2019!AD7</f>
        <v>0</v>
      </c>
      <c r="AU51" s="57">
        <f>[20]January_2019!AE7</f>
        <v>485.1</v>
      </c>
      <c r="AV51" s="57">
        <f>[20]January_2019!AF7</f>
        <v>171.55</v>
      </c>
      <c r="AW51" s="57">
        <f>[20]January_2019!AG7</f>
        <v>423.8</v>
      </c>
      <c r="AX51" s="277">
        <f>[20]January_2019!AH7</f>
        <v>0</v>
      </c>
      <c r="AY51" s="277"/>
      <c r="AZ51" s="277"/>
      <c r="BA51" s="277"/>
      <c r="BB51" s="277"/>
      <c r="BC51" s="277"/>
      <c r="BD51" s="277"/>
      <c r="BE51" s="277"/>
    </row>
    <row r="52" spans="2:57" s="54" customFormat="1" ht="14.25" hidden="1" customHeight="1" thickBot="1">
      <c r="B52" s="459"/>
      <c r="C52" s="431"/>
      <c r="D52" s="432"/>
      <c r="E52" s="433"/>
      <c r="F52" s="434"/>
      <c r="G52" s="435"/>
      <c r="H52" s="429"/>
      <c r="I52" s="429"/>
      <c r="J52" s="452"/>
      <c r="K52" s="437"/>
      <c r="L52" s="453"/>
      <c r="M52" s="422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277"/>
      <c r="AY52" s="277"/>
      <c r="AZ52" s="277"/>
      <c r="BA52" s="277"/>
      <c r="BB52" s="277"/>
      <c r="BC52" s="277"/>
      <c r="BD52" s="277"/>
      <c r="BE52" s="277"/>
    </row>
    <row r="53" spans="2:57" s="54" customFormat="1" ht="59.45" customHeight="1" thickBot="1">
      <c r="B53" s="461" t="str">
        <f>J36</f>
        <v>CARIB</v>
      </c>
      <c r="C53" s="442">
        <v>45918</v>
      </c>
      <c r="D53" s="443">
        <f>[39]September_2025!$U$3</f>
        <v>592.59999999999991</v>
      </c>
      <c r="E53" s="444"/>
      <c r="F53" s="444"/>
      <c r="G53" s="445">
        <f>[39]September_2025!$U$7</f>
        <v>572.79999999999995</v>
      </c>
      <c r="H53" s="463"/>
      <c r="I53" s="463"/>
      <c r="J53" s="449" t="s">
        <v>188</v>
      </c>
      <c r="K53" s="450">
        <f>[40]September_2025!$U$18</f>
        <v>0.66994152046783617</v>
      </c>
      <c r="L53" s="464">
        <f>(((D53+E53)-G53)/(D53+E53))*100</f>
        <v>3.3412082348970564</v>
      </c>
      <c r="M53" s="457" t="s">
        <v>187</v>
      </c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2:57" s="54" customFormat="1" ht="15">
      <c r="B54" s="454"/>
      <c r="C54" s="431"/>
      <c r="D54" s="432"/>
      <c r="E54" s="433"/>
      <c r="F54" s="434"/>
      <c r="G54" s="435"/>
      <c r="H54" s="436"/>
      <c r="I54" s="451"/>
      <c r="J54" s="452"/>
      <c r="K54" s="437"/>
      <c r="L54" s="453"/>
      <c r="M54" s="422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36.6" hidden="1" customHeight="1" thickBot="1">
      <c r="B55" s="460"/>
      <c r="C55" s="442"/>
      <c r="D55" s="443"/>
      <c r="E55" s="444"/>
      <c r="F55" s="445"/>
      <c r="G55" s="446"/>
      <c r="H55" s="447"/>
      <c r="I55" s="448"/>
      <c r="J55" s="449"/>
      <c r="K55" s="450"/>
      <c r="L55" s="455"/>
      <c r="M55" s="456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16.5" hidden="1" customHeight="1" thickBot="1">
      <c r="B56" s="438"/>
      <c r="C56" s="424"/>
      <c r="D56" s="425"/>
      <c r="E56" s="426"/>
      <c r="F56" s="427"/>
      <c r="G56" s="428"/>
      <c r="H56" s="429"/>
      <c r="I56" s="439"/>
      <c r="J56" s="440"/>
      <c r="K56" s="430"/>
      <c r="L56" s="441"/>
      <c r="M56" s="423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415"/>
      <c r="AC56" s="415"/>
      <c r="AD56" s="415"/>
      <c r="AE56" s="415"/>
      <c r="AF56" s="415"/>
      <c r="AG56" s="415"/>
      <c r="AH56" s="415"/>
      <c r="AI56" s="415"/>
      <c r="AJ56" s="415"/>
      <c r="AK56" s="415"/>
      <c r="AL56" s="415"/>
      <c r="AM56" s="415"/>
      <c r="AN56" s="415"/>
      <c r="AO56" s="415"/>
      <c r="AP56" s="415"/>
      <c r="AQ56" s="415"/>
      <c r="AR56" s="415"/>
      <c r="AS56" s="415"/>
      <c r="AT56" s="415"/>
      <c r="AU56" s="415"/>
      <c r="AV56" s="415"/>
      <c r="AW56" s="415"/>
    </row>
    <row r="57" spans="2:57" ht="18" customHeight="1" thickBot="1">
      <c r="B57" s="59"/>
      <c r="C57" s="30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 t="s">
        <v>41</v>
      </c>
      <c r="O57" s="56"/>
      <c r="P57" s="60"/>
    </row>
    <row r="58" spans="2:57" ht="15.75" thickBot="1">
      <c r="B58" s="474" t="s">
        <v>55</v>
      </c>
      <c r="C58" s="475"/>
      <c r="D58" s="475"/>
      <c r="E58" s="475"/>
      <c r="F58" s="476"/>
      <c r="G58" s="474" t="s">
        <v>56</v>
      </c>
      <c r="H58" s="475"/>
      <c r="I58" s="475"/>
      <c r="J58" s="476"/>
      <c r="K58" s="474" t="s">
        <v>51</v>
      </c>
      <c r="L58" s="475"/>
      <c r="M58" s="475"/>
      <c r="N58" s="477"/>
      <c r="O58" s="56"/>
      <c r="P58" s="50"/>
    </row>
    <row r="59" spans="2:57" ht="15">
      <c r="B59" s="61" t="s">
        <v>17</v>
      </c>
      <c r="C59" s="62" t="s">
        <v>36</v>
      </c>
      <c r="D59" s="62" t="s">
        <v>37</v>
      </c>
      <c r="E59" s="62" t="s">
        <v>38</v>
      </c>
      <c r="F59" s="63" t="s">
        <v>39</v>
      </c>
      <c r="G59" s="62" t="s">
        <v>36</v>
      </c>
      <c r="H59" s="62" t="s">
        <v>37</v>
      </c>
      <c r="I59" s="62" t="s">
        <v>38</v>
      </c>
      <c r="J59" s="63" t="s">
        <v>39</v>
      </c>
      <c r="K59" s="62" t="s">
        <v>36</v>
      </c>
      <c r="L59" s="62" t="s">
        <v>37</v>
      </c>
      <c r="M59" s="62" t="s">
        <v>38</v>
      </c>
      <c r="N59" s="63" t="s">
        <v>39</v>
      </c>
      <c r="O59" s="56"/>
      <c r="P59" s="64"/>
    </row>
    <row r="60" spans="2:57" ht="15">
      <c r="B60" s="29" t="s">
        <v>6</v>
      </c>
      <c r="C60" s="65">
        <f>L53</f>
        <v>3.3412082348970564</v>
      </c>
      <c r="D60" s="76"/>
      <c r="E60" s="76"/>
      <c r="F60" s="66">
        <v>4.8</v>
      </c>
      <c r="G60" s="65">
        <f>[39]September_2025!$U$11</f>
        <v>2.9495599700465416</v>
      </c>
      <c r="H60" s="76"/>
      <c r="I60" s="76"/>
      <c r="J60" s="66">
        <v>4.8</v>
      </c>
      <c r="K60" s="67">
        <f>K53</f>
        <v>0.66994152046783617</v>
      </c>
      <c r="L60" s="194"/>
      <c r="M60" s="194"/>
      <c r="N60" s="68">
        <v>1</v>
      </c>
      <c r="O60" s="56"/>
      <c r="P60" s="69"/>
    </row>
    <row r="61" spans="2:57" ht="15">
      <c r="B61" s="33" t="s">
        <v>9</v>
      </c>
      <c r="C61" s="65"/>
      <c r="D61" s="76"/>
      <c r="E61" s="76"/>
      <c r="F61" s="66">
        <v>4.8</v>
      </c>
      <c r="G61" s="65"/>
      <c r="H61" s="76"/>
      <c r="I61" s="76"/>
      <c r="J61" s="66">
        <v>4.8</v>
      </c>
      <c r="K61" s="67"/>
      <c r="L61" s="194"/>
      <c r="M61" s="194"/>
      <c r="N61" s="68">
        <v>1</v>
      </c>
      <c r="P61" s="69"/>
    </row>
    <row r="62" spans="2:57" ht="15">
      <c r="B62" s="34" t="s">
        <v>40</v>
      </c>
      <c r="C62" s="65"/>
      <c r="D62" s="76"/>
      <c r="E62" s="76"/>
      <c r="F62" s="66">
        <v>5.5</v>
      </c>
      <c r="G62" s="65"/>
      <c r="H62" s="76"/>
      <c r="I62" s="76"/>
      <c r="J62" s="66">
        <v>5.5</v>
      </c>
      <c r="K62" s="67"/>
      <c r="L62" s="194"/>
      <c r="M62" s="194"/>
      <c r="N62" s="68">
        <v>1</v>
      </c>
      <c r="P62" s="69"/>
    </row>
    <row r="63" spans="2:57" ht="15">
      <c r="B63" s="22" t="s">
        <v>33</v>
      </c>
      <c r="C63" s="65"/>
      <c r="D63" s="76"/>
      <c r="E63" s="76"/>
      <c r="F63" s="66">
        <v>3.3</v>
      </c>
      <c r="G63" s="65"/>
      <c r="H63" s="76"/>
      <c r="I63" s="76"/>
      <c r="J63" s="66">
        <v>3.3</v>
      </c>
      <c r="K63" s="67"/>
      <c r="L63" s="194"/>
      <c r="M63" s="194"/>
      <c r="N63" s="68">
        <v>1</v>
      </c>
      <c r="P63" s="69"/>
    </row>
    <row r="64" spans="2:57" ht="15">
      <c r="B64" s="35" t="s">
        <v>165</v>
      </c>
      <c r="C64" s="65"/>
      <c r="D64" s="76"/>
      <c r="E64" s="76"/>
      <c r="F64" s="66">
        <v>3.3</v>
      </c>
      <c r="G64" s="282"/>
      <c r="H64" s="76"/>
      <c r="I64" s="76"/>
      <c r="J64" s="66">
        <v>3</v>
      </c>
      <c r="K64" s="67"/>
      <c r="L64" s="194"/>
      <c r="M64" s="194"/>
      <c r="N64" s="68">
        <v>1</v>
      </c>
      <c r="P64" s="69"/>
    </row>
    <row r="65" spans="2:16" ht="15">
      <c r="B65" s="36" t="s">
        <v>15</v>
      </c>
      <c r="C65" s="65"/>
      <c r="D65" s="76"/>
      <c r="E65" s="76"/>
      <c r="F65" s="70">
        <f>[21]May_2022!$M$43</f>
        <v>3.4878406700073312</v>
      </c>
      <c r="G65" s="282"/>
      <c r="H65" s="76"/>
      <c r="I65" s="76"/>
      <c r="J65" s="66">
        <v>5.5</v>
      </c>
      <c r="K65" s="67"/>
      <c r="L65" s="194"/>
      <c r="M65" s="194"/>
      <c r="N65" s="68">
        <v>1</v>
      </c>
      <c r="P65" s="69"/>
    </row>
    <row r="66" spans="2:16" ht="15">
      <c r="B66" s="37" t="s">
        <v>16</v>
      </c>
      <c r="C66" s="65"/>
      <c r="D66" s="76"/>
      <c r="E66" s="76"/>
      <c r="F66" s="66">
        <v>3.3</v>
      </c>
      <c r="G66" s="282"/>
      <c r="H66" s="76"/>
      <c r="I66" s="76"/>
      <c r="J66" s="66">
        <v>3.3</v>
      </c>
      <c r="K66" s="67"/>
      <c r="L66" s="194"/>
      <c r="M66" s="194"/>
      <c r="N66" s="71">
        <v>1</v>
      </c>
      <c r="P66" s="69"/>
    </row>
    <row r="67" spans="2:16" ht="15.75" thickBot="1">
      <c r="B67" s="38" t="s">
        <v>164</v>
      </c>
      <c r="C67" s="65"/>
      <c r="D67" s="76"/>
      <c r="E67" s="76"/>
      <c r="F67" s="66">
        <v>7.5</v>
      </c>
      <c r="G67" s="282"/>
      <c r="H67" s="76"/>
      <c r="I67" s="76"/>
      <c r="J67" s="66">
        <v>7.5</v>
      </c>
      <c r="K67" s="67"/>
      <c r="M67" s="194"/>
      <c r="N67" s="71">
        <v>1</v>
      </c>
      <c r="P67" s="69"/>
    </row>
    <row r="68" spans="2:16" ht="15.75" thickBot="1">
      <c r="B68" s="414" t="s">
        <v>161</v>
      </c>
      <c r="C68" s="65"/>
      <c r="D68" s="76"/>
      <c r="E68" s="76"/>
      <c r="F68" s="66">
        <v>4.8</v>
      </c>
      <c r="G68" s="282"/>
      <c r="H68" s="76"/>
      <c r="I68" s="76"/>
      <c r="J68" s="66">
        <v>4.8</v>
      </c>
      <c r="K68" s="67"/>
      <c r="L68" s="194"/>
      <c r="M68" s="194"/>
      <c r="N68" s="71">
        <v>1</v>
      </c>
      <c r="O68" s="74"/>
      <c r="P68" s="75"/>
    </row>
    <row r="69" spans="2:16" ht="15">
      <c r="D69" s="76"/>
      <c r="E69" s="76"/>
      <c r="F69" s="341">
        <v>5.5</v>
      </c>
      <c r="H69" s="76"/>
      <c r="I69" s="76"/>
      <c r="J69" s="341">
        <v>5.5</v>
      </c>
      <c r="L69" s="194"/>
      <c r="M69" s="194"/>
      <c r="N69" s="386">
        <v>1</v>
      </c>
    </row>
    <row r="73" spans="2:16">
      <c r="F73" s="315"/>
    </row>
    <row r="74" spans="2:16" ht="15">
      <c r="F74" s="341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0:N20"/>
    <mergeCell ref="D21:E21"/>
    <mergeCell ref="B22:B33"/>
    <mergeCell ref="D22:E23"/>
    <mergeCell ref="D24:E25"/>
    <mergeCell ref="D26:E27"/>
    <mergeCell ref="D28:E29"/>
    <mergeCell ref="D30:E31"/>
    <mergeCell ref="D32:E33"/>
    <mergeCell ref="B34:B43"/>
    <mergeCell ref="D34:E35"/>
    <mergeCell ref="J34:K34"/>
    <mergeCell ref="L35:N35"/>
    <mergeCell ref="D36:E37"/>
    <mergeCell ref="D38:E39"/>
    <mergeCell ref="D40:E41"/>
    <mergeCell ref="D42:E43"/>
    <mergeCell ref="D44:E44"/>
    <mergeCell ref="B49:B50"/>
    <mergeCell ref="C49:C50"/>
    <mergeCell ref="D49:D50"/>
    <mergeCell ref="E49:E50"/>
    <mergeCell ref="M49:M50"/>
    <mergeCell ref="B58:F58"/>
    <mergeCell ref="G58:J58"/>
    <mergeCell ref="K58:N58"/>
    <mergeCell ref="G49:G50"/>
    <mergeCell ref="H49:H50"/>
    <mergeCell ref="I49:I50"/>
    <mergeCell ref="J49:J50"/>
    <mergeCell ref="K49:K50"/>
    <mergeCell ref="L49:L50"/>
    <mergeCell ref="F49:F50"/>
  </mergeCells>
  <conditionalFormatting sqref="B44:B45">
    <cfRule type="cellIs" dxfId="1447" priority="137" operator="notBetween">
      <formula>#REF!</formula>
      <formula>#REF!</formula>
    </cfRule>
  </conditionalFormatting>
  <conditionalFormatting sqref="C48">
    <cfRule type="cellIs" dxfId="1446" priority="168" stopIfTrue="1" operator="lessThan">
      <formula>96</formula>
    </cfRule>
    <cfRule type="cellIs" dxfId="1445" priority="169" stopIfTrue="1" operator="greaterThan">
      <formula>100</formula>
    </cfRule>
  </conditionalFormatting>
  <conditionalFormatting sqref="C60:C61">
    <cfRule type="cellIs" dxfId="1444" priority="172" stopIfTrue="1" operator="greaterThan">
      <formula>$F61</formula>
    </cfRule>
    <cfRule type="cellIs" dxfId="1443" priority="170" stopIfTrue="1" operator="greaterThan">
      <formula>$F60</formula>
    </cfRule>
  </conditionalFormatting>
  <conditionalFormatting sqref="C60:C64">
    <cfRule type="cellIs" dxfId="1442" priority="118" stopIfTrue="1" operator="lessThanOrEqual">
      <formula>0</formula>
    </cfRule>
  </conditionalFormatting>
  <conditionalFormatting sqref="C61:C68">
    <cfRule type="cellIs" dxfId="1441" priority="117" stopIfTrue="1" operator="greaterThan">
      <formula>$F61</formula>
    </cfRule>
  </conditionalFormatting>
  <conditionalFormatting sqref="C65">
    <cfRule type="cellIs" dxfId="1440" priority="57" stopIfTrue="1" operator="greaterThan">
      <formula>$F64</formula>
    </cfRule>
    <cfRule type="cellIs" dxfId="1439" priority="56" stopIfTrue="1" operator="lessThanOrEqual">
      <formula>0</formula>
    </cfRule>
  </conditionalFormatting>
  <conditionalFormatting sqref="C66:C68">
    <cfRule type="cellIs" dxfId="1438" priority="134" stopIfTrue="1" operator="lessThanOrEqual">
      <formula>0</formula>
    </cfRule>
  </conditionalFormatting>
  <conditionalFormatting sqref="C71:C75">
    <cfRule type="cellIs" dxfId="1437" priority="160" stopIfTrue="1" operator="lessThanOrEqual">
      <formula>0</formula>
    </cfRule>
  </conditionalFormatting>
  <conditionalFormatting sqref="C72:C75">
    <cfRule type="cellIs" dxfId="1436" priority="159" stopIfTrue="1" operator="greaterThan">
      <formula>$F$71</formula>
    </cfRule>
  </conditionalFormatting>
  <conditionalFormatting sqref="C77">
    <cfRule type="cellIs" dxfId="1435" priority="162" stopIfTrue="1" operator="lessThanOrEqual">
      <formula>0</formula>
    </cfRule>
    <cfRule type="cellIs" dxfId="1434" priority="161" stopIfTrue="1" operator="greaterThan">
      <formula>$F$71</formula>
    </cfRule>
  </conditionalFormatting>
  <conditionalFormatting sqref="C71:D71 D73:D79">
    <cfRule type="cellIs" dxfId="1433" priority="154" stopIfTrue="1" operator="greaterThan">
      <formula>4.5</formula>
    </cfRule>
  </conditionalFormatting>
  <conditionalFormatting sqref="D44:D45">
    <cfRule type="cellIs" dxfId="1432" priority="138" operator="notBetween">
      <formula>#REF!</formula>
      <formula>#REF!</formula>
    </cfRule>
  </conditionalFormatting>
  <conditionalFormatting sqref="D60:D67">
    <cfRule type="cellIs" dxfId="1431" priority="132" stopIfTrue="1" operator="lessThanOrEqual">
      <formula>0</formula>
    </cfRule>
  </conditionalFormatting>
  <conditionalFormatting sqref="D68">
    <cfRule type="cellIs" dxfId="1430" priority="131" stopIfTrue="1" operator="lessThanOrEqual">
      <formula>0</formula>
    </cfRule>
  </conditionalFormatting>
  <conditionalFormatting sqref="D71 D73:D79">
    <cfRule type="cellIs" dxfId="1429" priority="155" stopIfTrue="1" operator="lessThanOrEqual">
      <formula>0</formula>
    </cfRule>
  </conditionalFormatting>
  <conditionalFormatting sqref="D72">
    <cfRule type="cellIs" dxfId="1428" priority="147" stopIfTrue="1" operator="lessThanOrEqual">
      <formula>0</formula>
    </cfRule>
    <cfRule type="cellIs" dxfId="1427" priority="146" stopIfTrue="1" operator="greaterThan">
      <formula>$F$71</formula>
    </cfRule>
  </conditionalFormatting>
  <conditionalFormatting sqref="D60:E69">
    <cfRule type="cellIs" dxfId="1426" priority="115" stopIfTrue="1" operator="greaterThan">
      <formula>$F60</formula>
    </cfRule>
  </conditionalFormatting>
  <conditionalFormatting sqref="D69:E69">
    <cfRule type="cellIs" dxfId="1425" priority="116" stopIfTrue="1" operator="lessThanOrEqual">
      <formula>0</formula>
    </cfRule>
  </conditionalFormatting>
  <conditionalFormatting sqref="E10:E19">
    <cfRule type="cellIs" dxfId="1424" priority="42" operator="lessThan">
      <formula>48</formula>
    </cfRule>
  </conditionalFormatting>
  <conditionalFormatting sqref="E47 E48:F48">
    <cfRule type="cellIs" dxfId="1423" priority="151" stopIfTrue="1" operator="greaterThan">
      <formula>100</formula>
    </cfRule>
  </conditionalFormatting>
  <conditionalFormatting sqref="E48">
    <cfRule type="cellIs" dxfId="1422" priority="149" stopIfTrue="1" operator="greaterThan">
      <formula>100</formula>
    </cfRule>
    <cfRule type="cellIs" dxfId="1421" priority="148" stopIfTrue="1" operator="lessThan">
      <formula>96.8</formula>
    </cfRule>
  </conditionalFormatting>
  <conditionalFormatting sqref="E60:E68">
    <cfRule type="cellIs" dxfId="1420" priority="126" stopIfTrue="1" operator="lessThanOrEqual">
      <formula>0</formula>
    </cfRule>
  </conditionalFormatting>
  <conditionalFormatting sqref="E71:E79">
    <cfRule type="cellIs" dxfId="1419" priority="141" stopIfTrue="1" operator="lessThanOrEqual">
      <formula>0</formula>
    </cfRule>
    <cfRule type="cellIs" dxfId="1418" priority="140" stopIfTrue="1" operator="greaterThan">
      <formula>4.5</formula>
    </cfRule>
  </conditionalFormatting>
  <conditionalFormatting sqref="E48:F48 E47">
    <cfRule type="cellIs" dxfId="1417" priority="150" stopIfTrue="1" operator="lessThan">
      <formula>96.5</formula>
    </cfRule>
  </conditionalFormatting>
  <conditionalFormatting sqref="F10:F18">
    <cfRule type="cellIs" dxfId="1416" priority="54" operator="greaterThan">
      <formula>60</formula>
    </cfRule>
  </conditionalFormatting>
  <conditionalFormatting sqref="F48">
    <cfRule type="cellIs" dxfId="1415" priority="167" stopIfTrue="1" operator="greaterThan">
      <formula>100</formula>
    </cfRule>
    <cfRule type="cellIs" dxfId="1414" priority="166" stopIfTrue="1" operator="lessThan">
      <formula>96.8</formula>
    </cfRule>
  </conditionalFormatting>
  <conditionalFormatting sqref="F69">
    <cfRule type="cellIs" dxfId="1413" priority="127" stopIfTrue="1" operator="greaterThan">
      <formula>$F69</formula>
    </cfRule>
    <cfRule type="cellIs" dxfId="1412" priority="128" stopIfTrue="1" operator="lessThanOrEqual">
      <formula>0</formula>
    </cfRule>
  </conditionalFormatting>
  <conditionalFormatting sqref="F74">
    <cfRule type="cellIs" dxfId="1411" priority="87" stopIfTrue="1" operator="lessThanOrEqual">
      <formula>0</formula>
    </cfRule>
    <cfRule type="cellIs" dxfId="1410" priority="86" stopIfTrue="1" operator="greaterThan">
      <formula>$F74</formula>
    </cfRule>
  </conditionalFormatting>
  <conditionalFormatting sqref="G10:G17 G19">
    <cfRule type="expression" dxfId="1409" priority="51">
      <formula>IF(+(IF(G10&lt;S10,0,IF(G10&gt;T10,0,1)))=0,1)</formula>
    </cfRule>
  </conditionalFormatting>
  <conditionalFormatting sqref="G60:G62">
    <cfRule type="cellIs" dxfId="1408" priority="119" stopIfTrue="1" operator="greaterThan">
      <formula>$F60</formula>
    </cfRule>
    <cfRule type="cellIs" dxfId="1407" priority="120" stopIfTrue="1" operator="lessThanOrEqual">
      <formula>0</formula>
    </cfRule>
  </conditionalFormatting>
  <conditionalFormatting sqref="G60:G63">
    <cfRule type="cellIs" dxfId="1406" priority="129" stopIfTrue="1" operator="greaterThan">
      <formula>$F60</formula>
    </cfRule>
    <cfRule type="cellIs" dxfId="1405" priority="130" stopIfTrue="1" operator="lessThanOrEqual">
      <formula>0</formula>
    </cfRule>
  </conditionalFormatting>
  <conditionalFormatting sqref="G64:G68">
    <cfRule type="cellIs" dxfId="1404" priority="135" stopIfTrue="1" operator="greaterThan">
      <formula>$J64</formula>
    </cfRule>
    <cfRule type="cellIs" dxfId="1403" priority="136" stopIfTrue="1" operator="lessThanOrEqual">
      <formula>0</formula>
    </cfRule>
  </conditionalFormatting>
  <conditionalFormatting sqref="G73:G78 C76 C78">
    <cfRule type="cellIs" dxfId="1402" priority="163" stopIfTrue="1" operator="greaterThan">
      <formula>4.5</formula>
    </cfRule>
    <cfRule type="cellIs" dxfId="1401" priority="164" stopIfTrue="1" operator="lessThanOrEqual">
      <formula>0</formula>
    </cfRule>
  </conditionalFormatting>
  <conditionalFormatting sqref="G72:H72">
    <cfRule type="cellIs" dxfId="1400" priority="145" stopIfTrue="1" operator="lessThanOrEqual">
      <formula>0</formula>
    </cfRule>
    <cfRule type="cellIs" dxfId="1399" priority="144" stopIfTrue="1" operator="greaterThan">
      <formula>$F$71</formula>
    </cfRule>
  </conditionalFormatting>
  <conditionalFormatting sqref="H10:H17 G18:H18">
    <cfRule type="expression" dxfId="1398" priority="55">
      <formula>IF(+(IF(G10&lt;#REF!,0,IF(G10&gt;#REF!,0,1)))=0,1)</formula>
    </cfRule>
  </conditionalFormatting>
  <conditionalFormatting sqref="H19">
    <cfRule type="expression" dxfId="1397" priority="52">
      <formula>IF(+(IF(H19&lt;#REF!,0,IF(H19&gt;#REF!,0,1)))=0,1)</formula>
    </cfRule>
  </conditionalFormatting>
  <conditionalFormatting sqref="H33:H47">
    <cfRule type="cellIs" dxfId="1396" priority="142" stopIfTrue="1" operator="greaterThan">
      <formula>0</formula>
    </cfRule>
  </conditionalFormatting>
  <conditionalFormatting sqref="H51">
    <cfRule type="cellIs" dxfId="1395" priority="25" stopIfTrue="1" operator="lessThanOrEqual">
      <formula>0</formula>
    </cfRule>
    <cfRule type="cellIs" dxfId="1394" priority="24" stopIfTrue="1" operator="greaterThan">
      <formula>$F$39</formula>
    </cfRule>
    <cfRule type="cellIs" dxfId="1393" priority="23" stopIfTrue="1" operator="lessThanOrEqual">
      <formula>0</formula>
    </cfRule>
    <cfRule type="cellIs" dxfId="1392" priority="22" stopIfTrue="1" operator="greaterThan">
      <formula>$F$41</formula>
    </cfRule>
    <cfRule type="cellIs" dxfId="1391" priority="14" stopIfTrue="1" operator="greaterThan">
      <formula>$F$38</formula>
    </cfRule>
    <cfRule type="cellIs" dxfId="1390" priority="13" stopIfTrue="1" operator="lessThanOrEqual">
      <formula>0</formula>
    </cfRule>
  </conditionalFormatting>
  <conditionalFormatting sqref="H52">
    <cfRule type="cellIs" dxfId="1389" priority="73" stopIfTrue="1" operator="lessThanOrEqual">
      <formula>0</formula>
    </cfRule>
    <cfRule type="cellIs" dxfId="1388" priority="74" stopIfTrue="1" operator="greaterThan">
      <formula>#REF!</formula>
    </cfRule>
    <cfRule type="cellIs" dxfId="1387" priority="83" stopIfTrue="1" operator="lessThanOrEqual">
      <formula>0</formula>
    </cfRule>
    <cfRule type="cellIs" dxfId="1386" priority="84" stopIfTrue="1" operator="greaterThan">
      <formula>#REF!</formula>
    </cfRule>
    <cfRule type="cellIs" dxfId="1385" priority="85" stopIfTrue="1" operator="lessThanOrEqual">
      <formula>0</formula>
    </cfRule>
    <cfRule type="cellIs" dxfId="1384" priority="82" stopIfTrue="1" operator="greaterThan">
      <formula>$F$20</formula>
    </cfRule>
  </conditionalFormatting>
  <conditionalFormatting sqref="H53">
    <cfRule type="cellIs" dxfId="1383" priority="39" stopIfTrue="1" operator="greaterThan">
      <formula>#REF!</formula>
    </cfRule>
    <cfRule type="cellIs" dxfId="1382" priority="29" stopIfTrue="1" operator="greaterThan">
      <formula>#REF!</formula>
    </cfRule>
    <cfRule type="cellIs" dxfId="1381" priority="28" stopIfTrue="1" operator="lessThanOrEqual">
      <formula>0</formula>
    </cfRule>
  </conditionalFormatting>
  <conditionalFormatting sqref="H53:H55">
    <cfRule type="cellIs" dxfId="1380" priority="40" stopIfTrue="1" operator="lessThanOrEqual">
      <formula>0</formula>
    </cfRule>
  </conditionalFormatting>
  <conditionalFormatting sqref="H54:H55">
    <cfRule type="cellIs" dxfId="1379" priority="71" stopIfTrue="1" operator="lessThanOrEqual">
      <formula>0</formula>
    </cfRule>
    <cfRule type="cellIs" dxfId="1378" priority="60" stopIfTrue="1" operator="greaterThan">
      <formula>#REF!</formula>
    </cfRule>
    <cfRule type="cellIs" dxfId="1377" priority="68" stopIfTrue="1" operator="greaterThan">
      <formula>$F$19</formula>
    </cfRule>
    <cfRule type="cellIs" dxfId="1376" priority="69" stopIfTrue="1" operator="lessThanOrEqual">
      <formula>0</formula>
    </cfRule>
    <cfRule type="cellIs" dxfId="1375" priority="70" stopIfTrue="1" operator="greaterThan">
      <formula>#REF!</formula>
    </cfRule>
  </conditionalFormatting>
  <conditionalFormatting sqref="H56">
    <cfRule type="cellIs" dxfId="1374" priority="99" stopIfTrue="1" operator="greaterThan">
      <formula>$F$35</formula>
    </cfRule>
    <cfRule type="cellIs" dxfId="1373" priority="90" stopIfTrue="1" operator="lessThanOrEqual">
      <formula>0</formula>
    </cfRule>
    <cfRule type="cellIs" dxfId="1372" priority="101" stopIfTrue="1" operator="greaterThan">
      <formula>$F$33</formula>
    </cfRule>
    <cfRule type="cellIs" dxfId="1371" priority="102" stopIfTrue="1" operator="lessThanOrEqual">
      <formula>0</formula>
    </cfRule>
    <cfRule type="cellIs" dxfId="1370" priority="91" stopIfTrue="1" operator="greaterThan">
      <formula>$F$32</formula>
    </cfRule>
    <cfRule type="cellIs" dxfId="1369" priority="100" stopIfTrue="1" operator="lessThanOrEqual">
      <formula>0</formula>
    </cfRule>
  </conditionalFormatting>
  <conditionalFormatting sqref="H60:H67">
    <cfRule type="cellIs" dxfId="1368" priority="122" stopIfTrue="1" operator="lessThanOrEqual">
      <formula>0</formula>
    </cfRule>
    <cfRule type="cellIs" dxfId="1367" priority="121" stopIfTrue="1" operator="greaterThan">
      <formula>$J60</formula>
    </cfRule>
  </conditionalFormatting>
  <conditionalFormatting sqref="H68">
    <cfRule type="cellIs" dxfId="1366" priority="123" operator="greaterThan">
      <formula>5.3</formula>
    </cfRule>
  </conditionalFormatting>
  <conditionalFormatting sqref="H71 H73:H79">
    <cfRule type="cellIs" dxfId="1365" priority="156" stopIfTrue="1" operator="greaterThan">
      <formula>4.5</formula>
    </cfRule>
    <cfRule type="cellIs" dxfId="1364" priority="157" stopIfTrue="1" operator="lessThanOrEqual">
      <formula>0</formula>
    </cfRule>
  </conditionalFormatting>
  <conditionalFormatting sqref="H51:I51">
    <cfRule type="cellIs" dxfId="1363" priority="15" stopIfTrue="1" operator="lessThanOrEqual">
      <formula>0</formula>
    </cfRule>
    <cfRule type="cellIs" dxfId="1362" priority="12" stopIfTrue="1" operator="greaterThan">
      <formula>$F$40</formula>
    </cfRule>
  </conditionalFormatting>
  <conditionalFormatting sqref="H52:I52">
    <cfRule type="cellIs" dxfId="1361" priority="72" stopIfTrue="1" operator="greaterThan">
      <formula>$F$19</formula>
    </cfRule>
    <cfRule type="cellIs" dxfId="1360" priority="75" stopIfTrue="1" operator="lessThanOrEqual">
      <formula>0</formula>
    </cfRule>
  </conditionalFormatting>
  <conditionalFormatting sqref="H53:I53">
    <cfRule type="cellIs" dxfId="1359" priority="30" stopIfTrue="1" operator="lessThanOrEqual">
      <formula>0</formula>
    </cfRule>
    <cfRule type="cellIs" dxfId="1358" priority="27" stopIfTrue="1" operator="greaterThan">
      <formula>#REF!</formula>
    </cfRule>
    <cfRule type="cellIs" dxfId="1357" priority="36" stopIfTrue="1" operator="lessThanOrEqual">
      <formula>0</formula>
    </cfRule>
  </conditionalFormatting>
  <conditionalFormatting sqref="H53:I55">
    <cfRule type="cellIs" dxfId="1356" priority="35" stopIfTrue="1" operator="greaterThan">
      <formula>#REF!</formula>
    </cfRule>
  </conditionalFormatting>
  <conditionalFormatting sqref="H54:I55">
    <cfRule type="cellIs" dxfId="1355" priority="61" stopIfTrue="1" operator="lessThanOrEqual">
      <formula>0</formula>
    </cfRule>
  </conditionalFormatting>
  <conditionalFormatting sqref="H56:I56">
    <cfRule type="cellIs" dxfId="1354" priority="92" stopIfTrue="1" operator="lessThanOrEqual">
      <formula>0</formula>
    </cfRule>
    <cfRule type="cellIs" dxfId="1353" priority="89" stopIfTrue="1" operator="greaterThan">
      <formula>$F$34</formula>
    </cfRule>
  </conditionalFormatting>
  <conditionalFormatting sqref="H69:I69">
    <cfRule type="cellIs" dxfId="1352" priority="113" stopIfTrue="1" operator="greaterThan">
      <formula>$J69</formula>
    </cfRule>
    <cfRule type="cellIs" dxfId="1351" priority="114" stopIfTrue="1" operator="lessThanOrEqual">
      <formula>0</formula>
    </cfRule>
  </conditionalFormatting>
  <conditionalFormatting sqref="I51">
    <cfRule type="cellIs" dxfId="1350" priority="19" stopIfTrue="1" operator="lessThanOrEqual">
      <formula>0</formula>
    </cfRule>
    <cfRule type="cellIs" dxfId="1349" priority="18" stopIfTrue="1" operator="greaterThan">
      <formula>$F$40</formula>
    </cfRule>
    <cfRule type="cellIs" dxfId="1348" priority="17" stopIfTrue="1" operator="lessThanOrEqual">
      <formula>0</formula>
    </cfRule>
    <cfRule type="cellIs" dxfId="1347" priority="16" stopIfTrue="1" operator="greaterThan">
      <formula>$F$38</formula>
    </cfRule>
    <cfRule type="cellIs" dxfId="1346" priority="21" stopIfTrue="1" operator="lessThanOrEqual">
      <formula>0</formula>
    </cfRule>
    <cfRule type="cellIs" dxfId="1345" priority="20" stopIfTrue="1" operator="greaterThan">
      <formula>$F$38</formula>
    </cfRule>
  </conditionalFormatting>
  <conditionalFormatting sqref="I52">
    <cfRule type="cellIs" dxfId="1344" priority="81" stopIfTrue="1" operator="lessThanOrEqual">
      <formula>0</formula>
    </cfRule>
    <cfRule type="cellIs" dxfId="1343" priority="80" stopIfTrue="1" operator="greaterThan">
      <formula>#REF!</formula>
    </cfRule>
    <cfRule type="cellIs" dxfId="1342" priority="79" stopIfTrue="1" operator="lessThanOrEqual">
      <formula>0</formula>
    </cfRule>
    <cfRule type="cellIs" dxfId="1341" priority="78" stopIfTrue="1" operator="greaterThan">
      <formula>$F$19</formula>
    </cfRule>
    <cfRule type="cellIs" dxfId="1340" priority="76" stopIfTrue="1" operator="greaterThan">
      <formula>#REF!</formula>
    </cfRule>
    <cfRule type="cellIs" dxfId="1339" priority="77" stopIfTrue="1" operator="lessThanOrEqual">
      <formula>0</formula>
    </cfRule>
  </conditionalFormatting>
  <conditionalFormatting sqref="I53">
    <cfRule type="cellIs" dxfId="1338" priority="34" stopIfTrue="1" operator="lessThanOrEqual">
      <formula>0</formula>
    </cfRule>
    <cfRule type="cellIs" dxfId="1337" priority="31" stopIfTrue="1" operator="greaterThan">
      <formula>#REF!</formula>
    </cfRule>
    <cfRule type="cellIs" dxfId="1336" priority="32" stopIfTrue="1" operator="lessThanOrEqual">
      <formula>0</formula>
    </cfRule>
    <cfRule type="cellIs" dxfId="1335" priority="33" stopIfTrue="1" operator="greaterThan">
      <formula>#REF!</formula>
    </cfRule>
  </conditionalFormatting>
  <conditionalFormatting sqref="I54:I55">
    <cfRule type="cellIs" dxfId="1334" priority="62" stopIfTrue="1" operator="greaterThan">
      <formula>#REF!</formula>
    </cfRule>
    <cfRule type="cellIs" dxfId="1333" priority="63" stopIfTrue="1" operator="lessThanOrEqual">
      <formula>0</formula>
    </cfRule>
    <cfRule type="cellIs" dxfId="1332" priority="64" stopIfTrue="1" operator="greaterThan">
      <formula>#REF!</formula>
    </cfRule>
    <cfRule type="cellIs" dxfId="1331" priority="65" stopIfTrue="1" operator="lessThanOrEqual">
      <formula>0</formula>
    </cfRule>
    <cfRule type="cellIs" dxfId="1330" priority="66" stopIfTrue="1" operator="greaterThan">
      <formula>#REF!</formula>
    </cfRule>
    <cfRule type="cellIs" dxfId="1329" priority="67" stopIfTrue="1" operator="lessThanOrEqual">
      <formula>0</formula>
    </cfRule>
  </conditionalFormatting>
  <conditionalFormatting sqref="I56">
    <cfRule type="cellIs" dxfId="1328" priority="97" stopIfTrue="1" operator="greaterThan">
      <formula>$F$32</formula>
    </cfRule>
    <cfRule type="cellIs" dxfId="1327" priority="96" stopIfTrue="1" operator="lessThanOrEqual">
      <formula>0</formula>
    </cfRule>
    <cfRule type="cellIs" dxfId="1326" priority="95" stopIfTrue="1" operator="greaterThan">
      <formula>$F$34</formula>
    </cfRule>
    <cfRule type="cellIs" dxfId="1325" priority="98" stopIfTrue="1" operator="lessThanOrEqual">
      <formula>0</formula>
    </cfRule>
    <cfRule type="cellIs" dxfId="1324" priority="94" stopIfTrue="1" operator="lessThanOrEqual">
      <formula>0</formula>
    </cfRule>
    <cfRule type="cellIs" dxfId="1323" priority="93" stopIfTrue="1" operator="greaterThan">
      <formula>$F$32</formula>
    </cfRule>
  </conditionalFormatting>
  <conditionalFormatting sqref="I60:I68">
    <cfRule type="cellIs" dxfId="1322" priority="125" stopIfTrue="1" operator="lessThanOrEqual">
      <formula>0</formula>
    </cfRule>
    <cfRule type="cellIs" dxfId="1321" priority="124" stopIfTrue="1" operator="greaterThan">
      <formula>$J60</formula>
    </cfRule>
  </conditionalFormatting>
  <conditionalFormatting sqref="I71:I79">
    <cfRule type="cellIs" dxfId="1320" priority="152" stopIfTrue="1" operator="greaterThan">
      <formula>4.5</formula>
    </cfRule>
    <cfRule type="cellIs" dxfId="1319" priority="153" stopIfTrue="1" operator="lessThanOrEqual">
      <formula>0</formula>
    </cfRule>
  </conditionalFormatting>
  <conditionalFormatting sqref="I10:J19">
    <cfRule type="cellIs" dxfId="1318" priority="43" operator="lessThan">
      <formula>97.9</formula>
    </cfRule>
  </conditionalFormatting>
  <conditionalFormatting sqref="J22:J28">
    <cfRule type="cellIs" dxfId="1317" priority="103" operator="lessThan">
      <formula>97.4</formula>
    </cfRule>
  </conditionalFormatting>
  <conditionalFormatting sqref="J22:J30">
    <cfRule type="cellIs" dxfId="1316" priority="104" stopIfTrue="1" operator="lessThan">
      <formula>96.8</formula>
    </cfRule>
    <cfRule type="cellIs" dxfId="1315" priority="105" stopIfTrue="1" operator="greaterThan">
      <formula>100</formula>
    </cfRule>
  </conditionalFormatting>
  <conditionalFormatting sqref="J22:J31">
    <cfRule type="cellIs" dxfId="1314" priority="106" operator="lessThan">
      <formula>98</formula>
    </cfRule>
  </conditionalFormatting>
  <conditionalFormatting sqref="J69">
    <cfRule type="cellIs" dxfId="1313" priority="110" stopIfTrue="1" operator="greaterThan">
      <formula>$F69</formula>
    </cfRule>
    <cfRule type="cellIs" dxfId="1312" priority="111" stopIfTrue="1" operator="lessThanOrEqual">
      <formula>0</formula>
    </cfRule>
  </conditionalFormatting>
  <conditionalFormatting sqref="K10:K19">
    <cfRule type="cellIs" dxfId="1311" priority="46" operator="greaterThan">
      <formula>6</formula>
    </cfRule>
    <cfRule type="cellIs" dxfId="1310" priority="47" operator="lessThan">
      <formula>4</formula>
    </cfRule>
    <cfRule type="cellIs" dxfId="1309" priority="48" operator="greaterThan">
      <formula>6.4</formula>
    </cfRule>
  </conditionalFormatting>
  <conditionalFormatting sqref="K51:K56">
    <cfRule type="cellIs" dxfId="1308" priority="26" stopIfTrue="1" operator="lessThan">
      <formula>100%</formula>
    </cfRule>
  </conditionalFormatting>
  <conditionalFormatting sqref="K71:K76">
    <cfRule type="cellIs" dxfId="1307" priority="158" stopIfTrue="1" operator="lessThan">
      <formula>100%</formula>
    </cfRule>
  </conditionalFormatting>
  <conditionalFormatting sqref="K78:K79">
    <cfRule type="cellIs" dxfId="1306" priority="165" stopIfTrue="1" operator="lessThan">
      <formula>100%</formula>
    </cfRule>
  </conditionalFormatting>
  <conditionalFormatting sqref="K60:N66 K67 M67:N67 K68:N68">
    <cfRule type="cellIs" dxfId="1305" priority="88" stopIfTrue="1" operator="lessThan">
      <formula>100%</formula>
    </cfRule>
  </conditionalFormatting>
  <conditionalFormatting sqref="L10:L19">
    <cfRule type="cellIs" dxfId="1304" priority="44" operator="between">
      <formula>61</formula>
      <formula>65</formula>
    </cfRule>
    <cfRule type="cellIs" dxfId="1303" priority="45" operator="greaterThan">
      <formula>65</formula>
    </cfRule>
  </conditionalFormatting>
  <conditionalFormatting sqref="L22:M33">
    <cfRule type="cellIs" dxfId="1302" priority="1" operator="lessThan">
      <formula>98</formula>
    </cfRule>
  </conditionalFormatting>
  <conditionalFormatting sqref="L37:N37">
    <cfRule type="cellIs" dxfId="1301" priority="41" operator="notEqual">
      <formula>#REF!</formula>
    </cfRule>
  </conditionalFormatting>
  <conditionalFormatting sqref="L69:N69">
    <cfRule type="cellIs" dxfId="1300" priority="112" stopIfTrue="1" operator="lessThan">
      <formula>100%</formula>
    </cfRule>
  </conditionalFormatting>
  <conditionalFormatting sqref="L71:N79">
    <cfRule type="cellIs" dxfId="1299" priority="143" stopIfTrue="1" operator="lessThan">
      <formula>100%</formula>
    </cfRule>
  </conditionalFormatting>
  <conditionalFormatting sqref="M10:M17 M19">
    <cfRule type="expression" dxfId="1298" priority="50">
      <formula>IF(+(IF(M10&lt;U10,0,IF(M10&gt;V10,0,1)))=0,1)</formula>
    </cfRule>
  </conditionalFormatting>
  <conditionalFormatting sqref="M18:N18">
    <cfRule type="expression" dxfId="1297" priority="171">
      <formula>IF(+(IF(M18&lt;#REF!,0,IF(M18&gt;#REF!,0,1)))=0,1)</formula>
    </cfRule>
  </conditionalFormatting>
  <conditionalFormatting sqref="N10:N17 N19">
    <cfRule type="expression" dxfId="1296" priority="49">
      <formula>IF(+(IF(N10&lt;W10,0,IF(N10&gt;X10,0,1)))=0,1)</formula>
    </cfRule>
  </conditionalFormatting>
  <conditionalFormatting sqref="P6">
    <cfRule type="cellIs" dxfId="1295" priority="139" operator="greaterThanOrEqual">
      <formula>19</formula>
    </cfRule>
  </conditionalFormatting>
  <dataValidations count="1">
    <dataValidation type="list" allowBlank="1" showInputMessage="1" showErrorMessage="1" sqref="R8" xr:uid="{7E94F57E-D5EC-42CA-9262-A377728C26A7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3" max="16383" man="1"/>
  </rowBreaks>
  <colBreaks count="1" manualBreakCount="1">
    <brk id="15" max="89" man="1"/>
  </col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2421-46CD-40C9-A613-7565F9877874}">
  <sheetPr>
    <pageSetUpPr fitToPage="1"/>
  </sheetPr>
  <dimension ref="A1:BE77"/>
  <sheetViews>
    <sheetView topLeftCell="A28" zoomScaleNormal="100" workbookViewId="0">
      <selection activeCell="E10" sqref="E10:E18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67.425781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25" t="s">
        <v>0</v>
      </c>
      <c r="T1" s="525"/>
      <c r="U1" s="525" t="s">
        <v>1</v>
      </c>
      <c r="V1" s="525"/>
      <c r="W1" s="525" t="s">
        <v>2</v>
      </c>
      <c r="X1" s="525"/>
      <c r="Y1" s="525" t="s">
        <v>124</v>
      </c>
      <c r="Z1" s="525"/>
    </row>
    <row r="2" spans="2:29" ht="15">
      <c r="B2" s="526" t="s">
        <v>3</v>
      </c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45922</v>
      </c>
      <c r="J4" s="398" t="s">
        <v>168</v>
      </c>
      <c r="K4" s="398"/>
      <c r="L4" s="11"/>
      <c r="M4" s="547" t="s">
        <v>8</v>
      </c>
      <c r="N4" s="548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44"/>
      <c r="D5" s="544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167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84" t="s">
        <v>17</v>
      </c>
      <c r="C8" s="494" t="s">
        <v>18</v>
      </c>
      <c r="D8" s="494" t="s">
        <v>19</v>
      </c>
      <c r="E8" s="356" t="s">
        <v>20</v>
      </c>
      <c r="F8" s="356" t="s">
        <v>21</v>
      </c>
      <c r="G8" s="494" t="s">
        <v>22</v>
      </c>
      <c r="H8" s="535" t="s">
        <v>144</v>
      </c>
      <c r="I8" s="494" t="s">
        <v>166</v>
      </c>
      <c r="J8" s="537" t="s">
        <v>23</v>
      </c>
      <c r="K8" s="539" t="s">
        <v>142</v>
      </c>
      <c r="L8" s="541" t="s">
        <v>24</v>
      </c>
      <c r="M8" s="359" t="s">
        <v>25</v>
      </c>
      <c r="N8" s="17" t="s">
        <v>26</v>
      </c>
      <c r="O8" s="494" t="s">
        <v>155</v>
      </c>
      <c r="P8" s="56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33"/>
      <c r="C9" s="534"/>
      <c r="D9" s="534"/>
      <c r="E9" s="357" t="s">
        <v>30</v>
      </c>
      <c r="F9" s="357" t="s">
        <v>31</v>
      </c>
      <c r="G9" s="534"/>
      <c r="H9" s="536"/>
      <c r="I9" s="534"/>
      <c r="J9" s="538"/>
      <c r="K9" s="540"/>
      <c r="L9" s="542"/>
      <c r="M9" s="20" t="s">
        <v>32</v>
      </c>
      <c r="N9" s="21" t="s">
        <v>41</v>
      </c>
      <c r="O9" s="534"/>
      <c r="P9" s="561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29" t="s">
        <v>6</v>
      </c>
      <c r="C10" s="366" t="str">
        <f>[22]Brewhouse!$A794</f>
        <v>CA685</v>
      </c>
      <c r="D10" s="279">
        <f>[22]Brewhouse!$AF794</f>
        <v>49</v>
      </c>
      <c r="E10" s="279">
        <f>[22]Brewhouse!$AI794</f>
        <v>46.6</v>
      </c>
      <c r="F10" s="278">
        <f>[22]Brewhouse!$V794</f>
        <v>55</v>
      </c>
      <c r="G10" s="279">
        <f>[22]Brewhouse!AG794</f>
        <v>12</v>
      </c>
      <c r="H10" s="396"/>
      <c r="I10" s="368">
        <f>[22]Brewhouse!$AU794</f>
        <v>91.443762977090188</v>
      </c>
      <c r="J10" s="368">
        <f>[22]Brewhouse!$AV794</f>
        <v>93.072753539768797</v>
      </c>
      <c r="K10" s="281">
        <f>[22]Brewhouse!$Q794</f>
        <v>8.9056603773584886</v>
      </c>
      <c r="L10" s="276">
        <f>[22]Brewhouse!$P794</f>
        <v>60</v>
      </c>
      <c r="M10" s="397">
        <f>[22]Brewhouse!$U794-[22]Brewhouse!$T794</f>
        <v>0.14374999999999982</v>
      </c>
      <c r="N10" s="370">
        <f>[22]Brewhouse!$Z794</f>
        <v>0.27361111111111103</v>
      </c>
      <c r="O10" s="421" t="str">
        <f>[22]Brewhouse!$AX794</f>
        <v>R. Regis</v>
      </c>
      <c r="P10" s="418"/>
      <c r="R10" s="277" t="str">
        <f t="shared" ref="R10:R12" si="0">B10</f>
        <v>CARIB</v>
      </c>
      <c r="S10" s="296">
        <f t="shared" ref="S10:S21" si="1">VLOOKUP($B10,$R$3:$X$9,2,FALSE)</f>
        <v>11.6</v>
      </c>
      <c r="T10" s="296">
        <f t="shared" ref="T10:T21" si="2">VLOOKUP($B10,$R$3:$X$9,3,FALSE)</f>
        <v>12</v>
      </c>
      <c r="U10" s="297">
        <f t="shared" ref="U10:U21" si="3">VLOOKUP($B10,$R$3:$X$9,4,FALSE)</f>
        <v>0</v>
      </c>
      <c r="V10" s="297">
        <f t="shared" ref="V10:V21" si="4">VLOOKUP($B10,$R$3:$X$9,5,FALSE)</f>
        <v>0.118055555555556</v>
      </c>
      <c r="W10" s="297">
        <f t="shared" ref="W10:W21" si="5">VLOOKUP($B10,$R$3:$X$9,6,FALSE)</f>
        <v>0.22569444444444445</v>
      </c>
      <c r="X10" s="297">
        <f t="shared" ref="X10:X21" si="6">VLOOKUP($B10,$R$3:$X$9,7,FALSE)</f>
        <v>0.2638888888888889</v>
      </c>
      <c r="Y10" s="297">
        <f t="shared" ref="Y10:Y21" si="7">VLOOKUP($B10,$R$3:$Z$9,8,FALSE)</f>
        <v>0</v>
      </c>
      <c r="Z10" s="296">
        <f t="shared" ref="Z10:Z21" si="8">VLOOKUP($B10,$R$3:$Z$9,9,FALSE)</f>
        <v>60</v>
      </c>
    </row>
    <row r="11" spans="2:29" ht="15.75" customHeight="1">
      <c r="B11" s="29" t="s">
        <v>6</v>
      </c>
      <c r="C11" s="366" t="str">
        <f>[22]Brewhouse!$A795</f>
        <v>CA686</v>
      </c>
      <c r="D11" s="279">
        <f>[22]Brewhouse!$AF795</f>
        <v>53.9</v>
      </c>
      <c r="E11" s="279">
        <f>[22]Brewhouse!$AI795</f>
        <v>52.4</v>
      </c>
      <c r="F11" s="278">
        <f>[22]Brewhouse!$V795</f>
        <v>63</v>
      </c>
      <c r="G11" s="279">
        <f>[22]Brewhouse!AG795</f>
        <v>11.6</v>
      </c>
      <c r="H11" s="396"/>
      <c r="I11" s="368">
        <f>[22]Brewhouse!$AU795</f>
        <v>98.978677995568859</v>
      </c>
      <c r="J11" s="368">
        <f>[22]Brewhouse!$AV795</f>
        <v>100.74228303972457</v>
      </c>
      <c r="K11" s="281">
        <f>[22]Brewhouse!$Q795</f>
        <v>2.2975517890772106</v>
      </c>
      <c r="L11" s="276">
        <f>[22]Brewhouse!$P795</f>
        <v>61</v>
      </c>
      <c r="M11" s="397">
        <f>[22]Brewhouse!$U795-[22]Brewhouse!$T795</f>
        <v>0.11319444444444443</v>
      </c>
      <c r="N11" s="370">
        <f>[22]Brewhouse!$Z795</f>
        <v>0.27986111111111112</v>
      </c>
      <c r="O11" s="421" t="str">
        <f>[22]Brewhouse!$AX795</f>
        <v>R.Sookram</v>
      </c>
      <c r="P11" s="418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29" t="s">
        <v>6</v>
      </c>
      <c r="C12" s="366" t="str">
        <f>[22]Brewhouse!$A796</f>
        <v>CA687</v>
      </c>
      <c r="D12" s="279">
        <f>[22]Brewhouse!$AF796</f>
        <v>53.3</v>
      </c>
      <c r="E12" s="279">
        <f>[22]Brewhouse!$AI796</f>
        <v>51.2</v>
      </c>
      <c r="F12" s="278">
        <f>[22]Brewhouse!$V796</f>
        <v>63</v>
      </c>
      <c r="G12" s="279">
        <f>[22]Brewhouse!AG796</f>
        <v>11.6</v>
      </c>
      <c r="H12" s="396"/>
      <c r="I12" s="368">
        <f>[22]Brewhouse!$AU796</f>
        <v>97.627050398106746</v>
      </c>
      <c r="J12" s="368">
        <f>[22]Brewhouse!$AV796</f>
        <v>99.440801891200763</v>
      </c>
      <c r="K12" s="281">
        <f>[22]Brewhouse!$Q796</f>
        <v>2.6296296296296329</v>
      </c>
      <c r="L12" s="276">
        <f>[22]Brewhouse!$P796</f>
        <v>55</v>
      </c>
      <c r="M12" s="397">
        <f>[22]Brewhouse!$U796-[22]Brewhouse!$T796</f>
        <v>0.10416666666666669</v>
      </c>
      <c r="N12" s="370">
        <f>[22]Brewhouse!$Z796</f>
        <v>0.23819444444444443</v>
      </c>
      <c r="O12" s="421" t="str">
        <f>[22]Brewhouse!$AX796</f>
        <v>R.Sookram</v>
      </c>
      <c r="P12" s="418"/>
      <c r="R12" s="277" t="str">
        <f t="shared" si="0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29" t="s">
        <v>6</v>
      </c>
      <c r="C13" s="366" t="str">
        <f>[22]Brewhouse!$A797</f>
        <v>CA688</v>
      </c>
      <c r="D13" s="279">
        <f>[22]Brewhouse!$AF797</f>
        <v>54.2</v>
      </c>
      <c r="E13" s="279">
        <f>[22]Brewhouse!$AI797</f>
        <v>51.9</v>
      </c>
      <c r="F13" s="278">
        <f>[22]Brewhouse!$V797</f>
        <v>59</v>
      </c>
      <c r="G13" s="279">
        <f>[22]Brewhouse!AG797</f>
        <v>11.9</v>
      </c>
      <c r="H13" s="396"/>
      <c r="I13" s="368">
        <f>[22]Brewhouse!$AU797</f>
        <v>101.53010521960353</v>
      </c>
      <c r="J13" s="368">
        <f>[22]Brewhouse!$AV797</f>
        <v>103.41647290812507</v>
      </c>
      <c r="K13" s="281">
        <f>[22]Brewhouse!$Q797</f>
        <v>-0.15094339622641187</v>
      </c>
      <c r="L13" s="276">
        <f>[22]Brewhouse!$P797</f>
        <v>61</v>
      </c>
      <c r="M13" s="397">
        <f>[22]Brewhouse!$U797-[22]Brewhouse!$T797</f>
        <v>0.18680555555555556</v>
      </c>
      <c r="N13" s="370">
        <f>[22]Brewhouse!$Z797</f>
        <v>0.34930555555555559</v>
      </c>
      <c r="O13" s="421" t="str">
        <f>[22]Brewhouse!$AX797</f>
        <v>R.Sookram</v>
      </c>
      <c r="P13" s="418"/>
      <c r="R13" s="277" t="str">
        <f t="shared" ref="R13:R21" si="9">B13</f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29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97"/>
      <c r="N14" s="370"/>
      <c r="O14" s="421"/>
      <c r="P14" s="418"/>
      <c r="R14" s="277">
        <f t="shared" si="9"/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5.75" customHeight="1">
      <c r="B15" s="33" t="s">
        <v>9</v>
      </c>
      <c r="C15" s="366" t="str">
        <f>[24]Brewhouse!$A381</f>
        <v>ST359</v>
      </c>
      <c r="D15" s="279">
        <f>[24]Brewhouse!$AD381</f>
        <v>53</v>
      </c>
      <c r="E15" s="279">
        <f>[24]Brewhouse!$AG381</f>
        <v>50.9</v>
      </c>
      <c r="F15" s="278">
        <f>[24]Brewhouse!$V381</f>
        <v>64</v>
      </c>
      <c r="G15" s="279">
        <f>[24]Brewhouse!$AE381</f>
        <v>11.8</v>
      </c>
      <c r="H15" s="396"/>
      <c r="I15" s="420">
        <f>[24]Brewhouse!$AS381</f>
        <v>99.514159435199218</v>
      </c>
      <c r="J15" s="420">
        <f>[24]Brewhouse!$AT381</f>
        <v>101.04519728930545</v>
      </c>
      <c r="K15" s="281">
        <f>[24]Brewhouse!$Q381</f>
        <v>0</v>
      </c>
      <c r="L15" s="276">
        <f>[24]Brewhouse!$P381</f>
        <v>59</v>
      </c>
      <c r="M15" s="374">
        <f>[24]Brewhouse!$U381-[24]Brewhouse!$T381</f>
        <v>0.12083333333333335</v>
      </c>
      <c r="N15" s="370">
        <f>[24]Brewhouse!$AW381</f>
        <v>0.27222222222222225</v>
      </c>
      <c r="O15" s="421" t="str">
        <f>[24]Brewhouse!$AV381</f>
        <v>K. Benjamin</v>
      </c>
      <c r="P15" s="418"/>
      <c r="R15" s="277" t="str">
        <f t="shared" si="9"/>
        <v>STAG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33" t="s">
        <v>9</v>
      </c>
      <c r="C16" s="366" t="str">
        <f>[24]Brewhouse!$A382</f>
        <v>ST360</v>
      </c>
      <c r="D16" s="279">
        <f>[24]Brewhouse!$AD382</f>
        <v>53.5</v>
      </c>
      <c r="E16" s="279">
        <f>[24]Brewhouse!$AG382</f>
        <v>51.4</v>
      </c>
      <c r="F16" s="278">
        <f>[24]Brewhouse!$V382</f>
        <v>60</v>
      </c>
      <c r="G16" s="279">
        <f>[24]Brewhouse!$AE382</f>
        <v>11.6</v>
      </c>
      <c r="H16" s="396"/>
      <c r="I16" s="420">
        <f>[24]Brewhouse!$AS382</f>
        <v>98.57673064663615</v>
      </c>
      <c r="J16" s="420">
        <f>[24]Brewhouse!$AT382</f>
        <v>100.09383917927448</v>
      </c>
      <c r="K16" s="281">
        <f>[24]Brewhouse!$Q382</f>
        <v>-1.1538461538461564</v>
      </c>
      <c r="L16" s="276">
        <f>[24]Brewhouse!$P382</f>
        <v>61</v>
      </c>
      <c r="M16" s="374">
        <f>[24]Brewhouse!$U382-[24]Brewhouse!$T382</f>
        <v>0.11458333333333337</v>
      </c>
      <c r="N16" s="370">
        <f>[24]Brewhouse!$AW382</f>
        <v>0.24791666666666667</v>
      </c>
      <c r="O16" s="421" t="str">
        <f>[24]Brewhouse!$AV382</f>
        <v>K. Benjamin</v>
      </c>
      <c r="P16" s="418"/>
      <c r="R16" s="277" t="str">
        <f t="shared" si="9"/>
        <v>STAG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1:26" ht="15.75" customHeight="1">
      <c r="B17" s="33" t="s">
        <v>9</v>
      </c>
      <c r="C17" s="366" t="str">
        <f>[24]Brewhouse!$A383</f>
        <v>ST361</v>
      </c>
      <c r="D17" s="279">
        <f>[24]Brewhouse!$AD383</f>
        <v>52.2</v>
      </c>
      <c r="E17" s="279">
        <f>[24]Brewhouse!$AG383</f>
        <v>50.8</v>
      </c>
      <c r="F17" s="278">
        <f>[24]Brewhouse!$V383</f>
        <v>59</v>
      </c>
      <c r="G17" s="279">
        <f>[24]Brewhouse!$AE383</f>
        <v>11.8</v>
      </c>
      <c r="H17" s="396"/>
      <c r="I17" s="420">
        <f>[24]Brewhouse!$AS383</f>
        <v>99.443122984760095</v>
      </c>
      <c r="J17" s="420">
        <f>[24]Brewhouse!$AT383</f>
        <v>100.97256921963482</v>
      </c>
      <c r="K17" s="281">
        <f>[24]Brewhouse!$Q383</f>
        <v>-1</v>
      </c>
      <c r="L17" s="276">
        <f>[24]Brewhouse!$P383</f>
        <v>60</v>
      </c>
      <c r="M17" s="374">
        <f>[24]Brewhouse!$U383-[24]Brewhouse!$T383</f>
        <v>0.10833333333333328</v>
      </c>
      <c r="N17" s="370">
        <f>[24]Brewhouse!$AW383</f>
        <v>0.23888888888888893</v>
      </c>
      <c r="O17" s="421" t="str">
        <f>[24]Brewhouse!$AV383</f>
        <v>K. Benjamin</v>
      </c>
      <c r="P17" s="418"/>
      <c r="R17" s="277" t="str">
        <f t="shared" si="9"/>
        <v>STAG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1:26" ht="15.75" customHeight="1">
      <c r="B18" s="33" t="s">
        <v>9</v>
      </c>
      <c r="C18" s="366" t="str">
        <f>[24]Brewhouse!$A384</f>
        <v>ST362</v>
      </c>
      <c r="D18" s="279">
        <f>[24]Brewhouse!$AD384</f>
        <v>52</v>
      </c>
      <c r="E18" s="279">
        <f>[24]Brewhouse!$AG384</f>
        <v>50.7</v>
      </c>
      <c r="F18" s="278">
        <f>[24]Brewhouse!$V384</f>
        <v>59</v>
      </c>
      <c r="G18" s="279">
        <f>[24]Brewhouse!$AE384</f>
        <v>11.7</v>
      </c>
      <c r="H18" s="396"/>
      <c r="I18" s="420">
        <f>[24]Brewhouse!$AS384</f>
        <v>98.486097080031854</v>
      </c>
      <c r="J18" s="420">
        <f>[24]Brewhouse!$AT384</f>
        <v>100.00032900097113</v>
      </c>
      <c r="K18" s="281">
        <f>[24]Brewhouse!$Q384</f>
        <v>-1.4000000000000057</v>
      </c>
      <c r="L18" s="276">
        <f>[24]Brewhouse!$P384</f>
        <v>60</v>
      </c>
      <c r="M18" s="374">
        <f>[24]Brewhouse!$U384-[24]Brewhouse!$T384</f>
        <v>0.10555555555555551</v>
      </c>
      <c r="N18" s="370">
        <f>[24]Brewhouse!$AW384</f>
        <v>0.22916666666666663</v>
      </c>
      <c r="O18" s="421" t="str">
        <f>[24]Brewhouse!$AV384</f>
        <v>K. Benjamin</v>
      </c>
      <c r="P18" s="418"/>
      <c r="R18" s="277" t="str">
        <f t="shared" si="9"/>
        <v>STAG</v>
      </c>
      <c r="S18" s="296">
        <f t="shared" si="1"/>
        <v>11.6</v>
      </c>
      <c r="T18" s="296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296">
        <f t="shared" si="8"/>
        <v>60</v>
      </c>
    </row>
    <row r="19" spans="1:26" ht="15.75" customHeight="1">
      <c r="B19" s="33"/>
      <c r="C19" s="366"/>
      <c r="D19" s="279"/>
      <c r="E19" s="279"/>
      <c r="F19" s="278"/>
      <c r="G19" s="279"/>
      <c r="H19" s="396"/>
      <c r="I19" s="420"/>
      <c r="J19" s="420"/>
      <c r="K19" s="281"/>
      <c r="L19" s="276"/>
      <c r="M19" s="374"/>
      <c r="N19" s="370"/>
      <c r="O19" s="421"/>
      <c r="P19" s="418"/>
      <c r="R19" s="277">
        <f t="shared" si="9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6" ht="15.7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1"/>
      <c r="P20" s="418"/>
      <c r="R20" s="277">
        <f t="shared" si="9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6" ht="15.7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18"/>
      <c r="R21" s="277">
        <f t="shared" si="9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6" ht="15.75" customHeight="1">
      <c r="B22" s="37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371"/>
      <c r="P22" s="418"/>
      <c r="R22" s="277">
        <f t="shared" ref="R22:R44" si="10">B22</f>
        <v>0</v>
      </c>
      <c r="S22" s="296" t="e">
        <f t="shared" ref="S22:S44" si="11">VLOOKUP($B22,$R$3:$X$9,2,FALSE)</f>
        <v>#N/A</v>
      </c>
      <c r="T22" s="296" t="e">
        <f t="shared" ref="T22:T44" si="12">VLOOKUP($B22,$R$3:$X$9,3,FALSE)</f>
        <v>#N/A</v>
      </c>
      <c r="U22" s="297" t="e">
        <f t="shared" ref="U22:U44" si="13">VLOOKUP($B22,$R$3:$X$9,4,FALSE)</f>
        <v>#N/A</v>
      </c>
      <c r="V22" s="297" t="e">
        <f t="shared" ref="V22:V44" si="14">VLOOKUP($B22,$R$3:$X$9,5,FALSE)</f>
        <v>#N/A</v>
      </c>
      <c r="W22" s="297" t="e">
        <f t="shared" ref="W22:W44" si="15">VLOOKUP($B22,$R$3:$X$9,6,FALSE)</f>
        <v>#N/A</v>
      </c>
      <c r="X22" s="297" t="e">
        <f t="shared" ref="X22:X44" si="16">VLOOKUP($B22,$R$3:$X$9,7,FALSE)</f>
        <v>#N/A</v>
      </c>
      <c r="Y22" s="297" t="e">
        <f t="shared" ref="Y22:Y44" si="17">VLOOKUP($B22,$R$3:$Z$9,8,FALSE)</f>
        <v>#N/A</v>
      </c>
      <c r="Z22" s="296" t="e">
        <f t="shared" ref="Z22:Z44" si="18">VLOOKUP($B22,$R$3:$Z$9,9,FALSE)</f>
        <v>#N/A</v>
      </c>
    </row>
    <row r="23" spans="1:26" ht="15.75" customHeight="1" thickBot="1">
      <c r="B23" s="358"/>
      <c r="C23" s="358"/>
      <c r="D23" s="358"/>
      <c r="E23" s="358"/>
      <c r="F23" s="294"/>
      <c r="G23" s="294"/>
      <c r="H23" s="348"/>
      <c r="I23" s="514"/>
      <c r="J23" s="514"/>
      <c r="K23" s="514"/>
      <c r="L23" s="514"/>
      <c r="M23" s="514"/>
      <c r="N23" s="514"/>
      <c r="O23" s="1"/>
      <c r="P23" s="12"/>
      <c r="R23" s="277">
        <f t="shared" si="10"/>
        <v>0</v>
      </c>
      <c r="S23" s="296" t="e">
        <f t="shared" si="11"/>
        <v>#N/A</v>
      </c>
      <c r="T23" s="296" t="e">
        <f t="shared" si="12"/>
        <v>#N/A</v>
      </c>
      <c r="U23" s="297" t="e">
        <f t="shared" si="13"/>
        <v>#N/A</v>
      </c>
      <c r="V23" s="297" t="e">
        <f t="shared" si="14"/>
        <v>#N/A</v>
      </c>
      <c r="W23" s="297" t="e">
        <f t="shared" si="15"/>
        <v>#N/A</v>
      </c>
      <c r="X23" s="297" t="e">
        <f t="shared" si="16"/>
        <v>#N/A</v>
      </c>
      <c r="Y23" s="297" t="e">
        <f t="shared" si="17"/>
        <v>#N/A</v>
      </c>
      <c r="Z23" s="296" t="e">
        <f t="shared" si="18"/>
        <v>#N/A</v>
      </c>
    </row>
    <row r="24" spans="1:26" ht="15.75" thickBot="1">
      <c r="B24" s="388" t="s">
        <v>162</v>
      </c>
      <c r="C24" s="388"/>
      <c r="D24" s="527" t="s">
        <v>35</v>
      </c>
      <c r="E24" s="528"/>
      <c r="F24" s="294"/>
      <c r="G24" s="294"/>
      <c r="H24" s="348"/>
      <c r="I24" s="24" t="s">
        <v>17</v>
      </c>
      <c r="J24" s="25" t="s">
        <v>36</v>
      </c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R24" s="277" t="str">
        <f t="shared" si="10"/>
        <v xml:space="preserve">BRAND </v>
      </c>
      <c r="S24" s="296" t="e">
        <f t="shared" si="11"/>
        <v>#N/A</v>
      </c>
      <c r="T24" s="296" t="e">
        <f t="shared" si="12"/>
        <v>#N/A</v>
      </c>
      <c r="U24" s="297" t="e">
        <f t="shared" si="13"/>
        <v>#N/A</v>
      </c>
      <c r="V24" s="297" t="e">
        <f t="shared" si="14"/>
        <v>#N/A</v>
      </c>
      <c r="W24" s="297" t="e">
        <f t="shared" si="15"/>
        <v>#N/A</v>
      </c>
      <c r="X24" s="297" t="e">
        <f t="shared" si="16"/>
        <v>#N/A</v>
      </c>
      <c r="Y24" s="297" t="e">
        <f t="shared" si="17"/>
        <v>#N/A</v>
      </c>
      <c r="Z24" s="296" t="e">
        <f t="shared" si="18"/>
        <v>#N/A</v>
      </c>
    </row>
    <row r="25" spans="1:26" ht="15" customHeight="1">
      <c r="A25" s="28"/>
      <c r="B25" s="558" t="str">
        <f>I25</f>
        <v>CARIB</v>
      </c>
      <c r="C25" s="362"/>
      <c r="D25" s="518"/>
      <c r="E25" s="507"/>
      <c r="F25" s="294"/>
      <c r="G25" s="294"/>
      <c r="H25" s="348"/>
      <c r="I25" s="29" t="s">
        <v>6</v>
      </c>
      <c r="J25" s="280">
        <f>AVERAGE(I10:I13)</f>
        <v>97.394899147592326</v>
      </c>
      <c r="K25" s="284">
        <f>COUNTA([22]Brewhouse!$A$740:$A$797)</f>
        <v>58</v>
      </c>
      <c r="L25" s="305">
        <f>AVERAGE([22]Brewhouse!$AU$740:$AU$797)</f>
        <v>97.485668384082459</v>
      </c>
      <c r="M25" s="302">
        <f>AVERAGE([22]Brewhouse!$AU$102:$AU$171,[22]Brewhouse!$AU$173:$AU$253,[22]Brewhouse!$AU$255:$AU$339,[22]Brewhouse!$AU$341:$AU$346,[22]Brewhouse!$AU$348,[22]Brewhouse!$AU$349:$AU$406,[22]Brewhouse!$AU$408:$AU$491,[22]Brewhouse!$AU$493:$AU$578,[22]Brewhouse!$AU$580:$AU$652,[22]Brewhouse!$AU$655:$AU$797)</f>
        <v>97.687087894653288</v>
      </c>
      <c r="N25" s="30">
        <v>98</v>
      </c>
      <c r="O25" s="11"/>
      <c r="P25" s="31"/>
      <c r="R25" s="277" t="str">
        <f t="shared" si="10"/>
        <v>CARIB</v>
      </c>
      <c r="S25" s="296">
        <f t="shared" si="11"/>
        <v>11.6</v>
      </c>
      <c r="T25" s="296">
        <f t="shared" si="12"/>
        <v>12</v>
      </c>
      <c r="U25" s="297">
        <f t="shared" si="13"/>
        <v>0</v>
      </c>
      <c r="V25" s="297">
        <f t="shared" si="14"/>
        <v>0.118055555555556</v>
      </c>
      <c r="W25" s="297">
        <f t="shared" si="15"/>
        <v>0.22569444444444445</v>
      </c>
      <c r="X25" s="297">
        <f t="shared" si="16"/>
        <v>0.2638888888888889</v>
      </c>
      <c r="Y25" s="297">
        <f t="shared" si="17"/>
        <v>0</v>
      </c>
      <c r="Z25" s="296">
        <f t="shared" si="18"/>
        <v>60</v>
      </c>
    </row>
    <row r="26" spans="1:26" ht="15" customHeight="1">
      <c r="A26" s="28"/>
      <c r="B26" s="559"/>
      <c r="C26" s="362"/>
      <c r="D26" s="519"/>
      <c r="E26" s="502"/>
      <c r="F26" s="294"/>
      <c r="G26" s="294"/>
      <c r="H26" s="348"/>
      <c r="I26" s="33" t="s">
        <v>9</v>
      </c>
      <c r="J26" s="280">
        <f>AVERAGE(I15:I18)</f>
        <v>99.005027536656826</v>
      </c>
      <c r="K26" s="284">
        <f>COUNTA([24]Brewhouse!$A$361:$A$384)</f>
        <v>24</v>
      </c>
      <c r="L26" s="302">
        <f>AVERAGE([24]Brewhouse!$AS$361:$AS$384)</f>
        <v>97.60187327628698</v>
      </c>
      <c r="M26" s="302">
        <f>AVERAGE([24]Brewhouse!$AS$15:$AS$64,[24]Brewhouse!$AS$66:$AS$103,[24]Brewhouse!$AS$105:$AS$140,[24]Brewhouse!$AS$142:$AS$193,[24]Brewhouse!$AS$195:$AS$240,[24]Brewhouse!$AS$242:$AS$273,[24]Brewhouse!$AS$275:$AS$322,[24]Brewhouse!$AS$324:$AS$359,[24]Brewhouse!$AS$361:$AS$384)</f>
        <v>98.034752642745602</v>
      </c>
      <c r="N26" s="30">
        <v>98</v>
      </c>
      <c r="O26" s="11"/>
      <c r="P26" s="31"/>
      <c r="R26" s="277">
        <f t="shared" si="10"/>
        <v>0</v>
      </c>
      <c r="S26" s="296" t="e">
        <f t="shared" si="11"/>
        <v>#N/A</v>
      </c>
      <c r="T26" s="296" t="e">
        <f t="shared" si="12"/>
        <v>#N/A</v>
      </c>
      <c r="U26" s="297" t="e">
        <f t="shared" si="13"/>
        <v>#N/A</v>
      </c>
      <c r="V26" s="297" t="e">
        <f t="shared" si="14"/>
        <v>#N/A</v>
      </c>
      <c r="W26" s="297" t="e">
        <f t="shared" si="15"/>
        <v>#N/A</v>
      </c>
      <c r="X26" s="297" t="e">
        <f t="shared" si="16"/>
        <v>#N/A</v>
      </c>
      <c r="Y26" s="297" t="e">
        <f t="shared" si="17"/>
        <v>#N/A</v>
      </c>
      <c r="Z26" s="296" t="e">
        <f t="shared" si="18"/>
        <v>#N/A</v>
      </c>
    </row>
    <row r="27" spans="1:26" ht="14.65" customHeight="1">
      <c r="A27" s="28"/>
      <c r="B27" s="559"/>
      <c r="C27" s="362"/>
      <c r="D27" s="518"/>
      <c r="E27" s="507"/>
      <c r="F27" s="294"/>
      <c r="G27" s="294"/>
      <c r="H27" s="348"/>
      <c r="I27" s="34" t="s">
        <v>12</v>
      </c>
      <c r="J27" s="280"/>
      <c r="K27" s="284"/>
      <c r="L27" s="302"/>
      <c r="M27" s="302">
        <f>AVERAGE([25]Brewhouse!$AU$4:$AU$7,[25]Brewhouse!$AU$9:$AU$22,[25]Brewhouse!$AU$24:$AU$35,[25]Brewhouse!$AU$37:$AU$45,[25]Brewhouse!$AU$47:$AU$62,[25]Brewhouse!$AU$64:$AU$79,[25]Brewhouse!$AU$81:$AU$92)</f>
        <v>96.938184743997624</v>
      </c>
      <c r="N27" s="30">
        <v>98</v>
      </c>
      <c r="O27" s="11"/>
      <c r="P27" s="31"/>
      <c r="R27" s="277">
        <f t="shared" si="10"/>
        <v>0</v>
      </c>
      <c r="S27" s="296" t="e">
        <f t="shared" si="11"/>
        <v>#N/A</v>
      </c>
      <c r="T27" s="296" t="e">
        <f t="shared" si="12"/>
        <v>#N/A</v>
      </c>
      <c r="U27" s="297" t="e">
        <f t="shared" si="13"/>
        <v>#N/A</v>
      </c>
      <c r="V27" s="297" t="e">
        <f t="shared" si="14"/>
        <v>#N/A</v>
      </c>
      <c r="W27" s="297" t="e">
        <f t="shared" si="15"/>
        <v>#N/A</v>
      </c>
      <c r="X27" s="297" t="e">
        <f t="shared" si="16"/>
        <v>#N/A</v>
      </c>
      <c r="Y27" s="297" t="e">
        <f t="shared" si="17"/>
        <v>#N/A</v>
      </c>
      <c r="Z27" s="296" t="e">
        <f t="shared" si="18"/>
        <v>#N/A</v>
      </c>
    </row>
    <row r="28" spans="1:26" ht="14.65" customHeight="1">
      <c r="A28" s="28"/>
      <c r="B28" s="559"/>
      <c r="C28" s="362"/>
      <c r="D28" s="519"/>
      <c r="E28" s="502"/>
      <c r="F28" s="294"/>
      <c r="G28" s="294"/>
      <c r="H28" s="348"/>
      <c r="I28" s="22" t="s">
        <v>33</v>
      </c>
      <c r="J28" s="280"/>
      <c r="K28" s="284">
        <f>COUNTA([26]Brewhouse!$A$79:$A$86)</f>
        <v>8</v>
      </c>
      <c r="L28" s="302">
        <f>AVERAGE([26]Brewhouse!$AV$79:$AV$86)</f>
        <v>96.412390542357869</v>
      </c>
      <c r="M28" s="302">
        <f>AVERAGE([26]Brewhouse!$AV$5:$AV$14,[26]Brewhouse!$AV$16:$AV$19,[26]Brewhouse!$AV$21:$AV$24,[26]Brewhouse!$AV$26:$AV$33,[26]Brewhouse!$AV$35:$AV$46,[26]Brewhouse!$AV$48:$AV$53,[26]Brewhouse!$AV$55:$AV$62,[26]Brewhouse!$AV$64:$AV$77,[26]Brewhouse!$AV$79:$AV$86)</f>
        <v>98.293408393493976</v>
      </c>
      <c r="N28" s="30">
        <v>98</v>
      </c>
      <c r="O28" s="11"/>
      <c r="P28" s="31"/>
      <c r="R28" s="277">
        <f t="shared" si="10"/>
        <v>0</v>
      </c>
      <c r="S28" s="296" t="e">
        <f t="shared" si="11"/>
        <v>#N/A</v>
      </c>
      <c r="T28" s="296" t="e">
        <f t="shared" si="12"/>
        <v>#N/A</v>
      </c>
      <c r="U28" s="297" t="e">
        <f t="shared" si="13"/>
        <v>#N/A</v>
      </c>
      <c r="V28" s="297" t="e">
        <f t="shared" si="14"/>
        <v>#N/A</v>
      </c>
      <c r="W28" s="297" t="e">
        <f t="shared" si="15"/>
        <v>#N/A</v>
      </c>
      <c r="X28" s="297" t="e">
        <f t="shared" si="16"/>
        <v>#N/A</v>
      </c>
      <c r="Y28" s="297" t="e">
        <f t="shared" si="17"/>
        <v>#N/A</v>
      </c>
      <c r="Z28" s="296" t="e">
        <f t="shared" si="18"/>
        <v>#N/A</v>
      </c>
    </row>
    <row r="29" spans="1:26" ht="14.65" customHeight="1">
      <c r="A29" s="28"/>
      <c r="B29" s="559"/>
      <c r="C29" s="362"/>
      <c r="D29" s="518"/>
      <c r="E29" s="507"/>
      <c r="F29" s="417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R29" s="277">
        <f t="shared" si="10"/>
        <v>0</v>
      </c>
      <c r="S29" s="296" t="e">
        <f t="shared" si="11"/>
        <v>#N/A</v>
      </c>
      <c r="T29" s="296" t="e">
        <f t="shared" si="12"/>
        <v>#N/A</v>
      </c>
      <c r="U29" s="297" t="e">
        <f t="shared" si="13"/>
        <v>#N/A</v>
      </c>
      <c r="V29" s="297" t="e">
        <f t="shared" si="14"/>
        <v>#N/A</v>
      </c>
      <c r="W29" s="297" t="e">
        <f t="shared" si="15"/>
        <v>#N/A</v>
      </c>
      <c r="X29" s="297" t="e">
        <f t="shared" si="16"/>
        <v>#N/A</v>
      </c>
      <c r="Y29" s="297" t="e">
        <f t="shared" si="17"/>
        <v>#N/A</v>
      </c>
      <c r="Z29" s="296" t="e">
        <f t="shared" si="18"/>
        <v>#N/A</v>
      </c>
    </row>
    <row r="30" spans="1:26" ht="14.65" customHeight="1">
      <c r="A30" s="28"/>
      <c r="B30" s="559"/>
      <c r="C30" s="362"/>
      <c r="D30" s="519"/>
      <c r="E30" s="502"/>
      <c r="F30" s="417"/>
      <c r="G30" s="294"/>
      <c r="H30" s="348"/>
      <c r="I30" s="36" t="s">
        <v>15</v>
      </c>
      <c r="J30" s="280"/>
      <c r="K30" s="284">
        <f>COUNTA([27]Brewhouse!$A$28:$A$35)</f>
        <v>8</v>
      </c>
      <c r="L30" s="302">
        <f>AVERAGE([27]Brewhouse!$AT$28:$AT$35)</f>
        <v>95.233703112250225</v>
      </c>
      <c r="M30" s="302">
        <f>AVERAGE([27]Brewhouse!$AT$4:$AT$11,[27]Brewhouse!$AT$13:$AT$16,[27]Brewhouse!$AT$18:$AT$21,[27]Brewhouse!$AT$26,[27]Brewhouse!$AT$28:$AT$35)</f>
        <v>94.794664331624134</v>
      </c>
      <c r="N30" s="30">
        <v>98</v>
      </c>
      <c r="O30" s="11"/>
      <c r="P30" s="31"/>
      <c r="R30" s="277">
        <f t="shared" si="10"/>
        <v>0</v>
      </c>
      <c r="S30" s="296" t="e">
        <f t="shared" si="11"/>
        <v>#N/A</v>
      </c>
      <c r="T30" s="296" t="e">
        <f t="shared" si="12"/>
        <v>#N/A</v>
      </c>
      <c r="U30" s="297" t="e">
        <f t="shared" si="13"/>
        <v>#N/A</v>
      </c>
      <c r="V30" s="297" t="e">
        <f t="shared" si="14"/>
        <v>#N/A</v>
      </c>
      <c r="W30" s="297" t="e">
        <f t="shared" si="15"/>
        <v>#N/A</v>
      </c>
      <c r="X30" s="297" t="e">
        <f t="shared" si="16"/>
        <v>#N/A</v>
      </c>
      <c r="Y30" s="297" t="e">
        <f t="shared" si="17"/>
        <v>#N/A</v>
      </c>
      <c r="Z30" s="296" t="e">
        <f t="shared" si="18"/>
        <v>#N/A</v>
      </c>
    </row>
    <row r="31" spans="1:26" ht="14.65" customHeight="1">
      <c r="A31" s="28"/>
      <c r="B31" s="559"/>
      <c r="C31" s="362"/>
      <c r="D31" s="518"/>
      <c r="E31" s="507"/>
      <c r="F31" s="417"/>
      <c r="G31" s="294"/>
      <c r="H31" s="348"/>
      <c r="I31" s="37" t="s">
        <v>16</v>
      </c>
      <c r="J31" s="280"/>
      <c r="K31" s="284">
        <f>COUNTA([23]Brewhouse!$A$75:$A$82)</f>
        <v>8</v>
      </c>
      <c r="L31" s="302">
        <f>AVERAGE([23]Brewhouse!$AY$75:$AY$82)</f>
        <v>97.738838123294386</v>
      </c>
      <c r="M31" s="302">
        <f>AVERAGE([23]Brewhouse!$AY$6:$AY$13,[23]Brewhouse!$AY$15:$AY$20,[23]Brewhouse!$AY$22:$AY$29,[23]Brewhouse!$AY$31:$AY$34,[23]Brewhouse!$AY$36:$AY$43,[23]Brewhouse!$AY$45:$AY$50, [23]Brewhouse!$AY$56:$AY$73,[23]Brewhouse!$AY$75:$AY$82)</f>
        <v>97.409216272979165</v>
      </c>
      <c r="N31" s="30">
        <v>98</v>
      </c>
      <c r="O31" s="11"/>
      <c r="P31" s="31" t="s">
        <v>41</v>
      </c>
      <c r="R31" s="277">
        <f t="shared" si="10"/>
        <v>0</v>
      </c>
      <c r="S31" s="296" t="e">
        <f t="shared" si="11"/>
        <v>#N/A</v>
      </c>
      <c r="T31" s="296" t="e">
        <f t="shared" si="12"/>
        <v>#N/A</v>
      </c>
      <c r="U31" s="297" t="e">
        <f t="shared" si="13"/>
        <v>#N/A</v>
      </c>
      <c r="V31" s="297" t="e">
        <f t="shared" si="14"/>
        <v>#N/A</v>
      </c>
      <c r="W31" s="297" t="e">
        <f t="shared" si="15"/>
        <v>#N/A</v>
      </c>
      <c r="X31" s="297" t="e">
        <f t="shared" si="16"/>
        <v>#N/A</v>
      </c>
      <c r="Y31" s="297" t="e">
        <f t="shared" si="17"/>
        <v>#N/A</v>
      </c>
      <c r="Z31" s="296" t="e">
        <f t="shared" si="18"/>
        <v>#N/A</v>
      </c>
    </row>
    <row r="32" spans="1:26" ht="14.65" customHeight="1">
      <c r="A32" s="28"/>
      <c r="B32" s="559"/>
      <c r="C32" s="362"/>
      <c r="D32" s="519"/>
      <c r="E32" s="502"/>
      <c r="F32" s="294"/>
      <c r="G32" s="294"/>
      <c r="H32" s="348"/>
      <c r="I32" s="411" t="s">
        <v>158</v>
      </c>
      <c r="J32" s="326"/>
      <c r="K32" s="284"/>
      <c r="L32" s="305"/>
      <c r="M32" s="305">
        <f>AVERAGE([28]Brewhouse!$AU$5:$AU$8,[28]Brewhouse!$AU$10:$AU$13,[23]Brewhouse!$AY$75:$AY$77)</f>
        <v>94.749192473706671</v>
      </c>
      <c r="N32" s="30">
        <v>98</v>
      </c>
      <c r="O32" s="11"/>
      <c r="P32" s="31"/>
      <c r="R32" s="277">
        <f t="shared" si="10"/>
        <v>0</v>
      </c>
      <c r="S32" s="296" t="e">
        <f t="shared" si="11"/>
        <v>#N/A</v>
      </c>
      <c r="T32" s="296" t="e">
        <f t="shared" si="12"/>
        <v>#N/A</v>
      </c>
      <c r="U32" s="297" t="e">
        <f t="shared" si="13"/>
        <v>#N/A</v>
      </c>
      <c r="V32" s="297" t="e">
        <f t="shared" si="14"/>
        <v>#N/A</v>
      </c>
      <c r="W32" s="297" t="e">
        <f t="shared" si="15"/>
        <v>#N/A</v>
      </c>
      <c r="X32" s="297" t="e">
        <f t="shared" si="16"/>
        <v>#N/A</v>
      </c>
      <c r="Y32" s="297" t="e">
        <f t="shared" si="17"/>
        <v>#N/A</v>
      </c>
      <c r="Z32" s="296" t="e">
        <f t="shared" si="18"/>
        <v>#N/A</v>
      </c>
    </row>
    <row r="33" spans="1:56" ht="14.65" customHeight="1">
      <c r="A33" s="28"/>
      <c r="B33" s="559"/>
      <c r="C33" s="349"/>
      <c r="D33" s="518"/>
      <c r="E33" s="507"/>
      <c r="F33" s="294"/>
      <c r="G33" s="294"/>
      <c r="H33" s="348"/>
      <c r="I33" s="410" t="s">
        <v>157</v>
      </c>
      <c r="J33" s="326"/>
      <c r="K33" s="284"/>
      <c r="L33" s="305"/>
      <c r="M33" s="305">
        <f>AVERAGE([29]Brewhouse!$AW$26:$AW$27)</f>
        <v>95.310680905194914</v>
      </c>
      <c r="N33" s="30">
        <v>98</v>
      </c>
      <c r="O33" s="11"/>
      <c r="P33" s="31"/>
      <c r="R33" s="277">
        <f t="shared" si="10"/>
        <v>0</v>
      </c>
      <c r="S33" s="296" t="e">
        <f t="shared" si="11"/>
        <v>#N/A</v>
      </c>
      <c r="T33" s="296" t="e">
        <f t="shared" si="12"/>
        <v>#N/A</v>
      </c>
      <c r="U33" s="297" t="e">
        <f t="shared" si="13"/>
        <v>#N/A</v>
      </c>
      <c r="V33" s="297" t="e">
        <f t="shared" si="14"/>
        <v>#N/A</v>
      </c>
      <c r="W33" s="297" t="e">
        <f t="shared" si="15"/>
        <v>#N/A</v>
      </c>
      <c r="X33" s="297" t="e">
        <f t="shared" si="16"/>
        <v>#N/A</v>
      </c>
      <c r="Y33" s="297" t="e">
        <f t="shared" si="17"/>
        <v>#N/A</v>
      </c>
      <c r="Z33" s="296" t="e">
        <f t="shared" si="18"/>
        <v>#N/A</v>
      </c>
    </row>
    <row r="34" spans="1:56" ht="15" customHeight="1" thickBot="1">
      <c r="A34" s="28"/>
      <c r="B34" s="559"/>
      <c r="C34" s="349"/>
      <c r="D34" s="519"/>
      <c r="E34" s="502"/>
      <c r="F34" s="294"/>
      <c r="G34" s="294"/>
      <c r="H34" s="348"/>
      <c r="I34" s="406" t="s">
        <v>156</v>
      </c>
      <c r="J34" s="327"/>
      <c r="K34" s="407"/>
      <c r="L34" s="408"/>
      <c r="M34" s="408">
        <f>AVERAGE([30]Brewhouse!$AU$13:$AU$14)</f>
        <v>97.110575243268045</v>
      </c>
      <c r="N34" s="409">
        <v>98</v>
      </c>
      <c r="O34" s="11"/>
      <c r="P34" s="31"/>
      <c r="R34" s="277">
        <f t="shared" si="10"/>
        <v>0</v>
      </c>
      <c r="S34" s="296" t="e">
        <f t="shared" si="11"/>
        <v>#N/A</v>
      </c>
      <c r="T34" s="296" t="e">
        <f t="shared" si="12"/>
        <v>#N/A</v>
      </c>
      <c r="U34" s="297" t="e">
        <f t="shared" si="13"/>
        <v>#N/A</v>
      </c>
      <c r="V34" s="297" t="e">
        <f t="shared" si="14"/>
        <v>#N/A</v>
      </c>
      <c r="W34" s="297" t="e">
        <f t="shared" si="15"/>
        <v>#N/A</v>
      </c>
      <c r="X34" s="297" t="e">
        <f t="shared" si="16"/>
        <v>#N/A</v>
      </c>
      <c r="Y34" s="297" t="e">
        <f t="shared" si="17"/>
        <v>#N/A</v>
      </c>
      <c r="Z34" s="296" t="e">
        <f t="shared" si="18"/>
        <v>#N/A</v>
      </c>
    </row>
    <row r="35" spans="1:56" ht="15" customHeight="1" thickBot="1">
      <c r="A35" s="28"/>
      <c r="B35" s="559"/>
      <c r="C35" s="349"/>
      <c r="D35" s="518"/>
      <c r="E35" s="507"/>
      <c r="F35" s="294"/>
      <c r="G35" s="294"/>
      <c r="H35" s="348"/>
      <c r="I35" s="1"/>
      <c r="J35" s="39"/>
      <c r="K35" s="404">
        <f>SUM(K25:K34)</f>
        <v>106</v>
      </c>
      <c r="L35" s="405">
        <f>((L25*K25)+(L26*K26)+(L27*K27)+(L28*K28)+(L29*K29)+(K32*L32)+(L30*K30)+(L31*K31)+(L34*K34))/(K35)</f>
        <v>97.28012433142348</v>
      </c>
      <c r="M35" s="405">
        <f>AVERAGE('[31]Jan 31st'!$L$65,'[32]Feb 28th'!$L$35,'[33]Mar. 31st'!$L$35,'[34]Apr. 30th'!$L$45,'[35]May 30th'!$L$37,'[36]June 30th'!$L$57,L35)</f>
        <v>97.604576404069348</v>
      </c>
      <c r="N35" s="40">
        <v>98</v>
      </c>
      <c r="O35" s="11"/>
      <c r="P35" s="31"/>
      <c r="R35" s="277">
        <f t="shared" si="10"/>
        <v>0</v>
      </c>
      <c r="S35" s="296" t="e">
        <f t="shared" si="11"/>
        <v>#N/A</v>
      </c>
      <c r="T35" s="296" t="e">
        <f t="shared" si="12"/>
        <v>#N/A</v>
      </c>
      <c r="U35" s="297" t="e">
        <f t="shared" si="13"/>
        <v>#N/A</v>
      </c>
      <c r="V35" s="297" t="e">
        <f t="shared" si="14"/>
        <v>#N/A</v>
      </c>
      <c r="W35" s="297" t="e">
        <f t="shared" si="15"/>
        <v>#N/A</v>
      </c>
      <c r="X35" s="297" t="e">
        <f t="shared" si="16"/>
        <v>#N/A</v>
      </c>
      <c r="Y35" s="297" t="e">
        <f t="shared" si="17"/>
        <v>#N/A</v>
      </c>
      <c r="Z35" s="296" t="e">
        <f t="shared" si="18"/>
        <v>#N/A</v>
      </c>
    </row>
    <row r="36" spans="1:56" ht="15.75" thickBot="1">
      <c r="B36" s="560"/>
      <c r="C36" s="350"/>
      <c r="D36" s="519"/>
      <c r="E36" s="502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R36" s="277">
        <f t="shared" si="10"/>
        <v>0</v>
      </c>
      <c r="S36" s="296" t="e">
        <f t="shared" si="11"/>
        <v>#N/A</v>
      </c>
      <c r="T36" s="296" t="e">
        <f t="shared" si="12"/>
        <v>#N/A</v>
      </c>
      <c r="U36" s="297" t="e">
        <f t="shared" si="13"/>
        <v>#N/A</v>
      </c>
      <c r="V36" s="297" t="e">
        <f t="shared" si="14"/>
        <v>#N/A</v>
      </c>
      <c r="W36" s="297" t="e">
        <f t="shared" si="15"/>
        <v>#N/A</v>
      </c>
      <c r="X36" s="297" t="e">
        <f t="shared" si="16"/>
        <v>#N/A</v>
      </c>
      <c r="Y36" s="297" t="e">
        <f t="shared" si="17"/>
        <v>#N/A</v>
      </c>
      <c r="Z36" s="296" t="e">
        <f t="shared" si="18"/>
        <v>#N/A</v>
      </c>
    </row>
    <row r="37" spans="1:56" ht="15.75" thickBot="1">
      <c r="B37" s="571"/>
      <c r="C37" s="362"/>
      <c r="D37" s="499"/>
      <c r="E37" s="500"/>
      <c r="F37" s="294"/>
      <c r="G37" s="42"/>
      <c r="H37" s="41"/>
      <c r="I37" s="42"/>
      <c r="J37" s="553" t="s">
        <v>129</v>
      </c>
      <c r="K37" s="553"/>
      <c r="L37" s="294"/>
      <c r="M37" s="294"/>
      <c r="N37" s="294"/>
      <c r="O37" s="294"/>
      <c r="P37" s="12"/>
      <c r="R37" s="277">
        <f t="shared" si="10"/>
        <v>0</v>
      </c>
      <c r="S37" s="296" t="e">
        <f t="shared" si="11"/>
        <v>#N/A</v>
      </c>
      <c r="T37" s="296" t="e">
        <f t="shared" si="12"/>
        <v>#N/A</v>
      </c>
      <c r="U37" s="297" t="e">
        <f t="shared" si="13"/>
        <v>#N/A</v>
      </c>
      <c r="V37" s="297" t="e">
        <f t="shared" si="14"/>
        <v>#N/A</v>
      </c>
      <c r="W37" s="297" t="e">
        <f t="shared" si="15"/>
        <v>#N/A</v>
      </c>
      <c r="X37" s="297" t="e">
        <f t="shared" si="16"/>
        <v>#N/A</v>
      </c>
      <c r="Y37" s="297" t="e">
        <f t="shared" si="17"/>
        <v>#N/A</v>
      </c>
      <c r="Z37" s="296" t="e">
        <f t="shared" si="18"/>
        <v>#N/A</v>
      </c>
    </row>
    <row r="38" spans="1:56" ht="15.75" thickBot="1">
      <c r="B38" s="559"/>
      <c r="C38" s="362"/>
      <c r="D38" s="501"/>
      <c r="E38" s="502"/>
      <c r="F38" s="294"/>
      <c r="G38" s="42"/>
      <c r="H38" s="41"/>
      <c r="I38" s="42"/>
      <c r="J38" s="292" t="s">
        <v>17</v>
      </c>
      <c r="K38" s="293" t="s">
        <v>147</v>
      </c>
      <c r="L38" s="504" t="s">
        <v>136</v>
      </c>
      <c r="M38" s="504"/>
      <c r="N38" s="505"/>
      <c r="O38" s="294"/>
      <c r="P38" s="12"/>
      <c r="R38" s="277">
        <f t="shared" si="10"/>
        <v>0</v>
      </c>
      <c r="S38" s="296" t="e">
        <f t="shared" si="11"/>
        <v>#N/A</v>
      </c>
      <c r="T38" s="296" t="e">
        <f t="shared" si="12"/>
        <v>#N/A</v>
      </c>
      <c r="U38" s="297" t="e">
        <f t="shared" si="13"/>
        <v>#N/A</v>
      </c>
      <c r="V38" s="297" t="e">
        <f t="shared" si="14"/>
        <v>#N/A</v>
      </c>
      <c r="W38" s="297" t="e">
        <f t="shared" si="15"/>
        <v>#N/A</v>
      </c>
      <c r="X38" s="297" t="e">
        <f t="shared" si="16"/>
        <v>#N/A</v>
      </c>
      <c r="Y38" s="297" t="e">
        <f t="shared" si="17"/>
        <v>#N/A</v>
      </c>
      <c r="Z38" s="296" t="e">
        <f t="shared" si="18"/>
        <v>#N/A</v>
      </c>
    </row>
    <row r="39" spans="1:56" ht="15" customHeight="1" thickBot="1">
      <c r="B39" s="559"/>
      <c r="C39" s="349"/>
      <c r="D39" s="554"/>
      <c r="E39" s="555"/>
      <c r="F39" s="294"/>
      <c r="G39" s="42"/>
      <c r="H39" s="41"/>
      <c r="I39" s="42"/>
      <c r="J39" s="287" t="s">
        <v>6</v>
      </c>
      <c r="K39" s="324">
        <v>4</v>
      </c>
      <c r="L39" s="343" t="s">
        <v>37</v>
      </c>
      <c r="M39" s="307" t="s">
        <v>38</v>
      </c>
      <c r="N39" s="307" t="s">
        <v>84</v>
      </c>
      <c r="O39" s="294"/>
      <c r="P39" s="12"/>
      <c r="R39" s="277">
        <f t="shared" si="10"/>
        <v>0</v>
      </c>
      <c r="S39" s="296" t="e">
        <f t="shared" si="11"/>
        <v>#N/A</v>
      </c>
      <c r="T39" s="296" t="e">
        <f t="shared" si="12"/>
        <v>#N/A</v>
      </c>
      <c r="U39" s="297" t="e">
        <f t="shared" si="13"/>
        <v>#N/A</v>
      </c>
      <c r="V39" s="297" t="e">
        <f t="shared" si="14"/>
        <v>#N/A</v>
      </c>
      <c r="W39" s="297" t="e">
        <f t="shared" si="15"/>
        <v>#N/A</v>
      </c>
      <c r="X39" s="297" t="e">
        <f t="shared" si="16"/>
        <v>#N/A</v>
      </c>
      <c r="Y39" s="297" t="e">
        <f t="shared" si="17"/>
        <v>#N/A</v>
      </c>
      <c r="Z39" s="296" t="e">
        <f t="shared" si="18"/>
        <v>#N/A</v>
      </c>
    </row>
    <row r="40" spans="1:56" ht="15.75" customHeight="1" thickBot="1">
      <c r="B40" s="559"/>
      <c r="C40" s="349"/>
      <c r="D40" s="501"/>
      <c r="E40" s="502"/>
      <c r="F40" s="294"/>
      <c r="G40" s="42"/>
      <c r="H40" s="41"/>
      <c r="I40" s="42"/>
      <c r="J40" s="345" t="s">
        <v>9</v>
      </c>
      <c r="K40" s="324">
        <v>4</v>
      </c>
      <c r="L40" s="344">
        <f>AVERAGE('Sept 1st'!K53,'Sept 2nd'!K51,'Sept 3rd'!K52,'Sept 4th'!K61,'Sept 5th '!K49,'Sept 8th'!K51,'Sept 9th'!K51,'Sept 10th'!K59,'Sept 11th'!K53,'Sept 15th '!K43,'Sept 16th'!K44,'Sept 17th'!K48,'Sept 18th '!K46,K49)</f>
        <v>7.5714285714285712</v>
      </c>
      <c r="M40" s="325">
        <f>AVERAGE('[31]Jan 29th '!$M$70,'[32]Feb 28th'!$L$40,'[33]Mar. 31st'!$L$40,'[34]Apr. 30th'!$L$50,'[35]May 30th'!$L$42,'[36]June 30th'!$L$62,'[37]July 29th '!$L$49,'[38]Aug 29th'!$L$34,L40)</f>
        <v>7.0226816576930986</v>
      </c>
      <c r="N40" s="416">
        <v>9.1999999999999993</v>
      </c>
      <c r="O40" s="294"/>
      <c r="P40" s="12"/>
      <c r="R40" s="277">
        <f t="shared" si="10"/>
        <v>0</v>
      </c>
      <c r="S40" s="296" t="e">
        <f t="shared" si="11"/>
        <v>#N/A</v>
      </c>
      <c r="T40" s="296" t="e">
        <f t="shared" si="12"/>
        <v>#N/A</v>
      </c>
      <c r="U40" s="297" t="e">
        <f t="shared" si="13"/>
        <v>#N/A</v>
      </c>
      <c r="V40" s="297" t="e">
        <f t="shared" si="14"/>
        <v>#N/A</v>
      </c>
      <c r="W40" s="297" t="e">
        <f t="shared" si="15"/>
        <v>#N/A</v>
      </c>
      <c r="X40" s="297" t="e">
        <f t="shared" si="16"/>
        <v>#N/A</v>
      </c>
      <c r="Y40" s="297" t="e">
        <f t="shared" si="17"/>
        <v>#N/A</v>
      </c>
      <c r="Z40" s="296" t="e">
        <f t="shared" si="18"/>
        <v>#N/A</v>
      </c>
    </row>
    <row r="41" spans="1:56" ht="15" customHeight="1">
      <c r="B41" s="559"/>
      <c r="C41" s="349"/>
      <c r="D41" s="554"/>
      <c r="E41" s="555"/>
      <c r="F41" s="294"/>
      <c r="G41" s="42"/>
      <c r="H41" s="41"/>
      <c r="I41" s="42"/>
      <c r="J41" s="288" t="s">
        <v>40</v>
      </c>
      <c r="K41" s="324"/>
      <c r="L41" s="294"/>
      <c r="M41" s="294"/>
      <c r="N41" s="294"/>
      <c r="O41" s="294"/>
      <c r="P41" s="12"/>
      <c r="R41" s="277">
        <f t="shared" si="10"/>
        <v>0</v>
      </c>
      <c r="S41" s="296" t="e">
        <f t="shared" si="11"/>
        <v>#N/A</v>
      </c>
      <c r="T41" s="296" t="e">
        <f t="shared" si="12"/>
        <v>#N/A</v>
      </c>
      <c r="U41" s="297" t="e">
        <f t="shared" si="13"/>
        <v>#N/A</v>
      </c>
      <c r="V41" s="297" t="e">
        <f t="shared" si="14"/>
        <v>#N/A</v>
      </c>
      <c r="W41" s="297" t="e">
        <f t="shared" si="15"/>
        <v>#N/A</v>
      </c>
      <c r="X41" s="297" t="e">
        <f t="shared" si="16"/>
        <v>#N/A</v>
      </c>
      <c r="Y41" s="297" t="e">
        <f t="shared" si="17"/>
        <v>#N/A</v>
      </c>
      <c r="Z41" s="296" t="e">
        <f t="shared" si="18"/>
        <v>#N/A</v>
      </c>
    </row>
    <row r="42" spans="1:56" ht="15" customHeight="1">
      <c r="B42" s="559"/>
      <c r="C42" s="349"/>
      <c r="D42" s="501"/>
      <c r="E42" s="502"/>
      <c r="F42" s="294"/>
      <c r="G42" s="42"/>
      <c r="H42" s="41"/>
      <c r="I42" s="42"/>
      <c r="J42" s="289" t="s">
        <v>33</v>
      </c>
      <c r="K42" s="324"/>
      <c r="L42" s="294"/>
      <c r="M42" s="294"/>
      <c r="N42" s="294"/>
      <c r="O42" s="294"/>
      <c r="P42" s="12"/>
      <c r="R42" s="277">
        <f t="shared" si="10"/>
        <v>0</v>
      </c>
      <c r="S42" s="296" t="e">
        <f t="shared" si="11"/>
        <v>#N/A</v>
      </c>
      <c r="T42" s="296" t="e">
        <f t="shared" si="12"/>
        <v>#N/A</v>
      </c>
      <c r="U42" s="297" t="e">
        <f t="shared" si="13"/>
        <v>#N/A</v>
      </c>
      <c r="V42" s="297" t="e">
        <f t="shared" si="14"/>
        <v>#N/A</v>
      </c>
      <c r="W42" s="297" t="e">
        <f t="shared" si="15"/>
        <v>#N/A</v>
      </c>
      <c r="X42" s="297" t="e">
        <f t="shared" si="16"/>
        <v>#N/A</v>
      </c>
      <c r="Y42" s="297" t="e">
        <f t="shared" si="17"/>
        <v>#N/A</v>
      </c>
      <c r="Z42" s="296" t="e">
        <f t="shared" si="18"/>
        <v>#N/A</v>
      </c>
    </row>
    <row r="43" spans="1:56" ht="15">
      <c r="B43" s="559"/>
      <c r="C43" s="349"/>
      <c r="D43" s="554"/>
      <c r="E43" s="555"/>
      <c r="F43" s="294"/>
      <c r="G43" s="42"/>
      <c r="H43" s="41"/>
      <c r="I43" s="42"/>
      <c r="J43" s="290" t="s">
        <v>16</v>
      </c>
      <c r="K43" s="324"/>
      <c r="L43" s="294"/>
      <c r="M43" s="294"/>
      <c r="N43" s="294"/>
      <c r="O43" s="294"/>
      <c r="P43" s="12"/>
      <c r="R43" s="277">
        <f t="shared" si="10"/>
        <v>0</v>
      </c>
      <c r="S43" s="296" t="e">
        <f t="shared" si="11"/>
        <v>#N/A</v>
      </c>
      <c r="T43" s="296" t="e">
        <f t="shared" si="12"/>
        <v>#N/A</v>
      </c>
      <c r="U43" s="297" t="e">
        <f t="shared" si="13"/>
        <v>#N/A</v>
      </c>
      <c r="V43" s="297" t="e">
        <f t="shared" si="14"/>
        <v>#N/A</v>
      </c>
      <c r="W43" s="297" t="e">
        <f t="shared" si="15"/>
        <v>#N/A</v>
      </c>
      <c r="X43" s="297" t="e">
        <f t="shared" si="16"/>
        <v>#N/A</v>
      </c>
      <c r="Y43" s="297" t="e">
        <f t="shared" si="17"/>
        <v>#N/A</v>
      </c>
      <c r="Z43" s="296" t="e">
        <f t="shared" si="18"/>
        <v>#N/A</v>
      </c>
      <c r="BC43" s="44"/>
      <c r="BD43" s="44"/>
    </row>
    <row r="44" spans="1:56" ht="15">
      <c r="B44" s="559"/>
      <c r="C44" s="349"/>
      <c r="D44" s="501"/>
      <c r="E44" s="502"/>
      <c r="F44" s="294"/>
      <c r="G44" s="42"/>
      <c r="H44" s="41"/>
      <c r="I44" s="42"/>
      <c r="J44" s="291" t="s">
        <v>15</v>
      </c>
      <c r="K44" s="324"/>
      <c r="L44" s="294"/>
      <c r="M44" s="294"/>
      <c r="N44" s="294"/>
      <c r="O44" s="294"/>
      <c r="P44" s="12"/>
      <c r="R44" s="277">
        <f t="shared" si="10"/>
        <v>0</v>
      </c>
      <c r="S44" s="296" t="e">
        <f t="shared" si="11"/>
        <v>#N/A</v>
      </c>
      <c r="T44" s="296" t="e">
        <f t="shared" si="12"/>
        <v>#N/A</v>
      </c>
      <c r="U44" s="297" t="e">
        <f t="shared" si="13"/>
        <v>#N/A</v>
      </c>
      <c r="V44" s="297" t="e">
        <f t="shared" si="14"/>
        <v>#N/A</v>
      </c>
      <c r="W44" s="297" t="e">
        <f t="shared" si="15"/>
        <v>#N/A</v>
      </c>
      <c r="X44" s="297" t="e">
        <f t="shared" si="16"/>
        <v>#N/A</v>
      </c>
      <c r="Y44" s="297" t="e">
        <f t="shared" si="17"/>
        <v>#N/A</v>
      </c>
      <c r="Z44" s="296" t="e">
        <f t="shared" si="18"/>
        <v>#N/A</v>
      </c>
      <c r="BC44" s="44"/>
      <c r="BD44" s="44"/>
    </row>
    <row r="45" spans="1:56" ht="15">
      <c r="B45" s="559"/>
      <c r="C45" s="349"/>
      <c r="D45" s="554"/>
      <c r="E45" s="555"/>
      <c r="F45" s="294"/>
      <c r="G45" s="42"/>
      <c r="H45" s="41"/>
      <c r="I45" s="42"/>
      <c r="J45" s="291" t="s">
        <v>149</v>
      </c>
      <c r="K45" s="324"/>
      <c r="L45" s="294"/>
      <c r="M45" s="294"/>
      <c r="N45" s="294"/>
      <c r="O45" s="294"/>
      <c r="P45" s="12"/>
      <c r="BC45" s="44"/>
      <c r="BD45" s="44"/>
    </row>
    <row r="46" spans="1:56" ht="15.75" thickBot="1">
      <c r="B46" s="560"/>
      <c r="C46" s="350"/>
      <c r="D46" s="556"/>
      <c r="E46" s="557"/>
      <c r="F46" s="294"/>
      <c r="G46" s="42"/>
      <c r="H46" s="41"/>
      <c r="I46" s="42"/>
      <c r="J46" s="291" t="s">
        <v>148</v>
      </c>
      <c r="K46" s="324"/>
      <c r="L46" s="294"/>
      <c r="M46" s="294"/>
      <c r="N46" s="294"/>
      <c r="O46" s="294"/>
      <c r="P46" s="12"/>
      <c r="BC46" s="44"/>
      <c r="BD46" s="44"/>
    </row>
    <row r="47" spans="1:56" ht="17.649999999999999" customHeight="1" thickBot="1">
      <c r="B47" s="312" t="s">
        <v>139</v>
      </c>
      <c r="C47" s="313"/>
      <c r="D47" s="550" t="e">
        <f>AVERAGE(D25:E46)</f>
        <v>#DIV/0!</v>
      </c>
      <c r="E47" s="551"/>
      <c r="F47" s="294"/>
      <c r="H47" s="41"/>
      <c r="I47" s="42"/>
      <c r="J47" s="295" t="s">
        <v>134</v>
      </c>
      <c r="K47" s="324"/>
      <c r="L47" s="294"/>
      <c r="M47" s="294"/>
      <c r="N47" s="294"/>
      <c r="O47" s="294"/>
      <c r="P47" s="12"/>
      <c r="BC47" s="44"/>
      <c r="BD47" s="44"/>
    </row>
    <row r="48" spans="1:56" ht="17.649999999999999" customHeight="1">
      <c r="B48" s="363"/>
      <c r="C48" s="364"/>
      <c r="D48" s="365"/>
      <c r="E48" s="365"/>
      <c r="F48" s="294"/>
      <c r="G48" s="42"/>
      <c r="H48" s="41"/>
      <c r="I48" s="42"/>
      <c r="J48" s="295" t="s">
        <v>131</v>
      </c>
      <c r="K48" s="324"/>
      <c r="L48" s="294"/>
      <c r="M48" s="294"/>
      <c r="N48" s="294"/>
      <c r="O48" s="294"/>
      <c r="P48" s="12"/>
      <c r="BC48" s="44"/>
      <c r="BD48" s="44"/>
    </row>
    <row r="49" spans="2:57" ht="15.6" customHeight="1">
      <c r="B49" s="45"/>
      <c r="C49" s="11"/>
      <c r="D49" s="11"/>
      <c r="E49" s="46"/>
      <c r="F49" s="294"/>
      <c r="G49" s="42"/>
      <c r="H49" s="41"/>
      <c r="I49" s="42"/>
      <c r="J49" s="346" t="s">
        <v>130</v>
      </c>
      <c r="K49" s="324">
        <f>SUM(K39:K48)</f>
        <v>8</v>
      </c>
      <c r="L49" s="294"/>
      <c r="M49" s="294"/>
      <c r="N49" s="294"/>
      <c r="O49" s="294"/>
      <c r="P49" s="12"/>
    </row>
    <row r="50" spans="2:57" ht="20.25" customHeight="1">
      <c r="B50" s="15" t="s">
        <v>42</v>
      </c>
      <c r="C50" s="1" t="s">
        <v>43</v>
      </c>
      <c r="D50" s="1"/>
      <c r="E50" s="1"/>
      <c r="F50" s="294"/>
      <c r="G50" s="42"/>
      <c r="H50" s="41"/>
      <c r="I50" s="42"/>
      <c r="L50" s="294"/>
      <c r="N50" s="315"/>
      <c r="P50" s="334"/>
    </row>
    <row r="51" spans="2:57" ht="15" customHeight="1" thickBot="1"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1"/>
      <c r="O51" s="48"/>
      <c r="P51" s="49"/>
    </row>
    <row r="52" spans="2:57" ht="15" customHeight="1" thickBot="1">
      <c r="B52" s="480" t="s">
        <v>17</v>
      </c>
      <c r="C52" s="480" t="s">
        <v>44</v>
      </c>
      <c r="D52" s="492" t="s">
        <v>45</v>
      </c>
      <c r="E52" s="494" t="s">
        <v>46</v>
      </c>
      <c r="F52" s="488" t="s">
        <v>47</v>
      </c>
      <c r="G52" s="478" t="s">
        <v>48</v>
      </c>
      <c r="H52" s="480" t="s">
        <v>49</v>
      </c>
      <c r="I52" s="480" t="s">
        <v>50</v>
      </c>
      <c r="J52" s="472" t="s">
        <v>28</v>
      </c>
      <c r="K52" s="484" t="s">
        <v>51</v>
      </c>
      <c r="L52" s="486" t="s">
        <v>52</v>
      </c>
      <c r="M52" s="472" t="s">
        <v>53</v>
      </c>
      <c r="N52" s="13"/>
      <c r="O52" s="13"/>
      <c r="P52" s="50"/>
    </row>
    <row r="53" spans="2:57" ht="28.5" customHeight="1" thickTop="1" thickBot="1">
      <c r="B53" s="481"/>
      <c r="C53" s="481"/>
      <c r="D53" s="493"/>
      <c r="E53" s="495"/>
      <c r="F53" s="489"/>
      <c r="G53" s="479"/>
      <c r="H53" s="481"/>
      <c r="I53" s="481"/>
      <c r="J53" s="473"/>
      <c r="K53" s="485"/>
      <c r="L53" s="487"/>
      <c r="M53" s="473"/>
      <c r="N53" s="13"/>
      <c r="O53" s="13"/>
      <c r="P53" s="50"/>
      <c r="Q53" s="355"/>
      <c r="AB53" s="51">
        <v>43474</v>
      </c>
      <c r="AC53" s="51">
        <v>43475</v>
      </c>
      <c r="AD53" s="51">
        <v>43476</v>
      </c>
      <c r="AE53" s="51">
        <v>43477</v>
      </c>
      <c r="AF53" s="51">
        <v>43478</v>
      </c>
      <c r="AG53" s="51">
        <v>43479</v>
      </c>
      <c r="AH53" s="51">
        <v>43480</v>
      </c>
      <c r="AI53" s="51">
        <v>43481</v>
      </c>
      <c r="AJ53" s="51">
        <v>43482</v>
      </c>
      <c r="AK53" s="51">
        <v>43483</v>
      </c>
      <c r="AL53" s="51">
        <v>43484</v>
      </c>
      <c r="AM53" s="51">
        <v>43485</v>
      </c>
      <c r="AN53" s="51">
        <v>43486</v>
      </c>
      <c r="AO53" s="51">
        <v>43487</v>
      </c>
      <c r="AP53" s="51">
        <v>43488</v>
      </c>
      <c r="AQ53" s="51">
        <v>43489</v>
      </c>
      <c r="AR53" s="51">
        <v>43490</v>
      </c>
      <c r="AS53" s="51">
        <v>43491</v>
      </c>
      <c r="AT53" s="51">
        <v>43492</v>
      </c>
      <c r="AU53" s="51">
        <v>43493</v>
      </c>
      <c r="AV53" s="51">
        <v>43494</v>
      </c>
      <c r="AW53" s="51">
        <v>43495</v>
      </c>
      <c r="AX53" s="51">
        <v>43496</v>
      </c>
    </row>
    <row r="54" spans="2:57" s="54" customFormat="1" ht="59.45" hidden="1" customHeight="1" thickBot="1">
      <c r="B54" s="460"/>
      <c r="C54" s="442"/>
      <c r="D54" s="443"/>
      <c r="E54" s="444"/>
      <c r="F54" s="445"/>
      <c r="G54" s="428"/>
      <c r="H54" s="429"/>
      <c r="I54" s="429"/>
      <c r="J54" s="449"/>
      <c r="K54" s="450"/>
      <c r="L54" s="464"/>
      <c r="M54" s="457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[20]January_2019!L7</f>
        <v>285.8</v>
      </c>
      <c r="AC54" s="57">
        <f>[20]January_2019!M7</f>
        <v>508.1</v>
      </c>
      <c r="AD54" s="57">
        <f>[20]January_2019!N7</f>
        <v>0</v>
      </c>
      <c r="AE54" s="57">
        <f>[20]January_2019!O7</f>
        <v>0</v>
      </c>
      <c r="AF54" s="57">
        <f>[20]January_2019!P7</f>
        <v>109.56666666666666</v>
      </c>
      <c r="AG54" s="57">
        <f>[20]January_2019!Q7</f>
        <v>297.64999999999998</v>
      </c>
      <c r="AH54" s="57">
        <f>[20]January_2019!R7</f>
        <v>122.3</v>
      </c>
      <c r="AI54" s="57">
        <f>[20]January_2019!S7</f>
        <v>0</v>
      </c>
      <c r="AJ54" s="57">
        <f>[20]January_2019!T7</f>
        <v>294.7</v>
      </c>
      <c r="AK54" s="57">
        <f>[20]January_2019!U7</f>
        <v>280.5</v>
      </c>
      <c r="AL54" s="57">
        <f>[20]January_2019!V7</f>
        <v>0</v>
      </c>
      <c r="AM54" s="57">
        <f>[20]January_2019!W7</f>
        <v>0</v>
      </c>
      <c r="AN54" s="57">
        <f>[20]January_2019!X7</f>
        <v>188.25</v>
      </c>
      <c r="AO54" s="57">
        <f>[20]January_2019!Y7</f>
        <v>295.7</v>
      </c>
      <c r="AP54" s="57">
        <f>[20]January_2019!Z7</f>
        <v>257.8</v>
      </c>
      <c r="AQ54" s="57">
        <f>[20]January_2019!AA7</f>
        <v>291.2</v>
      </c>
      <c r="AR54" s="57">
        <f>[20]January_2019!AB7</f>
        <v>187</v>
      </c>
      <c r="AS54" s="57">
        <f>[20]January_2019!AC7</f>
        <v>0</v>
      </c>
      <c r="AT54" s="57">
        <f>[20]January_2019!AD7</f>
        <v>0</v>
      </c>
      <c r="AU54" s="57">
        <f>[20]January_2019!AE7</f>
        <v>485.1</v>
      </c>
      <c r="AV54" s="57">
        <f>[20]January_2019!AF7</f>
        <v>171.55</v>
      </c>
      <c r="AW54" s="57">
        <f>[20]January_2019!AG7</f>
        <v>423.8</v>
      </c>
      <c r="AX54" s="277">
        <f>[20]January_2019!AH7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14.25" hidden="1" customHeight="1" thickBot="1">
      <c r="B55" s="459"/>
      <c r="C55" s="431"/>
      <c r="D55" s="432"/>
      <c r="E55" s="433"/>
      <c r="F55" s="434"/>
      <c r="G55" s="435"/>
      <c r="H55" s="429"/>
      <c r="I55" s="429"/>
      <c r="J55" s="452"/>
      <c r="K55" s="437"/>
      <c r="L55" s="453"/>
      <c r="M55" s="422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59.45" customHeight="1" thickBot="1">
      <c r="B56" s="461" t="str">
        <f>J39</f>
        <v>CARIB</v>
      </c>
      <c r="C56" s="442">
        <v>45919</v>
      </c>
      <c r="D56" s="443">
        <f>[39]September_2025!$V$3</f>
        <v>401.19999999999993</v>
      </c>
      <c r="E56" s="444"/>
      <c r="F56" s="444"/>
      <c r="G56" s="445">
        <f>[39]September_2025!$V$7</f>
        <v>379.8</v>
      </c>
      <c r="H56" s="463"/>
      <c r="I56" s="463"/>
      <c r="J56" s="449" t="s">
        <v>188</v>
      </c>
      <c r="K56" s="450">
        <f>[40]September_2025!$V$18</f>
        <v>0.66631578947368419</v>
      </c>
      <c r="L56" s="464">
        <f>(((D56+E56)-G56)/(D56+E56))*100</f>
        <v>5.3339980059820356</v>
      </c>
      <c r="M56" s="457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15.75" thickBot="1">
      <c r="B57" s="454"/>
      <c r="C57" s="431"/>
      <c r="D57" s="432"/>
      <c r="E57" s="433"/>
      <c r="F57" s="434"/>
      <c r="G57" s="435"/>
      <c r="H57" s="436"/>
      <c r="I57" s="451"/>
      <c r="J57" s="452"/>
      <c r="K57" s="437"/>
      <c r="L57" s="453"/>
      <c r="M57" s="422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6.6" customHeight="1" thickBot="1">
      <c r="B58" s="460" t="str">
        <f>J40</f>
        <v>STAG</v>
      </c>
      <c r="C58" s="442">
        <v>45919</v>
      </c>
      <c r="D58" s="443">
        <f>[39]September_2025!$V$13</f>
        <v>446.69999999999993</v>
      </c>
      <c r="E58" s="444"/>
      <c r="F58" s="445"/>
      <c r="G58" s="446">
        <f>[39]September_2025!$V$17</f>
        <v>433.29999999999995</v>
      </c>
      <c r="H58" s="447"/>
      <c r="I58" s="448"/>
      <c r="J58" s="449"/>
      <c r="K58" s="450">
        <f>[40]September_2025!$V$25</f>
        <v>0.50678362573099411</v>
      </c>
      <c r="L58" s="464">
        <f>(((D58+E58)-G58)/(D58+E58))*100</f>
        <v>2.999776136109241</v>
      </c>
      <c r="M58" s="456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6.5" customHeight="1" thickBot="1">
      <c r="B59" s="438"/>
      <c r="C59" s="424"/>
      <c r="D59" s="425"/>
      <c r="E59" s="426"/>
      <c r="F59" s="427"/>
      <c r="G59" s="428"/>
      <c r="H59" s="429"/>
      <c r="I59" s="439"/>
      <c r="J59" s="440"/>
      <c r="K59" s="430"/>
      <c r="L59" s="441"/>
      <c r="M59" s="423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415"/>
      <c r="AC59" s="415"/>
      <c r="AD59" s="415"/>
      <c r="AE59" s="415"/>
      <c r="AF59" s="415"/>
      <c r="AG59" s="415"/>
      <c r="AH59" s="415"/>
      <c r="AI59" s="415"/>
      <c r="AJ59" s="415"/>
      <c r="AK59" s="415"/>
      <c r="AL59" s="415"/>
      <c r="AM59" s="415"/>
      <c r="AN59" s="415"/>
      <c r="AO59" s="415"/>
      <c r="AP59" s="415"/>
      <c r="AQ59" s="415"/>
      <c r="AR59" s="415"/>
      <c r="AS59" s="415"/>
      <c r="AT59" s="415"/>
      <c r="AU59" s="415"/>
      <c r="AV59" s="415"/>
      <c r="AW59" s="415"/>
    </row>
    <row r="60" spans="2:57" ht="18" customHeight="1" thickBot="1">
      <c r="B60" s="59"/>
      <c r="C60" s="30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 t="s">
        <v>41</v>
      </c>
      <c r="O60" s="56"/>
      <c r="P60" s="60"/>
    </row>
    <row r="61" spans="2:57" ht="15.75" thickBot="1">
      <c r="B61" s="474" t="s">
        <v>55</v>
      </c>
      <c r="C61" s="475"/>
      <c r="D61" s="475"/>
      <c r="E61" s="475"/>
      <c r="F61" s="476"/>
      <c r="G61" s="474" t="s">
        <v>56</v>
      </c>
      <c r="H61" s="475"/>
      <c r="I61" s="475"/>
      <c r="J61" s="476"/>
      <c r="K61" s="474" t="s">
        <v>51</v>
      </c>
      <c r="L61" s="475"/>
      <c r="M61" s="475"/>
      <c r="N61" s="477"/>
      <c r="O61" s="56"/>
      <c r="P61" s="50"/>
    </row>
    <row r="62" spans="2:57" ht="15">
      <c r="B62" s="61" t="s">
        <v>17</v>
      </c>
      <c r="C62" s="62" t="s">
        <v>36</v>
      </c>
      <c r="D62" s="62" t="s">
        <v>37</v>
      </c>
      <c r="E62" s="62" t="s">
        <v>38</v>
      </c>
      <c r="F62" s="63" t="s">
        <v>39</v>
      </c>
      <c r="G62" s="62" t="s">
        <v>36</v>
      </c>
      <c r="H62" s="62" t="s">
        <v>37</v>
      </c>
      <c r="I62" s="62" t="s">
        <v>38</v>
      </c>
      <c r="J62" s="63" t="s">
        <v>39</v>
      </c>
      <c r="K62" s="62" t="s">
        <v>36</v>
      </c>
      <c r="L62" s="62" t="s">
        <v>37</v>
      </c>
      <c r="M62" s="62" t="s">
        <v>38</v>
      </c>
      <c r="N62" s="63" t="s">
        <v>39</v>
      </c>
      <c r="O62" s="56"/>
      <c r="P62" s="64"/>
    </row>
    <row r="63" spans="2:57" ht="15">
      <c r="B63" s="29" t="s">
        <v>6</v>
      </c>
      <c r="C63" s="65"/>
      <c r="D63" s="76"/>
      <c r="E63" s="76"/>
      <c r="F63" s="66">
        <v>4.8</v>
      </c>
      <c r="G63" s="65"/>
      <c r="H63" s="76"/>
      <c r="I63" s="76"/>
      <c r="J63" s="66">
        <v>4.8</v>
      </c>
      <c r="K63" s="67"/>
      <c r="L63" s="194"/>
      <c r="M63" s="194"/>
      <c r="N63" s="68">
        <v>1</v>
      </c>
      <c r="O63" s="56"/>
      <c r="P63" s="69"/>
    </row>
    <row r="64" spans="2:57" ht="15">
      <c r="B64" s="33" t="s">
        <v>9</v>
      </c>
      <c r="C64" s="65"/>
      <c r="D64" s="76"/>
      <c r="E64" s="76"/>
      <c r="F64" s="66">
        <v>4.8</v>
      </c>
      <c r="G64" s="65"/>
      <c r="H64" s="76"/>
      <c r="I64" s="76"/>
      <c r="J64" s="66">
        <v>4.8</v>
      </c>
      <c r="K64" s="67"/>
      <c r="L64" s="194"/>
      <c r="M64" s="194"/>
      <c r="N64" s="68">
        <v>1</v>
      </c>
      <c r="P64" s="69"/>
    </row>
    <row r="65" spans="2:16" ht="15">
      <c r="B65" s="34" t="s">
        <v>40</v>
      </c>
      <c r="C65" s="65"/>
      <c r="D65" s="76"/>
      <c r="E65" s="76"/>
      <c r="F65" s="66">
        <v>5.5</v>
      </c>
      <c r="G65" s="65"/>
      <c r="H65" s="76"/>
      <c r="I65" s="76"/>
      <c r="J65" s="66">
        <v>5.5</v>
      </c>
      <c r="K65" s="67"/>
      <c r="L65" s="194"/>
      <c r="M65" s="194"/>
      <c r="N65" s="68">
        <v>1</v>
      </c>
      <c r="P65" s="69"/>
    </row>
    <row r="66" spans="2:16" ht="15">
      <c r="B66" s="22" t="s">
        <v>33</v>
      </c>
      <c r="C66" s="65"/>
      <c r="D66" s="76"/>
      <c r="E66" s="76"/>
      <c r="F66" s="66">
        <v>3.3</v>
      </c>
      <c r="G66" s="65"/>
      <c r="H66" s="76"/>
      <c r="I66" s="76"/>
      <c r="J66" s="66">
        <v>3.3</v>
      </c>
      <c r="K66" s="67"/>
      <c r="L66" s="194"/>
      <c r="M66" s="194"/>
      <c r="N66" s="68">
        <v>1</v>
      </c>
      <c r="P66" s="69"/>
    </row>
    <row r="67" spans="2:16" ht="15">
      <c r="B67" s="35" t="s">
        <v>165</v>
      </c>
      <c r="C67" s="65"/>
      <c r="D67" s="76"/>
      <c r="E67" s="76"/>
      <c r="F67" s="66">
        <v>3.3</v>
      </c>
      <c r="G67" s="282"/>
      <c r="H67" s="76"/>
      <c r="I67" s="76"/>
      <c r="J67" s="66">
        <v>3</v>
      </c>
      <c r="K67" s="67"/>
      <c r="L67" s="194"/>
      <c r="M67" s="194"/>
      <c r="N67" s="68">
        <v>1</v>
      </c>
      <c r="P67" s="69"/>
    </row>
    <row r="68" spans="2:16" ht="15">
      <c r="B68" s="36" t="s">
        <v>15</v>
      </c>
      <c r="C68" s="65"/>
      <c r="D68" s="76"/>
      <c r="E68" s="76"/>
      <c r="F68" s="70">
        <f>[21]May_2022!$M$43</f>
        <v>3.4878406700073312</v>
      </c>
      <c r="G68" s="282"/>
      <c r="H68" s="76"/>
      <c r="I68" s="76"/>
      <c r="J68" s="66">
        <v>5.5</v>
      </c>
      <c r="K68" s="67"/>
      <c r="L68" s="194"/>
      <c r="M68" s="194"/>
      <c r="N68" s="68">
        <v>1</v>
      </c>
      <c r="P68" s="69"/>
    </row>
    <row r="69" spans="2:16" ht="15">
      <c r="B69" s="37" t="s">
        <v>16</v>
      </c>
      <c r="C69" s="65"/>
      <c r="D69" s="76"/>
      <c r="E69" s="76"/>
      <c r="F69" s="66">
        <v>3.3</v>
      </c>
      <c r="G69" s="282"/>
      <c r="H69" s="76"/>
      <c r="I69" s="76"/>
      <c r="J69" s="66">
        <v>3.3</v>
      </c>
      <c r="K69" s="67"/>
      <c r="L69" s="194"/>
      <c r="M69" s="194"/>
      <c r="N69" s="71">
        <v>1</v>
      </c>
      <c r="P69" s="69"/>
    </row>
    <row r="70" spans="2:16" ht="15.75" thickBot="1">
      <c r="B70" s="38" t="s">
        <v>164</v>
      </c>
      <c r="C70" s="65"/>
      <c r="D70" s="76"/>
      <c r="E70" s="76"/>
      <c r="F70" s="66">
        <v>7.5</v>
      </c>
      <c r="G70" s="282"/>
      <c r="H70" s="76"/>
      <c r="I70" s="76"/>
      <c r="J70" s="66">
        <v>7.5</v>
      </c>
      <c r="K70" s="67"/>
      <c r="M70" s="194"/>
      <c r="N70" s="71">
        <v>1</v>
      </c>
      <c r="P70" s="69"/>
    </row>
    <row r="71" spans="2:16" ht="15.75" thickBot="1">
      <c r="B71" s="414" t="s">
        <v>161</v>
      </c>
      <c r="C71" s="65"/>
      <c r="D71" s="76"/>
      <c r="E71" s="76"/>
      <c r="F71" s="66">
        <v>4.8</v>
      </c>
      <c r="G71" s="282"/>
      <c r="H71" s="76"/>
      <c r="I71" s="76"/>
      <c r="J71" s="66">
        <v>4.8</v>
      </c>
      <c r="K71" s="67"/>
      <c r="L71" s="194"/>
      <c r="M71" s="194"/>
      <c r="N71" s="71">
        <v>1</v>
      </c>
      <c r="O71" s="74"/>
      <c r="P71" s="75"/>
    </row>
    <row r="72" spans="2:16" ht="15">
      <c r="D72" s="76"/>
      <c r="E72" s="76"/>
      <c r="F72" s="341">
        <v>5.5</v>
      </c>
      <c r="H72" s="76"/>
      <c r="I72" s="76"/>
      <c r="J72" s="341">
        <v>5.5</v>
      </c>
      <c r="L72" s="194"/>
      <c r="M72" s="194"/>
      <c r="N72" s="386">
        <v>1</v>
      </c>
    </row>
    <row r="76" spans="2:16">
      <c r="F76" s="315"/>
    </row>
    <row r="77" spans="2:16" ht="15">
      <c r="F77" s="341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B37:B46"/>
    <mergeCell ref="D37:E38"/>
    <mergeCell ref="J37:K37"/>
    <mergeCell ref="L38:N38"/>
    <mergeCell ref="D39:E40"/>
    <mergeCell ref="D41:E42"/>
    <mergeCell ref="D43:E44"/>
    <mergeCell ref="D45:E46"/>
    <mergeCell ref="D47:E47"/>
    <mergeCell ref="B52:B53"/>
    <mergeCell ref="C52:C53"/>
    <mergeCell ref="D52:D53"/>
    <mergeCell ref="E52:E53"/>
    <mergeCell ref="M52:M53"/>
    <mergeCell ref="B61:F61"/>
    <mergeCell ref="G61:J61"/>
    <mergeCell ref="K61:N61"/>
    <mergeCell ref="G52:G53"/>
    <mergeCell ref="H52:H53"/>
    <mergeCell ref="I52:I53"/>
    <mergeCell ref="J52:J53"/>
    <mergeCell ref="K52:K53"/>
    <mergeCell ref="L52:L53"/>
    <mergeCell ref="F52:F53"/>
  </mergeCells>
  <conditionalFormatting sqref="B47:B48">
    <cfRule type="cellIs" dxfId="1294" priority="139" operator="notBetween">
      <formula>#REF!</formula>
      <formula>#REF!</formula>
    </cfRule>
  </conditionalFormatting>
  <conditionalFormatting sqref="C51">
    <cfRule type="cellIs" dxfId="1293" priority="171" stopIfTrue="1" operator="greaterThan">
      <formula>100</formula>
    </cfRule>
    <cfRule type="cellIs" dxfId="1292" priority="170" stopIfTrue="1" operator="lessThan">
      <formula>96</formula>
    </cfRule>
  </conditionalFormatting>
  <conditionalFormatting sqref="C63:C64">
    <cfRule type="cellIs" dxfId="1291" priority="172" stopIfTrue="1" operator="greaterThan">
      <formula>$F63</formula>
    </cfRule>
    <cfRule type="cellIs" dxfId="1290" priority="174" stopIfTrue="1" operator="greaterThan">
      <formula>$F64</formula>
    </cfRule>
  </conditionalFormatting>
  <conditionalFormatting sqref="C63:C67">
    <cfRule type="cellIs" dxfId="1289" priority="120" stopIfTrue="1" operator="lessThanOrEqual">
      <formula>0</formula>
    </cfRule>
  </conditionalFormatting>
  <conditionalFormatting sqref="C64:C71">
    <cfRule type="cellIs" dxfId="1288" priority="119" stopIfTrue="1" operator="greaterThan">
      <formula>$F64</formula>
    </cfRule>
  </conditionalFormatting>
  <conditionalFormatting sqref="C68">
    <cfRule type="cellIs" dxfId="1287" priority="59" stopIfTrue="1" operator="greaterThan">
      <formula>$F67</formula>
    </cfRule>
    <cfRule type="cellIs" dxfId="1286" priority="58" stopIfTrue="1" operator="lessThanOrEqual">
      <formula>0</formula>
    </cfRule>
  </conditionalFormatting>
  <conditionalFormatting sqref="C69:C71">
    <cfRule type="cellIs" dxfId="1285" priority="136" stopIfTrue="1" operator="lessThanOrEqual">
      <formula>0</formula>
    </cfRule>
  </conditionalFormatting>
  <conditionalFormatting sqref="C74:C78">
    <cfRule type="cellIs" dxfId="1284" priority="162" stopIfTrue="1" operator="lessThanOrEqual">
      <formula>0</formula>
    </cfRule>
  </conditionalFormatting>
  <conditionalFormatting sqref="C75:C78">
    <cfRule type="cellIs" dxfId="1283" priority="161" stopIfTrue="1" operator="greaterThan">
      <formula>$F$74</formula>
    </cfRule>
  </conditionalFormatting>
  <conditionalFormatting sqref="C80">
    <cfRule type="cellIs" dxfId="1282" priority="164" stopIfTrue="1" operator="lessThanOrEqual">
      <formula>0</formula>
    </cfRule>
    <cfRule type="cellIs" dxfId="1281" priority="163" stopIfTrue="1" operator="greaterThan">
      <formula>$F$74</formula>
    </cfRule>
  </conditionalFormatting>
  <conditionalFormatting sqref="C74:D74 D76:D82">
    <cfRule type="cellIs" dxfId="1280" priority="156" stopIfTrue="1" operator="greaterThan">
      <formula>4.5</formula>
    </cfRule>
  </conditionalFormatting>
  <conditionalFormatting sqref="D47:D48">
    <cfRule type="cellIs" dxfId="1279" priority="140" operator="notBetween">
      <formula>#REF!</formula>
      <formula>#REF!</formula>
    </cfRule>
  </conditionalFormatting>
  <conditionalFormatting sqref="D63:D70">
    <cfRule type="cellIs" dxfId="1278" priority="134" stopIfTrue="1" operator="lessThanOrEqual">
      <formula>0</formula>
    </cfRule>
  </conditionalFormatting>
  <conditionalFormatting sqref="D71">
    <cfRule type="cellIs" dxfId="1277" priority="133" stopIfTrue="1" operator="lessThanOrEqual">
      <formula>0</formula>
    </cfRule>
  </conditionalFormatting>
  <conditionalFormatting sqref="D74 D76:D82">
    <cfRule type="cellIs" dxfId="1276" priority="157" stopIfTrue="1" operator="lessThanOrEqual">
      <formula>0</formula>
    </cfRule>
  </conditionalFormatting>
  <conditionalFormatting sqref="D75">
    <cfRule type="cellIs" dxfId="1275" priority="148" stopIfTrue="1" operator="greaterThan">
      <formula>$F$74</formula>
    </cfRule>
    <cfRule type="cellIs" dxfId="1274" priority="149" stopIfTrue="1" operator="lessThanOrEqual">
      <formula>0</formula>
    </cfRule>
  </conditionalFormatting>
  <conditionalFormatting sqref="D63:E72">
    <cfRule type="cellIs" dxfId="1273" priority="117" stopIfTrue="1" operator="greaterThan">
      <formula>$F63</formula>
    </cfRule>
  </conditionalFormatting>
  <conditionalFormatting sqref="D72:E72">
    <cfRule type="cellIs" dxfId="1272" priority="118" stopIfTrue="1" operator="lessThanOrEqual">
      <formula>0</formula>
    </cfRule>
  </conditionalFormatting>
  <conditionalFormatting sqref="E10:E22">
    <cfRule type="cellIs" dxfId="1271" priority="1" operator="lessThan">
      <formula>48</formula>
    </cfRule>
  </conditionalFormatting>
  <conditionalFormatting sqref="E50 E51:F51">
    <cfRule type="cellIs" dxfId="1270" priority="153" stopIfTrue="1" operator="greaterThan">
      <formula>100</formula>
    </cfRule>
  </conditionalFormatting>
  <conditionalFormatting sqref="E51">
    <cfRule type="cellIs" dxfId="1269" priority="151" stopIfTrue="1" operator="greaterThan">
      <formula>100</formula>
    </cfRule>
    <cfRule type="cellIs" dxfId="1268" priority="150" stopIfTrue="1" operator="lessThan">
      <formula>96.8</formula>
    </cfRule>
  </conditionalFormatting>
  <conditionalFormatting sqref="E63:E71">
    <cfRule type="cellIs" dxfId="1267" priority="128" stopIfTrue="1" operator="lessThanOrEqual">
      <formula>0</formula>
    </cfRule>
  </conditionalFormatting>
  <conditionalFormatting sqref="E74:E82">
    <cfRule type="cellIs" dxfId="1266" priority="143" stopIfTrue="1" operator="lessThanOrEqual">
      <formula>0</formula>
    </cfRule>
    <cfRule type="cellIs" dxfId="1265" priority="142" stopIfTrue="1" operator="greaterThan">
      <formula>4.5</formula>
    </cfRule>
  </conditionalFormatting>
  <conditionalFormatting sqref="E51:F51 E50">
    <cfRule type="cellIs" dxfId="1264" priority="152" stopIfTrue="1" operator="lessThan">
      <formula>96.5</formula>
    </cfRule>
  </conditionalFormatting>
  <conditionalFormatting sqref="F10:F21">
    <cfRule type="cellIs" dxfId="1263" priority="10" operator="greaterThan">
      <formula>60</formula>
    </cfRule>
  </conditionalFormatting>
  <conditionalFormatting sqref="F51">
    <cfRule type="cellIs" dxfId="1262" priority="169" stopIfTrue="1" operator="greaterThan">
      <formula>100</formula>
    </cfRule>
    <cfRule type="cellIs" dxfId="1261" priority="168" stopIfTrue="1" operator="lessThan">
      <formula>96.8</formula>
    </cfRule>
  </conditionalFormatting>
  <conditionalFormatting sqref="F72">
    <cfRule type="cellIs" dxfId="1260" priority="129" stopIfTrue="1" operator="greaterThan">
      <formula>$F72</formula>
    </cfRule>
    <cfRule type="cellIs" dxfId="1259" priority="130" stopIfTrue="1" operator="lessThanOrEqual">
      <formula>0</formula>
    </cfRule>
  </conditionalFormatting>
  <conditionalFormatting sqref="F77">
    <cfRule type="cellIs" dxfId="1258" priority="88" stopIfTrue="1" operator="greaterThan">
      <formula>$F77</formula>
    </cfRule>
    <cfRule type="cellIs" dxfId="1257" priority="89" stopIfTrue="1" operator="lessThanOrEqual">
      <formula>0</formula>
    </cfRule>
  </conditionalFormatting>
  <conditionalFormatting sqref="G10:G14 G20 G22">
    <cfRule type="expression" dxfId="1256" priority="53">
      <formula>IF(+(IF(G10&lt;S10,0,IF(G10&gt;T10,0,1)))=0,1)</formula>
    </cfRule>
  </conditionalFormatting>
  <conditionalFormatting sqref="G63:G65">
    <cfRule type="cellIs" dxfId="1255" priority="121" stopIfTrue="1" operator="greaterThan">
      <formula>$F63</formula>
    </cfRule>
    <cfRule type="cellIs" dxfId="1254" priority="122" stopIfTrue="1" operator="lessThanOrEqual">
      <formula>0</formula>
    </cfRule>
  </conditionalFormatting>
  <conditionalFormatting sqref="G63:G66">
    <cfRule type="cellIs" dxfId="1253" priority="132" stopIfTrue="1" operator="lessThanOrEqual">
      <formula>0</formula>
    </cfRule>
    <cfRule type="cellIs" dxfId="1252" priority="131" stopIfTrue="1" operator="greaterThan">
      <formula>$F63</formula>
    </cfRule>
  </conditionalFormatting>
  <conditionalFormatting sqref="G67:G71">
    <cfRule type="cellIs" dxfId="1251" priority="138" stopIfTrue="1" operator="lessThanOrEqual">
      <formula>0</formula>
    </cfRule>
    <cfRule type="cellIs" dxfId="1250" priority="137" stopIfTrue="1" operator="greaterThan">
      <formula>$J67</formula>
    </cfRule>
  </conditionalFormatting>
  <conditionalFormatting sqref="G76:G81 C79 C81">
    <cfRule type="cellIs" dxfId="1249" priority="165" stopIfTrue="1" operator="greaterThan">
      <formula>4.5</formula>
    </cfRule>
    <cfRule type="cellIs" dxfId="1248" priority="166" stopIfTrue="1" operator="lessThanOrEqual">
      <formula>0</formula>
    </cfRule>
  </conditionalFormatting>
  <conditionalFormatting sqref="G15:H19">
    <cfRule type="expression" dxfId="1247" priority="11">
      <formula>IF(+(IF(G15&lt;#REF!,0,IF(G15&gt;#REF!,0,1)))=0,1)</formula>
    </cfRule>
  </conditionalFormatting>
  <conditionalFormatting sqref="G75:H75">
    <cfRule type="cellIs" dxfId="1246" priority="146" stopIfTrue="1" operator="greaterThan">
      <formula>$F$74</formula>
    </cfRule>
    <cfRule type="cellIs" dxfId="1245" priority="147" stopIfTrue="1" operator="lessThanOrEqual">
      <formula>0</formula>
    </cfRule>
  </conditionalFormatting>
  <conditionalFormatting sqref="H10:H14 H20 G21:H21">
    <cfRule type="expression" dxfId="1244" priority="57">
      <formula>IF(+(IF(G10&lt;#REF!,0,IF(G10&gt;#REF!,0,1)))=0,1)</formula>
    </cfRule>
  </conditionalFormatting>
  <conditionalFormatting sqref="H22">
    <cfRule type="expression" dxfId="1243" priority="54">
      <formula>IF(+(IF(H22&lt;#REF!,0,IF(H22&gt;#REF!,0,1)))=0,1)</formula>
    </cfRule>
  </conditionalFormatting>
  <conditionalFormatting sqref="H36:H50">
    <cfRule type="cellIs" dxfId="1242" priority="144" stopIfTrue="1" operator="greaterThan">
      <formula>0</formula>
    </cfRule>
  </conditionalFormatting>
  <conditionalFormatting sqref="H54">
    <cfRule type="cellIs" dxfId="1241" priority="15" stopIfTrue="1" operator="lessThanOrEqual">
      <formula>0</formula>
    </cfRule>
    <cfRule type="cellIs" dxfId="1240" priority="27" stopIfTrue="1" operator="lessThanOrEqual">
      <formula>0</formula>
    </cfRule>
    <cfRule type="cellIs" dxfId="1239" priority="25" stopIfTrue="1" operator="lessThanOrEqual">
      <formula>0</formula>
    </cfRule>
    <cfRule type="cellIs" dxfId="1238" priority="24" stopIfTrue="1" operator="greaterThan">
      <formula>$F$44</formula>
    </cfRule>
    <cfRule type="cellIs" dxfId="1237" priority="26" stopIfTrue="1" operator="greaterThan">
      <formula>$F$42</formula>
    </cfRule>
    <cfRule type="cellIs" dxfId="1236" priority="16" stopIfTrue="1" operator="greaterThan">
      <formula>$F$41</formula>
    </cfRule>
  </conditionalFormatting>
  <conditionalFormatting sqref="H55">
    <cfRule type="cellIs" dxfId="1235" priority="84" stopIfTrue="1" operator="greaterThan">
      <formula>$F$23</formula>
    </cfRule>
    <cfRule type="cellIs" dxfId="1234" priority="85" stopIfTrue="1" operator="lessThanOrEqual">
      <formula>0</formula>
    </cfRule>
    <cfRule type="cellIs" dxfId="1233" priority="86" stopIfTrue="1" operator="greaterThan">
      <formula>#REF!</formula>
    </cfRule>
    <cfRule type="cellIs" dxfId="1232" priority="87" stopIfTrue="1" operator="lessThanOrEqual">
      <formula>0</formula>
    </cfRule>
    <cfRule type="cellIs" dxfId="1231" priority="76" stopIfTrue="1" operator="greaterThan">
      <formula>#REF!</formula>
    </cfRule>
    <cfRule type="cellIs" dxfId="1230" priority="75" stopIfTrue="1" operator="lessThanOrEqual">
      <formula>0</formula>
    </cfRule>
  </conditionalFormatting>
  <conditionalFormatting sqref="H56">
    <cfRule type="cellIs" dxfId="1229" priority="30" stopIfTrue="1" operator="lessThanOrEqual">
      <formula>0</formula>
    </cfRule>
    <cfRule type="cellIs" dxfId="1228" priority="41" stopIfTrue="1" operator="greaterThan">
      <formula>#REF!</formula>
    </cfRule>
    <cfRule type="cellIs" dxfId="1227" priority="31" stopIfTrue="1" operator="greaterThan">
      <formula>#REF!</formula>
    </cfRule>
  </conditionalFormatting>
  <conditionalFormatting sqref="H56:H58">
    <cfRule type="cellIs" dxfId="1226" priority="42" stopIfTrue="1" operator="lessThanOrEqual">
      <formula>0</formula>
    </cfRule>
  </conditionalFormatting>
  <conditionalFormatting sqref="H57:H58">
    <cfRule type="cellIs" dxfId="1225" priority="71" stopIfTrue="1" operator="lessThanOrEqual">
      <formula>0</formula>
    </cfRule>
    <cfRule type="cellIs" dxfId="1224" priority="70" stopIfTrue="1" operator="greaterThan">
      <formula>$F$22</formula>
    </cfRule>
    <cfRule type="cellIs" dxfId="1223" priority="62" stopIfTrue="1" operator="greaterThan">
      <formula>#REF!</formula>
    </cfRule>
    <cfRule type="cellIs" dxfId="1222" priority="73" stopIfTrue="1" operator="lessThanOrEqual">
      <formula>0</formula>
    </cfRule>
    <cfRule type="cellIs" dxfId="1221" priority="72" stopIfTrue="1" operator="greaterThan">
      <formula>#REF!</formula>
    </cfRule>
  </conditionalFormatting>
  <conditionalFormatting sqref="H59">
    <cfRule type="cellIs" dxfId="1220" priority="93" stopIfTrue="1" operator="greaterThan">
      <formula>$F$35</formula>
    </cfRule>
    <cfRule type="cellIs" dxfId="1219" priority="104" stopIfTrue="1" operator="lessThanOrEqual">
      <formula>0</formula>
    </cfRule>
    <cfRule type="cellIs" dxfId="1218" priority="103" stopIfTrue="1" operator="greaterThan">
      <formula>$F$36</formula>
    </cfRule>
    <cfRule type="cellIs" dxfId="1217" priority="92" stopIfTrue="1" operator="lessThanOrEqual">
      <formula>0</formula>
    </cfRule>
    <cfRule type="cellIs" dxfId="1216" priority="101" stopIfTrue="1" operator="greaterThan">
      <formula>$F$38</formula>
    </cfRule>
    <cfRule type="cellIs" dxfId="1215" priority="102" stopIfTrue="1" operator="lessThanOrEqual">
      <formula>0</formula>
    </cfRule>
  </conditionalFormatting>
  <conditionalFormatting sqref="H63:H70">
    <cfRule type="cellIs" dxfId="1214" priority="123" stopIfTrue="1" operator="greaterThan">
      <formula>$J63</formula>
    </cfRule>
    <cfRule type="cellIs" dxfId="1213" priority="124" stopIfTrue="1" operator="lessThanOrEqual">
      <formula>0</formula>
    </cfRule>
  </conditionalFormatting>
  <conditionalFormatting sqref="H71">
    <cfRule type="cellIs" dxfId="1212" priority="125" operator="greaterThan">
      <formula>5.3</formula>
    </cfRule>
  </conditionalFormatting>
  <conditionalFormatting sqref="H74 H76:H82">
    <cfRule type="cellIs" dxfId="1211" priority="158" stopIfTrue="1" operator="greaterThan">
      <formula>4.5</formula>
    </cfRule>
    <cfRule type="cellIs" dxfId="1210" priority="159" stopIfTrue="1" operator="lessThanOrEqual">
      <formula>0</formula>
    </cfRule>
  </conditionalFormatting>
  <conditionalFormatting sqref="H54:I54">
    <cfRule type="cellIs" dxfId="1209" priority="14" stopIfTrue="1" operator="greaterThan">
      <formula>$F$43</formula>
    </cfRule>
    <cfRule type="cellIs" dxfId="1208" priority="17" stopIfTrue="1" operator="lessThanOrEqual">
      <formula>0</formula>
    </cfRule>
  </conditionalFormatting>
  <conditionalFormatting sqref="H55:I55">
    <cfRule type="cellIs" dxfId="1207" priority="74" stopIfTrue="1" operator="greaterThan">
      <formula>$F$22</formula>
    </cfRule>
    <cfRule type="cellIs" dxfId="1206" priority="77" stopIfTrue="1" operator="lessThanOrEqual">
      <formula>0</formula>
    </cfRule>
  </conditionalFormatting>
  <conditionalFormatting sqref="H56:I56">
    <cfRule type="cellIs" dxfId="1205" priority="38" stopIfTrue="1" operator="lessThanOrEqual">
      <formula>0</formula>
    </cfRule>
    <cfRule type="cellIs" dxfId="1204" priority="32" stopIfTrue="1" operator="lessThanOrEqual">
      <formula>0</formula>
    </cfRule>
    <cfRule type="cellIs" dxfId="1203" priority="29" stopIfTrue="1" operator="greaterThan">
      <formula>#REF!</formula>
    </cfRule>
  </conditionalFormatting>
  <conditionalFormatting sqref="H56:I58">
    <cfRule type="cellIs" dxfId="1202" priority="37" stopIfTrue="1" operator="greaterThan">
      <formula>#REF!</formula>
    </cfRule>
  </conditionalFormatting>
  <conditionalFormatting sqref="H57:I58">
    <cfRule type="cellIs" dxfId="1201" priority="63" stopIfTrue="1" operator="lessThanOrEqual">
      <formula>0</formula>
    </cfRule>
  </conditionalFormatting>
  <conditionalFormatting sqref="H59:I59">
    <cfRule type="cellIs" dxfId="1200" priority="94" stopIfTrue="1" operator="lessThanOrEqual">
      <formula>0</formula>
    </cfRule>
    <cfRule type="cellIs" dxfId="1199" priority="91" stopIfTrue="1" operator="greaterThan">
      <formula>$F$37</formula>
    </cfRule>
  </conditionalFormatting>
  <conditionalFormatting sqref="H72:I72">
    <cfRule type="cellIs" dxfId="1198" priority="115" stopIfTrue="1" operator="greaterThan">
      <formula>$J72</formula>
    </cfRule>
    <cfRule type="cellIs" dxfId="1197" priority="116" stopIfTrue="1" operator="lessThanOrEqual">
      <formula>0</formula>
    </cfRule>
  </conditionalFormatting>
  <conditionalFormatting sqref="I54">
    <cfRule type="cellIs" dxfId="1196" priority="18" stopIfTrue="1" operator="greaterThan">
      <formula>$F$41</formula>
    </cfRule>
    <cfRule type="cellIs" dxfId="1195" priority="19" stopIfTrue="1" operator="lessThanOrEqual">
      <formula>0</formula>
    </cfRule>
    <cfRule type="cellIs" dxfId="1194" priority="20" stopIfTrue="1" operator="greaterThan">
      <formula>$F$43</formula>
    </cfRule>
    <cfRule type="cellIs" dxfId="1193" priority="22" stopIfTrue="1" operator="greaterThan">
      <formula>$F$41</formula>
    </cfRule>
    <cfRule type="cellIs" dxfId="1192" priority="23" stopIfTrue="1" operator="lessThanOrEqual">
      <formula>0</formula>
    </cfRule>
    <cfRule type="cellIs" dxfId="1191" priority="21" stopIfTrue="1" operator="lessThanOrEqual">
      <formula>0</formula>
    </cfRule>
  </conditionalFormatting>
  <conditionalFormatting sqref="I55">
    <cfRule type="cellIs" dxfId="1190" priority="79" stopIfTrue="1" operator="lessThanOrEqual">
      <formula>0</formula>
    </cfRule>
    <cfRule type="cellIs" dxfId="1189" priority="78" stopIfTrue="1" operator="greaterThan">
      <formula>#REF!</formula>
    </cfRule>
    <cfRule type="cellIs" dxfId="1188" priority="83" stopIfTrue="1" operator="lessThanOrEqual">
      <formula>0</formula>
    </cfRule>
    <cfRule type="cellIs" dxfId="1187" priority="82" stopIfTrue="1" operator="greaterThan">
      <formula>#REF!</formula>
    </cfRule>
    <cfRule type="cellIs" dxfId="1186" priority="81" stopIfTrue="1" operator="lessThanOrEqual">
      <formula>0</formula>
    </cfRule>
    <cfRule type="cellIs" dxfId="1185" priority="80" stopIfTrue="1" operator="greaterThan">
      <formula>$F$22</formula>
    </cfRule>
  </conditionalFormatting>
  <conditionalFormatting sqref="I56">
    <cfRule type="cellIs" dxfId="1184" priority="36" stopIfTrue="1" operator="lessThanOrEqual">
      <formula>0</formula>
    </cfRule>
    <cfRule type="cellIs" dxfId="1183" priority="35" stopIfTrue="1" operator="greaterThan">
      <formula>#REF!</formula>
    </cfRule>
    <cfRule type="cellIs" dxfId="1182" priority="34" stopIfTrue="1" operator="lessThanOrEqual">
      <formula>0</formula>
    </cfRule>
    <cfRule type="cellIs" dxfId="1181" priority="33" stopIfTrue="1" operator="greaterThan">
      <formula>#REF!</formula>
    </cfRule>
  </conditionalFormatting>
  <conditionalFormatting sqref="I57:I58">
    <cfRule type="cellIs" dxfId="1180" priority="69" stopIfTrue="1" operator="lessThanOrEqual">
      <formula>0</formula>
    </cfRule>
    <cfRule type="cellIs" dxfId="1179" priority="68" stopIfTrue="1" operator="greaterThan">
      <formula>#REF!</formula>
    </cfRule>
    <cfRule type="cellIs" dxfId="1178" priority="67" stopIfTrue="1" operator="lessThanOrEqual">
      <formula>0</formula>
    </cfRule>
    <cfRule type="cellIs" dxfId="1177" priority="66" stopIfTrue="1" operator="greaterThan">
      <formula>#REF!</formula>
    </cfRule>
    <cfRule type="cellIs" dxfId="1176" priority="65" stopIfTrue="1" operator="lessThanOrEqual">
      <formula>0</formula>
    </cfRule>
    <cfRule type="cellIs" dxfId="1175" priority="64" stopIfTrue="1" operator="greaterThan">
      <formula>#REF!</formula>
    </cfRule>
  </conditionalFormatting>
  <conditionalFormatting sqref="I59">
    <cfRule type="cellIs" dxfId="1174" priority="97" stopIfTrue="1" operator="greaterThan">
      <formula>$F$37</formula>
    </cfRule>
    <cfRule type="cellIs" dxfId="1173" priority="98" stopIfTrue="1" operator="lessThanOrEqual">
      <formula>0</formula>
    </cfRule>
    <cfRule type="cellIs" dxfId="1172" priority="99" stopIfTrue="1" operator="greaterThan">
      <formula>$F$35</formula>
    </cfRule>
    <cfRule type="cellIs" dxfId="1171" priority="100" stopIfTrue="1" operator="lessThanOrEqual">
      <formula>0</formula>
    </cfRule>
    <cfRule type="cellIs" dxfId="1170" priority="95" stopIfTrue="1" operator="greaterThan">
      <formula>$F$35</formula>
    </cfRule>
    <cfRule type="cellIs" dxfId="1169" priority="96" stopIfTrue="1" operator="lessThanOrEqual">
      <formula>0</formula>
    </cfRule>
  </conditionalFormatting>
  <conditionalFormatting sqref="I63:I71">
    <cfRule type="cellIs" dxfId="1168" priority="127" stopIfTrue="1" operator="lessThanOrEqual">
      <formula>0</formula>
    </cfRule>
    <cfRule type="cellIs" dxfId="1167" priority="126" stopIfTrue="1" operator="greaterThan">
      <formula>$J63</formula>
    </cfRule>
  </conditionalFormatting>
  <conditionalFormatting sqref="I74:I82">
    <cfRule type="cellIs" dxfId="1166" priority="155" stopIfTrue="1" operator="lessThanOrEqual">
      <formula>0</formula>
    </cfRule>
    <cfRule type="cellIs" dxfId="1165" priority="154" stopIfTrue="1" operator="greaterThan">
      <formula>4.5</formula>
    </cfRule>
  </conditionalFormatting>
  <conditionalFormatting sqref="I10:J22">
    <cfRule type="cellIs" dxfId="1164" priority="2" operator="lessThan">
      <formula>97.9</formula>
    </cfRule>
  </conditionalFormatting>
  <conditionalFormatting sqref="J25:J31">
    <cfRule type="cellIs" dxfId="1163" priority="105" operator="lessThan">
      <formula>97.4</formula>
    </cfRule>
  </conditionalFormatting>
  <conditionalFormatting sqref="J25:J33">
    <cfRule type="cellIs" dxfId="1162" priority="106" stopIfTrue="1" operator="lessThan">
      <formula>96.8</formula>
    </cfRule>
    <cfRule type="cellIs" dxfId="1161" priority="107" stopIfTrue="1" operator="greaterThan">
      <formula>100</formula>
    </cfRule>
  </conditionalFormatting>
  <conditionalFormatting sqref="J25:J34">
    <cfRule type="cellIs" dxfId="1160" priority="108" operator="lessThan">
      <formula>98</formula>
    </cfRule>
  </conditionalFormatting>
  <conditionalFormatting sqref="J72">
    <cfRule type="cellIs" dxfId="1159" priority="113" stopIfTrue="1" operator="lessThanOrEqual">
      <formula>0</formula>
    </cfRule>
    <cfRule type="cellIs" dxfId="1158" priority="112" stopIfTrue="1" operator="greaterThan">
      <formula>$F72</formula>
    </cfRule>
  </conditionalFormatting>
  <conditionalFormatting sqref="K10:K22">
    <cfRule type="cellIs" dxfId="1157" priority="5" operator="greaterThan">
      <formula>6</formula>
    </cfRule>
    <cfRule type="cellIs" dxfId="1156" priority="7" operator="greaterThan">
      <formula>6.4</formula>
    </cfRule>
    <cfRule type="cellIs" dxfId="1155" priority="6" operator="lessThan">
      <formula>4</formula>
    </cfRule>
  </conditionalFormatting>
  <conditionalFormatting sqref="K54:K59">
    <cfRule type="cellIs" dxfId="1154" priority="28" stopIfTrue="1" operator="lessThan">
      <formula>100%</formula>
    </cfRule>
  </conditionalFormatting>
  <conditionalFormatting sqref="K74:K79">
    <cfRule type="cellIs" dxfId="1153" priority="160" stopIfTrue="1" operator="lessThan">
      <formula>100%</formula>
    </cfRule>
  </conditionalFormatting>
  <conditionalFormatting sqref="K81:K82">
    <cfRule type="cellIs" dxfId="1152" priority="167" stopIfTrue="1" operator="lessThan">
      <formula>100%</formula>
    </cfRule>
  </conditionalFormatting>
  <conditionalFormatting sqref="K63:N69 K70 M70:N70 K71:N71">
    <cfRule type="cellIs" dxfId="1151" priority="90" stopIfTrue="1" operator="lessThan">
      <formula>100%</formula>
    </cfRule>
  </conditionalFormatting>
  <conditionalFormatting sqref="L10:L14 L20:L22">
    <cfRule type="cellIs" dxfId="1150" priority="46" operator="between">
      <formula>61</formula>
      <formula>65</formula>
    </cfRule>
    <cfRule type="cellIs" dxfId="1149" priority="47" operator="greaterThan">
      <formula>65</formula>
    </cfRule>
  </conditionalFormatting>
  <conditionalFormatting sqref="L15:M19">
    <cfRule type="cellIs" dxfId="1148" priority="4" operator="greaterThan">
      <formula>65</formula>
    </cfRule>
    <cfRule type="cellIs" dxfId="1147" priority="3" operator="between">
      <formula>61</formula>
      <formula>65</formula>
    </cfRule>
  </conditionalFormatting>
  <conditionalFormatting sqref="L25:M36">
    <cfRule type="cellIs" dxfId="1146" priority="12" operator="lessThan">
      <formula>98</formula>
    </cfRule>
  </conditionalFormatting>
  <conditionalFormatting sqref="L40:N40">
    <cfRule type="cellIs" dxfId="1145" priority="43" operator="notEqual">
      <formula>#REF!</formula>
    </cfRule>
  </conditionalFormatting>
  <conditionalFormatting sqref="L72:N72">
    <cfRule type="cellIs" dxfId="1144" priority="114" stopIfTrue="1" operator="lessThan">
      <formula>100%</formula>
    </cfRule>
  </conditionalFormatting>
  <conditionalFormatting sqref="L74:N82">
    <cfRule type="cellIs" dxfId="1143" priority="145" stopIfTrue="1" operator="lessThan">
      <formula>100%</formula>
    </cfRule>
  </conditionalFormatting>
  <conditionalFormatting sqref="M10:M20">
    <cfRule type="expression" dxfId="1142" priority="9">
      <formula>IF(+(IF(M10&lt;U10,0,IF(M10&gt;V10,0,1)))=0,1)</formula>
    </cfRule>
  </conditionalFormatting>
  <conditionalFormatting sqref="M22">
    <cfRule type="expression" dxfId="1141" priority="52">
      <formula>IF(+(IF(M22&lt;U22,0,IF(M22&gt;V22,0,1)))=0,1)</formula>
    </cfRule>
  </conditionalFormatting>
  <conditionalFormatting sqref="M21:N21">
    <cfRule type="expression" dxfId="1140" priority="173">
      <formula>IF(+(IF(M21&lt;#REF!,0,IF(M21&gt;#REF!,0,1)))=0,1)</formula>
    </cfRule>
  </conditionalFormatting>
  <conditionalFormatting sqref="N10:N20">
    <cfRule type="expression" dxfId="1139" priority="8">
      <formula>IF(+(IF(N10&lt;W10,0,IF(N10&gt;X10,0,1)))=0,1)</formula>
    </cfRule>
  </conditionalFormatting>
  <conditionalFormatting sqref="N22">
    <cfRule type="expression" dxfId="1138" priority="51">
      <formula>IF(+(IF(N22&lt;W22,0,IF(N22&gt;X22,0,1)))=0,1)</formula>
    </cfRule>
  </conditionalFormatting>
  <conditionalFormatting sqref="P6">
    <cfRule type="cellIs" dxfId="1137" priority="141" operator="greaterThanOrEqual">
      <formula>19</formula>
    </cfRule>
  </conditionalFormatting>
  <dataValidations count="1">
    <dataValidation type="list" allowBlank="1" showInputMessage="1" showErrorMessage="1" sqref="R8" xr:uid="{C81A277F-88D8-4970-9C18-E9DE14B51973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6" max="16383" man="1"/>
  </rowBreaks>
  <colBreaks count="1" manualBreakCount="1">
    <brk id="15" max="89" man="1"/>
  </colBreak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9AD36-17B4-4CE0-9CB4-4032DA0CEB70}">
  <sheetPr>
    <pageSetUpPr fitToPage="1"/>
  </sheetPr>
  <dimension ref="A1:BE79"/>
  <sheetViews>
    <sheetView topLeftCell="A30" zoomScaleNormal="100" workbookViewId="0">
      <selection activeCell="L58" sqref="L58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67.425781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25" t="s">
        <v>0</v>
      </c>
      <c r="T1" s="525"/>
      <c r="U1" s="525" t="s">
        <v>1</v>
      </c>
      <c r="V1" s="525"/>
      <c r="W1" s="525" t="s">
        <v>2</v>
      </c>
      <c r="X1" s="525"/>
      <c r="Y1" s="525" t="s">
        <v>124</v>
      </c>
      <c r="Z1" s="525"/>
    </row>
    <row r="2" spans="2:29" ht="15">
      <c r="B2" s="526" t="s">
        <v>3</v>
      </c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45923</v>
      </c>
      <c r="J4" s="398" t="s">
        <v>168</v>
      </c>
      <c r="K4" s="398"/>
      <c r="L4" s="11"/>
      <c r="M4" s="547" t="s">
        <v>8</v>
      </c>
      <c r="N4" s="548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44"/>
      <c r="D5" s="544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167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84" t="s">
        <v>17</v>
      </c>
      <c r="C8" s="494" t="s">
        <v>18</v>
      </c>
      <c r="D8" s="494" t="s">
        <v>19</v>
      </c>
      <c r="E8" s="356" t="s">
        <v>20</v>
      </c>
      <c r="F8" s="356" t="s">
        <v>21</v>
      </c>
      <c r="G8" s="494" t="s">
        <v>22</v>
      </c>
      <c r="H8" s="535" t="s">
        <v>144</v>
      </c>
      <c r="I8" s="494" t="s">
        <v>166</v>
      </c>
      <c r="J8" s="537" t="s">
        <v>23</v>
      </c>
      <c r="K8" s="539" t="s">
        <v>142</v>
      </c>
      <c r="L8" s="541" t="s">
        <v>24</v>
      </c>
      <c r="M8" s="359" t="s">
        <v>25</v>
      </c>
      <c r="N8" s="17" t="s">
        <v>26</v>
      </c>
      <c r="O8" s="494" t="s">
        <v>155</v>
      </c>
      <c r="P8" s="56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33"/>
      <c r="C9" s="534"/>
      <c r="D9" s="534"/>
      <c r="E9" s="357" t="s">
        <v>30</v>
      </c>
      <c r="F9" s="357" t="s">
        <v>31</v>
      </c>
      <c r="G9" s="534"/>
      <c r="H9" s="536"/>
      <c r="I9" s="534"/>
      <c r="J9" s="538"/>
      <c r="K9" s="540"/>
      <c r="L9" s="542"/>
      <c r="M9" s="20" t="s">
        <v>32</v>
      </c>
      <c r="N9" s="21" t="s">
        <v>41</v>
      </c>
      <c r="O9" s="534"/>
      <c r="P9" s="561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29" t="s">
        <v>6</v>
      </c>
      <c r="C10" s="366" t="str">
        <f>[22]Brewhouse!$A798</f>
        <v>CA689</v>
      </c>
      <c r="D10" s="279">
        <f>[22]Brewhouse!$AF798</f>
        <v>51.1</v>
      </c>
      <c r="E10" s="279">
        <f>[22]Brewhouse!$AI798</f>
        <v>49.1</v>
      </c>
      <c r="F10" s="278">
        <f>[22]Brewhouse!$V798</f>
        <v>49</v>
      </c>
      <c r="G10" s="279">
        <f>[22]Brewhouse!AG798</f>
        <v>11.9</v>
      </c>
      <c r="H10" s="396"/>
      <c r="I10" s="368">
        <f>[22]Brewhouse!$AU798</f>
        <v>95.036498768168116</v>
      </c>
      <c r="J10" s="368">
        <f>[22]Brewhouse!$AV798</f>
        <v>96.730231296296438</v>
      </c>
      <c r="K10" s="281">
        <f>[22]Brewhouse!$Q798</f>
        <v>5.1224105461393572</v>
      </c>
      <c r="L10" s="276">
        <f>[22]Brewhouse!$P798</f>
        <v>60</v>
      </c>
      <c r="M10" s="397">
        <f>[22]Brewhouse!$U798-[22]Brewhouse!$T798</f>
        <v>0.11041666666666672</v>
      </c>
      <c r="N10" s="370">
        <f>[22]Brewhouse!$Z798</f>
        <v>0.24930555555555561</v>
      </c>
      <c r="O10" s="421" t="str">
        <f>[22]Brewhouse!$AX798</f>
        <v>R. Regis</v>
      </c>
      <c r="P10" s="418"/>
      <c r="R10" s="277" t="str">
        <f t="shared" ref="R10:R46" si="0">B10</f>
        <v>CARIB</v>
      </c>
      <c r="S10" s="296">
        <f t="shared" ref="S10:S46" si="1">VLOOKUP($B10,$R$3:$X$9,2,FALSE)</f>
        <v>11.6</v>
      </c>
      <c r="T10" s="296">
        <f t="shared" ref="T10:T46" si="2">VLOOKUP($B10,$R$3:$X$9,3,FALSE)</f>
        <v>12</v>
      </c>
      <c r="U10" s="297">
        <f t="shared" ref="U10:U46" si="3">VLOOKUP($B10,$R$3:$X$9,4,FALSE)</f>
        <v>0</v>
      </c>
      <c r="V10" s="297">
        <f t="shared" ref="V10:V46" si="4">VLOOKUP($B10,$R$3:$X$9,5,FALSE)</f>
        <v>0.118055555555556</v>
      </c>
      <c r="W10" s="297">
        <f t="shared" ref="W10:W46" si="5">VLOOKUP($B10,$R$3:$X$9,6,FALSE)</f>
        <v>0.22569444444444445</v>
      </c>
      <c r="X10" s="297">
        <f t="shared" ref="X10:X46" si="6">VLOOKUP($B10,$R$3:$X$9,7,FALSE)</f>
        <v>0.2638888888888889</v>
      </c>
      <c r="Y10" s="297">
        <f t="shared" ref="Y10:Y46" si="7">VLOOKUP($B10,$R$3:$Z$9,8,FALSE)</f>
        <v>0</v>
      </c>
      <c r="Z10" s="296">
        <f t="shared" ref="Z10:Z46" si="8">VLOOKUP($B10,$R$3:$Z$9,9,FALSE)</f>
        <v>60</v>
      </c>
    </row>
    <row r="11" spans="2:29" ht="15.75" customHeight="1">
      <c r="B11" s="29" t="s">
        <v>6</v>
      </c>
      <c r="C11" s="366" t="str">
        <f>[22]Brewhouse!$A799</f>
        <v>CA690</v>
      </c>
      <c r="D11" s="279">
        <f>[22]Brewhouse!$AF799</f>
        <v>52.1</v>
      </c>
      <c r="E11" s="279">
        <f>[22]Brewhouse!$AI799</f>
        <v>50.2</v>
      </c>
      <c r="F11" s="278">
        <f>[22]Brewhouse!$V799</f>
        <v>62</v>
      </c>
      <c r="G11" s="279">
        <f>[22]Brewhouse!AG799</f>
        <v>11.8</v>
      </c>
      <c r="H11" s="396"/>
      <c r="I11" s="368">
        <f>[22]Brewhouse!$AU799</f>
        <v>96.425569328615808</v>
      </c>
      <c r="J11" s="368">
        <f>[22]Brewhouse!$AV799</f>
        <v>98.143870611184965</v>
      </c>
      <c r="K11" s="281">
        <f>[22]Brewhouse!$Q799</f>
        <v>3.2391713747645925</v>
      </c>
      <c r="L11" s="276">
        <f>[22]Brewhouse!$P799</f>
        <v>61</v>
      </c>
      <c r="M11" s="397">
        <f>[22]Brewhouse!$U799-[22]Brewhouse!$T799</f>
        <v>0.10624999999999996</v>
      </c>
      <c r="N11" s="370">
        <f>[22]Brewhouse!$Z799</f>
        <v>0.23402777777777778</v>
      </c>
      <c r="O11" s="421" t="str">
        <f>[22]Brewhouse!$AX799</f>
        <v>R. Regis</v>
      </c>
      <c r="P11" s="418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29" t="s">
        <v>6</v>
      </c>
      <c r="C12" s="366" t="str">
        <f>[22]Brewhouse!$A800</f>
        <v>CA691</v>
      </c>
      <c r="D12" s="279">
        <f>[22]Brewhouse!$AF800</f>
        <v>52.3</v>
      </c>
      <c r="E12" s="279">
        <f>[22]Brewhouse!$AI800</f>
        <v>50.4</v>
      </c>
      <c r="F12" s="278">
        <f>[22]Brewhouse!$V800</f>
        <v>62</v>
      </c>
      <c r="G12" s="279">
        <f>[22]Brewhouse!AG800</f>
        <v>11.6</v>
      </c>
      <c r="H12" s="396"/>
      <c r="I12" s="368">
        <f>[22]Brewhouse!$AU800</f>
        <v>95.200865858333401</v>
      </c>
      <c r="J12" s="368">
        <f>[22]Brewhouse!$AV800</f>
        <v>96.897157732864855</v>
      </c>
      <c r="K12" s="281">
        <f>[22]Brewhouse!$Q800</f>
        <v>2.8625235404896481</v>
      </c>
      <c r="L12" s="276">
        <f>[22]Brewhouse!$P800</f>
        <v>60</v>
      </c>
      <c r="M12" s="397">
        <f>[22]Brewhouse!$U800-[22]Brewhouse!$T800</f>
        <v>0.10624999999999996</v>
      </c>
      <c r="N12" s="370">
        <f>[22]Brewhouse!$Z800</f>
        <v>0.23749999999999999</v>
      </c>
      <c r="O12" s="421" t="str">
        <f>[22]Brewhouse!$AX800</f>
        <v>R. Regis</v>
      </c>
      <c r="P12" s="418"/>
      <c r="R12" s="277" t="str">
        <f t="shared" si="0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29" t="s">
        <v>6</v>
      </c>
      <c r="C13" s="366" t="str">
        <f>[22]Brewhouse!$A801</f>
        <v>CA692</v>
      </c>
      <c r="D13" s="279">
        <f>[22]Brewhouse!$AF801</f>
        <v>53.3</v>
      </c>
      <c r="E13" s="279">
        <f>[22]Brewhouse!$AI801</f>
        <v>51.1</v>
      </c>
      <c r="F13" s="278">
        <f>[22]Brewhouse!$V801</f>
        <v>64</v>
      </c>
      <c r="G13" s="279">
        <f>[22]Brewhouse!AG801</f>
        <v>11.6</v>
      </c>
      <c r="H13" s="396"/>
      <c r="I13" s="368">
        <f>[22]Brewhouse!$AU801</f>
        <v>96.40439974854273</v>
      </c>
      <c r="J13" s="368">
        <f>[22]Brewhouse!$AV801</f>
        <v>98.122323789713747</v>
      </c>
      <c r="K13" s="281">
        <f>[22]Brewhouse!$Q801</f>
        <v>1.7325800376647864</v>
      </c>
      <c r="L13" s="276">
        <f>[22]Brewhouse!$P801</f>
        <v>58</v>
      </c>
      <c r="M13" s="397">
        <f>[22]Brewhouse!$U801-[22]Brewhouse!$T801</f>
        <v>0.10902777777777783</v>
      </c>
      <c r="N13" s="370">
        <f>[22]Brewhouse!$Z801</f>
        <v>0.24305555555555558</v>
      </c>
      <c r="O13" s="421" t="str">
        <f>[22]Brewhouse!$AX801</f>
        <v>R.Sookram</v>
      </c>
      <c r="P13" s="418"/>
      <c r="R13" s="277" t="str">
        <f t="shared" ref="R13:R27" si="9">B13</f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29" t="s">
        <v>6</v>
      </c>
      <c r="C14" s="366" t="str">
        <f>[22]Brewhouse!$A802</f>
        <v>CA693</v>
      </c>
      <c r="D14" s="279">
        <f>[22]Brewhouse!$AF802</f>
        <v>53.1</v>
      </c>
      <c r="E14" s="279">
        <f>[22]Brewhouse!$AI802</f>
        <v>51.1</v>
      </c>
      <c r="F14" s="278">
        <f>[22]Brewhouse!$V802</f>
        <v>64</v>
      </c>
      <c r="G14" s="279">
        <f>[22]Brewhouse!AG802</f>
        <v>11.5</v>
      </c>
      <c r="H14" s="396"/>
      <c r="I14" s="368">
        <f>[22]Brewhouse!$AU802</f>
        <v>95.412108221907957</v>
      </c>
      <c r="J14" s="368">
        <f>[22]Brewhouse!$AV802</f>
        <v>97.112534830288794</v>
      </c>
      <c r="K14" s="281">
        <f>[22]Brewhouse!$Q802</f>
        <v>1.3559322033898284</v>
      </c>
      <c r="L14" s="276">
        <f>[22]Brewhouse!$P802</f>
        <v>57</v>
      </c>
      <c r="M14" s="397">
        <f>[22]Brewhouse!$U802-[22]Brewhouse!$T802</f>
        <v>9.375E-2</v>
      </c>
      <c r="N14" s="370">
        <f>[22]Brewhouse!$Z802</f>
        <v>0.22499999999999998</v>
      </c>
      <c r="O14" s="421" t="str">
        <f>[22]Brewhouse!$AX802</f>
        <v>R.Sookram</v>
      </c>
      <c r="P14" s="418"/>
      <c r="R14" s="277" t="str">
        <f t="shared" si="9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29" t="s">
        <v>6</v>
      </c>
      <c r="C15" s="366" t="str">
        <f>[22]Brewhouse!$A803</f>
        <v>CA694</v>
      </c>
      <c r="D15" s="279">
        <f>[22]Brewhouse!$AF803</f>
        <v>53.1</v>
      </c>
      <c r="E15" s="279">
        <f>[22]Brewhouse!$AI803</f>
        <v>50.9</v>
      </c>
      <c r="F15" s="278">
        <f>[22]Brewhouse!$V803</f>
        <v>62</v>
      </c>
      <c r="G15" s="279">
        <f>[22]Brewhouse!AG803</f>
        <v>11.8</v>
      </c>
      <c r="H15" s="396"/>
      <c r="I15" s="368">
        <f>[22]Brewhouse!$AU803</f>
        <v>98.816741628882468</v>
      </c>
      <c r="J15" s="368">
        <f>[22]Brewhouse!$AV803</f>
        <v>100.65259564619842</v>
      </c>
      <c r="K15" s="281">
        <f>[22]Brewhouse!$Q803</f>
        <v>1.1698113207547121</v>
      </c>
      <c r="L15" s="276">
        <f>[22]Brewhouse!$P803</f>
        <v>61</v>
      </c>
      <c r="M15" s="397">
        <f>[22]Brewhouse!$U803-[22]Brewhouse!$T803</f>
        <v>0.11111111111111116</v>
      </c>
      <c r="N15" s="370">
        <f>[22]Brewhouse!$Z803</f>
        <v>0.24722222222222223</v>
      </c>
      <c r="O15" s="421" t="str">
        <f>[22]Brewhouse!$AX803</f>
        <v>R.Sookram</v>
      </c>
      <c r="P15" s="418"/>
      <c r="R15" s="277" t="str">
        <f t="shared" si="9"/>
        <v>CARIB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29" t="s">
        <v>6</v>
      </c>
      <c r="C16" s="366" t="str">
        <f>[22]Brewhouse!$A804</f>
        <v>CA695</v>
      </c>
      <c r="D16" s="279">
        <f>[22]Brewhouse!$AF804</f>
        <v>51.5</v>
      </c>
      <c r="E16" s="279">
        <f>[22]Brewhouse!$AI804</f>
        <v>50.9</v>
      </c>
      <c r="F16" s="278">
        <f>[22]Brewhouse!$V804</f>
        <v>58</v>
      </c>
      <c r="G16" s="279">
        <f>[22]Brewhouse!AG804</f>
        <v>11.6</v>
      </c>
      <c r="H16" s="396"/>
      <c r="I16" s="368">
        <f>[22]Brewhouse!$AU804</f>
        <v>96.574875486049706</v>
      </c>
      <c r="J16" s="368">
        <f>[22]Brewhouse!$AV804</f>
        <v>98.36947274697377</v>
      </c>
      <c r="K16" s="281">
        <f>[22]Brewhouse!$Q804</f>
        <v>4.1886792452830166</v>
      </c>
      <c r="L16" s="276">
        <f>[22]Brewhouse!$P804</f>
        <v>60</v>
      </c>
      <c r="M16" s="397">
        <f>[22]Brewhouse!$U804-[22]Brewhouse!$T804</f>
        <v>0.10694444444444451</v>
      </c>
      <c r="N16" s="370">
        <f>[22]Brewhouse!$Z804</f>
        <v>0.25277777777777788</v>
      </c>
      <c r="O16" s="421" t="str">
        <f>[22]Brewhouse!$AX804</f>
        <v>K.Benjamin</v>
      </c>
      <c r="P16" s="418"/>
      <c r="R16" s="277" t="str">
        <f t="shared" si="9"/>
        <v>CARIB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1:26" ht="15.75" customHeight="1">
      <c r="B17" s="29" t="s">
        <v>6</v>
      </c>
      <c r="C17" s="366" t="str">
        <f>[22]Brewhouse!$A805</f>
        <v>CA696</v>
      </c>
      <c r="D17" s="279">
        <f>[22]Brewhouse!$AF805</f>
        <v>52.6</v>
      </c>
      <c r="E17" s="279">
        <f>[22]Brewhouse!$AI805</f>
        <v>52.2</v>
      </c>
      <c r="F17" s="278">
        <f>[22]Brewhouse!$V805</f>
        <v>66</v>
      </c>
      <c r="G17" s="279">
        <f>[22]Brewhouse!AG805</f>
        <v>11.6</v>
      </c>
      <c r="H17" s="396"/>
      <c r="I17" s="368">
        <f>[22]Brewhouse!$AU805</f>
        <v>98.919083581728628</v>
      </c>
      <c r="J17" s="368">
        <f>[22]Brewhouse!$AV805</f>
        <v>100.75734209105826</v>
      </c>
      <c r="K17" s="281">
        <f>[22]Brewhouse!$Q805</f>
        <v>2.1132075471698064</v>
      </c>
      <c r="L17" s="276">
        <f>[22]Brewhouse!$P805</f>
        <v>61</v>
      </c>
      <c r="M17" s="397">
        <f>[22]Brewhouse!$U805-[22]Brewhouse!$T805</f>
        <v>0.11527777777777781</v>
      </c>
      <c r="N17" s="370">
        <f>[22]Brewhouse!$Z805</f>
        <v>0.25277777777777777</v>
      </c>
      <c r="O17" s="421" t="str">
        <f>[22]Brewhouse!$AX805</f>
        <v>K.Benjamin</v>
      </c>
      <c r="P17" s="418"/>
      <c r="R17" s="277" t="str">
        <f t="shared" si="9"/>
        <v>CARIB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1:26" ht="15.75" customHeight="1">
      <c r="B18" s="29" t="s">
        <v>6</v>
      </c>
      <c r="C18" s="366" t="str">
        <f>[22]Brewhouse!$A806</f>
        <v>CA697</v>
      </c>
      <c r="D18" s="279">
        <f>[22]Brewhouse!$AF806</f>
        <v>51.4</v>
      </c>
      <c r="E18" s="279">
        <f>[22]Brewhouse!$AI806</f>
        <v>49</v>
      </c>
      <c r="F18" s="278">
        <f>[22]Brewhouse!$V806</f>
        <v>60</v>
      </c>
      <c r="G18" s="279">
        <f>[22]Brewhouse!AG806</f>
        <v>11.7</v>
      </c>
      <c r="H18" s="396"/>
      <c r="I18" s="368">
        <f>[22]Brewhouse!$AU806</f>
        <v>93.511569158584635</v>
      </c>
      <c r="J18" s="368">
        <f>[22]Brewhouse!$AV806</f>
        <v>95.177578710604465</v>
      </c>
      <c r="K18" s="281">
        <f>[22]Brewhouse!$Q806</f>
        <v>4.3773584905660385</v>
      </c>
      <c r="L18" s="276">
        <f>[22]Brewhouse!$P806</f>
        <v>61</v>
      </c>
      <c r="M18" s="397">
        <f>[22]Brewhouse!$U806-[22]Brewhouse!$T806</f>
        <v>0.11666666666666647</v>
      </c>
      <c r="N18" s="370">
        <f>[22]Brewhouse!$Z806</f>
        <v>0.24374999999999991</v>
      </c>
      <c r="O18" s="421" t="str">
        <f>[22]Brewhouse!$AX806</f>
        <v>K.Benjamin</v>
      </c>
      <c r="P18" s="418"/>
      <c r="R18" s="277" t="str">
        <f t="shared" si="9"/>
        <v>CARIB</v>
      </c>
      <c r="S18" s="296">
        <f t="shared" si="1"/>
        <v>11.6</v>
      </c>
      <c r="T18" s="296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296">
        <f t="shared" si="8"/>
        <v>60</v>
      </c>
    </row>
    <row r="19" spans="1:26" ht="15.7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1"/>
      <c r="P19" s="418"/>
      <c r="R19" s="277">
        <f t="shared" si="9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6" ht="15.7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1"/>
      <c r="P20" s="418"/>
      <c r="R20" s="277">
        <f t="shared" si="9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6" ht="15.7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1"/>
      <c r="P21" s="418"/>
      <c r="R21" s="277">
        <f t="shared" si="9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6" ht="15.7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1"/>
      <c r="P22" s="418"/>
      <c r="R22" s="277">
        <f t="shared" si="9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6" ht="15.7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8"/>
      <c r="R23" s="277">
        <f t="shared" si="9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6" ht="15.75" hidden="1" customHeight="1">
      <c r="B24" s="37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74"/>
      <c r="N24" s="370"/>
      <c r="O24" s="371"/>
      <c r="P24" s="418"/>
      <c r="R24" s="277">
        <f t="shared" si="9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6" ht="15.75" customHeight="1" thickBot="1">
      <c r="B25" s="358"/>
      <c r="C25" s="358"/>
      <c r="D25" s="358"/>
      <c r="E25" s="358"/>
      <c r="F25" s="294"/>
      <c r="G25" s="294"/>
      <c r="H25" s="348"/>
      <c r="I25" s="514"/>
      <c r="J25" s="514"/>
      <c r="K25" s="514"/>
      <c r="L25" s="514"/>
      <c r="M25" s="514"/>
      <c r="N25" s="514"/>
      <c r="O25" s="1"/>
      <c r="P25" s="12"/>
      <c r="R25" s="277">
        <f t="shared" si="9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6" ht="15.75" thickBot="1">
      <c r="B26" s="388" t="s">
        <v>162</v>
      </c>
      <c r="C26" s="388"/>
      <c r="D26" s="527" t="s">
        <v>35</v>
      </c>
      <c r="E26" s="528"/>
      <c r="F26" s="294"/>
      <c r="G26" s="294"/>
      <c r="H26" s="348"/>
      <c r="I26" s="24" t="s">
        <v>17</v>
      </c>
      <c r="J26" s="25" t="s">
        <v>36</v>
      </c>
      <c r="K26" s="26" t="s">
        <v>138</v>
      </c>
      <c r="L26" s="25" t="s">
        <v>37</v>
      </c>
      <c r="M26" s="25" t="s">
        <v>38</v>
      </c>
      <c r="N26" s="27" t="s">
        <v>39</v>
      </c>
      <c r="O26" s="294"/>
      <c r="P26" s="12"/>
      <c r="R26" s="277" t="str">
        <f t="shared" si="9"/>
        <v xml:space="preserve">BRAND 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6" ht="15" customHeight="1">
      <c r="A27" s="28"/>
      <c r="B27" s="515" t="str">
        <f>I28</f>
        <v>STAG</v>
      </c>
      <c r="C27" s="362"/>
      <c r="D27" s="518"/>
      <c r="E27" s="507"/>
      <c r="F27" s="294"/>
      <c r="G27" s="294"/>
      <c r="H27" s="348"/>
      <c r="I27" s="29" t="s">
        <v>6</v>
      </c>
      <c r="J27" s="280">
        <f>AVERAGE(I10:I18)</f>
        <v>96.255745753423696</v>
      </c>
      <c r="K27" s="284">
        <f>COUNTA([22]Brewhouse!$A$740:$A$806)</f>
        <v>67</v>
      </c>
      <c r="L27" s="305">
        <f>AVERAGE([22]Brewhouse!$AU$740:$AU$806)</f>
        <v>97.320454896382032</v>
      </c>
      <c r="M27" s="302">
        <f>AVERAGE([22]Brewhouse!$AU$102:$AU$171,[22]Brewhouse!$AU$173:$AU$253,[22]Brewhouse!$AU$255:$AU$339,[22]Brewhouse!$AU$341:$AU$346,[22]Brewhouse!$AU$348,[22]Brewhouse!$AU$349:$AU$406,[22]Brewhouse!$AU$408:$AU$491,[22]Brewhouse!$AU$493:$AU$578,[22]Brewhouse!$AU$580:$AU$652,[22]Brewhouse!$AU$655:$AU$806)</f>
        <v>97.668579160068418</v>
      </c>
      <c r="N27" s="30">
        <v>98</v>
      </c>
      <c r="O27" s="11"/>
      <c r="P27" s="31"/>
      <c r="R27" s="277" t="str">
        <f t="shared" si="9"/>
        <v>STAG</v>
      </c>
      <c r="S27" s="296">
        <f t="shared" si="1"/>
        <v>11.6</v>
      </c>
      <c r="T27" s="296">
        <f t="shared" si="2"/>
        <v>12</v>
      </c>
      <c r="U27" s="297">
        <f t="shared" si="3"/>
        <v>0</v>
      </c>
      <c r="V27" s="297">
        <f t="shared" si="4"/>
        <v>0.118055555555556</v>
      </c>
      <c r="W27" s="297">
        <f t="shared" si="5"/>
        <v>0.22569444444444445</v>
      </c>
      <c r="X27" s="297">
        <f t="shared" si="6"/>
        <v>0.2638888888888889</v>
      </c>
      <c r="Y27" s="297">
        <f t="shared" si="7"/>
        <v>0</v>
      </c>
      <c r="Z27" s="296">
        <f t="shared" si="8"/>
        <v>60</v>
      </c>
    </row>
    <row r="28" spans="1:26" ht="15" customHeight="1">
      <c r="A28" s="28"/>
      <c r="B28" s="516"/>
      <c r="C28" s="362"/>
      <c r="D28" s="519"/>
      <c r="E28" s="502"/>
      <c r="F28" s="294"/>
      <c r="G28" s="294"/>
      <c r="H28" s="348"/>
      <c r="I28" s="33" t="s">
        <v>9</v>
      </c>
      <c r="J28" s="280"/>
      <c r="K28" s="284">
        <f>COUNTA([24]Brewhouse!$A$361:$A$384)</f>
        <v>24</v>
      </c>
      <c r="L28" s="302">
        <f>AVERAGE([24]Brewhouse!$AS$361:$AS$384)</f>
        <v>97.60187327628698</v>
      </c>
      <c r="M28" s="302">
        <f>AVERAGE([24]Brewhouse!$AS$15:$AS$64,[24]Brewhouse!$AS$66:$AS$103,[24]Brewhouse!$AS$105:$AS$140,[24]Brewhouse!$AS$142:$AS$193,[24]Brewhouse!$AS$195:$AS$240,[24]Brewhouse!$AS$242:$AS$273,[24]Brewhouse!$AS$275:$AS$322,[24]Brewhouse!$AS$324:$AS$359,[24]Brewhouse!$AS$361:$AS$384)</f>
        <v>98.034752642745602</v>
      </c>
      <c r="N28" s="30">
        <v>98</v>
      </c>
      <c r="O28" s="11"/>
      <c r="P28" s="31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1:26" ht="14.65" customHeight="1">
      <c r="A29" s="28"/>
      <c r="B29" s="516"/>
      <c r="C29" s="362"/>
      <c r="D29" s="518"/>
      <c r="E29" s="507"/>
      <c r="F29" s="294"/>
      <c r="G29" s="294"/>
      <c r="H29" s="348"/>
      <c r="I29" s="34" t="s">
        <v>12</v>
      </c>
      <c r="J29" s="280"/>
      <c r="K29" s="284"/>
      <c r="L29" s="302"/>
      <c r="M29" s="302">
        <f>AVERAGE([25]Brewhouse!$AU$4:$AU$7,[25]Brewhouse!$AU$9:$AU$22,[25]Brewhouse!$AU$24:$AU$35,[25]Brewhouse!$AU$37:$AU$45,[25]Brewhouse!$AU$47:$AU$62,[25]Brewhouse!$AU$64:$AU$79,[25]Brewhouse!$AU$81:$AU$92)</f>
        <v>96.938184743997624</v>
      </c>
      <c r="N29" s="30">
        <v>98</v>
      </c>
      <c r="O29" s="11"/>
      <c r="P29" s="31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1:26" ht="14.65" customHeight="1">
      <c r="A30" s="28"/>
      <c r="B30" s="516"/>
      <c r="C30" s="362"/>
      <c r="D30" s="519"/>
      <c r="E30" s="502"/>
      <c r="F30" s="294"/>
      <c r="G30" s="294"/>
      <c r="H30" s="348"/>
      <c r="I30" s="22" t="s">
        <v>33</v>
      </c>
      <c r="J30" s="280"/>
      <c r="K30" s="284">
        <f>COUNTA([26]Brewhouse!$A$79:$A$86)</f>
        <v>8</v>
      </c>
      <c r="L30" s="302">
        <f>AVERAGE([26]Brewhouse!$AV$79:$AV$86)</f>
        <v>96.412390542357869</v>
      </c>
      <c r="M30" s="302">
        <f>AVERAGE([26]Brewhouse!$AV$5:$AV$14,[26]Brewhouse!$AV$16:$AV$19,[26]Brewhouse!$AV$21:$AV$24,[26]Brewhouse!$AV$26:$AV$33,[26]Brewhouse!$AV$35:$AV$46,[26]Brewhouse!$AV$48:$AV$53,[26]Brewhouse!$AV$55:$AV$62,[26]Brewhouse!$AV$64:$AV$77,[26]Brewhouse!$AV$79:$AV$86)</f>
        <v>98.293408393493976</v>
      </c>
      <c r="N30" s="30">
        <v>98</v>
      </c>
      <c r="O30" s="11"/>
      <c r="P30" s="31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1:26" ht="14.65" customHeight="1">
      <c r="A31" s="28"/>
      <c r="B31" s="516"/>
      <c r="C31" s="362"/>
      <c r="D31" s="518"/>
      <c r="E31" s="507"/>
      <c r="F31" s="417"/>
      <c r="G31" s="294"/>
      <c r="H31" s="348"/>
      <c r="I31" s="35" t="s">
        <v>29</v>
      </c>
      <c r="J31" s="280"/>
      <c r="K31" s="284"/>
      <c r="L31" s="302"/>
      <c r="M31" s="302"/>
      <c r="N31" s="30">
        <v>98</v>
      </c>
      <c r="O31" s="11"/>
      <c r="P31" s="31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1:26" ht="14.65" customHeight="1">
      <c r="A32" s="28"/>
      <c r="B32" s="516"/>
      <c r="C32" s="362"/>
      <c r="D32" s="519"/>
      <c r="E32" s="502"/>
      <c r="F32" s="417"/>
      <c r="G32" s="294"/>
      <c r="H32" s="348"/>
      <c r="I32" s="36" t="s">
        <v>15</v>
      </c>
      <c r="J32" s="280"/>
      <c r="K32" s="284">
        <f>COUNTA([27]Brewhouse!$A$28:$A$35)</f>
        <v>8</v>
      </c>
      <c r="L32" s="302">
        <f>AVERAGE([27]Brewhouse!$AT$28:$AT$35)</f>
        <v>95.233703112250225</v>
      </c>
      <c r="M32" s="302">
        <f>AVERAGE([27]Brewhouse!$AT$4:$AT$11,[27]Brewhouse!$AT$13:$AT$16,[27]Brewhouse!$AT$18:$AT$21,[27]Brewhouse!$AT$26,[27]Brewhouse!$AT$28:$AT$35)</f>
        <v>94.794664331624134</v>
      </c>
      <c r="N32" s="30">
        <v>98</v>
      </c>
      <c r="O32" s="11"/>
      <c r="P32" s="31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56" ht="14.65" customHeight="1">
      <c r="A33" s="28"/>
      <c r="B33" s="516"/>
      <c r="C33" s="362"/>
      <c r="D33" s="518"/>
      <c r="E33" s="507"/>
      <c r="F33" s="417"/>
      <c r="G33" s="294"/>
      <c r="H33" s="348"/>
      <c r="I33" s="37" t="s">
        <v>16</v>
      </c>
      <c r="J33" s="280"/>
      <c r="K33" s="284">
        <f>COUNTA([23]Brewhouse!$A$75:$A$82)</f>
        <v>8</v>
      </c>
      <c r="L33" s="302">
        <f>AVERAGE([23]Brewhouse!$AY$75:$AY$82)</f>
        <v>97.738838123294386</v>
      </c>
      <c r="M33" s="302">
        <f>AVERAGE([23]Brewhouse!$AY$6:$AY$13,[23]Brewhouse!$AY$15:$AY$20,[23]Brewhouse!$AY$22:$AY$29,[23]Brewhouse!$AY$31:$AY$34,[23]Brewhouse!$AY$36:$AY$43,[23]Brewhouse!$AY$45:$AY$50, [23]Brewhouse!$AY$56:$AY$73,[23]Brewhouse!$AY$75:$AY$82)</f>
        <v>97.409216272979165</v>
      </c>
      <c r="N33" s="30">
        <v>98</v>
      </c>
      <c r="O33" s="11"/>
      <c r="P33" s="31" t="s">
        <v>41</v>
      </c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56" ht="14.65" customHeight="1">
      <c r="A34" s="28"/>
      <c r="B34" s="516"/>
      <c r="C34" s="362"/>
      <c r="D34" s="519"/>
      <c r="E34" s="502"/>
      <c r="F34" s="294"/>
      <c r="G34" s="294"/>
      <c r="H34" s="348"/>
      <c r="I34" s="411" t="s">
        <v>158</v>
      </c>
      <c r="J34" s="326"/>
      <c r="K34" s="284"/>
      <c r="L34" s="305"/>
      <c r="M34" s="305">
        <f>AVERAGE([28]Brewhouse!$AU$5:$AU$8,[28]Brewhouse!$AU$10:$AU$13,[23]Brewhouse!$AY$75:$AY$77)</f>
        <v>94.749192473706671</v>
      </c>
      <c r="N34" s="30">
        <v>98</v>
      </c>
      <c r="O34" s="11"/>
      <c r="P34" s="31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</row>
    <row r="35" spans="1:56" ht="14.65" customHeight="1">
      <c r="A35" s="28"/>
      <c r="B35" s="516"/>
      <c r="C35" s="349"/>
      <c r="D35" s="518"/>
      <c r="E35" s="507"/>
      <c r="F35" s="294"/>
      <c r="G35" s="294"/>
      <c r="H35" s="348"/>
      <c r="I35" s="410" t="s">
        <v>157</v>
      </c>
      <c r="J35" s="326"/>
      <c r="K35" s="284"/>
      <c r="L35" s="305"/>
      <c r="M35" s="305">
        <f>AVERAGE([29]Brewhouse!$AW$26:$AW$27)</f>
        <v>95.310680905194914</v>
      </c>
      <c r="N35" s="30">
        <v>98</v>
      </c>
      <c r="O35" s="11"/>
      <c r="P35" s="31"/>
      <c r="R35" s="277">
        <f t="shared" si="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</row>
    <row r="36" spans="1:56" ht="15" customHeight="1" thickBot="1">
      <c r="A36" s="28"/>
      <c r="B36" s="516"/>
      <c r="C36" s="349"/>
      <c r="D36" s="519"/>
      <c r="E36" s="502"/>
      <c r="F36" s="294"/>
      <c r="G36" s="294"/>
      <c r="H36" s="348"/>
      <c r="I36" s="406" t="s">
        <v>156</v>
      </c>
      <c r="J36" s="327"/>
      <c r="K36" s="407"/>
      <c r="L36" s="408"/>
      <c r="M36" s="408">
        <f>AVERAGE([30]Brewhouse!$AU$13:$AU$14)</f>
        <v>97.110575243268045</v>
      </c>
      <c r="N36" s="409">
        <v>98</v>
      </c>
      <c r="O36" s="11"/>
      <c r="P36" s="31"/>
      <c r="R36" s="277">
        <f t="shared" si="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</row>
    <row r="37" spans="1:56" ht="15" customHeight="1" thickBot="1">
      <c r="A37" s="28"/>
      <c r="B37" s="516"/>
      <c r="C37" s="349"/>
      <c r="D37" s="518"/>
      <c r="E37" s="507"/>
      <c r="F37" s="294"/>
      <c r="G37" s="294"/>
      <c r="H37" s="348"/>
      <c r="I37" s="1"/>
      <c r="J37" s="39"/>
      <c r="K37" s="404">
        <f>SUM(K27:K36)</f>
        <v>115</v>
      </c>
      <c r="L37" s="405">
        <f>((L27*K27)+(L28*K28)+(L29*K29)+(L30*K30)+(L31*K31)+(K34*L34)+(L32*K32)+(L33*K33)+(L36*K36))/(K37)</f>
        <v>97.199955573145232</v>
      </c>
      <c r="M37" s="405">
        <f>AVERAGE('[31]Jan 31st'!$L$65,'[32]Feb 28th'!$L$35,'[33]Mar. 31st'!$L$35,'[34]Apr. 30th'!$L$45,'[35]May 30th'!$L$37,'[36]June 30th'!$L$57,L37)</f>
        <v>97.593123724315305</v>
      </c>
      <c r="N37" s="40">
        <v>98</v>
      </c>
      <c r="O37" s="11"/>
      <c r="P37" s="31"/>
      <c r="R37" s="277">
        <f t="shared" si="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</row>
    <row r="38" spans="1:56" ht="15.75" thickBot="1">
      <c r="B38" s="517"/>
      <c r="C38" s="350"/>
      <c r="D38" s="519"/>
      <c r="E38" s="502"/>
      <c r="F38" s="294"/>
      <c r="G38" s="42"/>
      <c r="H38" s="41"/>
      <c r="I38" s="42"/>
      <c r="J38" s="42"/>
      <c r="K38" s="351"/>
      <c r="L38" s="348"/>
      <c r="M38" s="348"/>
      <c r="N38" s="11"/>
      <c r="O38" s="294"/>
      <c r="P38" s="12"/>
      <c r="R38" s="277">
        <f t="shared" si="0"/>
        <v>0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</row>
    <row r="39" spans="1:56" ht="15.75" thickBot="1">
      <c r="B39" s="571"/>
      <c r="C39" s="362"/>
      <c r="D39" s="499"/>
      <c r="E39" s="500"/>
      <c r="F39" s="294"/>
      <c r="G39" s="42"/>
      <c r="H39" s="41"/>
      <c r="I39" s="42"/>
      <c r="J39" s="553" t="s">
        <v>129</v>
      </c>
      <c r="K39" s="553"/>
      <c r="L39" s="294"/>
      <c r="M39" s="294"/>
      <c r="N39" s="294"/>
      <c r="O39" s="294"/>
      <c r="P39" s="12"/>
      <c r="R39" s="277">
        <f t="shared" si="0"/>
        <v>0</v>
      </c>
      <c r="S39" s="296" t="e">
        <f t="shared" si="1"/>
        <v>#N/A</v>
      </c>
      <c r="T39" s="296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296" t="e">
        <f t="shared" si="8"/>
        <v>#N/A</v>
      </c>
    </row>
    <row r="40" spans="1:56" ht="15.75" thickBot="1">
      <c r="B40" s="559"/>
      <c r="C40" s="362"/>
      <c r="D40" s="501"/>
      <c r="E40" s="502"/>
      <c r="F40" s="294"/>
      <c r="G40" s="42"/>
      <c r="H40" s="41"/>
      <c r="I40" s="42"/>
      <c r="J40" s="292" t="s">
        <v>17</v>
      </c>
      <c r="K40" s="293" t="s">
        <v>147</v>
      </c>
      <c r="L40" s="504" t="s">
        <v>136</v>
      </c>
      <c r="M40" s="504"/>
      <c r="N40" s="505"/>
      <c r="O40" s="294"/>
      <c r="P40" s="12"/>
      <c r="R40" s="277">
        <f t="shared" si="0"/>
        <v>0</v>
      </c>
      <c r="S40" s="296" t="e">
        <f t="shared" si="1"/>
        <v>#N/A</v>
      </c>
      <c r="T40" s="296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296" t="e">
        <f t="shared" si="8"/>
        <v>#N/A</v>
      </c>
    </row>
    <row r="41" spans="1:56" ht="15" customHeight="1" thickBot="1">
      <c r="B41" s="559"/>
      <c r="C41" s="349"/>
      <c r="D41" s="554"/>
      <c r="E41" s="555"/>
      <c r="F41" s="294"/>
      <c r="G41" s="42"/>
      <c r="H41" s="41"/>
      <c r="I41" s="42"/>
      <c r="J41" s="287" t="s">
        <v>6</v>
      </c>
      <c r="K41" s="324">
        <v>9</v>
      </c>
      <c r="L41" s="343" t="s">
        <v>37</v>
      </c>
      <c r="M41" s="307" t="s">
        <v>38</v>
      </c>
      <c r="N41" s="307" t="s">
        <v>84</v>
      </c>
      <c r="O41" s="294"/>
      <c r="P41" s="12"/>
      <c r="R41" s="277">
        <f t="shared" si="0"/>
        <v>0</v>
      </c>
      <c r="S41" s="296" t="e">
        <f t="shared" si="1"/>
        <v>#N/A</v>
      </c>
      <c r="T41" s="296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296" t="e">
        <f t="shared" si="8"/>
        <v>#N/A</v>
      </c>
    </row>
    <row r="42" spans="1:56" ht="15.75" customHeight="1" thickBot="1">
      <c r="B42" s="559"/>
      <c r="C42" s="349"/>
      <c r="D42" s="501"/>
      <c r="E42" s="502"/>
      <c r="F42" s="294"/>
      <c r="G42" s="42"/>
      <c r="H42" s="41"/>
      <c r="I42" s="42"/>
      <c r="J42" s="345" t="s">
        <v>9</v>
      </c>
      <c r="K42" s="324"/>
      <c r="L42" s="344">
        <f>AVERAGE('Sept 1st'!K53,'Sept 2nd'!K51,'Sept 3rd'!K52,'Sept 4th'!K61,'Sept 5th '!K49,'Sept 8th'!K51,'Sept 9th'!K51,'Sept 10th'!K59,'Sept 11th'!K53,'Sept 15th '!K43,'Sept 16th'!K44,'Sept 17th'!K48,'Sept 18th '!K46,'Sept 19th'!K49,K51)</f>
        <v>7.666666666666667</v>
      </c>
      <c r="M42" s="325">
        <f>AVERAGE('[31]Jan 29th '!$M$70,'[32]Feb 28th'!$L$40,'[33]Mar. 31st'!$L$40,'[34]Apr. 30th'!$L$50,'[35]May 30th'!$L$42,'[36]June 30th'!$L$62,'[37]July 29th '!$L$49,'[38]Aug 29th'!$L$34,L42)</f>
        <v>7.0332636682751088</v>
      </c>
      <c r="N42" s="416">
        <v>9.1999999999999993</v>
      </c>
      <c r="O42" s="294"/>
      <c r="P42" s="12"/>
      <c r="R42" s="277">
        <f t="shared" si="0"/>
        <v>0</v>
      </c>
      <c r="S42" s="296" t="e">
        <f t="shared" si="1"/>
        <v>#N/A</v>
      </c>
      <c r="T42" s="296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296" t="e">
        <f t="shared" si="8"/>
        <v>#N/A</v>
      </c>
    </row>
    <row r="43" spans="1:56" ht="15" customHeight="1">
      <c r="B43" s="559"/>
      <c r="C43" s="349"/>
      <c r="D43" s="554"/>
      <c r="E43" s="555"/>
      <c r="F43" s="294"/>
      <c r="G43" s="42"/>
      <c r="H43" s="41"/>
      <c r="I43" s="42"/>
      <c r="J43" s="288" t="s">
        <v>40</v>
      </c>
      <c r="K43" s="324"/>
      <c r="L43" s="294"/>
      <c r="M43" s="294"/>
      <c r="N43" s="294"/>
      <c r="O43" s="294"/>
      <c r="P43" s="12"/>
      <c r="R43" s="277">
        <f t="shared" si="0"/>
        <v>0</v>
      </c>
      <c r="S43" s="296" t="e">
        <f t="shared" si="1"/>
        <v>#N/A</v>
      </c>
      <c r="T43" s="296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296" t="e">
        <f t="shared" si="8"/>
        <v>#N/A</v>
      </c>
    </row>
    <row r="44" spans="1:56" ht="15" customHeight="1">
      <c r="B44" s="559"/>
      <c r="C44" s="349"/>
      <c r="D44" s="501"/>
      <c r="E44" s="502"/>
      <c r="F44" s="294"/>
      <c r="G44" s="42"/>
      <c r="H44" s="41"/>
      <c r="I44" s="42"/>
      <c r="J44" s="289" t="s">
        <v>33</v>
      </c>
      <c r="K44" s="324"/>
      <c r="L44" s="294"/>
      <c r="M44" s="294"/>
      <c r="N44" s="294"/>
      <c r="O44" s="294"/>
      <c r="P44" s="12"/>
      <c r="R44" s="277">
        <f t="shared" si="0"/>
        <v>0</v>
      </c>
      <c r="S44" s="296" t="e">
        <f t="shared" si="1"/>
        <v>#N/A</v>
      </c>
      <c r="T44" s="296" t="e">
        <f t="shared" si="2"/>
        <v>#N/A</v>
      </c>
      <c r="U44" s="297" t="e">
        <f t="shared" si="3"/>
        <v>#N/A</v>
      </c>
      <c r="V44" s="297" t="e">
        <f t="shared" si="4"/>
        <v>#N/A</v>
      </c>
      <c r="W44" s="297" t="e">
        <f t="shared" si="5"/>
        <v>#N/A</v>
      </c>
      <c r="X44" s="297" t="e">
        <f t="shared" si="6"/>
        <v>#N/A</v>
      </c>
      <c r="Y44" s="297" t="e">
        <f t="shared" si="7"/>
        <v>#N/A</v>
      </c>
      <c r="Z44" s="296" t="e">
        <f t="shared" si="8"/>
        <v>#N/A</v>
      </c>
    </row>
    <row r="45" spans="1:56" ht="15">
      <c r="B45" s="559"/>
      <c r="C45" s="349"/>
      <c r="D45" s="554"/>
      <c r="E45" s="555"/>
      <c r="F45" s="294"/>
      <c r="G45" s="42"/>
      <c r="H45" s="41"/>
      <c r="I45" s="42"/>
      <c r="J45" s="290" t="s">
        <v>16</v>
      </c>
      <c r="K45" s="324"/>
      <c r="L45" s="294"/>
      <c r="M45" s="294"/>
      <c r="N45" s="294"/>
      <c r="O45" s="294"/>
      <c r="P45" s="12"/>
      <c r="R45" s="277">
        <f t="shared" si="0"/>
        <v>0</v>
      </c>
      <c r="S45" s="296" t="e">
        <f t="shared" si="1"/>
        <v>#N/A</v>
      </c>
      <c r="T45" s="296" t="e">
        <f t="shared" si="2"/>
        <v>#N/A</v>
      </c>
      <c r="U45" s="297" t="e">
        <f t="shared" si="3"/>
        <v>#N/A</v>
      </c>
      <c r="V45" s="297" t="e">
        <f t="shared" si="4"/>
        <v>#N/A</v>
      </c>
      <c r="W45" s="297" t="e">
        <f t="shared" si="5"/>
        <v>#N/A</v>
      </c>
      <c r="X45" s="297" t="e">
        <f t="shared" si="6"/>
        <v>#N/A</v>
      </c>
      <c r="Y45" s="297" t="e">
        <f t="shared" si="7"/>
        <v>#N/A</v>
      </c>
      <c r="Z45" s="296" t="e">
        <f t="shared" si="8"/>
        <v>#N/A</v>
      </c>
      <c r="BC45" s="44"/>
      <c r="BD45" s="44"/>
    </row>
    <row r="46" spans="1:56" ht="15">
      <c r="B46" s="559"/>
      <c r="C46" s="349"/>
      <c r="D46" s="501"/>
      <c r="E46" s="502"/>
      <c r="F46" s="294"/>
      <c r="G46" s="42"/>
      <c r="H46" s="41"/>
      <c r="I46" s="42"/>
      <c r="J46" s="291" t="s">
        <v>15</v>
      </c>
      <c r="K46" s="324"/>
      <c r="L46" s="294"/>
      <c r="M46" s="294"/>
      <c r="N46" s="294"/>
      <c r="O46" s="294"/>
      <c r="P46" s="12"/>
      <c r="R46" s="277">
        <f t="shared" si="0"/>
        <v>0</v>
      </c>
      <c r="S46" s="296" t="e">
        <f t="shared" si="1"/>
        <v>#N/A</v>
      </c>
      <c r="T46" s="296" t="e">
        <f t="shared" si="2"/>
        <v>#N/A</v>
      </c>
      <c r="U46" s="297" t="e">
        <f t="shared" si="3"/>
        <v>#N/A</v>
      </c>
      <c r="V46" s="297" t="e">
        <f t="shared" si="4"/>
        <v>#N/A</v>
      </c>
      <c r="W46" s="297" t="e">
        <f t="shared" si="5"/>
        <v>#N/A</v>
      </c>
      <c r="X46" s="297" t="e">
        <f t="shared" si="6"/>
        <v>#N/A</v>
      </c>
      <c r="Y46" s="297" t="e">
        <f t="shared" si="7"/>
        <v>#N/A</v>
      </c>
      <c r="Z46" s="296" t="e">
        <f t="shared" si="8"/>
        <v>#N/A</v>
      </c>
      <c r="BC46" s="44"/>
      <c r="BD46" s="44"/>
    </row>
    <row r="47" spans="1:56" ht="15">
      <c r="B47" s="559"/>
      <c r="C47" s="349"/>
      <c r="D47" s="554"/>
      <c r="E47" s="555"/>
      <c r="F47" s="294"/>
      <c r="G47" s="42"/>
      <c r="H47" s="41"/>
      <c r="I47" s="42"/>
      <c r="J47" s="291" t="s">
        <v>149</v>
      </c>
      <c r="K47" s="324"/>
      <c r="L47" s="294"/>
      <c r="M47" s="294"/>
      <c r="N47" s="294"/>
      <c r="O47" s="294"/>
      <c r="P47" s="12"/>
      <c r="BC47" s="44"/>
      <c r="BD47" s="44"/>
    </row>
    <row r="48" spans="1:56" ht="15.75" thickBot="1">
      <c r="B48" s="560"/>
      <c r="C48" s="350"/>
      <c r="D48" s="556"/>
      <c r="E48" s="557"/>
      <c r="F48" s="294"/>
      <c r="G48" s="42"/>
      <c r="H48" s="41"/>
      <c r="I48" s="42"/>
      <c r="J48" s="291" t="s">
        <v>148</v>
      </c>
      <c r="K48" s="324"/>
      <c r="L48" s="294"/>
      <c r="M48" s="294"/>
      <c r="N48" s="294"/>
      <c r="O48" s="294"/>
      <c r="P48" s="12"/>
      <c r="BC48" s="44"/>
      <c r="BD48" s="44"/>
    </row>
    <row r="49" spans="2:57" ht="17.649999999999999" customHeight="1" thickBot="1">
      <c r="B49" s="312" t="s">
        <v>139</v>
      </c>
      <c r="C49" s="313"/>
      <c r="D49" s="550" t="e">
        <f>AVERAGE(D27:E48)</f>
        <v>#DIV/0!</v>
      </c>
      <c r="E49" s="551"/>
      <c r="F49" s="294"/>
      <c r="H49" s="41"/>
      <c r="I49" s="42"/>
      <c r="J49" s="295" t="s">
        <v>134</v>
      </c>
      <c r="K49" s="324"/>
      <c r="L49" s="294"/>
      <c r="M49" s="294"/>
      <c r="N49" s="294"/>
      <c r="O49" s="294"/>
      <c r="P49" s="12"/>
      <c r="BC49" s="44"/>
      <c r="BD49" s="44"/>
    </row>
    <row r="50" spans="2:57" ht="17.649999999999999" customHeight="1">
      <c r="B50" s="363"/>
      <c r="C50" s="364"/>
      <c r="D50" s="365"/>
      <c r="E50" s="365"/>
      <c r="F50" s="294"/>
      <c r="G50" s="42"/>
      <c r="H50" s="41"/>
      <c r="I50" s="42"/>
      <c r="J50" s="295" t="s">
        <v>131</v>
      </c>
      <c r="K50" s="324"/>
      <c r="L50" s="294"/>
      <c r="M50" s="294"/>
      <c r="N50" s="294"/>
      <c r="O50" s="294"/>
      <c r="P50" s="12"/>
      <c r="BC50" s="44"/>
      <c r="BD50" s="44"/>
    </row>
    <row r="51" spans="2:57" ht="15.6" customHeight="1">
      <c r="B51" s="45"/>
      <c r="C51" s="11"/>
      <c r="D51" s="11"/>
      <c r="E51" s="46"/>
      <c r="F51" s="294"/>
      <c r="G51" s="42"/>
      <c r="H51" s="41"/>
      <c r="I51" s="42"/>
      <c r="J51" s="346" t="s">
        <v>130</v>
      </c>
      <c r="K51" s="324">
        <f>SUM(K41:K50)</f>
        <v>9</v>
      </c>
      <c r="L51" s="294"/>
      <c r="M51" s="294"/>
      <c r="N51" s="294"/>
      <c r="O51" s="294"/>
      <c r="P51" s="12"/>
    </row>
    <row r="52" spans="2:57" ht="20.25" customHeight="1">
      <c r="B52" s="15" t="s">
        <v>42</v>
      </c>
      <c r="C52" s="1" t="s">
        <v>43</v>
      </c>
      <c r="D52" s="1"/>
      <c r="E52" s="1"/>
      <c r="F52" s="294"/>
      <c r="G52" s="42"/>
      <c r="H52" s="41"/>
      <c r="I52" s="42"/>
      <c r="L52" s="294"/>
      <c r="N52" s="315"/>
      <c r="P52" s="334"/>
    </row>
    <row r="53" spans="2:57" ht="15" customHeight="1" thickBot="1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1"/>
      <c r="O53" s="48"/>
      <c r="P53" s="49"/>
    </row>
    <row r="54" spans="2:57" ht="15" customHeight="1" thickBot="1">
      <c r="B54" s="480" t="s">
        <v>17</v>
      </c>
      <c r="C54" s="480" t="s">
        <v>44</v>
      </c>
      <c r="D54" s="492" t="s">
        <v>45</v>
      </c>
      <c r="E54" s="494" t="s">
        <v>46</v>
      </c>
      <c r="F54" s="488" t="s">
        <v>47</v>
      </c>
      <c r="G54" s="478" t="s">
        <v>48</v>
      </c>
      <c r="H54" s="480" t="s">
        <v>49</v>
      </c>
      <c r="I54" s="480" t="s">
        <v>50</v>
      </c>
      <c r="J54" s="472" t="s">
        <v>28</v>
      </c>
      <c r="K54" s="484" t="s">
        <v>51</v>
      </c>
      <c r="L54" s="486" t="s">
        <v>52</v>
      </c>
      <c r="M54" s="472" t="s">
        <v>53</v>
      </c>
      <c r="N54" s="13"/>
      <c r="O54" s="13"/>
      <c r="P54" s="50"/>
    </row>
    <row r="55" spans="2:57" ht="28.5" customHeight="1" thickTop="1" thickBot="1">
      <c r="B55" s="481"/>
      <c r="C55" s="481"/>
      <c r="D55" s="493"/>
      <c r="E55" s="495"/>
      <c r="F55" s="489"/>
      <c r="G55" s="479"/>
      <c r="H55" s="481"/>
      <c r="I55" s="481"/>
      <c r="J55" s="473"/>
      <c r="K55" s="485"/>
      <c r="L55" s="487"/>
      <c r="M55" s="473"/>
      <c r="N55" s="13"/>
      <c r="O55" s="13"/>
      <c r="P55" s="50"/>
      <c r="Q55" s="355"/>
      <c r="AB55" s="51">
        <v>43474</v>
      </c>
      <c r="AC55" s="51">
        <v>43475</v>
      </c>
      <c r="AD55" s="51">
        <v>43476</v>
      </c>
      <c r="AE55" s="51">
        <v>43477</v>
      </c>
      <c r="AF55" s="51">
        <v>43478</v>
      </c>
      <c r="AG55" s="51">
        <v>43479</v>
      </c>
      <c r="AH55" s="51">
        <v>43480</v>
      </c>
      <c r="AI55" s="51">
        <v>43481</v>
      </c>
      <c r="AJ55" s="51">
        <v>43482</v>
      </c>
      <c r="AK55" s="51">
        <v>43483</v>
      </c>
      <c r="AL55" s="51">
        <v>43484</v>
      </c>
      <c r="AM55" s="51">
        <v>43485</v>
      </c>
      <c r="AN55" s="51">
        <v>43486</v>
      </c>
      <c r="AO55" s="51">
        <v>43487</v>
      </c>
      <c r="AP55" s="51">
        <v>43488</v>
      </c>
      <c r="AQ55" s="51">
        <v>43489</v>
      </c>
      <c r="AR55" s="51">
        <v>43490</v>
      </c>
      <c r="AS55" s="51">
        <v>43491</v>
      </c>
      <c r="AT55" s="51">
        <v>43492</v>
      </c>
      <c r="AU55" s="51">
        <v>43493</v>
      </c>
      <c r="AV55" s="51">
        <v>43494</v>
      </c>
      <c r="AW55" s="51">
        <v>43495</v>
      </c>
      <c r="AX55" s="51">
        <v>43496</v>
      </c>
    </row>
    <row r="56" spans="2:57" s="54" customFormat="1" ht="59.45" hidden="1" customHeight="1" thickBot="1">
      <c r="B56" s="460"/>
      <c r="C56" s="442"/>
      <c r="D56" s="443"/>
      <c r="E56" s="444"/>
      <c r="F56" s="445"/>
      <c r="G56" s="428"/>
      <c r="H56" s="429"/>
      <c r="I56" s="429"/>
      <c r="J56" s="449"/>
      <c r="K56" s="450"/>
      <c r="L56" s="464"/>
      <c r="M56" s="457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[20]January_2019!L7</f>
        <v>285.8</v>
      </c>
      <c r="AC56" s="57">
        <f>[20]January_2019!M7</f>
        <v>508.1</v>
      </c>
      <c r="AD56" s="57">
        <f>[20]January_2019!N7</f>
        <v>0</v>
      </c>
      <c r="AE56" s="57">
        <f>[20]January_2019!O7</f>
        <v>0</v>
      </c>
      <c r="AF56" s="57">
        <f>[20]January_2019!P7</f>
        <v>109.56666666666666</v>
      </c>
      <c r="AG56" s="57">
        <f>[20]January_2019!Q7</f>
        <v>297.64999999999998</v>
      </c>
      <c r="AH56" s="57">
        <f>[20]January_2019!R7</f>
        <v>122.3</v>
      </c>
      <c r="AI56" s="57">
        <f>[20]January_2019!S7</f>
        <v>0</v>
      </c>
      <c r="AJ56" s="57">
        <f>[20]January_2019!T7</f>
        <v>294.7</v>
      </c>
      <c r="AK56" s="57">
        <f>[20]January_2019!U7</f>
        <v>280.5</v>
      </c>
      <c r="AL56" s="57">
        <f>[20]January_2019!V7</f>
        <v>0</v>
      </c>
      <c r="AM56" s="57">
        <f>[20]January_2019!W7</f>
        <v>0</v>
      </c>
      <c r="AN56" s="57">
        <f>[20]January_2019!X7</f>
        <v>188.25</v>
      </c>
      <c r="AO56" s="57">
        <f>[20]January_2019!Y7</f>
        <v>295.7</v>
      </c>
      <c r="AP56" s="57">
        <f>[20]January_2019!Z7</f>
        <v>257.8</v>
      </c>
      <c r="AQ56" s="57">
        <f>[20]January_2019!AA7</f>
        <v>291.2</v>
      </c>
      <c r="AR56" s="57">
        <f>[20]January_2019!AB7</f>
        <v>187</v>
      </c>
      <c r="AS56" s="57">
        <f>[20]January_2019!AC7</f>
        <v>0</v>
      </c>
      <c r="AT56" s="57">
        <f>[20]January_2019!AD7</f>
        <v>0</v>
      </c>
      <c r="AU56" s="57">
        <f>[20]January_2019!AE7</f>
        <v>485.1</v>
      </c>
      <c r="AV56" s="57">
        <f>[20]January_2019!AF7</f>
        <v>171.55</v>
      </c>
      <c r="AW56" s="57">
        <f>[20]January_2019!AG7</f>
        <v>423.8</v>
      </c>
      <c r="AX56" s="277">
        <f>[20]January_2019!AH7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14.25" hidden="1" customHeight="1" thickBot="1">
      <c r="B57" s="459"/>
      <c r="C57" s="431"/>
      <c r="D57" s="432"/>
      <c r="E57" s="433"/>
      <c r="F57" s="434"/>
      <c r="G57" s="435"/>
      <c r="H57" s="429"/>
      <c r="I57" s="429"/>
      <c r="J57" s="452"/>
      <c r="K57" s="437"/>
      <c r="L57" s="453"/>
      <c r="M57" s="422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59.45" customHeight="1" thickBot="1">
      <c r="B58" s="460" t="str">
        <f>J42</f>
        <v>STAG</v>
      </c>
      <c r="C58" s="442">
        <v>45922</v>
      </c>
      <c r="D58" s="443">
        <f>[39]September_2025!$Y$13</f>
        <v>219.8</v>
      </c>
      <c r="E58" s="444"/>
      <c r="F58" s="444"/>
      <c r="G58" s="445">
        <f>[39]September_2025!$Y$17</f>
        <v>178</v>
      </c>
      <c r="H58" s="463"/>
      <c r="I58" s="463"/>
      <c r="J58" s="449"/>
      <c r="K58" s="450">
        <f>[40]September_2025!$Y$25</f>
        <v>0.31228070175438599</v>
      </c>
      <c r="L58" s="464">
        <f>(((D58+E58)-G58)/(D58+E58))*100</f>
        <v>19.017288444040041</v>
      </c>
      <c r="M58" s="457" t="s">
        <v>179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5.75" thickBot="1">
      <c r="B59" s="454"/>
      <c r="C59" s="431"/>
      <c r="D59" s="432"/>
      <c r="E59" s="433"/>
      <c r="F59" s="434"/>
      <c r="G59" s="435"/>
      <c r="H59" s="436"/>
      <c r="I59" s="451"/>
      <c r="J59" s="452"/>
      <c r="K59" s="437"/>
      <c r="L59" s="453"/>
      <c r="M59" s="422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6.6" customHeight="1" thickBot="1">
      <c r="B60" s="460"/>
      <c r="C60" s="442"/>
      <c r="D60" s="443"/>
      <c r="E60" s="444"/>
      <c r="F60" s="445"/>
      <c r="G60" s="446"/>
      <c r="H60" s="447"/>
      <c r="I60" s="448"/>
      <c r="J60" s="449"/>
      <c r="K60" s="450"/>
      <c r="L60" s="464"/>
      <c r="M60" s="456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6.5" customHeight="1" thickBot="1">
      <c r="B61" s="438"/>
      <c r="C61" s="424"/>
      <c r="D61" s="425"/>
      <c r="E61" s="426"/>
      <c r="F61" s="427"/>
      <c r="G61" s="428"/>
      <c r="H61" s="429"/>
      <c r="I61" s="439"/>
      <c r="J61" s="440"/>
      <c r="K61" s="430"/>
      <c r="L61" s="441"/>
      <c r="M61" s="423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415"/>
      <c r="AC61" s="415"/>
      <c r="AD61" s="415"/>
      <c r="AE61" s="415"/>
      <c r="AF61" s="415"/>
      <c r="AG61" s="415"/>
      <c r="AH61" s="415"/>
      <c r="AI61" s="415"/>
      <c r="AJ61" s="415"/>
      <c r="AK61" s="415"/>
      <c r="AL61" s="415"/>
      <c r="AM61" s="415"/>
      <c r="AN61" s="415"/>
      <c r="AO61" s="415"/>
      <c r="AP61" s="415"/>
      <c r="AQ61" s="415"/>
      <c r="AR61" s="415"/>
      <c r="AS61" s="415"/>
      <c r="AT61" s="415"/>
      <c r="AU61" s="415"/>
      <c r="AV61" s="415"/>
      <c r="AW61" s="415"/>
    </row>
    <row r="62" spans="2:57" ht="18" customHeight="1" thickBot="1">
      <c r="B62" s="59"/>
      <c r="C62" s="30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 t="s">
        <v>41</v>
      </c>
      <c r="O62" s="56"/>
      <c r="P62" s="60"/>
    </row>
    <row r="63" spans="2:57" ht="15.75" thickBot="1">
      <c r="B63" s="474" t="s">
        <v>55</v>
      </c>
      <c r="C63" s="475"/>
      <c r="D63" s="475"/>
      <c r="E63" s="475"/>
      <c r="F63" s="476"/>
      <c r="G63" s="474" t="s">
        <v>56</v>
      </c>
      <c r="H63" s="475"/>
      <c r="I63" s="475"/>
      <c r="J63" s="476"/>
      <c r="K63" s="474" t="s">
        <v>51</v>
      </c>
      <c r="L63" s="475"/>
      <c r="M63" s="475"/>
      <c r="N63" s="477"/>
      <c r="O63" s="56"/>
      <c r="P63" s="50"/>
    </row>
    <row r="64" spans="2:57" ht="15">
      <c r="B64" s="61" t="s">
        <v>17</v>
      </c>
      <c r="C64" s="62" t="s">
        <v>36</v>
      </c>
      <c r="D64" s="62" t="s">
        <v>37</v>
      </c>
      <c r="E64" s="62" t="s">
        <v>38</v>
      </c>
      <c r="F64" s="63" t="s">
        <v>39</v>
      </c>
      <c r="G64" s="62" t="s">
        <v>36</v>
      </c>
      <c r="H64" s="62" t="s">
        <v>37</v>
      </c>
      <c r="I64" s="62" t="s">
        <v>38</v>
      </c>
      <c r="J64" s="63" t="s">
        <v>39</v>
      </c>
      <c r="K64" s="62" t="s">
        <v>36</v>
      </c>
      <c r="L64" s="62" t="s">
        <v>37</v>
      </c>
      <c r="M64" s="62" t="s">
        <v>38</v>
      </c>
      <c r="N64" s="63" t="s">
        <v>39</v>
      </c>
      <c r="O64" s="56"/>
      <c r="P64" s="64"/>
    </row>
    <row r="65" spans="2:16" ht="15">
      <c r="B65" s="29" t="s">
        <v>6</v>
      </c>
      <c r="C65" s="65"/>
      <c r="D65" s="76"/>
      <c r="E65" s="76"/>
      <c r="F65" s="66">
        <v>4.8</v>
      </c>
      <c r="G65" s="65"/>
      <c r="H65" s="76"/>
      <c r="I65" s="76"/>
      <c r="J65" s="66">
        <v>4.8</v>
      </c>
      <c r="K65" s="67"/>
      <c r="L65" s="194"/>
      <c r="M65" s="194"/>
      <c r="N65" s="68">
        <v>1</v>
      </c>
      <c r="O65" s="56"/>
      <c r="P65" s="69"/>
    </row>
    <row r="66" spans="2:16" ht="15">
      <c r="B66" s="33" t="s">
        <v>9</v>
      </c>
      <c r="C66" s="65">
        <f>L58</f>
        <v>19.017288444040041</v>
      </c>
      <c r="D66" s="76"/>
      <c r="E66" s="76"/>
      <c r="F66" s="66">
        <v>4.8</v>
      </c>
      <c r="G66" s="65">
        <f>[39]September_2025!$Y$21</f>
        <v>18.88761236468703</v>
      </c>
      <c r="H66" s="76"/>
      <c r="I66" s="76"/>
      <c r="J66" s="66">
        <v>4.8</v>
      </c>
      <c r="K66" s="67">
        <f>K58</f>
        <v>0.31228070175438599</v>
      </c>
      <c r="L66" s="194"/>
      <c r="M66" s="194"/>
      <c r="N66" s="68">
        <v>1</v>
      </c>
      <c r="P66" s="69"/>
    </row>
    <row r="67" spans="2:16" ht="15">
      <c r="B67" s="34" t="s">
        <v>40</v>
      </c>
      <c r="C67" s="65"/>
      <c r="D67" s="76"/>
      <c r="E67" s="76"/>
      <c r="F67" s="66">
        <v>5.5</v>
      </c>
      <c r="G67" s="65"/>
      <c r="H67" s="76"/>
      <c r="I67" s="76"/>
      <c r="J67" s="66">
        <v>5.5</v>
      </c>
      <c r="K67" s="67"/>
      <c r="L67" s="194"/>
      <c r="M67" s="194"/>
      <c r="N67" s="68">
        <v>1</v>
      </c>
      <c r="P67" s="69"/>
    </row>
    <row r="68" spans="2:16" ht="15">
      <c r="B68" s="22" t="s">
        <v>33</v>
      </c>
      <c r="C68" s="65"/>
      <c r="D68" s="76"/>
      <c r="E68" s="76"/>
      <c r="F68" s="66">
        <v>3.3</v>
      </c>
      <c r="G68" s="65"/>
      <c r="H68" s="76"/>
      <c r="I68" s="76"/>
      <c r="J68" s="66">
        <v>3.3</v>
      </c>
      <c r="K68" s="67"/>
      <c r="L68" s="194"/>
      <c r="M68" s="194"/>
      <c r="N68" s="68">
        <v>1</v>
      </c>
      <c r="P68" s="69"/>
    </row>
    <row r="69" spans="2:16" ht="15">
      <c r="B69" s="35" t="s">
        <v>165</v>
      </c>
      <c r="C69" s="65"/>
      <c r="D69" s="76"/>
      <c r="E69" s="76"/>
      <c r="F69" s="66">
        <v>3.3</v>
      </c>
      <c r="G69" s="282"/>
      <c r="H69" s="76"/>
      <c r="I69" s="76"/>
      <c r="J69" s="66">
        <v>3</v>
      </c>
      <c r="K69" s="67"/>
      <c r="L69" s="194"/>
      <c r="M69" s="194"/>
      <c r="N69" s="68">
        <v>1</v>
      </c>
      <c r="P69" s="69"/>
    </row>
    <row r="70" spans="2:16" ht="15">
      <c r="B70" s="36" t="s">
        <v>15</v>
      </c>
      <c r="C70" s="65"/>
      <c r="D70" s="76"/>
      <c r="E70" s="76"/>
      <c r="F70" s="70">
        <f>[21]May_2022!$M$43</f>
        <v>3.4878406700073312</v>
      </c>
      <c r="G70" s="282"/>
      <c r="H70" s="76"/>
      <c r="I70" s="76"/>
      <c r="J70" s="66">
        <v>5.5</v>
      </c>
      <c r="K70" s="67"/>
      <c r="L70" s="194"/>
      <c r="M70" s="194"/>
      <c r="N70" s="68">
        <v>1</v>
      </c>
      <c r="P70" s="69"/>
    </row>
    <row r="71" spans="2:16" ht="15">
      <c r="B71" s="37" t="s">
        <v>16</v>
      </c>
      <c r="C71" s="65"/>
      <c r="D71" s="76"/>
      <c r="E71" s="76"/>
      <c r="F71" s="66">
        <v>3.3</v>
      </c>
      <c r="G71" s="282"/>
      <c r="H71" s="76"/>
      <c r="I71" s="76"/>
      <c r="J71" s="66">
        <v>3.3</v>
      </c>
      <c r="K71" s="67"/>
      <c r="L71" s="194"/>
      <c r="M71" s="194"/>
      <c r="N71" s="71">
        <v>1</v>
      </c>
      <c r="P71" s="69"/>
    </row>
    <row r="72" spans="2:16" ht="15.75" thickBot="1">
      <c r="B72" s="38" t="s">
        <v>164</v>
      </c>
      <c r="C72" s="65"/>
      <c r="D72" s="76"/>
      <c r="E72" s="76"/>
      <c r="F72" s="66">
        <v>7.5</v>
      </c>
      <c r="G72" s="282"/>
      <c r="H72" s="76"/>
      <c r="I72" s="76"/>
      <c r="J72" s="66">
        <v>7.5</v>
      </c>
      <c r="K72" s="67"/>
      <c r="M72" s="194"/>
      <c r="N72" s="71">
        <v>1</v>
      </c>
      <c r="P72" s="69"/>
    </row>
    <row r="73" spans="2:16" ht="15.75" thickBot="1">
      <c r="B73" s="414" t="s">
        <v>161</v>
      </c>
      <c r="C73" s="65"/>
      <c r="D73" s="76"/>
      <c r="E73" s="76"/>
      <c r="F73" s="66">
        <v>4.8</v>
      </c>
      <c r="G73" s="282"/>
      <c r="H73" s="76"/>
      <c r="I73" s="76"/>
      <c r="J73" s="66">
        <v>4.8</v>
      </c>
      <c r="K73" s="67"/>
      <c r="L73" s="194"/>
      <c r="M73" s="194"/>
      <c r="N73" s="71">
        <v>1</v>
      </c>
      <c r="O73" s="74"/>
      <c r="P73" s="75"/>
    </row>
    <row r="74" spans="2:16" ht="15">
      <c r="D74" s="76"/>
      <c r="E74" s="76"/>
      <c r="F74" s="341">
        <v>5.5</v>
      </c>
      <c r="H74" s="76"/>
      <c r="I74" s="76"/>
      <c r="J74" s="341">
        <v>5.5</v>
      </c>
      <c r="L74" s="194"/>
      <c r="M74" s="194"/>
      <c r="N74" s="386">
        <v>1</v>
      </c>
    </row>
    <row r="78" spans="2:16">
      <c r="F78" s="315"/>
    </row>
    <row r="79" spans="2:16" ht="15">
      <c r="F79" s="341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5:N25"/>
    <mergeCell ref="D26:E26"/>
    <mergeCell ref="B27:B38"/>
    <mergeCell ref="D27:E28"/>
    <mergeCell ref="D29:E30"/>
    <mergeCell ref="D31:E32"/>
    <mergeCell ref="D33:E34"/>
    <mergeCell ref="D35:E36"/>
    <mergeCell ref="D37:E38"/>
    <mergeCell ref="B39:B48"/>
    <mergeCell ref="D39:E40"/>
    <mergeCell ref="J39:K39"/>
    <mergeCell ref="L40:N40"/>
    <mergeCell ref="D41:E42"/>
    <mergeCell ref="D43:E44"/>
    <mergeCell ref="D45:E46"/>
    <mergeCell ref="D47:E48"/>
    <mergeCell ref="D49:E49"/>
    <mergeCell ref="B54:B55"/>
    <mergeCell ref="C54:C55"/>
    <mergeCell ref="D54:D55"/>
    <mergeCell ref="E54:E55"/>
    <mergeCell ref="M54:M55"/>
    <mergeCell ref="B63:F63"/>
    <mergeCell ref="G63:J63"/>
    <mergeCell ref="K63:N63"/>
    <mergeCell ref="G54:G55"/>
    <mergeCell ref="H54:H55"/>
    <mergeCell ref="I54:I55"/>
    <mergeCell ref="J54:J55"/>
    <mergeCell ref="K54:K55"/>
    <mergeCell ref="L54:L55"/>
    <mergeCell ref="F54:F55"/>
  </mergeCells>
  <conditionalFormatting sqref="B49:B50">
    <cfRule type="cellIs" dxfId="1136" priority="139" operator="notBetween">
      <formula>#REF!</formula>
      <formula>#REF!</formula>
    </cfRule>
  </conditionalFormatting>
  <conditionalFormatting sqref="C53">
    <cfRule type="cellIs" dxfId="1135" priority="170" stopIfTrue="1" operator="lessThan">
      <formula>96</formula>
    </cfRule>
    <cfRule type="cellIs" dxfId="1134" priority="171" stopIfTrue="1" operator="greaterThan">
      <formula>100</formula>
    </cfRule>
  </conditionalFormatting>
  <conditionalFormatting sqref="C65:C66">
    <cfRule type="cellIs" dxfId="1133" priority="174" stopIfTrue="1" operator="greaterThan">
      <formula>$F66</formula>
    </cfRule>
    <cfRule type="cellIs" dxfId="1132" priority="172" stopIfTrue="1" operator="greaterThan">
      <formula>$F65</formula>
    </cfRule>
  </conditionalFormatting>
  <conditionalFormatting sqref="C65:C69">
    <cfRule type="cellIs" dxfId="1131" priority="120" stopIfTrue="1" operator="lessThanOrEqual">
      <formula>0</formula>
    </cfRule>
  </conditionalFormatting>
  <conditionalFormatting sqref="C66:C73">
    <cfRule type="cellIs" dxfId="1130" priority="119" stopIfTrue="1" operator="greaterThan">
      <formula>$F66</formula>
    </cfRule>
  </conditionalFormatting>
  <conditionalFormatting sqref="C70">
    <cfRule type="cellIs" dxfId="1129" priority="59" stopIfTrue="1" operator="greaterThan">
      <formula>$F69</formula>
    </cfRule>
    <cfRule type="cellIs" dxfId="1128" priority="58" stopIfTrue="1" operator="lessThanOrEqual">
      <formula>0</formula>
    </cfRule>
  </conditionalFormatting>
  <conditionalFormatting sqref="C71:C73">
    <cfRule type="cellIs" dxfId="1127" priority="136" stopIfTrue="1" operator="lessThanOrEqual">
      <formula>0</formula>
    </cfRule>
  </conditionalFormatting>
  <conditionalFormatting sqref="C76:C80">
    <cfRule type="cellIs" dxfId="1126" priority="162" stopIfTrue="1" operator="lessThanOrEqual">
      <formula>0</formula>
    </cfRule>
  </conditionalFormatting>
  <conditionalFormatting sqref="C77:C80">
    <cfRule type="cellIs" dxfId="1125" priority="161" stopIfTrue="1" operator="greaterThan">
      <formula>$F$76</formula>
    </cfRule>
  </conditionalFormatting>
  <conditionalFormatting sqref="C82">
    <cfRule type="cellIs" dxfId="1124" priority="164" stopIfTrue="1" operator="lessThanOrEqual">
      <formula>0</formula>
    </cfRule>
    <cfRule type="cellIs" dxfId="1123" priority="163" stopIfTrue="1" operator="greaterThan">
      <formula>$F$76</formula>
    </cfRule>
  </conditionalFormatting>
  <conditionalFormatting sqref="C76:D76 D78:D84">
    <cfRule type="cellIs" dxfId="1122" priority="156" stopIfTrue="1" operator="greaterThan">
      <formula>4.5</formula>
    </cfRule>
  </conditionalFormatting>
  <conditionalFormatting sqref="D49:D50">
    <cfRule type="cellIs" dxfId="1121" priority="140" operator="notBetween">
      <formula>#REF!</formula>
      <formula>#REF!</formula>
    </cfRule>
  </conditionalFormatting>
  <conditionalFormatting sqref="D65:D72">
    <cfRule type="cellIs" dxfId="1120" priority="134" stopIfTrue="1" operator="lessThanOrEqual">
      <formula>0</formula>
    </cfRule>
  </conditionalFormatting>
  <conditionalFormatting sqref="D73">
    <cfRule type="cellIs" dxfId="1119" priority="133" stopIfTrue="1" operator="lessThanOrEqual">
      <formula>0</formula>
    </cfRule>
  </conditionalFormatting>
  <conditionalFormatting sqref="D76 D78:D84">
    <cfRule type="cellIs" dxfId="1118" priority="157" stopIfTrue="1" operator="lessThanOrEqual">
      <formula>0</formula>
    </cfRule>
  </conditionalFormatting>
  <conditionalFormatting sqref="D77">
    <cfRule type="cellIs" dxfId="1117" priority="149" stopIfTrue="1" operator="lessThanOrEqual">
      <formula>0</formula>
    </cfRule>
    <cfRule type="cellIs" dxfId="1116" priority="148" stopIfTrue="1" operator="greaterThan">
      <formula>$F$76</formula>
    </cfRule>
  </conditionalFormatting>
  <conditionalFormatting sqref="D65:E74">
    <cfRule type="cellIs" dxfId="1115" priority="117" stopIfTrue="1" operator="greaterThan">
      <formula>$F65</formula>
    </cfRule>
  </conditionalFormatting>
  <conditionalFormatting sqref="D74:E74">
    <cfRule type="cellIs" dxfId="1114" priority="118" stopIfTrue="1" operator="lessThanOrEqual">
      <formula>0</formula>
    </cfRule>
  </conditionalFormatting>
  <conditionalFormatting sqref="E10:E24">
    <cfRule type="cellIs" dxfId="1113" priority="44" operator="lessThan">
      <formula>48</formula>
    </cfRule>
  </conditionalFormatting>
  <conditionalFormatting sqref="E52 E53:F53">
    <cfRule type="cellIs" dxfId="1112" priority="153" stopIfTrue="1" operator="greaterThan">
      <formula>100</formula>
    </cfRule>
  </conditionalFormatting>
  <conditionalFormatting sqref="E53">
    <cfRule type="cellIs" dxfId="1111" priority="151" stopIfTrue="1" operator="greaterThan">
      <formula>100</formula>
    </cfRule>
    <cfRule type="cellIs" dxfId="1110" priority="150" stopIfTrue="1" operator="lessThan">
      <formula>96.8</formula>
    </cfRule>
  </conditionalFormatting>
  <conditionalFormatting sqref="E65:E73">
    <cfRule type="cellIs" dxfId="1109" priority="128" stopIfTrue="1" operator="lessThanOrEqual">
      <formula>0</formula>
    </cfRule>
  </conditionalFormatting>
  <conditionalFormatting sqref="E76:E84">
    <cfRule type="cellIs" dxfId="1108" priority="143" stopIfTrue="1" operator="lessThanOrEqual">
      <formula>0</formula>
    </cfRule>
    <cfRule type="cellIs" dxfId="1107" priority="142" stopIfTrue="1" operator="greaterThan">
      <formula>4.5</formula>
    </cfRule>
  </conditionalFormatting>
  <conditionalFormatting sqref="E53:F53 E52">
    <cfRule type="cellIs" dxfId="1106" priority="152" stopIfTrue="1" operator="lessThan">
      <formula>96.5</formula>
    </cfRule>
  </conditionalFormatting>
  <conditionalFormatting sqref="F10:F23">
    <cfRule type="cellIs" dxfId="1105" priority="56" operator="greaterThan">
      <formula>60</formula>
    </cfRule>
  </conditionalFormatting>
  <conditionalFormatting sqref="F53">
    <cfRule type="cellIs" dxfId="1104" priority="169" stopIfTrue="1" operator="greaterThan">
      <formula>100</formula>
    </cfRule>
    <cfRule type="cellIs" dxfId="1103" priority="168" stopIfTrue="1" operator="lessThan">
      <formula>96.8</formula>
    </cfRule>
  </conditionalFormatting>
  <conditionalFormatting sqref="F74">
    <cfRule type="cellIs" dxfId="1102" priority="129" stopIfTrue="1" operator="greaterThan">
      <formula>$F74</formula>
    </cfRule>
    <cfRule type="cellIs" dxfId="1101" priority="130" stopIfTrue="1" operator="lessThanOrEqual">
      <formula>0</formula>
    </cfRule>
  </conditionalFormatting>
  <conditionalFormatting sqref="F79">
    <cfRule type="cellIs" dxfId="1100" priority="89" stopIfTrue="1" operator="lessThanOrEqual">
      <formula>0</formula>
    </cfRule>
    <cfRule type="cellIs" dxfId="1099" priority="88" stopIfTrue="1" operator="greaterThan">
      <formula>$F79</formula>
    </cfRule>
  </conditionalFormatting>
  <conditionalFormatting sqref="G10:G22 G24">
    <cfRule type="expression" dxfId="1098" priority="53">
      <formula>IF(+(IF(G10&lt;S10,0,IF(G10&gt;T10,0,1)))=0,1)</formula>
    </cfRule>
  </conditionalFormatting>
  <conditionalFormatting sqref="G65:G67">
    <cfRule type="cellIs" dxfId="1097" priority="121" stopIfTrue="1" operator="greaterThan">
      <formula>$F65</formula>
    </cfRule>
    <cfRule type="cellIs" dxfId="1096" priority="122" stopIfTrue="1" operator="lessThanOrEqual">
      <formula>0</formula>
    </cfRule>
  </conditionalFormatting>
  <conditionalFormatting sqref="G65:G68">
    <cfRule type="cellIs" dxfId="1095" priority="131" stopIfTrue="1" operator="greaterThan">
      <formula>$F65</formula>
    </cfRule>
    <cfRule type="cellIs" dxfId="1094" priority="132" stopIfTrue="1" operator="lessThanOrEqual">
      <formula>0</formula>
    </cfRule>
  </conditionalFormatting>
  <conditionalFormatting sqref="G69:G73">
    <cfRule type="cellIs" dxfId="1093" priority="137" stopIfTrue="1" operator="greaterThan">
      <formula>$J69</formula>
    </cfRule>
    <cfRule type="cellIs" dxfId="1092" priority="138" stopIfTrue="1" operator="lessThanOrEqual">
      <formula>0</formula>
    </cfRule>
  </conditionalFormatting>
  <conditionalFormatting sqref="G78:G83 C81 C83">
    <cfRule type="cellIs" dxfId="1091" priority="165" stopIfTrue="1" operator="greaterThan">
      <formula>4.5</formula>
    </cfRule>
    <cfRule type="cellIs" dxfId="1090" priority="166" stopIfTrue="1" operator="lessThanOrEqual">
      <formula>0</formula>
    </cfRule>
  </conditionalFormatting>
  <conditionalFormatting sqref="G77:H77">
    <cfRule type="cellIs" dxfId="1089" priority="147" stopIfTrue="1" operator="lessThanOrEqual">
      <formula>0</formula>
    </cfRule>
    <cfRule type="cellIs" dxfId="1088" priority="146" stopIfTrue="1" operator="greaterThan">
      <formula>$F$76</formula>
    </cfRule>
  </conditionalFormatting>
  <conditionalFormatting sqref="H10:H22 G23:H23">
    <cfRule type="expression" dxfId="1087" priority="57">
      <formula>IF(+(IF(G10&lt;#REF!,0,IF(G10&gt;#REF!,0,1)))=0,1)</formula>
    </cfRule>
  </conditionalFormatting>
  <conditionalFormatting sqref="H24">
    <cfRule type="expression" dxfId="1086" priority="54">
      <formula>IF(+(IF(H24&lt;#REF!,0,IF(H24&gt;#REF!,0,1)))=0,1)</formula>
    </cfRule>
  </conditionalFormatting>
  <conditionalFormatting sqref="H38:H52">
    <cfRule type="cellIs" dxfId="1085" priority="144" stopIfTrue="1" operator="greaterThan">
      <formula>0</formula>
    </cfRule>
  </conditionalFormatting>
  <conditionalFormatting sqref="H56">
    <cfRule type="cellIs" dxfId="1084" priority="27" stopIfTrue="1" operator="lessThanOrEqual">
      <formula>0</formula>
    </cfRule>
    <cfRule type="cellIs" dxfId="1083" priority="26" stopIfTrue="1" operator="greaterThan">
      <formula>$F$44</formula>
    </cfRule>
    <cfRule type="cellIs" dxfId="1082" priority="25" stopIfTrue="1" operator="lessThanOrEqual">
      <formula>0</formula>
    </cfRule>
    <cfRule type="cellIs" dxfId="1081" priority="24" stopIfTrue="1" operator="greaterThan">
      <formula>$F$46</formula>
    </cfRule>
    <cfRule type="cellIs" dxfId="1080" priority="16" stopIfTrue="1" operator="greaterThan">
      <formula>$F$43</formula>
    </cfRule>
    <cfRule type="cellIs" dxfId="1079" priority="15" stopIfTrue="1" operator="lessThanOrEqual">
      <formula>0</formula>
    </cfRule>
  </conditionalFormatting>
  <conditionalFormatting sqref="H57">
    <cfRule type="cellIs" dxfId="1078" priority="75" stopIfTrue="1" operator="lessThanOrEqual">
      <formula>0</formula>
    </cfRule>
    <cfRule type="cellIs" dxfId="1077" priority="76" stopIfTrue="1" operator="greaterThan">
      <formula>#REF!</formula>
    </cfRule>
    <cfRule type="cellIs" dxfId="1076" priority="85" stopIfTrue="1" operator="lessThanOrEqual">
      <formula>0</formula>
    </cfRule>
    <cfRule type="cellIs" dxfId="1075" priority="86" stopIfTrue="1" operator="greaterThan">
      <formula>#REF!</formula>
    </cfRule>
    <cfRule type="cellIs" dxfId="1074" priority="87" stopIfTrue="1" operator="lessThanOrEqual">
      <formula>0</formula>
    </cfRule>
    <cfRule type="cellIs" dxfId="1073" priority="84" stopIfTrue="1" operator="greaterThan">
      <formula>$F$25</formula>
    </cfRule>
  </conditionalFormatting>
  <conditionalFormatting sqref="H58">
    <cfRule type="cellIs" dxfId="1072" priority="41" stopIfTrue="1" operator="greaterThan">
      <formula>#REF!</formula>
    </cfRule>
    <cfRule type="cellIs" dxfId="1071" priority="31" stopIfTrue="1" operator="greaterThan">
      <formula>#REF!</formula>
    </cfRule>
    <cfRule type="cellIs" dxfId="1070" priority="30" stopIfTrue="1" operator="lessThanOrEqual">
      <formula>0</formula>
    </cfRule>
  </conditionalFormatting>
  <conditionalFormatting sqref="H58:H60">
    <cfRule type="cellIs" dxfId="1069" priority="42" stopIfTrue="1" operator="lessThanOrEqual">
      <formula>0</formula>
    </cfRule>
  </conditionalFormatting>
  <conditionalFormatting sqref="H59:H60">
    <cfRule type="cellIs" dxfId="1068" priority="73" stopIfTrue="1" operator="lessThanOrEqual">
      <formula>0</formula>
    </cfRule>
    <cfRule type="cellIs" dxfId="1067" priority="62" stopIfTrue="1" operator="greaterThan">
      <formula>#REF!</formula>
    </cfRule>
    <cfRule type="cellIs" dxfId="1066" priority="70" stopIfTrue="1" operator="greaterThan">
      <formula>$F$24</formula>
    </cfRule>
    <cfRule type="cellIs" dxfId="1065" priority="71" stopIfTrue="1" operator="lessThanOrEqual">
      <formula>0</formula>
    </cfRule>
    <cfRule type="cellIs" dxfId="1064" priority="72" stopIfTrue="1" operator="greaterThan">
      <formula>#REF!</formula>
    </cfRule>
  </conditionalFormatting>
  <conditionalFormatting sqref="H61">
    <cfRule type="cellIs" dxfId="1063" priority="101" stopIfTrue="1" operator="greaterThan">
      <formula>$F$40</formula>
    </cfRule>
    <cfRule type="cellIs" dxfId="1062" priority="92" stopIfTrue="1" operator="lessThanOrEqual">
      <formula>0</formula>
    </cfRule>
    <cfRule type="cellIs" dxfId="1061" priority="103" stopIfTrue="1" operator="greaterThan">
      <formula>$F$38</formula>
    </cfRule>
    <cfRule type="cellIs" dxfId="1060" priority="104" stopIfTrue="1" operator="lessThanOrEqual">
      <formula>0</formula>
    </cfRule>
    <cfRule type="cellIs" dxfId="1059" priority="93" stopIfTrue="1" operator="greaterThan">
      <formula>$F$37</formula>
    </cfRule>
    <cfRule type="cellIs" dxfId="1058" priority="102" stopIfTrue="1" operator="lessThanOrEqual">
      <formula>0</formula>
    </cfRule>
  </conditionalFormatting>
  <conditionalFormatting sqref="H65:H72">
    <cfRule type="cellIs" dxfId="1057" priority="124" stopIfTrue="1" operator="lessThanOrEqual">
      <formula>0</formula>
    </cfRule>
    <cfRule type="cellIs" dxfId="1056" priority="123" stopIfTrue="1" operator="greaterThan">
      <formula>$J65</formula>
    </cfRule>
  </conditionalFormatting>
  <conditionalFormatting sqref="H73">
    <cfRule type="cellIs" dxfId="1055" priority="125" operator="greaterThan">
      <formula>5.3</formula>
    </cfRule>
  </conditionalFormatting>
  <conditionalFormatting sqref="H76 H78:H84">
    <cfRule type="cellIs" dxfId="1054" priority="158" stopIfTrue="1" operator="greaterThan">
      <formula>4.5</formula>
    </cfRule>
    <cfRule type="cellIs" dxfId="1053" priority="159" stopIfTrue="1" operator="lessThanOrEqual">
      <formula>0</formula>
    </cfRule>
  </conditionalFormatting>
  <conditionalFormatting sqref="H56:I56">
    <cfRule type="cellIs" dxfId="1052" priority="17" stopIfTrue="1" operator="lessThanOrEqual">
      <formula>0</formula>
    </cfRule>
    <cfRule type="cellIs" dxfId="1051" priority="14" stopIfTrue="1" operator="greaterThan">
      <formula>$F$45</formula>
    </cfRule>
  </conditionalFormatting>
  <conditionalFormatting sqref="H57:I57">
    <cfRule type="cellIs" dxfId="1050" priority="74" stopIfTrue="1" operator="greaterThan">
      <formula>$F$24</formula>
    </cfRule>
    <cfRule type="cellIs" dxfId="1049" priority="77" stopIfTrue="1" operator="lessThanOrEqual">
      <formula>0</formula>
    </cfRule>
  </conditionalFormatting>
  <conditionalFormatting sqref="H58:I58">
    <cfRule type="cellIs" dxfId="1048" priority="32" stopIfTrue="1" operator="lessThanOrEqual">
      <formula>0</formula>
    </cfRule>
    <cfRule type="cellIs" dxfId="1047" priority="29" stopIfTrue="1" operator="greaterThan">
      <formula>#REF!</formula>
    </cfRule>
    <cfRule type="cellIs" dxfId="1046" priority="38" stopIfTrue="1" operator="lessThanOrEqual">
      <formula>0</formula>
    </cfRule>
  </conditionalFormatting>
  <conditionalFormatting sqref="H58:I60">
    <cfRule type="cellIs" dxfId="1045" priority="37" stopIfTrue="1" operator="greaterThan">
      <formula>#REF!</formula>
    </cfRule>
  </conditionalFormatting>
  <conditionalFormatting sqref="H59:I60">
    <cfRule type="cellIs" dxfId="1044" priority="63" stopIfTrue="1" operator="lessThanOrEqual">
      <formula>0</formula>
    </cfRule>
  </conditionalFormatting>
  <conditionalFormatting sqref="H61:I61">
    <cfRule type="cellIs" dxfId="1043" priority="94" stopIfTrue="1" operator="lessThanOrEqual">
      <formula>0</formula>
    </cfRule>
    <cfRule type="cellIs" dxfId="1042" priority="91" stopIfTrue="1" operator="greaterThan">
      <formula>$F$39</formula>
    </cfRule>
  </conditionalFormatting>
  <conditionalFormatting sqref="H74:I74">
    <cfRule type="cellIs" dxfId="1041" priority="115" stopIfTrue="1" operator="greaterThan">
      <formula>$J74</formula>
    </cfRule>
    <cfRule type="cellIs" dxfId="1040" priority="116" stopIfTrue="1" operator="lessThanOrEqual">
      <formula>0</formula>
    </cfRule>
  </conditionalFormatting>
  <conditionalFormatting sqref="I56">
    <cfRule type="cellIs" dxfId="1039" priority="21" stopIfTrue="1" operator="lessThanOrEqual">
      <formula>0</formula>
    </cfRule>
    <cfRule type="cellIs" dxfId="1038" priority="20" stopIfTrue="1" operator="greaterThan">
      <formula>$F$45</formula>
    </cfRule>
    <cfRule type="cellIs" dxfId="1037" priority="19" stopIfTrue="1" operator="lessThanOrEqual">
      <formula>0</formula>
    </cfRule>
    <cfRule type="cellIs" dxfId="1036" priority="18" stopIfTrue="1" operator="greaterThan">
      <formula>$F$43</formula>
    </cfRule>
    <cfRule type="cellIs" dxfId="1035" priority="23" stopIfTrue="1" operator="lessThanOrEqual">
      <formula>0</formula>
    </cfRule>
    <cfRule type="cellIs" dxfId="1034" priority="22" stopIfTrue="1" operator="greaterThan">
      <formula>$F$43</formula>
    </cfRule>
  </conditionalFormatting>
  <conditionalFormatting sqref="I57">
    <cfRule type="cellIs" dxfId="1033" priority="83" stopIfTrue="1" operator="lessThanOrEqual">
      <formula>0</formula>
    </cfRule>
    <cfRule type="cellIs" dxfId="1032" priority="82" stopIfTrue="1" operator="greaterThan">
      <formula>#REF!</formula>
    </cfRule>
    <cfRule type="cellIs" dxfId="1031" priority="81" stopIfTrue="1" operator="lessThanOrEqual">
      <formula>0</formula>
    </cfRule>
    <cfRule type="cellIs" dxfId="1030" priority="80" stopIfTrue="1" operator="greaterThan">
      <formula>$F$24</formula>
    </cfRule>
    <cfRule type="cellIs" dxfId="1029" priority="78" stopIfTrue="1" operator="greaterThan">
      <formula>#REF!</formula>
    </cfRule>
    <cfRule type="cellIs" dxfId="1028" priority="79" stopIfTrue="1" operator="lessThanOrEqual">
      <formula>0</formula>
    </cfRule>
  </conditionalFormatting>
  <conditionalFormatting sqref="I58">
    <cfRule type="cellIs" dxfId="1027" priority="36" stopIfTrue="1" operator="lessThanOrEqual">
      <formula>0</formula>
    </cfRule>
    <cfRule type="cellIs" dxfId="1026" priority="33" stopIfTrue="1" operator="greaterThan">
      <formula>#REF!</formula>
    </cfRule>
    <cfRule type="cellIs" dxfId="1025" priority="34" stopIfTrue="1" operator="lessThanOrEqual">
      <formula>0</formula>
    </cfRule>
    <cfRule type="cellIs" dxfId="1024" priority="35" stopIfTrue="1" operator="greaterThan">
      <formula>#REF!</formula>
    </cfRule>
  </conditionalFormatting>
  <conditionalFormatting sqref="I59:I60">
    <cfRule type="cellIs" dxfId="1023" priority="64" stopIfTrue="1" operator="greaterThan">
      <formula>#REF!</formula>
    </cfRule>
    <cfRule type="cellIs" dxfId="1022" priority="65" stopIfTrue="1" operator="lessThanOrEqual">
      <formula>0</formula>
    </cfRule>
    <cfRule type="cellIs" dxfId="1021" priority="66" stopIfTrue="1" operator="greaterThan">
      <formula>#REF!</formula>
    </cfRule>
    <cfRule type="cellIs" dxfId="1020" priority="67" stopIfTrue="1" operator="lessThanOrEqual">
      <formula>0</formula>
    </cfRule>
    <cfRule type="cellIs" dxfId="1019" priority="68" stopIfTrue="1" operator="greaterThan">
      <formula>#REF!</formula>
    </cfRule>
    <cfRule type="cellIs" dxfId="1018" priority="69" stopIfTrue="1" operator="lessThanOrEqual">
      <formula>0</formula>
    </cfRule>
  </conditionalFormatting>
  <conditionalFormatting sqref="I61">
    <cfRule type="cellIs" dxfId="1017" priority="99" stopIfTrue="1" operator="greaterThan">
      <formula>$F$37</formula>
    </cfRule>
    <cfRule type="cellIs" dxfId="1016" priority="98" stopIfTrue="1" operator="lessThanOrEqual">
      <formula>0</formula>
    </cfRule>
    <cfRule type="cellIs" dxfId="1015" priority="97" stopIfTrue="1" operator="greaterThan">
      <formula>$F$39</formula>
    </cfRule>
    <cfRule type="cellIs" dxfId="1014" priority="100" stopIfTrue="1" operator="lessThanOrEqual">
      <formula>0</formula>
    </cfRule>
    <cfRule type="cellIs" dxfId="1013" priority="96" stopIfTrue="1" operator="lessThanOrEqual">
      <formula>0</formula>
    </cfRule>
    <cfRule type="cellIs" dxfId="1012" priority="95" stopIfTrue="1" operator="greaterThan">
      <formula>$F$37</formula>
    </cfRule>
  </conditionalFormatting>
  <conditionalFormatting sqref="I65:I73">
    <cfRule type="cellIs" dxfId="1011" priority="127" stopIfTrue="1" operator="lessThanOrEqual">
      <formula>0</formula>
    </cfRule>
    <cfRule type="cellIs" dxfId="1010" priority="126" stopIfTrue="1" operator="greaterThan">
      <formula>$J65</formula>
    </cfRule>
  </conditionalFormatting>
  <conditionalFormatting sqref="I76:I84">
    <cfRule type="cellIs" dxfId="1009" priority="154" stopIfTrue="1" operator="greaterThan">
      <formula>4.5</formula>
    </cfRule>
    <cfRule type="cellIs" dxfId="1008" priority="155" stopIfTrue="1" operator="lessThanOrEqual">
      <formula>0</formula>
    </cfRule>
  </conditionalFormatting>
  <conditionalFormatting sqref="I10:J24">
    <cfRule type="cellIs" dxfId="1007" priority="45" operator="lessThan">
      <formula>97.9</formula>
    </cfRule>
  </conditionalFormatting>
  <conditionalFormatting sqref="J27:J33">
    <cfRule type="cellIs" dxfId="1006" priority="105" operator="lessThan">
      <formula>97.4</formula>
    </cfRule>
  </conditionalFormatting>
  <conditionalFormatting sqref="J27:J35">
    <cfRule type="cellIs" dxfId="1005" priority="106" stopIfTrue="1" operator="lessThan">
      <formula>96.8</formula>
    </cfRule>
    <cfRule type="cellIs" dxfId="1004" priority="107" stopIfTrue="1" operator="greaterThan">
      <formula>100</formula>
    </cfRule>
  </conditionalFormatting>
  <conditionalFormatting sqref="J27:J36">
    <cfRule type="cellIs" dxfId="1003" priority="108" operator="lessThan">
      <formula>98</formula>
    </cfRule>
  </conditionalFormatting>
  <conditionalFormatting sqref="J74">
    <cfRule type="cellIs" dxfId="1002" priority="112" stopIfTrue="1" operator="greaterThan">
      <formula>$F74</formula>
    </cfRule>
    <cfRule type="cellIs" dxfId="1001" priority="113" stopIfTrue="1" operator="lessThanOrEqual">
      <formula>0</formula>
    </cfRule>
  </conditionalFormatting>
  <conditionalFormatting sqref="K10:K24">
    <cfRule type="cellIs" dxfId="1000" priority="48" operator="greaterThan">
      <formula>6</formula>
    </cfRule>
    <cfRule type="cellIs" dxfId="999" priority="49" operator="lessThan">
      <formula>4</formula>
    </cfRule>
    <cfRule type="cellIs" dxfId="998" priority="50" operator="greaterThan">
      <formula>6.4</formula>
    </cfRule>
  </conditionalFormatting>
  <conditionalFormatting sqref="K56:K61">
    <cfRule type="cellIs" dxfId="997" priority="28" stopIfTrue="1" operator="lessThan">
      <formula>100%</formula>
    </cfRule>
  </conditionalFormatting>
  <conditionalFormatting sqref="K76:K81">
    <cfRule type="cellIs" dxfId="996" priority="160" stopIfTrue="1" operator="lessThan">
      <formula>100%</formula>
    </cfRule>
  </conditionalFormatting>
  <conditionalFormatting sqref="K83:K84">
    <cfRule type="cellIs" dxfId="995" priority="167" stopIfTrue="1" operator="lessThan">
      <formula>100%</formula>
    </cfRule>
  </conditionalFormatting>
  <conditionalFormatting sqref="K65:N71 K72 M72:N72 K73:N73">
    <cfRule type="cellIs" dxfId="994" priority="90" stopIfTrue="1" operator="lessThan">
      <formula>100%</formula>
    </cfRule>
  </conditionalFormatting>
  <conditionalFormatting sqref="L10:L24">
    <cfRule type="cellIs" dxfId="993" priority="46" operator="between">
      <formula>61</formula>
      <formula>65</formula>
    </cfRule>
    <cfRule type="cellIs" dxfId="992" priority="47" operator="greaterThan">
      <formula>65</formula>
    </cfRule>
  </conditionalFormatting>
  <conditionalFormatting sqref="L27:M38">
    <cfRule type="cellIs" dxfId="991" priority="12" operator="lessThan">
      <formula>98</formula>
    </cfRule>
  </conditionalFormatting>
  <conditionalFormatting sqref="L42:N42">
    <cfRule type="cellIs" dxfId="990" priority="43" operator="notEqual">
      <formula>#REF!</formula>
    </cfRule>
  </conditionalFormatting>
  <conditionalFormatting sqref="L74:N74">
    <cfRule type="cellIs" dxfId="989" priority="114" stopIfTrue="1" operator="lessThan">
      <formula>100%</formula>
    </cfRule>
  </conditionalFormatting>
  <conditionalFormatting sqref="L76:N84">
    <cfRule type="cellIs" dxfId="988" priority="145" stopIfTrue="1" operator="lessThan">
      <formula>100%</formula>
    </cfRule>
  </conditionalFormatting>
  <conditionalFormatting sqref="M10:M22 M24">
    <cfRule type="expression" dxfId="987" priority="52">
      <formula>IF(+(IF(M10&lt;U10,0,IF(M10&gt;V10,0,1)))=0,1)</formula>
    </cfRule>
  </conditionalFormatting>
  <conditionalFormatting sqref="M23:N23">
    <cfRule type="expression" dxfId="986" priority="173">
      <formula>IF(+(IF(M23&lt;#REF!,0,IF(M23&gt;#REF!,0,1)))=0,1)</formula>
    </cfRule>
  </conditionalFormatting>
  <conditionalFormatting sqref="N10:N22 N24">
    <cfRule type="expression" dxfId="985" priority="51">
      <formula>IF(+(IF(N10&lt;W10,0,IF(N10&gt;X10,0,1)))=0,1)</formula>
    </cfRule>
  </conditionalFormatting>
  <conditionalFormatting sqref="P6">
    <cfRule type="cellIs" dxfId="984" priority="141" operator="greaterThanOrEqual">
      <formula>19</formula>
    </cfRule>
  </conditionalFormatting>
  <dataValidations count="1">
    <dataValidation type="list" allowBlank="1" showInputMessage="1" showErrorMessage="1" sqref="R8" xr:uid="{D32F7825-D848-426B-9CFF-A7DED6E207FE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8" max="16383" man="1"/>
  </rowBreaks>
  <colBreaks count="1" manualBreakCount="1">
    <brk id="15" max="89" man="1"/>
  </colBreak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71D0C-944F-4A9E-A6C1-34551CF4955A}">
  <sheetPr>
    <pageSetUpPr fitToPage="1"/>
  </sheetPr>
  <dimension ref="A1:BE85"/>
  <sheetViews>
    <sheetView topLeftCell="D40" zoomScaleNormal="100" workbookViewId="0">
      <selection activeCell="K35" sqref="K35:M42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67.425781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25" t="s">
        <v>0</v>
      </c>
      <c r="T1" s="525"/>
      <c r="U1" s="525" t="s">
        <v>1</v>
      </c>
      <c r="V1" s="525"/>
      <c r="W1" s="525" t="s">
        <v>2</v>
      </c>
      <c r="X1" s="525"/>
      <c r="Y1" s="525" t="s">
        <v>124</v>
      </c>
      <c r="Z1" s="525"/>
    </row>
    <row r="2" spans="2:29" ht="15">
      <c r="B2" s="526" t="s">
        <v>3</v>
      </c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45924</v>
      </c>
      <c r="J4" s="398" t="s">
        <v>168</v>
      </c>
      <c r="K4" s="398"/>
      <c r="L4" s="11"/>
      <c r="M4" s="547" t="s">
        <v>8</v>
      </c>
      <c r="N4" s="548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44"/>
      <c r="D5" s="544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167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84" t="s">
        <v>17</v>
      </c>
      <c r="C8" s="494" t="s">
        <v>18</v>
      </c>
      <c r="D8" s="494" t="s">
        <v>19</v>
      </c>
      <c r="E8" s="356" t="s">
        <v>20</v>
      </c>
      <c r="F8" s="356" t="s">
        <v>21</v>
      </c>
      <c r="G8" s="494" t="s">
        <v>22</v>
      </c>
      <c r="H8" s="535" t="s">
        <v>144</v>
      </c>
      <c r="I8" s="494" t="s">
        <v>166</v>
      </c>
      <c r="J8" s="537" t="s">
        <v>23</v>
      </c>
      <c r="K8" s="539" t="s">
        <v>142</v>
      </c>
      <c r="L8" s="541" t="s">
        <v>24</v>
      </c>
      <c r="M8" s="359" t="s">
        <v>25</v>
      </c>
      <c r="N8" s="17" t="s">
        <v>26</v>
      </c>
      <c r="O8" s="494" t="s">
        <v>155</v>
      </c>
      <c r="P8" s="56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33"/>
      <c r="C9" s="534"/>
      <c r="D9" s="534"/>
      <c r="E9" s="357" t="s">
        <v>30</v>
      </c>
      <c r="F9" s="357" t="s">
        <v>31</v>
      </c>
      <c r="G9" s="534"/>
      <c r="H9" s="536"/>
      <c r="I9" s="534"/>
      <c r="J9" s="538"/>
      <c r="K9" s="540"/>
      <c r="L9" s="542"/>
      <c r="M9" s="20" t="s">
        <v>32</v>
      </c>
      <c r="N9" s="21" t="s">
        <v>41</v>
      </c>
      <c r="O9" s="534"/>
      <c r="P9" s="561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29" t="s">
        <v>6</v>
      </c>
      <c r="C10" s="366" t="str">
        <f>[22]Brewhouse!$A807</f>
        <v>CA698</v>
      </c>
      <c r="D10" s="279">
        <f>[22]Brewhouse!$AF807</f>
        <v>51.9</v>
      </c>
      <c r="E10" s="279">
        <f>[22]Brewhouse!$AI807</f>
        <v>49.9</v>
      </c>
      <c r="F10" s="278">
        <f>[22]Brewhouse!$V807</f>
        <v>60</v>
      </c>
      <c r="G10" s="279">
        <f>[22]Brewhouse!AG807</f>
        <v>11.9</v>
      </c>
      <c r="H10" s="396"/>
      <c r="I10" s="368">
        <f>[22]Brewhouse!$AU807</f>
        <v>96.703731384428565</v>
      </c>
      <c r="J10" s="368">
        <f>[22]Brewhouse!$AV807</f>
        <v>98.426989508016078</v>
      </c>
      <c r="K10" s="281">
        <f>[22]Brewhouse!$Q807</f>
        <v>3.4339622641509435</v>
      </c>
      <c r="L10" s="276">
        <f>[22]Brewhouse!$P807</f>
        <v>60</v>
      </c>
      <c r="M10" s="397">
        <f>[22]Brewhouse!$U807-[22]Brewhouse!$T807</f>
        <v>0.11458333333333331</v>
      </c>
      <c r="N10" s="370">
        <f>[22]Brewhouse!$Z807</f>
        <v>0.24652777777777779</v>
      </c>
      <c r="O10" s="421" t="str">
        <f>[22]Brewhouse!$AX807</f>
        <v>K.Benjamin</v>
      </c>
      <c r="P10" s="418"/>
      <c r="R10" s="277" t="str">
        <f t="shared" ref="R10:R30" si="0">B10</f>
        <v>CARIB</v>
      </c>
      <c r="S10" s="296">
        <f t="shared" ref="S10:S30" si="1">VLOOKUP($B10,$R$3:$X$9,2,FALSE)</f>
        <v>11.6</v>
      </c>
      <c r="T10" s="296">
        <f t="shared" ref="T10:T30" si="2">VLOOKUP($B10,$R$3:$X$9,3,FALSE)</f>
        <v>12</v>
      </c>
      <c r="U10" s="297">
        <f t="shared" ref="U10:U30" si="3">VLOOKUP($B10,$R$3:$X$9,4,FALSE)</f>
        <v>0</v>
      </c>
      <c r="V10" s="297">
        <f t="shared" ref="V10:V30" si="4">VLOOKUP($B10,$R$3:$X$9,5,FALSE)</f>
        <v>0.118055555555556</v>
      </c>
      <c r="W10" s="297">
        <f t="shared" ref="W10:W30" si="5">VLOOKUP($B10,$R$3:$X$9,6,FALSE)</f>
        <v>0.22569444444444445</v>
      </c>
      <c r="X10" s="297">
        <f t="shared" ref="X10:X30" si="6">VLOOKUP($B10,$R$3:$X$9,7,FALSE)</f>
        <v>0.2638888888888889</v>
      </c>
      <c r="Y10" s="297">
        <f t="shared" ref="Y10:Y30" si="7">VLOOKUP($B10,$R$3:$Z$9,8,FALSE)</f>
        <v>0</v>
      </c>
      <c r="Z10" s="296">
        <f t="shared" ref="Z10:Z30" si="8">VLOOKUP($B10,$R$3:$Z$9,9,FALSE)</f>
        <v>60</v>
      </c>
    </row>
    <row r="11" spans="2:29" ht="15.75" customHeight="1">
      <c r="B11" s="29" t="s">
        <v>6</v>
      </c>
      <c r="C11" s="366" t="str">
        <f>[22]Brewhouse!$A808</f>
        <v>CA699</v>
      </c>
      <c r="D11" s="279">
        <f>[22]Brewhouse!$AF808</f>
        <v>51.7</v>
      </c>
      <c r="E11" s="279">
        <f>[22]Brewhouse!$AI808</f>
        <v>49.8</v>
      </c>
      <c r="F11" s="278">
        <f>[22]Brewhouse!$V808</f>
        <v>58</v>
      </c>
      <c r="G11" s="279">
        <f>[22]Brewhouse!AG808</f>
        <v>11.6</v>
      </c>
      <c r="H11" s="396"/>
      <c r="I11" s="368">
        <f>[22]Brewhouse!$AU808</f>
        <v>97.877259607909451</v>
      </c>
      <c r="J11" s="368">
        <f>[22]Brewhouse!$AV808</f>
        <v>99.693181209451993</v>
      </c>
      <c r="K11" s="281">
        <f>[22]Brewhouse!$Q808</f>
        <v>3.992467043314496</v>
      </c>
      <c r="L11" s="276">
        <f>[22]Brewhouse!$P808</f>
        <v>60</v>
      </c>
      <c r="M11" s="397">
        <f>[22]Brewhouse!$U808-[22]Brewhouse!$T808</f>
        <v>0.10486111111111107</v>
      </c>
      <c r="N11" s="370">
        <f>[22]Brewhouse!$Z808</f>
        <v>0.26944444444444443</v>
      </c>
      <c r="O11" s="421" t="str">
        <f>[22]Brewhouse!$AX808</f>
        <v>R. Regis</v>
      </c>
      <c r="P11" s="418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29" t="s">
        <v>6</v>
      </c>
      <c r="C12" s="366" t="str">
        <f>[22]Brewhouse!$A809</f>
        <v>CA700</v>
      </c>
      <c r="D12" s="279">
        <f>[22]Brewhouse!$AF809</f>
        <v>50.6</v>
      </c>
      <c r="E12" s="279">
        <f>[22]Brewhouse!$AI809</f>
        <v>49.9</v>
      </c>
      <c r="F12" s="278">
        <f>[22]Brewhouse!$V809</f>
        <v>57</v>
      </c>
      <c r="G12" s="279">
        <f>[22]Brewhouse!AG809</f>
        <v>11.8</v>
      </c>
      <c r="H12" s="396"/>
      <c r="I12" s="368">
        <f>[22]Brewhouse!$AU809</f>
        <v>96.875351812990857</v>
      </c>
      <c r="J12" s="368">
        <f>[22]Brewhouse!$AV809</f>
        <v>98.675137971420455</v>
      </c>
      <c r="K12" s="281">
        <f>[22]Brewhouse!$Q809</f>
        <v>6.0640301318267396</v>
      </c>
      <c r="L12" s="276">
        <f>[22]Brewhouse!$P809</f>
        <v>61</v>
      </c>
      <c r="M12" s="397">
        <f>[22]Brewhouse!$U809-[22]Brewhouse!$T809</f>
        <v>0.11180555555555549</v>
      </c>
      <c r="N12" s="370">
        <f>[22]Brewhouse!$Z809</f>
        <v>0.24999999999999994</v>
      </c>
      <c r="O12" s="421" t="str">
        <f>[22]Brewhouse!$AX809</f>
        <v>R. Regis</v>
      </c>
      <c r="P12" s="418"/>
      <c r="R12" s="277" t="str">
        <f t="shared" si="0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29" t="s">
        <v>6</v>
      </c>
      <c r="C13" s="366" t="str">
        <f>[22]Brewhouse!$A810</f>
        <v>CA701</v>
      </c>
      <c r="D13" s="279">
        <f>[22]Brewhouse!$AF810</f>
        <v>52.4</v>
      </c>
      <c r="E13" s="279">
        <f>[22]Brewhouse!$AI810</f>
        <v>50.6</v>
      </c>
      <c r="F13" s="278">
        <f>[22]Brewhouse!$V810</f>
        <v>61</v>
      </c>
      <c r="G13" s="279">
        <f>[22]Brewhouse!AG810</f>
        <v>11.6</v>
      </c>
      <c r="H13" s="396"/>
      <c r="I13" s="368">
        <f>[22]Brewhouse!$AU810</f>
        <v>96.29000410379318</v>
      </c>
      <c r="J13" s="368">
        <f>[22]Brewhouse!$AV810</f>
        <v>98.004568483873939</v>
      </c>
      <c r="K13" s="281">
        <f>[22]Brewhouse!$Q810</f>
        <v>7.5491949910554537</v>
      </c>
      <c r="L13" s="276">
        <f>[22]Brewhouse!$P810</f>
        <v>60</v>
      </c>
      <c r="M13" s="397">
        <f>[22]Brewhouse!$U810-[22]Brewhouse!$T810</f>
        <v>0.10833333333333328</v>
      </c>
      <c r="N13" s="370">
        <f>[22]Brewhouse!$Z810</f>
        <v>0.28194444444444444</v>
      </c>
      <c r="O13" s="421" t="str">
        <f>[22]Brewhouse!$AX810</f>
        <v>R. Regis</v>
      </c>
      <c r="P13" s="418"/>
      <c r="R13" s="277" t="str">
        <f t="shared" si="0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29" t="s">
        <v>6</v>
      </c>
      <c r="C14" s="366" t="str">
        <f>[22]Brewhouse!$A811</f>
        <v>CA702</v>
      </c>
      <c r="D14" s="279">
        <f>[22]Brewhouse!$AF811</f>
        <v>53.4</v>
      </c>
      <c r="E14" s="279">
        <f>[22]Brewhouse!$AI811</f>
        <v>52.1</v>
      </c>
      <c r="F14" s="278">
        <f>[22]Brewhouse!$V811</f>
        <v>63</v>
      </c>
      <c r="G14" s="279">
        <f>[22]Brewhouse!AG811</f>
        <v>11.5</v>
      </c>
      <c r="H14" s="396"/>
      <c r="I14" s="368">
        <f>[22]Brewhouse!$AU811</f>
        <v>98.319318070920374</v>
      </c>
      <c r="J14" s="368">
        <f>[22]Brewhouse!$AV811</f>
        <v>100.14603128435891</v>
      </c>
      <c r="K14" s="281">
        <f>[22]Brewhouse!$Q811</f>
        <v>6.5107913669064699</v>
      </c>
      <c r="L14" s="276">
        <f>[22]Brewhouse!$P811</f>
        <v>59</v>
      </c>
      <c r="M14" s="397">
        <f>[22]Brewhouse!$U811-[22]Brewhouse!$T811</f>
        <v>0.11041666666666661</v>
      </c>
      <c r="N14" s="370">
        <f>[22]Brewhouse!$Z811</f>
        <v>0.31944444444444442</v>
      </c>
      <c r="O14" s="421" t="str">
        <f>[22]Brewhouse!$AX811</f>
        <v>R.Sookram</v>
      </c>
      <c r="P14" s="418"/>
      <c r="R14" s="277" t="str">
        <f t="shared" si="0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29" t="s">
        <v>6</v>
      </c>
      <c r="C15" s="366" t="str">
        <f>[22]Brewhouse!$A812</f>
        <v>CA703</v>
      </c>
      <c r="D15" s="279">
        <f>[22]Brewhouse!$AF812</f>
        <v>53.1</v>
      </c>
      <c r="E15" s="279">
        <f>[22]Brewhouse!$AI812</f>
        <v>51.2</v>
      </c>
      <c r="F15" s="278">
        <f>[22]Brewhouse!$V812</f>
        <v>66</v>
      </c>
      <c r="G15" s="279">
        <f>[22]Brewhouse!AG812</f>
        <v>11.8</v>
      </c>
      <c r="H15" s="396"/>
      <c r="I15" s="368">
        <f>[22]Brewhouse!$AU812</f>
        <v>99.152679830501285</v>
      </c>
      <c r="J15" s="368">
        <f>[22]Brewhouse!$AV812</f>
        <v>100.99497751526675</v>
      </c>
      <c r="K15" s="281">
        <f>[22]Brewhouse!$Q812</f>
        <v>5.1086956521739131</v>
      </c>
      <c r="L15" s="276">
        <f>[22]Brewhouse!$P812</f>
        <v>57</v>
      </c>
      <c r="M15" s="397">
        <f>[22]Brewhouse!$U812-[22]Brewhouse!$T812</f>
        <v>0.10833333333333339</v>
      </c>
      <c r="N15" s="370">
        <f>[22]Brewhouse!$Z812</f>
        <v>0.26319444444444451</v>
      </c>
      <c r="O15" s="421" t="str">
        <f>[22]Brewhouse!$AX812</f>
        <v>R.Sookram</v>
      </c>
      <c r="P15" s="418"/>
      <c r="R15" s="277" t="str">
        <f t="shared" si="0"/>
        <v>CARIB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29" t="s">
        <v>6</v>
      </c>
      <c r="C16" s="366" t="str">
        <f>[22]Brewhouse!$A813</f>
        <v>CA704</v>
      </c>
      <c r="D16" s="279">
        <f>[22]Brewhouse!$AF813</f>
        <v>53.3</v>
      </c>
      <c r="E16" s="279">
        <f>[22]Brewhouse!$AI813</f>
        <v>51.3</v>
      </c>
      <c r="F16" s="278">
        <f>[22]Brewhouse!$V813</f>
        <v>59</v>
      </c>
      <c r="G16" s="279">
        <f>[22]Brewhouse!AG813</f>
        <v>11.8</v>
      </c>
      <c r="H16" s="396"/>
      <c r="I16" s="368">
        <f>[22]Brewhouse!$AU813</f>
        <v>99.469664195786237</v>
      </c>
      <c r="J16" s="368">
        <f>[22]Brewhouse!$AV813</f>
        <v>101.31775014153772</v>
      </c>
      <c r="K16" s="281">
        <f>[22]Brewhouse!$Q813</f>
        <v>5.0902527075812287</v>
      </c>
      <c r="L16" s="276">
        <f>[22]Brewhouse!$P813</f>
        <v>63</v>
      </c>
      <c r="M16" s="397">
        <f>[22]Brewhouse!$U813-[22]Brewhouse!$T813</f>
        <v>0.10833333333333328</v>
      </c>
      <c r="N16" s="370">
        <f>[22]Brewhouse!$Z813</f>
        <v>0.24861111111111101</v>
      </c>
      <c r="O16" s="421" t="str">
        <f>[22]Brewhouse!$AX813</f>
        <v>K.Benjamin</v>
      </c>
      <c r="P16" s="418"/>
      <c r="R16" s="277" t="str">
        <f t="shared" si="0"/>
        <v>CARIB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2:26" ht="15.75" customHeight="1">
      <c r="B17" s="29" t="s">
        <v>6</v>
      </c>
      <c r="C17" s="366" t="str">
        <f>[22]Brewhouse!$A814</f>
        <v>CA705</v>
      </c>
      <c r="D17" s="279">
        <f>[22]Brewhouse!$AF814</f>
        <v>52.2</v>
      </c>
      <c r="E17" s="279">
        <f>[22]Brewhouse!$AI814</f>
        <v>49.4</v>
      </c>
      <c r="F17" s="278">
        <f>[22]Brewhouse!$V814</f>
        <v>52</v>
      </c>
      <c r="G17" s="279">
        <f>[22]Brewhouse!AG814</f>
        <v>11.7</v>
      </c>
      <c r="H17" s="396"/>
      <c r="I17" s="368">
        <f>[22]Brewhouse!$AU814</f>
        <v>93.927549168198638</v>
      </c>
      <c r="J17" s="368">
        <f>[22]Brewhouse!$AV814</f>
        <v>95.601518089356304</v>
      </c>
      <c r="K17" s="281">
        <f>[22]Brewhouse!$Q814</f>
        <v>7.2432432432432359</v>
      </c>
      <c r="L17" s="276">
        <f>[22]Brewhouse!$P814</f>
        <v>58</v>
      </c>
      <c r="M17" s="397">
        <f>[22]Brewhouse!$U814-[22]Brewhouse!$T814</f>
        <v>0.11458333333333326</v>
      </c>
      <c r="N17" s="370">
        <f>[22]Brewhouse!$Z814</f>
        <v>0.24583333333333335</v>
      </c>
      <c r="O17" s="421" t="str">
        <f>[22]Brewhouse!$AX814</f>
        <v>K.Benjamin</v>
      </c>
      <c r="P17" s="418"/>
      <c r="R17" s="277" t="str">
        <f t="shared" si="0"/>
        <v>CARIB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2:26" ht="15.75" customHeight="1">
      <c r="B18" s="29" t="s">
        <v>6</v>
      </c>
      <c r="C18" s="366" t="str">
        <f>[22]Brewhouse!$A815</f>
        <v>CA706</v>
      </c>
      <c r="D18" s="279">
        <f>[22]Brewhouse!$AF815</f>
        <v>52.7</v>
      </c>
      <c r="E18" s="279">
        <f>[22]Brewhouse!$AI815</f>
        <v>50.7</v>
      </c>
      <c r="F18" s="278">
        <f>[22]Brewhouse!$V815</f>
        <v>59</v>
      </c>
      <c r="G18" s="279">
        <f>[22]Brewhouse!AG815</f>
        <v>11.7</v>
      </c>
      <c r="H18" s="396"/>
      <c r="I18" s="368">
        <f>[22]Brewhouse!$AU815</f>
        <v>96.517874924081369</v>
      </c>
      <c r="J18" s="368">
        <f>[22]Brewhouse!$AV815</f>
        <v>98.237821090099814</v>
      </c>
      <c r="K18" s="281">
        <f>[22]Brewhouse!$Q815</f>
        <v>4.623853211009167</v>
      </c>
      <c r="L18" s="276">
        <f>[22]Brewhouse!$P815</f>
        <v>64</v>
      </c>
      <c r="M18" s="397">
        <f>[22]Brewhouse!$U815-[22]Brewhouse!$T815</f>
        <v>0.11388888888888893</v>
      </c>
      <c r="N18" s="370">
        <f>[22]Brewhouse!$Z815</f>
        <v>0.24861111111111112</v>
      </c>
      <c r="O18" s="421" t="str">
        <f>[22]Brewhouse!$AX815</f>
        <v>K.Benjamin</v>
      </c>
      <c r="P18" s="418"/>
      <c r="R18" s="277" t="str">
        <f t="shared" si="0"/>
        <v>CARIB</v>
      </c>
      <c r="S18" s="296">
        <f t="shared" si="1"/>
        <v>11.6</v>
      </c>
      <c r="T18" s="296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296">
        <f t="shared" si="8"/>
        <v>60</v>
      </c>
    </row>
    <row r="19" spans="2:26" ht="15.7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1"/>
      <c r="P19" s="418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2:26" ht="15.7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1"/>
      <c r="P20" s="418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2:26" ht="15.7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1"/>
      <c r="P21" s="418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2:26" ht="15.7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1"/>
      <c r="P22" s="418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2:26" ht="15.7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421"/>
      <c r="P23" s="418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2:26" ht="15.7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421"/>
      <c r="P24" s="418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2:26" ht="15.7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421"/>
      <c r="P25" s="418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2:26" ht="15.7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421"/>
      <c r="P26" s="418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2:26" ht="15.7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421"/>
      <c r="P27" s="418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2:26" ht="15.75" hidden="1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421"/>
      <c r="P28" s="418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2:26" ht="15.75" hidden="1" customHeight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0"/>
      <c r="O29" s="371"/>
      <c r="P29" s="418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2:26" ht="15.75" hidden="1" customHeight="1">
      <c r="B30" s="37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74"/>
      <c r="N30" s="370"/>
      <c r="O30" s="371"/>
      <c r="P30" s="418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15.75" customHeight="1" thickBot="1">
      <c r="B31" s="358"/>
      <c r="C31" s="358"/>
      <c r="D31" s="358"/>
      <c r="E31" s="358"/>
      <c r="F31" s="294"/>
      <c r="G31" s="294"/>
      <c r="H31" s="348"/>
      <c r="I31" s="514"/>
      <c r="J31" s="514"/>
      <c r="K31" s="514"/>
      <c r="L31" s="514"/>
      <c r="M31" s="514"/>
      <c r="N31" s="514"/>
      <c r="O31" s="1"/>
      <c r="P31" s="12"/>
      <c r="R31" s="277">
        <f t="shared" ref="R31:R52" si="9">B31</f>
        <v>0</v>
      </c>
      <c r="S31" s="296" t="e">
        <f t="shared" ref="S31:S52" si="10">VLOOKUP($B31,$R$3:$X$9,2,FALSE)</f>
        <v>#N/A</v>
      </c>
      <c r="T31" s="296" t="e">
        <f t="shared" ref="T31:T52" si="11">VLOOKUP($B31,$R$3:$X$9,3,FALSE)</f>
        <v>#N/A</v>
      </c>
      <c r="U31" s="297" t="e">
        <f t="shared" ref="U31:U52" si="12">VLOOKUP($B31,$R$3:$X$9,4,FALSE)</f>
        <v>#N/A</v>
      </c>
      <c r="V31" s="297" t="e">
        <f t="shared" ref="V31:V52" si="13">VLOOKUP($B31,$R$3:$X$9,5,FALSE)</f>
        <v>#N/A</v>
      </c>
      <c r="W31" s="297" t="e">
        <f t="shared" ref="W31:W52" si="14">VLOOKUP($B31,$R$3:$X$9,6,FALSE)</f>
        <v>#N/A</v>
      </c>
      <c r="X31" s="297" t="e">
        <f t="shared" ref="X31:X52" si="15">VLOOKUP($B31,$R$3:$X$9,7,FALSE)</f>
        <v>#N/A</v>
      </c>
      <c r="Y31" s="297" t="e">
        <f t="shared" ref="Y31:Y52" si="16">VLOOKUP($B31,$R$3:$Z$9,8,FALSE)</f>
        <v>#N/A</v>
      </c>
      <c r="Z31" s="296" t="e">
        <f t="shared" ref="Z31:Z52" si="17">VLOOKUP($B31,$R$3:$Z$9,9,FALSE)</f>
        <v>#N/A</v>
      </c>
    </row>
    <row r="32" spans="2:26" ht="15.75" thickBot="1">
      <c r="B32" s="388" t="s">
        <v>162</v>
      </c>
      <c r="C32" s="388"/>
      <c r="D32" s="527" t="s">
        <v>35</v>
      </c>
      <c r="E32" s="528"/>
      <c r="F32" s="294"/>
      <c r="G32" s="294"/>
      <c r="H32" s="348"/>
      <c r="I32" s="24" t="s">
        <v>17</v>
      </c>
      <c r="J32" s="25" t="s">
        <v>36</v>
      </c>
      <c r="K32" s="26" t="s">
        <v>138</v>
      </c>
      <c r="L32" s="25" t="s">
        <v>37</v>
      </c>
      <c r="M32" s="25" t="s">
        <v>38</v>
      </c>
      <c r="N32" s="27" t="s">
        <v>39</v>
      </c>
      <c r="O32" s="294"/>
      <c r="P32" s="12"/>
      <c r="R32" s="277" t="str">
        <f t="shared" si="9"/>
        <v xml:space="preserve">BRAND </v>
      </c>
      <c r="S32" s="296" t="e">
        <f t="shared" si="10"/>
        <v>#N/A</v>
      </c>
      <c r="T32" s="296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296" t="e">
        <f t="shared" si="17"/>
        <v>#N/A</v>
      </c>
    </row>
    <row r="33" spans="1:26" ht="15" customHeight="1">
      <c r="A33" s="28"/>
      <c r="B33" s="558" t="str">
        <f>I33</f>
        <v>CARIB</v>
      </c>
      <c r="C33" s="362"/>
      <c r="D33" s="518"/>
      <c r="E33" s="507"/>
      <c r="F33" s="294"/>
      <c r="G33" s="294"/>
      <c r="H33" s="348"/>
      <c r="I33" s="29" t="s">
        <v>6</v>
      </c>
      <c r="J33" s="280">
        <f>AVERAGE(I10:I18)</f>
        <v>97.237048122067776</v>
      </c>
      <c r="K33" s="284">
        <f>COUNTA([22]Brewhouse!$A$740:$A$815)</f>
        <v>76</v>
      </c>
      <c r="L33" s="305">
        <f>AVERAGE([22]Brewhouse!$AU$740:$AU$815)</f>
        <v>97.310577778371112</v>
      </c>
      <c r="M33" s="302">
        <f>AVERAGE([22]Brewhouse!$AU$102:$AU$171,[22]Brewhouse!$AU$173:$AU$253,[22]Brewhouse!$AU$255:$AU$339,[22]Brewhouse!$AU$341:$AU$346,[22]Brewhouse!$AU$348,[22]Brewhouse!$AU$349:$AU$406,[22]Brewhouse!$AU$408:$AU$491,[22]Brewhouse!$AU$493:$AU$578,[22]Brewhouse!$AU$580:$AU$652,[22]Brewhouse!$AU$655:$AU$815)</f>
        <v>97.663070253200345</v>
      </c>
      <c r="N33" s="30">
        <v>98</v>
      </c>
      <c r="O33" s="11"/>
      <c r="P33" s="31"/>
      <c r="R33" s="277" t="str">
        <f t="shared" si="9"/>
        <v>CARIB</v>
      </c>
      <c r="S33" s="296">
        <f t="shared" si="10"/>
        <v>11.6</v>
      </c>
      <c r="T33" s="296">
        <f t="shared" si="11"/>
        <v>12</v>
      </c>
      <c r="U33" s="297">
        <f t="shared" si="12"/>
        <v>0</v>
      </c>
      <c r="V33" s="297">
        <f t="shared" si="13"/>
        <v>0.118055555555556</v>
      </c>
      <c r="W33" s="297">
        <f t="shared" si="14"/>
        <v>0.22569444444444445</v>
      </c>
      <c r="X33" s="297">
        <f t="shared" si="15"/>
        <v>0.2638888888888889</v>
      </c>
      <c r="Y33" s="297">
        <f t="shared" si="16"/>
        <v>0</v>
      </c>
      <c r="Z33" s="296">
        <f t="shared" si="17"/>
        <v>60</v>
      </c>
    </row>
    <row r="34" spans="1:26" ht="15" customHeight="1">
      <c r="A34" s="28"/>
      <c r="B34" s="559"/>
      <c r="C34" s="362"/>
      <c r="D34" s="519"/>
      <c r="E34" s="502"/>
      <c r="F34" s="294"/>
      <c r="G34" s="294"/>
      <c r="H34" s="348"/>
      <c r="I34" s="33" t="s">
        <v>9</v>
      </c>
      <c r="J34" s="280"/>
      <c r="K34" s="284">
        <f>COUNTA([24]Brewhouse!$A$361:$A$384)</f>
        <v>24</v>
      </c>
      <c r="L34" s="302">
        <f>AVERAGE([24]Brewhouse!$AS$361:$AS$384)</f>
        <v>97.60187327628698</v>
      </c>
      <c r="M34" s="302">
        <f>AVERAGE([24]Brewhouse!$AS$15:$AS$64,[24]Brewhouse!$AS$66:$AS$103,[24]Brewhouse!$AS$105:$AS$140,[24]Brewhouse!$AS$142:$AS$193,[24]Brewhouse!$AS$195:$AS$240,[24]Brewhouse!$AS$242:$AS$273,[24]Brewhouse!$AS$275:$AS$322,[24]Brewhouse!$AS$324:$AS$359,[24]Brewhouse!$AS$361:$AS$384)</f>
        <v>98.034752642745602</v>
      </c>
      <c r="N34" s="30">
        <v>98</v>
      </c>
      <c r="O34" s="11"/>
      <c r="P34" s="31"/>
      <c r="R34" s="277">
        <f t="shared" si="9"/>
        <v>0</v>
      </c>
      <c r="S34" s="296" t="e">
        <f t="shared" si="10"/>
        <v>#N/A</v>
      </c>
      <c r="T34" s="296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296" t="e">
        <f t="shared" si="17"/>
        <v>#N/A</v>
      </c>
    </row>
    <row r="35" spans="1:26" ht="14.65" customHeight="1">
      <c r="A35" s="28"/>
      <c r="B35" s="559"/>
      <c r="C35" s="362"/>
      <c r="D35" s="518"/>
      <c r="E35" s="507"/>
      <c r="F35" s="294"/>
      <c r="G35" s="294"/>
      <c r="H35" s="348"/>
      <c r="I35" s="34" t="s">
        <v>12</v>
      </c>
      <c r="J35" s="280"/>
      <c r="K35" s="284"/>
      <c r="L35" s="302"/>
      <c r="M35" s="302">
        <f>AVERAGE([25]Brewhouse!$AU$4:$AU$7,[25]Brewhouse!$AU$9:$AU$22,[25]Brewhouse!$AU$24:$AU$35,[25]Brewhouse!$AU$37:$AU$45,[25]Brewhouse!$AU$47:$AU$62,[25]Brewhouse!$AU$64:$AU$79,[25]Brewhouse!$AU$81:$AU$92)</f>
        <v>96.938184743997624</v>
      </c>
      <c r="N35" s="30">
        <v>98</v>
      </c>
      <c r="O35" s="11"/>
      <c r="P35" s="31"/>
      <c r="R35" s="277">
        <f t="shared" si="9"/>
        <v>0</v>
      </c>
      <c r="S35" s="296" t="e">
        <f t="shared" si="10"/>
        <v>#N/A</v>
      </c>
      <c r="T35" s="296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296" t="e">
        <f t="shared" si="17"/>
        <v>#N/A</v>
      </c>
    </row>
    <row r="36" spans="1:26" ht="14.65" customHeight="1">
      <c r="A36" s="28"/>
      <c r="B36" s="559"/>
      <c r="C36" s="362"/>
      <c r="D36" s="519"/>
      <c r="E36" s="502"/>
      <c r="F36" s="294"/>
      <c r="G36" s="294"/>
      <c r="H36" s="348"/>
      <c r="I36" s="22" t="s">
        <v>33</v>
      </c>
      <c r="J36" s="280"/>
      <c r="K36" s="284">
        <f>COUNTA([26]Brewhouse!$A$79:$A$86)</f>
        <v>8</v>
      </c>
      <c r="L36" s="302">
        <f>AVERAGE([26]Brewhouse!$AV$79:$AV$86)</f>
        <v>96.412390542357869</v>
      </c>
      <c r="M36" s="302">
        <f>AVERAGE([26]Brewhouse!$AV$5:$AV$14,[26]Brewhouse!$AV$16:$AV$19,[26]Brewhouse!$AV$21:$AV$24,[26]Brewhouse!$AV$26:$AV$33,[26]Brewhouse!$AV$35:$AV$46,[26]Brewhouse!$AV$48:$AV$53,[26]Brewhouse!$AV$55:$AV$62,[26]Brewhouse!$AV$64:$AV$77,[26]Brewhouse!$AV$79:$AV$86)</f>
        <v>98.293408393493976</v>
      </c>
      <c r="N36" s="30">
        <v>98</v>
      </c>
      <c r="O36" s="11"/>
      <c r="P36" s="31"/>
      <c r="R36" s="277">
        <f t="shared" si="9"/>
        <v>0</v>
      </c>
      <c r="S36" s="296" t="e">
        <f t="shared" si="10"/>
        <v>#N/A</v>
      </c>
      <c r="T36" s="296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296" t="e">
        <f t="shared" si="17"/>
        <v>#N/A</v>
      </c>
    </row>
    <row r="37" spans="1:26" ht="14.65" customHeight="1">
      <c r="A37" s="28"/>
      <c r="B37" s="559"/>
      <c r="C37" s="362"/>
      <c r="D37" s="518"/>
      <c r="E37" s="507"/>
      <c r="F37" s="417"/>
      <c r="G37" s="294"/>
      <c r="H37" s="348"/>
      <c r="I37" s="35" t="s">
        <v>29</v>
      </c>
      <c r="J37" s="280"/>
      <c r="K37" s="284"/>
      <c r="L37" s="302"/>
      <c r="M37" s="302"/>
      <c r="N37" s="30">
        <v>98</v>
      </c>
      <c r="O37" s="11"/>
      <c r="P37" s="31"/>
      <c r="R37" s="277">
        <f t="shared" si="9"/>
        <v>0</v>
      </c>
      <c r="S37" s="296" t="e">
        <f t="shared" si="10"/>
        <v>#N/A</v>
      </c>
      <c r="T37" s="296" t="e">
        <f t="shared" si="11"/>
        <v>#N/A</v>
      </c>
      <c r="U37" s="297" t="e">
        <f t="shared" si="12"/>
        <v>#N/A</v>
      </c>
      <c r="V37" s="297" t="e">
        <f t="shared" si="13"/>
        <v>#N/A</v>
      </c>
      <c r="W37" s="297" t="e">
        <f t="shared" si="14"/>
        <v>#N/A</v>
      </c>
      <c r="X37" s="297" t="e">
        <f t="shared" si="15"/>
        <v>#N/A</v>
      </c>
      <c r="Y37" s="297" t="e">
        <f t="shared" si="16"/>
        <v>#N/A</v>
      </c>
      <c r="Z37" s="296" t="e">
        <f t="shared" si="17"/>
        <v>#N/A</v>
      </c>
    </row>
    <row r="38" spans="1:26" ht="14.65" customHeight="1">
      <c r="A38" s="28"/>
      <c r="B38" s="559"/>
      <c r="C38" s="362"/>
      <c r="D38" s="519"/>
      <c r="E38" s="502"/>
      <c r="F38" s="417"/>
      <c r="G38" s="294"/>
      <c r="H38" s="348"/>
      <c r="I38" s="36" t="s">
        <v>15</v>
      </c>
      <c r="J38" s="280"/>
      <c r="K38" s="284">
        <f>COUNTA([27]Brewhouse!$A$28:$A$35)</f>
        <v>8</v>
      </c>
      <c r="L38" s="302">
        <f>AVERAGE([27]Brewhouse!$AT$28:$AT$35)</f>
        <v>95.233703112250225</v>
      </c>
      <c r="M38" s="302">
        <f>AVERAGE([27]Brewhouse!$AT$4:$AT$11,[27]Brewhouse!$AT$13:$AT$16,[27]Brewhouse!$AT$18:$AT$21,[27]Brewhouse!$AT$26,[27]Brewhouse!$AT$28:$AT$35)</f>
        <v>94.794664331624134</v>
      </c>
      <c r="N38" s="30">
        <v>98</v>
      </c>
      <c r="O38" s="11"/>
      <c r="P38" s="31"/>
      <c r="R38" s="277">
        <f t="shared" si="9"/>
        <v>0</v>
      </c>
      <c r="S38" s="296" t="e">
        <f t="shared" si="10"/>
        <v>#N/A</v>
      </c>
      <c r="T38" s="296" t="e">
        <f t="shared" si="11"/>
        <v>#N/A</v>
      </c>
      <c r="U38" s="297" t="e">
        <f t="shared" si="12"/>
        <v>#N/A</v>
      </c>
      <c r="V38" s="297" t="e">
        <f t="shared" si="13"/>
        <v>#N/A</v>
      </c>
      <c r="W38" s="297" t="e">
        <f t="shared" si="14"/>
        <v>#N/A</v>
      </c>
      <c r="X38" s="297" t="e">
        <f t="shared" si="15"/>
        <v>#N/A</v>
      </c>
      <c r="Y38" s="297" t="e">
        <f t="shared" si="16"/>
        <v>#N/A</v>
      </c>
      <c r="Z38" s="296" t="e">
        <f t="shared" si="17"/>
        <v>#N/A</v>
      </c>
    </row>
    <row r="39" spans="1:26" ht="14.65" customHeight="1">
      <c r="A39" s="28"/>
      <c r="B39" s="559"/>
      <c r="C39" s="362"/>
      <c r="D39" s="518"/>
      <c r="E39" s="507"/>
      <c r="F39" s="417"/>
      <c r="G39" s="294"/>
      <c r="H39" s="348"/>
      <c r="I39" s="37" t="s">
        <v>16</v>
      </c>
      <c r="J39" s="280"/>
      <c r="K39" s="284">
        <f>COUNTA([23]Brewhouse!$A$75:$A$82)</f>
        <v>8</v>
      </c>
      <c r="L39" s="302">
        <f>AVERAGE([23]Brewhouse!$AY$75:$AY$82)</f>
        <v>97.738838123294386</v>
      </c>
      <c r="M39" s="302">
        <f>AVERAGE([23]Brewhouse!$AY$6:$AY$13,[23]Brewhouse!$AY$15:$AY$20,[23]Brewhouse!$AY$22:$AY$29,[23]Brewhouse!$AY$31:$AY$34,[23]Brewhouse!$AY$36:$AY$43,[23]Brewhouse!$AY$45:$AY$50, [23]Brewhouse!$AY$56:$AY$73,[23]Brewhouse!$AY$75:$AY$82)</f>
        <v>97.409216272979165</v>
      </c>
      <c r="N39" s="30">
        <v>98</v>
      </c>
      <c r="O39" s="11"/>
      <c r="P39" s="31" t="s">
        <v>41</v>
      </c>
      <c r="R39" s="277">
        <f t="shared" si="9"/>
        <v>0</v>
      </c>
      <c r="S39" s="296" t="e">
        <f t="shared" si="10"/>
        <v>#N/A</v>
      </c>
      <c r="T39" s="296" t="e">
        <f t="shared" si="11"/>
        <v>#N/A</v>
      </c>
      <c r="U39" s="297" t="e">
        <f t="shared" si="12"/>
        <v>#N/A</v>
      </c>
      <c r="V39" s="297" t="e">
        <f t="shared" si="13"/>
        <v>#N/A</v>
      </c>
      <c r="W39" s="297" t="e">
        <f t="shared" si="14"/>
        <v>#N/A</v>
      </c>
      <c r="X39" s="297" t="e">
        <f t="shared" si="15"/>
        <v>#N/A</v>
      </c>
      <c r="Y39" s="297" t="e">
        <f t="shared" si="16"/>
        <v>#N/A</v>
      </c>
      <c r="Z39" s="296" t="e">
        <f t="shared" si="17"/>
        <v>#N/A</v>
      </c>
    </row>
    <row r="40" spans="1:26" ht="14.65" customHeight="1">
      <c r="A40" s="28"/>
      <c r="B40" s="559"/>
      <c r="C40" s="362"/>
      <c r="D40" s="519"/>
      <c r="E40" s="502"/>
      <c r="F40" s="294"/>
      <c r="G40" s="294"/>
      <c r="H40" s="348"/>
      <c r="I40" s="411" t="s">
        <v>158</v>
      </c>
      <c r="J40" s="326"/>
      <c r="K40" s="284"/>
      <c r="L40" s="305"/>
      <c r="M40" s="305">
        <f>AVERAGE([28]Brewhouse!$AU$5:$AU$8,[28]Brewhouse!$AU$10:$AU$13,[23]Brewhouse!$AY$75:$AY$77)</f>
        <v>94.749192473706671</v>
      </c>
      <c r="N40" s="30">
        <v>98</v>
      </c>
      <c r="O40" s="11"/>
      <c r="P40" s="31"/>
      <c r="R40" s="277">
        <f t="shared" si="9"/>
        <v>0</v>
      </c>
      <c r="S40" s="296" t="e">
        <f t="shared" si="10"/>
        <v>#N/A</v>
      </c>
      <c r="T40" s="296" t="e">
        <f t="shared" si="11"/>
        <v>#N/A</v>
      </c>
      <c r="U40" s="297" t="e">
        <f t="shared" si="12"/>
        <v>#N/A</v>
      </c>
      <c r="V40" s="297" t="e">
        <f t="shared" si="13"/>
        <v>#N/A</v>
      </c>
      <c r="W40" s="297" t="e">
        <f t="shared" si="14"/>
        <v>#N/A</v>
      </c>
      <c r="X40" s="297" t="e">
        <f t="shared" si="15"/>
        <v>#N/A</v>
      </c>
      <c r="Y40" s="297" t="e">
        <f t="shared" si="16"/>
        <v>#N/A</v>
      </c>
      <c r="Z40" s="296" t="e">
        <f t="shared" si="17"/>
        <v>#N/A</v>
      </c>
    </row>
    <row r="41" spans="1:26" ht="14.65" customHeight="1">
      <c r="A41" s="28"/>
      <c r="B41" s="559"/>
      <c r="C41" s="349"/>
      <c r="D41" s="518"/>
      <c r="E41" s="507"/>
      <c r="F41" s="294"/>
      <c r="G41" s="294"/>
      <c r="H41" s="348"/>
      <c r="I41" s="410" t="s">
        <v>157</v>
      </c>
      <c r="J41" s="326"/>
      <c r="K41" s="284"/>
      <c r="L41" s="305"/>
      <c r="M41" s="305">
        <f>AVERAGE([29]Brewhouse!$AW$26:$AW$27)</f>
        <v>95.310680905194914</v>
      </c>
      <c r="N41" s="30">
        <v>98</v>
      </c>
      <c r="O41" s="11"/>
      <c r="P41" s="31"/>
      <c r="R41" s="277">
        <f t="shared" si="9"/>
        <v>0</v>
      </c>
      <c r="S41" s="296" t="e">
        <f t="shared" si="10"/>
        <v>#N/A</v>
      </c>
      <c r="T41" s="296" t="e">
        <f t="shared" si="11"/>
        <v>#N/A</v>
      </c>
      <c r="U41" s="297" t="e">
        <f t="shared" si="12"/>
        <v>#N/A</v>
      </c>
      <c r="V41" s="297" t="e">
        <f t="shared" si="13"/>
        <v>#N/A</v>
      </c>
      <c r="W41" s="297" t="e">
        <f t="shared" si="14"/>
        <v>#N/A</v>
      </c>
      <c r="X41" s="297" t="e">
        <f t="shared" si="15"/>
        <v>#N/A</v>
      </c>
      <c r="Y41" s="297" t="e">
        <f t="shared" si="16"/>
        <v>#N/A</v>
      </c>
      <c r="Z41" s="296" t="e">
        <f t="shared" si="17"/>
        <v>#N/A</v>
      </c>
    </row>
    <row r="42" spans="1:26" ht="15" customHeight="1" thickBot="1">
      <c r="A42" s="28"/>
      <c r="B42" s="559"/>
      <c r="C42" s="349"/>
      <c r="D42" s="519"/>
      <c r="E42" s="502"/>
      <c r="F42" s="294"/>
      <c r="G42" s="294"/>
      <c r="H42" s="348"/>
      <c r="I42" s="406" t="s">
        <v>156</v>
      </c>
      <c r="J42" s="327"/>
      <c r="K42" s="407"/>
      <c r="L42" s="408"/>
      <c r="M42" s="408">
        <f>AVERAGE([30]Brewhouse!$AU$13:$AU$14)</f>
        <v>97.110575243268045</v>
      </c>
      <c r="N42" s="409">
        <v>98</v>
      </c>
      <c r="O42" s="11"/>
      <c r="P42" s="31"/>
      <c r="R42" s="277">
        <f t="shared" si="9"/>
        <v>0</v>
      </c>
      <c r="S42" s="296" t="e">
        <f t="shared" si="10"/>
        <v>#N/A</v>
      </c>
      <c r="T42" s="296" t="e">
        <f t="shared" si="11"/>
        <v>#N/A</v>
      </c>
      <c r="U42" s="297" t="e">
        <f t="shared" si="12"/>
        <v>#N/A</v>
      </c>
      <c r="V42" s="297" t="e">
        <f t="shared" si="13"/>
        <v>#N/A</v>
      </c>
      <c r="W42" s="297" t="e">
        <f t="shared" si="14"/>
        <v>#N/A</v>
      </c>
      <c r="X42" s="297" t="e">
        <f t="shared" si="15"/>
        <v>#N/A</v>
      </c>
      <c r="Y42" s="297" t="e">
        <f t="shared" si="16"/>
        <v>#N/A</v>
      </c>
      <c r="Z42" s="296" t="e">
        <f t="shared" si="17"/>
        <v>#N/A</v>
      </c>
    </row>
    <row r="43" spans="1:26" ht="15" customHeight="1" thickBot="1">
      <c r="A43" s="28"/>
      <c r="B43" s="559"/>
      <c r="C43" s="349"/>
      <c r="D43" s="518"/>
      <c r="E43" s="507"/>
      <c r="F43" s="294"/>
      <c r="G43" s="294"/>
      <c r="H43" s="348"/>
      <c r="I43" s="1"/>
      <c r="J43" s="39"/>
      <c r="K43" s="404">
        <f>SUM(K33:K42)</f>
        <v>124</v>
      </c>
      <c r="L43" s="405">
        <f>((L33*K33)+(L34*K34)+(L35*K35)+(L36*K36)+(L37*K37)+(K40*L40)+(L38*K38)+(L39*K39)+(L42*K42))/(K43)</f>
        <v>97.202647774276699</v>
      </c>
      <c r="M43" s="405">
        <f>AVERAGE('[31]Jan 31st'!$L$65,'[32]Feb 28th'!$L$35,'[33]Mar. 31st'!$L$35,'[34]Apr. 30th'!$L$45,'[35]May 30th'!$L$37,'[36]June 30th'!$L$57,L43)</f>
        <v>97.593508324476943</v>
      </c>
      <c r="N43" s="40">
        <v>98</v>
      </c>
      <c r="O43" s="11"/>
      <c r="P43" s="31"/>
      <c r="R43" s="277">
        <f t="shared" si="9"/>
        <v>0</v>
      </c>
      <c r="S43" s="296" t="e">
        <f t="shared" si="10"/>
        <v>#N/A</v>
      </c>
      <c r="T43" s="296" t="e">
        <f t="shared" si="11"/>
        <v>#N/A</v>
      </c>
      <c r="U43" s="297" t="e">
        <f t="shared" si="12"/>
        <v>#N/A</v>
      </c>
      <c r="V43" s="297" t="e">
        <f t="shared" si="13"/>
        <v>#N/A</v>
      </c>
      <c r="W43" s="297" t="e">
        <f t="shared" si="14"/>
        <v>#N/A</v>
      </c>
      <c r="X43" s="297" t="e">
        <f t="shared" si="15"/>
        <v>#N/A</v>
      </c>
      <c r="Y43" s="297" t="e">
        <f t="shared" si="16"/>
        <v>#N/A</v>
      </c>
      <c r="Z43" s="296" t="e">
        <f t="shared" si="17"/>
        <v>#N/A</v>
      </c>
    </row>
    <row r="44" spans="1:26" ht="15.75" thickBot="1">
      <c r="B44" s="560"/>
      <c r="C44" s="350"/>
      <c r="D44" s="519"/>
      <c r="E44" s="502"/>
      <c r="F44" s="294"/>
      <c r="G44" s="42"/>
      <c r="H44" s="41"/>
      <c r="I44" s="42"/>
      <c r="J44" s="42"/>
      <c r="K44" s="351"/>
      <c r="L44" s="348"/>
      <c r="M44" s="348"/>
      <c r="N44" s="11"/>
      <c r="O44" s="294"/>
      <c r="P44" s="12"/>
      <c r="R44" s="277">
        <f t="shared" si="9"/>
        <v>0</v>
      </c>
      <c r="S44" s="296" t="e">
        <f t="shared" si="10"/>
        <v>#N/A</v>
      </c>
      <c r="T44" s="296" t="e">
        <f t="shared" si="11"/>
        <v>#N/A</v>
      </c>
      <c r="U44" s="297" t="e">
        <f t="shared" si="12"/>
        <v>#N/A</v>
      </c>
      <c r="V44" s="297" t="e">
        <f t="shared" si="13"/>
        <v>#N/A</v>
      </c>
      <c r="W44" s="297" t="e">
        <f t="shared" si="14"/>
        <v>#N/A</v>
      </c>
      <c r="X44" s="297" t="e">
        <f t="shared" si="15"/>
        <v>#N/A</v>
      </c>
      <c r="Y44" s="297" t="e">
        <f t="shared" si="16"/>
        <v>#N/A</v>
      </c>
      <c r="Z44" s="296" t="e">
        <f t="shared" si="17"/>
        <v>#N/A</v>
      </c>
    </row>
    <row r="45" spans="1:26" ht="15.75" thickBot="1">
      <c r="B45" s="572" t="str">
        <f>I35</f>
        <v>GUINNESS</v>
      </c>
      <c r="C45" s="362"/>
      <c r="D45" s="499"/>
      <c r="E45" s="500"/>
      <c r="F45" s="294"/>
      <c r="G45" s="42"/>
      <c r="H45" s="41"/>
      <c r="I45" s="42"/>
      <c r="J45" s="553" t="s">
        <v>129</v>
      </c>
      <c r="K45" s="553"/>
      <c r="L45" s="294"/>
      <c r="M45" s="294"/>
      <c r="N45" s="294"/>
      <c r="O45" s="294"/>
      <c r="P45" s="12"/>
      <c r="R45" s="277" t="str">
        <f t="shared" si="9"/>
        <v>GUINNESS</v>
      </c>
      <c r="S45" s="296">
        <f t="shared" si="10"/>
        <v>17</v>
      </c>
      <c r="T45" s="296">
        <f t="shared" si="11"/>
        <v>17.5</v>
      </c>
      <c r="U45" s="297">
        <f t="shared" si="12"/>
        <v>0</v>
      </c>
      <c r="V45" s="297">
        <f t="shared" si="13"/>
        <v>0.1076388888888889</v>
      </c>
      <c r="W45" s="297">
        <f t="shared" si="14"/>
        <v>0.24652777777777779</v>
      </c>
      <c r="X45" s="297">
        <f t="shared" si="15"/>
        <v>0.28472222222222221</v>
      </c>
      <c r="Y45" s="297">
        <f t="shared" si="16"/>
        <v>0</v>
      </c>
      <c r="Z45" s="296">
        <f t="shared" si="17"/>
        <v>60</v>
      </c>
    </row>
    <row r="46" spans="1:26" ht="15.75" thickBot="1">
      <c r="B46" s="566"/>
      <c r="C46" s="362"/>
      <c r="D46" s="501"/>
      <c r="E46" s="502"/>
      <c r="F46" s="294"/>
      <c r="G46" s="42"/>
      <c r="H46" s="41"/>
      <c r="I46" s="42"/>
      <c r="J46" s="292" t="s">
        <v>17</v>
      </c>
      <c r="K46" s="293" t="s">
        <v>147</v>
      </c>
      <c r="L46" s="504" t="s">
        <v>136</v>
      </c>
      <c r="M46" s="504"/>
      <c r="N46" s="505"/>
      <c r="O46" s="294"/>
      <c r="P46" s="12"/>
      <c r="R46" s="277">
        <f t="shared" si="9"/>
        <v>0</v>
      </c>
      <c r="S46" s="296" t="e">
        <f t="shared" si="10"/>
        <v>#N/A</v>
      </c>
      <c r="T46" s="296" t="e">
        <f t="shared" si="11"/>
        <v>#N/A</v>
      </c>
      <c r="U46" s="297" t="e">
        <f t="shared" si="12"/>
        <v>#N/A</v>
      </c>
      <c r="V46" s="297" t="e">
        <f t="shared" si="13"/>
        <v>#N/A</v>
      </c>
      <c r="W46" s="297" t="e">
        <f t="shared" si="14"/>
        <v>#N/A</v>
      </c>
      <c r="X46" s="297" t="e">
        <f t="shared" si="15"/>
        <v>#N/A</v>
      </c>
      <c r="Y46" s="297" t="e">
        <f t="shared" si="16"/>
        <v>#N/A</v>
      </c>
      <c r="Z46" s="296" t="e">
        <f t="shared" si="17"/>
        <v>#N/A</v>
      </c>
    </row>
    <row r="47" spans="1:26" ht="15" customHeight="1" thickBot="1">
      <c r="B47" s="566"/>
      <c r="C47" s="349"/>
      <c r="D47" s="554"/>
      <c r="E47" s="555"/>
      <c r="F47" s="294"/>
      <c r="G47" s="42"/>
      <c r="H47" s="41"/>
      <c r="I47" s="42"/>
      <c r="J47" s="287" t="s">
        <v>6</v>
      </c>
      <c r="K47" s="324">
        <v>9</v>
      </c>
      <c r="L47" s="343" t="s">
        <v>37</v>
      </c>
      <c r="M47" s="307" t="s">
        <v>38</v>
      </c>
      <c r="N47" s="307" t="s">
        <v>84</v>
      </c>
      <c r="O47" s="294"/>
      <c r="P47" s="12"/>
      <c r="R47" s="277">
        <f t="shared" si="9"/>
        <v>0</v>
      </c>
      <c r="S47" s="296" t="e">
        <f t="shared" si="10"/>
        <v>#N/A</v>
      </c>
      <c r="T47" s="296" t="e">
        <f t="shared" si="11"/>
        <v>#N/A</v>
      </c>
      <c r="U47" s="297" t="e">
        <f t="shared" si="12"/>
        <v>#N/A</v>
      </c>
      <c r="V47" s="297" t="e">
        <f t="shared" si="13"/>
        <v>#N/A</v>
      </c>
      <c r="W47" s="297" t="e">
        <f t="shared" si="14"/>
        <v>#N/A</v>
      </c>
      <c r="X47" s="297" t="e">
        <f t="shared" si="15"/>
        <v>#N/A</v>
      </c>
      <c r="Y47" s="297" t="e">
        <f t="shared" si="16"/>
        <v>#N/A</v>
      </c>
      <c r="Z47" s="296" t="e">
        <f t="shared" si="17"/>
        <v>#N/A</v>
      </c>
    </row>
    <row r="48" spans="1:26" ht="15.75" customHeight="1" thickBot="1">
      <c r="B48" s="566"/>
      <c r="C48" s="349"/>
      <c r="D48" s="501"/>
      <c r="E48" s="502"/>
      <c r="F48" s="294"/>
      <c r="G48" s="42"/>
      <c r="H48" s="41"/>
      <c r="I48" s="42"/>
      <c r="J48" s="345" t="s">
        <v>9</v>
      </c>
      <c r="K48" s="324"/>
      <c r="L48" s="344">
        <f>AVERAGE('Sept 1st'!K53,'Sept 2nd'!K51,'Sept 3rd'!K52,'Sept 4th'!K61,'Sept 5th '!K49,'Sept 8th'!K51,'Sept 9th'!K51,'Sept 10th'!K59,'Sept 11th'!K53,'Sept 15th '!K43,'Sept 16th'!K44,'Sept 17th'!K48,'Sept 18th '!K46,'Sept 19th'!K49,'Sept 22nd'!K51,K57)</f>
        <v>7.75</v>
      </c>
      <c r="M48" s="325">
        <f>AVERAGE('[31]Jan 29th '!$M$70,'[32]Feb 28th'!$L$40,'[33]Mar. 31st'!$L$40,'[34]Apr. 30th'!$L$50,'[35]May 30th'!$L$42,'[36]June 30th'!$L$62,'[37]July 29th '!$L$49,'[38]Aug 29th'!$L$34,L48)</f>
        <v>7.0425229275343684</v>
      </c>
      <c r="N48" s="416">
        <v>9.1999999999999993</v>
      </c>
      <c r="O48" s="294"/>
      <c r="P48" s="12"/>
      <c r="R48" s="277">
        <f t="shared" si="9"/>
        <v>0</v>
      </c>
      <c r="S48" s="296" t="e">
        <f t="shared" si="10"/>
        <v>#N/A</v>
      </c>
      <c r="T48" s="296" t="e">
        <f t="shared" si="11"/>
        <v>#N/A</v>
      </c>
      <c r="U48" s="297" t="e">
        <f t="shared" si="12"/>
        <v>#N/A</v>
      </c>
      <c r="V48" s="297" t="e">
        <f t="shared" si="13"/>
        <v>#N/A</v>
      </c>
      <c r="W48" s="297" t="e">
        <f t="shared" si="14"/>
        <v>#N/A</v>
      </c>
      <c r="X48" s="297" t="e">
        <f t="shared" si="15"/>
        <v>#N/A</v>
      </c>
      <c r="Y48" s="297" t="e">
        <f t="shared" si="16"/>
        <v>#N/A</v>
      </c>
      <c r="Z48" s="296" t="e">
        <f t="shared" si="17"/>
        <v>#N/A</v>
      </c>
    </row>
    <row r="49" spans="2:57" ht="15" customHeight="1">
      <c r="B49" s="566"/>
      <c r="C49" s="349"/>
      <c r="D49" s="554"/>
      <c r="E49" s="555"/>
      <c r="F49" s="294"/>
      <c r="G49" s="42"/>
      <c r="H49" s="41"/>
      <c r="I49" s="42"/>
      <c r="J49" s="288" t="s">
        <v>40</v>
      </c>
      <c r="K49" s="324"/>
      <c r="L49" s="294"/>
      <c r="M49" s="294"/>
      <c r="N49" s="294"/>
      <c r="O49" s="294"/>
      <c r="P49" s="12"/>
      <c r="R49" s="277">
        <f t="shared" si="9"/>
        <v>0</v>
      </c>
      <c r="S49" s="296" t="e">
        <f t="shared" si="10"/>
        <v>#N/A</v>
      </c>
      <c r="T49" s="296" t="e">
        <f t="shared" si="11"/>
        <v>#N/A</v>
      </c>
      <c r="U49" s="297" t="e">
        <f t="shared" si="12"/>
        <v>#N/A</v>
      </c>
      <c r="V49" s="297" t="e">
        <f t="shared" si="13"/>
        <v>#N/A</v>
      </c>
      <c r="W49" s="297" t="e">
        <f t="shared" si="14"/>
        <v>#N/A</v>
      </c>
      <c r="X49" s="297" t="e">
        <f t="shared" si="15"/>
        <v>#N/A</v>
      </c>
      <c r="Y49" s="297" t="e">
        <f t="shared" si="16"/>
        <v>#N/A</v>
      </c>
      <c r="Z49" s="296" t="e">
        <f t="shared" si="17"/>
        <v>#N/A</v>
      </c>
    </row>
    <row r="50" spans="2:57" ht="15" customHeight="1">
      <c r="B50" s="566"/>
      <c r="C50" s="349"/>
      <c r="D50" s="501"/>
      <c r="E50" s="502"/>
      <c r="F50" s="294"/>
      <c r="G50" s="42"/>
      <c r="H50" s="41"/>
      <c r="I50" s="42"/>
      <c r="J50" s="289" t="s">
        <v>33</v>
      </c>
      <c r="K50" s="324"/>
      <c r="L50" s="294"/>
      <c r="M50" s="294"/>
      <c r="N50" s="294"/>
      <c r="O50" s="294"/>
      <c r="P50" s="12"/>
      <c r="R50" s="277">
        <f t="shared" si="9"/>
        <v>0</v>
      </c>
      <c r="S50" s="296" t="e">
        <f t="shared" si="10"/>
        <v>#N/A</v>
      </c>
      <c r="T50" s="296" t="e">
        <f t="shared" si="11"/>
        <v>#N/A</v>
      </c>
      <c r="U50" s="297" t="e">
        <f t="shared" si="12"/>
        <v>#N/A</v>
      </c>
      <c r="V50" s="297" t="e">
        <f t="shared" si="13"/>
        <v>#N/A</v>
      </c>
      <c r="W50" s="297" t="e">
        <f t="shared" si="14"/>
        <v>#N/A</v>
      </c>
      <c r="X50" s="297" t="e">
        <f t="shared" si="15"/>
        <v>#N/A</v>
      </c>
      <c r="Y50" s="297" t="e">
        <f t="shared" si="16"/>
        <v>#N/A</v>
      </c>
      <c r="Z50" s="296" t="e">
        <f t="shared" si="17"/>
        <v>#N/A</v>
      </c>
    </row>
    <row r="51" spans="2:57" ht="15">
      <c r="B51" s="566"/>
      <c r="C51" s="349"/>
      <c r="D51" s="554"/>
      <c r="E51" s="555"/>
      <c r="F51" s="294"/>
      <c r="G51" s="42"/>
      <c r="H51" s="41"/>
      <c r="I51" s="42"/>
      <c r="J51" s="290" t="s">
        <v>16</v>
      </c>
      <c r="K51" s="324"/>
      <c r="L51" s="294"/>
      <c r="M51" s="294"/>
      <c r="N51" s="294"/>
      <c r="O51" s="294"/>
      <c r="P51" s="12"/>
      <c r="R51" s="277">
        <f t="shared" si="9"/>
        <v>0</v>
      </c>
      <c r="S51" s="296" t="e">
        <f t="shared" si="10"/>
        <v>#N/A</v>
      </c>
      <c r="T51" s="296" t="e">
        <f t="shared" si="11"/>
        <v>#N/A</v>
      </c>
      <c r="U51" s="297" t="e">
        <f t="shared" si="12"/>
        <v>#N/A</v>
      </c>
      <c r="V51" s="297" t="e">
        <f t="shared" si="13"/>
        <v>#N/A</v>
      </c>
      <c r="W51" s="297" t="e">
        <f t="shared" si="14"/>
        <v>#N/A</v>
      </c>
      <c r="X51" s="297" t="e">
        <f t="shared" si="15"/>
        <v>#N/A</v>
      </c>
      <c r="Y51" s="297" t="e">
        <f t="shared" si="16"/>
        <v>#N/A</v>
      </c>
      <c r="Z51" s="296" t="e">
        <f t="shared" si="17"/>
        <v>#N/A</v>
      </c>
      <c r="BC51" s="44"/>
      <c r="BD51" s="44"/>
    </row>
    <row r="52" spans="2:57" ht="15">
      <c r="B52" s="566"/>
      <c r="C52" s="349"/>
      <c r="D52" s="501"/>
      <c r="E52" s="502"/>
      <c r="F52" s="294"/>
      <c r="G52" s="42"/>
      <c r="H52" s="41"/>
      <c r="I52" s="42"/>
      <c r="J52" s="291" t="s">
        <v>15</v>
      </c>
      <c r="K52" s="324"/>
      <c r="L52" s="294"/>
      <c r="M52" s="294"/>
      <c r="N52" s="294"/>
      <c r="O52" s="294"/>
      <c r="P52" s="12"/>
      <c r="R52" s="277">
        <f t="shared" si="9"/>
        <v>0</v>
      </c>
      <c r="S52" s="296" t="e">
        <f t="shared" si="10"/>
        <v>#N/A</v>
      </c>
      <c r="T52" s="296" t="e">
        <f t="shared" si="11"/>
        <v>#N/A</v>
      </c>
      <c r="U52" s="297" t="e">
        <f t="shared" si="12"/>
        <v>#N/A</v>
      </c>
      <c r="V52" s="297" t="e">
        <f t="shared" si="13"/>
        <v>#N/A</v>
      </c>
      <c r="W52" s="297" t="e">
        <f t="shared" si="14"/>
        <v>#N/A</v>
      </c>
      <c r="X52" s="297" t="e">
        <f t="shared" si="15"/>
        <v>#N/A</v>
      </c>
      <c r="Y52" s="297" t="e">
        <f t="shared" si="16"/>
        <v>#N/A</v>
      </c>
      <c r="Z52" s="296" t="e">
        <f t="shared" si="17"/>
        <v>#N/A</v>
      </c>
      <c r="BC52" s="44"/>
      <c r="BD52" s="44"/>
    </row>
    <row r="53" spans="2:57" ht="15">
      <c r="B53" s="566"/>
      <c r="C53" s="349"/>
      <c r="D53" s="554"/>
      <c r="E53" s="555"/>
      <c r="F53" s="294"/>
      <c r="G53" s="42"/>
      <c r="H53" s="41"/>
      <c r="I53" s="42"/>
      <c r="J53" s="291" t="s">
        <v>149</v>
      </c>
      <c r="K53" s="324"/>
      <c r="L53" s="294"/>
      <c r="M53" s="294"/>
      <c r="N53" s="294"/>
      <c r="O53" s="294"/>
      <c r="P53" s="12"/>
      <c r="BC53" s="44"/>
      <c r="BD53" s="44"/>
    </row>
    <row r="54" spans="2:57" ht="15.75" thickBot="1">
      <c r="B54" s="567"/>
      <c r="C54" s="350"/>
      <c r="D54" s="556"/>
      <c r="E54" s="557"/>
      <c r="F54" s="294"/>
      <c r="G54" s="42"/>
      <c r="H54" s="41"/>
      <c r="I54" s="42"/>
      <c r="J54" s="291" t="s">
        <v>148</v>
      </c>
      <c r="K54" s="324"/>
      <c r="L54" s="294"/>
      <c r="M54" s="294"/>
      <c r="N54" s="294"/>
      <c r="O54" s="294"/>
      <c r="P54" s="12"/>
      <c r="BC54" s="44"/>
      <c r="BD54" s="44"/>
    </row>
    <row r="55" spans="2:57" ht="17.649999999999999" customHeight="1" thickBot="1">
      <c r="B55" s="312" t="s">
        <v>139</v>
      </c>
      <c r="C55" s="313"/>
      <c r="D55" s="550" t="e">
        <f>AVERAGE(D33:E54)</f>
        <v>#DIV/0!</v>
      </c>
      <c r="E55" s="551"/>
      <c r="F55" s="294"/>
      <c r="H55" s="41"/>
      <c r="I55" s="42"/>
      <c r="J55" s="295" t="s">
        <v>134</v>
      </c>
      <c r="K55" s="324"/>
      <c r="L55" s="294"/>
      <c r="M55" s="294"/>
      <c r="N55" s="294"/>
      <c r="O55" s="294"/>
      <c r="P55" s="12"/>
      <c r="BC55" s="44"/>
      <c r="BD55" s="44"/>
    </row>
    <row r="56" spans="2:57" ht="17.649999999999999" customHeight="1">
      <c r="B56" s="363"/>
      <c r="C56" s="364"/>
      <c r="D56" s="365"/>
      <c r="E56" s="365"/>
      <c r="F56" s="294"/>
      <c r="G56" s="42"/>
      <c r="H56" s="41"/>
      <c r="I56" s="42"/>
      <c r="J56" s="295" t="s">
        <v>131</v>
      </c>
      <c r="K56" s="324"/>
      <c r="L56" s="294"/>
      <c r="M56" s="294"/>
      <c r="N56" s="294"/>
      <c r="O56" s="294"/>
      <c r="P56" s="12"/>
      <c r="BC56" s="44"/>
      <c r="BD56" s="44"/>
    </row>
    <row r="57" spans="2:57" ht="15.6" customHeight="1">
      <c r="B57" s="45"/>
      <c r="C57" s="11"/>
      <c r="D57" s="11"/>
      <c r="E57" s="46"/>
      <c r="F57" s="294"/>
      <c r="G57" s="42"/>
      <c r="H57" s="41"/>
      <c r="I57" s="42"/>
      <c r="J57" s="346" t="s">
        <v>130</v>
      </c>
      <c r="K57" s="324">
        <f>SUM(K47:K56)</f>
        <v>9</v>
      </c>
      <c r="L57" s="294"/>
      <c r="M57" s="294"/>
      <c r="N57" s="294"/>
      <c r="O57" s="294"/>
      <c r="P57" s="12"/>
    </row>
    <row r="58" spans="2:57" ht="20.25" customHeight="1">
      <c r="B58" s="15" t="s">
        <v>42</v>
      </c>
      <c r="C58" s="1" t="s">
        <v>43</v>
      </c>
      <c r="D58" s="1"/>
      <c r="E58" s="1"/>
      <c r="F58" s="294"/>
      <c r="G58" s="42"/>
      <c r="H58" s="41"/>
      <c r="I58" s="42"/>
      <c r="L58" s="294"/>
      <c r="N58" s="315"/>
      <c r="P58" s="334"/>
    </row>
    <row r="59" spans="2:57" ht="15" customHeight="1" thickBot="1"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1"/>
      <c r="O59" s="48"/>
      <c r="P59" s="49"/>
    </row>
    <row r="60" spans="2:57" ht="15" customHeight="1" thickBot="1">
      <c r="B60" s="480" t="s">
        <v>17</v>
      </c>
      <c r="C60" s="480" t="s">
        <v>44</v>
      </c>
      <c r="D60" s="492" t="s">
        <v>45</v>
      </c>
      <c r="E60" s="494" t="s">
        <v>46</v>
      </c>
      <c r="F60" s="488" t="s">
        <v>47</v>
      </c>
      <c r="G60" s="478" t="s">
        <v>48</v>
      </c>
      <c r="H60" s="480" t="s">
        <v>49</v>
      </c>
      <c r="I60" s="480" t="s">
        <v>50</v>
      </c>
      <c r="J60" s="472" t="s">
        <v>28</v>
      </c>
      <c r="K60" s="484" t="s">
        <v>51</v>
      </c>
      <c r="L60" s="486" t="s">
        <v>52</v>
      </c>
      <c r="M60" s="472" t="s">
        <v>53</v>
      </c>
      <c r="N60" s="13"/>
      <c r="O60" s="13"/>
      <c r="P60" s="50"/>
    </row>
    <row r="61" spans="2:57" ht="28.5" customHeight="1" thickTop="1" thickBot="1">
      <c r="B61" s="481"/>
      <c r="C61" s="481"/>
      <c r="D61" s="493"/>
      <c r="E61" s="495"/>
      <c r="F61" s="489"/>
      <c r="G61" s="479"/>
      <c r="H61" s="481"/>
      <c r="I61" s="481"/>
      <c r="J61" s="473"/>
      <c r="K61" s="485"/>
      <c r="L61" s="487"/>
      <c r="M61" s="473"/>
      <c r="N61" s="13"/>
      <c r="O61" s="13"/>
      <c r="P61" s="50"/>
      <c r="Q61" s="355"/>
      <c r="AB61" s="51">
        <v>43474</v>
      </c>
      <c r="AC61" s="51">
        <v>43475</v>
      </c>
      <c r="AD61" s="51">
        <v>43476</v>
      </c>
      <c r="AE61" s="51">
        <v>43477</v>
      </c>
      <c r="AF61" s="51">
        <v>43478</v>
      </c>
      <c r="AG61" s="51">
        <v>43479</v>
      </c>
      <c r="AH61" s="51">
        <v>43480</v>
      </c>
      <c r="AI61" s="51">
        <v>43481</v>
      </c>
      <c r="AJ61" s="51">
        <v>43482</v>
      </c>
      <c r="AK61" s="51">
        <v>43483</v>
      </c>
      <c r="AL61" s="51">
        <v>43484</v>
      </c>
      <c r="AM61" s="51">
        <v>43485</v>
      </c>
      <c r="AN61" s="51">
        <v>43486</v>
      </c>
      <c r="AO61" s="51">
        <v>43487</v>
      </c>
      <c r="AP61" s="51">
        <v>43488</v>
      </c>
      <c r="AQ61" s="51">
        <v>43489</v>
      </c>
      <c r="AR61" s="51">
        <v>43490</v>
      </c>
      <c r="AS61" s="51">
        <v>43491</v>
      </c>
      <c r="AT61" s="51">
        <v>43492</v>
      </c>
      <c r="AU61" s="51">
        <v>43493</v>
      </c>
      <c r="AV61" s="51">
        <v>43494</v>
      </c>
      <c r="AW61" s="51">
        <v>43495</v>
      </c>
      <c r="AX61" s="51">
        <v>43496</v>
      </c>
    </row>
    <row r="62" spans="2:57" s="54" customFormat="1" ht="59.45" hidden="1" customHeight="1" thickBot="1">
      <c r="B62" s="460"/>
      <c r="C62" s="442"/>
      <c r="D62" s="443"/>
      <c r="E62" s="444"/>
      <c r="F62" s="445"/>
      <c r="G62" s="428"/>
      <c r="H62" s="429"/>
      <c r="I62" s="429"/>
      <c r="J62" s="449"/>
      <c r="K62" s="450"/>
      <c r="L62" s="464"/>
      <c r="M62" s="457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>
        <f>[20]January_2019!L7</f>
        <v>285.8</v>
      </c>
      <c r="AC62" s="57">
        <f>[20]January_2019!M7</f>
        <v>508.1</v>
      </c>
      <c r="AD62" s="57">
        <f>[20]January_2019!N7</f>
        <v>0</v>
      </c>
      <c r="AE62" s="57">
        <f>[20]January_2019!O7</f>
        <v>0</v>
      </c>
      <c r="AF62" s="57">
        <f>[20]January_2019!P7</f>
        <v>109.56666666666666</v>
      </c>
      <c r="AG62" s="57">
        <f>[20]January_2019!Q7</f>
        <v>297.64999999999998</v>
      </c>
      <c r="AH62" s="57">
        <f>[20]January_2019!R7</f>
        <v>122.3</v>
      </c>
      <c r="AI62" s="57">
        <f>[20]January_2019!S7</f>
        <v>0</v>
      </c>
      <c r="AJ62" s="57">
        <f>[20]January_2019!T7</f>
        <v>294.7</v>
      </c>
      <c r="AK62" s="57">
        <f>[20]January_2019!U7</f>
        <v>280.5</v>
      </c>
      <c r="AL62" s="57">
        <f>[20]January_2019!V7</f>
        <v>0</v>
      </c>
      <c r="AM62" s="57">
        <f>[20]January_2019!W7</f>
        <v>0</v>
      </c>
      <c r="AN62" s="57">
        <f>[20]January_2019!X7</f>
        <v>188.25</v>
      </c>
      <c r="AO62" s="57">
        <f>[20]January_2019!Y7</f>
        <v>295.7</v>
      </c>
      <c r="AP62" s="57">
        <f>[20]January_2019!Z7</f>
        <v>257.8</v>
      </c>
      <c r="AQ62" s="57">
        <f>[20]January_2019!AA7</f>
        <v>291.2</v>
      </c>
      <c r="AR62" s="57">
        <f>[20]January_2019!AB7</f>
        <v>187</v>
      </c>
      <c r="AS62" s="57">
        <f>[20]January_2019!AC7</f>
        <v>0</v>
      </c>
      <c r="AT62" s="57">
        <f>[20]January_2019!AD7</f>
        <v>0</v>
      </c>
      <c r="AU62" s="57">
        <f>[20]January_2019!AE7</f>
        <v>485.1</v>
      </c>
      <c r="AV62" s="57">
        <f>[20]January_2019!AF7</f>
        <v>171.55</v>
      </c>
      <c r="AW62" s="57">
        <f>[20]January_2019!AG7</f>
        <v>423.8</v>
      </c>
      <c r="AX62" s="277">
        <f>[20]January_2019!AH7</f>
        <v>0</v>
      </c>
      <c r="AY62" s="277"/>
      <c r="AZ62" s="277"/>
      <c r="BA62" s="277"/>
      <c r="BB62" s="277"/>
      <c r="BC62" s="277"/>
      <c r="BD62" s="277"/>
      <c r="BE62" s="277"/>
    </row>
    <row r="63" spans="2:57" s="54" customFormat="1" ht="14.25" hidden="1" customHeight="1" thickBot="1">
      <c r="B63" s="459"/>
      <c r="C63" s="431"/>
      <c r="D63" s="432"/>
      <c r="E63" s="433"/>
      <c r="F63" s="434"/>
      <c r="G63" s="435"/>
      <c r="H63" s="429"/>
      <c r="I63" s="429"/>
      <c r="J63" s="452"/>
      <c r="K63" s="437"/>
      <c r="L63" s="453"/>
      <c r="M63" s="422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59.45" customHeight="1" thickBot="1">
      <c r="B64" s="461" t="str">
        <f>J47</f>
        <v>CARIB</v>
      </c>
      <c r="C64" s="442">
        <v>45923</v>
      </c>
      <c r="D64" s="443">
        <f>[39]September_2025!$Z$3</f>
        <v>509.00000000000006</v>
      </c>
      <c r="E64" s="444"/>
      <c r="F64" s="444"/>
      <c r="G64" s="445">
        <f>[39]September_2025!$Z$7</f>
        <v>481.59999999999997</v>
      </c>
      <c r="H64" s="463"/>
      <c r="I64" s="463"/>
      <c r="J64" s="449" t="s">
        <v>188</v>
      </c>
      <c r="K64" s="450">
        <f>[40]September_2025!$Z$18</f>
        <v>0.56327485380116959</v>
      </c>
      <c r="L64" s="464">
        <f>(((D64+E64)-G64)/(D64+E64))*100</f>
        <v>5.3831041257367565</v>
      </c>
      <c r="M64" s="457" t="s">
        <v>182</v>
      </c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15.75" thickBot="1">
      <c r="B65" s="454"/>
      <c r="C65" s="431"/>
      <c r="D65" s="432"/>
      <c r="E65" s="433"/>
      <c r="F65" s="434"/>
      <c r="G65" s="435"/>
      <c r="H65" s="436"/>
      <c r="I65" s="451"/>
      <c r="J65" s="452"/>
      <c r="K65" s="437"/>
      <c r="L65" s="453"/>
      <c r="M65" s="422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36.6" customHeight="1" thickBot="1">
      <c r="B66" s="466" t="str">
        <f>I35</f>
        <v>GUINNESS</v>
      </c>
      <c r="C66" s="442">
        <v>45923</v>
      </c>
      <c r="D66" s="443">
        <f>[39]September_2025!$Z$23</f>
        <v>206.2</v>
      </c>
      <c r="E66" s="444"/>
      <c r="F66" s="445"/>
      <c r="G66" s="446">
        <f>[39]September_2025!$Z$28</f>
        <v>188</v>
      </c>
      <c r="H66" s="447"/>
      <c r="I66" s="448"/>
      <c r="J66" s="449" t="s">
        <v>189</v>
      </c>
      <c r="K66" s="450">
        <f>[40]September_2025!$Z$32</f>
        <v>0.3298245614035088</v>
      </c>
      <c r="L66" s="464">
        <f>(((D66+E66)-G66)/(D66+E66))*100</f>
        <v>8.8263821532492681</v>
      </c>
      <c r="M66" s="457" t="s">
        <v>182</v>
      </c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16.5" customHeight="1" thickBot="1">
      <c r="B67" s="438"/>
      <c r="C67" s="424"/>
      <c r="D67" s="425"/>
      <c r="E67" s="426"/>
      <c r="F67" s="427"/>
      <c r="G67" s="428"/>
      <c r="H67" s="429"/>
      <c r="I67" s="439"/>
      <c r="J67" s="440"/>
      <c r="K67" s="430"/>
      <c r="L67" s="441"/>
      <c r="M67" s="423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415"/>
      <c r="AC67" s="415"/>
      <c r="AD67" s="415"/>
      <c r="AE67" s="415"/>
      <c r="AF67" s="415"/>
      <c r="AG67" s="415"/>
      <c r="AH67" s="415"/>
      <c r="AI67" s="415"/>
      <c r="AJ67" s="415"/>
      <c r="AK67" s="415"/>
      <c r="AL67" s="415"/>
      <c r="AM67" s="415"/>
      <c r="AN67" s="415"/>
      <c r="AO67" s="415"/>
      <c r="AP67" s="415"/>
      <c r="AQ67" s="415"/>
      <c r="AR67" s="415"/>
      <c r="AS67" s="415"/>
      <c r="AT67" s="415"/>
      <c r="AU67" s="415"/>
      <c r="AV67" s="415"/>
      <c r="AW67" s="415"/>
    </row>
    <row r="68" spans="2:57" ht="18" customHeight="1" thickBot="1">
      <c r="B68" s="59"/>
      <c r="C68" s="30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 t="s">
        <v>41</v>
      </c>
      <c r="O68" s="56"/>
      <c r="P68" s="60"/>
    </row>
    <row r="69" spans="2:57" ht="15.75" thickBot="1">
      <c r="B69" s="474" t="s">
        <v>55</v>
      </c>
      <c r="C69" s="475"/>
      <c r="D69" s="475"/>
      <c r="E69" s="475"/>
      <c r="F69" s="476"/>
      <c r="G69" s="474" t="s">
        <v>56</v>
      </c>
      <c r="H69" s="475"/>
      <c r="I69" s="475"/>
      <c r="J69" s="476"/>
      <c r="K69" s="474" t="s">
        <v>51</v>
      </c>
      <c r="L69" s="475"/>
      <c r="M69" s="475"/>
      <c r="N69" s="477"/>
      <c r="O69" s="56"/>
      <c r="P69" s="50"/>
    </row>
    <row r="70" spans="2:57" ht="15">
      <c r="B70" s="61" t="s">
        <v>17</v>
      </c>
      <c r="C70" s="62" t="s">
        <v>36</v>
      </c>
      <c r="D70" s="62" t="s">
        <v>37</v>
      </c>
      <c r="E70" s="62" t="s">
        <v>38</v>
      </c>
      <c r="F70" s="63" t="s">
        <v>39</v>
      </c>
      <c r="G70" s="62" t="s">
        <v>36</v>
      </c>
      <c r="H70" s="62" t="s">
        <v>37</v>
      </c>
      <c r="I70" s="62" t="s">
        <v>38</v>
      </c>
      <c r="J70" s="63" t="s">
        <v>39</v>
      </c>
      <c r="K70" s="62" t="s">
        <v>36</v>
      </c>
      <c r="L70" s="62" t="s">
        <v>37</v>
      </c>
      <c r="M70" s="62" t="s">
        <v>38</v>
      </c>
      <c r="N70" s="63" t="s">
        <v>39</v>
      </c>
      <c r="O70" s="56"/>
      <c r="P70" s="64"/>
    </row>
    <row r="71" spans="2:57" ht="15">
      <c r="B71" s="29" t="s">
        <v>6</v>
      </c>
      <c r="C71" s="65"/>
      <c r="D71" s="76"/>
      <c r="E71" s="76"/>
      <c r="F71" s="66">
        <v>4.8</v>
      </c>
      <c r="G71" s="65"/>
      <c r="H71" s="76"/>
      <c r="I71" s="76"/>
      <c r="J71" s="66">
        <v>4.8</v>
      </c>
      <c r="K71" s="67"/>
      <c r="L71" s="194"/>
      <c r="M71" s="194"/>
      <c r="N71" s="68">
        <v>1</v>
      </c>
      <c r="O71" s="56"/>
      <c r="P71" s="69"/>
    </row>
    <row r="72" spans="2:57" ht="15">
      <c r="B72" s="33" t="s">
        <v>9</v>
      </c>
      <c r="C72" s="65"/>
      <c r="D72" s="76"/>
      <c r="E72" s="76"/>
      <c r="F72" s="66">
        <v>4.8</v>
      </c>
      <c r="G72" s="65"/>
      <c r="H72" s="76"/>
      <c r="I72" s="76"/>
      <c r="J72" s="66">
        <v>4.8</v>
      </c>
      <c r="K72" s="67"/>
      <c r="L72" s="194"/>
      <c r="M72" s="194"/>
      <c r="N72" s="68">
        <v>1</v>
      </c>
      <c r="P72" s="69"/>
    </row>
    <row r="73" spans="2:57" ht="15">
      <c r="B73" s="34" t="s">
        <v>40</v>
      </c>
      <c r="C73" s="65"/>
      <c r="D73" s="76"/>
      <c r="E73" s="76"/>
      <c r="F73" s="66">
        <v>5.5</v>
      </c>
      <c r="G73" s="65"/>
      <c r="H73" s="76"/>
      <c r="I73" s="76"/>
      <c r="J73" s="66">
        <v>5.5</v>
      </c>
      <c r="K73" s="67"/>
      <c r="L73" s="194"/>
      <c r="M73" s="194"/>
      <c r="N73" s="68">
        <v>1</v>
      </c>
      <c r="P73" s="69"/>
    </row>
    <row r="74" spans="2:57" ht="15">
      <c r="B74" s="22" t="s">
        <v>33</v>
      </c>
      <c r="C74" s="65"/>
      <c r="D74" s="76"/>
      <c r="E74" s="76"/>
      <c r="F74" s="66">
        <v>3.3</v>
      </c>
      <c r="G74" s="65"/>
      <c r="H74" s="76"/>
      <c r="I74" s="76"/>
      <c r="J74" s="66">
        <v>3.3</v>
      </c>
      <c r="K74" s="67"/>
      <c r="L74" s="194"/>
      <c r="M74" s="194"/>
      <c r="N74" s="68">
        <v>1</v>
      </c>
      <c r="P74" s="69"/>
    </row>
    <row r="75" spans="2:57" ht="15">
      <c r="B75" s="35" t="s">
        <v>165</v>
      </c>
      <c r="C75" s="65"/>
      <c r="D75" s="76"/>
      <c r="E75" s="76"/>
      <c r="F75" s="66">
        <v>3.3</v>
      </c>
      <c r="G75" s="282"/>
      <c r="H75" s="76"/>
      <c r="I75" s="76"/>
      <c r="J75" s="66">
        <v>3</v>
      </c>
      <c r="K75" s="67"/>
      <c r="L75" s="194"/>
      <c r="M75" s="194"/>
      <c r="N75" s="68">
        <v>1</v>
      </c>
      <c r="P75" s="69"/>
    </row>
    <row r="76" spans="2:57" ht="15">
      <c r="B76" s="36" t="s">
        <v>15</v>
      </c>
      <c r="C76" s="65"/>
      <c r="D76" s="76"/>
      <c r="E76" s="76"/>
      <c r="F76" s="70">
        <f>[21]May_2022!$M$43</f>
        <v>3.4878406700073312</v>
      </c>
      <c r="G76" s="282"/>
      <c r="H76" s="76"/>
      <c r="I76" s="76"/>
      <c r="J76" s="66">
        <v>5.5</v>
      </c>
      <c r="K76" s="67"/>
      <c r="L76" s="194"/>
      <c r="M76" s="194"/>
      <c r="N76" s="68">
        <v>1</v>
      </c>
      <c r="P76" s="69"/>
    </row>
    <row r="77" spans="2:57" ht="15">
      <c r="B77" s="37" t="s">
        <v>16</v>
      </c>
      <c r="C77" s="65"/>
      <c r="D77" s="76"/>
      <c r="E77" s="76"/>
      <c r="F77" s="66">
        <v>3.3</v>
      </c>
      <c r="G77" s="282"/>
      <c r="H77" s="76"/>
      <c r="I77" s="76"/>
      <c r="J77" s="66">
        <v>3.3</v>
      </c>
      <c r="K77" s="67"/>
      <c r="L77" s="194"/>
      <c r="M77" s="194"/>
      <c r="N77" s="71">
        <v>1</v>
      </c>
      <c r="P77" s="69"/>
    </row>
    <row r="78" spans="2:57" ht="15.75" thickBot="1">
      <c r="B78" s="38" t="s">
        <v>164</v>
      </c>
      <c r="C78" s="65"/>
      <c r="D78" s="76"/>
      <c r="E78" s="76"/>
      <c r="F78" s="66">
        <v>7.5</v>
      </c>
      <c r="G78" s="282"/>
      <c r="H78" s="76"/>
      <c r="I78" s="76"/>
      <c r="J78" s="66">
        <v>7.5</v>
      </c>
      <c r="K78" s="67"/>
      <c r="M78" s="194"/>
      <c r="N78" s="71">
        <v>1</v>
      </c>
      <c r="P78" s="69"/>
    </row>
    <row r="79" spans="2:57" ht="15.75" thickBot="1">
      <c r="B79" s="414" t="s">
        <v>161</v>
      </c>
      <c r="C79" s="65"/>
      <c r="D79" s="76"/>
      <c r="E79" s="76"/>
      <c r="F79" s="66">
        <v>4.8</v>
      </c>
      <c r="G79" s="282"/>
      <c r="H79" s="76"/>
      <c r="I79" s="76"/>
      <c r="J79" s="66">
        <v>4.8</v>
      </c>
      <c r="K79" s="67"/>
      <c r="L79" s="194"/>
      <c r="M79" s="194"/>
      <c r="N79" s="71">
        <v>1</v>
      </c>
      <c r="O79" s="74"/>
      <c r="P79" s="75"/>
    </row>
    <row r="80" spans="2:57" ht="15">
      <c r="D80" s="76"/>
      <c r="E80" s="76"/>
      <c r="F80" s="341">
        <v>5.5</v>
      </c>
      <c r="H80" s="76"/>
      <c r="I80" s="76"/>
      <c r="J80" s="341">
        <v>5.5</v>
      </c>
      <c r="L80" s="194"/>
      <c r="M80" s="194"/>
      <c r="N80" s="386">
        <v>1</v>
      </c>
    </row>
    <row r="84" spans="6:6">
      <c r="F84" s="315"/>
    </row>
    <row r="85" spans="6:6" ht="15">
      <c r="F85" s="341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31:N31"/>
    <mergeCell ref="D32:E32"/>
    <mergeCell ref="B33:B44"/>
    <mergeCell ref="D33:E34"/>
    <mergeCell ref="D35:E36"/>
    <mergeCell ref="D37:E38"/>
    <mergeCell ref="D39:E40"/>
    <mergeCell ref="D41:E42"/>
    <mergeCell ref="D43:E44"/>
    <mergeCell ref="B45:B54"/>
    <mergeCell ref="D45:E46"/>
    <mergeCell ref="J45:K45"/>
    <mergeCell ref="L46:N46"/>
    <mergeCell ref="D47:E48"/>
    <mergeCell ref="D49:E50"/>
    <mergeCell ref="D51:E52"/>
    <mergeCell ref="D53:E54"/>
    <mergeCell ref="D55:E55"/>
    <mergeCell ref="B60:B61"/>
    <mergeCell ref="C60:C61"/>
    <mergeCell ref="D60:D61"/>
    <mergeCell ref="E60:E61"/>
    <mergeCell ref="M60:M61"/>
    <mergeCell ref="B69:F69"/>
    <mergeCell ref="G69:J69"/>
    <mergeCell ref="K69:N69"/>
    <mergeCell ref="G60:G61"/>
    <mergeCell ref="H60:H61"/>
    <mergeCell ref="I60:I61"/>
    <mergeCell ref="J60:J61"/>
    <mergeCell ref="K60:K61"/>
    <mergeCell ref="L60:L61"/>
    <mergeCell ref="F60:F61"/>
  </mergeCells>
  <conditionalFormatting sqref="B55:B56">
    <cfRule type="cellIs" dxfId="983" priority="128" operator="notBetween">
      <formula>#REF!</formula>
      <formula>#REF!</formula>
    </cfRule>
  </conditionalFormatting>
  <conditionalFormatting sqref="C59">
    <cfRule type="cellIs" dxfId="982" priority="159" stopIfTrue="1" operator="lessThan">
      <formula>96</formula>
    </cfRule>
    <cfRule type="cellIs" dxfId="981" priority="160" stopIfTrue="1" operator="greaterThan">
      <formula>100</formula>
    </cfRule>
  </conditionalFormatting>
  <conditionalFormatting sqref="C71:C72">
    <cfRule type="cellIs" dxfId="980" priority="163" stopIfTrue="1" operator="greaterThan">
      <formula>$F72</formula>
    </cfRule>
    <cfRule type="cellIs" dxfId="979" priority="161" stopIfTrue="1" operator="greaterThan">
      <formula>$F71</formula>
    </cfRule>
  </conditionalFormatting>
  <conditionalFormatting sqref="C71:C75">
    <cfRule type="cellIs" dxfId="978" priority="109" stopIfTrue="1" operator="lessThanOrEqual">
      <formula>0</formula>
    </cfRule>
  </conditionalFormatting>
  <conditionalFormatting sqref="C72:C79">
    <cfRule type="cellIs" dxfId="977" priority="108" stopIfTrue="1" operator="greaterThan">
      <formula>$F72</formula>
    </cfRule>
  </conditionalFormatting>
  <conditionalFormatting sqref="C76">
    <cfRule type="cellIs" dxfId="976" priority="48" stopIfTrue="1" operator="greaterThan">
      <formula>$F75</formula>
    </cfRule>
    <cfRule type="cellIs" dxfId="975" priority="47" stopIfTrue="1" operator="lessThanOrEqual">
      <formula>0</formula>
    </cfRule>
  </conditionalFormatting>
  <conditionalFormatting sqref="C77:C79">
    <cfRule type="cellIs" dxfId="974" priority="125" stopIfTrue="1" operator="lessThanOrEqual">
      <formula>0</formula>
    </cfRule>
  </conditionalFormatting>
  <conditionalFormatting sqref="C82:C86">
    <cfRule type="cellIs" dxfId="973" priority="151" stopIfTrue="1" operator="lessThanOrEqual">
      <formula>0</formula>
    </cfRule>
  </conditionalFormatting>
  <conditionalFormatting sqref="C83:C86">
    <cfRule type="cellIs" dxfId="972" priority="150" stopIfTrue="1" operator="greaterThan">
      <formula>$F$82</formula>
    </cfRule>
  </conditionalFormatting>
  <conditionalFormatting sqref="C88">
    <cfRule type="cellIs" dxfId="971" priority="153" stopIfTrue="1" operator="lessThanOrEqual">
      <formula>0</formula>
    </cfRule>
    <cfRule type="cellIs" dxfId="970" priority="152" stopIfTrue="1" operator="greaterThan">
      <formula>$F$82</formula>
    </cfRule>
  </conditionalFormatting>
  <conditionalFormatting sqref="C82:D82 D84:D90">
    <cfRule type="cellIs" dxfId="969" priority="145" stopIfTrue="1" operator="greaterThan">
      <formula>4.5</formula>
    </cfRule>
  </conditionalFormatting>
  <conditionalFormatting sqref="D55:D56">
    <cfRule type="cellIs" dxfId="968" priority="129" operator="notBetween">
      <formula>#REF!</formula>
      <formula>#REF!</formula>
    </cfRule>
  </conditionalFormatting>
  <conditionalFormatting sqref="D71:D78">
    <cfRule type="cellIs" dxfId="967" priority="123" stopIfTrue="1" operator="lessThanOrEqual">
      <formula>0</formula>
    </cfRule>
  </conditionalFormatting>
  <conditionalFormatting sqref="D79">
    <cfRule type="cellIs" dxfId="966" priority="122" stopIfTrue="1" operator="lessThanOrEqual">
      <formula>0</formula>
    </cfRule>
  </conditionalFormatting>
  <conditionalFormatting sqref="D82 D84:D90">
    <cfRule type="cellIs" dxfId="965" priority="146" stopIfTrue="1" operator="lessThanOrEqual">
      <formula>0</formula>
    </cfRule>
  </conditionalFormatting>
  <conditionalFormatting sqref="D83">
    <cfRule type="cellIs" dxfId="964" priority="138" stopIfTrue="1" operator="lessThanOrEqual">
      <formula>0</formula>
    </cfRule>
    <cfRule type="cellIs" dxfId="963" priority="137" stopIfTrue="1" operator="greaterThan">
      <formula>$F$82</formula>
    </cfRule>
  </conditionalFormatting>
  <conditionalFormatting sqref="D71:E80">
    <cfRule type="cellIs" dxfId="962" priority="106" stopIfTrue="1" operator="greaterThan">
      <formula>$F71</formula>
    </cfRule>
  </conditionalFormatting>
  <conditionalFormatting sqref="D80:E80">
    <cfRule type="cellIs" dxfId="961" priority="107" stopIfTrue="1" operator="lessThanOrEqual">
      <formula>0</formula>
    </cfRule>
  </conditionalFormatting>
  <conditionalFormatting sqref="E10:E30">
    <cfRule type="cellIs" dxfId="960" priority="33" operator="lessThan">
      <formula>48</formula>
    </cfRule>
  </conditionalFormatting>
  <conditionalFormatting sqref="E58 E59:F59">
    <cfRule type="cellIs" dxfId="959" priority="142" stopIfTrue="1" operator="greaterThan">
      <formula>100</formula>
    </cfRule>
  </conditionalFormatting>
  <conditionalFormatting sqref="E59">
    <cfRule type="cellIs" dxfId="958" priority="140" stopIfTrue="1" operator="greaterThan">
      <formula>100</formula>
    </cfRule>
    <cfRule type="cellIs" dxfId="957" priority="139" stopIfTrue="1" operator="lessThan">
      <formula>96.8</formula>
    </cfRule>
  </conditionalFormatting>
  <conditionalFormatting sqref="E71:E79">
    <cfRule type="cellIs" dxfId="956" priority="117" stopIfTrue="1" operator="lessThanOrEqual">
      <formula>0</formula>
    </cfRule>
  </conditionalFormatting>
  <conditionalFormatting sqref="E82:E90">
    <cfRule type="cellIs" dxfId="955" priority="132" stopIfTrue="1" operator="lessThanOrEqual">
      <formula>0</formula>
    </cfRule>
    <cfRule type="cellIs" dxfId="954" priority="131" stopIfTrue="1" operator="greaterThan">
      <formula>4.5</formula>
    </cfRule>
  </conditionalFormatting>
  <conditionalFormatting sqref="E59:F59 E58">
    <cfRule type="cellIs" dxfId="953" priority="141" stopIfTrue="1" operator="lessThan">
      <formula>96.5</formula>
    </cfRule>
  </conditionalFormatting>
  <conditionalFormatting sqref="F10:F29">
    <cfRule type="cellIs" dxfId="952" priority="45" operator="greaterThan">
      <formula>60</formula>
    </cfRule>
  </conditionalFormatting>
  <conditionalFormatting sqref="F59">
    <cfRule type="cellIs" dxfId="951" priority="158" stopIfTrue="1" operator="greaterThan">
      <formula>100</formula>
    </cfRule>
    <cfRule type="cellIs" dxfId="950" priority="157" stopIfTrue="1" operator="lessThan">
      <formula>96.8</formula>
    </cfRule>
  </conditionalFormatting>
  <conditionalFormatting sqref="F80">
    <cfRule type="cellIs" dxfId="949" priority="118" stopIfTrue="1" operator="greaterThan">
      <formula>$F80</formula>
    </cfRule>
    <cfRule type="cellIs" dxfId="948" priority="119" stopIfTrue="1" operator="lessThanOrEqual">
      <formula>0</formula>
    </cfRule>
  </conditionalFormatting>
  <conditionalFormatting sqref="F85">
    <cfRule type="cellIs" dxfId="947" priority="78" stopIfTrue="1" operator="lessThanOrEqual">
      <formula>0</formula>
    </cfRule>
    <cfRule type="cellIs" dxfId="946" priority="77" stopIfTrue="1" operator="greaterThan">
      <formula>$F85</formula>
    </cfRule>
  </conditionalFormatting>
  <conditionalFormatting sqref="G10:G28 G30">
    <cfRule type="expression" dxfId="945" priority="42">
      <formula>IF(+(IF(G10&lt;S10,0,IF(G10&gt;T10,0,1)))=0,1)</formula>
    </cfRule>
  </conditionalFormatting>
  <conditionalFormatting sqref="G71:G73">
    <cfRule type="cellIs" dxfId="944" priority="110" stopIfTrue="1" operator="greaterThan">
      <formula>$F71</formula>
    </cfRule>
    <cfRule type="cellIs" dxfId="943" priority="111" stopIfTrue="1" operator="lessThanOrEqual">
      <formula>0</formula>
    </cfRule>
  </conditionalFormatting>
  <conditionalFormatting sqref="G71:G74">
    <cfRule type="cellIs" dxfId="942" priority="120" stopIfTrue="1" operator="greaterThan">
      <formula>$F71</formula>
    </cfRule>
    <cfRule type="cellIs" dxfId="941" priority="121" stopIfTrue="1" operator="lessThanOrEqual">
      <formula>0</formula>
    </cfRule>
  </conditionalFormatting>
  <conditionalFormatting sqref="G75:G79">
    <cfRule type="cellIs" dxfId="940" priority="126" stopIfTrue="1" operator="greaterThan">
      <formula>$J75</formula>
    </cfRule>
    <cfRule type="cellIs" dxfId="939" priority="127" stopIfTrue="1" operator="lessThanOrEqual">
      <formula>0</formula>
    </cfRule>
  </conditionalFormatting>
  <conditionalFormatting sqref="G84:G89 C87 C89">
    <cfRule type="cellIs" dxfId="938" priority="154" stopIfTrue="1" operator="greaterThan">
      <formula>4.5</formula>
    </cfRule>
    <cfRule type="cellIs" dxfId="937" priority="155" stopIfTrue="1" operator="lessThanOrEqual">
      <formula>0</formula>
    </cfRule>
  </conditionalFormatting>
  <conditionalFormatting sqref="G83:H83">
    <cfRule type="cellIs" dxfId="936" priority="136" stopIfTrue="1" operator="lessThanOrEqual">
      <formula>0</formula>
    </cfRule>
    <cfRule type="cellIs" dxfId="935" priority="135" stopIfTrue="1" operator="greaterThan">
      <formula>$F$82</formula>
    </cfRule>
  </conditionalFormatting>
  <conditionalFormatting sqref="H10:H28 G29:H29">
    <cfRule type="expression" dxfId="934" priority="46">
      <formula>IF(+(IF(G10&lt;#REF!,0,IF(G10&gt;#REF!,0,1)))=0,1)</formula>
    </cfRule>
  </conditionalFormatting>
  <conditionalFormatting sqref="H30">
    <cfRule type="expression" dxfId="933" priority="43">
      <formula>IF(+(IF(H30&lt;#REF!,0,IF(H30&gt;#REF!,0,1)))=0,1)</formula>
    </cfRule>
  </conditionalFormatting>
  <conditionalFormatting sqref="H44:H58">
    <cfRule type="cellIs" dxfId="932" priority="133" stopIfTrue="1" operator="greaterThan">
      <formula>0</formula>
    </cfRule>
  </conditionalFormatting>
  <conditionalFormatting sqref="H62">
    <cfRule type="cellIs" dxfId="931" priority="16" stopIfTrue="1" operator="lessThanOrEqual">
      <formula>0</formula>
    </cfRule>
    <cfRule type="cellIs" dxfId="930" priority="15" stopIfTrue="1" operator="greaterThan">
      <formula>$F$50</formula>
    </cfRule>
    <cfRule type="cellIs" dxfId="929" priority="14" stopIfTrue="1" operator="lessThanOrEqual">
      <formula>0</formula>
    </cfRule>
    <cfRule type="cellIs" dxfId="928" priority="13" stopIfTrue="1" operator="greaterThan">
      <formula>$F$52</formula>
    </cfRule>
    <cfRule type="cellIs" dxfId="927" priority="5" stopIfTrue="1" operator="greaterThan">
      <formula>$F$49</formula>
    </cfRule>
    <cfRule type="cellIs" dxfId="926" priority="4" stopIfTrue="1" operator="lessThanOrEqual">
      <formula>0</formula>
    </cfRule>
  </conditionalFormatting>
  <conditionalFormatting sqref="H63">
    <cfRule type="cellIs" dxfId="925" priority="64" stopIfTrue="1" operator="lessThanOrEqual">
      <formula>0</formula>
    </cfRule>
    <cfRule type="cellIs" dxfId="924" priority="65" stopIfTrue="1" operator="greaterThan">
      <formula>#REF!</formula>
    </cfRule>
    <cfRule type="cellIs" dxfId="923" priority="74" stopIfTrue="1" operator="lessThanOrEqual">
      <formula>0</formula>
    </cfRule>
    <cfRule type="cellIs" dxfId="922" priority="75" stopIfTrue="1" operator="greaterThan">
      <formula>#REF!</formula>
    </cfRule>
    <cfRule type="cellIs" dxfId="921" priority="76" stopIfTrue="1" operator="lessThanOrEqual">
      <formula>0</formula>
    </cfRule>
    <cfRule type="cellIs" dxfId="920" priority="73" stopIfTrue="1" operator="greaterThan">
      <formula>$F$31</formula>
    </cfRule>
  </conditionalFormatting>
  <conditionalFormatting sqref="H64">
    <cfRule type="cellIs" dxfId="919" priority="30" stopIfTrue="1" operator="greaterThan">
      <formula>#REF!</formula>
    </cfRule>
    <cfRule type="cellIs" dxfId="918" priority="20" stopIfTrue="1" operator="greaterThan">
      <formula>#REF!</formula>
    </cfRule>
    <cfRule type="cellIs" dxfId="917" priority="19" stopIfTrue="1" operator="lessThanOrEqual">
      <formula>0</formula>
    </cfRule>
  </conditionalFormatting>
  <conditionalFormatting sqref="H64:H66">
    <cfRule type="cellIs" dxfId="916" priority="31" stopIfTrue="1" operator="lessThanOrEqual">
      <formula>0</formula>
    </cfRule>
  </conditionalFormatting>
  <conditionalFormatting sqref="H65:H66">
    <cfRule type="cellIs" dxfId="915" priority="62" stopIfTrue="1" operator="lessThanOrEqual">
      <formula>0</formula>
    </cfRule>
    <cfRule type="cellIs" dxfId="914" priority="51" stopIfTrue="1" operator="greaterThan">
      <formula>#REF!</formula>
    </cfRule>
    <cfRule type="cellIs" dxfId="913" priority="59" stopIfTrue="1" operator="greaterThan">
      <formula>$F$30</formula>
    </cfRule>
    <cfRule type="cellIs" dxfId="912" priority="60" stopIfTrue="1" operator="lessThanOrEqual">
      <formula>0</formula>
    </cfRule>
    <cfRule type="cellIs" dxfId="911" priority="61" stopIfTrue="1" operator="greaterThan">
      <formula>#REF!</formula>
    </cfRule>
  </conditionalFormatting>
  <conditionalFormatting sqref="H67">
    <cfRule type="cellIs" dxfId="910" priority="90" stopIfTrue="1" operator="greaterThan">
      <formula>$F$46</formula>
    </cfRule>
    <cfRule type="cellIs" dxfId="909" priority="81" stopIfTrue="1" operator="lessThanOrEqual">
      <formula>0</formula>
    </cfRule>
    <cfRule type="cellIs" dxfId="908" priority="92" stopIfTrue="1" operator="greaterThan">
      <formula>$F$44</formula>
    </cfRule>
    <cfRule type="cellIs" dxfId="907" priority="93" stopIfTrue="1" operator="lessThanOrEqual">
      <formula>0</formula>
    </cfRule>
    <cfRule type="cellIs" dxfId="906" priority="82" stopIfTrue="1" operator="greaterThan">
      <formula>$F$43</formula>
    </cfRule>
    <cfRule type="cellIs" dxfId="905" priority="91" stopIfTrue="1" operator="lessThanOrEqual">
      <formula>0</formula>
    </cfRule>
  </conditionalFormatting>
  <conditionalFormatting sqref="H71:H78">
    <cfRule type="cellIs" dxfId="904" priority="113" stopIfTrue="1" operator="lessThanOrEqual">
      <formula>0</formula>
    </cfRule>
    <cfRule type="cellIs" dxfId="903" priority="112" stopIfTrue="1" operator="greaterThan">
      <formula>$J71</formula>
    </cfRule>
  </conditionalFormatting>
  <conditionalFormatting sqref="H79">
    <cfRule type="cellIs" dxfId="902" priority="114" operator="greaterThan">
      <formula>5.3</formula>
    </cfRule>
  </conditionalFormatting>
  <conditionalFormatting sqref="H82 H84:H90">
    <cfRule type="cellIs" dxfId="901" priority="147" stopIfTrue="1" operator="greaterThan">
      <formula>4.5</formula>
    </cfRule>
    <cfRule type="cellIs" dxfId="900" priority="148" stopIfTrue="1" operator="lessThanOrEqual">
      <formula>0</formula>
    </cfRule>
  </conditionalFormatting>
  <conditionalFormatting sqref="H62:I62">
    <cfRule type="cellIs" dxfId="899" priority="6" stopIfTrue="1" operator="lessThanOrEqual">
      <formula>0</formula>
    </cfRule>
    <cfRule type="cellIs" dxfId="898" priority="3" stopIfTrue="1" operator="greaterThan">
      <formula>$F$51</formula>
    </cfRule>
  </conditionalFormatting>
  <conditionalFormatting sqref="H63:I63">
    <cfRule type="cellIs" dxfId="897" priority="63" stopIfTrue="1" operator="greaterThan">
      <formula>$F$30</formula>
    </cfRule>
    <cfRule type="cellIs" dxfId="896" priority="66" stopIfTrue="1" operator="lessThanOrEqual">
      <formula>0</formula>
    </cfRule>
  </conditionalFormatting>
  <conditionalFormatting sqref="H64:I64">
    <cfRule type="cellIs" dxfId="895" priority="21" stopIfTrue="1" operator="lessThanOrEqual">
      <formula>0</formula>
    </cfRule>
    <cfRule type="cellIs" dxfId="894" priority="18" stopIfTrue="1" operator="greaterThan">
      <formula>#REF!</formula>
    </cfRule>
    <cfRule type="cellIs" dxfId="893" priority="27" stopIfTrue="1" operator="lessThanOrEqual">
      <formula>0</formula>
    </cfRule>
  </conditionalFormatting>
  <conditionalFormatting sqref="H64:I66">
    <cfRule type="cellIs" dxfId="892" priority="26" stopIfTrue="1" operator="greaterThan">
      <formula>#REF!</formula>
    </cfRule>
  </conditionalFormatting>
  <conditionalFormatting sqref="H65:I66">
    <cfRule type="cellIs" dxfId="891" priority="52" stopIfTrue="1" operator="lessThanOrEqual">
      <formula>0</formula>
    </cfRule>
  </conditionalFormatting>
  <conditionalFormatting sqref="H67:I67">
    <cfRule type="cellIs" dxfId="890" priority="83" stopIfTrue="1" operator="lessThanOrEqual">
      <formula>0</formula>
    </cfRule>
    <cfRule type="cellIs" dxfId="889" priority="80" stopIfTrue="1" operator="greaterThan">
      <formula>$F$45</formula>
    </cfRule>
  </conditionalFormatting>
  <conditionalFormatting sqref="H80:I80">
    <cfRule type="cellIs" dxfId="888" priority="104" stopIfTrue="1" operator="greaterThan">
      <formula>$J80</formula>
    </cfRule>
    <cfRule type="cellIs" dxfId="887" priority="105" stopIfTrue="1" operator="lessThanOrEqual">
      <formula>0</formula>
    </cfRule>
  </conditionalFormatting>
  <conditionalFormatting sqref="I62">
    <cfRule type="cellIs" dxfId="886" priority="10" stopIfTrue="1" operator="lessThanOrEqual">
      <formula>0</formula>
    </cfRule>
    <cfRule type="cellIs" dxfId="885" priority="9" stopIfTrue="1" operator="greaterThan">
      <formula>$F$51</formula>
    </cfRule>
    <cfRule type="cellIs" dxfId="884" priority="8" stopIfTrue="1" operator="lessThanOrEqual">
      <formula>0</formula>
    </cfRule>
    <cfRule type="cellIs" dxfId="883" priority="7" stopIfTrue="1" operator="greaterThan">
      <formula>$F$49</formula>
    </cfRule>
    <cfRule type="cellIs" dxfId="882" priority="12" stopIfTrue="1" operator="lessThanOrEqual">
      <formula>0</formula>
    </cfRule>
    <cfRule type="cellIs" dxfId="881" priority="11" stopIfTrue="1" operator="greaterThan">
      <formula>$F$49</formula>
    </cfRule>
  </conditionalFormatting>
  <conditionalFormatting sqref="I63">
    <cfRule type="cellIs" dxfId="880" priority="72" stopIfTrue="1" operator="lessThanOrEqual">
      <formula>0</formula>
    </cfRule>
    <cfRule type="cellIs" dxfId="879" priority="71" stopIfTrue="1" operator="greaterThan">
      <formula>#REF!</formula>
    </cfRule>
    <cfRule type="cellIs" dxfId="878" priority="70" stopIfTrue="1" operator="lessThanOrEqual">
      <formula>0</formula>
    </cfRule>
    <cfRule type="cellIs" dxfId="877" priority="69" stopIfTrue="1" operator="greaterThan">
      <formula>$F$30</formula>
    </cfRule>
    <cfRule type="cellIs" dxfId="876" priority="67" stopIfTrue="1" operator="greaterThan">
      <formula>#REF!</formula>
    </cfRule>
    <cfRule type="cellIs" dxfId="875" priority="68" stopIfTrue="1" operator="lessThanOrEqual">
      <formula>0</formula>
    </cfRule>
  </conditionalFormatting>
  <conditionalFormatting sqref="I64">
    <cfRule type="cellIs" dxfId="874" priority="25" stopIfTrue="1" operator="lessThanOrEqual">
      <formula>0</formula>
    </cfRule>
    <cfRule type="cellIs" dxfId="873" priority="22" stopIfTrue="1" operator="greaterThan">
      <formula>#REF!</formula>
    </cfRule>
    <cfRule type="cellIs" dxfId="872" priority="23" stopIfTrue="1" operator="lessThanOrEqual">
      <formula>0</formula>
    </cfRule>
    <cfRule type="cellIs" dxfId="871" priority="24" stopIfTrue="1" operator="greaterThan">
      <formula>#REF!</formula>
    </cfRule>
  </conditionalFormatting>
  <conditionalFormatting sqref="I65:I66">
    <cfRule type="cellIs" dxfId="870" priority="53" stopIfTrue="1" operator="greaterThan">
      <formula>#REF!</formula>
    </cfRule>
    <cfRule type="cellIs" dxfId="869" priority="54" stopIfTrue="1" operator="lessThanOrEqual">
      <formula>0</formula>
    </cfRule>
    <cfRule type="cellIs" dxfId="868" priority="55" stopIfTrue="1" operator="greaterThan">
      <formula>#REF!</formula>
    </cfRule>
    <cfRule type="cellIs" dxfId="867" priority="56" stopIfTrue="1" operator="lessThanOrEqual">
      <formula>0</formula>
    </cfRule>
    <cfRule type="cellIs" dxfId="866" priority="57" stopIfTrue="1" operator="greaterThan">
      <formula>#REF!</formula>
    </cfRule>
    <cfRule type="cellIs" dxfId="865" priority="58" stopIfTrue="1" operator="lessThanOrEqual">
      <formula>0</formula>
    </cfRule>
  </conditionalFormatting>
  <conditionalFormatting sqref="I67">
    <cfRule type="cellIs" dxfId="864" priority="88" stopIfTrue="1" operator="greaterThan">
      <formula>$F$43</formula>
    </cfRule>
    <cfRule type="cellIs" dxfId="863" priority="87" stopIfTrue="1" operator="lessThanOrEqual">
      <formula>0</formula>
    </cfRule>
    <cfRule type="cellIs" dxfId="862" priority="86" stopIfTrue="1" operator="greaterThan">
      <formula>$F$45</formula>
    </cfRule>
    <cfRule type="cellIs" dxfId="861" priority="89" stopIfTrue="1" operator="lessThanOrEqual">
      <formula>0</formula>
    </cfRule>
    <cfRule type="cellIs" dxfId="860" priority="85" stopIfTrue="1" operator="lessThanOrEqual">
      <formula>0</formula>
    </cfRule>
    <cfRule type="cellIs" dxfId="859" priority="84" stopIfTrue="1" operator="greaterThan">
      <formula>$F$43</formula>
    </cfRule>
  </conditionalFormatting>
  <conditionalFormatting sqref="I71:I79">
    <cfRule type="cellIs" dxfId="858" priority="116" stopIfTrue="1" operator="lessThanOrEqual">
      <formula>0</formula>
    </cfRule>
    <cfRule type="cellIs" dxfId="857" priority="115" stopIfTrue="1" operator="greaterThan">
      <formula>$J71</formula>
    </cfRule>
  </conditionalFormatting>
  <conditionalFormatting sqref="I82:I90">
    <cfRule type="cellIs" dxfId="856" priority="143" stopIfTrue="1" operator="greaterThan">
      <formula>4.5</formula>
    </cfRule>
    <cfRule type="cellIs" dxfId="855" priority="144" stopIfTrue="1" operator="lessThanOrEqual">
      <formula>0</formula>
    </cfRule>
  </conditionalFormatting>
  <conditionalFormatting sqref="I10:J30">
    <cfRule type="cellIs" dxfId="854" priority="34" operator="lessThan">
      <formula>97.9</formula>
    </cfRule>
  </conditionalFormatting>
  <conditionalFormatting sqref="J33:J39">
    <cfRule type="cellIs" dxfId="853" priority="94" operator="lessThan">
      <formula>97.4</formula>
    </cfRule>
  </conditionalFormatting>
  <conditionalFormatting sqref="J33:J41">
    <cfRule type="cellIs" dxfId="852" priority="95" stopIfTrue="1" operator="lessThan">
      <formula>96.8</formula>
    </cfRule>
    <cfRule type="cellIs" dxfId="851" priority="96" stopIfTrue="1" operator="greaterThan">
      <formula>100</formula>
    </cfRule>
  </conditionalFormatting>
  <conditionalFormatting sqref="J33:J42">
    <cfRule type="cellIs" dxfId="850" priority="97" operator="lessThan">
      <formula>98</formula>
    </cfRule>
  </conditionalFormatting>
  <conditionalFormatting sqref="J80">
    <cfRule type="cellIs" dxfId="849" priority="101" stopIfTrue="1" operator="greaterThan">
      <formula>$F80</formula>
    </cfRule>
    <cfRule type="cellIs" dxfId="848" priority="102" stopIfTrue="1" operator="lessThanOrEqual">
      <formula>0</formula>
    </cfRule>
  </conditionalFormatting>
  <conditionalFormatting sqref="K10:K30">
    <cfRule type="cellIs" dxfId="847" priority="37" operator="greaterThan">
      <formula>6</formula>
    </cfRule>
    <cfRule type="cellIs" dxfId="846" priority="38" operator="lessThan">
      <formula>4</formula>
    </cfRule>
    <cfRule type="cellIs" dxfId="845" priority="39" operator="greaterThan">
      <formula>6.4</formula>
    </cfRule>
  </conditionalFormatting>
  <conditionalFormatting sqref="K62:K67">
    <cfRule type="cellIs" dxfId="844" priority="17" stopIfTrue="1" operator="lessThan">
      <formula>100%</formula>
    </cfRule>
  </conditionalFormatting>
  <conditionalFormatting sqref="K82:K87">
    <cfRule type="cellIs" dxfId="843" priority="149" stopIfTrue="1" operator="lessThan">
      <formula>100%</formula>
    </cfRule>
  </conditionalFormatting>
  <conditionalFormatting sqref="K89:K90">
    <cfRule type="cellIs" dxfId="842" priority="156" stopIfTrue="1" operator="lessThan">
      <formula>100%</formula>
    </cfRule>
  </conditionalFormatting>
  <conditionalFormatting sqref="K71:N77 K78 M78:N78 K79:N79">
    <cfRule type="cellIs" dxfId="841" priority="79" stopIfTrue="1" operator="lessThan">
      <formula>100%</formula>
    </cfRule>
  </conditionalFormatting>
  <conditionalFormatting sqref="L10:L30">
    <cfRule type="cellIs" dxfId="840" priority="35" operator="between">
      <formula>61</formula>
      <formula>65</formula>
    </cfRule>
    <cfRule type="cellIs" dxfId="839" priority="36" operator="greaterThan">
      <formula>65</formula>
    </cfRule>
  </conditionalFormatting>
  <conditionalFormatting sqref="L33:M44">
    <cfRule type="cellIs" dxfId="838" priority="1" operator="lessThan">
      <formula>98</formula>
    </cfRule>
  </conditionalFormatting>
  <conditionalFormatting sqref="L48:N48">
    <cfRule type="cellIs" dxfId="837" priority="32" operator="notEqual">
      <formula>#REF!</formula>
    </cfRule>
  </conditionalFormatting>
  <conditionalFormatting sqref="L80:N80">
    <cfRule type="cellIs" dxfId="836" priority="103" stopIfTrue="1" operator="lessThan">
      <formula>100%</formula>
    </cfRule>
  </conditionalFormatting>
  <conditionalFormatting sqref="L82:N90">
    <cfRule type="cellIs" dxfId="835" priority="134" stopIfTrue="1" operator="lessThan">
      <formula>100%</formula>
    </cfRule>
  </conditionalFormatting>
  <conditionalFormatting sqref="M10:M28 M30">
    <cfRule type="expression" dxfId="834" priority="41">
      <formula>IF(+(IF(M10&lt;U10,0,IF(M10&gt;V10,0,1)))=0,1)</formula>
    </cfRule>
  </conditionalFormatting>
  <conditionalFormatting sqref="M29:N29">
    <cfRule type="expression" dxfId="833" priority="162">
      <formula>IF(+(IF(M29&lt;#REF!,0,IF(M29&gt;#REF!,0,1)))=0,1)</formula>
    </cfRule>
  </conditionalFormatting>
  <conditionalFormatting sqref="N10:N28 N30">
    <cfRule type="expression" dxfId="832" priority="40">
      <formula>IF(+(IF(N10&lt;W10,0,IF(N10&gt;X10,0,1)))=0,1)</formula>
    </cfRule>
  </conditionalFormatting>
  <conditionalFormatting sqref="P6">
    <cfRule type="cellIs" dxfId="831" priority="130" operator="greaterThanOrEqual">
      <formula>19</formula>
    </cfRule>
  </conditionalFormatting>
  <dataValidations count="1">
    <dataValidation type="list" allowBlank="1" showInputMessage="1" showErrorMessage="1" sqref="R8" xr:uid="{F7C2DA9A-6C96-4079-8217-3F25438E23FA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4" max="16383" man="1"/>
  </rowBreaks>
  <colBreaks count="1" manualBreakCount="1">
    <brk id="15" max="89" man="1"/>
  </colBreak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1DA95-C67A-4F67-A6DA-EBB0A4A6F754}">
  <sheetPr>
    <pageSetUpPr fitToPage="1"/>
  </sheetPr>
  <dimension ref="A1:BE80"/>
  <sheetViews>
    <sheetView topLeftCell="A31" zoomScale="60" zoomScaleNormal="60" workbookViewId="0">
      <selection activeCell="M48" sqref="M48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25" t="s">
        <v>0</v>
      </c>
      <c r="T1" s="525"/>
      <c r="U1" s="525" t="s">
        <v>1</v>
      </c>
      <c r="V1" s="525"/>
      <c r="W1" s="525" t="s">
        <v>2</v>
      </c>
      <c r="X1" s="525"/>
      <c r="Y1" s="525" t="s">
        <v>124</v>
      </c>
      <c r="Z1" s="525"/>
    </row>
    <row r="2" spans="2:29" ht="15">
      <c r="B2" s="526" t="s">
        <v>3</v>
      </c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45925</v>
      </c>
      <c r="J4" s="398" t="s">
        <v>168</v>
      </c>
      <c r="K4" s="398"/>
      <c r="L4" s="11"/>
      <c r="M4" s="547" t="s">
        <v>8</v>
      </c>
      <c r="N4" s="548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44"/>
      <c r="D5" s="544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167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84" t="s">
        <v>17</v>
      </c>
      <c r="C8" s="494" t="s">
        <v>18</v>
      </c>
      <c r="D8" s="494" t="s">
        <v>19</v>
      </c>
      <c r="E8" s="356" t="s">
        <v>20</v>
      </c>
      <c r="F8" s="356" t="s">
        <v>21</v>
      </c>
      <c r="G8" s="494" t="s">
        <v>22</v>
      </c>
      <c r="H8" s="535" t="s">
        <v>144</v>
      </c>
      <c r="I8" s="494" t="s">
        <v>166</v>
      </c>
      <c r="J8" s="537" t="s">
        <v>23</v>
      </c>
      <c r="K8" s="539" t="s">
        <v>142</v>
      </c>
      <c r="L8" s="541" t="s">
        <v>24</v>
      </c>
      <c r="M8" s="359" t="s">
        <v>25</v>
      </c>
      <c r="N8" s="17" t="s">
        <v>26</v>
      </c>
      <c r="O8" s="488" t="s">
        <v>155</v>
      </c>
      <c r="P8" s="56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33"/>
      <c r="C9" s="534"/>
      <c r="D9" s="534"/>
      <c r="E9" s="357" t="s">
        <v>30</v>
      </c>
      <c r="F9" s="357" t="s">
        <v>31</v>
      </c>
      <c r="G9" s="534"/>
      <c r="H9" s="536"/>
      <c r="I9" s="534"/>
      <c r="J9" s="538"/>
      <c r="K9" s="540"/>
      <c r="L9" s="542"/>
      <c r="M9" s="20" t="s">
        <v>32</v>
      </c>
      <c r="N9" s="21" t="s">
        <v>41</v>
      </c>
      <c r="O9" s="573"/>
      <c r="P9" s="561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29" t="s">
        <v>6</v>
      </c>
      <c r="C10" s="366" t="str">
        <f>[22]Brewhouse!$A816</f>
        <v>CA707</v>
      </c>
      <c r="D10" s="279">
        <f>[22]Brewhouse!$AF816</f>
        <v>51.6</v>
      </c>
      <c r="E10" s="279">
        <f>[22]Brewhouse!$AI816</f>
        <v>50.9</v>
      </c>
      <c r="F10" s="278">
        <f>[22]Brewhouse!$V816</f>
        <v>60</v>
      </c>
      <c r="G10" s="279">
        <f>[22]Brewhouse!AG816</f>
        <v>11.6</v>
      </c>
      <c r="H10" s="396"/>
      <c r="I10" s="368">
        <f>[22]Brewhouse!$AU816</f>
        <v>96.145318892642251</v>
      </c>
      <c r="J10" s="368">
        <f>[22]Brewhouse!$AV816</f>
        <v>97.858439059579766</v>
      </c>
      <c r="K10" s="281">
        <f>[22]Brewhouse!$Q816</f>
        <v>3.9999999999999951</v>
      </c>
      <c r="L10" s="276">
        <f>[22]Brewhouse!$P816</f>
        <v>59</v>
      </c>
      <c r="M10" s="397">
        <f>[22]Brewhouse!$U816-[22]Brewhouse!$T816</f>
        <v>0.11111111111111116</v>
      </c>
      <c r="N10" s="370">
        <f>[22]Brewhouse!$Z816</f>
        <v>0.25694444444444448</v>
      </c>
      <c r="O10" s="421" t="str">
        <f>[22]Brewhouse!$AX816</f>
        <v>K.Benjamin</v>
      </c>
      <c r="P10" s="418"/>
      <c r="R10" s="277" t="str">
        <f t="shared" ref="R10:R31" si="0">B10</f>
        <v>CARIB</v>
      </c>
      <c r="S10" s="296">
        <f t="shared" ref="S10:S31" si="1">VLOOKUP($B10,$R$3:$X$9,2,FALSE)</f>
        <v>11.6</v>
      </c>
      <c r="T10" s="296">
        <f t="shared" ref="T10:T31" si="2">VLOOKUP($B10,$R$3:$X$9,3,FALSE)</f>
        <v>12</v>
      </c>
      <c r="U10" s="297">
        <f t="shared" ref="U10:U31" si="3">VLOOKUP($B10,$R$3:$X$9,4,FALSE)</f>
        <v>0</v>
      </c>
      <c r="V10" s="297">
        <f t="shared" ref="V10:V31" si="4">VLOOKUP($B10,$R$3:$X$9,5,FALSE)</f>
        <v>0.118055555555556</v>
      </c>
      <c r="W10" s="297">
        <f t="shared" ref="W10:W31" si="5">VLOOKUP($B10,$R$3:$X$9,6,FALSE)</f>
        <v>0.22569444444444445</v>
      </c>
      <c r="X10" s="297">
        <f t="shared" ref="X10:X31" si="6">VLOOKUP($B10,$R$3:$X$9,7,FALSE)</f>
        <v>0.2638888888888889</v>
      </c>
      <c r="Y10" s="297">
        <f t="shared" ref="Y10:Y31" si="7">VLOOKUP($B10,$R$3:$Z$9,8,FALSE)</f>
        <v>0</v>
      </c>
      <c r="Z10" s="296">
        <f t="shared" ref="Z10:Z31" si="8">VLOOKUP($B10,$R$3:$Z$9,9,FALSE)</f>
        <v>60</v>
      </c>
    </row>
    <row r="11" spans="2:29" ht="15.75" customHeight="1">
      <c r="B11" s="29" t="s">
        <v>6</v>
      </c>
      <c r="C11" s="366" t="str">
        <f>[22]Brewhouse!$A817</f>
        <v>CA708</v>
      </c>
      <c r="D11" s="279">
        <f>[22]Brewhouse!$AF817</f>
        <v>51.8</v>
      </c>
      <c r="E11" s="279">
        <f>[22]Brewhouse!$AI817</f>
        <v>50.6</v>
      </c>
      <c r="F11" s="278">
        <f>[22]Brewhouse!$V817</f>
        <v>62</v>
      </c>
      <c r="G11" s="279">
        <f>[22]Brewhouse!AG817</f>
        <v>11.6</v>
      </c>
      <c r="H11" s="396"/>
      <c r="I11" s="368">
        <f>[22]Brewhouse!$AU817</f>
        <v>95.81459536454382</v>
      </c>
      <c r="J11" s="368">
        <f>[22]Brewhouse!$AV817</f>
        <v>97.521448478788656</v>
      </c>
      <c r="K11" s="281">
        <f>[22]Brewhouse!$Q817</f>
        <v>3.80414312617703</v>
      </c>
      <c r="L11" s="276">
        <f>[22]Brewhouse!$P817</f>
        <v>60</v>
      </c>
      <c r="M11" s="397">
        <f>[22]Brewhouse!$U817-[22]Brewhouse!$T817</f>
        <v>0.11875000000000002</v>
      </c>
      <c r="N11" s="370">
        <f>[22]Brewhouse!$Z817</f>
        <v>0.27013888888888893</v>
      </c>
      <c r="O11" s="421" t="str">
        <f>[22]Brewhouse!$AX817</f>
        <v>R. Regis</v>
      </c>
      <c r="P11" s="418"/>
      <c r="R11" s="277" t="str">
        <f t="shared" ref="R11:R20" si="9">B11</f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29" t="s">
        <v>6</v>
      </c>
      <c r="C12" s="366" t="str">
        <f>[22]Brewhouse!$A818</f>
        <v>CA709</v>
      </c>
      <c r="D12" s="279">
        <f>[22]Brewhouse!$AF818</f>
        <v>54.6</v>
      </c>
      <c r="E12" s="279">
        <f>[22]Brewhouse!$AI818</f>
        <v>53</v>
      </c>
      <c r="F12" s="278">
        <f>[22]Brewhouse!$V818</f>
        <v>65</v>
      </c>
      <c r="G12" s="279">
        <f>[22]Brewhouse!AG818</f>
        <v>11.6</v>
      </c>
      <c r="H12" s="396"/>
      <c r="I12" s="368">
        <f>[22]Brewhouse!$AU818</f>
        <v>97.16698636101701</v>
      </c>
      <c r="J12" s="368">
        <f>[22]Brewhouse!$AV818</f>
        <v>99.093909333768792</v>
      </c>
      <c r="K12" s="281">
        <f>[22]Brewhouse!$Q818</f>
        <v>0.22598870056496695</v>
      </c>
      <c r="L12" s="276">
        <f>[22]Brewhouse!$P818</f>
        <v>61</v>
      </c>
      <c r="M12" s="397">
        <f>[22]Brewhouse!$U818-[22]Brewhouse!$T818</f>
        <v>0.11388888888888893</v>
      </c>
      <c r="N12" s="370">
        <f>[22]Brewhouse!$Z818</f>
        <v>0.39861111111111108</v>
      </c>
      <c r="O12" s="421" t="str">
        <f>[22]Brewhouse!$AX818</f>
        <v>R. Regis</v>
      </c>
      <c r="P12" s="418" t="s">
        <v>169</v>
      </c>
      <c r="R12" s="277" t="str">
        <f t="shared" si="9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29" t="s">
        <v>6</v>
      </c>
      <c r="C13" s="366" t="str">
        <f>[22]Brewhouse!$A819</f>
        <v>CA710</v>
      </c>
      <c r="D13" s="279">
        <f>[22]Brewhouse!$AF819</f>
        <v>55.1</v>
      </c>
      <c r="E13" s="279">
        <f>[22]Brewhouse!$AI819</f>
        <v>53.8</v>
      </c>
      <c r="F13" s="278">
        <f>[22]Brewhouse!$V819</f>
        <v>64</v>
      </c>
      <c r="G13" s="279">
        <f>[22]Brewhouse!AG819</f>
        <v>11.7</v>
      </c>
      <c r="H13" s="396"/>
      <c r="I13" s="368">
        <f>[22]Brewhouse!$AU819</f>
        <v>99.172551864504896</v>
      </c>
      <c r="J13" s="368">
        <f>[22]Brewhouse!$AV819</f>
        <v>101.13985368610552</v>
      </c>
      <c r="K13" s="281">
        <f>[22]Brewhouse!$Q819</f>
        <v>3.7664783427501181E-2</v>
      </c>
      <c r="L13" s="276">
        <f>[22]Brewhouse!$P819</f>
        <v>58</v>
      </c>
      <c r="M13" s="397">
        <f>[22]Brewhouse!$U819-[22]Brewhouse!$T819</f>
        <v>0.10972222222222217</v>
      </c>
      <c r="N13" s="370">
        <f>[22]Brewhouse!$Z819</f>
        <v>0.24930555555555556</v>
      </c>
      <c r="O13" s="421" t="str">
        <f>[22]Brewhouse!$AX819</f>
        <v>R.Sookram</v>
      </c>
      <c r="P13" s="418"/>
      <c r="R13" s="277" t="str">
        <f t="shared" si="9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29" t="s">
        <v>6</v>
      </c>
      <c r="C14" s="366" t="str">
        <f>[22]Brewhouse!$A820</f>
        <v>CA711</v>
      </c>
      <c r="D14" s="279">
        <f>[22]Brewhouse!$AF820</f>
        <v>53.9</v>
      </c>
      <c r="E14" s="279">
        <f>[22]Brewhouse!$AI820</f>
        <v>51.8</v>
      </c>
      <c r="F14" s="278">
        <f>[22]Brewhouse!$V820</f>
        <v>63</v>
      </c>
      <c r="G14" s="279">
        <f>[22]Brewhouse!AG820</f>
        <v>11.8</v>
      </c>
      <c r="H14" s="396"/>
      <c r="I14" s="368">
        <f>[22]Brewhouse!$AU820</f>
        <v>96.229837243022104</v>
      </c>
      <c r="J14" s="368">
        <f>[22]Brewhouse!$AV820</f>
        <v>98.138959160441502</v>
      </c>
      <c r="K14" s="281">
        <f>[22]Brewhouse!$Q820</f>
        <v>0.60263653483992519</v>
      </c>
      <c r="L14" s="276">
        <f>[22]Brewhouse!$P820</f>
        <v>56</v>
      </c>
      <c r="M14" s="397">
        <f>[22]Brewhouse!$U820-[22]Brewhouse!$T820</f>
        <v>0.11180555555555549</v>
      </c>
      <c r="N14" s="370">
        <f>[22]Brewhouse!$Z820</f>
        <v>0.2631944444444444</v>
      </c>
      <c r="O14" s="421" t="str">
        <f>[22]Brewhouse!$AX820</f>
        <v>R.Sookram</v>
      </c>
      <c r="P14" s="418"/>
      <c r="R14" s="277" t="str">
        <f t="shared" si="9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29" t="s">
        <v>6</v>
      </c>
      <c r="C15" s="366" t="str">
        <f>[22]Brewhouse!$A821</f>
        <v>CA712</v>
      </c>
      <c r="D15" s="279">
        <f>[22]Brewhouse!$AF821</f>
        <v>55.1</v>
      </c>
      <c r="E15" s="279">
        <f>[22]Brewhouse!$AI821</f>
        <v>53.7</v>
      </c>
      <c r="F15" s="278">
        <f>[22]Brewhouse!$V821</f>
        <v>67</v>
      </c>
      <c r="G15" s="279">
        <f>[22]Brewhouse!AG821</f>
        <v>11.8</v>
      </c>
      <c r="H15" s="396"/>
      <c r="I15" s="368">
        <f>[22]Brewhouse!$AU821</f>
        <v>99.640745954923631</v>
      </c>
      <c r="J15" s="368">
        <f>[22]Brewhouse!$AV821</f>
        <v>101.61773917087402</v>
      </c>
      <c r="K15" s="281">
        <f>[22]Brewhouse!$Q821</f>
        <v>3.7664783427501181E-2</v>
      </c>
      <c r="L15" s="276">
        <f>[22]Brewhouse!$P821</f>
        <v>59</v>
      </c>
      <c r="M15" s="397">
        <f>[22]Brewhouse!$U821-[22]Brewhouse!$T821</f>
        <v>0.1118055555555556</v>
      </c>
      <c r="N15" s="370">
        <f>[22]Brewhouse!$Z821</f>
        <v>0.27013888888888893</v>
      </c>
      <c r="O15" s="421" t="str">
        <f>[22]Brewhouse!$AX821</f>
        <v>R.Sookram</v>
      </c>
      <c r="P15" s="418"/>
      <c r="R15" s="277" t="str">
        <f t="shared" si="9"/>
        <v>CARIB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421"/>
      <c r="P16" s="418"/>
      <c r="R16" s="277">
        <f t="shared" si="9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1:26" ht="15.75" customHeight="1">
      <c r="B17" s="33" t="s">
        <v>9</v>
      </c>
      <c r="C17" s="366" t="str">
        <f>[24]Brewhouse!$A385</f>
        <v>ST363</v>
      </c>
      <c r="D17" s="279">
        <f>[24]Brewhouse!$AD385</f>
        <v>50.2</v>
      </c>
      <c r="E17" s="279">
        <f>[24]Brewhouse!$AG385</f>
        <v>47.9</v>
      </c>
      <c r="F17" s="278">
        <f>[24]Brewhouse!$V385</f>
        <v>55</v>
      </c>
      <c r="G17" s="279">
        <f>[24]Brewhouse!$AE385</f>
        <v>12</v>
      </c>
      <c r="H17" s="396"/>
      <c r="I17" s="420">
        <f>[24]Brewhouse!$AS385</f>
        <v>95.159494775120166</v>
      </c>
      <c r="J17" s="420">
        <f>[24]Brewhouse!$AT385</f>
        <v>96.784962687796508</v>
      </c>
      <c r="K17" s="281">
        <f>[24]Brewhouse!$Q385</f>
        <v>8.2692307692307629</v>
      </c>
      <c r="L17" s="276">
        <f>[24]Brewhouse!$P385</f>
        <v>61</v>
      </c>
      <c r="M17" s="374">
        <f>[24]Brewhouse!$U385-[24]Brewhouse!$T385</f>
        <v>0.11736111111111125</v>
      </c>
      <c r="N17" s="370">
        <f>[24]Brewhouse!$AW385</f>
        <v>0.25208333333333344</v>
      </c>
      <c r="O17" s="421" t="str">
        <f>[24]Brewhouse!$AV385</f>
        <v>K. Benjamin</v>
      </c>
      <c r="P17" s="418"/>
      <c r="R17" s="277" t="str">
        <f t="shared" si="9"/>
        <v>STAG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1:26" ht="15.75" customHeight="1">
      <c r="B18" s="33" t="s">
        <v>9</v>
      </c>
      <c r="C18" s="366" t="str">
        <f>[24]Brewhouse!$A386</f>
        <v>ST364</v>
      </c>
      <c r="D18" s="279">
        <f>[24]Brewhouse!$AD386</f>
        <v>53.3</v>
      </c>
      <c r="E18" s="279">
        <f>[24]Brewhouse!$AG386</f>
        <v>49.2</v>
      </c>
      <c r="F18" s="278">
        <f>[24]Brewhouse!$V386</f>
        <v>54</v>
      </c>
      <c r="G18" s="279">
        <f>[24]Brewhouse!$AE386</f>
        <v>12</v>
      </c>
      <c r="H18" s="396"/>
      <c r="I18" s="420">
        <f>[24]Brewhouse!$AS386</f>
        <v>97.742111543547239</v>
      </c>
      <c r="J18" s="420">
        <f>[24]Brewhouse!$AT386</f>
        <v>99.411694451765939</v>
      </c>
      <c r="K18" s="281">
        <f>[24]Brewhouse!$Q386</f>
        <v>5.0000000000000027</v>
      </c>
      <c r="L18" s="276">
        <f>[24]Brewhouse!$P386</f>
        <v>59</v>
      </c>
      <c r="M18" s="374">
        <f>[24]Brewhouse!$U386-[24]Brewhouse!$T386</f>
        <v>0.10694444444444429</v>
      </c>
      <c r="N18" s="370">
        <f>[24]Brewhouse!$AW386</f>
        <v>0.24305555555555547</v>
      </c>
      <c r="O18" s="421" t="str">
        <f>[24]Brewhouse!$AV386</f>
        <v>K. Benjamin</v>
      </c>
      <c r="P18" s="418"/>
      <c r="R18" s="277" t="str">
        <f t="shared" si="9"/>
        <v>STAG</v>
      </c>
      <c r="S18" s="296">
        <f t="shared" si="1"/>
        <v>11.6</v>
      </c>
      <c r="T18" s="296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296">
        <f t="shared" si="8"/>
        <v>60</v>
      </c>
    </row>
    <row r="19" spans="1:26" ht="15.75" customHeight="1">
      <c r="B19" s="34"/>
      <c r="C19" s="366"/>
      <c r="D19" s="279"/>
      <c r="E19" s="279"/>
      <c r="F19" s="278"/>
      <c r="G19" s="279"/>
      <c r="H19" s="396"/>
      <c r="I19" s="420"/>
      <c r="J19" s="420"/>
      <c r="K19" s="462"/>
      <c r="L19" s="276"/>
      <c r="M19" s="374"/>
      <c r="N19" s="370"/>
      <c r="O19" s="421"/>
      <c r="P19" s="418"/>
      <c r="R19" s="277">
        <f t="shared" si="9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6" ht="15.75" hidden="1" customHeight="1">
      <c r="B20" s="34"/>
      <c r="C20" s="366"/>
      <c r="D20" s="279"/>
      <c r="E20" s="279"/>
      <c r="F20" s="278"/>
      <c r="G20" s="279"/>
      <c r="H20" s="396"/>
      <c r="I20" s="420"/>
      <c r="J20" s="420"/>
      <c r="K20" s="462"/>
      <c r="L20" s="276"/>
      <c r="M20" s="374"/>
      <c r="N20" s="370"/>
      <c r="O20" s="421"/>
      <c r="P20" s="418"/>
      <c r="R20" s="277">
        <f t="shared" si="9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6" ht="15.75" hidden="1" customHeight="1">
      <c r="B21" s="34"/>
      <c r="C21" s="366"/>
      <c r="D21" s="279"/>
      <c r="E21" s="279"/>
      <c r="F21" s="278"/>
      <c r="G21" s="279"/>
      <c r="H21" s="396"/>
      <c r="I21" s="420"/>
      <c r="J21" s="420"/>
      <c r="K21" s="462"/>
      <c r="L21" s="276"/>
      <c r="M21" s="374"/>
      <c r="N21" s="370"/>
      <c r="O21" s="421"/>
      <c r="P21" s="418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6" ht="15.75" hidden="1" customHeight="1">
      <c r="B22" s="34"/>
      <c r="C22" s="366"/>
      <c r="D22" s="279"/>
      <c r="E22" s="279"/>
      <c r="F22" s="278"/>
      <c r="G22" s="279"/>
      <c r="H22" s="396"/>
      <c r="I22" s="420"/>
      <c r="J22" s="420"/>
      <c r="K22" s="462"/>
      <c r="L22" s="276"/>
      <c r="M22" s="374"/>
      <c r="N22" s="370"/>
      <c r="O22" s="421"/>
      <c r="P22" s="418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6" ht="15.75" hidden="1" customHeight="1">
      <c r="B23" s="34"/>
      <c r="C23" s="366"/>
      <c r="D23" s="279"/>
      <c r="E23" s="279"/>
      <c r="F23" s="278"/>
      <c r="G23" s="279"/>
      <c r="H23" s="396"/>
      <c r="I23" s="420"/>
      <c r="J23" s="420"/>
      <c r="K23" s="462"/>
      <c r="L23" s="276"/>
      <c r="M23" s="374"/>
      <c r="N23" s="370"/>
      <c r="O23" s="421"/>
      <c r="P23" s="418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6" ht="15.7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18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6" ht="15.7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418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6" ht="15.75" customHeight="1" thickBot="1">
      <c r="B26" s="358"/>
      <c r="C26" s="358"/>
      <c r="D26" s="358"/>
      <c r="E26" s="358"/>
      <c r="F26" s="294"/>
      <c r="G26" s="294"/>
      <c r="H26" s="348"/>
      <c r="I26" s="514"/>
      <c r="J26" s="514"/>
      <c r="K26" s="514"/>
      <c r="L26" s="514"/>
      <c r="M26" s="514"/>
      <c r="N26" s="514"/>
      <c r="O26" s="1"/>
      <c r="P26" s="12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6" ht="15.75" thickBot="1">
      <c r="B27" s="388" t="s">
        <v>162</v>
      </c>
      <c r="C27" s="388"/>
      <c r="D27" s="527" t="s">
        <v>35</v>
      </c>
      <c r="E27" s="528"/>
      <c r="F27" s="294"/>
      <c r="G27" s="294"/>
      <c r="H27" s="348"/>
      <c r="I27" s="24" t="s">
        <v>17</v>
      </c>
      <c r="J27" s="25" t="s">
        <v>36</v>
      </c>
      <c r="K27" s="26" t="s">
        <v>138</v>
      </c>
      <c r="L27" s="25" t="s">
        <v>37</v>
      </c>
      <c r="M27" s="25" t="s">
        <v>38</v>
      </c>
      <c r="N27" s="27" t="s">
        <v>39</v>
      </c>
      <c r="O27" s="294"/>
      <c r="P27" s="12"/>
      <c r="R27" s="277" t="str">
        <f t="shared" si="0"/>
        <v xml:space="preserve">BRAND 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6" ht="15" customHeight="1">
      <c r="A28" s="28"/>
      <c r="B28" s="558"/>
      <c r="C28" s="362"/>
      <c r="D28" s="518"/>
      <c r="E28" s="507"/>
      <c r="F28" s="294"/>
      <c r="G28" s="294"/>
      <c r="H28" s="348"/>
      <c r="I28" s="29" t="s">
        <v>6</v>
      </c>
      <c r="J28" s="280">
        <f>AVERAGE(I10:I15)</f>
        <v>97.361672613442295</v>
      </c>
      <c r="K28" s="284">
        <f>COUNTA([22]Brewhouse!$A$740:$A$821)</f>
        <v>82</v>
      </c>
      <c r="L28" s="305">
        <f>AVERAGE([22]Brewhouse!$AU$740:$AU$821)</f>
        <v>97.314316424839745</v>
      </c>
      <c r="M28" s="302">
        <f>AVERAGE([22]Brewhouse!$AU$102:$AU$171,[22]Brewhouse!$AU$173:$AU$253,[22]Brewhouse!$AU$255:$AU$339,[22]Brewhouse!$AU$341:$AU$346,[22]Brewhouse!$AU$348,[22]Brewhouse!$AU$349:$AU$406,[22]Brewhouse!$AU$408:$AU$491,[22]Brewhouse!$AU$493:$AU$578,[22]Brewhouse!$AU$580:$AU$652,[22]Brewhouse!$AU$655:$AU$738,[22]Brewhouse!$A$740:$A$821)</f>
        <v>97.707262129538279</v>
      </c>
      <c r="N28" s="30">
        <v>98</v>
      </c>
      <c r="O28" s="11"/>
      <c r="P28" s="31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1:26" ht="15" customHeight="1">
      <c r="A29" s="28"/>
      <c r="B29" s="559"/>
      <c r="C29" s="362"/>
      <c r="D29" s="519"/>
      <c r="E29" s="502"/>
      <c r="F29" s="294"/>
      <c r="G29" s="294"/>
      <c r="H29" s="348"/>
      <c r="I29" s="33" t="s">
        <v>9</v>
      </c>
      <c r="J29" s="280">
        <f>AVERAGE(I17:I18)</f>
        <v>96.450803159333702</v>
      </c>
      <c r="K29" s="284">
        <f>COUNTA([24]Brewhouse!$A$361:$A$386)</f>
        <v>26</v>
      </c>
      <c r="L29" s="302">
        <f>AVERAGE([24]Brewhouse!$AS$361:$AS$386)</f>
        <v>97.513329421136717</v>
      </c>
      <c r="M29" s="302">
        <f>AVERAGE([24]Brewhouse!$AS$15:$AS$64,[24]Brewhouse!$AS$66:$AS$103,[24]Brewhouse!$AS$105:$AS$140,[24]Brewhouse!$AS$142:$AS$193,[24]Brewhouse!$AS$195:$AS$240,[24]Brewhouse!$AS$242:$AS$273,[24]Brewhouse!$AS$275:$AS$322,[24]Brewhouse!$AS$324:$AS$359,[24]Brewhouse!$AS$361:$AS$386)</f>
        <v>98.026049623605999</v>
      </c>
      <c r="N29" s="30">
        <v>98</v>
      </c>
      <c r="O29" s="11"/>
      <c r="P29" s="31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1:26" ht="14.65" customHeight="1">
      <c r="A30" s="28"/>
      <c r="B30" s="559"/>
      <c r="C30" s="362"/>
      <c r="D30" s="518"/>
      <c r="E30" s="507"/>
      <c r="F30" s="294"/>
      <c r="G30" s="294"/>
      <c r="H30" s="348"/>
      <c r="I30" s="34" t="s">
        <v>12</v>
      </c>
      <c r="J30" s="280"/>
      <c r="K30" s="284"/>
      <c r="L30" s="302"/>
      <c r="M30" s="302">
        <f>AVERAGE([25]Brewhouse!$AU$4:$AU$7,[25]Brewhouse!$AU$9:$AU$22,[25]Brewhouse!$AU$24:$AU$35,[25]Brewhouse!$AU$37:$AU$45,[25]Brewhouse!$AU$47:$AU$62,[25]Brewhouse!$AU$64:$AU$79,[25]Brewhouse!$AU$81:$AU$92)</f>
        <v>96.938184743997624</v>
      </c>
      <c r="N30" s="30">
        <v>98</v>
      </c>
      <c r="O30" s="11"/>
      <c r="P30" s="31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1:26" ht="14.65" customHeight="1">
      <c r="A31" s="28"/>
      <c r="B31" s="559"/>
      <c r="C31" s="362"/>
      <c r="D31" s="519"/>
      <c r="E31" s="502"/>
      <c r="F31" s="294"/>
      <c r="G31" s="294"/>
      <c r="H31" s="348"/>
      <c r="I31" s="22" t="s">
        <v>33</v>
      </c>
      <c r="J31" s="280"/>
      <c r="K31" s="284">
        <f>COUNTA([26]Brewhouse!$A$79:$A$86)</f>
        <v>8</v>
      </c>
      <c r="L31" s="302">
        <f>AVERAGE([26]Brewhouse!$AV$79:$AV$86)</f>
        <v>96.412390542357869</v>
      </c>
      <c r="M31" s="302">
        <f>AVERAGE([26]Brewhouse!$AV$5:$AV$14,[26]Brewhouse!$AV$16:$AV$19,[26]Brewhouse!$AV$21:$AV$24,[26]Brewhouse!$AV$26:$AV$33,[26]Brewhouse!$AV$35:$AV$46,[26]Brewhouse!$AV$48:$AV$53,[26]Brewhouse!$AV$55:$AV$62,[26]Brewhouse!$AV$64:$AV$77,[26]Brewhouse!$AV$79:$AV$86)</f>
        <v>98.293408393493976</v>
      </c>
      <c r="N31" s="30">
        <v>98</v>
      </c>
      <c r="O31" s="11"/>
      <c r="P31" s="31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1:26" ht="14.65" customHeight="1">
      <c r="A32" s="28"/>
      <c r="B32" s="559"/>
      <c r="C32" s="362"/>
      <c r="D32" s="518"/>
      <c r="E32" s="507"/>
      <c r="F32" s="417"/>
      <c r="G32" s="294"/>
      <c r="H32" s="348"/>
      <c r="I32" s="35" t="s">
        <v>29</v>
      </c>
      <c r="J32" s="280"/>
      <c r="K32" s="284"/>
      <c r="L32" s="302"/>
      <c r="M32" s="302"/>
      <c r="N32" s="30">
        <v>98</v>
      </c>
      <c r="O32" s="11"/>
      <c r="P32" s="31"/>
      <c r="R32" s="277"/>
      <c r="S32" s="296"/>
      <c r="T32" s="296"/>
      <c r="U32" s="297"/>
      <c r="V32" s="297"/>
      <c r="W32" s="297"/>
      <c r="X32" s="297"/>
      <c r="Y32" s="297"/>
      <c r="Z32" s="296"/>
    </row>
    <row r="33" spans="1:56" ht="14.65" customHeight="1">
      <c r="A33" s="28"/>
      <c r="B33" s="559"/>
      <c r="C33" s="362"/>
      <c r="D33" s="519"/>
      <c r="E33" s="502"/>
      <c r="F33" s="417"/>
      <c r="G33" s="294"/>
      <c r="H33" s="348"/>
      <c r="I33" s="36" t="s">
        <v>15</v>
      </c>
      <c r="J33" s="323"/>
      <c r="K33" s="284">
        <f>COUNTA([27]Brewhouse!$A$28:$A$35)</f>
        <v>8</v>
      </c>
      <c r="L33" s="302">
        <f>AVERAGE([27]Brewhouse!$AT$28:$AT$35)</f>
        <v>95.233703112250225</v>
      </c>
      <c r="M33" s="302">
        <f>AVERAGE([27]Brewhouse!$AT$4:$AT$11,[27]Brewhouse!$AT$13:$AT$16,[27]Brewhouse!$AT$18:$AT$21,[27]Brewhouse!$AT$26,[27]Brewhouse!$AT$28:$AT$35)</f>
        <v>94.794664331624134</v>
      </c>
      <c r="N33" s="30">
        <v>98</v>
      </c>
      <c r="O33" s="11"/>
      <c r="P33" s="31"/>
      <c r="R33" s="277"/>
      <c r="S33" s="296"/>
      <c r="T33" s="296"/>
      <c r="U33" s="297"/>
      <c r="V33" s="297"/>
      <c r="W33" s="297"/>
      <c r="X33" s="297"/>
      <c r="Y33" s="297"/>
      <c r="Z33" s="296"/>
      <c r="AA33" s="296"/>
    </row>
    <row r="34" spans="1:56" ht="14.65" customHeight="1">
      <c r="A34" s="28"/>
      <c r="B34" s="559"/>
      <c r="C34" s="362"/>
      <c r="D34" s="518"/>
      <c r="E34" s="507"/>
      <c r="F34" s="417"/>
      <c r="G34" s="294"/>
      <c r="H34" s="348"/>
      <c r="I34" s="37" t="s">
        <v>16</v>
      </c>
      <c r="J34" s="323"/>
      <c r="K34" s="284">
        <f>COUNTA([23]Brewhouse!$A$75:$A$82)</f>
        <v>8</v>
      </c>
      <c r="L34" s="302">
        <f>AVERAGE([23]Brewhouse!$AY$75:$AY$82)</f>
        <v>97.738838123294386</v>
      </c>
      <c r="M34" s="302">
        <f>AVERAGE([23]Brewhouse!$AY$6:$AY$13,[23]Brewhouse!$AY$15:$AY$20,[23]Brewhouse!$AY$22:$AY$29,[23]Brewhouse!$AY$31:$AY$34,[23]Brewhouse!$AY$36:$AY$43,[23]Brewhouse!$AY$45:$AY$50, [23]Brewhouse!$AY$56:$AY$73,[23]Brewhouse!$AY$75:$AY$82)</f>
        <v>97.409216272979165</v>
      </c>
      <c r="N34" s="30">
        <v>98</v>
      </c>
      <c r="O34" s="11"/>
      <c r="P34" s="31" t="s">
        <v>41</v>
      </c>
      <c r="R34" s="277"/>
      <c r="S34" s="296"/>
      <c r="T34" s="296"/>
      <c r="U34" s="297"/>
      <c r="V34" s="297"/>
      <c r="W34" s="297"/>
      <c r="X34" s="297"/>
      <c r="Y34" s="297"/>
      <c r="Z34" s="296"/>
      <c r="AA34" s="296"/>
    </row>
    <row r="35" spans="1:56" ht="14.65" customHeight="1">
      <c r="A35" s="28"/>
      <c r="B35" s="559"/>
      <c r="C35" s="362"/>
      <c r="D35" s="519"/>
      <c r="E35" s="502"/>
      <c r="F35" s="294"/>
      <c r="G35" s="294"/>
      <c r="H35" s="348"/>
      <c r="I35" s="411" t="s">
        <v>158</v>
      </c>
      <c r="J35" s="326"/>
      <c r="K35" s="284"/>
      <c r="L35" s="305"/>
      <c r="M35" s="305">
        <f>AVERAGE([28]Brewhouse!$AU$5:$AU$8,[28]Brewhouse!$AU$10:$AU$13,[23]Brewhouse!$AY$75:$AY$77)</f>
        <v>94.749192473706671</v>
      </c>
      <c r="N35" s="30">
        <v>98</v>
      </c>
      <c r="O35" s="11"/>
      <c r="P35" s="31"/>
      <c r="R35" s="277"/>
      <c r="S35" s="296"/>
      <c r="T35" s="296"/>
      <c r="U35" s="297"/>
      <c r="V35" s="297"/>
      <c r="W35" s="297"/>
      <c r="X35" s="297"/>
      <c r="Y35" s="297"/>
      <c r="Z35" s="296"/>
      <c r="AA35" s="296"/>
    </row>
    <row r="36" spans="1:56" ht="14.65" customHeight="1">
      <c r="A36" s="28"/>
      <c r="B36" s="559"/>
      <c r="C36" s="349"/>
      <c r="D36" s="518"/>
      <c r="E36" s="507"/>
      <c r="F36" s="294"/>
      <c r="G36" s="294"/>
      <c r="H36" s="348"/>
      <c r="I36" s="410" t="s">
        <v>157</v>
      </c>
      <c r="J36" s="326"/>
      <c r="K36" s="284"/>
      <c r="L36" s="305"/>
      <c r="M36" s="305">
        <f>AVERAGE([29]Brewhouse!$AW$26:$AW$27)</f>
        <v>95.310680905194914</v>
      </c>
      <c r="N36" s="30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  <c r="AA36" s="296"/>
    </row>
    <row r="37" spans="1:56" ht="15" customHeight="1" thickBot="1">
      <c r="A37" s="28"/>
      <c r="B37" s="559"/>
      <c r="C37" s="349"/>
      <c r="D37" s="519"/>
      <c r="E37" s="502"/>
      <c r="F37" s="294"/>
      <c r="G37" s="294"/>
      <c r="H37" s="348"/>
      <c r="I37" s="406" t="s">
        <v>156</v>
      </c>
      <c r="J37" s="327"/>
      <c r="K37" s="407"/>
      <c r="L37" s="408"/>
      <c r="M37" s="408">
        <f>AVERAGE([30]Brewhouse!$AU$13:$AU$14)</f>
        <v>97.110575243268045</v>
      </c>
      <c r="N37" s="409">
        <v>98</v>
      </c>
      <c r="O37" s="11"/>
      <c r="P37" s="31"/>
      <c r="R37" s="277"/>
      <c r="S37" s="296"/>
      <c r="T37" s="296"/>
      <c r="U37" s="297"/>
      <c r="V37" s="297"/>
      <c r="W37" s="297"/>
      <c r="X37" s="297"/>
      <c r="Y37" s="297"/>
      <c r="Z37" s="296"/>
      <c r="AA37" s="296"/>
    </row>
    <row r="38" spans="1:56" ht="15" customHeight="1" thickBot="1">
      <c r="A38" s="28"/>
      <c r="B38" s="559"/>
      <c r="C38" s="349"/>
      <c r="D38" s="518"/>
      <c r="E38" s="507"/>
      <c r="F38" s="294"/>
      <c r="G38" s="294"/>
      <c r="H38" s="348"/>
      <c r="I38" s="1"/>
      <c r="J38" s="39"/>
      <c r="K38" s="404">
        <f>SUM(K28:K37)</f>
        <v>132</v>
      </c>
      <c r="L38" s="405">
        <f>((L28*K28)+(L29*K29)+(L30*K30)+(L31*K31)+(L32*K32)+(K35*L35)+(L33*K33)+(L34*K34)+(L37*K37))/(K38)</f>
        <v>97.198484590982076</v>
      </c>
      <c r="M38" s="405">
        <f>AVERAGE('[31]Jan 31st'!$L$65,'[32]Feb 28th'!$L$35,'[33]Mar. 31st'!$L$35,'[34]Apr. 30th'!$L$45,'[35]May 30th'!$L$37,'[36]June 30th'!$L$57,L38)</f>
        <v>97.592913584006283</v>
      </c>
      <c r="N38" s="40">
        <v>98</v>
      </c>
      <c r="O38" s="11"/>
      <c r="P38" s="31"/>
      <c r="R38" s="277"/>
      <c r="S38" s="296"/>
      <c r="T38" s="296"/>
      <c r="U38" s="297"/>
      <c r="V38" s="297"/>
      <c r="W38" s="297"/>
      <c r="X38" s="297"/>
      <c r="Y38" s="297"/>
      <c r="Z38" s="296"/>
      <c r="AA38" s="296"/>
    </row>
    <row r="39" spans="1:56" ht="15.75" thickBot="1">
      <c r="B39" s="560"/>
      <c r="C39" s="350"/>
      <c r="D39" s="519"/>
      <c r="E39" s="502"/>
      <c r="F39" s="294"/>
      <c r="G39" s="42"/>
      <c r="H39" s="41"/>
      <c r="I39" s="42"/>
      <c r="J39" s="42"/>
      <c r="K39" s="351"/>
      <c r="L39" s="348"/>
      <c r="M39" s="348"/>
      <c r="N39" s="11"/>
      <c r="O39" s="294"/>
      <c r="P39" s="12"/>
      <c r="R39" s="277"/>
      <c r="S39" s="296"/>
      <c r="T39" s="296"/>
      <c r="U39" s="297"/>
      <c r="V39" s="297"/>
      <c r="W39" s="297"/>
      <c r="X39" s="297"/>
      <c r="Y39" s="297"/>
      <c r="Z39" s="296"/>
      <c r="AA39" s="296"/>
    </row>
    <row r="40" spans="1:56" ht="15.75" thickBot="1">
      <c r="B40" s="552"/>
      <c r="C40" s="362"/>
      <c r="D40" s="499"/>
      <c r="E40" s="500"/>
      <c r="F40" s="294"/>
      <c r="G40" s="42"/>
      <c r="H40" s="41"/>
      <c r="I40" s="42"/>
      <c r="J40" s="553" t="s">
        <v>129</v>
      </c>
      <c r="K40" s="553"/>
      <c r="L40" s="294"/>
      <c r="M40" s="294"/>
      <c r="N40" s="294"/>
      <c r="O40" s="294"/>
      <c r="P40" s="12"/>
    </row>
    <row r="41" spans="1:56" ht="15.75" thickBot="1">
      <c r="B41" s="516"/>
      <c r="C41" s="362"/>
      <c r="D41" s="501"/>
      <c r="E41" s="502"/>
      <c r="F41" s="294"/>
      <c r="G41" s="42"/>
      <c r="H41" s="41"/>
      <c r="I41" s="42"/>
      <c r="J41" s="292" t="s">
        <v>17</v>
      </c>
      <c r="K41" s="293" t="s">
        <v>147</v>
      </c>
      <c r="L41" s="504" t="s">
        <v>136</v>
      </c>
      <c r="M41" s="504"/>
      <c r="N41" s="505"/>
      <c r="O41" s="294"/>
      <c r="P41" s="12"/>
    </row>
    <row r="42" spans="1:56" ht="15" customHeight="1" thickBot="1">
      <c r="B42" s="516"/>
      <c r="C42" s="349"/>
      <c r="D42" s="554"/>
      <c r="E42" s="555"/>
      <c r="F42" s="294"/>
      <c r="G42" s="42"/>
      <c r="H42" s="41"/>
      <c r="I42" s="42"/>
      <c r="J42" s="287" t="s">
        <v>6</v>
      </c>
      <c r="K42" s="324">
        <v>6</v>
      </c>
      <c r="L42" s="343" t="s">
        <v>37</v>
      </c>
      <c r="M42" s="307" t="s">
        <v>38</v>
      </c>
      <c r="N42" s="307" t="s">
        <v>84</v>
      </c>
      <c r="O42" s="294"/>
      <c r="P42" s="12"/>
    </row>
    <row r="43" spans="1:56" ht="15.75" customHeight="1" thickBot="1">
      <c r="B43" s="516"/>
      <c r="C43" s="349"/>
      <c r="D43" s="501"/>
      <c r="E43" s="502"/>
      <c r="F43" s="294"/>
      <c r="G43" s="42"/>
      <c r="H43" s="41"/>
      <c r="I43" s="42"/>
      <c r="J43" s="345" t="s">
        <v>9</v>
      </c>
      <c r="K43" s="324">
        <v>2</v>
      </c>
      <c r="L43" s="344">
        <f>AVERAGE('Sept 1st'!K48,'Sept 2nd'!K46,'Sept 3rd'!K47,'Sept 4th'!K56,'Sept 5th '!K44,'Sept 8th'!K46,'Sept 9th'!K46,'Sept 10th'!K54,'Sept 11th'!K48,'Sept 15th '!K38,'Sept 16th'!K39,'Sept 17th'!K43,'Sept 18th '!K41,'Sept 19th'!K44,'Sept 22nd'!K46,K52)</f>
        <v>5.333333333333333</v>
      </c>
      <c r="M43" s="325">
        <f>AVERAGE('[31]Jan 29th '!$M$70,'[32]Feb 28th'!$L$40,'[33]Mar. 31st'!$L$40,'[34]Apr. 30th'!$L$50,'[35]May 30th'!$L$42,'[36]June 30th'!$L$62,'[37]July 29th '!$L$49,'[38]Aug 29th'!$L$34,L43)</f>
        <v>6.7740044090158502</v>
      </c>
      <c r="N43" s="416">
        <v>9.1999999999999993</v>
      </c>
      <c r="O43" s="294"/>
      <c r="P43" s="12"/>
    </row>
    <row r="44" spans="1:56" ht="15" customHeight="1">
      <c r="B44" s="516"/>
      <c r="C44" s="349"/>
      <c r="D44" s="554"/>
      <c r="E44" s="555"/>
      <c r="F44" s="294"/>
      <c r="G44" s="42"/>
      <c r="H44" s="41"/>
      <c r="I44" s="42"/>
      <c r="J44" s="288" t="s">
        <v>40</v>
      </c>
      <c r="K44" s="324"/>
      <c r="L44" s="294"/>
      <c r="M44" s="294"/>
      <c r="N44" s="294"/>
      <c r="O44" s="294"/>
      <c r="P44" s="12"/>
    </row>
    <row r="45" spans="1:56" ht="15" customHeight="1">
      <c r="B45" s="516"/>
      <c r="C45" s="349"/>
      <c r="D45" s="501"/>
      <c r="E45" s="502"/>
      <c r="F45" s="294"/>
      <c r="G45" s="42"/>
      <c r="H45" s="41"/>
      <c r="I45" s="42"/>
      <c r="J45" s="289" t="s">
        <v>33</v>
      </c>
      <c r="K45" s="324"/>
      <c r="L45" s="294"/>
      <c r="M45" s="294"/>
      <c r="N45" s="294"/>
      <c r="O45" s="294"/>
      <c r="P45" s="12"/>
    </row>
    <row r="46" spans="1:56" ht="15">
      <c r="B46" s="516"/>
      <c r="C46" s="349"/>
      <c r="D46" s="554"/>
      <c r="E46" s="555"/>
      <c r="F46" s="294"/>
      <c r="G46" s="42"/>
      <c r="H46" s="41"/>
      <c r="I46" s="42"/>
      <c r="J46" s="290" t="s">
        <v>16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16"/>
      <c r="C47" s="349"/>
      <c r="D47" s="501"/>
      <c r="E47" s="502"/>
      <c r="F47" s="294"/>
      <c r="G47" s="42"/>
      <c r="H47" s="41"/>
      <c r="I47" s="42"/>
      <c r="J47" s="291" t="s">
        <v>15</v>
      </c>
      <c r="K47" s="324"/>
      <c r="L47" s="294"/>
      <c r="M47" s="294"/>
      <c r="N47" s="294"/>
      <c r="O47" s="294"/>
      <c r="P47" s="12"/>
      <c r="BC47" s="44"/>
      <c r="BD47" s="44"/>
    </row>
    <row r="48" spans="1:56" ht="15">
      <c r="B48" s="516"/>
      <c r="C48" s="349"/>
      <c r="D48" s="554"/>
      <c r="E48" s="555"/>
      <c r="F48" s="294"/>
      <c r="G48" s="42"/>
      <c r="H48" s="41"/>
      <c r="I48" s="42"/>
      <c r="J48" s="291" t="s">
        <v>149</v>
      </c>
      <c r="K48" s="324"/>
      <c r="L48" s="294"/>
      <c r="M48" s="294"/>
      <c r="N48" s="294"/>
      <c r="O48" s="294"/>
      <c r="P48" s="12"/>
      <c r="BC48" s="44"/>
      <c r="BD48" s="44"/>
    </row>
    <row r="49" spans="2:57" ht="15.75" thickBot="1">
      <c r="B49" s="517"/>
      <c r="C49" s="350"/>
      <c r="D49" s="556"/>
      <c r="E49" s="557"/>
      <c r="F49" s="294"/>
      <c r="G49" s="42"/>
      <c r="H49" s="41"/>
      <c r="I49" s="42"/>
      <c r="J49" s="291" t="s">
        <v>148</v>
      </c>
      <c r="K49" s="324"/>
      <c r="L49" s="294"/>
      <c r="M49" s="294"/>
      <c r="N49" s="294"/>
      <c r="O49" s="294"/>
      <c r="P49" s="12"/>
      <c r="BC49" s="44"/>
      <c r="BD49" s="44"/>
    </row>
    <row r="50" spans="2:57" ht="17.649999999999999" customHeight="1" thickBot="1">
      <c r="B50" s="312" t="s">
        <v>139</v>
      </c>
      <c r="C50" s="313"/>
      <c r="D50" s="550" t="e">
        <f>AVERAGE(D28:E49)</f>
        <v>#DIV/0!</v>
      </c>
      <c r="E50" s="551"/>
      <c r="F50" s="294"/>
      <c r="H50" s="41"/>
      <c r="I50" s="42"/>
      <c r="J50" s="295" t="s">
        <v>134</v>
      </c>
      <c r="K50" s="324"/>
      <c r="L50" s="294"/>
      <c r="M50" s="294"/>
      <c r="N50" s="294"/>
      <c r="O50" s="294"/>
      <c r="P50" s="12"/>
      <c r="BC50" s="44"/>
      <c r="BD50" s="44"/>
    </row>
    <row r="51" spans="2:57" ht="17.649999999999999" customHeight="1">
      <c r="B51" s="363"/>
      <c r="C51" s="364"/>
      <c r="D51" s="365"/>
      <c r="E51" s="365"/>
      <c r="F51" s="294"/>
      <c r="G51" s="42"/>
      <c r="H51" s="41"/>
      <c r="I51" s="42"/>
      <c r="J51" s="295" t="s">
        <v>131</v>
      </c>
      <c r="K51" s="324"/>
      <c r="L51" s="294"/>
      <c r="M51" s="294"/>
      <c r="N51" s="294"/>
      <c r="O51" s="294"/>
      <c r="P51" s="12"/>
      <c r="BC51" s="44"/>
      <c r="BD51" s="44"/>
    </row>
    <row r="52" spans="2:57" ht="15.6" customHeight="1">
      <c r="B52" s="45"/>
      <c r="C52" s="11"/>
      <c r="D52" s="11"/>
      <c r="E52" s="46"/>
      <c r="F52" s="294"/>
      <c r="G52" s="42"/>
      <c r="H52" s="41"/>
      <c r="I52" s="42"/>
      <c r="J52" s="346" t="s">
        <v>130</v>
      </c>
      <c r="K52" s="324">
        <f>SUM(K42:K51)</f>
        <v>8</v>
      </c>
      <c r="L52" s="294"/>
      <c r="M52" s="294"/>
      <c r="N52" s="294"/>
      <c r="O52" s="294"/>
      <c r="P52" s="12"/>
    </row>
    <row r="53" spans="2:57" ht="20.25" customHeight="1">
      <c r="B53" s="15" t="s">
        <v>42</v>
      </c>
      <c r="C53" s="1" t="s">
        <v>43</v>
      </c>
      <c r="D53" s="1"/>
      <c r="E53" s="1"/>
      <c r="F53" s="294"/>
      <c r="G53" s="42"/>
      <c r="H53" s="41"/>
      <c r="I53" s="42"/>
      <c r="L53" s="294"/>
      <c r="N53" s="315"/>
      <c r="P53" s="334"/>
    </row>
    <row r="54" spans="2:57" ht="15" customHeight="1" thickBot="1"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1"/>
      <c r="O54" s="48"/>
      <c r="P54" s="49"/>
    </row>
    <row r="55" spans="2:57" ht="15" customHeight="1" thickBot="1">
      <c r="B55" s="480" t="s">
        <v>17</v>
      </c>
      <c r="C55" s="480" t="s">
        <v>44</v>
      </c>
      <c r="D55" s="492" t="s">
        <v>45</v>
      </c>
      <c r="E55" s="494" t="s">
        <v>46</v>
      </c>
      <c r="F55" s="488" t="s">
        <v>47</v>
      </c>
      <c r="G55" s="478" t="s">
        <v>48</v>
      </c>
      <c r="H55" s="480" t="s">
        <v>49</v>
      </c>
      <c r="I55" s="480" t="s">
        <v>50</v>
      </c>
      <c r="J55" s="472" t="s">
        <v>28</v>
      </c>
      <c r="K55" s="484" t="s">
        <v>51</v>
      </c>
      <c r="L55" s="486" t="s">
        <v>52</v>
      </c>
      <c r="M55" s="472" t="s">
        <v>53</v>
      </c>
      <c r="N55" s="13"/>
      <c r="O55" s="13"/>
      <c r="P55" s="50"/>
    </row>
    <row r="56" spans="2:57" ht="28.5" customHeight="1" thickTop="1" thickBot="1">
      <c r="B56" s="481"/>
      <c r="C56" s="481"/>
      <c r="D56" s="493"/>
      <c r="E56" s="495"/>
      <c r="F56" s="489"/>
      <c r="G56" s="479"/>
      <c r="H56" s="549"/>
      <c r="I56" s="549"/>
      <c r="J56" s="473"/>
      <c r="K56" s="485"/>
      <c r="L56" s="487"/>
      <c r="M56" s="473"/>
      <c r="N56" s="13"/>
      <c r="O56" s="13"/>
      <c r="P56" s="50"/>
      <c r="Q56" s="355"/>
      <c r="AB56" s="51">
        <v>43474</v>
      </c>
      <c r="AC56" s="51">
        <v>43475</v>
      </c>
      <c r="AD56" s="51">
        <v>43476</v>
      </c>
      <c r="AE56" s="51">
        <v>43477</v>
      </c>
      <c r="AF56" s="51">
        <v>43478</v>
      </c>
      <c r="AG56" s="51">
        <v>43479</v>
      </c>
      <c r="AH56" s="51">
        <v>43480</v>
      </c>
      <c r="AI56" s="51">
        <v>43481</v>
      </c>
      <c r="AJ56" s="51">
        <v>43482</v>
      </c>
      <c r="AK56" s="51">
        <v>43483</v>
      </c>
      <c r="AL56" s="51">
        <v>43484</v>
      </c>
      <c r="AM56" s="51">
        <v>43485</v>
      </c>
      <c r="AN56" s="51">
        <v>43486</v>
      </c>
      <c r="AO56" s="51">
        <v>43487</v>
      </c>
      <c r="AP56" s="51">
        <v>43488</v>
      </c>
      <c r="AQ56" s="51">
        <v>43489</v>
      </c>
      <c r="AR56" s="51">
        <v>43490</v>
      </c>
      <c r="AS56" s="51">
        <v>43491</v>
      </c>
      <c r="AT56" s="51">
        <v>43492</v>
      </c>
      <c r="AU56" s="51">
        <v>43493</v>
      </c>
      <c r="AV56" s="51">
        <v>43494</v>
      </c>
      <c r="AW56" s="51">
        <v>43495</v>
      </c>
      <c r="AX56" s="51">
        <v>43496</v>
      </c>
    </row>
    <row r="57" spans="2:57" s="54" customFormat="1" ht="59.45" customHeight="1" thickBot="1">
      <c r="B57" s="461"/>
      <c r="C57" s="442"/>
      <c r="D57" s="443"/>
      <c r="E57" s="444"/>
      <c r="F57" s="445"/>
      <c r="G57" s="446"/>
      <c r="H57" s="463"/>
      <c r="I57" s="463"/>
      <c r="J57" s="449"/>
      <c r="K57" s="450"/>
      <c r="L57" s="458"/>
      <c r="M57" s="457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[20]January_2019!L7</f>
        <v>285.8</v>
      </c>
      <c r="AC57" s="57">
        <f>[20]January_2019!M7</f>
        <v>508.1</v>
      </c>
      <c r="AD57" s="57">
        <f>[20]January_2019!N7</f>
        <v>0</v>
      </c>
      <c r="AE57" s="57">
        <f>[20]January_2019!O7</f>
        <v>0</v>
      </c>
      <c r="AF57" s="57">
        <f>[20]January_2019!P7</f>
        <v>109.56666666666666</v>
      </c>
      <c r="AG57" s="57">
        <f>[20]January_2019!Q7</f>
        <v>297.64999999999998</v>
      </c>
      <c r="AH57" s="57">
        <f>[20]January_2019!R7</f>
        <v>122.3</v>
      </c>
      <c r="AI57" s="57">
        <f>[20]January_2019!S7</f>
        <v>0</v>
      </c>
      <c r="AJ57" s="57">
        <f>[20]January_2019!T7</f>
        <v>294.7</v>
      </c>
      <c r="AK57" s="57">
        <f>[20]January_2019!U7</f>
        <v>280.5</v>
      </c>
      <c r="AL57" s="57">
        <f>[20]January_2019!V7</f>
        <v>0</v>
      </c>
      <c r="AM57" s="57">
        <f>[20]January_2019!W7</f>
        <v>0</v>
      </c>
      <c r="AN57" s="57">
        <f>[20]January_2019!X7</f>
        <v>188.25</v>
      </c>
      <c r="AO57" s="57">
        <f>[20]January_2019!Y7</f>
        <v>295.7</v>
      </c>
      <c r="AP57" s="57">
        <f>[20]January_2019!Z7</f>
        <v>257.8</v>
      </c>
      <c r="AQ57" s="57">
        <f>[20]January_2019!AA7</f>
        <v>291.2</v>
      </c>
      <c r="AR57" s="57">
        <f>[20]January_2019!AB7</f>
        <v>187</v>
      </c>
      <c r="AS57" s="57">
        <f>[20]January_2019!AC7</f>
        <v>0</v>
      </c>
      <c r="AT57" s="57">
        <f>[20]January_2019!AD7</f>
        <v>0</v>
      </c>
      <c r="AU57" s="57">
        <f>[20]January_2019!AE7</f>
        <v>485.1</v>
      </c>
      <c r="AV57" s="57">
        <f>[20]January_2019!AF7</f>
        <v>171.55</v>
      </c>
      <c r="AW57" s="57">
        <f>[20]January_2019!AG7</f>
        <v>423.8</v>
      </c>
      <c r="AX57" s="277">
        <f>[20]January_2019!AH7</f>
        <v>0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20.45" hidden="1" customHeight="1" thickBot="1">
      <c r="B58" s="459"/>
      <c r="C58" s="431"/>
      <c r="D58" s="432"/>
      <c r="E58" s="433"/>
      <c r="F58" s="434"/>
      <c r="G58" s="435"/>
      <c r="H58" s="429"/>
      <c r="I58" s="429"/>
      <c r="J58" s="452"/>
      <c r="K58" s="437"/>
      <c r="L58" s="453"/>
      <c r="M58" s="422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59.45" hidden="1" customHeight="1" thickBot="1">
      <c r="B59" s="460"/>
      <c r="C59" s="442"/>
      <c r="D59" s="443"/>
      <c r="E59" s="444"/>
      <c r="F59" s="445"/>
      <c r="G59" s="446"/>
      <c r="H59" s="429"/>
      <c r="I59" s="429"/>
      <c r="J59" s="449"/>
      <c r="K59" s="450"/>
      <c r="L59" s="458"/>
      <c r="M59" s="457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5" hidden="1">
      <c r="B60" s="454"/>
      <c r="C60" s="431"/>
      <c r="D60" s="432"/>
      <c r="E60" s="433"/>
      <c r="F60" s="434"/>
      <c r="G60" s="435"/>
      <c r="H60" s="436"/>
      <c r="I60" s="451"/>
      <c r="J60" s="452"/>
      <c r="K60" s="437"/>
      <c r="L60" s="453"/>
      <c r="M60" s="422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6.6" hidden="1" customHeight="1" thickBot="1">
      <c r="B61" s="387"/>
      <c r="C61" s="442"/>
      <c r="D61" s="443"/>
      <c r="E61" s="444"/>
      <c r="F61" s="445"/>
      <c r="G61" s="446"/>
      <c r="H61" s="447"/>
      <c r="I61" s="448"/>
      <c r="J61" s="449" t="s">
        <v>163</v>
      </c>
      <c r="K61" s="450"/>
      <c r="L61" s="455" t="e">
        <f>(((D61+E61)-G61)/(D61+E61))*100</f>
        <v>#DIV/0!</v>
      </c>
      <c r="M61" s="456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16.5" hidden="1" customHeight="1" thickBot="1">
      <c r="B62" s="438"/>
      <c r="C62" s="424"/>
      <c r="D62" s="425"/>
      <c r="E62" s="426"/>
      <c r="F62" s="427"/>
      <c r="G62" s="428"/>
      <c r="H62" s="429"/>
      <c r="I62" s="439"/>
      <c r="J62" s="440"/>
      <c r="K62" s="430"/>
      <c r="L62" s="441"/>
      <c r="M62" s="423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415"/>
      <c r="AC62" s="415"/>
      <c r="AD62" s="415"/>
      <c r="AE62" s="415"/>
      <c r="AF62" s="415"/>
      <c r="AG62" s="415"/>
      <c r="AH62" s="415"/>
      <c r="AI62" s="415"/>
      <c r="AJ62" s="415"/>
      <c r="AK62" s="415"/>
      <c r="AL62" s="415"/>
      <c r="AM62" s="415"/>
      <c r="AN62" s="415"/>
      <c r="AO62" s="415"/>
      <c r="AP62" s="415"/>
      <c r="AQ62" s="415"/>
      <c r="AR62" s="415"/>
      <c r="AS62" s="415"/>
      <c r="AT62" s="415"/>
      <c r="AU62" s="415"/>
      <c r="AV62" s="415"/>
      <c r="AW62" s="415"/>
    </row>
    <row r="63" spans="2:57" ht="18" customHeight="1" thickBot="1">
      <c r="B63" s="59"/>
      <c r="C63" s="30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 t="s">
        <v>41</v>
      </c>
      <c r="O63" s="56"/>
      <c r="P63" s="60"/>
    </row>
    <row r="64" spans="2:57" ht="15.75" thickBot="1">
      <c r="B64" s="474" t="s">
        <v>55</v>
      </c>
      <c r="C64" s="475"/>
      <c r="D64" s="475"/>
      <c r="E64" s="475"/>
      <c r="F64" s="476"/>
      <c r="G64" s="474" t="s">
        <v>56</v>
      </c>
      <c r="H64" s="475"/>
      <c r="I64" s="475"/>
      <c r="J64" s="476"/>
      <c r="K64" s="474" t="s">
        <v>51</v>
      </c>
      <c r="L64" s="475"/>
      <c r="M64" s="475"/>
      <c r="N64" s="477"/>
      <c r="O64" s="56"/>
      <c r="P64" s="50"/>
    </row>
    <row r="65" spans="2:16" ht="15">
      <c r="B65" s="61" t="s">
        <v>17</v>
      </c>
      <c r="C65" s="62" t="s">
        <v>36</v>
      </c>
      <c r="D65" s="62" t="s">
        <v>37</v>
      </c>
      <c r="E65" s="62" t="s">
        <v>38</v>
      </c>
      <c r="F65" s="63" t="s">
        <v>39</v>
      </c>
      <c r="G65" s="62" t="s">
        <v>36</v>
      </c>
      <c r="H65" s="62" t="s">
        <v>37</v>
      </c>
      <c r="I65" s="62" t="s">
        <v>38</v>
      </c>
      <c r="J65" s="63" t="s">
        <v>39</v>
      </c>
      <c r="K65" s="62" t="s">
        <v>36</v>
      </c>
      <c r="L65" s="62" t="s">
        <v>37</v>
      </c>
      <c r="M65" s="62" t="s">
        <v>38</v>
      </c>
      <c r="N65" s="63" t="s">
        <v>39</v>
      </c>
      <c r="O65" s="56"/>
      <c r="P65" s="64"/>
    </row>
    <row r="66" spans="2:16" ht="15">
      <c r="B66" s="29" t="s">
        <v>6</v>
      </c>
      <c r="C66" s="65"/>
      <c r="D66" s="76">
        <v>5.6772757172493851</v>
      </c>
      <c r="E66" s="76">
        <v>6.2644265820968661</v>
      </c>
      <c r="F66" s="66">
        <v>4.8</v>
      </c>
      <c r="G66" s="65"/>
      <c r="H66" s="76">
        <v>6.1083215265044792</v>
      </c>
      <c r="I66" s="76">
        <v>6.2722440166701841</v>
      </c>
      <c r="J66" s="66">
        <v>4.8</v>
      </c>
      <c r="K66" s="67"/>
      <c r="L66" s="194">
        <v>0.72440805717998702</v>
      </c>
      <c r="M66" s="194">
        <v>0.76946884585250075</v>
      </c>
      <c r="N66" s="68">
        <v>1</v>
      </c>
      <c r="O66" s="56"/>
      <c r="P66" s="69"/>
    </row>
    <row r="67" spans="2:16" ht="15">
      <c r="B67" s="33" t="s">
        <v>9</v>
      </c>
      <c r="C67" s="65"/>
      <c r="D67" s="76">
        <v>6.4421833717466042</v>
      </c>
      <c r="E67" s="76">
        <v>5.9960377561379312</v>
      </c>
      <c r="F67" s="66">
        <v>4.8</v>
      </c>
      <c r="G67" s="65"/>
      <c r="H67" s="76">
        <v>7.1293852901923529</v>
      </c>
      <c r="I67" s="76">
        <v>5.6513680702551383</v>
      </c>
      <c r="J67" s="66">
        <v>4.8</v>
      </c>
      <c r="K67" s="67"/>
      <c r="L67" s="194">
        <v>0.48873918128654975</v>
      </c>
      <c r="M67" s="194">
        <v>0.71648808642913986</v>
      </c>
      <c r="N67" s="68">
        <v>1</v>
      </c>
      <c r="P67" s="69"/>
    </row>
    <row r="68" spans="2:16" ht="15">
      <c r="B68" s="34" t="s">
        <v>40</v>
      </c>
      <c r="C68" s="65"/>
      <c r="D68" s="76">
        <v>10.092614580859641</v>
      </c>
      <c r="E68" s="76">
        <v>11.635872449225705</v>
      </c>
      <c r="F68" s="66">
        <v>5.5</v>
      </c>
      <c r="G68" s="65"/>
      <c r="H68" s="76">
        <v>10.729570603848533</v>
      </c>
      <c r="I68" s="76">
        <v>12.731353927784783</v>
      </c>
      <c r="J68" s="66">
        <v>5.5</v>
      </c>
      <c r="K68" s="67"/>
      <c r="L68" s="194">
        <v>0.49929824561403513</v>
      </c>
      <c r="M68" s="194">
        <v>0.53494558457711439</v>
      </c>
      <c r="N68" s="68">
        <v>1</v>
      </c>
      <c r="P68" s="69"/>
    </row>
    <row r="69" spans="2:16" ht="15">
      <c r="B69" s="22" t="s">
        <v>33</v>
      </c>
      <c r="C69" s="65"/>
      <c r="D69" s="76">
        <v>2.7693089430894253</v>
      </c>
      <c r="E69" s="76">
        <v>4.8132587912269527</v>
      </c>
      <c r="F69" s="66">
        <v>3.3</v>
      </c>
      <c r="G69" s="65"/>
      <c r="H69" s="76">
        <v>2.091599363557624</v>
      </c>
      <c r="I69" s="76">
        <v>4.4772094679692334</v>
      </c>
      <c r="J69" s="66">
        <v>3.3</v>
      </c>
      <c r="K69" s="67"/>
      <c r="L69" s="194">
        <v>0.67140350877192978</v>
      </c>
      <c r="M69" s="194">
        <v>0.80025950292397652</v>
      </c>
      <c r="N69" s="68">
        <v>1</v>
      </c>
      <c r="P69" s="69"/>
    </row>
    <row r="70" spans="2:16" ht="15">
      <c r="B70" s="35" t="s">
        <v>165</v>
      </c>
      <c r="C70" s="65"/>
      <c r="D70" s="76"/>
      <c r="E70" s="76">
        <v>7.837301587301579</v>
      </c>
      <c r="F70" s="66">
        <v>3.3</v>
      </c>
      <c r="G70" s="282"/>
      <c r="H70" s="76"/>
      <c r="I70" s="76">
        <v>5.3377569154690221</v>
      </c>
      <c r="J70" s="66">
        <v>3</v>
      </c>
      <c r="K70" s="67"/>
      <c r="L70" s="194"/>
      <c r="M70" s="194">
        <v>0.32596491228070179</v>
      </c>
      <c r="N70" s="68">
        <v>1</v>
      </c>
      <c r="P70" s="69"/>
    </row>
    <row r="71" spans="2:16" ht="15">
      <c r="B71" s="36" t="s">
        <v>15</v>
      </c>
      <c r="C71" s="65"/>
      <c r="D71" s="76"/>
      <c r="E71" s="76">
        <v>7.3129862357869699</v>
      </c>
      <c r="F71" s="70">
        <f>[21]May_2022!$M$43</f>
        <v>3.4878406700073312</v>
      </c>
      <c r="G71" s="282"/>
      <c r="H71" s="76"/>
      <c r="I71" s="76">
        <v>8.5598888260252064</v>
      </c>
      <c r="J71" s="66">
        <v>5.5</v>
      </c>
      <c r="K71" s="67"/>
      <c r="L71" s="194"/>
      <c r="M71" s="194">
        <v>0.60705263157894729</v>
      </c>
      <c r="N71" s="68">
        <v>1</v>
      </c>
      <c r="P71" s="69"/>
    </row>
    <row r="72" spans="2:16" ht="15">
      <c r="B72" s="37" t="s">
        <v>16</v>
      </c>
      <c r="C72" s="65"/>
      <c r="D72" s="76">
        <v>3.3629594042757489</v>
      </c>
      <c r="E72" s="76">
        <v>3.0382638492290015</v>
      </c>
      <c r="F72" s="66">
        <v>3.3</v>
      </c>
      <c r="G72" s="282"/>
      <c r="H72" s="76">
        <v>4.3098656267706001</v>
      </c>
      <c r="I72" s="76">
        <v>4.4758841279290129</v>
      </c>
      <c r="J72" s="66">
        <v>3.3</v>
      </c>
      <c r="K72" s="67"/>
      <c r="L72" s="194">
        <v>1.411578947368421</v>
      </c>
      <c r="M72" s="194">
        <v>0.85680449208779996</v>
      </c>
      <c r="N72" s="71">
        <v>1</v>
      </c>
      <c r="P72" s="69"/>
    </row>
    <row r="73" spans="2:16" ht="15.75" thickBot="1">
      <c r="B73" s="38" t="s">
        <v>164</v>
      </c>
      <c r="C73" s="65"/>
      <c r="D73" s="76"/>
      <c r="E73" s="76">
        <v>11.483253588516746</v>
      </c>
      <c r="F73" s="66">
        <v>7.5</v>
      </c>
      <c r="G73" s="282"/>
      <c r="H73" s="76"/>
      <c r="I73" s="76">
        <v>9.7934336121043764</v>
      </c>
      <c r="J73" s="66">
        <v>7.5</v>
      </c>
      <c r="K73" s="67"/>
      <c r="M73" s="194">
        <v>0.32456140350877194</v>
      </c>
      <c r="N73" s="71">
        <v>1</v>
      </c>
      <c r="P73" s="69"/>
    </row>
    <row r="74" spans="2:16" ht="15.75" thickBot="1">
      <c r="B74" s="414" t="s">
        <v>161</v>
      </c>
      <c r="C74" s="65"/>
      <c r="D74" s="76"/>
      <c r="E74" s="76">
        <v>7.2653644592663174</v>
      </c>
      <c r="F74" s="66">
        <v>4.8</v>
      </c>
      <c r="G74" s="282"/>
      <c r="H74" s="76"/>
      <c r="I74" s="76">
        <v>8.1715311054411259</v>
      </c>
      <c r="J74" s="66">
        <v>4.8</v>
      </c>
      <c r="K74" s="67"/>
      <c r="L74" s="194"/>
      <c r="M74" s="194">
        <v>0.51368421052631585</v>
      </c>
      <c r="N74" s="71">
        <v>1</v>
      </c>
      <c r="O74" s="74"/>
      <c r="P74" s="75"/>
    </row>
    <row r="75" spans="2:16" ht="15">
      <c r="D75" s="76">
        <v>5.8369838420107794</v>
      </c>
      <c r="E75" s="76">
        <v>6.3346547737033427</v>
      </c>
      <c r="F75" s="341">
        <v>5.5</v>
      </c>
      <c r="H75" s="76">
        <v>6.2983962211260804</v>
      </c>
      <c r="I75" s="76">
        <v>6.565702125810069</v>
      </c>
      <c r="J75" s="341">
        <v>5.5</v>
      </c>
      <c r="L75" s="194">
        <v>0.66928162511542022</v>
      </c>
      <c r="M75" s="194">
        <v>0.72837587232234968</v>
      </c>
      <c r="N75" s="386">
        <v>1</v>
      </c>
    </row>
    <row r="79" spans="2:16">
      <c r="F79" s="315"/>
    </row>
    <row r="80" spans="2:16" ht="15">
      <c r="F80" s="341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6:N26"/>
    <mergeCell ref="D27:E27"/>
    <mergeCell ref="B28:B39"/>
    <mergeCell ref="D28:E29"/>
    <mergeCell ref="D30:E31"/>
    <mergeCell ref="D32:E33"/>
    <mergeCell ref="D34:E35"/>
    <mergeCell ref="D36:E37"/>
    <mergeCell ref="D38:E39"/>
    <mergeCell ref="B40:B49"/>
    <mergeCell ref="D40:E41"/>
    <mergeCell ref="J40:K40"/>
    <mergeCell ref="L41:N41"/>
    <mergeCell ref="D42:E43"/>
    <mergeCell ref="D44:E45"/>
    <mergeCell ref="D46:E47"/>
    <mergeCell ref="D48:E49"/>
    <mergeCell ref="D50:E50"/>
    <mergeCell ref="B55:B56"/>
    <mergeCell ref="C55:C56"/>
    <mergeCell ref="D55:D56"/>
    <mergeCell ref="E55:E56"/>
    <mergeCell ref="M55:M56"/>
    <mergeCell ref="B64:F64"/>
    <mergeCell ref="G64:J64"/>
    <mergeCell ref="K64:N64"/>
    <mergeCell ref="G55:G56"/>
    <mergeCell ref="H55:H56"/>
    <mergeCell ref="I55:I56"/>
    <mergeCell ref="J55:J56"/>
    <mergeCell ref="K55:K56"/>
    <mergeCell ref="L55:L56"/>
    <mergeCell ref="F55:F56"/>
  </mergeCells>
  <conditionalFormatting sqref="B50:B51">
    <cfRule type="cellIs" dxfId="830" priority="155" operator="notBetween">
      <formula>#REF!</formula>
      <formula>#REF!</formula>
    </cfRule>
  </conditionalFormatting>
  <conditionalFormatting sqref="C54">
    <cfRule type="cellIs" dxfId="829" priority="187" stopIfTrue="1" operator="greaterThan">
      <formula>100</formula>
    </cfRule>
    <cfRule type="cellIs" dxfId="828" priority="186" stopIfTrue="1" operator="lessThan">
      <formula>96</formula>
    </cfRule>
  </conditionalFormatting>
  <conditionalFormatting sqref="C66:C70">
    <cfRule type="cellIs" dxfId="827" priority="136" stopIfTrue="1" operator="lessThanOrEqual">
      <formula>0</formula>
    </cfRule>
  </conditionalFormatting>
  <conditionalFormatting sqref="C66:C74">
    <cfRule type="cellIs" dxfId="826" priority="135" stopIfTrue="1" operator="greaterThan">
      <formula>$F66</formula>
    </cfRule>
  </conditionalFormatting>
  <conditionalFormatting sqref="C67">
    <cfRule type="cellIs" dxfId="825" priority="190" stopIfTrue="1" operator="greaterThan">
      <formula>$F66</formula>
    </cfRule>
  </conditionalFormatting>
  <conditionalFormatting sqref="C71">
    <cfRule type="cellIs" dxfId="824" priority="59" stopIfTrue="1" operator="greaterThan">
      <formula>$F70</formula>
    </cfRule>
    <cfRule type="cellIs" dxfId="823" priority="58" stopIfTrue="1" operator="lessThanOrEqual">
      <formula>0</formula>
    </cfRule>
  </conditionalFormatting>
  <conditionalFormatting sqref="C77:C81">
    <cfRule type="cellIs" dxfId="822" priority="178" stopIfTrue="1" operator="lessThanOrEqual">
      <formula>0</formula>
    </cfRule>
  </conditionalFormatting>
  <conditionalFormatting sqref="C78:C81">
    <cfRule type="cellIs" dxfId="821" priority="177" stopIfTrue="1" operator="greaterThan">
      <formula>$F$77</formula>
    </cfRule>
  </conditionalFormatting>
  <conditionalFormatting sqref="C83">
    <cfRule type="cellIs" dxfId="820" priority="180" stopIfTrue="1" operator="lessThanOrEqual">
      <formula>0</formula>
    </cfRule>
    <cfRule type="cellIs" dxfId="819" priority="179" stopIfTrue="1" operator="greaterThan">
      <formula>$F$77</formula>
    </cfRule>
  </conditionalFormatting>
  <conditionalFormatting sqref="C77:D77 D79:D85">
    <cfRule type="cellIs" dxfId="818" priority="172" stopIfTrue="1" operator="greaterThan">
      <formula>4.5</formula>
    </cfRule>
  </conditionalFormatting>
  <conditionalFormatting sqref="D50:D51">
    <cfRule type="cellIs" dxfId="817" priority="156" operator="notBetween">
      <formula>#REF!</formula>
      <formula>#REF!</formula>
    </cfRule>
  </conditionalFormatting>
  <conditionalFormatting sqref="D66:D73">
    <cfRule type="cellIs" dxfId="816" priority="150" stopIfTrue="1" operator="lessThanOrEqual">
      <formula>0</formula>
    </cfRule>
  </conditionalFormatting>
  <conditionalFormatting sqref="D74">
    <cfRule type="cellIs" dxfId="815" priority="149" stopIfTrue="1" operator="lessThanOrEqual">
      <formula>0</formula>
    </cfRule>
  </conditionalFormatting>
  <conditionalFormatting sqref="D77 D79:D85">
    <cfRule type="cellIs" dxfId="814" priority="173" stopIfTrue="1" operator="lessThanOrEqual">
      <formula>0</formula>
    </cfRule>
  </conditionalFormatting>
  <conditionalFormatting sqref="D78">
    <cfRule type="cellIs" dxfId="813" priority="165" stopIfTrue="1" operator="lessThanOrEqual">
      <formula>0</formula>
    </cfRule>
    <cfRule type="cellIs" dxfId="812" priority="164" stopIfTrue="1" operator="greaterThan">
      <formula>$F$77</formula>
    </cfRule>
  </conditionalFormatting>
  <conditionalFormatting sqref="D66:E75">
    <cfRule type="cellIs" dxfId="811" priority="133" stopIfTrue="1" operator="greaterThan">
      <formula>$F66</formula>
    </cfRule>
  </conditionalFormatting>
  <conditionalFormatting sqref="D75:E75">
    <cfRule type="cellIs" dxfId="810" priority="134" stopIfTrue="1" operator="lessThanOrEqual">
      <formula>0</formula>
    </cfRule>
  </conditionalFormatting>
  <conditionalFormatting sqref="E10:E25">
    <cfRule type="cellIs" dxfId="809" priority="12" operator="lessThan">
      <formula>48</formula>
    </cfRule>
  </conditionalFormatting>
  <conditionalFormatting sqref="E53 E54:F54">
    <cfRule type="cellIs" dxfId="808" priority="169" stopIfTrue="1" operator="greaterThan">
      <formula>100</formula>
    </cfRule>
  </conditionalFormatting>
  <conditionalFormatting sqref="E54">
    <cfRule type="cellIs" dxfId="807" priority="167" stopIfTrue="1" operator="greaterThan">
      <formula>100</formula>
    </cfRule>
    <cfRule type="cellIs" dxfId="806" priority="166" stopIfTrue="1" operator="lessThan">
      <formula>96.8</formula>
    </cfRule>
  </conditionalFormatting>
  <conditionalFormatting sqref="E66:E74">
    <cfRule type="cellIs" dxfId="805" priority="144" stopIfTrue="1" operator="lessThanOrEqual">
      <formula>0</formula>
    </cfRule>
  </conditionalFormatting>
  <conditionalFormatting sqref="E77:E85">
    <cfRule type="cellIs" dxfId="804" priority="158" stopIfTrue="1" operator="greaterThan">
      <formula>4.5</formula>
    </cfRule>
    <cfRule type="cellIs" dxfId="803" priority="159" stopIfTrue="1" operator="lessThanOrEqual">
      <formula>0</formula>
    </cfRule>
  </conditionalFormatting>
  <conditionalFormatting sqref="E54:F54 E53">
    <cfRule type="cellIs" dxfId="802" priority="168" stopIfTrue="1" operator="lessThan">
      <formula>96.5</formula>
    </cfRule>
  </conditionalFormatting>
  <conditionalFormatting sqref="F10:F25">
    <cfRule type="cellIs" dxfId="801" priority="13" operator="greaterThan">
      <formula>60</formula>
    </cfRule>
  </conditionalFormatting>
  <conditionalFormatting sqref="F54">
    <cfRule type="cellIs" dxfId="800" priority="184" stopIfTrue="1" operator="lessThan">
      <formula>96.8</formula>
    </cfRule>
    <cfRule type="cellIs" dxfId="799" priority="185" stopIfTrue="1" operator="greaterThan">
      <formula>100</formula>
    </cfRule>
  </conditionalFormatting>
  <conditionalFormatting sqref="F75">
    <cfRule type="cellIs" dxfId="798" priority="146" stopIfTrue="1" operator="lessThanOrEqual">
      <formula>0</formula>
    </cfRule>
    <cfRule type="cellIs" dxfId="797" priority="145" stopIfTrue="1" operator="greaterThan">
      <formula>$F75</formula>
    </cfRule>
  </conditionalFormatting>
  <conditionalFormatting sqref="F80">
    <cfRule type="cellIs" dxfId="796" priority="104" stopIfTrue="1" operator="lessThanOrEqual">
      <formula>0</formula>
    </cfRule>
    <cfRule type="cellIs" dxfId="795" priority="103" stopIfTrue="1" operator="greaterThan">
      <formula>$F80</formula>
    </cfRule>
  </conditionalFormatting>
  <conditionalFormatting sqref="G10:G16 G19:G23">
    <cfRule type="expression" dxfId="794" priority="46">
      <formula>IF(+(IF(G10&lt;S10,0,IF(G10&gt;T10,0,1)))=0,1)</formula>
    </cfRule>
  </conditionalFormatting>
  <conditionalFormatting sqref="G66:G67 C72:C74">
    <cfRule type="cellIs" dxfId="793" priority="152" stopIfTrue="1" operator="lessThanOrEqual">
      <formula>0</formula>
    </cfRule>
  </conditionalFormatting>
  <conditionalFormatting sqref="G66:G67">
    <cfRule type="cellIs" dxfId="792" priority="151" stopIfTrue="1" operator="greaterThan">
      <formula>$F66</formula>
    </cfRule>
    <cfRule type="cellIs" dxfId="791" priority="137" stopIfTrue="1" operator="greaterThan">
      <formula>$F66</formula>
    </cfRule>
    <cfRule type="cellIs" dxfId="790" priority="138" stopIfTrue="1" operator="lessThanOrEqual">
      <formula>0</formula>
    </cfRule>
  </conditionalFormatting>
  <conditionalFormatting sqref="G68">
    <cfRule type="cellIs" dxfId="789" priority="189" stopIfTrue="1" operator="lessThanOrEqual">
      <formula>0</formula>
    </cfRule>
    <cfRule type="cellIs" dxfId="788" priority="188" stopIfTrue="1" operator="greaterThan">
      <formula>$F67</formula>
    </cfRule>
  </conditionalFormatting>
  <conditionalFormatting sqref="G69">
    <cfRule type="cellIs" dxfId="787" priority="147" stopIfTrue="1" operator="greaterThan">
      <formula>$F69</formula>
    </cfRule>
    <cfRule type="cellIs" dxfId="786" priority="148" stopIfTrue="1" operator="lessThanOrEqual">
      <formula>0</formula>
    </cfRule>
  </conditionalFormatting>
  <conditionalFormatting sqref="G70:G74">
    <cfRule type="cellIs" dxfId="785" priority="154" stopIfTrue="1" operator="lessThanOrEqual">
      <formula>0</formula>
    </cfRule>
    <cfRule type="cellIs" dxfId="784" priority="153" stopIfTrue="1" operator="greaterThan">
      <formula>$J70</formula>
    </cfRule>
  </conditionalFormatting>
  <conditionalFormatting sqref="G79:G84 C82 C84">
    <cfRule type="cellIs" dxfId="783" priority="181" stopIfTrue="1" operator="greaterThan">
      <formula>4.5</formula>
    </cfRule>
    <cfRule type="cellIs" dxfId="782" priority="182" stopIfTrue="1" operator="lessThanOrEqual">
      <formula>0</formula>
    </cfRule>
  </conditionalFormatting>
  <conditionalFormatting sqref="G17:H18">
    <cfRule type="expression" dxfId="781" priority="14">
      <formula>IF(+(IF(G17&lt;#REF!,0,IF(G17&gt;#REF!,0,1)))=0,1)</formula>
    </cfRule>
  </conditionalFormatting>
  <conditionalFormatting sqref="G24:H25">
    <cfRule type="expression" dxfId="780" priority="57">
      <formula>IF(+(IF(G24&lt;#REF!,0,IF(G24&gt;#REF!,0,1)))=0,1)</formula>
    </cfRule>
  </conditionalFormatting>
  <conditionalFormatting sqref="G78:H78">
    <cfRule type="cellIs" dxfId="779" priority="162" stopIfTrue="1" operator="greaterThan">
      <formula>$F$77</formula>
    </cfRule>
    <cfRule type="cellIs" dxfId="778" priority="163" stopIfTrue="1" operator="lessThanOrEqual">
      <formula>0</formula>
    </cfRule>
  </conditionalFormatting>
  <conditionalFormatting sqref="H10:H16">
    <cfRule type="expression" dxfId="777" priority="26">
      <formula>IF(+(IF(H10&lt;#REF!,0,IF(H10&gt;#REF!,0,1)))=0,1)</formula>
    </cfRule>
  </conditionalFormatting>
  <conditionalFormatting sqref="H19:H23">
    <cfRule type="expression" dxfId="776" priority="45">
      <formula>IF(+(IF(H19&lt;#REF!,0,IF(H19&gt;#REF!,0,1)))=0,1)</formula>
    </cfRule>
  </conditionalFormatting>
  <conditionalFormatting sqref="H39:H53">
    <cfRule type="cellIs" dxfId="775" priority="160" stopIfTrue="1" operator="greaterThan">
      <formula>0</formula>
    </cfRule>
  </conditionalFormatting>
  <conditionalFormatting sqref="H57">
    <cfRule type="cellIs" dxfId="774" priority="71" stopIfTrue="1" operator="greaterThan">
      <formula>$F$24</formula>
    </cfRule>
    <cfRule type="cellIs" dxfId="773" priority="72" stopIfTrue="1" operator="lessThanOrEqual">
      <formula>0</formula>
    </cfRule>
    <cfRule type="cellIs" dxfId="772" priority="73" stopIfTrue="1" operator="greaterThan">
      <formula>#REF!</formula>
    </cfRule>
    <cfRule type="cellIs" dxfId="771" priority="74" stopIfTrue="1" operator="lessThanOrEqual">
      <formula>0</formula>
    </cfRule>
    <cfRule type="cellIs" dxfId="770" priority="62" stopIfTrue="1" operator="lessThanOrEqual">
      <formula>0</formula>
    </cfRule>
    <cfRule type="cellIs" dxfId="769" priority="63" stopIfTrue="1" operator="greaterThan">
      <formula>#REF!</formula>
    </cfRule>
  </conditionalFormatting>
  <conditionalFormatting sqref="H58">
    <cfRule type="cellIs" dxfId="768" priority="100" stopIfTrue="1" operator="lessThanOrEqual">
      <formula>0</formula>
    </cfRule>
    <cfRule type="cellIs" dxfId="767" priority="101" stopIfTrue="1" operator="greaterThan">
      <formula>$F$24</formula>
    </cfRule>
    <cfRule type="cellIs" dxfId="766" priority="90" stopIfTrue="1" operator="lessThanOrEqual">
      <formula>0</formula>
    </cfRule>
    <cfRule type="cellIs" dxfId="765" priority="91" stopIfTrue="1" operator="greaterThan">
      <formula>#REF!</formula>
    </cfRule>
    <cfRule type="cellIs" dxfId="764" priority="99" stopIfTrue="1" operator="greaterThan">
      <formula>$F$26</formula>
    </cfRule>
    <cfRule type="cellIs" dxfId="763" priority="102" stopIfTrue="1" operator="lessThanOrEqual">
      <formula>0</formula>
    </cfRule>
  </conditionalFormatting>
  <conditionalFormatting sqref="H59">
    <cfRule type="cellIs" dxfId="762" priority="43" stopIfTrue="1" operator="lessThanOrEqual">
      <formula>0</formula>
    </cfRule>
    <cfRule type="cellIs" dxfId="761" priority="42" stopIfTrue="1" operator="greaterThan">
      <formula>$F$45</formula>
    </cfRule>
    <cfRule type="cellIs" dxfId="760" priority="31" stopIfTrue="1" operator="lessThanOrEqual">
      <formula>0</formula>
    </cfRule>
    <cfRule type="cellIs" dxfId="759" priority="32" stopIfTrue="1" operator="greaterThan">
      <formula>$F$44</formula>
    </cfRule>
    <cfRule type="cellIs" dxfId="758" priority="40" stopIfTrue="1" operator="greaterThan">
      <formula>$F$47</formula>
    </cfRule>
    <cfRule type="cellIs" dxfId="757" priority="41" stopIfTrue="1" operator="lessThanOrEqual">
      <formula>0</formula>
    </cfRule>
  </conditionalFormatting>
  <conditionalFormatting sqref="H60:H61">
    <cfRule type="cellIs" dxfId="756" priority="77" stopIfTrue="1" operator="greaterThan">
      <formula>#REF!</formula>
    </cfRule>
    <cfRule type="cellIs" dxfId="755" priority="76" stopIfTrue="1" operator="lessThanOrEqual">
      <formula>0</formula>
    </cfRule>
    <cfRule type="cellIs" dxfId="754" priority="88" stopIfTrue="1" operator="lessThanOrEqual">
      <formula>0</formula>
    </cfRule>
    <cfRule type="cellIs" dxfId="753" priority="87" stopIfTrue="1" operator="greaterThan">
      <formula>#REF!</formula>
    </cfRule>
    <cfRule type="cellIs" dxfId="752" priority="86" stopIfTrue="1" operator="lessThanOrEqual">
      <formula>0</formula>
    </cfRule>
    <cfRule type="cellIs" dxfId="751" priority="85" stopIfTrue="1" operator="greaterThan">
      <formula>$F$25</formula>
    </cfRule>
  </conditionalFormatting>
  <conditionalFormatting sqref="H62">
    <cfRule type="cellIs" dxfId="750" priority="117" stopIfTrue="1" operator="lessThanOrEqual">
      <formula>0</formula>
    </cfRule>
    <cfRule type="cellIs" dxfId="749" priority="108" stopIfTrue="1" operator="greaterThan">
      <formula>$F$38</formula>
    </cfRule>
    <cfRule type="cellIs" dxfId="748" priority="118" stopIfTrue="1" operator="greaterThan">
      <formula>$F$39</formula>
    </cfRule>
    <cfRule type="cellIs" dxfId="747" priority="119" stopIfTrue="1" operator="lessThanOrEqual">
      <formula>0</formula>
    </cfRule>
    <cfRule type="cellIs" dxfId="746" priority="107" stopIfTrue="1" operator="lessThanOrEqual">
      <formula>0</formula>
    </cfRule>
    <cfRule type="cellIs" dxfId="745" priority="116" stopIfTrue="1" operator="greaterThan">
      <formula>$F$41</formula>
    </cfRule>
  </conditionalFormatting>
  <conditionalFormatting sqref="H66:H73">
    <cfRule type="cellIs" dxfId="744" priority="140" stopIfTrue="1" operator="lessThanOrEqual">
      <formula>0</formula>
    </cfRule>
    <cfRule type="cellIs" dxfId="743" priority="139" stopIfTrue="1" operator="greaterThan">
      <formula>$J66</formula>
    </cfRule>
  </conditionalFormatting>
  <conditionalFormatting sqref="H74">
    <cfRule type="cellIs" dxfId="742" priority="141" operator="greaterThan">
      <formula>5.3</formula>
    </cfRule>
  </conditionalFormatting>
  <conditionalFormatting sqref="H77 H79:H85">
    <cfRule type="cellIs" dxfId="741" priority="175" stopIfTrue="1" operator="lessThanOrEqual">
      <formula>0</formula>
    </cfRule>
    <cfRule type="cellIs" dxfId="740" priority="174" stopIfTrue="1" operator="greaterThan">
      <formula>4.5</formula>
    </cfRule>
  </conditionalFormatting>
  <conditionalFormatting sqref="H57:I57">
    <cfRule type="cellIs" dxfId="739" priority="61" stopIfTrue="1" operator="greaterThan">
      <formula>#REF!</formula>
    </cfRule>
    <cfRule type="cellIs" dxfId="738" priority="64" stopIfTrue="1" operator="lessThanOrEqual">
      <formula>0</formula>
    </cfRule>
  </conditionalFormatting>
  <conditionalFormatting sqref="H58:I58">
    <cfRule type="cellIs" dxfId="737" priority="89" stopIfTrue="1" operator="greaterThan">
      <formula>$F$25</formula>
    </cfRule>
    <cfRule type="cellIs" dxfId="736" priority="92" stopIfTrue="1" operator="lessThanOrEqual">
      <formula>0</formula>
    </cfRule>
  </conditionalFormatting>
  <conditionalFormatting sqref="H59:I59">
    <cfRule type="cellIs" dxfId="735" priority="33" stopIfTrue="1" operator="lessThanOrEqual">
      <formula>0</formula>
    </cfRule>
    <cfRule type="cellIs" dxfId="734" priority="30" stopIfTrue="1" operator="greaterThan">
      <formula>$F$46</formula>
    </cfRule>
  </conditionalFormatting>
  <conditionalFormatting sqref="H60:I61">
    <cfRule type="cellIs" dxfId="733" priority="78" stopIfTrue="1" operator="lessThanOrEqual">
      <formula>0</formula>
    </cfRule>
    <cfRule type="cellIs" dxfId="732" priority="75" stopIfTrue="1" operator="greaterThan">
      <formula>$F$24</formula>
    </cfRule>
  </conditionalFormatting>
  <conditionalFormatting sqref="H62:I62">
    <cfRule type="cellIs" dxfId="731" priority="109" stopIfTrue="1" operator="lessThanOrEqual">
      <formula>0</formula>
    </cfRule>
    <cfRule type="cellIs" dxfId="730" priority="106" stopIfTrue="1" operator="greaterThan">
      <formula>$F$40</formula>
    </cfRule>
  </conditionalFormatting>
  <conditionalFormatting sqref="H75:I75">
    <cfRule type="cellIs" dxfId="729" priority="131" stopIfTrue="1" operator="greaterThan">
      <formula>$J75</formula>
    </cfRule>
    <cfRule type="cellIs" dxfId="728" priority="132" stopIfTrue="1" operator="lessThanOrEqual">
      <formula>0</formula>
    </cfRule>
  </conditionalFormatting>
  <conditionalFormatting sqref="I57">
    <cfRule type="cellIs" dxfId="727" priority="70" stopIfTrue="1" operator="lessThanOrEqual">
      <formula>0</formula>
    </cfRule>
    <cfRule type="cellIs" dxfId="726" priority="69" stopIfTrue="1" operator="greaterThan">
      <formula>#REF!</formula>
    </cfRule>
    <cfRule type="cellIs" dxfId="725" priority="68" stopIfTrue="1" operator="lessThanOrEqual">
      <formula>0</formula>
    </cfRule>
    <cfRule type="cellIs" dxfId="724" priority="66" stopIfTrue="1" operator="lessThanOrEqual">
      <formula>0</formula>
    </cfRule>
    <cfRule type="cellIs" dxfId="723" priority="67" stopIfTrue="1" operator="greaterThan">
      <formula>#REF!</formula>
    </cfRule>
    <cfRule type="cellIs" dxfId="722" priority="65" stopIfTrue="1" operator="greaterThan">
      <formula>#REF!</formula>
    </cfRule>
  </conditionalFormatting>
  <conditionalFormatting sqref="I58">
    <cfRule type="cellIs" dxfId="721" priority="93" stopIfTrue="1" operator="greaterThan">
      <formula>#REF!</formula>
    </cfRule>
    <cfRule type="cellIs" dxfId="720" priority="94" stopIfTrue="1" operator="lessThanOrEqual">
      <formula>0</formula>
    </cfRule>
    <cfRule type="cellIs" dxfId="719" priority="95" stopIfTrue="1" operator="greaterThan">
      <formula>$F$25</formula>
    </cfRule>
    <cfRule type="cellIs" dxfId="718" priority="96" stopIfTrue="1" operator="lessThanOrEqual">
      <formula>0</formula>
    </cfRule>
    <cfRule type="cellIs" dxfId="717" priority="97" stopIfTrue="1" operator="greaterThan">
      <formula>#REF!</formula>
    </cfRule>
    <cfRule type="cellIs" dxfId="716" priority="98" stopIfTrue="1" operator="lessThanOrEqual">
      <formula>0</formula>
    </cfRule>
  </conditionalFormatting>
  <conditionalFormatting sqref="I59">
    <cfRule type="cellIs" dxfId="715" priority="34" stopIfTrue="1" operator="greaterThan">
      <formula>$F$44</formula>
    </cfRule>
    <cfRule type="cellIs" dxfId="714" priority="36" stopIfTrue="1" operator="greaterThan">
      <formula>$F$46</formula>
    </cfRule>
    <cfRule type="cellIs" dxfId="713" priority="37" stopIfTrue="1" operator="lessThanOrEqual">
      <formula>0</formula>
    </cfRule>
    <cfRule type="cellIs" dxfId="712" priority="38" stopIfTrue="1" operator="greaterThan">
      <formula>$F$44</formula>
    </cfRule>
    <cfRule type="cellIs" dxfId="711" priority="39" stopIfTrue="1" operator="lessThanOrEqual">
      <formula>0</formula>
    </cfRule>
    <cfRule type="cellIs" dxfId="710" priority="35" stopIfTrue="1" operator="lessThanOrEqual">
      <formula>0</formula>
    </cfRule>
  </conditionalFormatting>
  <conditionalFormatting sqref="I60:I61">
    <cfRule type="cellIs" dxfId="709" priority="79" stopIfTrue="1" operator="greaterThan">
      <formula>#REF!</formula>
    </cfRule>
    <cfRule type="cellIs" dxfId="708" priority="80" stopIfTrue="1" operator="lessThanOrEqual">
      <formula>0</formula>
    </cfRule>
    <cfRule type="cellIs" dxfId="707" priority="84" stopIfTrue="1" operator="lessThanOrEqual">
      <formula>0</formula>
    </cfRule>
    <cfRule type="cellIs" dxfId="706" priority="83" stopIfTrue="1" operator="greaterThan">
      <formula>#REF!</formula>
    </cfRule>
    <cfRule type="cellIs" dxfId="705" priority="82" stopIfTrue="1" operator="lessThanOrEqual">
      <formula>0</formula>
    </cfRule>
    <cfRule type="cellIs" dxfId="704" priority="81" stopIfTrue="1" operator="greaterThan">
      <formula>$F$24</formula>
    </cfRule>
  </conditionalFormatting>
  <conditionalFormatting sqref="I62">
    <cfRule type="cellIs" dxfId="703" priority="110" stopIfTrue="1" operator="greaterThan">
      <formula>$F$38</formula>
    </cfRule>
    <cfRule type="cellIs" dxfId="702" priority="115" stopIfTrue="1" operator="lessThanOrEqual">
      <formula>0</formula>
    </cfRule>
    <cfRule type="cellIs" dxfId="701" priority="111" stopIfTrue="1" operator="lessThanOrEqual">
      <formula>0</formula>
    </cfRule>
    <cfRule type="cellIs" dxfId="700" priority="112" stopIfTrue="1" operator="greaterThan">
      <formula>$F$40</formula>
    </cfRule>
    <cfRule type="cellIs" dxfId="699" priority="113" stopIfTrue="1" operator="lessThanOrEqual">
      <formula>0</formula>
    </cfRule>
    <cfRule type="cellIs" dxfId="698" priority="114" stopIfTrue="1" operator="greaterThan">
      <formula>$F$38</formula>
    </cfRule>
  </conditionalFormatting>
  <conditionalFormatting sqref="I66:I74">
    <cfRule type="cellIs" dxfId="697" priority="143" stopIfTrue="1" operator="lessThanOrEqual">
      <formula>0</formula>
    </cfRule>
    <cfRule type="cellIs" dxfId="696" priority="142" stopIfTrue="1" operator="greaterThan">
      <formula>$J66</formula>
    </cfRule>
  </conditionalFormatting>
  <conditionalFormatting sqref="I77:I85">
    <cfRule type="cellIs" dxfId="695" priority="171" stopIfTrue="1" operator="lessThanOrEqual">
      <formula>0</formula>
    </cfRule>
    <cfRule type="cellIs" dxfId="694" priority="170" stopIfTrue="1" operator="greaterThan">
      <formula>4.5</formula>
    </cfRule>
  </conditionalFormatting>
  <conditionalFormatting sqref="I10:J25">
    <cfRule type="cellIs" dxfId="693" priority="4" operator="lessThan">
      <formula>97.9</formula>
    </cfRule>
  </conditionalFormatting>
  <conditionalFormatting sqref="J28:J30">
    <cfRule type="cellIs" dxfId="692" priority="121" stopIfTrue="1" operator="lessThan">
      <formula>96.8</formula>
    </cfRule>
    <cfRule type="cellIs" dxfId="691" priority="122" stopIfTrue="1" operator="greaterThan">
      <formula>100</formula>
    </cfRule>
    <cfRule type="cellIs" dxfId="690" priority="123" operator="lessThan">
      <formula>98</formula>
    </cfRule>
  </conditionalFormatting>
  <conditionalFormatting sqref="J28:J32">
    <cfRule type="cellIs" dxfId="689" priority="120" operator="lessThan">
      <formula>97.4</formula>
    </cfRule>
  </conditionalFormatting>
  <conditionalFormatting sqref="J33">
    <cfRule type="cellIs" dxfId="688" priority="124" operator="lessThan">
      <formula>98</formula>
    </cfRule>
  </conditionalFormatting>
  <conditionalFormatting sqref="J35:J36">
    <cfRule type="cellIs" dxfId="687" priority="125" stopIfTrue="1" operator="lessThan">
      <formula>96.8</formula>
    </cfRule>
    <cfRule type="cellIs" dxfId="686" priority="126" stopIfTrue="1" operator="greaterThan">
      <formula>100</formula>
    </cfRule>
  </conditionalFormatting>
  <conditionalFormatting sqref="J35:J37">
    <cfRule type="cellIs" dxfId="685" priority="127" operator="lessThan">
      <formula>98</formula>
    </cfRule>
  </conditionalFormatting>
  <conditionalFormatting sqref="J75">
    <cfRule type="cellIs" dxfId="684" priority="128" stopIfTrue="1" operator="greaterThan">
      <formula>$F75</formula>
    </cfRule>
    <cfRule type="cellIs" dxfId="683" priority="129" stopIfTrue="1" operator="lessThanOrEqual">
      <formula>0</formula>
    </cfRule>
  </conditionalFormatting>
  <conditionalFormatting sqref="K10:K25">
    <cfRule type="cellIs" dxfId="682" priority="6" operator="greaterThan">
      <formula>6</formula>
    </cfRule>
    <cfRule type="cellIs" dxfId="681" priority="8" operator="greaterThan">
      <formula>6.4</formula>
    </cfRule>
    <cfRule type="cellIs" dxfId="680" priority="7" operator="lessThan">
      <formula>4</formula>
    </cfRule>
  </conditionalFormatting>
  <conditionalFormatting sqref="K57:K62 K66:N72 K73 M73:N73 K74:N74">
    <cfRule type="cellIs" dxfId="679" priority="105" stopIfTrue="1" operator="lessThan">
      <formula>100%</formula>
    </cfRule>
  </conditionalFormatting>
  <conditionalFormatting sqref="K77:K82">
    <cfRule type="cellIs" dxfId="678" priority="176" stopIfTrue="1" operator="lessThan">
      <formula>100%</formula>
    </cfRule>
  </conditionalFormatting>
  <conditionalFormatting sqref="K84:K85">
    <cfRule type="cellIs" dxfId="677" priority="183" stopIfTrue="1" operator="lessThan">
      <formula>100%</formula>
    </cfRule>
  </conditionalFormatting>
  <conditionalFormatting sqref="L10:L16">
    <cfRule type="cellIs" dxfId="676" priority="23" operator="greaterThan">
      <formula>65</formula>
    </cfRule>
    <cfRule type="cellIs" dxfId="675" priority="22" operator="between">
      <formula>61</formula>
      <formula>65</formula>
    </cfRule>
  </conditionalFormatting>
  <conditionalFormatting sqref="L19:L25">
    <cfRule type="cellIs" dxfId="674" priority="54" operator="greaterThan">
      <formula>65</formula>
    </cfRule>
    <cfRule type="cellIs" dxfId="673" priority="53" operator="between">
      <formula>61</formula>
      <formula>65</formula>
    </cfRule>
  </conditionalFormatting>
  <conditionalFormatting sqref="L17:M18">
    <cfRule type="cellIs" dxfId="672" priority="11" operator="greaterThan">
      <formula>65</formula>
    </cfRule>
    <cfRule type="cellIs" dxfId="671" priority="10" operator="between">
      <formula>61</formula>
      <formula>65</formula>
    </cfRule>
  </conditionalFormatting>
  <conditionalFormatting sqref="L28:M39">
    <cfRule type="cellIs" dxfId="670" priority="1" operator="lessThan">
      <formula>98</formula>
    </cfRule>
  </conditionalFormatting>
  <conditionalFormatting sqref="L43:N43">
    <cfRule type="cellIs" dxfId="669" priority="3" operator="notEqual">
      <formula>#REF!</formula>
    </cfRule>
  </conditionalFormatting>
  <conditionalFormatting sqref="L75:N75">
    <cfRule type="cellIs" dxfId="668" priority="130" stopIfTrue="1" operator="lessThan">
      <formula>100%</formula>
    </cfRule>
  </conditionalFormatting>
  <conditionalFormatting sqref="L77:N85">
    <cfRule type="cellIs" dxfId="667" priority="161" stopIfTrue="1" operator="lessThan">
      <formula>100%</formula>
    </cfRule>
  </conditionalFormatting>
  <conditionalFormatting sqref="M10:M23">
    <cfRule type="expression" dxfId="666" priority="9">
      <formula>IF(+(IF(M10&lt;U10,0,IF(M10&gt;V10,0,1)))=0,1)</formula>
    </cfRule>
  </conditionalFormatting>
  <conditionalFormatting sqref="M24:N25">
    <cfRule type="expression" dxfId="665" priority="191">
      <formula>IF(+(IF(M24&lt;#REF!,0,IF(M24&gt;#REF!,0,1)))=0,1)</formula>
    </cfRule>
  </conditionalFormatting>
  <conditionalFormatting sqref="N10:N23">
    <cfRule type="expression" dxfId="664" priority="5">
      <formula>IF(+(IF(N10&lt;W10,0,IF(N10&gt;X10,0,1)))=0,1)</formula>
    </cfRule>
  </conditionalFormatting>
  <conditionalFormatting sqref="P6">
    <cfRule type="cellIs" dxfId="663" priority="157" operator="greaterThanOrEqual">
      <formula>19</formula>
    </cfRule>
  </conditionalFormatting>
  <dataValidations count="1">
    <dataValidation type="list" allowBlank="1" showInputMessage="1" showErrorMessage="1" sqref="R8" xr:uid="{3B6F7AF5-5BFE-4173-A113-2FEFDBCB4194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9" max="16383" man="1"/>
  </rowBreaks>
  <colBreaks count="1" manualBreakCount="1">
    <brk id="15" max="89" man="1"/>
  </colBreak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88DF-F4AA-4990-8435-5B5A6408DD27}">
  <sheetPr>
    <pageSetUpPr fitToPage="1"/>
  </sheetPr>
  <dimension ref="A1:BE82"/>
  <sheetViews>
    <sheetView topLeftCell="B3" zoomScale="60" zoomScaleNormal="60" workbookViewId="0">
      <selection activeCell="B21" sqref="B21:O21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25" t="s">
        <v>0</v>
      </c>
      <c r="T1" s="525"/>
      <c r="U1" s="525" t="s">
        <v>1</v>
      </c>
      <c r="V1" s="525"/>
      <c r="W1" s="525" t="s">
        <v>2</v>
      </c>
      <c r="X1" s="525"/>
      <c r="Y1" s="525" t="s">
        <v>124</v>
      </c>
      <c r="Z1" s="525"/>
    </row>
    <row r="2" spans="2:29" ht="15">
      <c r="B2" s="526" t="s">
        <v>3</v>
      </c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45926</v>
      </c>
      <c r="J4" s="398" t="s">
        <v>193</v>
      </c>
      <c r="K4" s="398"/>
      <c r="L4" s="11"/>
      <c r="M4" s="547" t="s">
        <v>8</v>
      </c>
      <c r="N4" s="548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44"/>
      <c r="D5" s="544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192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84" t="s">
        <v>17</v>
      </c>
      <c r="C8" s="494" t="s">
        <v>18</v>
      </c>
      <c r="D8" s="494" t="s">
        <v>19</v>
      </c>
      <c r="E8" s="356" t="s">
        <v>20</v>
      </c>
      <c r="F8" s="356" t="s">
        <v>21</v>
      </c>
      <c r="G8" s="494" t="s">
        <v>22</v>
      </c>
      <c r="H8" s="535" t="s">
        <v>144</v>
      </c>
      <c r="I8" s="494" t="s">
        <v>166</v>
      </c>
      <c r="J8" s="537" t="s">
        <v>23</v>
      </c>
      <c r="K8" s="539" t="s">
        <v>142</v>
      </c>
      <c r="L8" s="541" t="s">
        <v>24</v>
      </c>
      <c r="M8" s="359" t="s">
        <v>25</v>
      </c>
      <c r="N8" s="17" t="s">
        <v>26</v>
      </c>
      <c r="O8" s="488" t="s">
        <v>155</v>
      </c>
      <c r="P8" s="56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33"/>
      <c r="C9" s="534"/>
      <c r="D9" s="534"/>
      <c r="E9" s="357" t="s">
        <v>30</v>
      </c>
      <c r="F9" s="357" t="s">
        <v>31</v>
      </c>
      <c r="G9" s="534"/>
      <c r="H9" s="536"/>
      <c r="I9" s="534"/>
      <c r="J9" s="538"/>
      <c r="K9" s="540"/>
      <c r="L9" s="542"/>
      <c r="M9" s="20" t="s">
        <v>32</v>
      </c>
      <c r="N9" s="21" t="s">
        <v>41</v>
      </c>
      <c r="O9" s="573"/>
      <c r="P9" s="561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33" t="s">
        <v>9</v>
      </c>
      <c r="C10" s="366" t="str">
        <f>[24]Brewhouse!$A387</f>
        <v>ST365</v>
      </c>
      <c r="D10" s="279">
        <f>[24]Brewhouse!$AD387</f>
        <v>51.5</v>
      </c>
      <c r="E10" s="279">
        <f>[24]Brewhouse!$AG387</f>
        <v>50.2</v>
      </c>
      <c r="F10" s="278">
        <f>[24]Brewhouse!$V387</f>
        <v>57</v>
      </c>
      <c r="G10" s="279">
        <f>[24]Brewhouse!$AE387</f>
        <v>12</v>
      </c>
      <c r="H10" s="396">
        <v>11.34</v>
      </c>
      <c r="I10" s="420">
        <f>[24]Brewhouse!$AS387</f>
        <v>99.47959671281491</v>
      </c>
      <c r="J10" s="420">
        <f>[24]Brewhouse!$AT387</f>
        <v>101.17996217209169</v>
      </c>
      <c r="K10" s="281">
        <f>[24]Brewhouse!$Q387</f>
        <v>5.1923076923076845</v>
      </c>
      <c r="L10" s="276">
        <f>[24]Brewhouse!$P387</f>
        <v>60</v>
      </c>
      <c r="M10" s="374">
        <f>[24]Brewhouse!$U387-[24]Brewhouse!$T387</f>
        <v>0.1111111111111111</v>
      </c>
      <c r="N10" s="370">
        <f>[24]Brewhouse!$AW387</f>
        <v>0.24722222222222223</v>
      </c>
      <c r="O10" s="421" t="str">
        <f>[24]Brewhouse!$AV387</f>
        <v>K. Benjamin</v>
      </c>
      <c r="P10" s="418"/>
      <c r="R10" s="277" t="str">
        <f t="shared" ref="R10:R33" si="0">B10</f>
        <v>STAG</v>
      </c>
      <c r="S10" s="296">
        <f t="shared" ref="S10:S33" si="1">VLOOKUP($B10,$R$3:$X$9,2,FALSE)</f>
        <v>11.6</v>
      </c>
      <c r="T10" s="296">
        <f t="shared" ref="T10:T33" si="2">VLOOKUP($B10,$R$3:$X$9,3,FALSE)</f>
        <v>12</v>
      </c>
      <c r="U10" s="297">
        <f t="shared" ref="U10:U33" si="3">VLOOKUP($B10,$R$3:$X$9,4,FALSE)</f>
        <v>0</v>
      </c>
      <c r="V10" s="297">
        <f t="shared" ref="V10:V33" si="4">VLOOKUP($B10,$R$3:$X$9,5,FALSE)</f>
        <v>0.118055555555556</v>
      </c>
      <c r="W10" s="297">
        <f t="shared" ref="W10:W33" si="5">VLOOKUP($B10,$R$3:$X$9,6,FALSE)</f>
        <v>0.22569444444444445</v>
      </c>
      <c r="X10" s="297">
        <f t="shared" ref="X10:X33" si="6">VLOOKUP($B10,$R$3:$X$9,7,FALSE)</f>
        <v>0.2638888888888889</v>
      </c>
      <c r="Y10" s="297">
        <f t="shared" ref="Y10:Y33" si="7">VLOOKUP($B10,$R$3:$Z$9,8,FALSE)</f>
        <v>0</v>
      </c>
      <c r="Z10" s="296">
        <f t="shared" ref="Z10:Z33" si="8">VLOOKUP($B10,$R$3:$Z$9,9,FALSE)</f>
        <v>60</v>
      </c>
    </row>
    <row r="11" spans="2:29" ht="15.75" customHeight="1">
      <c r="B11" s="33" t="s">
        <v>9</v>
      </c>
      <c r="C11" s="366" t="str">
        <f>[24]Brewhouse!$A388</f>
        <v>ST366</v>
      </c>
      <c r="D11" s="279">
        <f>[24]Brewhouse!$AD388</f>
        <v>51.8</v>
      </c>
      <c r="E11" s="279">
        <f>[24]Brewhouse!$AG388</f>
        <v>49.7</v>
      </c>
      <c r="F11" s="278">
        <f>[24]Brewhouse!$V388</f>
        <v>59</v>
      </c>
      <c r="G11" s="279">
        <f>[24]Brewhouse!$AE388</f>
        <v>11.6</v>
      </c>
      <c r="H11" s="396">
        <v>12.18</v>
      </c>
      <c r="I11" s="420">
        <f>[24]Brewhouse!$AS388</f>
        <v>95.038520748721737</v>
      </c>
      <c r="J11" s="420">
        <f>[24]Brewhouse!$AT388</f>
        <v>96.662976650452066</v>
      </c>
      <c r="K11" s="281">
        <f>[24]Brewhouse!$Q388</f>
        <v>2.303262955854132</v>
      </c>
      <c r="L11" s="276">
        <f>[24]Brewhouse!$P388</f>
        <v>61</v>
      </c>
      <c r="M11" s="374">
        <f>[24]Brewhouse!$U388-[24]Brewhouse!$T388</f>
        <v>0.11805555555555558</v>
      </c>
      <c r="N11" s="370">
        <f>[24]Brewhouse!$AW388</f>
        <v>0.26319444444444451</v>
      </c>
      <c r="O11" s="421" t="str">
        <f>[24]Brewhouse!$AV388</f>
        <v>R. Regis</v>
      </c>
      <c r="P11" s="418"/>
      <c r="R11" s="277" t="str">
        <f t="shared" si="0"/>
        <v>STAG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33" t="s">
        <v>9</v>
      </c>
      <c r="C12" s="366" t="str">
        <f>[24]Brewhouse!$A389</f>
        <v>ST367</v>
      </c>
      <c r="D12" s="279">
        <f>[24]Brewhouse!$AD389</f>
        <v>51</v>
      </c>
      <c r="E12" s="279">
        <f>[24]Brewhouse!$AG389</f>
        <v>49.7</v>
      </c>
      <c r="F12" s="278">
        <f>[24]Brewhouse!$V389</f>
        <v>64</v>
      </c>
      <c r="G12" s="279">
        <f>[24]Brewhouse!$AE389</f>
        <v>11.9</v>
      </c>
      <c r="H12" s="396">
        <v>12.56</v>
      </c>
      <c r="I12" s="420">
        <f>[24]Brewhouse!$AS389</f>
        <v>97.870704600426876</v>
      </c>
      <c r="J12" s="420">
        <f>[24]Brewhouse!$AT389</f>
        <v>99.542484072301647</v>
      </c>
      <c r="K12" s="281">
        <f>[24]Brewhouse!$Q389</f>
        <v>5.1923076923076845</v>
      </c>
      <c r="L12" s="276">
        <f>[24]Brewhouse!$P389</f>
        <v>60</v>
      </c>
      <c r="M12" s="374">
        <f>[24]Brewhouse!$U389-[24]Brewhouse!$T389</f>
        <v>0.11180555555555555</v>
      </c>
      <c r="N12" s="370">
        <f>[24]Brewhouse!$AW389</f>
        <v>0.27152777777777776</v>
      </c>
      <c r="O12" s="421" t="str">
        <f>[24]Brewhouse!$AV389</f>
        <v>R. Regis</v>
      </c>
      <c r="P12" s="418"/>
      <c r="R12" s="277" t="str">
        <f t="shared" si="0"/>
        <v>STAG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33" t="s">
        <v>9</v>
      </c>
      <c r="C13" s="366" t="str">
        <f>[24]Brewhouse!$A390</f>
        <v>ST368</v>
      </c>
      <c r="D13" s="279">
        <f>[24]Brewhouse!$AD390</f>
        <v>50.6</v>
      </c>
      <c r="E13" s="279">
        <f>[24]Brewhouse!$AG390</f>
        <v>49.4</v>
      </c>
      <c r="F13" s="278">
        <f>[24]Brewhouse!$V390</f>
        <v>66</v>
      </c>
      <c r="G13" s="279">
        <f>[24]Brewhouse!$AE390</f>
        <v>12</v>
      </c>
      <c r="H13" s="396">
        <v>12.34</v>
      </c>
      <c r="I13" s="420">
        <f>[24]Brewhouse!$AS390</f>
        <v>98.26248465034702</v>
      </c>
      <c r="J13" s="420">
        <f>[24]Brewhouse!$AT390</f>
        <v>99.940409187667498</v>
      </c>
      <c r="K13" s="281">
        <f>[24]Brewhouse!$Q390</f>
        <v>4.423076923076918</v>
      </c>
      <c r="L13" s="276">
        <f>[24]Brewhouse!$P390</f>
        <v>60</v>
      </c>
      <c r="M13" s="374">
        <f>[24]Brewhouse!$U390-[24]Brewhouse!$T390</f>
        <v>0.11041666666666661</v>
      </c>
      <c r="N13" s="370">
        <f>[24]Brewhouse!$AW390</f>
        <v>0.24722222222222223</v>
      </c>
      <c r="O13" s="421" t="str">
        <f>[24]Brewhouse!$AV390</f>
        <v>R. Regis</v>
      </c>
      <c r="P13" s="418"/>
      <c r="R13" s="277" t="str">
        <f t="shared" si="0"/>
        <v>STAG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33" t="s">
        <v>9</v>
      </c>
      <c r="C14" s="366" t="str">
        <f>[24]Brewhouse!$A391</f>
        <v>ST369</v>
      </c>
      <c r="D14" s="279">
        <f>[24]Brewhouse!$AD391</f>
        <v>51.4</v>
      </c>
      <c r="E14" s="279">
        <f>[24]Brewhouse!$AG391</f>
        <v>50</v>
      </c>
      <c r="F14" s="278">
        <f>[24]Brewhouse!$V391</f>
        <v>68</v>
      </c>
      <c r="G14" s="279">
        <f>[24]Brewhouse!$AE391</f>
        <v>11.7</v>
      </c>
      <c r="H14" s="396">
        <v>12.21</v>
      </c>
      <c r="I14" s="420">
        <f>[24]Brewhouse!$AS391</f>
        <v>96.964435966121528</v>
      </c>
      <c r="J14" s="420">
        <f>[24]Brewhouse!$AT391</f>
        <v>98.619653847111564</v>
      </c>
      <c r="K14" s="281">
        <f>[24]Brewhouse!$Q391</f>
        <v>4.423076923076918</v>
      </c>
      <c r="L14" s="276">
        <f>[24]Brewhouse!$P391</f>
        <v>60</v>
      </c>
      <c r="M14" s="374">
        <f>[24]Brewhouse!$U391-[24]Brewhouse!$T391</f>
        <v>0.11319444444444438</v>
      </c>
      <c r="N14" s="370">
        <f>[24]Brewhouse!$AW391</f>
        <v>0.25763888888888886</v>
      </c>
      <c r="O14" s="421" t="str">
        <f>[24]Brewhouse!$AV391</f>
        <v>R. Regis</v>
      </c>
      <c r="P14" s="418"/>
      <c r="R14" s="277" t="str">
        <f t="shared" si="0"/>
        <v>STAG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33" t="s">
        <v>9</v>
      </c>
      <c r="C15" s="366" t="str">
        <f>[24]Brewhouse!$A392</f>
        <v>ST370</v>
      </c>
      <c r="D15" s="279">
        <f>[24]Brewhouse!$AD392</f>
        <v>51.4</v>
      </c>
      <c r="E15" s="279">
        <f>[24]Brewhouse!$AG392</f>
        <v>50.3</v>
      </c>
      <c r="F15" s="278">
        <f>[24]Brewhouse!$V392</f>
        <v>77</v>
      </c>
      <c r="G15" s="279">
        <f>[24]Brewhouse!$AE392</f>
        <v>11.7</v>
      </c>
      <c r="H15" s="396">
        <v>11.97</v>
      </c>
      <c r="I15" s="420">
        <f>[24]Brewhouse!$AS392</f>
        <v>97.546222581918258</v>
      </c>
      <c r="J15" s="420">
        <f>[24]Brewhouse!$AT392</f>
        <v>99.211371770194219</v>
      </c>
      <c r="K15" s="281">
        <f>[24]Brewhouse!$Q392</f>
        <v>4.423076923076918</v>
      </c>
      <c r="L15" s="276">
        <f>[24]Brewhouse!$P392</f>
        <v>57</v>
      </c>
      <c r="M15" s="374">
        <f>[24]Brewhouse!$U392-[24]Brewhouse!$T392</f>
        <v>0.125</v>
      </c>
      <c r="N15" s="370">
        <f>[24]Brewhouse!$AW392</f>
        <v>0.26527777777777783</v>
      </c>
      <c r="O15" s="421" t="str">
        <f>[24]Brewhouse!$AV392</f>
        <v>R. Regis</v>
      </c>
      <c r="P15" s="418"/>
      <c r="R15" s="277" t="str">
        <f t="shared" si="0"/>
        <v>STAG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33" t="s">
        <v>9</v>
      </c>
      <c r="C16" s="366" t="str">
        <f>[24]Brewhouse!$A393</f>
        <v>ST371</v>
      </c>
      <c r="D16" s="279">
        <f>[24]Brewhouse!$AD393</f>
        <v>49.8</v>
      </c>
      <c r="E16" s="279">
        <f>[24]Brewhouse!$AG393</f>
        <v>48.5</v>
      </c>
      <c r="F16" s="278">
        <f>[24]Brewhouse!$V393</f>
        <v>58</v>
      </c>
      <c r="G16" s="279">
        <f>[24]Brewhouse!$AE393</f>
        <v>11.8</v>
      </c>
      <c r="H16" s="396">
        <v>11.8</v>
      </c>
      <c r="I16" s="420">
        <f>[24]Brewhouse!$AS393</f>
        <v>95.020750870329579</v>
      </c>
      <c r="J16" s="420">
        <f>[24]Brewhouse!$AT393</f>
        <v>96.642257616360666</v>
      </c>
      <c r="K16" s="281">
        <f>[24]Brewhouse!$Q393</f>
        <v>10.384615384615383</v>
      </c>
      <c r="L16" s="276">
        <f>[24]Brewhouse!$P393</f>
        <v>60</v>
      </c>
      <c r="M16" s="374">
        <f>[24]Brewhouse!$U393-[24]Brewhouse!$T393</f>
        <v>0.11319444444444438</v>
      </c>
      <c r="N16" s="370">
        <f>[24]Brewhouse!$AW393</f>
        <v>0.27500000000000002</v>
      </c>
      <c r="O16" s="421" t="str">
        <f>[24]Brewhouse!$AV393</f>
        <v>R. Regis</v>
      </c>
      <c r="P16" s="418"/>
      <c r="R16" s="277" t="str">
        <f t="shared" si="0"/>
        <v>STAG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1:26" ht="15.75" customHeight="1">
      <c r="B17" s="33" t="s">
        <v>9</v>
      </c>
      <c r="C17" s="366" t="str">
        <f>[24]Brewhouse!$A394</f>
        <v>ST372</v>
      </c>
      <c r="D17" s="279">
        <f>[24]Brewhouse!$AD394</f>
        <v>51.2</v>
      </c>
      <c r="E17" s="279">
        <f>[24]Brewhouse!$AG394</f>
        <v>50.4</v>
      </c>
      <c r="F17" s="278">
        <f>[24]Brewhouse!$V394</f>
        <v>56</v>
      </c>
      <c r="G17" s="279">
        <f>[24]Brewhouse!$AE394</f>
        <v>12.2</v>
      </c>
      <c r="H17" s="396">
        <v>11.8</v>
      </c>
      <c r="I17" s="420">
        <f>[24]Brewhouse!$AS394</f>
        <v>102.00760320196547</v>
      </c>
      <c r="J17" s="420">
        <f>[24]Brewhouse!$AT394</f>
        <v>103.74947916831094</v>
      </c>
      <c r="K17" s="281" t="e">
        <f>[24]Brewhouse!$Q394</f>
        <v>#DIV/0!</v>
      </c>
      <c r="L17" s="276">
        <f>[24]Brewhouse!$P394</f>
        <v>62</v>
      </c>
      <c r="M17" s="374">
        <f>[24]Brewhouse!$U394-[24]Brewhouse!$T394</f>
        <v>0.11805555555555558</v>
      </c>
      <c r="N17" s="370">
        <f>[24]Brewhouse!$AW394</f>
        <v>0.26527777777777783</v>
      </c>
      <c r="O17" s="421" t="str">
        <f>[24]Brewhouse!$AV394</f>
        <v>R. Regis</v>
      </c>
      <c r="P17" s="418"/>
      <c r="R17" s="277" t="str">
        <f t="shared" si="0"/>
        <v>STAG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1:26" ht="15.75" customHeight="1">
      <c r="B18" s="33" t="s">
        <v>9</v>
      </c>
      <c r="C18" s="366" t="str">
        <f>[24]Brewhouse!$A395</f>
        <v>ST373</v>
      </c>
      <c r="D18" s="279">
        <f>[24]Brewhouse!$AD395</f>
        <v>50.4</v>
      </c>
      <c r="E18" s="279">
        <f>[24]Brewhouse!$AG395</f>
        <v>49.2</v>
      </c>
      <c r="F18" s="278">
        <f>[24]Brewhouse!$V395</f>
        <v>62</v>
      </c>
      <c r="G18" s="279">
        <f>[24]Brewhouse!$AE395</f>
        <v>11.7</v>
      </c>
      <c r="H18" s="396">
        <v>11.9</v>
      </c>
      <c r="I18" s="420">
        <f>[24]Brewhouse!$AS395</f>
        <v>95.894539911363424</v>
      </c>
      <c r="J18" s="420">
        <f>[24]Brewhouse!$AT395</f>
        <v>97.529339714913931</v>
      </c>
      <c r="K18" s="281">
        <f>[24]Brewhouse!$Q395</f>
        <v>12.307692307692305</v>
      </c>
      <c r="L18" s="276">
        <f>[24]Brewhouse!$P395</f>
        <v>63</v>
      </c>
      <c r="M18" s="374">
        <f>[24]Brewhouse!$U395-[24]Brewhouse!$T395</f>
        <v>0.16666666666666652</v>
      </c>
      <c r="N18" s="370">
        <f>[24]Brewhouse!$AW395</f>
        <v>0.29930555555555549</v>
      </c>
      <c r="O18" s="421" t="str">
        <f>[24]Brewhouse!$AV395</f>
        <v>K. Benjamin</v>
      </c>
      <c r="P18" s="418"/>
      <c r="R18" s="277" t="str">
        <f t="shared" si="0"/>
        <v>STAG</v>
      </c>
      <c r="S18" s="296">
        <f t="shared" si="1"/>
        <v>11.6</v>
      </c>
      <c r="T18" s="296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296">
        <f t="shared" si="8"/>
        <v>60</v>
      </c>
    </row>
    <row r="19" spans="1:26" ht="15.75" customHeight="1">
      <c r="B19" s="33"/>
      <c r="C19" s="366"/>
      <c r="D19" s="279"/>
      <c r="E19" s="279"/>
      <c r="F19" s="278"/>
      <c r="G19" s="279"/>
      <c r="H19" s="396"/>
      <c r="I19" s="420"/>
      <c r="J19" s="420"/>
      <c r="K19" s="281"/>
      <c r="L19" s="276"/>
      <c r="M19" s="374"/>
      <c r="N19" s="370"/>
      <c r="O19" s="421"/>
      <c r="P19" s="418"/>
      <c r="R19" s="277"/>
      <c r="S19" s="296"/>
      <c r="T19" s="296"/>
      <c r="U19" s="297"/>
      <c r="V19" s="297"/>
      <c r="W19" s="297"/>
      <c r="X19" s="297"/>
      <c r="Y19" s="297"/>
      <c r="Z19" s="296"/>
    </row>
    <row r="20" spans="1:26" ht="15.75" customHeight="1">
      <c r="B20" s="468" t="s">
        <v>190</v>
      </c>
      <c r="C20" s="366"/>
      <c r="D20" s="279"/>
      <c r="E20" s="279"/>
      <c r="F20" s="278"/>
      <c r="G20" s="279"/>
      <c r="H20" s="396"/>
      <c r="I20" s="420"/>
      <c r="J20" s="420"/>
      <c r="K20" s="281"/>
      <c r="L20" s="276"/>
      <c r="M20" s="374"/>
      <c r="N20" s="370"/>
      <c r="O20" s="421"/>
      <c r="P20" s="418"/>
      <c r="R20" s="277"/>
      <c r="S20" s="296"/>
      <c r="T20" s="296"/>
      <c r="U20" s="297"/>
      <c r="V20" s="297"/>
      <c r="W20" s="297"/>
      <c r="X20" s="297"/>
      <c r="Y20" s="297"/>
      <c r="Z20" s="296"/>
    </row>
    <row r="21" spans="1:26" ht="15.6" customHeight="1">
      <c r="B21" s="33" t="s">
        <v>9</v>
      </c>
      <c r="C21" s="366" t="str">
        <f>[24]Brewhouse!$A396</f>
        <v>ST374</v>
      </c>
      <c r="D21" s="279">
        <f>[24]Brewhouse!$AD396</f>
        <v>49.1</v>
      </c>
      <c r="E21" s="279">
        <f>[24]Brewhouse!$AG396</f>
        <v>48.3</v>
      </c>
      <c r="F21" s="278">
        <f>[24]Brewhouse!$V396</f>
        <v>55</v>
      </c>
      <c r="G21" s="279">
        <f>[24]Brewhouse!$AE396</f>
        <v>11.9</v>
      </c>
      <c r="H21" s="367"/>
      <c r="I21" s="420">
        <f>[24]Brewhouse!$AS396</f>
        <v>95.472444359320335</v>
      </c>
      <c r="J21" s="420">
        <f>[24]Brewhouse!$AT396</f>
        <v>97.101659148413887</v>
      </c>
      <c r="K21" s="281">
        <f>[24]Brewhouse!$Q396</f>
        <v>13.269230769230766</v>
      </c>
      <c r="L21" s="276">
        <f>[24]Brewhouse!$P396</f>
        <v>59</v>
      </c>
      <c r="M21" s="374">
        <f>[24]Brewhouse!$U396-[24]Brewhouse!$T396</f>
        <v>0.12222222222222223</v>
      </c>
      <c r="N21" s="370">
        <f>[24]Brewhouse!$AW396</f>
        <v>0.27986111111111112</v>
      </c>
      <c r="O21" s="421" t="str">
        <f>[24]Brewhouse!$AV396</f>
        <v>K. Benjamin</v>
      </c>
      <c r="P21" s="418" t="s">
        <v>195</v>
      </c>
      <c r="R21" s="277" t="str">
        <f t="shared" si="0"/>
        <v>STAG</v>
      </c>
      <c r="S21" s="296">
        <f t="shared" si="1"/>
        <v>11.6</v>
      </c>
      <c r="T21" s="296">
        <f t="shared" si="2"/>
        <v>12</v>
      </c>
      <c r="U21" s="297">
        <f t="shared" si="3"/>
        <v>0</v>
      </c>
      <c r="V21" s="297">
        <f t="shared" si="4"/>
        <v>0.118055555555556</v>
      </c>
      <c r="W21" s="297">
        <f t="shared" si="5"/>
        <v>0.22569444444444445</v>
      </c>
      <c r="X21" s="297">
        <f t="shared" si="6"/>
        <v>0.2638888888888889</v>
      </c>
      <c r="Y21" s="297">
        <f t="shared" si="7"/>
        <v>0</v>
      </c>
      <c r="Z21" s="296">
        <f t="shared" si="8"/>
        <v>60</v>
      </c>
    </row>
    <row r="22" spans="1:26" ht="15.75" customHeight="1">
      <c r="B22" s="34"/>
      <c r="C22" s="366"/>
      <c r="D22" s="279"/>
      <c r="E22" s="279"/>
      <c r="F22" s="278"/>
      <c r="G22" s="279"/>
      <c r="H22" s="396"/>
      <c r="I22" s="420"/>
      <c r="J22" s="420"/>
      <c r="K22" s="462"/>
      <c r="L22" s="276"/>
      <c r="M22" s="374"/>
      <c r="N22" s="370"/>
      <c r="O22" s="421"/>
      <c r="P22" s="418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6" ht="15.75" customHeight="1">
      <c r="B23" s="34"/>
      <c r="C23" s="366"/>
      <c r="D23" s="279"/>
      <c r="E23" s="279"/>
      <c r="F23" s="278"/>
      <c r="G23" s="279"/>
      <c r="H23" s="396"/>
      <c r="I23" s="420"/>
      <c r="J23" s="420"/>
      <c r="K23" s="462"/>
      <c r="L23" s="276"/>
      <c r="M23" s="374"/>
      <c r="N23" s="370"/>
      <c r="O23" s="421"/>
      <c r="P23" s="418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6" ht="15.75" hidden="1" customHeight="1">
      <c r="B24" s="34"/>
      <c r="C24" s="366"/>
      <c r="D24" s="279"/>
      <c r="E24" s="279"/>
      <c r="F24" s="278"/>
      <c r="G24" s="279"/>
      <c r="H24" s="396"/>
      <c r="I24" s="420"/>
      <c r="J24" s="420"/>
      <c r="K24" s="462"/>
      <c r="L24" s="276"/>
      <c r="M24" s="374"/>
      <c r="N24" s="370"/>
      <c r="O24" s="421"/>
      <c r="P24" s="418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6" ht="15.75" hidden="1" customHeight="1">
      <c r="B25" s="34"/>
      <c r="C25" s="366"/>
      <c r="D25" s="279"/>
      <c r="E25" s="279"/>
      <c r="F25" s="278"/>
      <c r="G25" s="279"/>
      <c r="H25" s="396"/>
      <c r="I25" s="420"/>
      <c r="J25" s="420"/>
      <c r="K25" s="462"/>
      <c r="L25" s="276"/>
      <c r="M25" s="374"/>
      <c r="N25" s="370"/>
      <c r="O25" s="421"/>
      <c r="P25" s="418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6" ht="15.6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18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6" ht="15.7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371"/>
      <c r="P27" s="418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6" ht="15.75" customHeight="1" thickBot="1">
      <c r="B28" s="358"/>
      <c r="C28" s="358"/>
      <c r="D28" s="358"/>
      <c r="E28" s="358"/>
      <c r="F28" s="294"/>
      <c r="G28" s="294"/>
      <c r="H28" s="348"/>
      <c r="I28" s="514"/>
      <c r="J28" s="514"/>
      <c r="K28" s="514"/>
      <c r="L28" s="514"/>
      <c r="M28" s="514"/>
      <c r="N28" s="514"/>
      <c r="O28" s="1"/>
      <c r="P28" s="12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1:26" ht="15.75" thickBot="1">
      <c r="B29" s="388" t="s">
        <v>162</v>
      </c>
      <c r="C29" s="388"/>
      <c r="D29" s="527" t="s">
        <v>35</v>
      </c>
      <c r="E29" s="528"/>
      <c r="F29" s="294"/>
      <c r="G29" s="294"/>
      <c r="H29" s="348"/>
      <c r="I29" s="24" t="s">
        <v>17</v>
      </c>
      <c r="J29" s="25" t="s">
        <v>36</v>
      </c>
      <c r="K29" s="26" t="s">
        <v>138</v>
      </c>
      <c r="L29" s="25" t="s">
        <v>37</v>
      </c>
      <c r="M29" s="25" t="s">
        <v>38</v>
      </c>
      <c r="N29" s="27" t="s">
        <v>39</v>
      </c>
      <c r="O29" s="294"/>
      <c r="P29" s="12"/>
      <c r="R29" s="277" t="str">
        <f t="shared" si="0"/>
        <v xml:space="preserve">BRAND 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1:26" ht="15" customHeight="1">
      <c r="A30" s="28"/>
      <c r="B30" s="574" t="str">
        <f>I35</f>
        <v>MACKESON</v>
      </c>
      <c r="C30" s="362">
        <f>[27]Process!D28</f>
        <v>13.5</v>
      </c>
      <c r="D30" s="518">
        <v>14.01</v>
      </c>
      <c r="E30" s="507"/>
      <c r="F30" s="294"/>
      <c r="G30" s="294"/>
      <c r="H30" s="348"/>
      <c r="I30" s="29" t="s">
        <v>6</v>
      </c>
      <c r="J30" s="280"/>
      <c r="K30" s="284">
        <f>COUNTA([22]Brewhouse!$A$740:$A$821)</f>
        <v>82</v>
      </c>
      <c r="L30" s="305">
        <f>AVERAGE([22]Brewhouse!$AU$740:$AU$821)</f>
        <v>97.314316424839745</v>
      </c>
      <c r="M30" s="302">
        <f>AVERAGE([22]Brewhouse!$AU$102:$AU$171,[22]Brewhouse!$AU$173:$AU$253,[22]Brewhouse!$AU$255:$AU$339,[22]Brewhouse!$AU$341:$AU$346,[22]Brewhouse!$AU$348,[22]Brewhouse!$AU$349:$AU$406,[22]Brewhouse!$AU$408:$AU$491,[22]Brewhouse!$AU$493:$AU$578,[22]Brewhouse!$AU$580:$AU$652,[22]Brewhouse!$AU$655:$AU$738,[22]Brewhouse!$A$740:$A$821)</f>
        <v>97.707262129538279</v>
      </c>
      <c r="N30" s="30">
        <v>98</v>
      </c>
      <c r="O30" s="11"/>
      <c r="P30" s="31"/>
      <c r="R30" s="277" t="str">
        <f t="shared" si="0"/>
        <v>MACKESON</v>
      </c>
      <c r="S30" s="296">
        <f t="shared" si="1"/>
        <v>13.3</v>
      </c>
      <c r="T30" s="296">
        <f t="shared" si="2"/>
        <v>13.5</v>
      </c>
      <c r="U30" s="297">
        <f t="shared" si="3"/>
        <v>0</v>
      </c>
      <c r="V30" s="297">
        <f t="shared" si="4"/>
        <v>0.12905092592592593</v>
      </c>
      <c r="W30" s="297">
        <f t="shared" si="5"/>
        <v>0.27430555555555552</v>
      </c>
      <c r="X30" s="297">
        <f t="shared" si="6"/>
        <v>0.30208333333333331</v>
      </c>
      <c r="Y30" s="297">
        <f t="shared" si="7"/>
        <v>0</v>
      </c>
      <c r="Z30" s="296">
        <f t="shared" si="8"/>
        <v>0</v>
      </c>
    </row>
    <row r="31" spans="1:26" ht="15" customHeight="1">
      <c r="A31" s="28"/>
      <c r="B31" s="575"/>
      <c r="C31" s="362">
        <f>[27]Process!D29</f>
        <v>13.5</v>
      </c>
      <c r="D31" s="519"/>
      <c r="E31" s="502"/>
      <c r="F31" s="294"/>
      <c r="G31" s="294"/>
      <c r="H31" s="348"/>
      <c r="I31" s="33" t="s">
        <v>9</v>
      </c>
      <c r="J31" s="280">
        <f>AVERAGE(I10:I21)</f>
        <v>97.355730360332913</v>
      </c>
      <c r="K31" s="284">
        <f>COUNTA([24]Brewhouse!$A$361:$A$396)</f>
        <v>36</v>
      </c>
      <c r="L31" s="302">
        <f>AVERAGE([24]Brewhouse!$AS$361:$AS$396)</f>
        <v>97.469551904246785</v>
      </c>
      <c r="M31" s="302">
        <f>AVERAGE([24]Brewhouse!$AS$15:$AS$64,[24]Brewhouse!$AS$66:$AS$103,[24]Brewhouse!$AS$105:$AS$140,[24]Brewhouse!$AS$142:$AS$193,[24]Brewhouse!$AS$195:$AS$240,[24]Brewhouse!$AS$242:$AS$273,[24]Brewhouse!$AS$275:$AS$322,[24]Brewhouse!$AS$324:$AS$359,[24]Brewhouse!$AS$361:$AS$396)</f>
        <v>98.008126648652194</v>
      </c>
      <c r="N31" s="30">
        <v>98</v>
      </c>
      <c r="O31" s="11"/>
      <c r="P31" s="31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1:26" ht="14.65" customHeight="1">
      <c r="A32" s="28"/>
      <c r="B32" s="575"/>
      <c r="C32" s="362">
        <f>[27]Process!D30</f>
        <v>13.5</v>
      </c>
      <c r="D32" s="518">
        <v>14.12</v>
      </c>
      <c r="E32" s="507"/>
      <c r="F32" s="294"/>
      <c r="G32" s="294"/>
      <c r="H32" s="348"/>
      <c r="I32" s="34" t="s">
        <v>12</v>
      </c>
      <c r="J32" s="280"/>
      <c r="K32" s="284"/>
      <c r="L32" s="302"/>
      <c r="M32" s="302">
        <f>AVERAGE([25]Brewhouse!$AU$4:$AU$7,[25]Brewhouse!$AU$9:$AU$22,[25]Brewhouse!$AU$24:$AU$35,[25]Brewhouse!$AU$37:$AU$45,[25]Brewhouse!$AU$47:$AU$62,[25]Brewhouse!$AU$64:$AU$79,[25]Brewhouse!$AU$81:$AU$92)</f>
        <v>96.938184743997624</v>
      </c>
      <c r="N32" s="30">
        <v>98</v>
      </c>
      <c r="O32" s="11"/>
      <c r="P32" s="31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56" ht="14.65" customHeight="1">
      <c r="A33" s="28"/>
      <c r="B33" s="575"/>
      <c r="C33" s="362">
        <f>[27]Process!D31</f>
        <v>13.2</v>
      </c>
      <c r="D33" s="519"/>
      <c r="E33" s="502"/>
      <c r="F33" s="294"/>
      <c r="G33" s="294"/>
      <c r="H33" s="348"/>
      <c r="I33" s="22" t="s">
        <v>33</v>
      </c>
      <c r="J33" s="280"/>
      <c r="K33" s="284">
        <f>COUNTA([26]Brewhouse!$A$79:$A$86)</f>
        <v>8</v>
      </c>
      <c r="L33" s="302">
        <f>AVERAGE([26]Brewhouse!$AV$79:$AV$86)</f>
        <v>96.412390542357869</v>
      </c>
      <c r="M33" s="302">
        <f>AVERAGE([26]Brewhouse!$AV$5:$AV$14,[26]Brewhouse!$AV$16:$AV$19,[26]Brewhouse!$AV$21:$AV$24,[26]Brewhouse!$AV$26:$AV$33,[26]Brewhouse!$AV$35:$AV$46,[26]Brewhouse!$AV$48:$AV$53,[26]Brewhouse!$AV$55:$AV$62,[26]Brewhouse!$AV$64:$AV$77,[26]Brewhouse!$AV$79:$AV$86)</f>
        <v>98.293408393493976</v>
      </c>
      <c r="N33" s="30">
        <v>98</v>
      </c>
      <c r="O33" s="11"/>
      <c r="P33" s="31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56" ht="14.65" customHeight="1">
      <c r="A34" s="28"/>
      <c r="B34" s="575"/>
      <c r="C34" s="362">
        <f>[27]Process!D32</f>
        <v>13.3</v>
      </c>
      <c r="D34" s="518">
        <v>14.24</v>
      </c>
      <c r="E34" s="507"/>
      <c r="F34" s="417"/>
      <c r="G34" s="294"/>
      <c r="H34" s="348"/>
      <c r="I34" s="35" t="s">
        <v>29</v>
      </c>
      <c r="J34" s="280"/>
      <c r="K34" s="284"/>
      <c r="L34" s="302"/>
      <c r="M34" s="302"/>
      <c r="N34" s="30">
        <v>98</v>
      </c>
      <c r="O34" s="11"/>
      <c r="P34" s="31"/>
      <c r="R34" s="277"/>
      <c r="S34" s="296"/>
      <c r="T34" s="296"/>
      <c r="U34" s="297"/>
      <c r="V34" s="297"/>
      <c r="W34" s="297"/>
      <c r="X34" s="297"/>
      <c r="Y34" s="297"/>
      <c r="Z34" s="296"/>
    </row>
    <row r="35" spans="1:56" ht="14.65" customHeight="1">
      <c r="A35" s="28"/>
      <c r="B35" s="575"/>
      <c r="C35" s="362">
        <f>[27]Process!D33</f>
        <v>13.3</v>
      </c>
      <c r="D35" s="519"/>
      <c r="E35" s="502"/>
      <c r="F35" s="417"/>
      <c r="G35" s="294"/>
      <c r="H35" s="348"/>
      <c r="I35" s="36" t="s">
        <v>15</v>
      </c>
      <c r="J35" s="323"/>
      <c r="K35" s="284">
        <f>COUNTA([27]Brewhouse!$A$28:$A$35)</f>
        <v>8</v>
      </c>
      <c r="L35" s="302">
        <f>AVERAGE([27]Brewhouse!$AT$28:$AT$35)</f>
        <v>95.233703112250225</v>
      </c>
      <c r="M35" s="302">
        <f>AVERAGE([27]Brewhouse!$AT$4:$AT$11,[27]Brewhouse!$AT$13:$AT$16,[27]Brewhouse!$AT$18:$AT$21,[27]Brewhouse!$AT$26,[27]Brewhouse!$AT$28:$AT$35)</f>
        <v>94.794664331624134</v>
      </c>
      <c r="N35" s="30">
        <v>98</v>
      </c>
      <c r="O35" s="11"/>
      <c r="P35" s="31"/>
      <c r="R35" s="277"/>
      <c r="S35" s="296"/>
      <c r="T35" s="296"/>
      <c r="U35" s="297"/>
      <c r="V35" s="297"/>
      <c r="W35" s="297"/>
      <c r="X35" s="297"/>
      <c r="Y35" s="297"/>
      <c r="Z35" s="296"/>
      <c r="AA35" s="296"/>
    </row>
    <row r="36" spans="1:56" ht="14.65" customHeight="1">
      <c r="A36" s="28"/>
      <c r="B36" s="575"/>
      <c r="C36" s="362">
        <f>[27]Process!D34</f>
        <v>13.4</v>
      </c>
      <c r="D36" s="518">
        <v>14.27</v>
      </c>
      <c r="E36" s="507"/>
      <c r="F36" s="417"/>
      <c r="G36" s="294"/>
      <c r="H36" s="348"/>
      <c r="I36" s="37" t="s">
        <v>16</v>
      </c>
      <c r="J36" s="323"/>
      <c r="K36" s="284">
        <f>COUNTA([23]Brewhouse!$A$75:$A$82)</f>
        <v>8</v>
      </c>
      <c r="L36" s="302">
        <f>AVERAGE([23]Brewhouse!$AY$75:$AY$82)</f>
        <v>97.738838123294386</v>
      </c>
      <c r="M36" s="302">
        <f>AVERAGE([23]Brewhouse!$AY$6:$AY$13,[23]Brewhouse!$AY$15:$AY$20,[23]Brewhouse!$AY$22:$AY$29,[23]Brewhouse!$AY$31:$AY$34,[23]Brewhouse!$AY$36:$AY$43,[23]Brewhouse!$AY$45:$AY$50, [23]Brewhouse!$AY$56:$AY$73,[23]Brewhouse!$AY$75:$AY$82)</f>
        <v>97.409216272979165</v>
      </c>
      <c r="N36" s="30">
        <v>98</v>
      </c>
      <c r="O36" s="11"/>
      <c r="P36" s="31" t="s">
        <v>41</v>
      </c>
      <c r="R36" s="277"/>
      <c r="S36" s="296"/>
      <c r="T36" s="296"/>
      <c r="U36" s="297"/>
      <c r="V36" s="297"/>
      <c r="W36" s="297"/>
      <c r="X36" s="297"/>
      <c r="Y36" s="297"/>
      <c r="Z36" s="296"/>
      <c r="AA36" s="296"/>
    </row>
    <row r="37" spans="1:56" ht="14.65" customHeight="1">
      <c r="A37" s="28"/>
      <c r="B37" s="575"/>
      <c r="C37" s="362">
        <f>[27]Process!D35</f>
        <v>13.4</v>
      </c>
      <c r="D37" s="519"/>
      <c r="E37" s="502"/>
      <c r="F37" s="294"/>
      <c r="G37" s="294"/>
      <c r="H37" s="348"/>
      <c r="I37" s="411" t="s">
        <v>158</v>
      </c>
      <c r="J37" s="326"/>
      <c r="K37" s="284"/>
      <c r="L37" s="305"/>
      <c r="M37" s="305">
        <f>AVERAGE([28]Brewhouse!$AU$5:$AU$8,[28]Brewhouse!$AU$10:$AU$13,[23]Brewhouse!$AY$75:$AY$77)</f>
        <v>94.749192473706671</v>
      </c>
      <c r="N37" s="30">
        <v>98</v>
      </c>
      <c r="O37" s="11"/>
      <c r="P37" s="31"/>
      <c r="R37" s="277"/>
      <c r="S37" s="296"/>
      <c r="T37" s="296"/>
      <c r="U37" s="297"/>
      <c r="V37" s="297"/>
      <c r="W37" s="297"/>
      <c r="X37" s="297"/>
      <c r="Y37" s="297"/>
      <c r="Z37" s="296"/>
      <c r="AA37" s="296"/>
    </row>
    <row r="38" spans="1:56" ht="14.65" customHeight="1">
      <c r="A38" s="28"/>
      <c r="B38" s="575"/>
      <c r="C38" s="349"/>
      <c r="D38" s="518"/>
      <c r="E38" s="507"/>
      <c r="F38" s="294"/>
      <c r="G38" s="294"/>
      <c r="H38" s="348"/>
      <c r="I38" s="410" t="s">
        <v>157</v>
      </c>
      <c r="J38" s="326"/>
      <c r="K38" s="284"/>
      <c r="L38" s="305"/>
      <c r="M38" s="305">
        <f>AVERAGE([29]Brewhouse!$AW$26:$AW$27)</f>
        <v>95.310680905194914</v>
      </c>
      <c r="N38" s="30">
        <v>98</v>
      </c>
      <c r="O38" s="11"/>
      <c r="P38" s="31"/>
      <c r="R38" s="277"/>
      <c r="S38" s="296"/>
      <c r="T38" s="296"/>
      <c r="U38" s="297"/>
      <c r="V38" s="297"/>
      <c r="W38" s="297"/>
      <c r="X38" s="297"/>
      <c r="Y38" s="297"/>
      <c r="Z38" s="296"/>
      <c r="AA38" s="296"/>
    </row>
    <row r="39" spans="1:56" ht="15" customHeight="1" thickBot="1">
      <c r="A39" s="28"/>
      <c r="B39" s="575"/>
      <c r="C39" s="349"/>
      <c r="D39" s="519"/>
      <c r="E39" s="502"/>
      <c r="F39" s="294"/>
      <c r="G39" s="294"/>
      <c r="H39" s="348"/>
      <c r="I39" s="406" t="s">
        <v>156</v>
      </c>
      <c r="J39" s="327"/>
      <c r="K39" s="407"/>
      <c r="L39" s="408"/>
      <c r="M39" s="408">
        <f>AVERAGE([30]Brewhouse!$AU$13:$AU$14)</f>
        <v>97.110575243268045</v>
      </c>
      <c r="N39" s="409">
        <v>98</v>
      </c>
      <c r="O39" s="11"/>
      <c r="P39" s="31"/>
      <c r="R39" s="277"/>
      <c r="S39" s="296"/>
      <c r="T39" s="296"/>
      <c r="U39" s="297"/>
      <c r="V39" s="297"/>
      <c r="W39" s="297"/>
      <c r="X39" s="297"/>
      <c r="Y39" s="297"/>
      <c r="Z39" s="296"/>
      <c r="AA39" s="296"/>
    </row>
    <row r="40" spans="1:56" ht="15" customHeight="1" thickBot="1">
      <c r="A40" s="28"/>
      <c r="B40" s="575"/>
      <c r="C40" s="349"/>
      <c r="D40" s="518"/>
      <c r="E40" s="507"/>
      <c r="F40" s="294"/>
      <c r="G40" s="294"/>
      <c r="H40" s="348"/>
      <c r="I40" s="1"/>
      <c r="J40" s="39"/>
      <c r="K40" s="404">
        <f>SUM(K30:K39)</f>
        <v>142</v>
      </c>
      <c r="L40" s="405">
        <f>((L30*K30)+(L31*K31)+(L32*K32)+(L33*K33)+(L34*K34)+(K37*L37)+(L35*K35)+(L36*K36)+(L39*K39))/(K40)</f>
        <v>97.20955823671099</v>
      </c>
      <c r="M40" s="405">
        <f>AVERAGE('[31]Jan 31st'!$L$65,'[32]Feb 28th'!$L$35,'[33]Mar. 31st'!$L$35,'[34]Apr. 30th'!$L$45,'[35]May 30th'!$L$37,'[36]June 30th'!$L$57,L40)</f>
        <v>97.594495533396142</v>
      </c>
      <c r="N40" s="40">
        <v>98</v>
      </c>
      <c r="O40" s="11"/>
      <c r="P40" s="31"/>
      <c r="R40" s="277"/>
      <c r="S40" s="296"/>
      <c r="T40" s="296"/>
      <c r="U40" s="297"/>
      <c r="V40" s="297"/>
      <c r="W40" s="297"/>
      <c r="X40" s="297"/>
      <c r="Y40" s="297"/>
      <c r="Z40" s="296"/>
      <c r="AA40" s="296"/>
    </row>
    <row r="41" spans="1:56" ht="15.75" thickBot="1">
      <c r="B41" s="576"/>
      <c r="C41" s="350"/>
      <c r="D41" s="519"/>
      <c r="E41" s="502"/>
      <c r="F41" s="294"/>
      <c r="G41" s="42"/>
      <c r="H41" s="41"/>
      <c r="I41" s="42"/>
      <c r="J41" s="42"/>
      <c r="K41" s="351"/>
      <c r="L41" s="348"/>
      <c r="M41" s="348"/>
      <c r="N41" s="11"/>
      <c r="O41" s="294"/>
      <c r="P41" s="12"/>
      <c r="R41" s="277"/>
      <c r="S41" s="296"/>
      <c r="T41" s="296"/>
      <c r="U41" s="297"/>
      <c r="V41" s="297"/>
      <c r="W41" s="297"/>
      <c r="X41" s="297"/>
      <c r="Y41" s="297"/>
      <c r="Z41" s="296"/>
      <c r="AA41" s="296"/>
    </row>
    <row r="42" spans="1:56" ht="15.75" thickBot="1">
      <c r="B42" s="552"/>
      <c r="C42" s="362"/>
      <c r="D42" s="499"/>
      <c r="E42" s="500"/>
      <c r="F42" s="294"/>
      <c r="G42" s="42"/>
      <c r="H42" s="41"/>
      <c r="I42" s="42"/>
      <c r="J42" s="553" t="s">
        <v>129</v>
      </c>
      <c r="K42" s="553"/>
      <c r="L42" s="294"/>
      <c r="M42" s="294"/>
      <c r="N42" s="294"/>
      <c r="O42" s="294"/>
      <c r="P42" s="12"/>
    </row>
    <row r="43" spans="1:56" ht="15.75" thickBot="1">
      <c r="B43" s="516"/>
      <c r="C43" s="362"/>
      <c r="D43" s="501"/>
      <c r="E43" s="502"/>
      <c r="F43" s="294"/>
      <c r="G43" s="42"/>
      <c r="H43" s="41"/>
      <c r="I43" s="42"/>
      <c r="J43" s="292" t="s">
        <v>17</v>
      </c>
      <c r="K43" s="293" t="s">
        <v>147</v>
      </c>
      <c r="L43" s="504" t="s">
        <v>136</v>
      </c>
      <c r="M43" s="504"/>
      <c r="N43" s="505"/>
      <c r="O43" s="294"/>
      <c r="P43" s="12"/>
    </row>
    <row r="44" spans="1:56" ht="15" customHeight="1" thickBot="1">
      <c r="B44" s="516"/>
      <c r="C44" s="349"/>
      <c r="D44" s="554"/>
      <c r="E44" s="555"/>
      <c r="F44" s="294"/>
      <c r="G44" s="42"/>
      <c r="H44" s="41"/>
      <c r="I44" s="42"/>
      <c r="J44" s="287" t="s">
        <v>6</v>
      </c>
      <c r="K44" s="324"/>
      <c r="L44" s="343" t="s">
        <v>37</v>
      </c>
      <c r="M44" s="307" t="s">
        <v>38</v>
      </c>
      <c r="N44" s="307" t="s">
        <v>84</v>
      </c>
      <c r="O44" s="294"/>
      <c r="P44" s="12"/>
    </row>
    <row r="45" spans="1:56" ht="15.75" customHeight="1" thickBot="1">
      <c r="B45" s="516"/>
      <c r="C45" s="349"/>
      <c r="D45" s="501"/>
      <c r="E45" s="502"/>
      <c r="F45" s="294"/>
      <c r="G45" s="42"/>
      <c r="H45" s="41"/>
      <c r="I45" s="42"/>
      <c r="J45" s="345" t="s">
        <v>9</v>
      </c>
      <c r="K45" s="324">
        <v>9</v>
      </c>
      <c r="L45" s="344">
        <f>AVERAGE('Sept 1st'!K48,'Sept 2nd'!K46,'Sept 3rd'!K47,'Sept 4th'!K56,'Sept 5th '!K44,'Sept 8th'!K46,'Sept 9th'!K46,'Sept 10th'!K54,'Sept 11th'!K48,'Sept 15th '!K38,'Sept 16th'!K39,'Sept 17th'!K43,'Sept 18th '!K41,'Sept 19th'!K44,'Sept 22nd'!K46,,'Sept 23rd'!K57,'Sept 24th'!K52,K54)</f>
        <v>5.666666666666667</v>
      </c>
      <c r="M45" s="325">
        <f>AVERAGE('[31]Jan 29th '!$M$70,'[32]Feb 28th'!$L$40,'[33]Mar. 31st'!$L$40,'[34]Apr. 30th'!$L$50,'[35]May 30th'!$L$42,'[36]June 30th'!$L$62,'[37]July 29th '!$L$49,'[38]Aug 29th'!$L$34,L45)</f>
        <v>6.8110414460528865</v>
      </c>
      <c r="N45" s="416">
        <v>9.1999999999999993</v>
      </c>
      <c r="O45" s="294"/>
      <c r="P45" s="12"/>
    </row>
    <row r="46" spans="1:56" ht="15" customHeight="1">
      <c r="B46" s="516"/>
      <c r="C46" s="349"/>
      <c r="D46" s="554"/>
      <c r="E46" s="555"/>
      <c r="F46" s="294"/>
      <c r="G46" s="42"/>
      <c r="H46" s="41"/>
      <c r="I46" s="42"/>
      <c r="J46" s="288" t="s">
        <v>40</v>
      </c>
      <c r="K46" s="324"/>
      <c r="L46" s="294"/>
      <c r="M46" s="294"/>
      <c r="N46" s="294"/>
      <c r="O46" s="294"/>
      <c r="P46" s="12"/>
    </row>
    <row r="47" spans="1:56" ht="15" customHeight="1">
      <c r="B47" s="516"/>
      <c r="C47" s="349"/>
      <c r="D47" s="501"/>
      <c r="E47" s="502"/>
      <c r="F47" s="294"/>
      <c r="G47" s="42"/>
      <c r="H47" s="41"/>
      <c r="I47" s="42"/>
      <c r="J47" s="289" t="s">
        <v>33</v>
      </c>
      <c r="K47" s="324"/>
      <c r="L47" s="294"/>
      <c r="M47" s="294"/>
      <c r="N47" s="294"/>
      <c r="O47" s="294"/>
      <c r="P47" s="12"/>
    </row>
    <row r="48" spans="1:56" ht="15">
      <c r="B48" s="516"/>
      <c r="C48" s="349"/>
      <c r="D48" s="554"/>
      <c r="E48" s="555"/>
      <c r="F48" s="294"/>
      <c r="G48" s="42"/>
      <c r="H48" s="41"/>
      <c r="I48" s="42"/>
      <c r="J48" s="290" t="s">
        <v>16</v>
      </c>
      <c r="K48" s="324"/>
      <c r="L48" s="294"/>
      <c r="M48" s="294"/>
      <c r="N48" s="294"/>
      <c r="O48" s="294"/>
      <c r="P48" s="12"/>
      <c r="BC48" s="44"/>
      <c r="BD48" s="44"/>
    </row>
    <row r="49" spans="2:57" ht="15">
      <c r="B49" s="516"/>
      <c r="C49" s="349"/>
      <c r="D49" s="501"/>
      <c r="E49" s="502"/>
      <c r="F49" s="294"/>
      <c r="G49" s="42"/>
      <c r="H49" s="41"/>
      <c r="I49" s="42"/>
      <c r="J49" s="291" t="s">
        <v>15</v>
      </c>
      <c r="K49" s="324"/>
      <c r="L49" s="294"/>
      <c r="M49" s="294"/>
      <c r="N49" s="294"/>
      <c r="O49" s="294"/>
      <c r="P49" s="12"/>
      <c r="BC49" s="44"/>
      <c r="BD49" s="44"/>
    </row>
    <row r="50" spans="2:57" ht="15">
      <c r="B50" s="516"/>
      <c r="C50" s="349"/>
      <c r="D50" s="554"/>
      <c r="E50" s="555"/>
      <c r="F50" s="294"/>
      <c r="G50" s="42"/>
      <c r="H50" s="41"/>
      <c r="I50" s="42"/>
      <c r="J50" s="291" t="s">
        <v>149</v>
      </c>
      <c r="K50" s="324"/>
      <c r="L50" s="294"/>
      <c r="M50" s="294"/>
      <c r="N50" s="294"/>
      <c r="O50" s="294"/>
      <c r="P50" s="12"/>
      <c r="BC50" s="44"/>
      <c r="BD50" s="44"/>
    </row>
    <row r="51" spans="2:57" ht="15.75" thickBot="1">
      <c r="B51" s="517"/>
      <c r="C51" s="350"/>
      <c r="D51" s="556"/>
      <c r="E51" s="557"/>
      <c r="F51" s="294"/>
      <c r="G51" s="42"/>
      <c r="H51" s="41"/>
      <c r="I51" s="42"/>
      <c r="J51" s="291" t="s">
        <v>148</v>
      </c>
      <c r="K51" s="324"/>
      <c r="L51" s="294"/>
      <c r="M51" s="294"/>
      <c r="N51" s="294"/>
      <c r="O51" s="294"/>
      <c r="P51" s="12"/>
      <c r="BC51" s="44"/>
      <c r="BD51" s="44"/>
    </row>
    <row r="52" spans="2:57" ht="17.649999999999999" customHeight="1" thickBot="1">
      <c r="B52" s="312" t="s">
        <v>139</v>
      </c>
      <c r="C52" s="313"/>
      <c r="D52" s="550">
        <f>AVERAGE(D30:E51)</f>
        <v>14.16</v>
      </c>
      <c r="E52" s="551"/>
      <c r="F52" s="294"/>
      <c r="H52" s="41"/>
      <c r="I52" s="42"/>
      <c r="J52" s="295" t="s">
        <v>134</v>
      </c>
      <c r="K52" s="324"/>
      <c r="L52" s="294"/>
      <c r="M52" s="294"/>
      <c r="N52" s="294"/>
      <c r="O52" s="294"/>
      <c r="P52" s="12"/>
      <c r="BC52" s="44"/>
      <c r="BD52" s="44"/>
    </row>
    <row r="53" spans="2:57" ht="17.649999999999999" customHeight="1">
      <c r="B53" s="363"/>
      <c r="C53" s="364"/>
      <c r="D53" s="365"/>
      <c r="E53" s="365"/>
      <c r="F53" s="294"/>
      <c r="G53" s="42"/>
      <c r="H53" s="41"/>
      <c r="I53" s="42"/>
      <c r="J53" s="295" t="s">
        <v>131</v>
      </c>
      <c r="K53" s="324"/>
      <c r="L53" s="294"/>
      <c r="M53" s="294"/>
      <c r="N53" s="294"/>
      <c r="O53" s="294"/>
      <c r="P53" s="12"/>
      <c r="BC53" s="44"/>
      <c r="BD53" s="44"/>
    </row>
    <row r="54" spans="2:57" ht="15.6" customHeight="1">
      <c r="B54" s="45"/>
      <c r="C54" s="11"/>
      <c r="D54" s="11"/>
      <c r="E54" s="46"/>
      <c r="F54" s="294"/>
      <c r="G54" s="42"/>
      <c r="H54" s="41"/>
      <c r="I54" s="42"/>
      <c r="J54" s="346" t="s">
        <v>130</v>
      </c>
      <c r="K54" s="324">
        <f>SUM(K44:K53)</f>
        <v>9</v>
      </c>
      <c r="L54" s="294"/>
      <c r="M54" s="294"/>
      <c r="N54" s="294"/>
      <c r="O54" s="294"/>
      <c r="P54" s="12"/>
    </row>
    <row r="55" spans="2:57" ht="20.25" customHeight="1">
      <c r="B55" s="15" t="s">
        <v>42</v>
      </c>
      <c r="C55" s="1" t="s">
        <v>43</v>
      </c>
      <c r="D55" s="1"/>
      <c r="E55" s="1"/>
      <c r="F55" s="294"/>
      <c r="G55" s="42"/>
      <c r="H55" s="41"/>
      <c r="I55" s="42"/>
      <c r="L55" s="294"/>
      <c r="N55" s="315"/>
      <c r="P55" s="334"/>
    </row>
    <row r="56" spans="2:57" ht="15" customHeight="1" thickBot="1"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1"/>
      <c r="O56" s="48"/>
      <c r="P56" s="49"/>
    </row>
    <row r="57" spans="2:57" ht="15" customHeight="1" thickBot="1">
      <c r="B57" s="480" t="s">
        <v>17</v>
      </c>
      <c r="C57" s="480" t="s">
        <v>44</v>
      </c>
      <c r="D57" s="492" t="s">
        <v>45</v>
      </c>
      <c r="E57" s="494" t="s">
        <v>46</v>
      </c>
      <c r="F57" s="488" t="s">
        <v>47</v>
      </c>
      <c r="G57" s="478" t="s">
        <v>48</v>
      </c>
      <c r="H57" s="480" t="s">
        <v>49</v>
      </c>
      <c r="I57" s="480" t="s">
        <v>50</v>
      </c>
      <c r="J57" s="472" t="s">
        <v>28</v>
      </c>
      <c r="K57" s="484" t="s">
        <v>51</v>
      </c>
      <c r="L57" s="486" t="s">
        <v>52</v>
      </c>
      <c r="M57" s="472" t="s">
        <v>53</v>
      </c>
      <c r="N57" s="13"/>
      <c r="O57" s="13"/>
      <c r="P57" s="50"/>
    </row>
    <row r="58" spans="2:57" ht="28.5" customHeight="1" thickTop="1" thickBot="1">
      <c r="B58" s="481"/>
      <c r="C58" s="481"/>
      <c r="D58" s="493"/>
      <c r="E58" s="495"/>
      <c r="F58" s="489"/>
      <c r="G58" s="479"/>
      <c r="H58" s="549"/>
      <c r="I58" s="549"/>
      <c r="J58" s="473"/>
      <c r="K58" s="485"/>
      <c r="L58" s="487"/>
      <c r="M58" s="473"/>
      <c r="N58" s="13"/>
      <c r="O58" s="13"/>
      <c r="P58" s="50"/>
      <c r="Q58" s="355"/>
      <c r="AB58" s="51">
        <v>43474</v>
      </c>
      <c r="AC58" s="51">
        <v>43475</v>
      </c>
      <c r="AD58" s="51">
        <v>43476</v>
      </c>
      <c r="AE58" s="51">
        <v>43477</v>
      </c>
      <c r="AF58" s="51">
        <v>43478</v>
      </c>
      <c r="AG58" s="51">
        <v>43479</v>
      </c>
      <c r="AH58" s="51">
        <v>43480</v>
      </c>
      <c r="AI58" s="51">
        <v>43481</v>
      </c>
      <c r="AJ58" s="51">
        <v>43482</v>
      </c>
      <c r="AK58" s="51">
        <v>43483</v>
      </c>
      <c r="AL58" s="51">
        <v>43484</v>
      </c>
      <c r="AM58" s="51">
        <v>43485</v>
      </c>
      <c r="AN58" s="51">
        <v>43486</v>
      </c>
      <c r="AO58" s="51">
        <v>43487</v>
      </c>
      <c r="AP58" s="51">
        <v>43488</v>
      </c>
      <c r="AQ58" s="51">
        <v>43489</v>
      </c>
      <c r="AR58" s="51">
        <v>43490</v>
      </c>
      <c r="AS58" s="51">
        <v>43491</v>
      </c>
      <c r="AT58" s="51">
        <v>43492</v>
      </c>
      <c r="AU58" s="51">
        <v>43493</v>
      </c>
      <c r="AV58" s="51">
        <v>43494</v>
      </c>
      <c r="AW58" s="51">
        <v>43495</v>
      </c>
      <c r="AX58" s="51">
        <v>43496</v>
      </c>
    </row>
    <row r="59" spans="2:57" s="54" customFormat="1" ht="59.45" customHeight="1" thickBot="1">
      <c r="B59" s="469" t="str">
        <f>B73</f>
        <v>MACKESON</v>
      </c>
      <c r="C59" s="442">
        <v>45925</v>
      </c>
      <c r="D59" s="443">
        <f>[39]September_2025!$AB$34</f>
        <v>406.6</v>
      </c>
      <c r="E59" s="444">
        <f>[41]MACKESON!$S$7+[41]MACKESON!$S$9+[41]MACKESON!$S$11+[41]MACKESON!$S$13</f>
        <v>7.6</v>
      </c>
      <c r="F59" s="445">
        <f>[41]MACKESON!$L$7+[41]MACKESON!$L$9+[41]MACKESON!$L$11+[41]MACKESON!$L$13</f>
        <v>399.2</v>
      </c>
      <c r="G59" s="446">
        <f>[39]September_2025!$AB$39</f>
        <v>386</v>
      </c>
      <c r="H59" s="470">
        <f>(D59-F59)/D59*100</f>
        <v>1.8199704869650846</v>
      </c>
      <c r="I59" s="470">
        <f>((F59+E59)-G59)/(F59+E59)*100</f>
        <v>5.1130776794493631</v>
      </c>
      <c r="J59" s="449" t="s">
        <v>194</v>
      </c>
      <c r="K59" s="450">
        <f>[40]September_2025!$AB$39</f>
        <v>1.3543859649122807</v>
      </c>
      <c r="L59" s="464">
        <f>(((D59+E59)-G59)/(D59+E59))*100</f>
        <v>6.8083051665862007</v>
      </c>
      <c r="M59" s="457" t="s">
        <v>191</v>
      </c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>
        <f>[20]January_2019!L7</f>
        <v>285.8</v>
      </c>
      <c r="AC59" s="57">
        <f>[20]January_2019!M7</f>
        <v>508.1</v>
      </c>
      <c r="AD59" s="57">
        <f>[20]January_2019!N7</f>
        <v>0</v>
      </c>
      <c r="AE59" s="57">
        <f>[20]January_2019!O7</f>
        <v>0</v>
      </c>
      <c r="AF59" s="57">
        <f>[20]January_2019!P7</f>
        <v>109.56666666666666</v>
      </c>
      <c r="AG59" s="57">
        <f>[20]January_2019!Q7</f>
        <v>297.64999999999998</v>
      </c>
      <c r="AH59" s="57">
        <f>[20]January_2019!R7</f>
        <v>122.3</v>
      </c>
      <c r="AI59" s="57">
        <f>[20]January_2019!S7</f>
        <v>0</v>
      </c>
      <c r="AJ59" s="57">
        <f>[20]January_2019!T7</f>
        <v>294.7</v>
      </c>
      <c r="AK59" s="57">
        <f>[20]January_2019!U7</f>
        <v>280.5</v>
      </c>
      <c r="AL59" s="57">
        <f>[20]January_2019!V7</f>
        <v>0</v>
      </c>
      <c r="AM59" s="57">
        <f>[20]January_2019!W7</f>
        <v>0</v>
      </c>
      <c r="AN59" s="57">
        <f>[20]January_2019!X7</f>
        <v>188.25</v>
      </c>
      <c r="AO59" s="57">
        <f>[20]January_2019!Y7</f>
        <v>295.7</v>
      </c>
      <c r="AP59" s="57">
        <f>[20]January_2019!Z7</f>
        <v>257.8</v>
      </c>
      <c r="AQ59" s="57">
        <f>[20]January_2019!AA7</f>
        <v>291.2</v>
      </c>
      <c r="AR59" s="57">
        <f>[20]January_2019!AB7</f>
        <v>187</v>
      </c>
      <c r="AS59" s="57">
        <f>[20]January_2019!AC7</f>
        <v>0</v>
      </c>
      <c r="AT59" s="57">
        <f>[20]January_2019!AD7</f>
        <v>0</v>
      </c>
      <c r="AU59" s="57">
        <f>[20]January_2019!AE7</f>
        <v>485.1</v>
      </c>
      <c r="AV59" s="57">
        <f>[20]January_2019!AF7</f>
        <v>171.55</v>
      </c>
      <c r="AW59" s="57">
        <f>[20]January_2019!AG7</f>
        <v>423.8</v>
      </c>
      <c r="AX59" s="277">
        <f>[20]January_2019!AH7</f>
        <v>0</v>
      </c>
      <c r="AY59" s="277"/>
      <c r="AZ59" s="277"/>
      <c r="BA59" s="277"/>
      <c r="BB59" s="277"/>
      <c r="BC59" s="277"/>
      <c r="BD59" s="277"/>
      <c r="BE59" s="277"/>
    </row>
    <row r="60" spans="2:57" s="54" customFormat="1" ht="20.45" hidden="1" customHeight="1" thickBot="1">
      <c r="B60" s="459"/>
      <c r="C60" s="431"/>
      <c r="D60" s="432"/>
      <c r="E60" s="433"/>
      <c r="F60" s="434"/>
      <c r="G60" s="435"/>
      <c r="H60" s="429"/>
      <c r="I60" s="429"/>
      <c r="J60" s="452"/>
      <c r="K60" s="437"/>
      <c r="L60" s="453"/>
      <c r="M60" s="422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59.45" hidden="1" customHeight="1" thickBot="1">
      <c r="B61" s="460"/>
      <c r="C61" s="442"/>
      <c r="D61" s="443"/>
      <c r="E61" s="444"/>
      <c r="F61" s="445"/>
      <c r="G61" s="446"/>
      <c r="H61" s="429"/>
      <c r="I61" s="429"/>
      <c r="J61" s="449"/>
      <c r="K61" s="450"/>
      <c r="L61" s="458"/>
      <c r="M61" s="457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15.75" hidden="1" thickBot="1">
      <c r="B62" s="454"/>
      <c r="C62" s="431"/>
      <c r="D62" s="432"/>
      <c r="E62" s="433"/>
      <c r="F62" s="434"/>
      <c r="G62" s="435"/>
      <c r="H62" s="436"/>
      <c r="I62" s="451"/>
      <c r="J62" s="452"/>
      <c r="K62" s="437"/>
      <c r="L62" s="453"/>
      <c r="M62" s="422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36.6" hidden="1" customHeight="1" thickBot="1">
      <c r="B63" s="387"/>
      <c r="C63" s="442"/>
      <c r="D63" s="443"/>
      <c r="E63" s="444"/>
      <c r="F63" s="445"/>
      <c r="G63" s="446"/>
      <c r="H63" s="447"/>
      <c r="I63" s="448"/>
      <c r="J63" s="449"/>
      <c r="K63" s="450"/>
      <c r="L63" s="455" t="e">
        <f>(((D63+E63)-G63)/(D63+E63))*100</f>
        <v>#DIV/0!</v>
      </c>
      <c r="M63" s="456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16.5" hidden="1" customHeight="1" thickBot="1">
      <c r="B64" s="438"/>
      <c r="C64" s="424"/>
      <c r="D64" s="425"/>
      <c r="E64" s="426"/>
      <c r="F64" s="427"/>
      <c r="G64" s="428"/>
      <c r="H64" s="429"/>
      <c r="I64" s="439"/>
      <c r="J64" s="440"/>
      <c r="K64" s="430"/>
      <c r="L64" s="441"/>
      <c r="M64" s="423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415"/>
      <c r="AC64" s="415"/>
      <c r="AD64" s="415"/>
      <c r="AE64" s="415"/>
      <c r="AF64" s="415"/>
      <c r="AG64" s="415"/>
      <c r="AH64" s="415"/>
      <c r="AI64" s="415"/>
      <c r="AJ64" s="415"/>
      <c r="AK64" s="415"/>
      <c r="AL64" s="415"/>
      <c r="AM64" s="415"/>
      <c r="AN64" s="415"/>
      <c r="AO64" s="415"/>
      <c r="AP64" s="415"/>
      <c r="AQ64" s="415"/>
      <c r="AR64" s="415"/>
      <c r="AS64" s="415"/>
      <c r="AT64" s="415"/>
      <c r="AU64" s="415"/>
      <c r="AV64" s="415"/>
      <c r="AW64" s="415"/>
    </row>
    <row r="65" spans="2:16" ht="18" customHeight="1" thickBot="1">
      <c r="B65" s="59"/>
      <c r="C65" s="30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 t="s">
        <v>41</v>
      </c>
      <c r="O65" s="56"/>
      <c r="P65" s="60"/>
    </row>
    <row r="66" spans="2:16" ht="15.75" thickBot="1">
      <c r="B66" s="474" t="s">
        <v>55</v>
      </c>
      <c r="C66" s="475"/>
      <c r="D66" s="475"/>
      <c r="E66" s="475"/>
      <c r="F66" s="476"/>
      <c r="G66" s="474" t="s">
        <v>56</v>
      </c>
      <c r="H66" s="475"/>
      <c r="I66" s="475"/>
      <c r="J66" s="476"/>
      <c r="K66" s="474" t="s">
        <v>51</v>
      </c>
      <c r="L66" s="475"/>
      <c r="M66" s="475"/>
      <c r="N66" s="477"/>
      <c r="O66" s="56"/>
      <c r="P66" s="50"/>
    </row>
    <row r="67" spans="2:16" ht="15">
      <c r="B67" s="61" t="s">
        <v>17</v>
      </c>
      <c r="C67" s="62" t="s">
        <v>36</v>
      </c>
      <c r="D67" s="62" t="s">
        <v>37</v>
      </c>
      <c r="E67" s="62" t="s">
        <v>38</v>
      </c>
      <c r="F67" s="63" t="s">
        <v>39</v>
      </c>
      <c r="G67" s="62" t="s">
        <v>36</v>
      </c>
      <c r="H67" s="62" t="s">
        <v>37</v>
      </c>
      <c r="I67" s="62" t="s">
        <v>38</v>
      </c>
      <c r="J67" s="63" t="s">
        <v>39</v>
      </c>
      <c r="K67" s="62" t="s">
        <v>36</v>
      </c>
      <c r="L67" s="62" t="s">
        <v>37</v>
      </c>
      <c r="M67" s="62" t="s">
        <v>38</v>
      </c>
      <c r="N67" s="63" t="s">
        <v>39</v>
      </c>
      <c r="O67" s="56"/>
      <c r="P67" s="64"/>
    </row>
    <row r="68" spans="2:16" ht="15">
      <c r="B68" s="29" t="s">
        <v>6</v>
      </c>
      <c r="C68" s="65"/>
      <c r="D68" s="76">
        <v>5.6772757172493851</v>
      </c>
      <c r="E68" s="76">
        <v>6.2644265820968661</v>
      </c>
      <c r="F68" s="66">
        <v>4.8</v>
      </c>
      <c r="G68" s="65"/>
      <c r="H68" s="76">
        <v>6.1083215265044792</v>
      </c>
      <c r="I68" s="76">
        <v>6.2722440166701841</v>
      </c>
      <c r="J68" s="66">
        <v>4.8</v>
      </c>
      <c r="K68" s="67"/>
      <c r="L68" s="194">
        <v>0.72440805717998702</v>
      </c>
      <c r="M68" s="194">
        <v>0.76946884585250075</v>
      </c>
      <c r="N68" s="68">
        <v>1</v>
      </c>
      <c r="O68" s="56"/>
      <c r="P68" s="69"/>
    </row>
    <row r="69" spans="2:16" ht="15">
      <c r="B69" s="33" t="s">
        <v>9</v>
      </c>
      <c r="C69" s="65"/>
      <c r="D69" s="76">
        <v>6.4421833717466042</v>
      </c>
      <c r="E69" s="76">
        <v>5.9960377561379312</v>
      </c>
      <c r="F69" s="66">
        <v>4.8</v>
      </c>
      <c r="G69" s="65"/>
      <c r="H69" s="76">
        <v>7.1293852901923529</v>
      </c>
      <c r="I69" s="76">
        <v>5.6513680702551383</v>
      </c>
      <c r="J69" s="66">
        <v>4.8</v>
      </c>
      <c r="K69" s="67"/>
      <c r="L69" s="194">
        <v>0.48873918128654975</v>
      </c>
      <c r="M69" s="194">
        <v>0.71648808642913986</v>
      </c>
      <c r="N69" s="68">
        <v>1</v>
      </c>
      <c r="P69" s="69"/>
    </row>
    <row r="70" spans="2:16" ht="15">
      <c r="B70" s="34" t="s">
        <v>40</v>
      </c>
      <c r="C70" s="65"/>
      <c r="D70" s="76">
        <v>10.092614580859641</v>
      </c>
      <c r="E70" s="76">
        <v>11.635872449225705</v>
      </c>
      <c r="F70" s="66">
        <v>5.5</v>
      </c>
      <c r="G70" s="65"/>
      <c r="H70" s="76">
        <v>10.729570603848533</v>
      </c>
      <c r="I70" s="76">
        <v>12.731353927784783</v>
      </c>
      <c r="J70" s="66">
        <v>5.5</v>
      </c>
      <c r="K70" s="67"/>
      <c r="L70" s="194">
        <v>0.49929824561403513</v>
      </c>
      <c r="M70" s="194">
        <v>0.53494558457711439</v>
      </c>
      <c r="N70" s="68">
        <v>1</v>
      </c>
      <c r="P70" s="69"/>
    </row>
    <row r="71" spans="2:16" ht="15">
      <c r="B71" s="22" t="s">
        <v>33</v>
      </c>
      <c r="C71" s="65"/>
      <c r="D71" s="76">
        <v>2.7693089430894253</v>
      </c>
      <c r="E71" s="76">
        <v>4.8132587912269527</v>
      </c>
      <c r="F71" s="66">
        <v>3.3</v>
      </c>
      <c r="G71" s="65"/>
      <c r="H71" s="76">
        <v>2.091599363557624</v>
      </c>
      <c r="I71" s="76">
        <v>4.4772094679692334</v>
      </c>
      <c r="J71" s="66">
        <v>3.3</v>
      </c>
      <c r="K71" s="67"/>
      <c r="L71" s="194">
        <v>0.67140350877192978</v>
      </c>
      <c r="M71" s="194">
        <v>0.80025950292397652</v>
      </c>
      <c r="N71" s="68">
        <v>1</v>
      </c>
      <c r="P71" s="69"/>
    </row>
    <row r="72" spans="2:16" ht="15">
      <c r="B72" s="35" t="s">
        <v>165</v>
      </c>
      <c r="C72" s="65"/>
      <c r="D72" s="76"/>
      <c r="E72" s="76">
        <v>7.837301587301579</v>
      </c>
      <c r="F72" s="66">
        <v>3.3</v>
      </c>
      <c r="G72" s="282"/>
      <c r="H72" s="76"/>
      <c r="I72" s="76">
        <v>5.3377569154690221</v>
      </c>
      <c r="J72" s="66">
        <v>3</v>
      </c>
      <c r="K72" s="67"/>
      <c r="L72" s="194"/>
      <c r="M72" s="194">
        <v>0.32596491228070179</v>
      </c>
      <c r="N72" s="68">
        <v>1</v>
      </c>
      <c r="P72" s="69"/>
    </row>
    <row r="73" spans="2:16" ht="15">
      <c r="B73" s="36" t="s">
        <v>15</v>
      </c>
      <c r="C73" s="65">
        <f>L59</f>
        <v>6.8083051665862007</v>
      </c>
      <c r="D73" s="76">
        <v>6.8083051665862007</v>
      </c>
      <c r="E73" s="76">
        <v>7.145714971593196</v>
      </c>
      <c r="F73" s="70">
        <f>[21]May_2022!$M$43</f>
        <v>3.4878406700073312</v>
      </c>
      <c r="G73" s="282">
        <f>[39]September_2025!$AB$43</f>
        <v>8.9142309098707884</v>
      </c>
      <c r="H73" s="76">
        <v>9.158428682230376</v>
      </c>
      <c r="I73" s="76">
        <v>8.7314771031579212</v>
      </c>
      <c r="J73" s="66">
        <v>5.5</v>
      </c>
      <c r="K73" s="67">
        <f>K59</f>
        <v>1.3543859649122807</v>
      </c>
      <c r="L73" s="194">
        <v>1.3543859649122807</v>
      </c>
      <c r="M73" s="194">
        <v>0.73160818713450293</v>
      </c>
      <c r="N73" s="68">
        <v>1</v>
      </c>
      <c r="P73" s="69"/>
    </row>
    <row r="74" spans="2:16" ht="15">
      <c r="B74" s="37" t="s">
        <v>16</v>
      </c>
      <c r="C74" s="65"/>
      <c r="D74" s="76">
        <v>3.3629594042757489</v>
      </c>
      <c r="E74" s="76">
        <v>3.0382638492290015</v>
      </c>
      <c r="F74" s="66">
        <v>3.3</v>
      </c>
      <c r="G74" s="282"/>
      <c r="H74" s="76">
        <v>4.3098656267706001</v>
      </c>
      <c r="I74" s="76">
        <v>4.4758841279290129</v>
      </c>
      <c r="J74" s="66">
        <v>3.3</v>
      </c>
      <c r="K74" s="67"/>
      <c r="L74" s="194">
        <v>1.411578947368421</v>
      </c>
      <c r="M74" s="194">
        <v>0.85680449208779996</v>
      </c>
      <c r="N74" s="71">
        <v>1</v>
      </c>
      <c r="P74" s="69"/>
    </row>
    <row r="75" spans="2:16" ht="15.75" thickBot="1">
      <c r="B75" s="38" t="s">
        <v>164</v>
      </c>
      <c r="C75" s="65"/>
      <c r="D75" s="76"/>
      <c r="E75" s="76">
        <v>11.483253588516746</v>
      </c>
      <c r="F75" s="66">
        <v>7.5</v>
      </c>
      <c r="G75" s="282"/>
      <c r="H75" s="76"/>
      <c r="I75" s="76">
        <v>9.7934336121043764</v>
      </c>
      <c r="J75" s="66">
        <v>7.5</v>
      </c>
      <c r="K75" s="67"/>
      <c r="M75" s="194">
        <v>0.32456140350877194</v>
      </c>
      <c r="N75" s="71">
        <v>1</v>
      </c>
      <c r="P75" s="69"/>
    </row>
    <row r="76" spans="2:16" ht="15.75" thickBot="1">
      <c r="B76" s="414" t="s">
        <v>161</v>
      </c>
      <c r="C76" s="65"/>
      <c r="D76" s="76"/>
      <c r="E76" s="76">
        <v>7.2653644592663174</v>
      </c>
      <c r="F76" s="66">
        <v>4.8</v>
      </c>
      <c r="G76" s="282"/>
      <c r="H76" s="76"/>
      <c r="I76" s="76">
        <v>8.1715311054411259</v>
      </c>
      <c r="J76" s="66">
        <v>4.8</v>
      </c>
      <c r="K76" s="67"/>
      <c r="L76" s="194"/>
      <c r="M76" s="194">
        <v>0.51368421052631585</v>
      </c>
      <c r="N76" s="71">
        <v>1</v>
      </c>
      <c r="O76" s="74"/>
      <c r="P76" s="75"/>
    </row>
    <row r="77" spans="2:16" ht="15">
      <c r="D77" s="76">
        <v>5.8915233098811166</v>
      </c>
      <c r="E77" s="76">
        <v>6.3379385840109546</v>
      </c>
      <c r="F77" s="341">
        <v>5.5</v>
      </c>
      <c r="H77" s="76">
        <v>6.479742113163633</v>
      </c>
      <c r="I77" s="76">
        <v>6.5837845082913429</v>
      </c>
      <c r="J77" s="341">
        <v>5.5</v>
      </c>
      <c r="L77" s="194">
        <v>0.70353684210526324</v>
      </c>
      <c r="M77" s="194">
        <v>0.73160711159407166</v>
      </c>
      <c r="N77" s="386">
        <v>1</v>
      </c>
    </row>
    <row r="81" spans="6:6">
      <c r="F81" s="315"/>
    </row>
    <row r="82" spans="6:6" ht="15">
      <c r="F82" s="341"/>
    </row>
  </sheetData>
  <mergeCells count="51">
    <mergeCell ref="M57:M58"/>
    <mergeCell ref="B66:F66"/>
    <mergeCell ref="G66:J66"/>
    <mergeCell ref="K66:N66"/>
    <mergeCell ref="G57:G58"/>
    <mergeCell ref="H57:H58"/>
    <mergeCell ref="I57:I58"/>
    <mergeCell ref="J57:J58"/>
    <mergeCell ref="K57:K58"/>
    <mergeCell ref="L57:L58"/>
    <mergeCell ref="F57:F58"/>
    <mergeCell ref="D52:E52"/>
    <mergeCell ref="B57:B58"/>
    <mergeCell ref="C57:C58"/>
    <mergeCell ref="D57:D58"/>
    <mergeCell ref="E57:E58"/>
    <mergeCell ref="B42:B51"/>
    <mergeCell ref="D42:E43"/>
    <mergeCell ref="J42:K42"/>
    <mergeCell ref="L43:N43"/>
    <mergeCell ref="D44:E45"/>
    <mergeCell ref="D46:E47"/>
    <mergeCell ref="D48:E49"/>
    <mergeCell ref="D50:E51"/>
    <mergeCell ref="I28:N28"/>
    <mergeCell ref="D29:E29"/>
    <mergeCell ref="B30:B41"/>
    <mergeCell ref="D30:E31"/>
    <mergeCell ref="D32:E33"/>
    <mergeCell ref="D34:E35"/>
    <mergeCell ref="D36:E37"/>
    <mergeCell ref="D38:E39"/>
    <mergeCell ref="D40:E41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2:B53">
    <cfRule type="cellIs" dxfId="662" priority="149" operator="notBetween">
      <formula>#REF!</formula>
      <formula>#REF!</formula>
    </cfRule>
  </conditionalFormatting>
  <conditionalFormatting sqref="C56">
    <cfRule type="cellIs" dxfId="661" priority="181" stopIfTrue="1" operator="greaterThan">
      <formula>100</formula>
    </cfRule>
    <cfRule type="cellIs" dxfId="660" priority="180" stopIfTrue="1" operator="lessThan">
      <formula>96</formula>
    </cfRule>
  </conditionalFormatting>
  <conditionalFormatting sqref="C68:C72">
    <cfRule type="cellIs" dxfId="659" priority="130" stopIfTrue="1" operator="lessThanOrEqual">
      <formula>0</formula>
    </cfRule>
  </conditionalFormatting>
  <conditionalFormatting sqref="C68:C76">
    <cfRule type="cellIs" dxfId="658" priority="129" stopIfTrue="1" operator="greaterThan">
      <formula>$F68</formula>
    </cfRule>
  </conditionalFormatting>
  <conditionalFormatting sqref="C69">
    <cfRule type="cellIs" dxfId="657" priority="184" stopIfTrue="1" operator="greaterThan">
      <formula>$F68</formula>
    </cfRule>
  </conditionalFormatting>
  <conditionalFormatting sqref="C73">
    <cfRule type="cellIs" dxfId="656" priority="53" stopIfTrue="1" operator="lessThanOrEqual">
      <formula>0</formula>
    </cfRule>
    <cfRule type="cellIs" dxfId="655" priority="54" stopIfTrue="1" operator="greaterThan">
      <formula>$F72</formula>
    </cfRule>
  </conditionalFormatting>
  <conditionalFormatting sqref="C79:C83">
    <cfRule type="cellIs" dxfId="654" priority="172" stopIfTrue="1" operator="lessThanOrEqual">
      <formula>0</formula>
    </cfRule>
  </conditionalFormatting>
  <conditionalFormatting sqref="C80:C83">
    <cfRule type="cellIs" dxfId="653" priority="171" stopIfTrue="1" operator="greaterThan">
      <formula>$F$79</formula>
    </cfRule>
  </conditionalFormatting>
  <conditionalFormatting sqref="C85">
    <cfRule type="cellIs" dxfId="652" priority="174" stopIfTrue="1" operator="lessThanOrEqual">
      <formula>0</formula>
    </cfRule>
    <cfRule type="cellIs" dxfId="651" priority="173" stopIfTrue="1" operator="greaterThan">
      <formula>$F$79</formula>
    </cfRule>
  </conditionalFormatting>
  <conditionalFormatting sqref="C79:D79 D81:D87">
    <cfRule type="cellIs" dxfId="650" priority="166" stopIfTrue="1" operator="greaterThan">
      <formula>4.5</formula>
    </cfRule>
  </conditionalFormatting>
  <conditionalFormatting sqref="D52:D53">
    <cfRule type="cellIs" dxfId="649" priority="150" operator="notBetween">
      <formula>#REF!</formula>
      <formula>#REF!</formula>
    </cfRule>
  </conditionalFormatting>
  <conditionalFormatting sqref="D68:D75">
    <cfRule type="cellIs" dxfId="648" priority="144" stopIfTrue="1" operator="lessThanOrEqual">
      <formula>0</formula>
    </cfRule>
  </conditionalFormatting>
  <conditionalFormatting sqref="D76">
    <cfRule type="cellIs" dxfId="647" priority="143" stopIfTrue="1" operator="lessThanOrEqual">
      <formula>0</formula>
    </cfRule>
  </conditionalFormatting>
  <conditionalFormatting sqref="D79 D81:D87">
    <cfRule type="cellIs" dxfId="646" priority="167" stopIfTrue="1" operator="lessThanOrEqual">
      <formula>0</formula>
    </cfRule>
  </conditionalFormatting>
  <conditionalFormatting sqref="D80">
    <cfRule type="cellIs" dxfId="645" priority="159" stopIfTrue="1" operator="lessThanOrEqual">
      <formula>0</formula>
    </cfRule>
    <cfRule type="cellIs" dxfId="644" priority="158" stopIfTrue="1" operator="greaterThan">
      <formula>$F$79</formula>
    </cfRule>
  </conditionalFormatting>
  <conditionalFormatting sqref="D68:E77">
    <cfRule type="cellIs" dxfId="643" priority="127" stopIfTrue="1" operator="greaterThan">
      <formula>$F68</formula>
    </cfRule>
  </conditionalFormatting>
  <conditionalFormatting sqref="D77:E77">
    <cfRule type="cellIs" dxfId="642" priority="128" stopIfTrue="1" operator="lessThanOrEqual">
      <formula>0</formula>
    </cfRule>
  </conditionalFormatting>
  <conditionalFormatting sqref="E10:E27">
    <cfRule type="cellIs" dxfId="641" priority="28" operator="lessThan">
      <formula>48</formula>
    </cfRule>
  </conditionalFormatting>
  <conditionalFormatting sqref="E55 E56:F56">
    <cfRule type="cellIs" dxfId="640" priority="163" stopIfTrue="1" operator="greaterThan">
      <formula>100</formula>
    </cfRule>
  </conditionalFormatting>
  <conditionalFormatting sqref="E56">
    <cfRule type="cellIs" dxfId="639" priority="161" stopIfTrue="1" operator="greaterThan">
      <formula>100</formula>
    </cfRule>
    <cfRule type="cellIs" dxfId="638" priority="160" stopIfTrue="1" operator="lessThan">
      <formula>96.8</formula>
    </cfRule>
  </conditionalFormatting>
  <conditionalFormatting sqref="E68:E76">
    <cfRule type="cellIs" dxfId="637" priority="138" stopIfTrue="1" operator="lessThanOrEqual">
      <formula>0</formula>
    </cfRule>
  </conditionalFormatting>
  <conditionalFormatting sqref="E79:E87">
    <cfRule type="cellIs" dxfId="636" priority="152" stopIfTrue="1" operator="greaterThan">
      <formula>4.5</formula>
    </cfRule>
    <cfRule type="cellIs" dxfId="635" priority="153" stopIfTrue="1" operator="lessThanOrEqual">
      <formula>0</formula>
    </cfRule>
  </conditionalFormatting>
  <conditionalFormatting sqref="E56:F56 E55">
    <cfRule type="cellIs" dxfId="634" priority="162" stopIfTrue="1" operator="lessThan">
      <formula>96.5</formula>
    </cfRule>
  </conditionalFormatting>
  <conditionalFormatting sqref="F10:F27">
    <cfRule type="cellIs" dxfId="633" priority="29" operator="greaterThan">
      <formula>60</formula>
    </cfRule>
  </conditionalFormatting>
  <conditionalFormatting sqref="F56">
    <cfRule type="cellIs" dxfId="632" priority="178" stopIfTrue="1" operator="lessThan">
      <formula>96.8</formula>
    </cfRule>
    <cfRule type="cellIs" dxfId="631" priority="179" stopIfTrue="1" operator="greaterThan">
      <formula>100</formula>
    </cfRule>
  </conditionalFormatting>
  <conditionalFormatting sqref="F77">
    <cfRule type="cellIs" dxfId="630" priority="140" stopIfTrue="1" operator="lessThanOrEqual">
      <formula>0</formula>
    </cfRule>
    <cfRule type="cellIs" dxfId="629" priority="139" stopIfTrue="1" operator="greaterThan">
      <formula>$F77</formula>
    </cfRule>
  </conditionalFormatting>
  <conditionalFormatting sqref="F82">
    <cfRule type="cellIs" dxfId="628" priority="98" stopIfTrue="1" operator="lessThanOrEqual">
      <formula>0</formula>
    </cfRule>
    <cfRule type="cellIs" dxfId="627" priority="97" stopIfTrue="1" operator="greaterThan">
      <formula>$F82</formula>
    </cfRule>
  </conditionalFormatting>
  <conditionalFormatting sqref="G22:G25">
    <cfRule type="expression" dxfId="626" priority="49">
      <formula>IF(+(IF(G22&lt;S22,0,IF(G22&gt;T22,0,1)))=0,1)</formula>
    </cfRule>
  </conditionalFormatting>
  <conditionalFormatting sqref="G68:G69 C74:C76">
    <cfRule type="cellIs" dxfId="625" priority="146" stopIfTrue="1" operator="lessThanOrEqual">
      <formula>0</formula>
    </cfRule>
  </conditionalFormatting>
  <conditionalFormatting sqref="G68:G69">
    <cfRule type="cellIs" dxfId="624" priority="145" stopIfTrue="1" operator="greaterThan">
      <formula>$F68</formula>
    </cfRule>
    <cfRule type="cellIs" dxfId="623" priority="131" stopIfTrue="1" operator="greaterThan">
      <formula>$F68</formula>
    </cfRule>
    <cfRule type="cellIs" dxfId="622" priority="132" stopIfTrue="1" operator="lessThanOrEqual">
      <formula>0</formula>
    </cfRule>
  </conditionalFormatting>
  <conditionalFormatting sqref="G70">
    <cfRule type="cellIs" dxfId="621" priority="183" stopIfTrue="1" operator="lessThanOrEqual">
      <formula>0</formula>
    </cfRule>
    <cfRule type="cellIs" dxfId="620" priority="182" stopIfTrue="1" operator="greaterThan">
      <formula>$F69</formula>
    </cfRule>
  </conditionalFormatting>
  <conditionalFormatting sqref="G71">
    <cfRule type="cellIs" dxfId="619" priority="142" stopIfTrue="1" operator="lessThanOrEqual">
      <formula>0</formula>
    </cfRule>
    <cfRule type="cellIs" dxfId="618" priority="141" stopIfTrue="1" operator="greaterThan">
      <formula>$F71</formula>
    </cfRule>
  </conditionalFormatting>
  <conditionalFormatting sqref="G72:G76">
    <cfRule type="cellIs" dxfId="617" priority="148" stopIfTrue="1" operator="lessThanOrEqual">
      <formula>0</formula>
    </cfRule>
    <cfRule type="cellIs" dxfId="616" priority="147" stopIfTrue="1" operator="greaterThan">
      <formula>$J72</formula>
    </cfRule>
  </conditionalFormatting>
  <conditionalFormatting sqref="G81:G86 C84 C86">
    <cfRule type="cellIs" dxfId="615" priority="175" stopIfTrue="1" operator="greaterThan">
      <formula>4.5</formula>
    </cfRule>
    <cfRule type="cellIs" dxfId="614" priority="176" stopIfTrue="1" operator="lessThanOrEqual">
      <formula>0</formula>
    </cfRule>
  </conditionalFormatting>
  <conditionalFormatting sqref="G10:H21">
    <cfRule type="expression" dxfId="613" priority="17">
      <formula>IF(+(IF(G10&lt;#REF!,0,IF(G10&gt;#REF!,0,1)))=0,1)</formula>
    </cfRule>
  </conditionalFormatting>
  <conditionalFormatting sqref="G26:H27">
    <cfRule type="expression" dxfId="612" priority="52">
      <formula>IF(+(IF(G26&lt;#REF!,0,IF(G26&gt;#REF!,0,1)))=0,1)</formula>
    </cfRule>
  </conditionalFormatting>
  <conditionalFormatting sqref="G80:H80">
    <cfRule type="cellIs" dxfId="611" priority="156" stopIfTrue="1" operator="greaterThan">
      <formula>$F$79</formula>
    </cfRule>
    <cfRule type="cellIs" dxfId="610" priority="157" stopIfTrue="1" operator="lessThanOrEqual">
      <formula>0</formula>
    </cfRule>
  </conditionalFormatting>
  <conditionalFormatting sqref="H22:H25">
    <cfRule type="expression" dxfId="609" priority="48">
      <formula>IF(+(IF(H22&lt;#REF!,0,IF(H22&gt;#REF!,0,1)))=0,1)</formula>
    </cfRule>
  </conditionalFormatting>
  <conditionalFormatting sqref="H41:H55">
    <cfRule type="cellIs" dxfId="608" priority="154" stopIfTrue="1" operator="greaterThan">
      <formula>0</formula>
    </cfRule>
  </conditionalFormatting>
  <conditionalFormatting sqref="H59">
    <cfRule type="cellIs" dxfId="607" priority="13" stopIfTrue="1" operator="greaterThan">
      <formula>$F$70</formula>
    </cfRule>
    <cfRule type="cellIs" dxfId="606" priority="2" stopIfTrue="1" operator="lessThanOrEqual">
      <formula>0</formula>
    </cfRule>
    <cfRule type="cellIs" dxfId="605" priority="3" stopIfTrue="1" operator="greaterThan">
      <formula>$F$69</formula>
    </cfRule>
    <cfRule type="cellIs" dxfId="604" priority="11" stopIfTrue="1" operator="greaterThan">
      <formula>$F$72</formula>
    </cfRule>
    <cfRule type="cellIs" dxfId="603" priority="12" stopIfTrue="1" operator="lessThanOrEqual">
      <formula>0</formula>
    </cfRule>
    <cfRule type="cellIs" dxfId="602" priority="14" stopIfTrue="1" operator="lessThanOrEqual">
      <formula>0</formula>
    </cfRule>
  </conditionalFormatting>
  <conditionalFormatting sqref="H60">
    <cfRule type="cellIs" dxfId="601" priority="94" stopIfTrue="1" operator="lessThanOrEqual">
      <formula>0</formula>
    </cfRule>
    <cfRule type="cellIs" dxfId="600" priority="84" stopIfTrue="1" operator="lessThanOrEqual">
      <formula>0</formula>
    </cfRule>
    <cfRule type="cellIs" dxfId="599" priority="85" stopIfTrue="1" operator="greaterThan">
      <formula>#REF!</formula>
    </cfRule>
    <cfRule type="cellIs" dxfId="598" priority="95" stopIfTrue="1" operator="greaterThan">
      <formula>$F$26</formula>
    </cfRule>
    <cfRule type="cellIs" dxfId="597" priority="96" stopIfTrue="1" operator="lessThanOrEqual">
      <formula>0</formula>
    </cfRule>
    <cfRule type="cellIs" dxfId="596" priority="93" stopIfTrue="1" operator="greaterThan">
      <formula>$F$28</formula>
    </cfRule>
  </conditionalFormatting>
  <conditionalFormatting sqref="H61">
    <cfRule type="cellIs" dxfId="595" priority="35" stopIfTrue="1" operator="lessThanOrEqual">
      <formula>0</formula>
    </cfRule>
    <cfRule type="cellIs" dxfId="594" priority="44" stopIfTrue="1" operator="greaterThan">
      <formula>$F$49</formula>
    </cfRule>
    <cfRule type="cellIs" dxfId="593" priority="36" stopIfTrue="1" operator="greaterThan">
      <formula>$F$46</formula>
    </cfRule>
    <cfRule type="cellIs" dxfId="592" priority="45" stopIfTrue="1" operator="lessThanOrEqual">
      <formula>0</formula>
    </cfRule>
    <cfRule type="cellIs" dxfId="591" priority="47" stopIfTrue="1" operator="lessThanOrEqual">
      <formula>0</formula>
    </cfRule>
    <cfRule type="cellIs" dxfId="590" priority="46" stopIfTrue="1" operator="greaterThan">
      <formula>$F$47</formula>
    </cfRule>
  </conditionalFormatting>
  <conditionalFormatting sqref="H62:H63">
    <cfRule type="cellIs" dxfId="589" priority="82" stopIfTrue="1" operator="lessThanOrEqual">
      <formula>0</formula>
    </cfRule>
    <cfRule type="cellIs" dxfId="588" priority="70" stopIfTrue="1" operator="lessThanOrEqual">
      <formula>0</formula>
    </cfRule>
    <cfRule type="cellIs" dxfId="587" priority="71" stopIfTrue="1" operator="greaterThan">
      <formula>#REF!</formula>
    </cfRule>
    <cfRule type="cellIs" dxfId="586" priority="79" stopIfTrue="1" operator="greaterThan">
      <formula>$F$27</formula>
    </cfRule>
    <cfRule type="cellIs" dxfId="585" priority="80" stopIfTrue="1" operator="lessThanOrEqual">
      <formula>0</formula>
    </cfRule>
    <cfRule type="cellIs" dxfId="584" priority="81" stopIfTrue="1" operator="greaterThan">
      <formula>#REF!</formula>
    </cfRule>
  </conditionalFormatting>
  <conditionalFormatting sqref="H64">
    <cfRule type="cellIs" dxfId="583" priority="113" stopIfTrue="1" operator="lessThanOrEqual">
      <formula>0</formula>
    </cfRule>
    <cfRule type="cellIs" dxfId="582" priority="112" stopIfTrue="1" operator="greaterThan">
      <formula>$F$41</formula>
    </cfRule>
    <cfRule type="cellIs" dxfId="581" priority="111" stopIfTrue="1" operator="lessThanOrEqual">
      <formula>0</formula>
    </cfRule>
    <cfRule type="cellIs" dxfId="580" priority="101" stopIfTrue="1" operator="lessThanOrEqual">
      <formula>0</formula>
    </cfRule>
    <cfRule type="cellIs" dxfId="579" priority="110" stopIfTrue="1" operator="greaterThan">
      <formula>$F$43</formula>
    </cfRule>
    <cfRule type="cellIs" dxfId="578" priority="102" stopIfTrue="1" operator="greaterThan">
      <formula>$F$40</formula>
    </cfRule>
  </conditionalFormatting>
  <conditionalFormatting sqref="H68:H75">
    <cfRule type="cellIs" dxfId="577" priority="134" stopIfTrue="1" operator="lessThanOrEqual">
      <formula>0</formula>
    </cfRule>
    <cfRule type="cellIs" dxfId="576" priority="133" stopIfTrue="1" operator="greaterThan">
      <formula>$J68</formula>
    </cfRule>
  </conditionalFormatting>
  <conditionalFormatting sqref="H76">
    <cfRule type="cellIs" dxfId="575" priority="135" operator="greaterThan">
      <formula>5.3</formula>
    </cfRule>
  </conditionalFormatting>
  <conditionalFormatting sqref="H79 H81:H87">
    <cfRule type="cellIs" dxfId="574" priority="168" stopIfTrue="1" operator="greaterThan">
      <formula>4.5</formula>
    </cfRule>
    <cfRule type="cellIs" dxfId="573" priority="169" stopIfTrue="1" operator="lessThanOrEqual">
      <formula>0</formula>
    </cfRule>
  </conditionalFormatting>
  <conditionalFormatting sqref="H59:I59">
    <cfRule type="cellIs" dxfId="572" priority="1" stopIfTrue="1" operator="greaterThan">
      <formula>$F$71</formula>
    </cfRule>
    <cfRule type="cellIs" dxfId="571" priority="4" stopIfTrue="1" operator="lessThanOrEqual">
      <formula>0</formula>
    </cfRule>
  </conditionalFormatting>
  <conditionalFormatting sqref="H60:I60">
    <cfRule type="cellIs" dxfId="570" priority="83" stopIfTrue="1" operator="greaterThan">
      <formula>$F$27</formula>
    </cfRule>
    <cfRule type="cellIs" dxfId="569" priority="86" stopIfTrue="1" operator="lessThanOrEqual">
      <formula>0</formula>
    </cfRule>
  </conditionalFormatting>
  <conditionalFormatting sqref="H61:I61">
    <cfRule type="cellIs" dxfId="568" priority="37" stopIfTrue="1" operator="lessThanOrEqual">
      <formula>0</formula>
    </cfRule>
    <cfRule type="cellIs" dxfId="567" priority="34" stopIfTrue="1" operator="greaterThan">
      <formula>$F$48</formula>
    </cfRule>
  </conditionalFormatting>
  <conditionalFormatting sqref="H62:I63">
    <cfRule type="cellIs" dxfId="566" priority="72" stopIfTrue="1" operator="lessThanOrEqual">
      <formula>0</formula>
    </cfRule>
    <cfRule type="cellIs" dxfId="565" priority="69" stopIfTrue="1" operator="greaterThan">
      <formula>$F$26</formula>
    </cfRule>
  </conditionalFormatting>
  <conditionalFormatting sqref="H64:I64">
    <cfRule type="cellIs" dxfId="564" priority="103" stopIfTrue="1" operator="lessThanOrEqual">
      <formula>0</formula>
    </cfRule>
    <cfRule type="cellIs" dxfId="563" priority="100" stopIfTrue="1" operator="greaterThan">
      <formula>$F$42</formula>
    </cfRule>
  </conditionalFormatting>
  <conditionalFormatting sqref="H77:I77">
    <cfRule type="cellIs" dxfId="562" priority="125" stopIfTrue="1" operator="greaterThan">
      <formula>$J77</formula>
    </cfRule>
    <cfRule type="cellIs" dxfId="561" priority="126" stopIfTrue="1" operator="lessThanOrEqual">
      <formula>0</formula>
    </cfRule>
  </conditionalFormatting>
  <conditionalFormatting sqref="I59">
    <cfRule type="cellIs" dxfId="560" priority="10" stopIfTrue="1" operator="lessThanOrEqual">
      <formula>0</formula>
    </cfRule>
    <cfRule type="cellIs" dxfId="559" priority="7" stopIfTrue="1" operator="greaterThan">
      <formula>$F$71</formula>
    </cfRule>
    <cfRule type="cellIs" dxfId="558" priority="5" stopIfTrue="1" operator="greaterThan">
      <formula>$F$69</formula>
    </cfRule>
    <cfRule type="cellIs" dxfId="557" priority="6" stopIfTrue="1" operator="lessThanOrEqual">
      <formula>0</formula>
    </cfRule>
    <cfRule type="cellIs" dxfId="556" priority="8" stopIfTrue="1" operator="lessThanOrEqual">
      <formula>0</formula>
    </cfRule>
    <cfRule type="cellIs" dxfId="555" priority="9" stopIfTrue="1" operator="greaterThan">
      <formula>$F$69</formula>
    </cfRule>
  </conditionalFormatting>
  <conditionalFormatting sqref="I60">
    <cfRule type="cellIs" dxfId="554" priority="87" stopIfTrue="1" operator="greaterThan">
      <formula>#REF!</formula>
    </cfRule>
    <cfRule type="cellIs" dxfId="553" priority="91" stopIfTrue="1" operator="greaterThan">
      <formula>#REF!</formula>
    </cfRule>
    <cfRule type="cellIs" dxfId="552" priority="92" stopIfTrue="1" operator="lessThanOrEqual">
      <formula>0</formula>
    </cfRule>
    <cfRule type="cellIs" dxfId="551" priority="89" stopIfTrue="1" operator="greaterThan">
      <formula>$F$27</formula>
    </cfRule>
    <cfRule type="cellIs" dxfId="550" priority="88" stopIfTrue="1" operator="lessThanOrEqual">
      <formula>0</formula>
    </cfRule>
    <cfRule type="cellIs" dxfId="549" priority="90" stopIfTrue="1" operator="lessThanOrEqual">
      <formula>0</formula>
    </cfRule>
  </conditionalFormatting>
  <conditionalFormatting sqref="I61">
    <cfRule type="cellIs" dxfId="548" priority="39" stopIfTrue="1" operator="lessThanOrEqual">
      <formula>0</formula>
    </cfRule>
    <cfRule type="cellIs" dxfId="547" priority="43" stopIfTrue="1" operator="lessThanOrEqual">
      <formula>0</formula>
    </cfRule>
    <cfRule type="cellIs" dxfId="546" priority="42" stopIfTrue="1" operator="greaterThan">
      <formula>$F$46</formula>
    </cfRule>
    <cfRule type="cellIs" dxfId="545" priority="41" stopIfTrue="1" operator="lessThanOrEqual">
      <formula>0</formula>
    </cfRule>
    <cfRule type="cellIs" dxfId="544" priority="40" stopIfTrue="1" operator="greaterThan">
      <formula>$F$48</formula>
    </cfRule>
    <cfRule type="cellIs" dxfId="543" priority="38" stopIfTrue="1" operator="greaterThan">
      <formula>$F$46</formula>
    </cfRule>
  </conditionalFormatting>
  <conditionalFormatting sqref="I62:I63">
    <cfRule type="cellIs" dxfId="542" priority="78" stopIfTrue="1" operator="lessThanOrEqual">
      <formula>0</formula>
    </cfRule>
    <cfRule type="cellIs" dxfId="541" priority="77" stopIfTrue="1" operator="greaterThan">
      <formula>#REF!</formula>
    </cfRule>
    <cfRule type="cellIs" dxfId="540" priority="76" stopIfTrue="1" operator="lessThanOrEqual">
      <formula>0</formula>
    </cfRule>
    <cfRule type="cellIs" dxfId="539" priority="75" stopIfTrue="1" operator="greaterThan">
      <formula>$F$26</formula>
    </cfRule>
    <cfRule type="cellIs" dxfId="538" priority="74" stopIfTrue="1" operator="lessThanOrEqual">
      <formula>0</formula>
    </cfRule>
    <cfRule type="cellIs" dxfId="537" priority="73" stopIfTrue="1" operator="greaterThan">
      <formula>#REF!</formula>
    </cfRule>
  </conditionalFormatting>
  <conditionalFormatting sqref="I64">
    <cfRule type="cellIs" dxfId="536" priority="109" stopIfTrue="1" operator="lessThanOrEqual">
      <formula>0</formula>
    </cfRule>
    <cfRule type="cellIs" dxfId="535" priority="108" stopIfTrue="1" operator="greaterThan">
      <formula>$F$40</formula>
    </cfRule>
    <cfRule type="cellIs" dxfId="534" priority="107" stopIfTrue="1" operator="lessThanOrEqual">
      <formula>0</formula>
    </cfRule>
    <cfRule type="cellIs" dxfId="533" priority="106" stopIfTrue="1" operator="greaterThan">
      <formula>$F$42</formula>
    </cfRule>
    <cfRule type="cellIs" dxfId="532" priority="105" stopIfTrue="1" operator="lessThanOrEqual">
      <formula>0</formula>
    </cfRule>
    <cfRule type="cellIs" dxfId="531" priority="104" stopIfTrue="1" operator="greaterThan">
      <formula>$F$40</formula>
    </cfRule>
  </conditionalFormatting>
  <conditionalFormatting sqref="I68:I76">
    <cfRule type="cellIs" dxfId="530" priority="137" stopIfTrue="1" operator="lessThanOrEqual">
      <formula>0</formula>
    </cfRule>
    <cfRule type="cellIs" dxfId="529" priority="136" stopIfTrue="1" operator="greaterThan">
      <formula>$J68</formula>
    </cfRule>
  </conditionalFormatting>
  <conditionalFormatting sqref="I79:I87">
    <cfRule type="cellIs" dxfId="528" priority="164" stopIfTrue="1" operator="greaterThan">
      <formula>4.5</formula>
    </cfRule>
    <cfRule type="cellIs" dxfId="527" priority="165" stopIfTrue="1" operator="lessThanOrEqual">
      <formula>0</formula>
    </cfRule>
  </conditionalFormatting>
  <conditionalFormatting sqref="I10:J27">
    <cfRule type="cellIs" dxfId="526" priority="20" operator="lessThan">
      <formula>97.9</formula>
    </cfRule>
  </conditionalFormatting>
  <conditionalFormatting sqref="J30:J32">
    <cfRule type="cellIs" dxfId="525" priority="115" stopIfTrue="1" operator="lessThan">
      <formula>96.8</formula>
    </cfRule>
    <cfRule type="cellIs" dxfId="524" priority="116" stopIfTrue="1" operator="greaterThan">
      <formula>100</formula>
    </cfRule>
    <cfRule type="cellIs" dxfId="523" priority="117" operator="lessThan">
      <formula>98</formula>
    </cfRule>
  </conditionalFormatting>
  <conditionalFormatting sqref="J30:J34">
    <cfRule type="cellIs" dxfId="522" priority="114" operator="lessThan">
      <formula>97.4</formula>
    </cfRule>
  </conditionalFormatting>
  <conditionalFormatting sqref="J35">
    <cfRule type="cellIs" dxfId="521" priority="118" operator="lessThan">
      <formula>98</formula>
    </cfRule>
  </conditionalFormatting>
  <conditionalFormatting sqref="J37:J38">
    <cfRule type="cellIs" dxfId="520" priority="119" stopIfTrue="1" operator="lessThan">
      <formula>96.8</formula>
    </cfRule>
    <cfRule type="cellIs" dxfId="519" priority="120" stopIfTrue="1" operator="greaterThan">
      <formula>100</formula>
    </cfRule>
  </conditionalFormatting>
  <conditionalFormatting sqref="J37:J39">
    <cfRule type="cellIs" dxfId="518" priority="121" operator="lessThan">
      <formula>98</formula>
    </cfRule>
  </conditionalFormatting>
  <conditionalFormatting sqref="J77">
    <cfRule type="cellIs" dxfId="517" priority="123" stopIfTrue="1" operator="lessThanOrEqual">
      <formula>0</formula>
    </cfRule>
    <cfRule type="cellIs" dxfId="516" priority="122" stopIfTrue="1" operator="greaterThan">
      <formula>$F77</formula>
    </cfRule>
  </conditionalFormatting>
  <conditionalFormatting sqref="K10:K27">
    <cfRule type="cellIs" dxfId="515" priority="22" operator="greaterThan">
      <formula>6</formula>
    </cfRule>
    <cfRule type="cellIs" dxfId="514" priority="23" operator="lessThan">
      <formula>4</formula>
    </cfRule>
    <cfRule type="cellIs" dxfId="513" priority="24" operator="greaterThan">
      <formula>6.4</formula>
    </cfRule>
  </conditionalFormatting>
  <conditionalFormatting sqref="K59:K64 K68:N74 K75 M75:N75 K76:N76">
    <cfRule type="cellIs" dxfId="512" priority="99" stopIfTrue="1" operator="lessThan">
      <formula>100%</formula>
    </cfRule>
  </conditionalFormatting>
  <conditionalFormatting sqref="K79:K84">
    <cfRule type="cellIs" dxfId="511" priority="170" stopIfTrue="1" operator="lessThan">
      <formula>100%</formula>
    </cfRule>
  </conditionalFormatting>
  <conditionalFormatting sqref="K86:K87">
    <cfRule type="cellIs" dxfId="510" priority="177" stopIfTrue="1" operator="lessThan">
      <formula>100%</formula>
    </cfRule>
  </conditionalFormatting>
  <conditionalFormatting sqref="L22:L27">
    <cfRule type="cellIs" dxfId="509" priority="50" operator="between">
      <formula>61</formula>
      <formula>65</formula>
    </cfRule>
    <cfRule type="cellIs" dxfId="508" priority="51" operator="greaterThan">
      <formula>65</formula>
    </cfRule>
  </conditionalFormatting>
  <conditionalFormatting sqref="L10:M21">
    <cfRule type="cellIs" dxfId="507" priority="16" operator="greaterThan">
      <formula>65</formula>
    </cfRule>
    <cfRule type="cellIs" dxfId="506" priority="15" operator="between">
      <formula>61</formula>
      <formula>65</formula>
    </cfRule>
  </conditionalFormatting>
  <conditionalFormatting sqref="L30:M41">
    <cfRule type="cellIs" dxfId="505" priority="18" operator="lessThan">
      <formula>98</formula>
    </cfRule>
  </conditionalFormatting>
  <conditionalFormatting sqref="L45:N45">
    <cfRule type="cellIs" dxfId="504" priority="19" operator="notEqual">
      <formula>#REF!</formula>
    </cfRule>
  </conditionalFormatting>
  <conditionalFormatting sqref="L77:N77">
    <cfRule type="cellIs" dxfId="503" priority="124" stopIfTrue="1" operator="lessThan">
      <formula>100%</formula>
    </cfRule>
  </conditionalFormatting>
  <conditionalFormatting sqref="L79:N87">
    <cfRule type="cellIs" dxfId="502" priority="155" stopIfTrue="1" operator="lessThan">
      <formula>100%</formula>
    </cfRule>
  </conditionalFormatting>
  <conditionalFormatting sqref="M10:M25">
    <cfRule type="expression" dxfId="501" priority="25">
      <formula>IF(+(IF(M10&lt;U10,0,IF(M10&gt;V10,0,1)))=0,1)</formula>
    </cfRule>
  </conditionalFormatting>
  <conditionalFormatting sqref="M26:N27">
    <cfRule type="expression" dxfId="500" priority="185">
      <formula>IF(+(IF(M26&lt;#REF!,0,IF(M26&gt;#REF!,0,1)))=0,1)</formula>
    </cfRule>
  </conditionalFormatting>
  <conditionalFormatting sqref="N10:N25">
    <cfRule type="expression" dxfId="499" priority="21">
      <formula>IF(+(IF(N10&lt;W10,0,IF(N10&gt;X10,0,1)))=0,1)</formula>
    </cfRule>
  </conditionalFormatting>
  <conditionalFormatting sqref="P6">
    <cfRule type="cellIs" dxfId="498" priority="151" operator="greaterThanOrEqual">
      <formula>19</formula>
    </cfRule>
  </conditionalFormatting>
  <dataValidations count="1">
    <dataValidation type="list" allowBlank="1" showInputMessage="1" showErrorMessage="1" sqref="R8" xr:uid="{9C8F9B0A-79D6-487F-B620-2D3E43F3E335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1" max="16383" man="1"/>
  </rowBreaks>
  <colBreaks count="1" manualBreakCount="1">
    <brk id="15" max="89" man="1"/>
  </colBreak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CC95F-0DF8-4E34-8245-DF239107C6C0}">
  <sheetPr>
    <pageSetUpPr fitToPage="1"/>
  </sheetPr>
  <dimension ref="A1:BE79"/>
  <sheetViews>
    <sheetView topLeftCell="A2" zoomScale="70" zoomScaleNormal="70" workbookViewId="0">
      <selection activeCell="I43" sqref="I43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25" t="s">
        <v>0</v>
      </c>
      <c r="T1" s="525"/>
      <c r="U1" s="525" t="s">
        <v>1</v>
      </c>
      <c r="V1" s="525"/>
      <c r="W1" s="525" t="s">
        <v>2</v>
      </c>
      <c r="X1" s="525"/>
      <c r="Y1" s="525" t="s">
        <v>124</v>
      </c>
      <c r="Z1" s="525"/>
    </row>
    <row r="2" spans="2:29" ht="15">
      <c r="B2" s="526" t="s">
        <v>3</v>
      </c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45929</v>
      </c>
      <c r="J4" s="398" t="s">
        <v>193</v>
      </c>
      <c r="K4" s="398"/>
      <c r="L4" s="11"/>
      <c r="M4" s="547" t="s">
        <v>8</v>
      </c>
      <c r="N4" s="548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44"/>
      <c r="D5" s="544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192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84" t="s">
        <v>17</v>
      </c>
      <c r="C8" s="494" t="s">
        <v>18</v>
      </c>
      <c r="D8" s="494" t="s">
        <v>19</v>
      </c>
      <c r="E8" s="356" t="s">
        <v>20</v>
      </c>
      <c r="F8" s="356" t="s">
        <v>21</v>
      </c>
      <c r="G8" s="494" t="s">
        <v>22</v>
      </c>
      <c r="H8" s="535" t="s">
        <v>144</v>
      </c>
      <c r="I8" s="494" t="s">
        <v>166</v>
      </c>
      <c r="J8" s="537" t="s">
        <v>23</v>
      </c>
      <c r="K8" s="539" t="s">
        <v>142</v>
      </c>
      <c r="L8" s="541" t="s">
        <v>24</v>
      </c>
      <c r="M8" s="359" t="s">
        <v>25</v>
      </c>
      <c r="N8" s="17" t="s">
        <v>26</v>
      </c>
      <c r="O8" s="488" t="s">
        <v>155</v>
      </c>
      <c r="P8" s="56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33"/>
      <c r="C9" s="534"/>
      <c r="D9" s="534"/>
      <c r="E9" s="357" t="s">
        <v>30</v>
      </c>
      <c r="F9" s="357" t="s">
        <v>31</v>
      </c>
      <c r="G9" s="534"/>
      <c r="H9" s="536"/>
      <c r="I9" s="534"/>
      <c r="J9" s="538"/>
      <c r="K9" s="540"/>
      <c r="L9" s="542"/>
      <c r="M9" s="20" t="s">
        <v>32</v>
      </c>
      <c r="N9" s="21" t="s">
        <v>41</v>
      </c>
      <c r="O9" s="573"/>
      <c r="P9" s="561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34" t="s">
        <v>12</v>
      </c>
      <c r="C10" s="366" t="str">
        <f>[25]Brewhouse!$A94</f>
        <v>GU084</v>
      </c>
      <c r="D10" s="279">
        <f>[25]Brewhouse!$AF94</f>
        <v>54.2</v>
      </c>
      <c r="E10" s="279">
        <f>[25]Brewhouse!$AI94</f>
        <v>51.1</v>
      </c>
      <c r="F10" s="278">
        <f>[25]Brewhouse!$V94</f>
        <v>61</v>
      </c>
      <c r="G10" s="279">
        <f>[25]Brewhouse!$AG94</f>
        <v>17.100000000000001</v>
      </c>
      <c r="H10" s="396">
        <v>17.100000000000001</v>
      </c>
      <c r="I10" s="420">
        <f>[25]Brewhouse!$AU94</f>
        <v>94.352366624641022</v>
      </c>
      <c r="J10" s="420">
        <f>[25]Brewhouse!$AV94</f>
        <v>96.019438444924404</v>
      </c>
      <c r="K10" s="462">
        <f>[25]Brewhouse!$R94</f>
        <v>9.25</v>
      </c>
      <c r="L10" s="276">
        <f>[25]Brewhouse!$O94</f>
        <v>56</v>
      </c>
      <c r="M10" s="374">
        <f>[25]Brewhouse!$U94-[25]Brewhouse!$T94</f>
        <v>0.11597222222222225</v>
      </c>
      <c r="N10" s="370">
        <f>[25]Brewhouse!$Z94</f>
        <v>0.26250000000000001</v>
      </c>
      <c r="O10" s="421" t="str">
        <f>[25]Brewhouse!$AW94</f>
        <v>R. Sookram</v>
      </c>
      <c r="P10" s="418"/>
      <c r="R10" s="277" t="str">
        <f t="shared" ref="R10:R30" si="0">B10</f>
        <v>GUINNESS</v>
      </c>
      <c r="S10" s="296">
        <f t="shared" ref="S10:S30" si="1">VLOOKUP($B10,$R$3:$X$9,2,FALSE)</f>
        <v>17</v>
      </c>
      <c r="T10" s="296">
        <f t="shared" ref="T10:T30" si="2">VLOOKUP($B10,$R$3:$X$9,3,FALSE)</f>
        <v>17.5</v>
      </c>
      <c r="U10" s="297">
        <f t="shared" ref="U10:U30" si="3">VLOOKUP($B10,$R$3:$X$9,4,FALSE)</f>
        <v>0</v>
      </c>
      <c r="V10" s="297">
        <f t="shared" ref="V10:V30" si="4">VLOOKUP($B10,$R$3:$X$9,5,FALSE)</f>
        <v>0.1076388888888889</v>
      </c>
      <c r="W10" s="297">
        <f t="shared" ref="W10:W30" si="5">VLOOKUP($B10,$R$3:$X$9,6,FALSE)</f>
        <v>0.24652777777777779</v>
      </c>
      <c r="X10" s="297">
        <f t="shared" ref="X10:X30" si="6">VLOOKUP($B10,$R$3:$X$9,7,FALSE)</f>
        <v>0.28472222222222221</v>
      </c>
      <c r="Y10" s="297">
        <f t="shared" ref="Y10:Y30" si="7">VLOOKUP($B10,$R$3:$Z$9,8,FALSE)</f>
        <v>0</v>
      </c>
      <c r="Z10" s="296">
        <f t="shared" ref="Z10:Z30" si="8">VLOOKUP($B10,$R$3:$Z$9,9,FALSE)</f>
        <v>60</v>
      </c>
    </row>
    <row r="11" spans="2:29" ht="15.75" customHeight="1">
      <c r="B11" s="34" t="s">
        <v>12</v>
      </c>
      <c r="C11" s="366" t="str">
        <f>[25]Brewhouse!$A95</f>
        <v>GU085</v>
      </c>
      <c r="D11" s="279">
        <f>[25]Brewhouse!$AF95</f>
        <v>52.9</v>
      </c>
      <c r="E11" s="279">
        <f>[25]Brewhouse!$AI95</f>
        <v>50.2</v>
      </c>
      <c r="F11" s="278">
        <f>[25]Brewhouse!$V95</f>
        <v>59</v>
      </c>
      <c r="G11" s="279">
        <f>[25]Brewhouse!$AG95</f>
        <v>17.399999999999999</v>
      </c>
      <c r="H11" s="396">
        <v>17.399999999999999</v>
      </c>
      <c r="I11" s="420">
        <f>[25]Brewhouse!$AU95</f>
        <v>94.566859490484816</v>
      </c>
      <c r="J11" s="420">
        <f>[25]Brewhouse!$AV95</f>
        <v>96.237136234869951</v>
      </c>
      <c r="K11" s="462">
        <f>[25]Brewhouse!$R95</f>
        <v>6.8022181146025869</v>
      </c>
      <c r="L11" s="276">
        <f>[25]Brewhouse!$O95</f>
        <v>42</v>
      </c>
      <c r="M11" s="374">
        <f>[25]Brewhouse!$U95-[25]Brewhouse!$T95</f>
        <v>0.11388888888888893</v>
      </c>
      <c r="N11" s="370">
        <f>[25]Brewhouse!$Z95</f>
        <v>0.54166666666666674</v>
      </c>
      <c r="O11" s="421" t="str">
        <f>[25]Brewhouse!$AW95</f>
        <v>R. Sookram</v>
      </c>
      <c r="P11" s="418"/>
      <c r="R11" s="277" t="str">
        <f t="shared" si="0"/>
        <v>GUINNESS</v>
      </c>
      <c r="S11" s="296">
        <f t="shared" si="1"/>
        <v>17</v>
      </c>
      <c r="T11" s="296">
        <f t="shared" si="2"/>
        <v>17.5</v>
      </c>
      <c r="U11" s="297">
        <f t="shared" si="3"/>
        <v>0</v>
      </c>
      <c r="V11" s="297">
        <f t="shared" si="4"/>
        <v>0.1076388888888889</v>
      </c>
      <c r="W11" s="297">
        <f t="shared" si="5"/>
        <v>0.24652777777777779</v>
      </c>
      <c r="X11" s="297">
        <f t="shared" si="6"/>
        <v>0.28472222222222221</v>
      </c>
      <c r="Y11" s="297">
        <f t="shared" si="7"/>
        <v>0</v>
      </c>
      <c r="Z11" s="296">
        <f t="shared" si="8"/>
        <v>60</v>
      </c>
    </row>
    <row r="12" spans="2:29" ht="15.75" customHeight="1">
      <c r="B12" s="34" t="s">
        <v>12</v>
      </c>
      <c r="C12" s="366" t="str">
        <f>[25]Brewhouse!$A96</f>
        <v>GU086</v>
      </c>
      <c r="D12" s="279">
        <f>[25]Brewhouse!$AF96</f>
        <v>53</v>
      </c>
      <c r="E12" s="279">
        <f>[25]Brewhouse!$AI96</f>
        <v>50</v>
      </c>
      <c r="F12" s="278">
        <f>[25]Brewhouse!$V96</f>
        <v>60</v>
      </c>
      <c r="G12" s="279">
        <f>[25]Brewhouse!$AG96</f>
        <v>17.399999999999999</v>
      </c>
      <c r="H12" s="396">
        <v>17.399999999999999</v>
      </c>
      <c r="I12" s="420">
        <f>[25]Brewhouse!$AU96</f>
        <v>94.3413084521017</v>
      </c>
      <c r="J12" s="420">
        <f>[25]Brewhouse!$AV96</f>
        <v>96.007016095749066</v>
      </c>
      <c r="K12" s="462">
        <f>[25]Brewhouse!$R96</f>
        <v>4.0295748613678368</v>
      </c>
      <c r="L12" s="276">
        <f>[25]Brewhouse!$O96</f>
        <v>56</v>
      </c>
      <c r="M12" s="374">
        <f>[25]Brewhouse!$U96-[25]Brewhouse!$T96</f>
        <v>0.10555555555555551</v>
      </c>
      <c r="N12" s="370">
        <f>[25]Brewhouse!$Z96</f>
        <v>0.29999999999999993</v>
      </c>
      <c r="O12" s="421" t="str">
        <f>[25]Brewhouse!$AW96</f>
        <v>R. Sookram</v>
      </c>
      <c r="P12" s="418"/>
      <c r="R12" s="277" t="str">
        <f t="shared" si="0"/>
        <v>GUINNESS</v>
      </c>
      <c r="S12" s="296">
        <f t="shared" si="1"/>
        <v>17</v>
      </c>
      <c r="T12" s="296">
        <f t="shared" si="2"/>
        <v>17.5</v>
      </c>
      <c r="U12" s="297">
        <f t="shared" si="3"/>
        <v>0</v>
      </c>
      <c r="V12" s="297">
        <f t="shared" si="4"/>
        <v>0.1076388888888889</v>
      </c>
      <c r="W12" s="297">
        <f t="shared" si="5"/>
        <v>0.24652777777777779</v>
      </c>
      <c r="X12" s="297">
        <f t="shared" si="6"/>
        <v>0.28472222222222221</v>
      </c>
      <c r="Y12" s="297">
        <f t="shared" si="7"/>
        <v>0</v>
      </c>
      <c r="Z12" s="296">
        <f t="shared" si="8"/>
        <v>60</v>
      </c>
    </row>
    <row r="13" spans="2:29" ht="15.75" customHeight="1">
      <c r="B13" s="34" t="s">
        <v>12</v>
      </c>
      <c r="C13" s="366" t="str">
        <f>[25]Brewhouse!$A97</f>
        <v>GU087</v>
      </c>
      <c r="D13" s="279">
        <f>[25]Brewhouse!$AF97</f>
        <v>53.5</v>
      </c>
      <c r="E13" s="279">
        <f>[25]Brewhouse!$AI97</f>
        <v>50.7</v>
      </c>
      <c r="F13" s="278">
        <f>[25]Brewhouse!$V97</f>
        <v>55</v>
      </c>
      <c r="G13" s="279">
        <f>[25]Brewhouse!$AG97</f>
        <v>17.100000000000001</v>
      </c>
      <c r="H13" s="396">
        <v>17.100000000000001</v>
      </c>
      <c r="I13" s="420">
        <f>[25]Brewhouse!$AU97</f>
        <v>93.914364604824101</v>
      </c>
      <c r="J13" s="420">
        <f>[25]Brewhouse!$AV97</f>
        <v>95.57253404869995</v>
      </c>
      <c r="K13" s="462">
        <f>[25]Brewhouse!$R97</f>
        <v>3.1053604436229199</v>
      </c>
      <c r="L13" s="276">
        <f>[25]Brewhouse!$O97</f>
        <v>56</v>
      </c>
      <c r="M13" s="374">
        <f>[25]Brewhouse!$U97-[25]Brewhouse!$T97</f>
        <v>0.10277777777777775</v>
      </c>
      <c r="N13" s="370">
        <f>[25]Brewhouse!$Z97</f>
        <v>0.28333333333333333</v>
      </c>
      <c r="O13" s="421" t="str">
        <f>[25]Brewhouse!$AW97</f>
        <v>R. Sookram</v>
      </c>
      <c r="P13" s="418"/>
      <c r="R13" s="277" t="str">
        <f t="shared" si="0"/>
        <v>GUINNESS</v>
      </c>
      <c r="S13" s="296">
        <f t="shared" si="1"/>
        <v>17</v>
      </c>
      <c r="T13" s="296">
        <f t="shared" si="2"/>
        <v>17.5</v>
      </c>
      <c r="U13" s="297">
        <f t="shared" si="3"/>
        <v>0</v>
      </c>
      <c r="V13" s="297">
        <f t="shared" si="4"/>
        <v>0.1076388888888889</v>
      </c>
      <c r="W13" s="297">
        <f t="shared" si="5"/>
        <v>0.24652777777777779</v>
      </c>
      <c r="X13" s="297">
        <f t="shared" si="6"/>
        <v>0.28472222222222221</v>
      </c>
      <c r="Y13" s="297">
        <f t="shared" si="7"/>
        <v>0</v>
      </c>
      <c r="Z13" s="296">
        <f t="shared" si="8"/>
        <v>60</v>
      </c>
    </row>
    <row r="14" spans="2:29" ht="15.75" customHeight="1">
      <c r="B14" s="33"/>
      <c r="C14" s="366"/>
      <c r="D14" s="279"/>
      <c r="E14" s="279"/>
      <c r="F14" s="278"/>
      <c r="G14" s="279"/>
      <c r="H14" s="396"/>
      <c r="I14" s="420"/>
      <c r="J14" s="420"/>
      <c r="K14" s="281"/>
      <c r="L14" s="276"/>
      <c r="M14" s="374"/>
      <c r="N14" s="370"/>
      <c r="O14" s="421"/>
      <c r="P14" s="418"/>
      <c r="R14" s="277">
        <f t="shared" si="0"/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5.75" customHeight="1">
      <c r="B15" s="33"/>
      <c r="C15" s="366"/>
      <c r="D15" s="279"/>
      <c r="E15" s="279"/>
      <c r="F15" s="278"/>
      <c r="G15" s="279"/>
      <c r="H15" s="396"/>
      <c r="I15" s="420"/>
      <c r="J15" s="420"/>
      <c r="K15" s="281"/>
      <c r="L15" s="276"/>
      <c r="M15" s="374"/>
      <c r="N15" s="370"/>
      <c r="O15" s="421"/>
      <c r="P15" s="418"/>
      <c r="R15" s="277">
        <f t="shared" si="0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.75" hidden="1" customHeight="1">
      <c r="B16" s="33"/>
      <c r="C16" s="366"/>
      <c r="D16" s="279"/>
      <c r="E16" s="279"/>
      <c r="F16" s="278"/>
      <c r="G16" s="279"/>
      <c r="H16" s="396"/>
      <c r="I16" s="420"/>
      <c r="J16" s="420"/>
      <c r="K16" s="281"/>
      <c r="L16" s="276"/>
      <c r="M16" s="374"/>
      <c r="N16" s="370"/>
      <c r="O16" s="421"/>
      <c r="P16" s="418"/>
      <c r="R16" s="277"/>
      <c r="S16" s="296"/>
      <c r="T16" s="296"/>
      <c r="U16" s="297"/>
      <c r="V16" s="297"/>
      <c r="W16" s="297"/>
      <c r="X16" s="297"/>
      <c r="Y16" s="297"/>
      <c r="Z16" s="296"/>
    </row>
    <row r="17" spans="1:27" ht="15.75" hidden="1" customHeight="1">
      <c r="B17" s="468"/>
      <c r="C17" s="366"/>
      <c r="D17" s="279"/>
      <c r="E17" s="279"/>
      <c r="F17" s="278"/>
      <c r="G17" s="279"/>
      <c r="H17" s="396"/>
      <c r="I17" s="420"/>
      <c r="J17" s="420"/>
      <c r="K17" s="281"/>
      <c r="L17" s="276"/>
      <c r="M17" s="374"/>
      <c r="N17" s="370"/>
      <c r="O17" s="421"/>
      <c r="P17" s="418"/>
      <c r="R17" s="277"/>
      <c r="S17" s="296"/>
      <c r="T17" s="296"/>
      <c r="U17" s="297"/>
      <c r="V17" s="297"/>
      <c r="W17" s="297"/>
      <c r="X17" s="297"/>
      <c r="Y17" s="297"/>
      <c r="Z17" s="296"/>
    </row>
    <row r="18" spans="1:27" ht="15.6" hidden="1" customHeight="1">
      <c r="B18" s="33"/>
      <c r="C18" s="366"/>
      <c r="D18" s="279"/>
      <c r="E18" s="279"/>
      <c r="F18" s="278"/>
      <c r="G18" s="279"/>
      <c r="H18" s="367"/>
      <c r="I18" s="420"/>
      <c r="J18" s="420"/>
      <c r="K18" s="281"/>
      <c r="L18" s="276"/>
      <c r="M18" s="374"/>
      <c r="N18" s="370"/>
      <c r="O18" s="421"/>
      <c r="P18" s="418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1:27" ht="15.75" hidden="1" customHeight="1">
      <c r="B19" s="34"/>
      <c r="C19" s="366"/>
      <c r="D19" s="279"/>
      <c r="E19" s="279"/>
      <c r="F19" s="278"/>
      <c r="G19" s="279"/>
      <c r="H19" s="396"/>
      <c r="I19" s="420"/>
      <c r="J19" s="420"/>
      <c r="K19" s="462"/>
      <c r="L19" s="276"/>
      <c r="M19" s="374"/>
      <c r="N19" s="370"/>
      <c r="O19" s="421"/>
      <c r="P19" s="418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7" ht="15.75" hidden="1" customHeight="1">
      <c r="B20" s="34"/>
      <c r="C20" s="366"/>
      <c r="D20" s="279"/>
      <c r="E20" s="279"/>
      <c r="F20" s="278"/>
      <c r="G20" s="279"/>
      <c r="H20" s="396"/>
      <c r="I20" s="420"/>
      <c r="J20" s="420"/>
      <c r="K20" s="462"/>
      <c r="L20" s="276"/>
      <c r="M20" s="374"/>
      <c r="N20" s="370"/>
      <c r="O20" s="421"/>
      <c r="P20" s="418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7" ht="15.75" hidden="1" customHeight="1">
      <c r="B21" s="34"/>
      <c r="C21" s="366"/>
      <c r="D21" s="279"/>
      <c r="E21" s="279"/>
      <c r="F21" s="278"/>
      <c r="G21" s="279"/>
      <c r="H21" s="396"/>
      <c r="I21" s="420"/>
      <c r="J21" s="420"/>
      <c r="K21" s="462"/>
      <c r="L21" s="276"/>
      <c r="M21" s="374"/>
      <c r="N21" s="370"/>
      <c r="O21" s="421"/>
      <c r="P21" s="418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7" ht="15.75" hidden="1" customHeight="1">
      <c r="B22" s="34"/>
      <c r="C22" s="366"/>
      <c r="D22" s="279"/>
      <c r="E22" s="279"/>
      <c r="F22" s="278"/>
      <c r="G22" s="279"/>
      <c r="H22" s="396"/>
      <c r="I22" s="420"/>
      <c r="J22" s="420"/>
      <c r="K22" s="462"/>
      <c r="L22" s="276"/>
      <c r="M22" s="374"/>
      <c r="N22" s="370"/>
      <c r="O22" s="421"/>
      <c r="P22" s="418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7" ht="15.6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8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7" ht="15.7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18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7" ht="15.75" customHeight="1" thickBot="1">
      <c r="B25" s="358"/>
      <c r="C25" s="358"/>
      <c r="D25" s="358"/>
      <c r="E25" s="358"/>
      <c r="F25" s="294"/>
      <c r="G25" s="294"/>
      <c r="H25" s="348"/>
      <c r="I25" s="514"/>
      <c r="J25" s="514"/>
      <c r="K25" s="514"/>
      <c r="L25" s="514"/>
      <c r="M25" s="514"/>
      <c r="N25" s="514"/>
      <c r="O25" s="1"/>
      <c r="P25" s="12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7" ht="15.75" thickBot="1">
      <c r="B26" s="388" t="s">
        <v>162</v>
      </c>
      <c r="C26" s="388"/>
      <c r="D26" s="527" t="s">
        <v>35</v>
      </c>
      <c r="E26" s="528"/>
      <c r="F26" s="294"/>
      <c r="G26" s="294"/>
      <c r="H26" s="348"/>
      <c r="I26" s="24" t="s">
        <v>17</v>
      </c>
      <c r="J26" s="25" t="s">
        <v>36</v>
      </c>
      <c r="K26" s="26" t="s">
        <v>138</v>
      </c>
      <c r="L26" s="25" t="s">
        <v>37</v>
      </c>
      <c r="M26" s="25" t="s">
        <v>38</v>
      </c>
      <c r="N26" s="27" t="s">
        <v>39</v>
      </c>
      <c r="O26" s="294"/>
      <c r="P26" s="12"/>
      <c r="R26" s="277" t="str">
        <f t="shared" si="0"/>
        <v xml:space="preserve">BRAND 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7" ht="15" customHeight="1">
      <c r="A27" s="28"/>
      <c r="B27" s="577" t="str">
        <f>I27</f>
        <v>CARIB</v>
      </c>
      <c r="C27" s="362">
        <f>[22]Process!D758</f>
        <v>11.7</v>
      </c>
      <c r="D27" s="518">
        <v>11.88</v>
      </c>
      <c r="E27" s="507"/>
      <c r="F27" s="294"/>
      <c r="G27" s="294"/>
      <c r="H27" s="348"/>
      <c r="I27" s="29" t="s">
        <v>6</v>
      </c>
      <c r="J27" s="280"/>
      <c r="K27" s="284">
        <f>COUNTA([22]Brewhouse!$A$740:$A$821)</f>
        <v>82</v>
      </c>
      <c r="L27" s="305">
        <f>AVERAGE([22]Brewhouse!$AU$740:$AU$821)</f>
        <v>97.314316424839745</v>
      </c>
      <c r="M27" s="302">
        <f>AVERAGE([22]Brewhouse!$AU$102:$AU$171,[22]Brewhouse!$AU$173:$AU$253,[22]Brewhouse!$AU$255:$AU$339,[22]Brewhouse!$AU$341:$AU$346,[22]Brewhouse!$AU$348,[22]Brewhouse!$AU$349:$AU$406,[22]Brewhouse!$AU$408:$AU$491,[22]Brewhouse!$AU$493:$AU$578,[22]Brewhouse!$AU$580:$AU$652,[22]Brewhouse!$AU$655:$AU$738,[22]Brewhouse!$A$740:$A$821)</f>
        <v>97.707262129538279</v>
      </c>
      <c r="N27" s="30">
        <v>98</v>
      </c>
      <c r="O27" s="11"/>
      <c r="P27" s="31"/>
      <c r="R27" s="277" t="str">
        <f t="shared" si="0"/>
        <v>CARIB</v>
      </c>
      <c r="S27" s="296">
        <f t="shared" si="1"/>
        <v>11.6</v>
      </c>
      <c r="T27" s="296">
        <f t="shared" si="2"/>
        <v>12</v>
      </c>
      <c r="U27" s="297">
        <f t="shared" si="3"/>
        <v>0</v>
      </c>
      <c r="V27" s="297">
        <f t="shared" si="4"/>
        <v>0.118055555555556</v>
      </c>
      <c r="W27" s="297">
        <f t="shared" si="5"/>
        <v>0.22569444444444445</v>
      </c>
      <c r="X27" s="297">
        <f t="shared" si="6"/>
        <v>0.2638888888888889</v>
      </c>
      <c r="Y27" s="297">
        <f t="shared" si="7"/>
        <v>0</v>
      </c>
      <c r="Z27" s="296">
        <f t="shared" si="8"/>
        <v>60</v>
      </c>
    </row>
    <row r="28" spans="1:27" ht="15" customHeight="1">
      <c r="A28" s="28"/>
      <c r="B28" s="497"/>
      <c r="C28" s="362">
        <f>[22]Process!D759</f>
        <v>11.7</v>
      </c>
      <c r="D28" s="519"/>
      <c r="E28" s="502"/>
      <c r="F28" s="294"/>
      <c r="G28" s="294"/>
      <c r="H28" s="348"/>
      <c r="I28" s="33" t="s">
        <v>9</v>
      </c>
      <c r="J28" s="280"/>
      <c r="K28" s="284">
        <f>COUNTA([24]Brewhouse!$A$361:$A$396)</f>
        <v>36</v>
      </c>
      <c r="L28" s="302">
        <f>AVERAGE([24]Brewhouse!$AS$361:$AS$396)</f>
        <v>97.469551904246785</v>
      </c>
      <c r="M28" s="302">
        <f>AVERAGE([24]Brewhouse!$AS$15:$AS$64,[24]Brewhouse!$AS$66:$AS$103,[24]Brewhouse!$AS$105:$AS$140,[24]Brewhouse!$AS$142:$AS$193,[24]Brewhouse!$AS$195:$AS$240,[24]Brewhouse!$AS$242:$AS$273,[24]Brewhouse!$AS$275:$AS$322,[24]Brewhouse!$AS$324:$AS$359,[24]Brewhouse!$AS$361:$AS$396)</f>
        <v>98.008126648652194</v>
      </c>
      <c r="N28" s="30">
        <v>98</v>
      </c>
      <c r="O28" s="11"/>
      <c r="P28" s="31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1:27" ht="14.65" customHeight="1">
      <c r="A29" s="28"/>
      <c r="B29" s="497"/>
      <c r="C29" s="362">
        <f>[22]Process!D760</f>
        <v>11.6</v>
      </c>
      <c r="D29" s="518">
        <v>11.86</v>
      </c>
      <c r="E29" s="507"/>
      <c r="F29" s="294"/>
      <c r="G29" s="294"/>
      <c r="H29" s="348"/>
      <c r="I29" s="34" t="s">
        <v>12</v>
      </c>
      <c r="J29" s="280">
        <f>AVERAGE(I10:I13)</f>
        <v>94.293724793012899</v>
      </c>
      <c r="K29" s="284">
        <f>COUNTA([25]Brewhouse!$A$94:$A$97)</f>
        <v>4</v>
      </c>
      <c r="L29" s="302">
        <f>AVERAGE([25]Brewhouse!$AU$94:$AU$97)</f>
        <v>94.293724793012899</v>
      </c>
      <c r="M29" s="302">
        <f>AVERAGE([25]Brewhouse!$AU$4:$AU$7,[25]Brewhouse!$AU$9:$AU$22,[25]Brewhouse!$AU$24:$AU$35,[25]Brewhouse!$AU$37:$AU$45,[25]Brewhouse!$AU$47:$AU$62,[25]Brewhouse!$AU$64:$AU$79,[25]Brewhouse!$AU$81:$AU$92,[25]Brewhouse!$AU$94:$AU$97)</f>
        <v>96.816600378435098</v>
      </c>
      <c r="N29" s="30">
        <v>98</v>
      </c>
      <c r="O29" s="11"/>
      <c r="P29" s="31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1:27" ht="14.65" customHeight="1">
      <c r="A30" s="28"/>
      <c r="B30" s="497"/>
      <c r="C30" s="362">
        <f>[22]Process!D761</f>
        <v>11.7</v>
      </c>
      <c r="D30" s="519"/>
      <c r="E30" s="502"/>
      <c r="F30" s="294"/>
      <c r="G30" s="294"/>
      <c r="H30" s="348"/>
      <c r="I30" s="22" t="s">
        <v>33</v>
      </c>
      <c r="J30" s="280"/>
      <c r="K30" s="284">
        <f>COUNTA([26]Brewhouse!$A$79:$A$86)</f>
        <v>8</v>
      </c>
      <c r="L30" s="302">
        <f>AVERAGE([26]Brewhouse!$AV$79:$AV$86)</f>
        <v>96.412390542357869</v>
      </c>
      <c r="M30" s="302">
        <f>AVERAGE([26]Brewhouse!$AV$5:$AV$14,[26]Brewhouse!$AV$16:$AV$19,[26]Brewhouse!$AV$21:$AV$24,[26]Brewhouse!$AV$26:$AV$33,[26]Brewhouse!$AV$35:$AV$46,[26]Brewhouse!$AV$48:$AV$53,[26]Brewhouse!$AV$55:$AV$62,[26]Brewhouse!$AV$64:$AV$77,[26]Brewhouse!$AV$79:$AV$86)</f>
        <v>98.293408393493976</v>
      </c>
      <c r="N30" s="30">
        <v>98</v>
      </c>
      <c r="O30" s="11"/>
      <c r="P30" s="31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1:27" ht="14.65" customHeight="1">
      <c r="A31" s="28"/>
      <c r="B31" s="497"/>
      <c r="C31" s="362">
        <f>[22]Process!D762</f>
        <v>12</v>
      </c>
      <c r="D31" s="518">
        <v>11.8</v>
      </c>
      <c r="E31" s="507"/>
      <c r="F31" s="417"/>
      <c r="G31" s="294"/>
      <c r="H31" s="348"/>
      <c r="I31" s="35" t="s">
        <v>29</v>
      </c>
      <c r="J31" s="280"/>
      <c r="K31" s="284"/>
      <c r="L31" s="302"/>
      <c r="M31" s="302"/>
      <c r="N31" s="30">
        <v>98</v>
      </c>
      <c r="O31" s="11"/>
      <c r="P31" s="31"/>
      <c r="R31" s="277"/>
      <c r="S31" s="296"/>
      <c r="T31" s="296"/>
      <c r="U31" s="297"/>
      <c r="V31" s="297"/>
      <c r="W31" s="297"/>
      <c r="X31" s="297"/>
      <c r="Y31" s="297"/>
      <c r="Z31" s="296"/>
    </row>
    <row r="32" spans="1:27" ht="14.65" customHeight="1">
      <c r="A32" s="28"/>
      <c r="B32" s="497"/>
      <c r="C32" s="362">
        <f>[22]Process!D763</f>
        <v>11.9</v>
      </c>
      <c r="D32" s="519"/>
      <c r="E32" s="502"/>
      <c r="F32" s="417"/>
      <c r="G32" s="294"/>
      <c r="H32" s="348"/>
      <c r="I32" s="36" t="s">
        <v>15</v>
      </c>
      <c r="J32" s="323"/>
      <c r="K32" s="284">
        <f>COUNTA([27]Brewhouse!$A$28:$A$35)</f>
        <v>8</v>
      </c>
      <c r="L32" s="302">
        <f>AVERAGE([27]Brewhouse!$AT$28:$AT$35)</f>
        <v>95.233703112250225</v>
      </c>
      <c r="M32" s="302">
        <f>AVERAGE([27]Brewhouse!$AT$4:$AT$11,[27]Brewhouse!$AT$13:$AT$16,[27]Brewhouse!$AT$18:$AT$21,[27]Brewhouse!$AT$26,[27]Brewhouse!$AT$28:$AT$35)</f>
        <v>94.794664331624134</v>
      </c>
      <c r="N32" s="30">
        <v>98</v>
      </c>
      <c r="O32" s="11"/>
      <c r="P32" s="31"/>
      <c r="R32" s="277"/>
      <c r="S32" s="296"/>
      <c r="T32" s="296"/>
      <c r="U32" s="297"/>
      <c r="V32" s="297"/>
      <c r="W32" s="297"/>
      <c r="X32" s="297"/>
      <c r="Y32" s="297"/>
      <c r="Z32" s="296"/>
      <c r="AA32" s="296"/>
    </row>
    <row r="33" spans="1:56" ht="14.65" customHeight="1">
      <c r="A33" s="28"/>
      <c r="B33" s="497"/>
      <c r="C33" s="362">
        <f>[22]Process!D764</f>
        <v>11.4</v>
      </c>
      <c r="D33" s="518">
        <v>11.87</v>
      </c>
      <c r="E33" s="507"/>
      <c r="F33" s="417"/>
      <c r="G33" s="294"/>
      <c r="H33" s="348"/>
      <c r="I33" s="37" t="s">
        <v>16</v>
      </c>
      <c r="J33" s="323"/>
      <c r="K33" s="284">
        <f>COUNTA([23]Brewhouse!$A$75:$A$82)</f>
        <v>8</v>
      </c>
      <c r="L33" s="302">
        <f>AVERAGE([23]Brewhouse!$AY$75:$AY$82)</f>
        <v>97.738838123294386</v>
      </c>
      <c r="M33" s="302">
        <f>AVERAGE([23]Brewhouse!$AY$6:$AY$13,[23]Brewhouse!$AY$15:$AY$20,[23]Brewhouse!$AY$22:$AY$29,[23]Brewhouse!$AY$31:$AY$34,[23]Brewhouse!$AY$36:$AY$43,[23]Brewhouse!$AY$45:$AY$50, [23]Brewhouse!$AY$56:$AY$73,[23]Brewhouse!$AY$75:$AY$82)</f>
        <v>97.409216272979165</v>
      </c>
      <c r="N33" s="30">
        <v>98</v>
      </c>
      <c r="O33" s="11"/>
      <c r="P33" s="31" t="s">
        <v>41</v>
      </c>
      <c r="R33" s="277"/>
      <c r="S33" s="296"/>
      <c r="T33" s="296"/>
      <c r="U33" s="297"/>
      <c r="V33" s="297"/>
      <c r="W33" s="297"/>
      <c r="X33" s="297"/>
      <c r="Y33" s="297"/>
      <c r="Z33" s="296"/>
      <c r="AA33" s="296"/>
    </row>
    <row r="34" spans="1:56" ht="14.65" customHeight="1">
      <c r="A34" s="28"/>
      <c r="B34" s="497"/>
      <c r="C34" s="362">
        <f>[22]Process!D765</f>
        <v>11.8</v>
      </c>
      <c r="D34" s="519"/>
      <c r="E34" s="502"/>
      <c r="F34" s="294"/>
      <c r="G34" s="294"/>
      <c r="H34" s="348"/>
      <c r="I34" s="411" t="s">
        <v>158</v>
      </c>
      <c r="J34" s="326"/>
      <c r="K34" s="284"/>
      <c r="L34" s="305"/>
      <c r="M34" s="305">
        <f>AVERAGE([28]Brewhouse!$AU$5:$AU$8,[28]Brewhouse!$AU$10:$AU$13,[23]Brewhouse!$AY$75:$AY$77)</f>
        <v>94.749192473706671</v>
      </c>
      <c r="N34" s="30">
        <v>98</v>
      </c>
      <c r="O34" s="11"/>
      <c r="P34" s="31"/>
      <c r="R34" s="277"/>
      <c r="S34" s="296"/>
      <c r="T34" s="296"/>
      <c r="U34" s="297"/>
      <c r="V34" s="297"/>
      <c r="W34" s="297"/>
      <c r="X34" s="297"/>
      <c r="Y34" s="297"/>
      <c r="Z34" s="296"/>
      <c r="AA34" s="296"/>
    </row>
    <row r="35" spans="1:56" ht="14.65" customHeight="1">
      <c r="A35" s="28"/>
      <c r="B35" s="497"/>
      <c r="C35" s="349"/>
      <c r="D35" s="518"/>
      <c r="E35" s="507"/>
      <c r="F35" s="294"/>
      <c r="G35" s="294"/>
      <c r="H35" s="348"/>
      <c r="I35" s="410" t="s">
        <v>157</v>
      </c>
      <c r="J35" s="326"/>
      <c r="K35" s="284"/>
      <c r="L35" s="305"/>
      <c r="M35" s="305">
        <f>AVERAGE([29]Brewhouse!$AW$26:$AW$27)</f>
        <v>95.310680905194914</v>
      </c>
      <c r="N35" s="30">
        <v>98</v>
      </c>
      <c r="O35" s="11"/>
      <c r="P35" s="31"/>
      <c r="R35" s="277"/>
      <c r="S35" s="296"/>
      <c r="T35" s="296"/>
      <c r="U35" s="297"/>
      <c r="V35" s="297"/>
      <c r="W35" s="297"/>
      <c r="X35" s="297"/>
      <c r="Y35" s="297"/>
      <c r="Z35" s="296"/>
      <c r="AA35" s="296"/>
    </row>
    <row r="36" spans="1:56" ht="15" customHeight="1" thickBot="1">
      <c r="A36" s="28"/>
      <c r="B36" s="497"/>
      <c r="C36" s="349"/>
      <c r="D36" s="519"/>
      <c r="E36" s="502"/>
      <c r="F36" s="294"/>
      <c r="G36" s="294"/>
      <c r="H36" s="348"/>
      <c r="I36" s="406" t="s">
        <v>156</v>
      </c>
      <c r="J36" s="327"/>
      <c r="K36" s="407"/>
      <c r="L36" s="408"/>
      <c r="M36" s="408">
        <f>AVERAGE([30]Brewhouse!$AU$13:$AU$14)</f>
        <v>97.110575243268045</v>
      </c>
      <c r="N36" s="409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  <c r="AA36" s="296"/>
    </row>
    <row r="37" spans="1:56" ht="15" customHeight="1" thickBot="1">
      <c r="A37" s="28"/>
      <c r="B37" s="497"/>
      <c r="C37" s="349"/>
      <c r="D37" s="518"/>
      <c r="E37" s="507"/>
      <c r="F37" s="294"/>
      <c r="G37" s="294"/>
      <c r="H37" s="348"/>
      <c r="I37" s="1"/>
      <c r="J37" s="39"/>
      <c r="K37" s="404">
        <f>SUM(K27:K36)</f>
        <v>146</v>
      </c>
      <c r="L37" s="405">
        <f>((L27*K27)+(L28*K28)+(L29*K29)+(L30*K30)+(L31*K31)+(K34*L34)+(L32*K32)+(L33*K33)+(L36*K36))/(K37)</f>
        <v>97.129672388938445</v>
      </c>
      <c r="M37" s="405">
        <f>AVERAGE('[31]Jan 31st'!$L$65,'[32]Feb 28th'!$L$35,'[33]Mar. 31st'!$L$35,'[34]Apr. 30th'!$L$45,'[35]May 30th'!$L$37,'[36]June 30th'!$L$57,L37)</f>
        <v>97.583083269428627</v>
      </c>
      <c r="N37" s="40">
        <v>98</v>
      </c>
      <c r="O37" s="11"/>
      <c r="P37" s="31"/>
      <c r="R37" s="277"/>
      <c r="S37" s="296"/>
      <c r="T37" s="296"/>
      <c r="U37" s="297"/>
      <c r="V37" s="297"/>
      <c r="W37" s="297"/>
      <c r="X37" s="297"/>
      <c r="Y37" s="297"/>
      <c r="Z37" s="296"/>
      <c r="AA37" s="296"/>
    </row>
    <row r="38" spans="1:56" ht="15.75" thickBot="1">
      <c r="B38" s="498"/>
      <c r="C38" s="350"/>
      <c r="D38" s="519"/>
      <c r="E38" s="502"/>
      <c r="F38" s="294"/>
      <c r="G38" s="42"/>
      <c r="H38" s="41"/>
      <c r="I38" s="42"/>
      <c r="J38" s="42"/>
      <c r="K38" s="351"/>
      <c r="L38" s="348"/>
      <c r="M38" s="348"/>
      <c r="N38" s="11"/>
      <c r="O38" s="294"/>
      <c r="P38" s="12"/>
      <c r="R38" s="277"/>
      <c r="S38" s="296"/>
      <c r="T38" s="296"/>
      <c r="U38" s="297"/>
      <c r="V38" s="297"/>
      <c r="W38" s="297"/>
      <c r="X38" s="297"/>
      <c r="Y38" s="297"/>
      <c r="Z38" s="296"/>
      <c r="AA38" s="296"/>
    </row>
    <row r="39" spans="1:56" ht="15.75" thickBot="1">
      <c r="B39" s="552"/>
      <c r="C39" s="362"/>
      <c r="D39" s="499"/>
      <c r="E39" s="500"/>
      <c r="F39" s="294"/>
      <c r="G39" s="42"/>
      <c r="H39" s="41"/>
      <c r="I39" s="42"/>
      <c r="J39" s="553" t="s">
        <v>129</v>
      </c>
      <c r="K39" s="553"/>
      <c r="L39" s="294"/>
      <c r="M39" s="294"/>
      <c r="N39" s="294"/>
      <c r="O39" s="294"/>
      <c r="P39" s="12"/>
    </row>
    <row r="40" spans="1:56" ht="15.75" thickBot="1">
      <c r="B40" s="516"/>
      <c r="C40" s="362"/>
      <c r="D40" s="501"/>
      <c r="E40" s="502"/>
      <c r="F40" s="294"/>
      <c r="G40" s="42"/>
      <c r="H40" s="41"/>
      <c r="I40" s="42"/>
      <c r="J40" s="292" t="s">
        <v>17</v>
      </c>
      <c r="K40" s="293" t="s">
        <v>147</v>
      </c>
      <c r="L40" s="504" t="s">
        <v>136</v>
      </c>
      <c r="M40" s="504"/>
      <c r="N40" s="505"/>
      <c r="O40" s="294"/>
      <c r="P40" s="12"/>
    </row>
    <row r="41" spans="1:56" ht="15" customHeight="1" thickBot="1">
      <c r="B41" s="516"/>
      <c r="C41" s="349"/>
      <c r="D41" s="554"/>
      <c r="E41" s="555"/>
      <c r="F41" s="294"/>
      <c r="G41" s="42"/>
      <c r="H41" s="41"/>
      <c r="I41" s="42"/>
      <c r="J41" s="287" t="s">
        <v>6</v>
      </c>
      <c r="K41" s="324"/>
      <c r="L41" s="343" t="s">
        <v>37</v>
      </c>
      <c r="M41" s="307" t="s">
        <v>38</v>
      </c>
      <c r="N41" s="307" t="s">
        <v>84</v>
      </c>
      <c r="O41" s="294"/>
      <c r="P41" s="12"/>
    </row>
    <row r="42" spans="1:56" ht="15.75" customHeight="1" thickBot="1">
      <c r="B42" s="516"/>
      <c r="C42" s="349"/>
      <c r="D42" s="501"/>
      <c r="E42" s="502"/>
      <c r="F42" s="294"/>
      <c r="G42" s="42"/>
      <c r="H42" s="41"/>
      <c r="I42" s="42"/>
      <c r="J42" s="345" t="s">
        <v>9</v>
      </c>
      <c r="K42" s="324"/>
      <c r="L42" s="344">
        <f>AVERAGE('Sept 1st'!K48,'Sept 2nd'!K46,'Sept 3rd'!K47,'Sept 4th'!K56,'Sept 5th '!K44,'Sept 8th'!K46,'Sept 9th'!K46,'Sept 10th'!K54,'Sept 11th'!K48,'Sept 15th '!K38,'Sept 16th'!K39,'Sept 17th'!K43,'Sept 18th '!K41,'Sept 19th'!K44,'Sept 22nd'!K46,,'Sept 23rd'!K57,'Sept 24th'!K52,K51)</f>
        <v>4.833333333333333</v>
      </c>
      <c r="M42" s="325">
        <f>AVERAGE('[31]Jan 29th '!$M$70,'[32]Feb 28th'!$L$40,'[33]Mar. 31st'!$L$40,'[34]Apr. 30th'!$L$50,'[35]May 30th'!$L$42,'[36]June 30th'!$L$62,'[37]July 29th '!$L$49,'[38]Aug 29th'!$L$34,L42)</f>
        <v>6.7184488534602949</v>
      </c>
      <c r="N42" s="416">
        <v>9.1999999999999993</v>
      </c>
      <c r="O42" s="294"/>
      <c r="P42" s="12"/>
    </row>
    <row r="43" spans="1:56" ht="15" customHeight="1">
      <c r="B43" s="516"/>
      <c r="C43" s="349"/>
      <c r="D43" s="554"/>
      <c r="E43" s="555"/>
      <c r="F43" s="294"/>
      <c r="G43" s="42"/>
      <c r="H43" s="41"/>
      <c r="I43" s="42"/>
      <c r="J43" s="288" t="s">
        <v>40</v>
      </c>
      <c r="K43" s="324">
        <v>4</v>
      </c>
      <c r="L43" s="294"/>
      <c r="M43" s="294"/>
      <c r="N43" s="294"/>
      <c r="O43" s="294"/>
      <c r="P43" s="12"/>
    </row>
    <row r="44" spans="1:56" ht="15" customHeight="1">
      <c r="B44" s="516"/>
      <c r="C44" s="349"/>
      <c r="D44" s="501"/>
      <c r="E44" s="502"/>
      <c r="F44" s="294"/>
      <c r="G44" s="42"/>
      <c r="H44" s="41"/>
      <c r="I44" s="42"/>
      <c r="J44" s="289" t="s">
        <v>33</v>
      </c>
      <c r="K44" s="324"/>
      <c r="L44" s="294"/>
      <c r="M44" s="294"/>
      <c r="N44" s="294"/>
      <c r="O44" s="294"/>
      <c r="P44" s="12"/>
    </row>
    <row r="45" spans="1:56" ht="15">
      <c r="B45" s="516"/>
      <c r="C45" s="349"/>
      <c r="D45" s="554"/>
      <c r="E45" s="555"/>
      <c r="F45" s="294"/>
      <c r="G45" s="42"/>
      <c r="H45" s="41"/>
      <c r="I45" s="42"/>
      <c r="J45" s="290" t="s">
        <v>16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16"/>
      <c r="C46" s="349"/>
      <c r="D46" s="501"/>
      <c r="E46" s="502"/>
      <c r="F46" s="294"/>
      <c r="G46" s="42"/>
      <c r="H46" s="41"/>
      <c r="I46" s="42"/>
      <c r="J46" s="291" t="s">
        <v>15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16"/>
      <c r="C47" s="349"/>
      <c r="D47" s="554"/>
      <c r="E47" s="555"/>
      <c r="F47" s="294"/>
      <c r="G47" s="42"/>
      <c r="H47" s="41"/>
      <c r="I47" s="42"/>
      <c r="J47" s="291" t="s">
        <v>149</v>
      </c>
      <c r="K47" s="324"/>
      <c r="L47" s="294"/>
      <c r="M47" s="294"/>
      <c r="N47" s="294"/>
      <c r="O47" s="294"/>
      <c r="P47" s="12"/>
      <c r="BC47" s="44"/>
      <c r="BD47" s="44"/>
    </row>
    <row r="48" spans="1:56" ht="15.75" thickBot="1">
      <c r="B48" s="517"/>
      <c r="C48" s="350"/>
      <c r="D48" s="556"/>
      <c r="E48" s="557"/>
      <c r="F48" s="294"/>
      <c r="G48" s="42"/>
      <c r="H48" s="41"/>
      <c r="I48" s="42"/>
      <c r="J48" s="291" t="s">
        <v>148</v>
      </c>
      <c r="K48" s="324"/>
      <c r="L48" s="294"/>
      <c r="M48" s="294"/>
      <c r="N48" s="294"/>
      <c r="O48" s="294"/>
      <c r="P48" s="12"/>
      <c r="BC48" s="44"/>
      <c r="BD48" s="44"/>
    </row>
    <row r="49" spans="2:57" ht="17.649999999999999" customHeight="1" thickBot="1">
      <c r="B49" s="312" t="s">
        <v>139</v>
      </c>
      <c r="C49" s="313"/>
      <c r="D49" s="550">
        <f>AVERAGE(D27:E48)</f>
        <v>11.852500000000001</v>
      </c>
      <c r="E49" s="551"/>
      <c r="F49" s="294"/>
      <c r="H49" s="41"/>
      <c r="I49" s="42"/>
      <c r="J49" s="295" t="s">
        <v>134</v>
      </c>
      <c r="K49" s="324"/>
      <c r="L49" s="294"/>
      <c r="M49" s="294"/>
      <c r="N49" s="294"/>
      <c r="O49" s="294"/>
      <c r="P49" s="12"/>
      <c r="BC49" s="44"/>
      <c r="BD49" s="44"/>
    </row>
    <row r="50" spans="2:57" ht="17.649999999999999" customHeight="1">
      <c r="B50" s="363"/>
      <c r="C50" s="364"/>
      <c r="D50" s="365"/>
      <c r="E50" s="365"/>
      <c r="F50" s="294"/>
      <c r="G50" s="42"/>
      <c r="H50" s="41"/>
      <c r="I50" s="42"/>
      <c r="J50" s="295" t="s">
        <v>131</v>
      </c>
      <c r="K50" s="324"/>
      <c r="L50" s="294"/>
      <c r="M50" s="294"/>
      <c r="N50" s="294"/>
      <c r="O50" s="294"/>
      <c r="P50" s="12"/>
      <c r="BC50" s="44"/>
      <c r="BD50" s="44"/>
    </row>
    <row r="51" spans="2:57" ht="15.6" customHeight="1">
      <c r="B51" s="45"/>
      <c r="C51" s="11"/>
      <c r="D51" s="11"/>
      <c r="E51" s="46"/>
      <c r="F51" s="294"/>
      <c r="G51" s="42"/>
      <c r="H51" s="41"/>
      <c r="I51" s="42"/>
      <c r="J51" s="346" t="s">
        <v>130</v>
      </c>
      <c r="K51" s="324">
        <f>SUM(K41:K50)</f>
        <v>4</v>
      </c>
      <c r="L51" s="294"/>
      <c r="M51" s="294"/>
      <c r="N51" s="294"/>
      <c r="O51" s="294"/>
      <c r="P51" s="12"/>
    </row>
    <row r="52" spans="2:57" ht="20.25" customHeight="1">
      <c r="B52" s="15" t="s">
        <v>42</v>
      </c>
      <c r="C52" s="1" t="s">
        <v>43</v>
      </c>
      <c r="D52" s="1"/>
      <c r="E52" s="1"/>
      <c r="F52" s="294"/>
      <c r="G52" s="42"/>
      <c r="H52" s="41"/>
      <c r="I52" s="42"/>
      <c r="L52" s="294"/>
      <c r="N52" s="315"/>
      <c r="P52" s="334"/>
    </row>
    <row r="53" spans="2:57" ht="15" customHeight="1" thickBot="1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1"/>
      <c r="O53" s="48"/>
      <c r="P53" s="49"/>
    </row>
    <row r="54" spans="2:57" ht="15" customHeight="1" thickBot="1">
      <c r="B54" s="480" t="s">
        <v>17</v>
      </c>
      <c r="C54" s="480" t="s">
        <v>44</v>
      </c>
      <c r="D54" s="492" t="s">
        <v>45</v>
      </c>
      <c r="E54" s="494" t="s">
        <v>46</v>
      </c>
      <c r="F54" s="488" t="s">
        <v>47</v>
      </c>
      <c r="G54" s="478" t="s">
        <v>48</v>
      </c>
      <c r="H54" s="480" t="s">
        <v>49</v>
      </c>
      <c r="I54" s="480" t="s">
        <v>50</v>
      </c>
      <c r="J54" s="472" t="s">
        <v>28</v>
      </c>
      <c r="K54" s="484" t="s">
        <v>51</v>
      </c>
      <c r="L54" s="486" t="s">
        <v>52</v>
      </c>
      <c r="M54" s="472" t="s">
        <v>53</v>
      </c>
      <c r="N54" s="13"/>
      <c r="O54" s="13"/>
      <c r="P54" s="50"/>
    </row>
    <row r="55" spans="2:57" ht="28.5" customHeight="1" thickTop="1" thickBot="1">
      <c r="B55" s="481"/>
      <c r="C55" s="481"/>
      <c r="D55" s="493"/>
      <c r="E55" s="495"/>
      <c r="F55" s="489"/>
      <c r="G55" s="479"/>
      <c r="H55" s="549"/>
      <c r="I55" s="549"/>
      <c r="J55" s="473"/>
      <c r="K55" s="485"/>
      <c r="L55" s="487"/>
      <c r="M55" s="473"/>
      <c r="N55" s="13"/>
      <c r="O55" s="13"/>
      <c r="P55" s="50"/>
      <c r="Q55" s="355"/>
      <c r="AB55" s="51">
        <v>43474</v>
      </c>
      <c r="AC55" s="51">
        <v>43475</v>
      </c>
      <c r="AD55" s="51">
        <v>43476</v>
      </c>
      <c r="AE55" s="51">
        <v>43477</v>
      </c>
      <c r="AF55" s="51">
        <v>43478</v>
      </c>
      <c r="AG55" s="51">
        <v>43479</v>
      </c>
      <c r="AH55" s="51">
        <v>43480</v>
      </c>
      <c r="AI55" s="51">
        <v>43481</v>
      </c>
      <c r="AJ55" s="51">
        <v>43482</v>
      </c>
      <c r="AK55" s="51">
        <v>43483</v>
      </c>
      <c r="AL55" s="51">
        <v>43484</v>
      </c>
      <c r="AM55" s="51">
        <v>43485</v>
      </c>
      <c r="AN55" s="51">
        <v>43486</v>
      </c>
      <c r="AO55" s="51">
        <v>43487</v>
      </c>
      <c r="AP55" s="51">
        <v>43488</v>
      </c>
      <c r="AQ55" s="51">
        <v>43489</v>
      </c>
      <c r="AR55" s="51">
        <v>43490</v>
      </c>
      <c r="AS55" s="51">
        <v>43491</v>
      </c>
      <c r="AT55" s="51">
        <v>43492</v>
      </c>
      <c r="AU55" s="51">
        <v>43493</v>
      </c>
      <c r="AV55" s="51">
        <v>43494</v>
      </c>
      <c r="AW55" s="51">
        <v>43495</v>
      </c>
      <c r="AX55" s="51">
        <v>43496</v>
      </c>
    </row>
    <row r="56" spans="2:57" s="54" customFormat="1" ht="59.45" customHeight="1" thickBot="1">
      <c r="B56" s="387" t="str">
        <f>I27</f>
        <v>CARIB</v>
      </c>
      <c r="C56" s="442">
        <v>45926</v>
      </c>
      <c r="D56" s="443">
        <f>[39]September_2025!$AC$3</f>
        <v>413.5</v>
      </c>
      <c r="E56" s="444"/>
      <c r="F56" s="445"/>
      <c r="G56" s="446">
        <f>[39]September_2025!$AC$7</f>
        <v>394.5</v>
      </c>
      <c r="H56" s="470"/>
      <c r="I56" s="470"/>
      <c r="J56" s="449" t="s">
        <v>189</v>
      </c>
      <c r="K56" s="450">
        <f>[40]September_2025!$AC$18</f>
        <v>0.69210526315789478</v>
      </c>
      <c r="L56" s="471">
        <f>(((D56+E56)-G56)/(D56+E56))*100</f>
        <v>4.5949214026602174</v>
      </c>
      <c r="M56" s="457" t="s">
        <v>182</v>
      </c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[20]January_2019!L7</f>
        <v>285.8</v>
      </c>
      <c r="AC56" s="57">
        <f>[20]January_2019!M7</f>
        <v>508.1</v>
      </c>
      <c r="AD56" s="57">
        <f>[20]January_2019!N7</f>
        <v>0</v>
      </c>
      <c r="AE56" s="57">
        <f>[20]January_2019!O7</f>
        <v>0</v>
      </c>
      <c r="AF56" s="57">
        <f>[20]January_2019!P7</f>
        <v>109.56666666666666</v>
      </c>
      <c r="AG56" s="57">
        <f>[20]January_2019!Q7</f>
        <v>297.64999999999998</v>
      </c>
      <c r="AH56" s="57">
        <f>[20]January_2019!R7</f>
        <v>122.3</v>
      </c>
      <c r="AI56" s="57">
        <f>[20]January_2019!S7</f>
        <v>0</v>
      </c>
      <c r="AJ56" s="57">
        <f>[20]January_2019!T7</f>
        <v>294.7</v>
      </c>
      <c r="AK56" s="57">
        <f>[20]January_2019!U7</f>
        <v>280.5</v>
      </c>
      <c r="AL56" s="57">
        <f>[20]January_2019!V7</f>
        <v>0</v>
      </c>
      <c r="AM56" s="57">
        <f>[20]January_2019!W7</f>
        <v>0</v>
      </c>
      <c r="AN56" s="57">
        <f>[20]January_2019!X7</f>
        <v>188.25</v>
      </c>
      <c r="AO56" s="57">
        <f>[20]January_2019!Y7</f>
        <v>295.7</v>
      </c>
      <c r="AP56" s="57">
        <f>[20]January_2019!Z7</f>
        <v>257.8</v>
      </c>
      <c r="AQ56" s="57">
        <f>[20]January_2019!AA7</f>
        <v>291.2</v>
      </c>
      <c r="AR56" s="57">
        <f>[20]January_2019!AB7</f>
        <v>187</v>
      </c>
      <c r="AS56" s="57">
        <f>[20]January_2019!AC7</f>
        <v>0</v>
      </c>
      <c r="AT56" s="57">
        <f>[20]January_2019!AD7</f>
        <v>0</v>
      </c>
      <c r="AU56" s="57">
        <f>[20]January_2019!AE7</f>
        <v>485.1</v>
      </c>
      <c r="AV56" s="57">
        <f>[20]January_2019!AF7</f>
        <v>171.55</v>
      </c>
      <c r="AW56" s="57">
        <f>[20]January_2019!AG7</f>
        <v>423.8</v>
      </c>
      <c r="AX56" s="277">
        <f>[20]January_2019!AH7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20.45" hidden="1" customHeight="1" thickBot="1">
      <c r="B57" s="459"/>
      <c r="C57" s="431"/>
      <c r="D57" s="432"/>
      <c r="E57" s="433"/>
      <c r="F57" s="434"/>
      <c r="G57" s="435"/>
      <c r="H57" s="429"/>
      <c r="I57" s="429"/>
      <c r="J57" s="452"/>
      <c r="K57" s="437"/>
      <c r="L57" s="453"/>
      <c r="M57" s="422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59.45" hidden="1" customHeight="1" thickBot="1">
      <c r="B58" s="460"/>
      <c r="C58" s="442"/>
      <c r="D58" s="443"/>
      <c r="E58" s="444"/>
      <c r="F58" s="445"/>
      <c r="G58" s="446"/>
      <c r="H58" s="429"/>
      <c r="I58" s="429"/>
      <c r="J58" s="449"/>
      <c r="K58" s="450"/>
      <c r="L58" s="458"/>
      <c r="M58" s="457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5" hidden="1">
      <c r="B59" s="454"/>
      <c r="C59" s="431"/>
      <c r="D59" s="432"/>
      <c r="E59" s="433"/>
      <c r="F59" s="434"/>
      <c r="G59" s="435"/>
      <c r="H59" s="436"/>
      <c r="I59" s="451"/>
      <c r="J59" s="452"/>
      <c r="K59" s="437"/>
      <c r="L59" s="453"/>
      <c r="M59" s="422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6.6" hidden="1" customHeight="1" thickBot="1">
      <c r="B60" s="387"/>
      <c r="C60" s="442"/>
      <c r="D60" s="443"/>
      <c r="E60" s="444"/>
      <c r="F60" s="445"/>
      <c r="G60" s="446"/>
      <c r="H60" s="447"/>
      <c r="I60" s="448"/>
      <c r="J60" s="449"/>
      <c r="K60" s="450"/>
      <c r="L60" s="455" t="e">
        <f>(((D60+E60)-G60)/(D60+E60))*100</f>
        <v>#DIV/0!</v>
      </c>
      <c r="M60" s="456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6.5" hidden="1" customHeight="1" thickBot="1">
      <c r="B61" s="438"/>
      <c r="C61" s="424"/>
      <c r="D61" s="425"/>
      <c r="E61" s="426"/>
      <c r="F61" s="427"/>
      <c r="G61" s="428"/>
      <c r="H61" s="429"/>
      <c r="I61" s="439"/>
      <c r="J61" s="440"/>
      <c r="K61" s="430"/>
      <c r="L61" s="441"/>
      <c r="M61" s="423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415"/>
      <c r="AC61" s="415"/>
      <c r="AD61" s="415"/>
      <c r="AE61" s="415"/>
      <c r="AF61" s="415"/>
      <c r="AG61" s="415"/>
      <c r="AH61" s="415"/>
      <c r="AI61" s="415"/>
      <c r="AJ61" s="415"/>
      <c r="AK61" s="415"/>
      <c r="AL61" s="415"/>
      <c r="AM61" s="415"/>
      <c r="AN61" s="415"/>
      <c r="AO61" s="415"/>
      <c r="AP61" s="415"/>
      <c r="AQ61" s="415"/>
      <c r="AR61" s="415"/>
      <c r="AS61" s="415"/>
      <c r="AT61" s="415"/>
      <c r="AU61" s="415"/>
      <c r="AV61" s="415"/>
      <c r="AW61" s="415"/>
    </row>
    <row r="62" spans="2:57" ht="18" customHeight="1" thickBot="1">
      <c r="B62" s="59"/>
      <c r="C62" s="30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 t="s">
        <v>41</v>
      </c>
      <c r="O62" s="56"/>
      <c r="P62" s="60"/>
    </row>
    <row r="63" spans="2:57" ht="15.75" thickBot="1">
      <c r="B63" s="474" t="s">
        <v>55</v>
      </c>
      <c r="C63" s="475"/>
      <c r="D63" s="475"/>
      <c r="E63" s="475"/>
      <c r="F63" s="476"/>
      <c r="G63" s="474" t="s">
        <v>56</v>
      </c>
      <c r="H63" s="475"/>
      <c r="I63" s="475"/>
      <c r="J63" s="476"/>
      <c r="K63" s="474" t="s">
        <v>51</v>
      </c>
      <c r="L63" s="475"/>
      <c r="M63" s="475"/>
      <c r="N63" s="477"/>
      <c r="O63" s="56"/>
      <c r="P63" s="50"/>
    </row>
    <row r="64" spans="2:57" ht="15">
      <c r="B64" s="61" t="s">
        <v>17</v>
      </c>
      <c r="C64" s="62" t="s">
        <v>36</v>
      </c>
      <c r="D64" s="62" t="s">
        <v>37</v>
      </c>
      <c r="E64" s="62" t="s">
        <v>38</v>
      </c>
      <c r="F64" s="63" t="s">
        <v>39</v>
      </c>
      <c r="G64" s="62" t="s">
        <v>36</v>
      </c>
      <c r="H64" s="62" t="s">
        <v>37</v>
      </c>
      <c r="I64" s="62" t="s">
        <v>38</v>
      </c>
      <c r="J64" s="63" t="s">
        <v>39</v>
      </c>
      <c r="K64" s="62" t="s">
        <v>36</v>
      </c>
      <c r="L64" s="62" t="s">
        <v>37</v>
      </c>
      <c r="M64" s="62" t="s">
        <v>38</v>
      </c>
      <c r="N64" s="63" t="s">
        <v>39</v>
      </c>
      <c r="O64" s="56"/>
      <c r="P64" s="64"/>
    </row>
    <row r="65" spans="2:16" ht="15">
      <c r="B65" s="29" t="s">
        <v>6</v>
      </c>
      <c r="C65" s="65">
        <f>L56</f>
        <v>4.5949214026602174</v>
      </c>
      <c r="D65" s="76">
        <v>5.5747692448638091</v>
      </c>
      <c r="E65" s="76">
        <v>6.2422655045435054</v>
      </c>
      <c r="F65" s="66">
        <v>4.8</v>
      </c>
      <c r="G65" s="65">
        <f>[39]September_2025!$AC$11</f>
        <v>3.1163761389167903</v>
      </c>
      <c r="H65" s="76">
        <v>5.8256772849763934</v>
      </c>
      <c r="I65" s="76">
        <v>6.2355368379164196</v>
      </c>
      <c r="J65" s="66">
        <v>4.8</v>
      </c>
      <c r="K65" s="67">
        <f>K56</f>
        <v>0.69210526315789478</v>
      </c>
      <c r="L65" s="194">
        <v>0.7211777777777777</v>
      </c>
      <c r="M65" s="194">
        <v>0.76862909709990124</v>
      </c>
      <c r="N65" s="68">
        <v>1</v>
      </c>
      <c r="O65" s="56"/>
      <c r="P65" s="69"/>
    </row>
    <row r="66" spans="2:16" ht="15">
      <c r="B66" s="33" t="s">
        <v>9</v>
      </c>
      <c r="C66" s="65"/>
      <c r="D66" s="76">
        <v>6.4421833717466042</v>
      </c>
      <c r="E66" s="76">
        <v>5.9960377561379312</v>
      </c>
      <c r="F66" s="66">
        <v>4.8</v>
      </c>
      <c r="G66" s="65"/>
      <c r="H66" s="76">
        <v>7.1293852901923529</v>
      </c>
      <c r="I66" s="76">
        <v>5.6513680702551383</v>
      </c>
      <c r="J66" s="66">
        <v>4.8</v>
      </c>
      <c r="K66" s="67"/>
      <c r="L66" s="194">
        <v>0.48873918128654975</v>
      </c>
      <c r="M66" s="194">
        <v>0.71648808642913986</v>
      </c>
      <c r="N66" s="68">
        <v>1</v>
      </c>
      <c r="P66" s="69"/>
    </row>
    <row r="67" spans="2:16" ht="15">
      <c r="B67" s="34" t="s">
        <v>40</v>
      </c>
      <c r="C67" s="65"/>
      <c r="D67" s="76">
        <v>10.092614580859641</v>
      </c>
      <c r="E67" s="76">
        <v>11.635872449225705</v>
      </c>
      <c r="F67" s="66">
        <v>5.5</v>
      </c>
      <c r="G67" s="65"/>
      <c r="H67" s="76">
        <v>10.729570603848533</v>
      </c>
      <c r="I67" s="76">
        <v>12.731353927784783</v>
      </c>
      <c r="J67" s="66">
        <v>5.5</v>
      </c>
      <c r="K67" s="67"/>
      <c r="L67" s="194">
        <v>0.49929824561403513</v>
      </c>
      <c r="M67" s="194">
        <v>0.53494558457711439</v>
      </c>
      <c r="N67" s="68">
        <v>1</v>
      </c>
      <c r="P67" s="69"/>
    </row>
    <row r="68" spans="2:16" ht="15">
      <c r="B68" s="22" t="s">
        <v>33</v>
      </c>
      <c r="C68" s="65"/>
      <c r="D68" s="76">
        <v>2.7693089430894253</v>
      </c>
      <c r="E68" s="76">
        <v>4.8132587912269527</v>
      </c>
      <c r="F68" s="66">
        <v>3.3</v>
      </c>
      <c r="G68" s="65"/>
      <c r="H68" s="76">
        <v>2.091599363557624</v>
      </c>
      <c r="I68" s="76">
        <v>4.4772094679692334</v>
      </c>
      <c r="J68" s="66">
        <v>3.3</v>
      </c>
      <c r="K68" s="67"/>
      <c r="L68" s="194">
        <v>0.67140350877192978</v>
      </c>
      <c r="M68" s="194">
        <v>0.80025950292397652</v>
      </c>
      <c r="N68" s="68">
        <v>1</v>
      </c>
      <c r="P68" s="69"/>
    </row>
    <row r="69" spans="2:16" ht="15">
      <c r="B69" s="35" t="s">
        <v>165</v>
      </c>
      <c r="C69" s="65"/>
      <c r="D69" s="76"/>
      <c r="E69" s="76">
        <v>7.837301587301579</v>
      </c>
      <c r="F69" s="66">
        <v>3.3</v>
      </c>
      <c r="G69" s="282"/>
      <c r="H69" s="76"/>
      <c r="I69" s="76">
        <v>5.3377569154690221</v>
      </c>
      <c r="J69" s="66">
        <v>3</v>
      </c>
      <c r="K69" s="67"/>
      <c r="L69" s="194"/>
      <c r="M69" s="194">
        <v>0.32596491228070179</v>
      </c>
      <c r="N69" s="68">
        <v>1</v>
      </c>
      <c r="P69" s="69"/>
    </row>
    <row r="70" spans="2:16" ht="15">
      <c r="B70" s="36" t="s">
        <v>15</v>
      </c>
      <c r="C70" s="65"/>
      <c r="D70" s="76">
        <v>6.8083051665862007</v>
      </c>
      <c r="E70" s="76">
        <v>7.145714971593196</v>
      </c>
      <c r="F70" s="70">
        <f>[21]May_2022!$M$43</f>
        <v>3.4878406700073312</v>
      </c>
      <c r="G70" s="282"/>
      <c r="H70" s="76">
        <v>9.158428682230376</v>
      </c>
      <c r="I70" s="76">
        <v>8.7314771031579212</v>
      </c>
      <c r="J70" s="66">
        <v>5.5</v>
      </c>
      <c r="K70" s="67"/>
      <c r="L70" s="194">
        <v>1.3543859649122807</v>
      </c>
      <c r="M70" s="194">
        <v>0.73160818713450293</v>
      </c>
      <c r="N70" s="68">
        <v>1</v>
      </c>
      <c r="P70" s="69"/>
    </row>
    <row r="71" spans="2:16" ht="15">
      <c r="B71" s="37" t="s">
        <v>16</v>
      </c>
      <c r="C71" s="65"/>
      <c r="D71" s="76">
        <v>3.3629594042757489</v>
      </c>
      <c r="E71" s="76">
        <v>3.0382638492290015</v>
      </c>
      <c r="F71" s="66">
        <v>3.3</v>
      </c>
      <c r="G71" s="282"/>
      <c r="H71" s="76">
        <v>4.3098656267706001</v>
      </c>
      <c r="I71" s="76">
        <v>4.4758841279290129</v>
      </c>
      <c r="J71" s="66">
        <v>3.3</v>
      </c>
      <c r="K71" s="67"/>
      <c r="L71" s="194">
        <v>1.411578947368421</v>
      </c>
      <c r="M71" s="194">
        <v>0.85680449208779996</v>
      </c>
      <c r="N71" s="71">
        <v>1</v>
      </c>
      <c r="P71" s="69"/>
    </row>
    <row r="72" spans="2:16" ht="15.75" thickBot="1">
      <c r="B72" s="38" t="s">
        <v>164</v>
      </c>
      <c r="C72" s="65"/>
      <c r="D72" s="76"/>
      <c r="E72" s="76">
        <v>11.483253588516746</v>
      </c>
      <c r="F72" s="66">
        <v>7.5</v>
      </c>
      <c r="G72" s="282"/>
      <c r="H72" s="76"/>
      <c r="I72" s="76">
        <v>9.7934336121043764</v>
      </c>
      <c r="J72" s="66">
        <v>7.5</v>
      </c>
      <c r="K72" s="67"/>
      <c r="M72" s="194">
        <v>0.32456140350877194</v>
      </c>
      <c r="N72" s="71">
        <v>1</v>
      </c>
      <c r="P72" s="69"/>
    </row>
    <row r="73" spans="2:16" ht="15.75" thickBot="1">
      <c r="B73" s="414" t="s">
        <v>161</v>
      </c>
      <c r="C73" s="65"/>
      <c r="D73" s="76"/>
      <c r="E73" s="76">
        <v>7.2653644592663174</v>
      </c>
      <c r="F73" s="66">
        <v>4.8</v>
      </c>
      <c r="G73" s="282"/>
      <c r="H73" s="76"/>
      <c r="I73" s="76">
        <v>8.1715311054411259</v>
      </c>
      <c r="J73" s="66">
        <v>4.8</v>
      </c>
      <c r="K73" s="67"/>
      <c r="L73" s="194"/>
      <c r="M73" s="194">
        <v>0.51368421052631585</v>
      </c>
      <c r="N73" s="71">
        <v>1</v>
      </c>
      <c r="O73" s="74"/>
      <c r="P73" s="75"/>
    </row>
    <row r="74" spans="2:16" ht="15">
      <c r="D74" s="76">
        <v>5.8227003157813586</v>
      </c>
      <c r="E74" s="76">
        <v>6.3259576208215522</v>
      </c>
      <c r="F74" s="341">
        <v>5.5</v>
      </c>
      <c r="H74" s="76">
        <v>6.3170243061825362</v>
      </c>
      <c r="I74" s="76">
        <v>6.5645029314164933</v>
      </c>
      <c r="J74" s="341">
        <v>5.5</v>
      </c>
      <c r="L74" s="194">
        <v>0.7029924812030075</v>
      </c>
      <c r="M74" s="194">
        <v>0.7314042642642643</v>
      </c>
      <c r="N74" s="386">
        <v>1</v>
      </c>
    </row>
    <row r="78" spans="2:16">
      <c r="F78" s="315"/>
    </row>
    <row r="79" spans="2:16" ht="15">
      <c r="F79" s="341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5:N25"/>
    <mergeCell ref="D26:E26"/>
    <mergeCell ref="B27:B38"/>
    <mergeCell ref="D27:E28"/>
    <mergeCell ref="D29:E30"/>
    <mergeCell ref="D31:E32"/>
    <mergeCell ref="D33:E34"/>
    <mergeCell ref="D35:E36"/>
    <mergeCell ref="D37:E38"/>
    <mergeCell ref="B39:B48"/>
    <mergeCell ref="D39:E40"/>
    <mergeCell ref="J39:K39"/>
    <mergeCell ref="L40:N40"/>
    <mergeCell ref="D41:E42"/>
    <mergeCell ref="D43:E44"/>
    <mergeCell ref="D45:E46"/>
    <mergeCell ref="D47:E48"/>
    <mergeCell ref="D49:E49"/>
    <mergeCell ref="B54:B55"/>
    <mergeCell ref="C54:C55"/>
    <mergeCell ref="D54:D55"/>
    <mergeCell ref="E54:E55"/>
    <mergeCell ref="M54:M55"/>
    <mergeCell ref="B63:F63"/>
    <mergeCell ref="G63:J63"/>
    <mergeCell ref="K63:N63"/>
    <mergeCell ref="G54:G55"/>
    <mergeCell ref="H54:H55"/>
    <mergeCell ref="I54:I55"/>
    <mergeCell ref="J54:J55"/>
    <mergeCell ref="K54:K55"/>
    <mergeCell ref="L54:L55"/>
    <mergeCell ref="F54:F55"/>
  </mergeCells>
  <conditionalFormatting sqref="B49:B50">
    <cfRule type="cellIs" dxfId="497" priority="141" operator="notBetween">
      <formula>#REF!</formula>
      <formula>#REF!</formula>
    </cfRule>
  </conditionalFormatting>
  <conditionalFormatting sqref="C53">
    <cfRule type="cellIs" dxfId="496" priority="173" stopIfTrue="1" operator="greaterThan">
      <formula>100</formula>
    </cfRule>
    <cfRule type="cellIs" dxfId="495" priority="172" stopIfTrue="1" operator="lessThan">
      <formula>96</formula>
    </cfRule>
  </conditionalFormatting>
  <conditionalFormatting sqref="C65:C69">
    <cfRule type="cellIs" dxfId="494" priority="122" stopIfTrue="1" operator="lessThanOrEqual">
      <formula>0</formula>
    </cfRule>
  </conditionalFormatting>
  <conditionalFormatting sqref="C65:C73">
    <cfRule type="cellIs" dxfId="493" priority="121" stopIfTrue="1" operator="greaterThan">
      <formula>$F65</formula>
    </cfRule>
  </conditionalFormatting>
  <conditionalFormatting sqref="C66">
    <cfRule type="cellIs" dxfId="492" priority="176" stopIfTrue="1" operator="greaterThan">
      <formula>$F65</formula>
    </cfRule>
  </conditionalFormatting>
  <conditionalFormatting sqref="C70">
    <cfRule type="cellIs" dxfId="491" priority="59" stopIfTrue="1" operator="lessThanOrEqual">
      <formula>0</formula>
    </cfRule>
    <cfRule type="cellIs" dxfId="490" priority="60" stopIfTrue="1" operator="greaterThan">
      <formula>$F69</formula>
    </cfRule>
  </conditionalFormatting>
  <conditionalFormatting sqref="C76:C80">
    <cfRule type="cellIs" dxfId="489" priority="164" stopIfTrue="1" operator="lessThanOrEqual">
      <formula>0</formula>
    </cfRule>
  </conditionalFormatting>
  <conditionalFormatting sqref="C77:C80">
    <cfRule type="cellIs" dxfId="488" priority="163" stopIfTrue="1" operator="greaterThan">
      <formula>$F$76</formula>
    </cfRule>
  </conditionalFormatting>
  <conditionalFormatting sqref="C82">
    <cfRule type="cellIs" dxfId="487" priority="166" stopIfTrue="1" operator="lessThanOrEqual">
      <formula>0</formula>
    </cfRule>
    <cfRule type="cellIs" dxfId="486" priority="165" stopIfTrue="1" operator="greaterThan">
      <formula>$F$76</formula>
    </cfRule>
  </conditionalFormatting>
  <conditionalFormatting sqref="C76:D76 D78:D84">
    <cfRule type="cellIs" dxfId="485" priority="158" stopIfTrue="1" operator="greaterThan">
      <formula>4.5</formula>
    </cfRule>
  </conditionalFormatting>
  <conditionalFormatting sqref="D49:D50">
    <cfRule type="cellIs" dxfId="484" priority="142" operator="notBetween">
      <formula>#REF!</formula>
      <formula>#REF!</formula>
    </cfRule>
  </conditionalFormatting>
  <conditionalFormatting sqref="D65:D72">
    <cfRule type="cellIs" dxfId="483" priority="136" stopIfTrue="1" operator="lessThanOrEqual">
      <formula>0</formula>
    </cfRule>
  </conditionalFormatting>
  <conditionalFormatting sqref="D73">
    <cfRule type="cellIs" dxfId="482" priority="135" stopIfTrue="1" operator="lessThanOrEqual">
      <formula>0</formula>
    </cfRule>
  </conditionalFormatting>
  <conditionalFormatting sqref="D76 D78:D84">
    <cfRule type="cellIs" dxfId="481" priority="159" stopIfTrue="1" operator="lessThanOrEqual">
      <formula>0</formula>
    </cfRule>
  </conditionalFormatting>
  <conditionalFormatting sqref="D77">
    <cfRule type="cellIs" dxfId="480" priority="151" stopIfTrue="1" operator="lessThanOrEqual">
      <formula>0</formula>
    </cfRule>
    <cfRule type="cellIs" dxfId="479" priority="150" stopIfTrue="1" operator="greaterThan">
      <formula>$F$76</formula>
    </cfRule>
  </conditionalFormatting>
  <conditionalFormatting sqref="D65:E74">
    <cfRule type="cellIs" dxfId="478" priority="119" stopIfTrue="1" operator="greaterThan">
      <formula>$F65</formula>
    </cfRule>
  </conditionalFormatting>
  <conditionalFormatting sqref="D74:E74">
    <cfRule type="cellIs" dxfId="477" priority="120" stopIfTrue="1" operator="lessThanOrEqual">
      <formula>0</formula>
    </cfRule>
  </conditionalFormatting>
  <conditionalFormatting sqref="E10:E24">
    <cfRule type="cellIs" dxfId="476" priority="38" operator="lessThan">
      <formula>48</formula>
    </cfRule>
  </conditionalFormatting>
  <conditionalFormatting sqref="E52 E53:F53">
    <cfRule type="cellIs" dxfId="475" priority="155" stopIfTrue="1" operator="greaterThan">
      <formula>100</formula>
    </cfRule>
  </conditionalFormatting>
  <conditionalFormatting sqref="E53">
    <cfRule type="cellIs" dxfId="474" priority="153" stopIfTrue="1" operator="greaterThan">
      <formula>100</formula>
    </cfRule>
    <cfRule type="cellIs" dxfId="473" priority="152" stopIfTrue="1" operator="lessThan">
      <formula>96.8</formula>
    </cfRule>
  </conditionalFormatting>
  <conditionalFormatting sqref="E65:E73">
    <cfRule type="cellIs" dxfId="472" priority="130" stopIfTrue="1" operator="lessThanOrEqual">
      <formula>0</formula>
    </cfRule>
  </conditionalFormatting>
  <conditionalFormatting sqref="E76:E84">
    <cfRule type="cellIs" dxfId="471" priority="144" stopIfTrue="1" operator="greaterThan">
      <formula>4.5</formula>
    </cfRule>
    <cfRule type="cellIs" dxfId="470" priority="145" stopIfTrue="1" operator="lessThanOrEqual">
      <formula>0</formula>
    </cfRule>
  </conditionalFormatting>
  <conditionalFormatting sqref="E53:F53 E52">
    <cfRule type="cellIs" dxfId="469" priority="154" stopIfTrue="1" operator="lessThan">
      <formula>96.5</formula>
    </cfRule>
  </conditionalFormatting>
  <conditionalFormatting sqref="F10:F24">
    <cfRule type="cellIs" dxfId="468" priority="39" operator="greaterThan">
      <formula>60</formula>
    </cfRule>
  </conditionalFormatting>
  <conditionalFormatting sqref="F53">
    <cfRule type="cellIs" dxfId="467" priority="170" stopIfTrue="1" operator="lessThan">
      <formula>96.8</formula>
    </cfRule>
    <cfRule type="cellIs" dxfId="466" priority="171" stopIfTrue="1" operator="greaterThan">
      <formula>100</formula>
    </cfRule>
  </conditionalFormatting>
  <conditionalFormatting sqref="F74">
    <cfRule type="cellIs" dxfId="465" priority="132" stopIfTrue="1" operator="lessThanOrEqual">
      <formula>0</formula>
    </cfRule>
    <cfRule type="cellIs" dxfId="464" priority="131" stopIfTrue="1" operator="greaterThan">
      <formula>$F74</formula>
    </cfRule>
  </conditionalFormatting>
  <conditionalFormatting sqref="F79">
    <cfRule type="cellIs" dxfId="463" priority="90" stopIfTrue="1" operator="lessThanOrEqual">
      <formula>0</formula>
    </cfRule>
    <cfRule type="cellIs" dxfId="462" priority="89" stopIfTrue="1" operator="greaterThan">
      <formula>$F79</formula>
    </cfRule>
  </conditionalFormatting>
  <conditionalFormatting sqref="G10:G13 G19:G22">
    <cfRule type="expression" dxfId="461" priority="55">
      <formula>IF(+(IF(G10&lt;S10,0,IF(G10&gt;T10,0,1)))=0,1)</formula>
    </cfRule>
  </conditionalFormatting>
  <conditionalFormatting sqref="G65:G66 C71:C73">
    <cfRule type="cellIs" dxfId="460" priority="138" stopIfTrue="1" operator="lessThanOrEqual">
      <formula>0</formula>
    </cfRule>
  </conditionalFormatting>
  <conditionalFormatting sqref="G65:G66">
    <cfRule type="cellIs" dxfId="459" priority="137" stopIfTrue="1" operator="greaterThan">
      <formula>$F65</formula>
    </cfRule>
    <cfRule type="cellIs" dxfId="458" priority="123" stopIfTrue="1" operator="greaterThan">
      <formula>$F65</formula>
    </cfRule>
    <cfRule type="cellIs" dxfId="457" priority="124" stopIfTrue="1" operator="lessThanOrEqual">
      <formula>0</formula>
    </cfRule>
  </conditionalFormatting>
  <conditionalFormatting sqref="G67">
    <cfRule type="cellIs" dxfId="456" priority="175" stopIfTrue="1" operator="lessThanOrEqual">
      <formula>0</formula>
    </cfRule>
    <cfRule type="cellIs" dxfId="455" priority="174" stopIfTrue="1" operator="greaterThan">
      <formula>$F66</formula>
    </cfRule>
  </conditionalFormatting>
  <conditionalFormatting sqref="G68">
    <cfRule type="cellIs" dxfId="454" priority="134" stopIfTrue="1" operator="lessThanOrEqual">
      <formula>0</formula>
    </cfRule>
    <cfRule type="cellIs" dxfId="453" priority="133" stopIfTrue="1" operator="greaterThan">
      <formula>$F68</formula>
    </cfRule>
  </conditionalFormatting>
  <conditionalFormatting sqref="G69:G73">
    <cfRule type="cellIs" dxfId="452" priority="140" stopIfTrue="1" operator="lessThanOrEqual">
      <formula>0</formula>
    </cfRule>
    <cfRule type="cellIs" dxfId="451" priority="139" stopIfTrue="1" operator="greaterThan">
      <formula>$J69</formula>
    </cfRule>
  </conditionalFormatting>
  <conditionalFormatting sqref="G78:G83 C81 C83">
    <cfRule type="cellIs" dxfId="450" priority="167" stopIfTrue="1" operator="greaterThan">
      <formula>4.5</formula>
    </cfRule>
    <cfRule type="cellIs" dxfId="449" priority="168" stopIfTrue="1" operator="lessThanOrEqual">
      <formula>0</formula>
    </cfRule>
  </conditionalFormatting>
  <conditionalFormatting sqref="G23:H24">
    <cfRule type="expression" dxfId="448" priority="58">
      <formula>IF(+(IF(G23&lt;#REF!,0,IF(G23&gt;#REF!,0,1)))=0,1)</formula>
    </cfRule>
  </conditionalFormatting>
  <conditionalFormatting sqref="G77:H77">
    <cfRule type="cellIs" dxfId="447" priority="148" stopIfTrue="1" operator="greaterThan">
      <formula>$F$76</formula>
    </cfRule>
    <cfRule type="cellIs" dxfId="446" priority="149" stopIfTrue="1" operator="lessThanOrEqual">
      <formula>0</formula>
    </cfRule>
  </conditionalFormatting>
  <conditionalFormatting sqref="H10:H13 G14:H18">
    <cfRule type="expression" dxfId="445" priority="29">
      <formula>IF(+(IF(G10&lt;#REF!,0,IF(G10&gt;#REF!,0,1)))=0,1)</formula>
    </cfRule>
  </conditionalFormatting>
  <conditionalFormatting sqref="H19:H22">
    <cfRule type="expression" dxfId="444" priority="54">
      <formula>IF(+(IF(H19&lt;#REF!,0,IF(H19&gt;#REF!,0,1)))=0,1)</formula>
    </cfRule>
  </conditionalFormatting>
  <conditionalFormatting sqref="H38:H52">
    <cfRule type="cellIs" dxfId="443" priority="146" stopIfTrue="1" operator="greaterThan">
      <formula>0</formula>
    </cfRule>
  </conditionalFormatting>
  <conditionalFormatting sqref="H56">
    <cfRule type="cellIs" dxfId="442" priority="25" stopIfTrue="1" operator="greaterThan">
      <formula>$F$67</formula>
    </cfRule>
    <cfRule type="cellIs" dxfId="441" priority="14" stopIfTrue="1" operator="lessThanOrEqual">
      <formula>0</formula>
    </cfRule>
    <cfRule type="cellIs" dxfId="440" priority="15" stopIfTrue="1" operator="greaterThan">
      <formula>$F$66</formula>
    </cfRule>
    <cfRule type="cellIs" dxfId="439" priority="23" stopIfTrue="1" operator="greaterThan">
      <formula>$F$69</formula>
    </cfRule>
    <cfRule type="cellIs" dxfId="438" priority="24" stopIfTrue="1" operator="lessThanOrEqual">
      <formula>0</formula>
    </cfRule>
    <cfRule type="cellIs" dxfId="437" priority="26" stopIfTrue="1" operator="lessThanOrEqual">
      <formula>0</formula>
    </cfRule>
  </conditionalFormatting>
  <conditionalFormatting sqref="H57">
    <cfRule type="cellIs" dxfId="436" priority="86" stopIfTrue="1" operator="lessThanOrEqual">
      <formula>0</formula>
    </cfRule>
    <cfRule type="cellIs" dxfId="435" priority="76" stopIfTrue="1" operator="lessThanOrEqual">
      <formula>0</formula>
    </cfRule>
    <cfRule type="cellIs" dxfId="434" priority="77" stopIfTrue="1" operator="greaterThan">
      <formula>#REF!</formula>
    </cfRule>
    <cfRule type="cellIs" dxfId="433" priority="87" stopIfTrue="1" operator="greaterThan">
      <formula>$F$23</formula>
    </cfRule>
    <cfRule type="cellIs" dxfId="432" priority="88" stopIfTrue="1" operator="lessThanOrEqual">
      <formula>0</formula>
    </cfRule>
    <cfRule type="cellIs" dxfId="431" priority="85" stopIfTrue="1" operator="greaterThan">
      <formula>$F$25</formula>
    </cfRule>
  </conditionalFormatting>
  <conditionalFormatting sqref="H58">
    <cfRule type="cellIs" dxfId="430" priority="41" stopIfTrue="1" operator="lessThanOrEqual">
      <formula>0</formula>
    </cfRule>
    <cfRule type="cellIs" dxfId="429" priority="50" stopIfTrue="1" operator="greaterThan">
      <formula>$F$46</formula>
    </cfRule>
    <cfRule type="cellIs" dxfId="428" priority="42" stopIfTrue="1" operator="greaterThan">
      <formula>$F$43</formula>
    </cfRule>
    <cfRule type="cellIs" dxfId="427" priority="51" stopIfTrue="1" operator="lessThanOrEqual">
      <formula>0</formula>
    </cfRule>
    <cfRule type="cellIs" dxfId="426" priority="53" stopIfTrue="1" operator="lessThanOrEqual">
      <formula>0</formula>
    </cfRule>
    <cfRule type="cellIs" dxfId="425" priority="52" stopIfTrue="1" operator="greaterThan">
      <formula>$F$44</formula>
    </cfRule>
  </conditionalFormatting>
  <conditionalFormatting sqref="H59:H60">
    <cfRule type="cellIs" dxfId="424" priority="74" stopIfTrue="1" operator="lessThanOrEqual">
      <formula>0</formula>
    </cfRule>
    <cfRule type="cellIs" dxfId="423" priority="62" stopIfTrue="1" operator="lessThanOrEqual">
      <formula>0</formula>
    </cfRule>
    <cfRule type="cellIs" dxfId="422" priority="63" stopIfTrue="1" operator="greaterThan">
      <formula>#REF!</formula>
    </cfRule>
    <cfRule type="cellIs" dxfId="421" priority="71" stopIfTrue="1" operator="greaterThan">
      <formula>$F$24</formula>
    </cfRule>
    <cfRule type="cellIs" dxfId="420" priority="72" stopIfTrue="1" operator="lessThanOrEqual">
      <formula>0</formula>
    </cfRule>
    <cfRule type="cellIs" dxfId="419" priority="73" stopIfTrue="1" operator="greaterThan">
      <formula>#REF!</formula>
    </cfRule>
  </conditionalFormatting>
  <conditionalFormatting sqref="H61">
    <cfRule type="cellIs" dxfId="418" priority="105" stopIfTrue="1" operator="lessThanOrEqual">
      <formula>0</formula>
    </cfRule>
    <cfRule type="cellIs" dxfId="417" priority="104" stopIfTrue="1" operator="greaterThan">
      <formula>$F$38</formula>
    </cfRule>
    <cfRule type="cellIs" dxfId="416" priority="103" stopIfTrue="1" operator="lessThanOrEqual">
      <formula>0</formula>
    </cfRule>
    <cfRule type="cellIs" dxfId="415" priority="93" stopIfTrue="1" operator="lessThanOrEqual">
      <formula>0</formula>
    </cfRule>
    <cfRule type="cellIs" dxfId="414" priority="102" stopIfTrue="1" operator="greaterThan">
      <formula>$F$40</formula>
    </cfRule>
    <cfRule type="cellIs" dxfId="413" priority="94" stopIfTrue="1" operator="greaterThan">
      <formula>$F$37</formula>
    </cfRule>
  </conditionalFormatting>
  <conditionalFormatting sqref="H65:H72">
    <cfRule type="cellIs" dxfId="412" priority="126" stopIfTrue="1" operator="lessThanOrEqual">
      <formula>0</formula>
    </cfRule>
    <cfRule type="cellIs" dxfId="411" priority="125" stopIfTrue="1" operator="greaterThan">
      <formula>$J65</formula>
    </cfRule>
  </conditionalFormatting>
  <conditionalFormatting sqref="H73">
    <cfRule type="cellIs" dxfId="410" priority="127" operator="greaterThan">
      <formula>5.3</formula>
    </cfRule>
  </conditionalFormatting>
  <conditionalFormatting sqref="H76 H78:H84">
    <cfRule type="cellIs" dxfId="409" priority="160" stopIfTrue="1" operator="greaterThan">
      <formula>4.5</formula>
    </cfRule>
    <cfRule type="cellIs" dxfId="408" priority="161" stopIfTrue="1" operator="lessThanOrEqual">
      <formula>0</formula>
    </cfRule>
  </conditionalFormatting>
  <conditionalFormatting sqref="H56:I56">
    <cfRule type="cellIs" dxfId="407" priority="13" stopIfTrue="1" operator="greaterThan">
      <formula>$F$68</formula>
    </cfRule>
    <cfRule type="cellIs" dxfId="406" priority="16" stopIfTrue="1" operator="lessThanOrEqual">
      <formula>0</formula>
    </cfRule>
  </conditionalFormatting>
  <conditionalFormatting sqref="H57:I57">
    <cfRule type="cellIs" dxfId="405" priority="75" stopIfTrue="1" operator="greaterThan">
      <formula>$F$24</formula>
    </cfRule>
    <cfRule type="cellIs" dxfId="404" priority="78" stopIfTrue="1" operator="lessThanOrEqual">
      <formula>0</formula>
    </cfRule>
  </conditionalFormatting>
  <conditionalFormatting sqref="H58:I58">
    <cfRule type="cellIs" dxfId="403" priority="43" stopIfTrue="1" operator="lessThanOrEqual">
      <formula>0</formula>
    </cfRule>
    <cfRule type="cellIs" dxfId="402" priority="40" stopIfTrue="1" operator="greaterThan">
      <formula>$F$45</formula>
    </cfRule>
  </conditionalFormatting>
  <conditionalFormatting sqref="H59:I60">
    <cfRule type="cellIs" dxfId="401" priority="64" stopIfTrue="1" operator="lessThanOrEqual">
      <formula>0</formula>
    </cfRule>
    <cfRule type="cellIs" dxfId="400" priority="61" stopIfTrue="1" operator="greaterThan">
      <formula>$F$23</formula>
    </cfRule>
  </conditionalFormatting>
  <conditionalFormatting sqref="H61:I61">
    <cfRule type="cellIs" dxfId="399" priority="95" stopIfTrue="1" operator="lessThanOrEqual">
      <formula>0</formula>
    </cfRule>
    <cfRule type="cellIs" dxfId="398" priority="92" stopIfTrue="1" operator="greaterThan">
      <formula>$F$39</formula>
    </cfRule>
  </conditionalFormatting>
  <conditionalFormatting sqref="H74:I74">
    <cfRule type="cellIs" dxfId="397" priority="117" stopIfTrue="1" operator="greaterThan">
      <formula>$J74</formula>
    </cfRule>
    <cfRule type="cellIs" dxfId="396" priority="118" stopIfTrue="1" operator="lessThanOrEqual">
      <formula>0</formula>
    </cfRule>
  </conditionalFormatting>
  <conditionalFormatting sqref="I56">
    <cfRule type="cellIs" dxfId="395" priority="22" stopIfTrue="1" operator="lessThanOrEqual">
      <formula>0</formula>
    </cfRule>
    <cfRule type="cellIs" dxfId="394" priority="19" stopIfTrue="1" operator="greaterThan">
      <formula>$F$68</formula>
    </cfRule>
    <cfRule type="cellIs" dxfId="393" priority="17" stopIfTrue="1" operator="greaterThan">
      <formula>$F$66</formula>
    </cfRule>
    <cfRule type="cellIs" dxfId="392" priority="18" stopIfTrue="1" operator="lessThanOrEqual">
      <formula>0</formula>
    </cfRule>
    <cfRule type="cellIs" dxfId="391" priority="20" stopIfTrue="1" operator="lessThanOrEqual">
      <formula>0</formula>
    </cfRule>
    <cfRule type="cellIs" dxfId="390" priority="21" stopIfTrue="1" operator="greaterThan">
      <formula>$F$66</formula>
    </cfRule>
  </conditionalFormatting>
  <conditionalFormatting sqref="I57">
    <cfRule type="cellIs" dxfId="389" priority="79" stopIfTrue="1" operator="greaterThan">
      <formula>#REF!</formula>
    </cfRule>
    <cfRule type="cellIs" dxfId="388" priority="83" stopIfTrue="1" operator="greaterThan">
      <formula>#REF!</formula>
    </cfRule>
    <cfRule type="cellIs" dxfId="387" priority="84" stopIfTrue="1" operator="lessThanOrEqual">
      <formula>0</formula>
    </cfRule>
    <cfRule type="cellIs" dxfId="386" priority="81" stopIfTrue="1" operator="greaterThan">
      <formula>$F$24</formula>
    </cfRule>
    <cfRule type="cellIs" dxfId="385" priority="80" stopIfTrue="1" operator="lessThanOrEqual">
      <formula>0</formula>
    </cfRule>
    <cfRule type="cellIs" dxfId="384" priority="82" stopIfTrue="1" operator="lessThanOrEqual">
      <formula>0</formula>
    </cfRule>
  </conditionalFormatting>
  <conditionalFormatting sqref="I58">
    <cfRule type="cellIs" dxfId="383" priority="45" stopIfTrue="1" operator="lessThanOrEqual">
      <formula>0</formula>
    </cfRule>
    <cfRule type="cellIs" dxfId="382" priority="49" stopIfTrue="1" operator="lessThanOrEqual">
      <formula>0</formula>
    </cfRule>
    <cfRule type="cellIs" dxfId="381" priority="48" stopIfTrue="1" operator="greaterThan">
      <formula>$F$43</formula>
    </cfRule>
    <cfRule type="cellIs" dxfId="380" priority="47" stopIfTrue="1" operator="lessThanOrEqual">
      <formula>0</formula>
    </cfRule>
    <cfRule type="cellIs" dxfId="379" priority="46" stopIfTrue="1" operator="greaterThan">
      <formula>$F$45</formula>
    </cfRule>
    <cfRule type="cellIs" dxfId="378" priority="44" stopIfTrue="1" operator="greaterThan">
      <formula>$F$43</formula>
    </cfRule>
  </conditionalFormatting>
  <conditionalFormatting sqref="I59:I60">
    <cfRule type="cellIs" dxfId="377" priority="70" stopIfTrue="1" operator="lessThanOrEqual">
      <formula>0</formula>
    </cfRule>
    <cfRule type="cellIs" dxfId="376" priority="69" stopIfTrue="1" operator="greaterThan">
      <formula>#REF!</formula>
    </cfRule>
    <cfRule type="cellIs" dxfId="375" priority="68" stopIfTrue="1" operator="lessThanOrEqual">
      <formula>0</formula>
    </cfRule>
    <cfRule type="cellIs" dxfId="374" priority="67" stopIfTrue="1" operator="greaterThan">
      <formula>$F$23</formula>
    </cfRule>
    <cfRule type="cellIs" dxfId="373" priority="66" stopIfTrue="1" operator="lessThanOrEqual">
      <formula>0</formula>
    </cfRule>
    <cfRule type="cellIs" dxfId="372" priority="65" stopIfTrue="1" operator="greaterThan">
      <formula>#REF!</formula>
    </cfRule>
  </conditionalFormatting>
  <conditionalFormatting sqref="I61">
    <cfRule type="cellIs" dxfId="371" priority="101" stopIfTrue="1" operator="lessThanOrEqual">
      <formula>0</formula>
    </cfRule>
    <cfRule type="cellIs" dxfId="370" priority="100" stopIfTrue="1" operator="greaterThan">
      <formula>$F$37</formula>
    </cfRule>
    <cfRule type="cellIs" dxfId="369" priority="99" stopIfTrue="1" operator="lessThanOrEqual">
      <formula>0</formula>
    </cfRule>
    <cfRule type="cellIs" dxfId="368" priority="98" stopIfTrue="1" operator="greaterThan">
      <formula>$F$39</formula>
    </cfRule>
    <cfRule type="cellIs" dxfId="367" priority="97" stopIfTrue="1" operator="lessThanOrEqual">
      <formula>0</formula>
    </cfRule>
    <cfRule type="cellIs" dxfId="366" priority="96" stopIfTrue="1" operator="greaterThan">
      <formula>$F$37</formula>
    </cfRule>
  </conditionalFormatting>
  <conditionalFormatting sqref="I65:I73">
    <cfRule type="cellIs" dxfId="365" priority="129" stopIfTrue="1" operator="lessThanOrEqual">
      <formula>0</formula>
    </cfRule>
    <cfRule type="cellIs" dxfId="364" priority="128" stopIfTrue="1" operator="greaterThan">
      <formula>$J65</formula>
    </cfRule>
  </conditionalFormatting>
  <conditionalFormatting sqref="I76:I84">
    <cfRule type="cellIs" dxfId="363" priority="156" stopIfTrue="1" operator="greaterThan">
      <formula>4.5</formula>
    </cfRule>
    <cfRule type="cellIs" dxfId="362" priority="157" stopIfTrue="1" operator="lessThanOrEqual">
      <formula>0</formula>
    </cfRule>
  </conditionalFormatting>
  <conditionalFormatting sqref="I10:J24">
    <cfRule type="cellIs" dxfId="361" priority="32" operator="lessThan">
      <formula>97.9</formula>
    </cfRule>
  </conditionalFormatting>
  <conditionalFormatting sqref="J27:J29">
    <cfRule type="cellIs" dxfId="360" priority="107" stopIfTrue="1" operator="lessThan">
      <formula>96.8</formula>
    </cfRule>
    <cfRule type="cellIs" dxfId="359" priority="108" stopIfTrue="1" operator="greaterThan">
      <formula>100</formula>
    </cfRule>
    <cfRule type="cellIs" dxfId="358" priority="109" operator="lessThan">
      <formula>98</formula>
    </cfRule>
  </conditionalFormatting>
  <conditionalFormatting sqref="J27:J31">
    <cfRule type="cellIs" dxfId="357" priority="106" operator="lessThan">
      <formula>97.4</formula>
    </cfRule>
  </conditionalFormatting>
  <conditionalFormatting sqref="J32">
    <cfRule type="cellIs" dxfId="356" priority="110" operator="lessThan">
      <formula>98</formula>
    </cfRule>
  </conditionalFormatting>
  <conditionalFormatting sqref="J34:J35">
    <cfRule type="cellIs" dxfId="355" priority="111" stopIfTrue="1" operator="lessThan">
      <formula>96.8</formula>
    </cfRule>
    <cfRule type="cellIs" dxfId="354" priority="112" stopIfTrue="1" operator="greaterThan">
      <formula>100</formula>
    </cfRule>
  </conditionalFormatting>
  <conditionalFormatting sqref="J34:J36">
    <cfRule type="cellIs" dxfId="353" priority="113" operator="lessThan">
      <formula>98</formula>
    </cfRule>
  </conditionalFormatting>
  <conditionalFormatting sqref="J74">
    <cfRule type="cellIs" dxfId="352" priority="115" stopIfTrue="1" operator="lessThanOrEqual">
      <formula>0</formula>
    </cfRule>
    <cfRule type="cellIs" dxfId="351" priority="114" stopIfTrue="1" operator="greaterThan">
      <formula>$F74</formula>
    </cfRule>
  </conditionalFormatting>
  <conditionalFormatting sqref="K10:K24">
    <cfRule type="cellIs" dxfId="350" priority="34" operator="greaterThan">
      <formula>6</formula>
    </cfRule>
    <cfRule type="cellIs" dxfId="349" priority="35" operator="lessThan">
      <formula>4</formula>
    </cfRule>
    <cfRule type="cellIs" dxfId="348" priority="36" operator="greaterThan">
      <formula>6.4</formula>
    </cfRule>
  </conditionalFormatting>
  <conditionalFormatting sqref="K56:K61 K65:N71 K72 M72:N72 K73:N73">
    <cfRule type="cellIs" dxfId="347" priority="91" stopIfTrue="1" operator="lessThan">
      <formula>100%</formula>
    </cfRule>
  </conditionalFormatting>
  <conditionalFormatting sqref="K76:K81">
    <cfRule type="cellIs" dxfId="346" priority="162" stopIfTrue="1" operator="lessThan">
      <formula>100%</formula>
    </cfRule>
  </conditionalFormatting>
  <conditionalFormatting sqref="K83:K84">
    <cfRule type="cellIs" dxfId="345" priority="169" stopIfTrue="1" operator="lessThan">
      <formula>100%</formula>
    </cfRule>
  </conditionalFormatting>
  <conditionalFormatting sqref="L10:L13 L19:L24">
    <cfRule type="cellIs" dxfId="344" priority="56" operator="between">
      <formula>61</formula>
      <formula>65</formula>
    </cfRule>
    <cfRule type="cellIs" dxfId="343" priority="57" operator="greaterThan">
      <formula>65</formula>
    </cfRule>
  </conditionalFormatting>
  <conditionalFormatting sqref="L14:M18">
    <cfRule type="cellIs" dxfId="342" priority="28" operator="greaterThan">
      <formula>65</formula>
    </cfRule>
    <cfRule type="cellIs" dxfId="341" priority="27" operator="between">
      <formula>61</formula>
      <formula>65</formula>
    </cfRule>
  </conditionalFormatting>
  <conditionalFormatting sqref="L27:M38">
    <cfRule type="cellIs" dxfId="340" priority="30" operator="lessThan">
      <formula>98</formula>
    </cfRule>
  </conditionalFormatting>
  <conditionalFormatting sqref="L42:N42">
    <cfRule type="cellIs" dxfId="339" priority="31" operator="notEqual">
      <formula>#REF!</formula>
    </cfRule>
  </conditionalFormatting>
  <conditionalFormatting sqref="L74:N74">
    <cfRule type="cellIs" dxfId="338" priority="116" stopIfTrue="1" operator="lessThan">
      <formula>100%</formula>
    </cfRule>
  </conditionalFormatting>
  <conditionalFormatting sqref="L76:N84">
    <cfRule type="cellIs" dxfId="337" priority="147" stopIfTrue="1" operator="lessThan">
      <formula>100%</formula>
    </cfRule>
  </conditionalFormatting>
  <conditionalFormatting sqref="M10:M22">
    <cfRule type="expression" dxfId="336" priority="37">
      <formula>IF(+(IF(M10&lt;U10,0,IF(M10&gt;V10,0,1)))=0,1)</formula>
    </cfRule>
  </conditionalFormatting>
  <conditionalFormatting sqref="M23:N24">
    <cfRule type="expression" dxfId="335" priority="177">
      <formula>IF(+(IF(M23&lt;#REF!,0,IF(M23&gt;#REF!,0,1)))=0,1)</formula>
    </cfRule>
  </conditionalFormatting>
  <conditionalFormatting sqref="N10:N22">
    <cfRule type="expression" dxfId="334" priority="33">
      <formula>IF(+(IF(N10&lt;W10,0,IF(N10&gt;X10,0,1)))=0,1)</formula>
    </cfRule>
  </conditionalFormatting>
  <conditionalFormatting sqref="P6">
    <cfRule type="cellIs" dxfId="333" priority="143" operator="greaterThanOrEqual">
      <formula>19</formula>
    </cfRule>
  </conditionalFormatting>
  <dataValidations count="1">
    <dataValidation type="list" allowBlank="1" showInputMessage="1" showErrorMessage="1" sqref="R8" xr:uid="{EE6866DD-D4E1-4781-AAAD-071F1E61751F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8" max="16383" man="1"/>
  </rowBreaks>
  <colBreaks count="1" manualBreakCount="1">
    <brk id="15" max="89" man="1"/>
  </colBreaks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86804-170E-483C-9B8A-7B4F99F38185}">
  <sheetPr>
    <pageSetUpPr fitToPage="1"/>
  </sheetPr>
  <dimension ref="A1:BE79"/>
  <sheetViews>
    <sheetView topLeftCell="A8" zoomScale="70" zoomScaleNormal="70" workbookViewId="0">
      <selection activeCell="M12" sqref="M12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25" t="s">
        <v>0</v>
      </c>
      <c r="T1" s="525"/>
      <c r="U1" s="525" t="s">
        <v>1</v>
      </c>
      <c r="V1" s="525"/>
      <c r="W1" s="525" t="s">
        <v>2</v>
      </c>
      <c r="X1" s="525"/>
      <c r="Y1" s="525" t="s">
        <v>124</v>
      </c>
      <c r="Z1" s="525"/>
    </row>
    <row r="2" spans="2:29" ht="15">
      <c r="B2" s="526" t="s">
        <v>3</v>
      </c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45930</v>
      </c>
      <c r="J4" s="398" t="s">
        <v>193</v>
      </c>
      <c r="K4" s="398"/>
      <c r="L4" s="11"/>
      <c r="M4" s="547" t="s">
        <v>8</v>
      </c>
      <c r="N4" s="548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44"/>
      <c r="D5" s="544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192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84" t="s">
        <v>17</v>
      </c>
      <c r="C8" s="494" t="s">
        <v>18</v>
      </c>
      <c r="D8" s="494" t="s">
        <v>19</v>
      </c>
      <c r="E8" s="356" t="s">
        <v>20</v>
      </c>
      <c r="F8" s="356" t="s">
        <v>21</v>
      </c>
      <c r="G8" s="494" t="s">
        <v>22</v>
      </c>
      <c r="H8" s="535" t="s">
        <v>144</v>
      </c>
      <c r="I8" s="494" t="s">
        <v>166</v>
      </c>
      <c r="J8" s="537" t="s">
        <v>23</v>
      </c>
      <c r="K8" s="539" t="s">
        <v>142</v>
      </c>
      <c r="L8" s="541" t="s">
        <v>24</v>
      </c>
      <c r="M8" s="359" t="s">
        <v>25</v>
      </c>
      <c r="N8" s="17" t="s">
        <v>26</v>
      </c>
      <c r="O8" s="488" t="s">
        <v>155</v>
      </c>
      <c r="P8" s="56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33"/>
      <c r="C9" s="534"/>
      <c r="D9" s="534"/>
      <c r="E9" s="357" t="s">
        <v>30</v>
      </c>
      <c r="F9" s="357" t="s">
        <v>31</v>
      </c>
      <c r="G9" s="534"/>
      <c r="H9" s="536"/>
      <c r="I9" s="534"/>
      <c r="J9" s="538"/>
      <c r="K9" s="540"/>
      <c r="L9" s="542"/>
      <c r="M9" s="20" t="s">
        <v>32</v>
      </c>
      <c r="N9" s="21" t="s">
        <v>41</v>
      </c>
      <c r="O9" s="573"/>
      <c r="P9" s="561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37" t="s">
        <v>16</v>
      </c>
      <c r="C10" s="366" t="str">
        <f>[23]Brewhouse!$A83</f>
        <v>SM071</v>
      </c>
      <c r="D10" s="279">
        <f>[23]Brewhouse!$AH83</f>
        <v>53.1</v>
      </c>
      <c r="E10" s="279">
        <f>[23]Brewhouse!$AM83</f>
        <v>49.7</v>
      </c>
      <c r="F10" s="278">
        <f>[23]Brewhouse!$Z83</f>
        <v>62</v>
      </c>
      <c r="G10" s="279">
        <f>[23]Brewhouse!$AK83</f>
        <v>17.3</v>
      </c>
      <c r="H10" s="396">
        <v>17.399999999999999</v>
      </c>
      <c r="I10" s="368">
        <f>[23]Brewhouse!$AY83</f>
        <v>94.151553219284494</v>
      </c>
      <c r="J10" s="368">
        <f>[23]Brewhouse!$AZ83</f>
        <v>95.089534845720081</v>
      </c>
      <c r="K10" s="281">
        <f>[23]Brewhouse!$U83</f>
        <v>12.015065913371002</v>
      </c>
      <c r="L10" s="276">
        <f>[23]Brewhouse!$T83</f>
        <v>61</v>
      </c>
      <c r="M10" s="374">
        <f>[23]Brewhouse!$Y83-[23]Brewhouse!$X83</f>
        <v>0.10555555555555562</v>
      </c>
      <c r="N10" s="370">
        <f>[23]Brewhouse!$AD83</f>
        <v>0.29444444444444451</v>
      </c>
      <c r="O10" s="371" t="str">
        <f>[23]Brewhouse!$BC83</f>
        <v>R. Regis</v>
      </c>
      <c r="P10" s="418"/>
      <c r="R10" s="277" t="str">
        <f t="shared" ref="R10:R30" si="0">B10</f>
        <v>STARMALT</v>
      </c>
      <c r="S10" s="296">
        <f t="shared" ref="S10:S30" si="1">VLOOKUP($B10,$R$3:$X$9,2,FALSE)</f>
        <v>17</v>
      </c>
      <c r="T10" s="296">
        <f t="shared" ref="T10:T30" si="2">VLOOKUP($B10,$R$3:$X$9,3,FALSE)</f>
        <v>17.399999999999999</v>
      </c>
      <c r="U10" s="297">
        <f t="shared" ref="U10:U30" si="3">VLOOKUP($B10,$R$3:$X$9,4,FALSE)</f>
        <v>0</v>
      </c>
      <c r="V10" s="297">
        <f t="shared" ref="V10:V30" si="4">VLOOKUP($B10,$R$3:$X$9,5,FALSE)</f>
        <v>0.13605324074074074</v>
      </c>
      <c r="W10" s="297">
        <f t="shared" ref="W10:W30" si="5">VLOOKUP($B10,$R$3:$X$9,6,FALSE)</f>
        <v>0.27430555555555552</v>
      </c>
      <c r="X10" s="297">
        <f t="shared" ref="X10:X30" si="6">VLOOKUP($B10,$R$3:$X$9,7,FALSE)</f>
        <v>0.30902777777777779</v>
      </c>
      <c r="Y10" s="297">
        <f t="shared" ref="Y10:Y30" si="7">VLOOKUP($B10,$R$3:$Z$9,8,FALSE)</f>
        <v>0</v>
      </c>
      <c r="Z10" s="296">
        <f t="shared" ref="Z10:Z30" si="8">VLOOKUP($B10,$R$3:$Z$9,9,FALSE)</f>
        <v>85</v>
      </c>
    </row>
    <row r="11" spans="2:29" ht="15.75" customHeight="1">
      <c r="B11" s="37" t="s">
        <v>16</v>
      </c>
      <c r="C11" s="366" t="str">
        <f>[23]Brewhouse!$A84</f>
        <v>SM072</v>
      </c>
      <c r="D11" s="279">
        <f>[23]Brewhouse!$AH84</f>
        <v>53.1</v>
      </c>
      <c r="E11" s="279">
        <f>[23]Brewhouse!$AM84</f>
        <v>50.05</v>
      </c>
      <c r="F11" s="278">
        <f>[23]Brewhouse!$Z84</f>
        <v>66</v>
      </c>
      <c r="G11" s="279">
        <f>[23]Brewhouse!$AK84</f>
        <v>17.7</v>
      </c>
      <c r="H11" s="396">
        <v>17.7</v>
      </c>
      <c r="I11" s="368">
        <f>[23]Brewhouse!$AY84</f>
        <v>97.042221616983554</v>
      </c>
      <c r="J11" s="368">
        <f>[23]Brewhouse!$AZ84</f>
        <v>98.00990135638331</v>
      </c>
      <c r="K11" s="281">
        <f>[23]Brewhouse!$U84</f>
        <v>9.5668549905838152</v>
      </c>
      <c r="L11" s="276">
        <f>[23]Brewhouse!$T84</f>
        <v>70</v>
      </c>
      <c r="M11" s="374">
        <f>[23]Brewhouse!$Y84-[23]Brewhouse!$X84</f>
        <v>0.12847222222222232</v>
      </c>
      <c r="N11" s="370">
        <f>[23]Brewhouse!$AD84</f>
        <v>0.28125000000000011</v>
      </c>
      <c r="O11" s="371" t="str">
        <f>[23]Brewhouse!$BC84</f>
        <v>R.Sookram</v>
      </c>
      <c r="P11" s="418"/>
      <c r="R11" s="277" t="str">
        <f t="shared" si="0"/>
        <v>STARMALT</v>
      </c>
      <c r="S11" s="296">
        <f t="shared" si="1"/>
        <v>17</v>
      </c>
      <c r="T11" s="296">
        <f t="shared" si="2"/>
        <v>17.399999999999999</v>
      </c>
      <c r="U11" s="297">
        <f t="shared" si="3"/>
        <v>0</v>
      </c>
      <c r="V11" s="297">
        <f t="shared" si="4"/>
        <v>0.13605324074074074</v>
      </c>
      <c r="W11" s="297">
        <f t="shared" si="5"/>
        <v>0.27430555555555552</v>
      </c>
      <c r="X11" s="297">
        <f t="shared" si="6"/>
        <v>0.30902777777777779</v>
      </c>
      <c r="Y11" s="297">
        <f t="shared" si="7"/>
        <v>0</v>
      </c>
      <c r="Z11" s="296">
        <f t="shared" si="8"/>
        <v>85</v>
      </c>
    </row>
    <row r="12" spans="2:29" ht="15.75" customHeight="1">
      <c r="B12" s="37" t="s">
        <v>16</v>
      </c>
      <c r="C12" s="366" t="str">
        <f>[23]Brewhouse!$A85</f>
        <v>SM073</v>
      </c>
      <c r="D12" s="279">
        <f>[23]Brewhouse!$AH85</f>
        <v>53.1</v>
      </c>
      <c r="E12" s="279">
        <f>[23]Brewhouse!$AM85</f>
        <v>50.7</v>
      </c>
      <c r="F12" s="278">
        <f>[23]Brewhouse!$Z85</f>
        <v>78</v>
      </c>
      <c r="G12" s="279">
        <f>[23]Brewhouse!$AK85</f>
        <v>17.399999999999999</v>
      </c>
      <c r="H12" s="396">
        <v>17.399999999999999</v>
      </c>
      <c r="I12" s="368">
        <f>[23]Brewhouse!$AY85</f>
        <v>96.460634470657212</v>
      </c>
      <c r="J12" s="368">
        <f>[23]Brewhouse!$AZ85</f>
        <v>97.423407877574846</v>
      </c>
      <c r="K12" s="281">
        <f>[23]Brewhouse!$U85</f>
        <v>10.508474576271198</v>
      </c>
      <c r="L12" s="276">
        <f>[23]Brewhouse!$T85</f>
        <v>0</v>
      </c>
      <c r="M12" s="374">
        <f>[23]Brewhouse!$Y85-[23]Brewhouse!$X85</f>
        <v>1.2902777777777779</v>
      </c>
      <c r="N12" s="370">
        <f>[23]Brewhouse!$AD85</f>
        <v>0.31805555555555565</v>
      </c>
      <c r="O12" s="371" t="str">
        <f>[23]Brewhouse!$BC85</f>
        <v>R.Sookram</v>
      </c>
      <c r="P12" s="418"/>
      <c r="R12" s="277" t="str">
        <f t="shared" si="0"/>
        <v>STARMALT</v>
      </c>
      <c r="S12" s="296">
        <f t="shared" si="1"/>
        <v>17</v>
      </c>
      <c r="T12" s="296">
        <f t="shared" si="2"/>
        <v>17.399999999999999</v>
      </c>
      <c r="U12" s="297">
        <f t="shared" si="3"/>
        <v>0</v>
      </c>
      <c r="V12" s="297">
        <f t="shared" si="4"/>
        <v>0.13605324074074074</v>
      </c>
      <c r="W12" s="297">
        <f t="shared" si="5"/>
        <v>0.27430555555555552</v>
      </c>
      <c r="X12" s="297">
        <f t="shared" si="6"/>
        <v>0.30902777777777779</v>
      </c>
      <c r="Y12" s="297">
        <f t="shared" si="7"/>
        <v>0</v>
      </c>
      <c r="Z12" s="296">
        <f t="shared" si="8"/>
        <v>85</v>
      </c>
    </row>
    <row r="13" spans="2:29" ht="15.75" customHeight="1">
      <c r="B13" s="34"/>
      <c r="C13" s="366"/>
      <c r="D13" s="279"/>
      <c r="E13" s="279"/>
      <c r="F13" s="278"/>
      <c r="G13" s="279"/>
      <c r="H13" s="396"/>
      <c r="I13" s="420"/>
      <c r="J13" s="420"/>
      <c r="K13" s="462"/>
      <c r="L13" s="276"/>
      <c r="M13" s="374"/>
      <c r="N13" s="370"/>
      <c r="O13" s="421"/>
      <c r="P13" s="418"/>
      <c r="R13" s="277">
        <f t="shared" si="0"/>
        <v>0</v>
      </c>
      <c r="S13" s="296" t="e">
        <f t="shared" si="1"/>
        <v>#N/A</v>
      </c>
      <c r="T13" s="296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296" t="e">
        <f t="shared" si="8"/>
        <v>#N/A</v>
      </c>
    </row>
    <row r="14" spans="2:29" ht="15.75" customHeight="1">
      <c r="B14" s="33"/>
      <c r="C14" s="366"/>
      <c r="D14" s="279"/>
      <c r="E14" s="279"/>
      <c r="F14" s="278"/>
      <c r="G14" s="279"/>
      <c r="H14" s="396"/>
      <c r="I14" s="420"/>
      <c r="J14" s="420"/>
      <c r="K14" s="281"/>
      <c r="L14" s="276"/>
      <c r="M14" s="374"/>
      <c r="N14" s="370"/>
      <c r="O14" s="421"/>
      <c r="P14" s="418"/>
      <c r="R14" s="277">
        <f t="shared" si="0"/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5.75" customHeight="1">
      <c r="B15" s="33"/>
      <c r="C15" s="366"/>
      <c r="D15" s="279"/>
      <c r="E15" s="279"/>
      <c r="F15" s="278"/>
      <c r="G15" s="279"/>
      <c r="H15" s="396"/>
      <c r="I15" s="420"/>
      <c r="J15" s="420"/>
      <c r="K15" s="281"/>
      <c r="L15" s="276"/>
      <c r="M15" s="374"/>
      <c r="N15" s="370"/>
      <c r="O15" s="421"/>
      <c r="P15" s="418"/>
      <c r="R15" s="277">
        <f t="shared" si="0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.75" hidden="1" customHeight="1">
      <c r="B16" s="33"/>
      <c r="C16" s="366"/>
      <c r="D16" s="279"/>
      <c r="E16" s="279"/>
      <c r="F16" s="278"/>
      <c r="G16" s="279"/>
      <c r="H16" s="396"/>
      <c r="I16" s="420"/>
      <c r="J16" s="420"/>
      <c r="K16" s="281"/>
      <c r="L16" s="276"/>
      <c r="M16" s="374"/>
      <c r="N16" s="370"/>
      <c r="O16" s="421"/>
      <c r="P16" s="418"/>
      <c r="R16" s="277"/>
      <c r="S16" s="296"/>
      <c r="T16" s="296"/>
      <c r="U16" s="297"/>
      <c r="V16" s="297"/>
      <c r="W16" s="297"/>
      <c r="X16" s="297"/>
      <c r="Y16" s="297"/>
      <c r="Z16" s="296"/>
    </row>
    <row r="17" spans="1:27" ht="15.75" hidden="1" customHeight="1">
      <c r="B17" s="468"/>
      <c r="C17" s="366"/>
      <c r="D17" s="279"/>
      <c r="E17" s="279"/>
      <c r="F17" s="278"/>
      <c r="G17" s="279"/>
      <c r="H17" s="396"/>
      <c r="I17" s="420"/>
      <c r="J17" s="420"/>
      <c r="K17" s="281"/>
      <c r="L17" s="276"/>
      <c r="M17" s="374"/>
      <c r="N17" s="370"/>
      <c r="O17" s="421"/>
      <c r="P17" s="418"/>
      <c r="R17" s="277"/>
      <c r="S17" s="296"/>
      <c r="T17" s="296"/>
      <c r="U17" s="297"/>
      <c r="V17" s="297"/>
      <c r="W17" s="297"/>
      <c r="X17" s="297"/>
      <c r="Y17" s="297"/>
      <c r="Z17" s="296"/>
    </row>
    <row r="18" spans="1:27" ht="15.6" hidden="1" customHeight="1">
      <c r="B18" s="33"/>
      <c r="C18" s="366"/>
      <c r="D18" s="279"/>
      <c r="E18" s="279"/>
      <c r="F18" s="278"/>
      <c r="G18" s="279"/>
      <c r="H18" s="367"/>
      <c r="I18" s="420"/>
      <c r="J18" s="420"/>
      <c r="K18" s="281"/>
      <c r="L18" s="276"/>
      <c r="M18" s="374"/>
      <c r="N18" s="370"/>
      <c r="O18" s="421"/>
      <c r="P18" s="418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1:27" ht="15.75" hidden="1" customHeight="1">
      <c r="B19" s="34"/>
      <c r="C19" s="366"/>
      <c r="D19" s="279"/>
      <c r="E19" s="279"/>
      <c r="F19" s="278"/>
      <c r="G19" s="279"/>
      <c r="H19" s="396"/>
      <c r="I19" s="420"/>
      <c r="J19" s="420"/>
      <c r="K19" s="462"/>
      <c r="L19" s="276"/>
      <c r="M19" s="374"/>
      <c r="N19" s="370"/>
      <c r="O19" s="421"/>
      <c r="P19" s="418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7" ht="15.75" hidden="1" customHeight="1">
      <c r="B20" s="34"/>
      <c r="C20" s="366"/>
      <c r="D20" s="279"/>
      <c r="E20" s="279"/>
      <c r="F20" s="278"/>
      <c r="G20" s="279"/>
      <c r="H20" s="396"/>
      <c r="I20" s="420"/>
      <c r="J20" s="420"/>
      <c r="K20" s="462"/>
      <c r="L20" s="276"/>
      <c r="M20" s="374"/>
      <c r="N20" s="370"/>
      <c r="O20" s="421"/>
      <c r="P20" s="418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7" ht="15.75" hidden="1" customHeight="1">
      <c r="B21" s="34"/>
      <c r="C21" s="366"/>
      <c r="D21" s="279"/>
      <c r="E21" s="279"/>
      <c r="F21" s="278"/>
      <c r="G21" s="279"/>
      <c r="H21" s="396"/>
      <c r="I21" s="420"/>
      <c r="J21" s="420"/>
      <c r="K21" s="462"/>
      <c r="L21" s="276"/>
      <c r="M21" s="374"/>
      <c r="N21" s="370"/>
      <c r="O21" s="421"/>
      <c r="P21" s="418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7" ht="15.75" hidden="1" customHeight="1">
      <c r="B22" s="34"/>
      <c r="C22" s="366"/>
      <c r="D22" s="279"/>
      <c r="E22" s="279"/>
      <c r="F22" s="278"/>
      <c r="G22" s="279"/>
      <c r="H22" s="396"/>
      <c r="I22" s="420"/>
      <c r="J22" s="420"/>
      <c r="K22" s="462"/>
      <c r="L22" s="276"/>
      <c r="M22" s="374"/>
      <c r="N22" s="370"/>
      <c r="O22" s="421"/>
      <c r="P22" s="418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7" ht="15.6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8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7" ht="15.7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18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7" ht="15.75" customHeight="1" thickBot="1">
      <c r="B25" s="358"/>
      <c r="C25" s="358"/>
      <c r="D25" s="358"/>
      <c r="E25" s="358"/>
      <c r="F25" s="294"/>
      <c r="G25" s="294"/>
      <c r="H25" s="348"/>
      <c r="I25" s="514"/>
      <c r="J25" s="514"/>
      <c r="K25" s="514"/>
      <c r="L25" s="514"/>
      <c r="M25" s="514"/>
      <c r="N25" s="514"/>
      <c r="O25" s="1"/>
      <c r="P25" s="12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7" ht="15.75" thickBot="1">
      <c r="B26" s="388" t="s">
        <v>162</v>
      </c>
      <c r="C26" s="388"/>
      <c r="D26" s="527" t="s">
        <v>35</v>
      </c>
      <c r="E26" s="528"/>
      <c r="F26" s="294"/>
      <c r="G26" s="294"/>
      <c r="H26" s="348"/>
      <c r="I26" s="24" t="s">
        <v>17</v>
      </c>
      <c r="J26" s="25" t="s">
        <v>36</v>
      </c>
      <c r="K26" s="26" t="s">
        <v>138</v>
      </c>
      <c r="L26" s="25" t="s">
        <v>37</v>
      </c>
      <c r="M26" s="25" t="s">
        <v>38</v>
      </c>
      <c r="N26" s="27" t="s">
        <v>39</v>
      </c>
      <c r="O26" s="294"/>
      <c r="P26" s="12"/>
      <c r="R26" s="277" t="str">
        <f t="shared" si="0"/>
        <v xml:space="preserve">BRAND 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7" ht="15" customHeight="1">
      <c r="A27" s="28"/>
      <c r="B27" s="578" t="s">
        <v>196</v>
      </c>
      <c r="C27" s="362"/>
      <c r="D27" s="518"/>
      <c r="E27" s="507"/>
      <c r="F27" s="294"/>
      <c r="G27" s="294"/>
      <c r="H27" s="348"/>
      <c r="I27" s="29" t="s">
        <v>6</v>
      </c>
      <c r="J27" s="280"/>
      <c r="K27" s="284">
        <f>COUNTA([22]Brewhouse!$A$740:$A$821)</f>
        <v>82</v>
      </c>
      <c r="L27" s="305">
        <f>AVERAGE([22]Brewhouse!$AU$740:$AU$821)</f>
        <v>97.314316424839745</v>
      </c>
      <c r="M27" s="302">
        <f>AVERAGE([22]Brewhouse!$AU$102:$AU$171,[22]Brewhouse!$AU$173:$AU$253,[22]Brewhouse!$AU$255:$AU$339,[22]Brewhouse!$AU$341:$AU$346,[22]Brewhouse!$AU$348,[22]Brewhouse!$AU$349:$AU$406,[22]Brewhouse!$AU$408:$AU$491,[22]Brewhouse!$AU$493:$AU$578,[22]Brewhouse!$AU$580:$AU$652,[22]Brewhouse!$AU$655:$AU$738,[22]Brewhouse!$A$740:$A$821)</f>
        <v>97.707262129538279</v>
      </c>
      <c r="N27" s="30">
        <v>98</v>
      </c>
      <c r="O27" s="11"/>
      <c r="P27" s="31"/>
      <c r="R27" s="277" t="str">
        <f t="shared" si="0"/>
        <v>Shandy Sorrel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7" ht="15" customHeight="1">
      <c r="A28" s="28"/>
      <c r="B28" s="579"/>
      <c r="C28" s="362"/>
      <c r="D28" s="519"/>
      <c r="E28" s="502"/>
      <c r="F28" s="294"/>
      <c r="G28" s="294"/>
      <c r="H28" s="348"/>
      <c r="I28" s="33" t="s">
        <v>9</v>
      </c>
      <c r="J28" s="280"/>
      <c r="K28" s="284">
        <f>COUNTA([24]Brewhouse!$A$361:$A$396)</f>
        <v>36</v>
      </c>
      <c r="L28" s="302">
        <f>AVERAGE([24]Brewhouse!$AS$361:$AS$396)</f>
        <v>97.469551904246785</v>
      </c>
      <c r="M28" s="302">
        <f>AVERAGE([24]Brewhouse!$AS$15:$AS$64,[24]Brewhouse!$AS$66:$AS$103,[24]Brewhouse!$AS$105:$AS$140,[24]Brewhouse!$AS$142:$AS$193,[24]Brewhouse!$AS$195:$AS$240,[24]Brewhouse!$AS$242:$AS$273,[24]Brewhouse!$AS$275:$AS$322,[24]Brewhouse!$AS$324:$AS$359,[24]Brewhouse!$AS$361:$AS$396)</f>
        <v>98.008126648652194</v>
      </c>
      <c r="N28" s="30">
        <v>98</v>
      </c>
      <c r="O28" s="11"/>
      <c r="P28" s="31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1:27" ht="14.65" customHeight="1">
      <c r="A29" s="28"/>
      <c r="B29" s="579"/>
      <c r="C29" s="362"/>
      <c r="D29" s="518"/>
      <c r="E29" s="507"/>
      <c r="F29" s="294"/>
      <c r="G29" s="294"/>
      <c r="H29" s="348"/>
      <c r="I29" s="34" t="s">
        <v>12</v>
      </c>
      <c r="J29" s="280"/>
      <c r="K29" s="284">
        <f>COUNTA([25]Brewhouse!$A$94:$A$97)</f>
        <v>4</v>
      </c>
      <c r="L29" s="302">
        <f>AVERAGE([25]Brewhouse!$AU$94:$AU$97)</f>
        <v>94.293724793012899</v>
      </c>
      <c r="M29" s="302">
        <f>AVERAGE([25]Brewhouse!$AU$4:$AU$7,[25]Brewhouse!$AU$9:$AU$22,[25]Brewhouse!$AU$24:$AU$35,[25]Brewhouse!$AU$37:$AU$45,[25]Brewhouse!$AU$47:$AU$62,[25]Brewhouse!$AU$64:$AU$79,[25]Brewhouse!$AU$81:$AU$92,[25]Brewhouse!$AU$94:$AU$97)</f>
        <v>96.816600378435098</v>
      </c>
      <c r="N29" s="30">
        <v>98</v>
      </c>
      <c r="O29" s="11"/>
      <c r="P29" s="31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1:27" ht="14.65" customHeight="1">
      <c r="A30" s="28"/>
      <c r="B30" s="579"/>
      <c r="C30" s="362"/>
      <c r="D30" s="519"/>
      <c r="E30" s="502"/>
      <c r="F30" s="294"/>
      <c r="G30" s="294"/>
      <c r="H30" s="348"/>
      <c r="I30" s="22" t="s">
        <v>33</v>
      </c>
      <c r="J30" s="280"/>
      <c r="K30" s="284">
        <f>COUNTA([26]Brewhouse!$A$79:$A$86)</f>
        <v>8</v>
      </c>
      <c r="L30" s="302">
        <f>AVERAGE([26]Brewhouse!$AV$79:$AV$86)</f>
        <v>96.412390542357869</v>
      </c>
      <c r="M30" s="302">
        <f>AVERAGE([26]Brewhouse!$AV$5:$AV$14,[26]Brewhouse!$AV$16:$AV$19,[26]Brewhouse!$AV$21:$AV$24,[26]Brewhouse!$AV$26:$AV$33,[26]Brewhouse!$AV$35:$AV$46,[26]Brewhouse!$AV$48:$AV$53,[26]Brewhouse!$AV$55:$AV$62,[26]Brewhouse!$AV$64:$AV$77,[26]Brewhouse!$AV$79:$AV$86)</f>
        <v>98.293408393493976</v>
      </c>
      <c r="N30" s="30">
        <v>98</v>
      </c>
      <c r="O30" s="11"/>
      <c r="P30" s="31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1:27" ht="14.65" customHeight="1">
      <c r="A31" s="28"/>
      <c r="B31" s="579"/>
      <c r="C31" s="362"/>
      <c r="D31" s="518"/>
      <c r="E31" s="507"/>
      <c r="F31" s="417"/>
      <c r="G31" s="294"/>
      <c r="H31" s="348"/>
      <c r="I31" s="35" t="s">
        <v>29</v>
      </c>
      <c r="J31" s="280"/>
      <c r="K31" s="284"/>
      <c r="L31" s="302"/>
      <c r="M31" s="302"/>
      <c r="N31" s="30">
        <v>98</v>
      </c>
      <c r="O31" s="11"/>
      <c r="P31" s="31"/>
      <c r="R31" s="277"/>
      <c r="S31" s="296"/>
      <c r="T31" s="296"/>
      <c r="U31" s="297"/>
      <c r="V31" s="297"/>
      <c r="W31" s="297"/>
      <c r="X31" s="297"/>
      <c r="Y31" s="297"/>
      <c r="Z31" s="296"/>
    </row>
    <row r="32" spans="1:27" ht="14.65" customHeight="1">
      <c r="A32" s="28"/>
      <c r="B32" s="579"/>
      <c r="C32" s="362"/>
      <c r="D32" s="519"/>
      <c r="E32" s="502"/>
      <c r="F32" s="417"/>
      <c r="G32" s="294"/>
      <c r="H32" s="348"/>
      <c r="I32" s="36" t="s">
        <v>15</v>
      </c>
      <c r="J32" s="323"/>
      <c r="K32" s="284">
        <f>COUNTA([27]Brewhouse!$A$28:$A$35)</f>
        <v>8</v>
      </c>
      <c r="L32" s="302">
        <f>AVERAGE([27]Brewhouse!$AT$28:$AT$35)</f>
        <v>95.233703112250225</v>
      </c>
      <c r="M32" s="302">
        <f>AVERAGE([27]Brewhouse!$AT$4:$AT$11,[27]Brewhouse!$AT$13:$AT$16,[27]Brewhouse!$AT$18:$AT$21,[27]Brewhouse!$AT$26,[27]Brewhouse!$AT$28:$AT$35)</f>
        <v>94.794664331624134</v>
      </c>
      <c r="N32" s="30">
        <v>98</v>
      </c>
      <c r="O32" s="11"/>
      <c r="P32" s="31"/>
      <c r="R32" s="277"/>
      <c r="S32" s="296"/>
      <c r="T32" s="296"/>
      <c r="U32" s="297"/>
      <c r="V32" s="297"/>
      <c r="W32" s="297"/>
      <c r="X32" s="297"/>
      <c r="Y32" s="297"/>
      <c r="Z32" s="296"/>
      <c r="AA32" s="296"/>
    </row>
    <row r="33" spans="1:56" ht="14.65" customHeight="1">
      <c r="A33" s="28"/>
      <c r="B33" s="579"/>
      <c r="C33" s="362"/>
      <c r="D33" s="518"/>
      <c r="E33" s="507"/>
      <c r="F33" s="417"/>
      <c r="G33" s="294"/>
      <c r="H33" s="348"/>
      <c r="I33" s="37" t="s">
        <v>16</v>
      </c>
      <c r="J33" s="323">
        <f>AVERAGE(I10:I12)</f>
        <v>95.884803102308425</v>
      </c>
      <c r="K33" s="284">
        <f>COUNTA([23]Brewhouse!$A$75:$A$85)</f>
        <v>11</v>
      </c>
      <c r="L33" s="302">
        <f>AVERAGE([23]Brewhouse!$AY$75:$AY$85)</f>
        <v>97.233192208480034</v>
      </c>
      <c r="M33" s="302">
        <f>AVERAGE([23]Brewhouse!$AY$6:$AY$13,[23]Brewhouse!$AY$15:$AY$20,[23]Brewhouse!$AY$22:$AY$29,[23]Brewhouse!$AY$31:$AY$34,[23]Brewhouse!$AY$36:$AY$43,[23]Brewhouse!$AY$45:$AY$50, [23]Brewhouse!$AY$56:$AY$73,[23]Brewhouse!$AY$75:$AY$85)</f>
        <v>97.34293743947174</v>
      </c>
      <c r="N33" s="30">
        <v>98</v>
      </c>
      <c r="O33" s="11"/>
      <c r="P33" s="31" t="s">
        <v>41</v>
      </c>
      <c r="R33" s="277"/>
      <c r="S33" s="296"/>
      <c r="T33" s="296"/>
      <c r="U33" s="297"/>
      <c r="V33" s="297"/>
      <c r="W33" s="297"/>
      <c r="X33" s="297"/>
      <c r="Y33" s="297"/>
      <c r="Z33" s="296"/>
      <c r="AA33" s="296"/>
    </row>
    <row r="34" spans="1:56" ht="14.65" customHeight="1">
      <c r="A34" s="28"/>
      <c r="B34" s="579"/>
      <c r="C34" s="362"/>
      <c r="D34" s="519"/>
      <c r="E34" s="502"/>
      <c r="F34" s="294"/>
      <c r="G34" s="294"/>
      <c r="H34" s="348"/>
      <c r="I34" s="411" t="s">
        <v>158</v>
      </c>
      <c r="J34" s="326"/>
      <c r="K34" s="284"/>
      <c r="L34" s="305"/>
      <c r="M34" s="305">
        <f>AVERAGE([28]Brewhouse!$AU$5:$AU$8,[28]Brewhouse!$AU$10:$AU$13,[23]Brewhouse!$AY$75:$AY$77)</f>
        <v>94.749192473706671</v>
      </c>
      <c r="N34" s="30">
        <v>98</v>
      </c>
      <c r="O34" s="11"/>
      <c r="P34" s="31"/>
      <c r="R34" s="277"/>
      <c r="S34" s="296"/>
      <c r="T34" s="296"/>
      <c r="U34" s="297"/>
      <c r="V34" s="297"/>
      <c r="W34" s="297"/>
      <c r="X34" s="297"/>
      <c r="Y34" s="297"/>
      <c r="Z34" s="296"/>
      <c r="AA34" s="296"/>
    </row>
    <row r="35" spans="1:56" ht="14.65" customHeight="1">
      <c r="A35" s="28"/>
      <c r="B35" s="579"/>
      <c r="C35" s="349"/>
      <c r="D35" s="518"/>
      <c r="E35" s="507"/>
      <c r="F35" s="294"/>
      <c r="G35" s="294"/>
      <c r="H35" s="348"/>
      <c r="I35" s="410" t="s">
        <v>157</v>
      </c>
      <c r="J35" s="326"/>
      <c r="K35" s="284"/>
      <c r="L35" s="305"/>
      <c r="M35" s="305">
        <f>AVERAGE([29]Brewhouse!$AW$26:$AW$27)</f>
        <v>95.310680905194914</v>
      </c>
      <c r="N35" s="30">
        <v>98</v>
      </c>
      <c r="O35" s="11"/>
      <c r="P35" s="31"/>
      <c r="R35" s="277"/>
      <c r="S35" s="296"/>
      <c r="T35" s="296"/>
      <c r="U35" s="297"/>
      <c r="V35" s="297"/>
      <c r="W35" s="297"/>
      <c r="X35" s="297"/>
      <c r="Y35" s="297"/>
      <c r="Z35" s="296"/>
      <c r="AA35" s="296"/>
    </row>
    <row r="36" spans="1:56" ht="15" customHeight="1" thickBot="1">
      <c r="A36" s="28"/>
      <c r="B36" s="579"/>
      <c r="C36" s="349"/>
      <c r="D36" s="519"/>
      <c r="E36" s="502"/>
      <c r="F36" s="294"/>
      <c r="G36" s="294"/>
      <c r="H36" s="348"/>
      <c r="I36" s="406" t="s">
        <v>156</v>
      </c>
      <c r="J36" s="327"/>
      <c r="K36" s="407"/>
      <c r="L36" s="408"/>
      <c r="M36" s="408">
        <f>AVERAGE([30]Brewhouse!$AU$13:$AU$14)</f>
        <v>97.110575243268045</v>
      </c>
      <c r="N36" s="409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  <c r="AA36" s="296"/>
    </row>
    <row r="37" spans="1:56" ht="15" customHeight="1" thickBot="1">
      <c r="A37" s="28"/>
      <c r="B37" s="579"/>
      <c r="C37" s="349"/>
      <c r="D37" s="518"/>
      <c r="E37" s="507"/>
      <c r="F37" s="294"/>
      <c r="G37" s="294"/>
      <c r="H37" s="348"/>
      <c r="I37" s="1"/>
      <c r="J37" s="39"/>
      <c r="K37" s="404">
        <f>SUM(K27:K36)</f>
        <v>149</v>
      </c>
      <c r="L37" s="405">
        <f>((L27*K27)+(L28*K28)+(L29*K29)+(L30*K30)+(L31*K31)+(K34*L34)+(L32*K32)+(L33*K33)+(L36*K36))/(K37)</f>
        <v>97.104607906657307</v>
      </c>
      <c r="M37" s="405">
        <f>AVERAGE('[31]Jan 31st'!$L$65,'[32]Feb 28th'!$L$35,'[33]Mar. 31st'!$L$35,'[34]Apr. 30th'!$L$45,'[35]May 30th'!$L$37,'[36]June 30th'!$L$57,L37)</f>
        <v>97.579502629102748</v>
      </c>
      <c r="N37" s="40">
        <v>98</v>
      </c>
      <c r="O37" s="11"/>
      <c r="P37" s="31"/>
      <c r="R37" s="277"/>
      <c r="S37" s="296"/>
      <c r="T37" s="296"/>
      <c r="U37" s="297"/>
      <c r="V37" s="297"/>
      <c r="W37" s="297"/>
      <c r="X37" s="297"/>
      <c r="Y37" s="297"/>
      <c r="Z37" s="296"/>
      <c r="AA37" s="296"/>
    </row>
    <row r="38" spans="1:56" ht="15.75" thickBot="1">
      <c r="B38" s="580"/>
      <c r="C38" s="350"/>
      <c r="D38" s="519"/>
      <c r="E38" s="502"/>
      <c r="F38" s="294"/>
      <c r="G38" s="42"/>
      <c r="H38" s="41"/>
      <c r="I38" s="42"/>
      <c r="J38" s="42"/>
      <c r="K38" s="351"/>
      <c r="L38" s="348"/>
      <c r="M38" s="348"/>
      <c r="N38" s="11"/>
      <c r="O38" s="294"/>
      <c r="P38" s="12"/>
      <c r="R38" s="277"/>
      <c r="S38" s="296"/>
      <c r="T38" s="296"/>
      <c r="U38" s="297"/>
      <c r="V38" s="297"/>
      <c r="W38" s="297"/>
      <c r="X38" s="297"/>
      <c r="Y38" s="297"/>
      <c r="Z38" s="296"/>
      <c r="AA38" s="296"/>
    </row>
    <row r="39" spans="1:56" ht="15.75" thickBot="1">
      <c r="B39" s="552"/>
      <c r="C39" s="362"/>
      <c r="D39" s="499"/>
      <c r="E39" s="500"/>
      <c r="F39" s="294"/>
      <c r="G39" s="42"/>
      <c r="H39" s="41"/>
      <c r="I39" s="42"/>
      <c r="J39" s="553" t="s">
        <v>129</v>
      </c>
      <c r="K39" s="553"/>
      <c r="L39" s="294"/>
      <c r="M39" s="294"/>
      <c r="N39" s="294"/>
      <c r="O39" s="294"/>
      <c r="P39" s="12"/>
    </row>
    <row r="40" spans="1:56" ht="15.75" thickBot="1">
      <c r="B40" s="516"/>
      <c r="C40" s="362"/>
      <c r="D40" s="501"/>
      <c r="E40" s="502"/>
      <c r="F40" s="294"/>
      <c r="G40" s="42"/>
      <c r="H40" s="41"/>
      <c r="I40" s="42"/>
      <c r="J40" s="292" t="s">
        <v>17</v>
      </c>
      <c r="K40" s="293" t="s">
        <v>147</v>
      </c>
      <c r="L40" s="504" t="s">
        <v>136</v>
      </c>
      <c r="M40" s="504"/>
      <c r="N40" s="505"/>
      <c r="O40" s="294"/>
      <c r="P40" s="12"/>
    </row>
    <row r="41" spans="1:56" ht="15" customHeight="1" thickBot="1">
      <c r="B41" s="516"/>
      <c r="C41" s="349"/>
      <c r="D41" s="554"/>
      <c r="E41" s="555"/>
      <c r="F41" s="294"/>
      <c r="G41" s="42"/>
      <c r="H41" s="41"/>
      <c r="I41" s="42"/>
      <c r="J41" s="287" t="s">
        <v>6</v>
      </c>
      <c r="K41" s="324"/>
      <c r="L41" s="343" t="s">
        <v>37</v>
      </c>
      <c r="M41" s="307" t="s">
        <v>38</v>
      </c>
      <c r="N41" s="307" t="s">
        <v>84</v>
      </c>
      <c r="O41" s="294"/>
      <c r="P41" s="12"/>
    </row>
    <row r="42" spans="1:56" ht="15.75" customHeight="1" thickBot="1">
      <c r="B42" s="516"/>
      <c r="C42" s="349"/>
      <c r="D42" s="501"/>
      <c r="E42" s="502"/>
      <c r="F42" s="294"/>
      <c r="G42" s="42"/>
      <c r="H42" s="41"/>
      <c r="I42" s="42"/>
      <c r="J42" s="345" t="s">
        <v>9</v>
      </c>
      <c r="K42" s="324"/>
      <c r="L42" s="344">
        <f>AVERAGE('Sept 1st'!K53,'Sept 2nd'!K51,'Sept 3rd'!K52,'Sept 4th'!K61,'Sept 5th '!K49,'Sept 8th'!K51,'Sept 9th'!K51,'Sept 10th'!K59,'Sept 11th'!K53,'Sept 15th '!K43,'Sept 16th'!K44,'Sept 17th'!K48,'Sept 18th '!K46,'Sept 19th'!K49,'Sept 22nd'!K51,'Sept 23rd'!K57,'Sept 24th'!K52,'Sept 25th'!K54,'Sept 26th'!K51,'Sept 29th '!K51)</f>
        <v>7.4</v>
      </c>
      <c r="M42" s="325">
        <f>AVERAGE('[31]Jan 29th '!$M$70,'[32]Feb 28th'!$L$40,'[33]Mar. 31st'!$L$40,'[34]Apr. 30th'!$L$50,'[35]May 30th'!$L$42,'[36]June 30th'!$L$62,'[37]July 29th '!$L$49,'[38]Aug 29th'!$L$34,L42)</f>
        <v>7.0036340386454796</v>
      </c>
      <c r="N42" s="416">
        <v>9.1999999999999993</v>
      </c>
      <c r="O42" s="294"/>
      <c r="P42" s="12"/>
    </row>
    <row r="43" spans="1:56" ht="15" customHeight="1">
      <c r="B43" s="516"/>
      <c r="C43" s="349"/>
      <c r="D43" s="554"/>
      <c r="E43" s="555"/>
      <c r="F43" s="294"/>
      <c r="G43" s="42"/>
      <c r="H43" s="41"/>
      <c r="I43" s="42"/>
      <c r="J43" s="288" t="s">
        <v>40</v>
      </c>
      <c r="K43" s="324"/>
      <c r="L43" s="294"/>
      <c r="M43" s="294"/>
      <c r="N43" s="294"/>
      <c r="O43" s="294"/>
      <c r="P43" s="12"/>
    </row>
    <row r="44" spans="1:56" ht="15" customHeight="1">
      <c r="B44" s="516"/>
      <c r="C44" s="349"/>
      <c r="D44" s="501"/>
      <c r="E44" s="502"/>
      <c r="F44" s="294"/>
      <c r="G44" s="42"/>
      <c r="H44" s="41"/>
      <c r="I44" s="42"/>
      <c r="J44" s="289" t="s">
        <v>33</v>
      </c>
      <c r="K44" s="324"/>
      <c r="L44" s="294"/>
      <c r="M44" s="294"/>
      <c r="N44" s="294"/>
      <c r="O44" s="294"/>
      <c r="P44" s="12"/>
    </row>
    <row r="45" spans="1:56" ht="15">
      <c r="B45" s="516"/>
      <c r="C45" s="349"/>
      <c r="D45" s="554"/>
      <c r="E45" s="555"/>
      <c r="F45" s="294"/>
      <c r="G45" s="42"/>
      <c r="H45" s="41"/>
      <c r="I45" s="42"/>
      <c r="J45" s="290" t="s">
        <v>16</v>
      </c>
      <c r="K45" s="324">
        <v>3</v>
      </c>
      <c r="L45" s="294"/>
      <c r="M45" s="294"/>
      <c r="N45" s="294"/>
      <c r="O45" s="294"/>
      <c r="P45" s="12"/>
      <c r="BC45" s="44"/>
      <c r="BD45" s="44"/>
    </row>
    <row r="46" spans="1:56" ht="15">
      <c r="B46" s="516"/>
      <c r="C46" s="349"/>
      <c r="D46" s="501"/>
      <c r="E46" s="502"/>
      <c r="F46" s="294"/>
      <c r="G46" s="42"/>
      <c r="H46" s="41"/>
      <c r="I46" s="42"/>
      <c r="J46" s="291" t="s">
        <v>15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16"/>
      <c r="C47" s="349"/>
      <c r="D47" s="554"/>
      <c r="E47" s="555"/>
      <c r="F47" s="294"/>
      <c r="G47" s="42"/>
      <c r="H47" s="41"/>
      <c r="I47" s="42"/>
      <c r="J47" s="291" t="s">
        <v>149</v>
      </c>
      <c r="K47" s="324"/>
      <c r="L47" s="294"/>
      <c r="M47" s="294"/>
      <c r="N47" s="294"/>
      <c r="O47" s="294"/>
      <c r="P47" s="12"/>
      <c r="BC47" s="44"/>
      <c r="BD47" s="44"/>
    </row>
    <row r="48" spans="1:56" ht="15.75" thickBot="1">
      <c r="B48" s="517"/>
      <c r="C48" s="350"/>
      <c r="D48" s="556"/>
      <c r="E48" s="557"/>
      <c r="F48" s="294"/>
      <c r="G48" s="42"/>
      <c r="H48" s="41"/>
      <c r="I48" s="42"/>
      <c r="J48" s="291" t="s">
        <v>148</v>
      </c>
      <c r="K48" s="324"/>
      <c r="L48" s="294"/>
      <c r="M48" s="294"/>
      <c r="N48" s="294" t="s">
        <v>41</v>
      </c>
      <c r="O48" s="294"/>
      <c r="P48" s="12"/>
      <c r="BC48" s="44"/>
      <c r="BD48" s="44"/>
    </row>
    <row r="49" spans="2:57" ht="17.649999999999999" customHeight="1" thickBot="1">
      <c r="B49" s="312" t="s">
        <v>139</v>
      </c>
      <c r="C49" s="313"/>
      <c r="D49" s="550" t="e">
        <f>AVERAGE(D27:E48)</f>
        <v>#DIV/0!</v>
      </c>
      <c r="E49" s="551"/>
      <c r="F49" s="294"/>
      <c r="H49" s="41"/>
      <c r="I49" s="42"/>
      <c r="J49" s="295" t="s">
        <v>134</v>
      </c>
      <c r="K49" s="324"/>
      <c r="L49" s="294"/>
      <c r="M49" s="294"/>
      <c r="N49" s="294"/>
      <c r="O49" s="294"/>
      <c r="P49" s="12"/>
      <c r="BC49" s="44"/>
      <c r="BD49" s="44"/>
    </row>
    <row r="50" spans="2:57" ht="17.649999999999999" customHeight="1">
      <c r="B50" s="363"/>
      <c r="C50" s="364"/>
      <c r="D50" s="365"/>
      <c r="E50" s="365"/>
      <c r="F50" s="294"/>
      <c r="G50" s="42"/>
      <c r="H50" s="41"/>
      <c r="I50" s="42"/>
      <c r="J50" s="295" t="s">
        <v>131</v>
      </c>
      <c r="K50" s="324"/>
      <c r="L50" s="294"/>
      <c r="M50" s="294"/>
      <c r="N50" s="294"/>
      <c r="O50" s="294"/>
      <c r="P50" s="12"/>
      <c r="BC50" s="44"/>
      <c r="BD50" s="44"/>
    </row>
    <row r="51" spans="2:57" ht="15.6" customHeight="1">
      <c r="B51" s="45"/>
      <c r="C51" s="11"/>
      <c r="D51" s="11"/>
      <c r="E51" s="46"/>
      <c r="F51" s="294"/>
      <c r="G51" s="42"/>
      <c r="H51" s="41"/>
      <c r="I51" s="42"/>
      <c r="J51" s="346" t="s">
        <v>130</v>
      </c>
      <c r="K51" s="324">
        <f>SUM(K41:K50)</f>
        <v>3</v>
      </c>
      <c r="L51" s="294"/>
      <c r="M51" s="294"/>
      <c r="N51" s="294"/>
      <c r="O51" s="294"/>
      <c r="P51" s="12"/>
    </row>
    <row r="52" spans="2:57" ht="20.25" customHeight="1">
      <c r="B52" s="15" t="s">
        <v>42</v>
      </c>
      <c r="C52" s="1" t="s">
        <v>43</v>
      </c>
      <c r="D52" s="1"/>
      <c r="E52" s="1"/>
      <c r="F52" s="294"/>
      <c r="G52" s="42"/>
      <c r="H52" s="41"/>
      <c r="I52" s="42"/>
      <c r="L52" s="294"/>
      <c r="N52" s="315"/>
      <c r="P52" s="334"/>
    </row>
    <row r="53" spans="2:57" ht="15" customHeight="1" thickBot="1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1"/>
      <c r="O53" s="48"/>
      <c r="P53" s="49"/>
    </row>
    <row r="54" spans="2:57" ht="15" customHeight="1" thickBot="1">
      <c r="B54" s="480" t="s">
        <v>17</v>
      </c>
      <c r="C54" s="480" t="s">
        <v>44</v>
      </c>
      <c r="D54" s="492" t="s">
        <v>45</v>
      </c>
      <c r="E54" s="494" t="s">
        <v>46</v>
      </c>
      <c r="F54" s="488" t="s">
        <v>47</v>
      </c>
      <c r="G54" s="478" t="s">
        <v>48</v>
      </c>
      <c r="H54" s="480" t="s">
        <v>49</v>
      </c>
      <c r="I54" s="480" t="s">
        <v>50</v>
      </c>
      <c r="J54" s="472" t="s">
        <v>28</v>
      </c>
      <c r="K54" s="484" t="s">
        <v>51</v>
      </c>
      <c r="L54" s="486" t="s">
        <v>52</v>
      </c>
      <c r="M54" s="472" t="s">
        <v>53</v>
      </c>
      <c r="N54" s="13"/>
      <c r="O54" s="13"/>
      <c r="P54" s="50"/>
    </row>
    <row r="55" spans="2:57" ht="28.5" customHeight="1" thickTop="1" thickBot="1">
      <c r="B55" s="481"/>
      <c r="C55" s="481"/>
      <c r="D55" s="493"/>
      <c r="E55" s="495"/>
      <c r="F55" s="489"/>
      <c r="G55" s="479"/>
      <c r="H55" s="549"/>
      <c r="I55" s="549"/>
      <c r="J55" s="473"/>
      <c r="K55" s="485"/>
      <c r="L55" s="487"/>
      <c r="M55" s="473"/>
      <c r="N55" s="13"/>
      <c r="O55" s="13"/>
      <c r="P55" s="50"/>
      <c r="Q55" s="355"/>
      <c r="AB55" s="51">
        <v>43474</v>
      </c>
      <c r="AC55" s="51">
        <v>43475</v>
      </c>
      <c r="AD55" s="51">
        <v>43476</v>
      </c>
      <c r="AE55" s="51">
        <v>43477</v>
      </c>
      <c r="AF55" s="51">
        <v>43478</v>
      </c>
      <c r="AG55" s="51">
        <v>43479</v>
      </c>
      <c r="AH55" s="51">
        <v>43480</v>
      </c>
      <c r="AI55" s="51">
        <v>43481</v>
      </c>
      <c r="AJ55" s="51">
        <v>43482</v>
      </c>
      <c r="AK55" s="51">
        <v>43483</v>
      </c>
      <c r="AL55" s="51">
        <v>43484</v>
      </c>
      <c r="AM55" s="51">
        <v>43485</v>
      </c>
      <c r="AN55" s="51">
        <v>43486</v>
      </c>
      <c r="AO55" s="51">
        <v>43487</v>
      </c>
      <c r="AP55" s="51">
        <v>43488</v>
      </c>
      <c r="AQ55" s="51">
        <v>43489</v>
      </c>
      <c r="AR55" s="51">
        <v>43490</v>
      </c>
      <c r="AS55" s="51">
        <v>43491</v>
      </c>
      <c r="AT55" s="51">
        <v>43492</v>
      </c>
      <c r="AU55" s="51">
        <v>43493</v>
      </c>
      <c r="AV55" s="51">
        <v>43494</v>
      </c>
      <c r="AW55" s="51">
        <v>43495</v>
      </c>
      <c r="AX55" s="51">
        <v>43496</v>
      </c>
    </row>
    <row r="56" spans="2:57" s="54" customFormat="1" ht="59.45" hidden="1" customHeight="1" thickBot="1">
      <c r="B56" s="387" t="str">
        <f>I27</f>
        <v>CARIB</v>
      </c>
      <c r="C56" s="442">
        <v>45926</v>
      </c>
      <c r="D56" s="443"/>
      <c r="E56" s="444"/>
      <c r="F56" s="445"/>
      <c r="G56" s="446"/>
      <c r="H56" s="470"/>
      <c r="I56" s="470"/>
      <c r="J56" s="449" t="s">
        <v>189</v>
      </c>
      <c r="K56" s="450"/>
      <c r="L56" s="471" t="e">
        <f>(((D56+E56)-G56)/(D56+E56))*100</f>
        <v>#DIV/0!</v>
      </c>
      <c r="M56" s="457" t="s">
        <v>182</v>
      </c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[20]January_2019!L7</f>
        <v>285.8</v>
      </c>
      <c r="AC56" s="57">
        <f>[20]January_2019!M7</f>
        <v>508.1</v>
      </c>
      <c r="AD56" s="57">
        <f>[20]January_2019!N7</f>
        <v>0</v>
      </c>
      <c r="AE56" s="57">
        <f>[20]January_2019!O7</f>
        <v>0</v>
      </c>
      <c r="AF56" s="57">
        <f>[20]January_2019!P7</f>
        <v>109.56666666666666</v>
      </c>
      <c r="AG56" s="57">
        <f>[20]January_2019!Q7</f>
        <v>297.64999999999998</v>
      </c>
      <c r="AH56" s="57">
        <f>[20]January_2019!R7</f>
        <v>122.3</v>
      </c>
      <c r="AI56" s="57">
        <f>[20]January_2019!S7</f>
        <v>0</v>
      </c>
      <c r="AJ56" s="57">
        <f>[20]January_2019!T7</f>
        <v>294.7</v>
      </c>
      <c r="AK56" s="57">
        <f>[20]January_2019!U7</f>
        <v>280.5</v>
      </c>
      <c r="AL56" s="57">
        <f>[20]January_2019!V7</f>
        <v>0</v>
      </c>
      <c r="AM56" s="57">
        <f>[20]January_2019!W7</f>
        <v>0</v>
      </c>
      <c r="AN56" s="57">
        <f>[20]January_2019!X7</f>
        <v>188.25</v>
      </c>
      <c r="AO56" s="57">
        <f>[20]January_2019!Y7</f>
        <v>295.7</v>
      </c>
      <c r="AP56" s="57">
        <f>[20]January_2019!Z7</f>
        <v>257.8</v>
      </c>
      <c r="AQ56" s="57">
        <f>[20]January_2019!AA7</f>
        <v>291.2</v>
      </c>
      <c r="AR56" s="57">
        <f>[20]January_2019!AB7</f>
        <v>187</v>
      </c>
      <c r="AS56" s="57">
        <f>[20]January_2019!AC7</f>
        <v>0</v>
      </c>
      <c r="AT56" s="57">
        <f>[20]January_2019!AD7</f>
        <v>0</v>
      </c>
      <c r="AU56" s="57">
        <f>[20]January_2019!AE7</f>
        <v>485.1</v>
      </c>
      <c r="AV56" s="57">
        <f>[20]January_2019!AF7</f>
        <v>171.55</v>
      </c>
      <c r="AW56" s="57">
        <f>[20]January_2019!AG7</f>
        <v>423.8</v>
      </c>
      <c r="AX56" s="277">
        <f>[20]January_2019!AH7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20.45" hidden="1" customHeight="1" thickBot="1">
      <c r="B57" s="459"/>
      <c r="C57" s="431"/>
      <c r="D57" s="432"/>
      <c r="E57" s="433"/>
      <c r="F57" s="434"/>
      <c r="G57" s="435"/>
      <c r="H57" s="429"/>
      <c r="I57" s="429"/>
      <c r="J57" s="452"/>
      <c r="K57" s="437"/>
      <c r="L57" s="453"/>
      <c r="M57" s="422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59.45" hidden="1" customHeight="1" thickBot="1">
      <c r="B58" s="460"/>
      <c r="C58" s="442"/>
      <c r="D58" s="443"/>
      <c r="E58" s="444"/>
      <c r="F58" s="445"/>
      <c r="G58" s="446"/>
      <c r="H58" s="429"/>
      <c r="I58" s="429"/>
      <c r="J58" s="449"/>
      <c r="K58" s="450"/>
      <c r="L58" s="458"/>
      <c r="M58" s="457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5" hidden="1">
      <c r="B59" s="454"/>
      <c r="C59" s="431"/>
      <c r="D59" s="432"/>
      <c r="E59" s="433"/>
      <c r="F59" s="434"/>
      <c r="G59" s="435"/>
      <c r="H59" s="436"/>
      <c r="I59" s="451"/>
      <c r="J59" s="452"/>
      <c r="K59" s="437"/>
      <c r="L59" s="453"/>
      <c r="M59" s="422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6.6" hidden="1" customHeight="1" thickBot="1">
      <c r="B60" s="387"/>
      <c r="C60" s="442"/>
      <c r="D60" s="443"/>
      <c r="E60" s="444"/>
      <c r="F60" s="445"/>
      <c r="G60" s="446"/>
      <c r="H60" s="447"/>
      <c r="I60" s="448"/>
      <c r="J60" s="449"/>
      <c r="K60" s="450"/>
      <c r="L60" s="455" t="e">
        <f>(((D60+E60)-G60)/(D60+E60))*100</f>
        <v>#DIV/0!</v>
      </c>
      <c r="M60" s="456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6.5" hidden="1" customHeight="1" thickBot="1">
      <c r="B61" s="438"/>
      <c r="C61" s="424"/>
      <c r="D61" s="425"/>
      <c r="E61" s="426"/>
      <c r="F61" s="427"/>
      <c r="G61" s="428"/>
      <c r="H61" s="429"/>
      <c r="I61" s="439"/>
      <c r="J61" s="440"/>
      <c r="K61" s="430"/>
      <c r="L61" s="441"/>
      <c r="M61" s="423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415"/>
      <c r="AC61" s="415"/>
      <c r="AD61" s="415"/>
      <c r="AE61" s="415"/>
      <c r="AF61" s="415"/>
      <c r="AG61" s="415"/>
      <c r="AH61" s="415"/>
      <c r="AI61" s="415"/>
      <c r="AJ61" s="415"/>
      <c r="AK61" s="415"/>
      <c r="AL61" s="415"/>
      <c r="AM61" s="415"/>
      <c r="AN61" s="415"/>
      <c r="AO61" s="415"/>
      <c r="AP61" s="415"/>
      <c r="AQ61" s="415"/>
      <c r="AR61" s="415"/>
      <c r="AS61" s="415"/>
      <c r="AT61" s="415"/>
      <c r="AU61" s="415"/>
      <c r="AV61" s="415"/>
      <c r="AW61" s="415"/>
    </row>
    <row r="62" spans="2:57" ht="18" customHeight="1" thickBot="1">
      <c r="B62" s="59"/>
      <c r="C62" s="30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 t="s">
        <v>41</v>
      </c>
      <c r="O62" s="56"/>
      <c r="P62" s="60"/>
    </row>
    <row r="63" spans="2:57" ht="15.75" thickBot="1">
      <c r="B63" s="474" t="s">
        <v>55</v>
      </c>
      <c r="C63" s="475"/>
      <c r="D63" s="475"/>
      <c r="E63" s="475"/>
      <c r="F63" s="476"/>
      <c r="G63" s="474" t="s">
        <v>56</v>
      </c>
      <c r="H63" s="475"/>
      <c r="I63" s="475"/>
      <c r="J63" s="476"/>
      <c r="K63" s="474" t="s">
        <v>51</v>
      </c>
      <c r="L63" s="475"/>
      <c r="M63" s="475"/>
      <c r="N63" s="477"/>
      <c r="O63" s="56"/>
      <c r="P63" s="50"/>
    </row>
    <row r="64" spans="2:57" ht="15">
      <c r="B64" s="61" t="s">
        <v>17</v>
      </c>
      <c r="C64" s="62" t="s">
        <v>36</v>
      </c>
      <c r="D64" s="62" t="s">
        <v>37</v>
      </c>
      <c r="E64" s="62" t="s">
        <v>38</v>
      </c>
      <c r="F64" s="63" t="s">
        <v>39</v>
      </c>
      <c r="G64" s="62" t="s">
        <v>36</v>
      </c>
      <c r="H64" s="62" t="s">
        <v>37</v>
      </c>
      <c r="I64" s="62" t="s">
        <v>38</v>
      </c>
      <c r="J64" s="63" t="s">
        <v>39</v>
      </c>
      <c r="K64" s="62" t="s">
        <v>36</v>
      </c>
      <c r="L64" s="62" t="s">
        <v>37</v>
      </c>
      <c r="M64" s="62" t="s">
        <v>38</v>
      </c>
      <c r="N64" s="63" t="s">
        <v>39</v>
      </c>
      <c r="O64" s="56"/>
      <c r="P64" s="64"/>
    </row>
    <row r="65" spans="2:16" ht="15">
      <c r="B65" s="29" t="s">
        <v>6</v>
      </c>
      <c r="C65" s="65"/>
      <c r="D65" s="76">
        <v>5.5747692448638091</v>
      </c>
      <c r="E65" s="76">
        <v>6.2422655045435054</v>
      </c>
      <c r="F65" s="66">
        <v>4.8</v>
      </c>
      <c r="G65" s="65"/>
      <c r="H65" s="76">
        <v>5.8256772849763934</v>
      </c>
      <c r="I65" s="76">
        <v>6.2355368379164196</v>
      </c>
      <c r="J65" s="66">
        <v>4.8</v>
      </c>
      <c r="K65" s="67"/>
      <c r="L65" s="194">
        <v>0.7211777777777777</v>
      </c>
      <c r="M65" s="194">
        <v>0.76862909709990124</v>
      </c>
      <c r="N65" s="68">
        <v>1</v>
      </c>
      <c r="O65" s="56"/>
      <c r="P65" s="69"/>
    </row>
    <row r="66" spans="2:16" ht="15">
      <c r="B66" s="33" t="s">
        <v>9</v>
      </c>
      <c r="C66" s="65"/>
      <c r="D66" s="76">
        <v>6.4421833717466042</v>
      </c>
      <c r="E66" s="76">
        <v>5.9960377561379312</v>
      </c>
      <c r="F66" s="66">
        <v>4.8</v>
      </c>
      <c r="G66" s="65"/>
      <c r="H66" s="76">
        <v>7.1293852901923529</v>
      </c>
      <c r="I66" s="76">
        <v>5.6513680702551383</v>
      </c>
      <c r="J66" s="66">
        <v>4.8</v>
      </c>
      <c r="K66" s="67"/>
      <c r="L66" s="194">
        <v>0.48873918128654975</v>
      </c>
      <c r="M66" s="194">
        <v>0.71648808642913986</v>
      </c>
      <c r="N66" s="68">
        <v>1</v>
      </c>
      <c r="P66" s="69"/>
    </row>
    <row r="67" spans="2:16" ht="15">
      <c r="B67" s="34" t="s">
        <v>40</v>
      </c>
      <c r="C67" s="65"/>
      <c r="D67" s="76">
        <v>10.092614580859641</v>
      </c>
      <c r="E67" s="76">
        <v>11.635872449225705</v>
      </c>
      <c r="F67" s="66">
        <v>5.5</v>
      </c>
      <c r="G67" s="65"/>
      <c r="H67" s="76">
        <v>10.729570603848533</v>
      </c>
      <c r="I67" s="76">
        <v>12.731353927784783</v>
      </c>
      <c r="J67" s="66">
        <v>5.5</v>
      </c>
      <c r="K67" s="67"/>
      <c r="L67" s="194">
        <v>0.49929824561403513</v>
      </c>
      <c r="M67" s="194">
        <v>0.53494558457711439</v>
      </c>
      <c r="N67" s="68">
        <v>1</v>
      </c>
      <c r="P67" s="69"/>
    </row>
    <row r="68" spans="2:16" ht="15">
      <c r="B68" s="22" t="s">
        <v>33</v>
      </c>
      <c r="C68" s="65"/>
      <c r="D68" s="76">
        <v>2.7693089430894253</v>
      </c>
      <c r="E68" s="76">
        <v>4.8132587912269527</v>
      </c>
      <c r="F68" s="66">
        <v>3.3</v>
      </c>
      <c r="G68" s="65"/>
      <c r="H68" s="76">
        <v>2.091599363557624</v>
      </c>
      <c r="I68" s="76">
        <v>4.4772094679692334</v>
      </c>
      <c r="J68" s="66">
        <v>3.3</v>
      </c>
      <c r="K68" s="67"/>
      <c r="L68" s="194">
        <v>0.67140350877192978</v>
      </c>
      <c r="M68" s="194">
        <v>0.80025950292397652</v>
      </c>
      <c r="N68" s="68">
        <v>1</v>
      </c>
      <c r="P68" s="69"/>
    </row>
    <row r="69" spans="2:16" ht="15">
      <c r="B69" s="35" t="s">
        <v>165</v>
      </c>
      <c r="C69" s="65"/>
      <c r="D69" s="76"/>
      <c r="E69" s="76">
        <v>7.837301587301579</v>
      </c>
      <c r="F69" s="66">
        <v>3.3</v>
      </c>
      <c r="G69" s="282"/>
      <c r="H69" s="76"/>
      <c r="I69" s="76">
        <v>5.3377569154690221</v>
      </c>
      <c r="J69" s="66">
        <v>3</v>
      </c>
      <c r="K69" s="67"/>
      <c r="L69" s="194"/>
      <c r="M69" s="194">
        <v>0.32596491228070179</v>
      </c>
      <c r="N69" s="68">
        <v>1</v>
      </c>
      <c r="P69" s="69"/>
    </row>
    <row r="70" spans="2:16" ht="15">
      <c r="B70" s="36" t="s">
        <v>15</v>
      </c>
      <c r="C70" s="65"/>
      <c r="D70" s="76">
        <v>6.8083051665862007</v>
      </c>
      <c r="E70" s="76">
        <v>7.145714971593196</v>
      </c>
      <c r="F70" s="70">
        <f>[21]May_2022!$M$43</f>
        <v>3.4878406700073312</v>
      </c>
      <c r="G70" s="282"/>
      <c r="H70" s="76">
        <v>9.158428682230376</v>
      </c>
      <c r="I70" s="76">
        <v>8.7314771031579212</v>
      </c>
      <c r="J70" s="66">
        <v>5.5</v>
      </c>
      <c r="K70" s="67"/>
      <c r="L70" s="194">
        <v>1.3543859649122807</v>
      </c>
      <c r="M70" s="194">
        <v>0.73160818713450293</v>
      </c>
      <c r="N70" s="68">
        <v>1</v>
      </c>
      <c r="P70" s="69"/>
    </row>
    <row r="71" spans="2:16" ht="15">
      <c r="B71" s="37" t="s">
        <v>16</v>
      </c>
      <c r="C71" s="65"/>
      <c r="D71" s="76">
        <v>3.3629594042757489</v>
      </c>
      <c r="E71" s="76">
        <v>3.0382638492290015</v>
      </c>
      <c r="F71" s="66">
        <v>3.3</v>
      </c>
      <c r="G71" s="282"/>
      <c r="H71" s="76">
        <v>4.3098656267706001</v>
      </c>
      <c r="I71" s="76">
        <v>4.4758841279290129</v>
      </c>
      <c r="J71" s="66">
        <v>3.3</v>
      </c>
      <c r="K71" s="67"/>
      <c r="L71" s="194">
        <v>1.411578947368421</v>
      </c>
      <c r="M71" s="194">
        <v>0.85680449208779996</v>
      </c>
      <c r="N71" s="71">
        <v>1</v>
      </c>
      <c r="P71" s="69"/>
    </row>
    <row r="72" spans="2:16" ht="15.75" thickBot="1">
      <c r="B72" s="38" t="s">
        <v>164</v>
      </c>
      <c r="C72" s="65"/>
      <c r="D72" s="76"/>
      <c r="E72" s="76">
        <v>11.483253588516746</v>
      </c>
      <c r="F72" s="66">
        <v>7.5</v>
      </c>
      <c r="G72" s="282"/>
      <c r="H72" s="76"/>
      <c r="I72" s="76">
        <v>9.7934336121043764</v>
      </c>
      <c r="J72" s="66">
        <v>7.5</v>
      </c>
      <c r="K72" s="67"/>
      <c r="M72" s="194">
        <v>0.32456140350877194</v>
      </c>
      <c r="N72" s="71">
        <v>1</v>
      </c>
      <c r="P72" s="69"/>
    </row>
    <row r="73" spans="2:16" ht="15.75" thickBot="1">
      <c r="B73" s="414" t="s">
        <v>161</v>
      </c>
      <c r="C73" s="65"/>
      <c r="D73" s="76"/>
      <c r="E73" s="76">
        <v>7.2653644592663174</v>
      </c>
      <c r="F73" s="66">
        <v>4.8</v>
      </c>
      <c r="G73" s="282"/>
      <c r="H73" s="76"/>
      <c r="I73" s="76">
        <v>8.1715311054411259</v>
      </c>
      <c r="J73" s="66">
        <v>4.8</v>
      </c>
      <c r="K73" s="67"/>
      <c r="L73" s="194"/>
      <c r="M73" s="194">
        <v>0.51368421052631585</v>
      </c>
      <c r="N73" s="71">
        <v>1</v>
      </c>
      <c r="O73" s="74"/>
      <c r="P73" s="75"/>
    </row>
    <row r="74" spans="2:16" ht="15">
      <c r="D74" s="76">
        <v>5.8227003157813586</v>
      </c>
      <c r="E74" s="76">
        <v>6.3259576208215522</v>
      </c>
      <c r="F74" s="341">
        <v>5.5</v>
      </c>
      <c r="H74" s="76">
        <v>6.3170243061825362</v>
      </c>
      <c r="I74" s="76">
        <v>6.5645029314164933</v>
      </c>
      <c r="J74" s="341">
        <v>5.5</v>
      </c>
      <c r="L74" s="194">
        <v>0.7029924812030075</v>
      </c>
      <c r="M74" s="194">
        <v>0.7314042642642643</v>
      </c>
      <c r="N74" s="386">
        <v>1</v>
      </c>
    </row>
    <row r="78" spans="2:16">
      <c r="F78" s="315"/>
    </row>
    <row r="79" spans="2:16" ht="15">
      <c r="F79" s="341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5:N25"/>
    <mergeCell ref="D26:E26"/>
    <mergeCell ref="B27:B38"/>
    <mergeCell ref="D27:E28"/>
    <mergeCell ref="D29:E30"/>
    <mergeCell ref="D31:E32"/>
    <mergeCell ref="D33:E34"/>
    <mergeCell ref="D35:E36"/>
    <mergeCell ref="D37:E38"/>
    <mergeCell ref="B39:B48"/>
    <mergeCell ref="D39:E40"/>
    <mergeCell ref="J39:K39"/>
    <mergeCell ref="L40:N40"/>
    <mergeCell ref="D41:E42"/>
    <mergeCell ref="D43:E44"/>
    <mergeCell ref="D45:E46"/>
    <mergeCell ref="D47:E48"/>
    <mergeCell ref="D49:E49"/>
    <mergeCell ref="B54:B55"/>
    <mergeCell ref="C54:C55"/>
    <mergeCell ref="D54:D55"/>
    <mergeCell ref="E54:E55"/>
    <mergeCell ref="M54:M55"/>
    <mergeCell ref="B63:F63"/>
    <mergeCell ref="G63:J63"/>
    <mergeCell ref="K63:N63"/>
    <mergeCell ref="G54:G55"/>
    <mergeCell ref="H54:H55"/>
    <mergeCell ref="I54:I55"/>
    <mergeCell ref="J54:J55"/>
    <mergeCell ref="K54:K55"/>
    <mergeCell ref="L54:L55"/>
    <mergeCell ref="F54:F55"/>
  </mergeCells>
  <conditionalFormatting sqref="B49:B50">
    <cfRule type="cellIs" dxfId="332" priority="140" operator="notBetween">
      <formula>#REF!</formula>
      <formula>#REF!</formula>
    </cfRule>
  </conditionalFormatting>
  <conditionalFormatting sqref="C53">
    <cfRule type="cellIs" dxfId="331" priority="172" stopIfTrue="1" operator="greaterThan">
      <formula>100</formula>
    </cfRule>
    <cfRule type="cellIs" dxfId="330" priority="171" stopIfTrue="1" operator="lessThan">
      <formula>96</formula>
    </cfRule>
  </conditionalFormatting>
  <conditionalFormatting sqref="C65:C69">
    <cfRule type="cellIs" dxfId="329" priority="121" stopIfTrue="1" operator="lessThanOrEqual">
      <formula>0</formula>
    </cfRule>
  </conditionalFormatting>
  <conditionalFormatting sqref="C65:C73">
    <cfRule type="cellIs" dxfId="328" priority="120" stopIfTrue="1" operator="greaterThan">
      <formula>$F65</formula>
    </cfRule>
  </conditionalFormatting>
  <conditionalFormatting sqref="C66">
    <cfRule type="cellIs" dxfId="327" priority="175" stopIfTrue="1" operator="greaterThan">
      <formula>$F65</formula>
    </cfRule>
  </conditionalFormatting>
  <conditionalFormatting sqref="C70">
    <cfRule type="cellIs" dxfId="326" priority="58" stopIfTrue="1" operator="lessThanOrEqual">
      <formula>0</formula>
    </cfRule>
    <cfRule type="cellIs" dxfId="325" priority="59" stopIfTrue="1" operator="greaterThan">
      <formula>$F69</formula>
    </cfRule>
  </conditionalFormatting>
  <conditionalFormatting sqref="C76:C80">
    <cfRule type="cellIs" dxfId="324" priority="163" stopIfTrue="1" operator="lessThanOrEqual">
      <formula>0</formula>
    </cfRule>
  </conditionalFormatting>
  <conditionalFormatting sqref="C77:C80">
    <cfRule type="cellIs" dxfId="323" priority="162" stopIfTrue="1" operator="greaterThan">
      <formula>$F$76</formula>
    </cfRule>
  </conditionalFormatting>
  <conditionalFormatting sqref="C82">
    <cfRule type="cellIs" dxfId="322" priority="165" stopIfTrue="1" operator="lessThanOrEqual">
      <formula>0</formula>
    </cfRule>
    <cfRule type="cellIs" dxfId="321" priority="164" stopIfTrue="1" operator="greaterThan">
      <formula>$F$76</formula>
    </cfRule>
  </conditionalFormatting>
  <conditionalFormatting sqref="C76:D76 D78:D84">
    <cfRule type="cellIs" dxfId="320" priority="157" stopIfTrue="1" operator="greaterThan">
      <formula>4.5</formula>
    </cfRule>
  </conditionalFormatting>
  <conditionalFormatting sqref="D49:D50">
    <cfRule type="cellIs" dxfId="319" priority="141" operator="notBetween">
      <formula>#REF!</formula>
      <formula>#REF!</formula>
    </cfRule>
  </conditionalFormatting>
  <conditionalFormatting sqref="D65:D72">
    <cfRule type="cellIs" dxfId="318" priority="135" stopIfTrue="1" operator="lessThanOrEqual">
      <formula>0</formula>
    </cfRule>
  </conditionalFormatting>
  <conditionalFormatting sqref="D73">
    <cfRule type="cellIs" dxfId="317" priority="134" stopIfTrue="1" operator="lessThanOrEqual">
      <formula>0</formula>
    </cfRule>
  </conditionalFormatting>
  <conditionalFormatting sqref="D76 D78:D84">
    <cfRule type="cellIs" dxfId="316" priority="158" stopIfTrue="1" operator="lessThanOrEqual">
      <formula>0</formula>
    </cfRule>
  </conditionalFormatting>
  <conditionalFormatting sqref="D77">
    <cfRule type="cellIs" dxfId="315" priority="150" stopIfTrue="1" operator="lessThanOrEqual">
      <formula>0</formula>
    </cfRule>
    <cfRule type="cellIs" dxfId="314" priority="149" stopIfTrue="1" operator="greaterThan">
      <formula>$F$76</formula>
    </cfRule>
  </conditionalFormatting>
  <conditionalFormatting sqref="D65:E74">
    <cfRule type="cellIs" dxfId="313" priority="118" stopIfTrue="1" operator="greaterThan">
      <formula>$F65</formula>
    </cfRule>
  </conditionalFormatting>
  <conditionalFormatting sqref="D74:E74">
    <cfRule type="cellIs" dxfId="312" priority="119" stopIfTrue="1" operator="lessThanOrEqual">
      <formula>0</formula>
    </cfRule>
  </conditionalFormatting>
  <conditionalFormatting sqref="E10:E24">
    <cfRule type="cellIs" dxfId="311" priority="1" operator="lessThan">
      <formula>48</formula>
    </cfRule>
  </conditionalFormatting>
  <conditionalFormatting sqref="E52 E53:F53">
    <cfRule type="cellIs" dxfId="310" priority="154" stopIfTrue="1" operator="greaterThan">
      <formula>100</formula>
    </cfRule>
  </conditionalFormatting>
  <conditionalFormatting sqref="E53">
    <cfRule type="cellIs" dxfId="309" priority="152" stopIfTrue="1" operator="greaterThan">
      <formula>100</formula>
    </cfRule>
    <cfRule type="cellIs" dxfId="308" priority="151" stopIfTrue="1" operator="lessThan">
      <formula>96.8</formula>
    </cfRule>
  </conditionalFormatting>
  <conditionalFormatting sqref="E65:E73">
    <cfRule type="cellIs" dxfId="307" priority="129" stopIfTrue="1" operator="lessThanOrEqual">
      <formula>0</formula>
    </cfRule>
  </conditionalFormatting>
  <conditionalFormatting sqref="E76:E84">
    <cfRule type="cellIs" dxfId="306" priority="143" stopIfTrue="1" operator="greaterThan">
      <formula>4.5</formula>
    </cfRule>
    <cfRule type="cellIs" dxfId="305" priority="144" stopIfTrue="1" operator="lessThanOrEqual">
      <formula>0</formula>
    </cfRule>
  </conditionalFormatting>
  <conditionalFormatting sqref="E53:F53 E52">
    <cfRule type="cellIs" dxfId="304" priority="153" stopIfTrue="1" operator="lessThan">
      <formula>96.5</formula>
    </cfRule>
  </conditionalFormatting>
  <conditionalFormatting sqref="F13:F24">
    <cfRule type="cellIs" dxfId="303" priority="38" operator="greaterThan">
      <formula>60</formula>
    </cfRule>
  </conditionalFormatting>
  <conditionalFormatting sqref="F53">
    <cfRule type="cellIs" dxfId="302" priority="170" stopIfTrue="1" operator="greaterThan">
      <formula>100</formula>
    </cfRule>
    <cfRule type="cellIs" dxfId="301" priority="169" stopIfTrue="1" operator="lessThan">
      <formula>96.8</formula>
    </cfRule>
  </conditionalFormatting>
  <conditionalFormatting sqref="F74">
    <cfRule type="cellIs" dxfId="300" priority="131" stopIfTrue="1" operator="lessThanOrEqual">
      <formula>0</formula>
    </cfRule>
    <cfRule type="cellIs" dxfId="299" priority="130" stopIfTrue="1" operator="greaterThan">
      <formula>$F74</formula>
    </cfRule>
  </conditionalFormatting>
  <conditionalFormatting sqref="F79">
    <cfRule type="cellIs" dxfId="298" priority="88" stopIfTrue="1" operator="greaterThan">
      <formula>$F79</formula>
    </cfRule>
    <cfRule type="cellIs" dxfId="297" priority="89" stopIfTrue="1" operator="lessThanOrEqual">
      <formula>0</formula>
    </cfRule>
  </conditionalFormatting>
  <conditionalFormatting sqref="G10:G13">
    <cfRule type="expression" dxfId="296" priority="8">
      <formula>IF(+(IF(G10&lt;S10,0,IF(G10&gt;T10,0,1)))=0,1)</formula>
    </cfRule>
  </conditionalFormatting>
  <conditionalFormatting sqref="G19:G22">
    <cfRule type="expression" dxfId="295" priority="54">
      <formula>IF(+(IF(G19&lt;S19,0,IF(G19&gt;T19,0,1)))=0,1)</formula>
    </cfRule>
  </conditionalFormatting>
  <conditionalFormatting sqref="G65:G66 C71:C73">
    <cfRule type="cellIs" dxfId="294" priority="137" stopIfTrue="1" operator="lessThanOrEqual">
      <formula>0</formula>
    </cfRule>
  </conditionalFormatting>
  <conditionalFormatting sqref="G65:G66">
    <cfRule type="cellIs" dxfId="293" priority="136" stopIfTrue="1" operator="greaterThan">
      <formula>$F65</formula>
    </cfRule>
    <cfRule type="cellIs" dxfId="292" priority="122" stopIfTrue="1" operator="greaterThan">
      <formula>$F65</formula>
    </cfRule>
    <cfRule type="cellIs" dxfId="291" priority="123" stopIfTrue="1" operator="lessThanOrEqual">
      <formula>0</formula>
    </cfRule>
  </conditionalFormatting>
  <conditionalFormatting sqref="G67">
    <cfRule type="cellIs" dxfId="290" priority="174" stopIfTrue="1" operator="lessThanOrEqual">
      <formula>0</formula>
    </cfRule>
    <cfRule type="cellIs" dxfId="289" priority="173" stopIfTrue="1" operator="greaterThan">
      <formula>$F66</formula>
    </cfRule>
  </conditionalFormatting>
  <conditionalFormatting sqref="G68">
    <cfRule type="cellIs" dxfId="288" priority="132" stopIfTrue="1" operator="greaterThan">
      <formula>$F68</formula>
    </cfRule>
    <cfRule type="cellIs" dxfId="287" priority="133" stopIfTrue="1" operator="lessThanOrEqual">
      <formula>0</formula>
    </cfRule>
  </conditionalFormatting>
  <conditionalFormatting sqref="G69:G73">
    <cfRule type="cellIs" dxfId="286" priority="138" stopIfTrue="1" operator="greaterThan">
      <formula>$J69</formula>
    </cfRule>
    <cfRule type="cellIs" dxfId="285" priority="139" stopIfTrue="1" operator="lessThanOrEqual">
      <formula>0</formula>
    </cfRule>
  </conditionalFormatting>
  <conditionalFormatting sqref="G78:G83 C81 C83">
    <cfRule type="cellIs" dxfId="284" priority="167" stopIfTrue="1" operator="lessThanOrEqual">
      <formula>0</formula>
    </cfRule>
    <cfRule type="cellIs" dxfId="283" priority="166" stopIfTrue="1" operator="greaterThan">
      <formula>4.5</formula>
    </cfRule>
  </conditionalFormatting>
  <conditionalFormatting sqref="G14:H18">
    <cfRule type="expression" dxfId="282" priority="28">
      <formula>IF(+(IF(G14&lt;#REF!,0,IF(G14&gt;#REF!,0,1)))=0,1)</formula>
    </cfRule>
  </conditionalFormatting>
  <conditionalFormatting sqref="G23:H24">
    <cfRule type="expression" dxfId="281" priority="57">
      <formula>IF(+(IF(G23&lt;#REF!,0,IF(G23&gt;#REF!,0,1)))=0,1)</formula>
    </cfRule>
  </conditionalFormatting>
  <conditionalFormatting sqref="G77:H77">
    <cfRule type="cellIs" dxfId="280" priority="148" stopIfTrue="1" operator="lessThanOrEqual">
      <formula>0</formula>
    </cfRule>
    <cfRule type="cellIs" dxfId="279" priority="147" stopIfTrue="1" operator="greaterThan">
      <formula>$F$76</formula>
    </cfRule>
  </conditionalFormatting>
  <conditionalFormatting sqref="H10:H13">
    <cfRule type="expression" dxfId="278" priority="11">
      <formula>IF(+(IF(H10&lt;#REF!,0,IF(H10&gt;#REF!,0,1)))=0,1)</formula>
    </cfRule>
  </conditionalFormatting>
  <conditionalFormatting sqref="H19:H22">
    <cfRule type="expression" dxfId="277" priority="53">
      <formula>IF(+(IF(H19&lt;#REF!,0,IF(H19&gt;#REF!,0,1)))=0,1)</formula>
    </cfRule>
  </conditionalFormatting>
  <conditionalFormatting sqref="H38:H52">
    <cfRule type="cellIs" dxfId="276" priority="145" stopIfTrue="1" operator="greaterThan">
      <formula>0</formula>
    </cfRule>
  </conditionalFormatting>
  <conditionalFormatting sqref="H56">
    <cfRule type="cellIs" dxfId="275" priority="14" stopIfTrue="1" operator="greaterThan">
      <formula>$F$66</formula>
    </cfRule>
    <cfRule type="cellIs" dxfId="274" priority="24" stopIfTrue="1" operator="greaterThan">
      <formula>$F$67</formula>
    </cfRule>
    <cfRule type="cellIs" dxfId="273" priority="23" stopIfTrue="1" operator="lessThanOrEqual">
      <formula>0</formula>
    </cfRule>
    <cfRule type="cellIs" dxfId="272" priority="25" stopIfTrue="1" operator="lessThanOrEqual">
      <formula>0</formula>
    </cfRule>
    <cfRule type="cellIs" dxfId="271" priority="22" stopIfTrue="1" operator="greaterThan">
      <formula>$F$69</formula>
    </cfRule>
    <cfRule type="cellIs" dxfId="270" priority="13" stopIfTrue="1" operator="lessThanOrEqual">
      <formula>0</formula>
    </cfRule>
  </conditionalFormatting>
  <conditionalFormatting sqref="H57">
    <cfRule type="cellIs" dxfId="269" priority="75" stopIfTrue="1" operator="lessThanOrEqual">
      <formula>0</formula>
    </cfRule>
    <cfRule type="cellIs" dxfId="268" priority="76" stopIfTrue="1" operator="greaterThan">
      <formula>#REF!</formula>
    </cfRule>
    <cfRule type="cellIs" dxfId="267" priority="84" stopIfTrue="1" operator="greaterThan">
      <formula>$F$25</formula>
    </cfRule>
    <cfRule type="cellIs" dxfId="266" priority="85" stopIfTrue="1" operator="lessThanOrEqual">
      <formula>0</formula>
    </cfRule>
    <cfRule type="cellIs" dxfId="265" priority="86" stopIfTrue="1" operator="greaterThan">
      <formula>$F$23</formula>
    </cfRule>
    <cfRule type="cellIs" dxfId="264" priority="87" stopIfTrue="1" operator="lessThanOrEqual">
      <formula>0</formula>
    </cfRule>
  </conditionalFormatting>
  <conditionalFormatting sqref="H58">
    <cfRule type="cellIs" dxfId="263" priority="49" stopIfTrue="1" operator="greaterThan">
      <formula>$F$46</formula>
    </cfRule>
    <cfRule type="cellIs" dxfId="262" priority="50" stopIfTrue="1" operator="lessThanOrEqual">
      <formula>0</formula>
    </cfRule>
    <cfRule type="cellIs" dxfId="261" priority="40" stopIfTrue="1" operator="lessThanOrEqual">
      <formula>0</formula>
    </cfRule>
    <cfRule type="cellIs" dxfId="260" priority="41" stopIfTrue="1" operator="greaterThan">
      <formula>$F$43</formula>
    </cfRule>
    <cfRule type="cellIs" dxfId="259" priority="52" stopIfTrue="1" operator="lessThanOrEqual">
      <formula>0</formula>
    </cfRule>
    <cfRule type="cellIs" dxfId="258" priority="51" stopIfTrue="1" operator="greaterThan">
      <formula>$F$44</formula>
    </cfRule>
  </conditionalFormatting>
  <conditionalFormatting sqref="H59:H60">
    <cfRule type="cellIs" dxfId="257" priority="62" stopIfTrue="1" operator="greaterThan">
      <formula>#REF!</formula>
    </cfRule>
    <cfRule type="cellIs" dxfId="256" priority="61" stopIfTrue="1" operator="lessThanOrEqual">
      <formula>0</formula>
    </cfRule>
    <cfRule type="cellIs" dxfId="255" priority="70" stopIfTrue="1" operator="greaterThan">
      <formula>$F$24</formula>
    </cfRule>
    <cfRule type="cellIs" dxfId="254" priority="71" stopIfTrue="1" operator="lessThanOrEqual">
      <formula>0</formula>
    </cfRule>
    <cfRule type="cellIs" dxfId="253" priority="72" stopIfTrue="1" operator="greaterThan">
      <formula>#REF!</formula>
    </cfRule>
    <cfRule type="cellIs" dxfId="252" priority="73" stopIfTrue="1" operator="lessThanOrEqual">
      <formula>0</formula>
    </cfRule>
  </conditionalFormatting>
  <conditionalFormatting sqref="H61">
    <cfRule type="cellIs" dxfId="251" priority="101" stopIfTrue="1" operator="greaterThan">
      <formula>$F$40</formula>
    </cfRule>
    <cfRule type="cellIs" dxfId="250" priority="102" stopIfTrue="1" operator="lessThanOrEqual">
      <formula>0</formula>
    </cfRule>
    <cfRule type="cellIs" dxfId="249" priority="103" stopIfTrue="1" operator="greaterThan">
      <formula>$F$38</formula>
    </cfRule>
    <cfRule type="cellIs" dxfId="248" priority="104" stopIfTrue="1" operator="lessThanOrEqual">
      <formula>0</formula>
    </cfRule>
    <cfRule type="cellIs" dxfId="247" priority="92" stopIfTrue="1" operator="lessThanOrEqual">
      <formula>0</formula>
    </cfRule>
    <cfRule type="cellIs" dxfId="246" priority="93" stopIfTrue="1" operator="greaterThan">
      <formula>$F$37</formula>
    </cfRule>
  </conditionalFormatting>
  <conditionalFormatting sqref="H65:H72">
    <cfRule type="cellIs" dxfId="245" priority="124" stopIfTrue="1" operator="greaterThan">
      <formula>$J65</formula>
    </cfRule>
    <cfRule type="cellIs" dxfId="244" priority="125" stopIfTrue="1" operator="lessThanOrEqual">
      <formula>0</formula>
    </cfRule>
  </conditionalFormatting>
  <conditionalFormatting sqref="H73">
    <cfRule type="cellIs" dxfId="243" priority="126" operator="greaterThan">
      <formula>5.3</formula>
    </cfRule>
  </conditionalFormatting>
  <conditionalFormatting sqref="H76 H78:H84">
    <cfRule type="cellIs" dxfId="242" priority="159" stopIfTrue="1" operator="greaterThan">
      <formula>4.5</formula>
    </cfRule>
    <cfRule type="cellIs" dxfId="241" priority="160" stopIfTrue="1" operator="lessThanOrEqual">
      <formula>0</formula>
    </cfRule>
  </conditionalFormatting>
  <conditionalFormatting sqref="H56:I56">
    <cfRule type="cellIs" dxfId="240" priority="15" stopIfTrue="1" operator="lessThanOrEqual">
      <formula>0</formula>
    </cfRule>
    <cfRule type="cellIs" dxfId="239" priority="12" stopIfTrue="1" operator="greaterThan">
      <formula>$F$68</formula>
    </cfRule>
  </conditionalFormatting>
  <conditionalFormatting sqref="H57:I57">
    <cfRule type="cellIs" dxfId="238" priority="74" stopIfTrue="1" operator="greaterThan">
      <formula>$F$24</formula>
    </cfRule>
    <cfRule type="cellIs" dxfId="237" priority="77" stopIfTrue="1" operator="lessThanOrEqual">
      <formula>0</formula>
    </cfRule>
  </conditionalFormatting>
  <conditionalFormatting sqref="H58:I58">
    <cfRule type="cellIs" dxfId="236" priority="39" stopIfTrue="1" operator="greaterThan">
      <formula>$F$45</formula>
    </cfRule>
    <cfRule type="cellIs" dxfId="235" priority="42" stopIfTrue="1" operator="lessThanOrEqual">
      <formula>0</formula>
    </cfRule>
  </conditionalFormatting>
  <conditionalFormatting sqref="H59:I60">
    <cfRule type="cellIs" dxfId="234" priority="63" stopIfTrue="1" operator="lessThanOrEqual">
      <formula>0</formula>
    </cfRule>
    <cfRule type="cellIs" dxfId="233" priority="60" stopIfTrue="1" operator="greaterThan">
      <formula>$F$23</formula>
    </cfRule>
  </conditionalFormatting>
  <conditionalFormatting sqref="H61:I61">
    <cfRule type="cellIs" dxfId="232" priority="94" stopIfTrue="1" operator="lessThanOrEqual">
      <formula>0</formula>
    </cfRule>
    <cfRule type="cellIs" dxfId="231" priority="91" stopIfTrue="1" operator="greaterThan">
      <formula>$F$39</formula>
    </cfRule>
  </conditionalFormatting>
  <conditionalFormatting sqref="H74:I74">
    <cfRule type="cellIs" dxfId="230" priority="116" stopIfTrue="1" operator="greaterThan">
      <formula>$J74</formula>
    </cfRule>
    <cfRule type="cellIs" dxfId="229" priority="117" stopIfTrue="1" operator="lessThanOrEqual">
      <formula>0</formula>
    </cfRule>
  </conditionalFormatting>
  <conditionalFormatting sqref="I56">
    <cfRule type="cellIs" dxfId="228" priority="16" stopIfTrue="1" operator="greaterThan">
      <formula>$F$66</formula>
    </cfRule>
    <cfRule type="cellIs" dxfId="227" priority="18" stopIfTrue="1" operator="greaterThan">
      <formula>$F$68</formula>
    </cfRule>
    <cfRule type="cellIs" dxfId="226" priority="21" stopIfTrue="1" operator="lessThanOrEqual">
      <formula>0</formula>
    </cfRule>
    <cfRule type="cellIs" dxfId="225" priority="20" stopIfTrue="1" operator="greaterThan">
      <formula>$F$66</formula>
    </cfRule>
    <cfRule type="cellIs" dxfId="224" priority="19" stopIfTrue="1" operator="lessThanOrEqual">
      <formula>0</formula>
    </cfRule>
    <cfRule type="cellIs" dxfId="223" priority="17" stopIfTrue="1" operator="lessThanOrEqual">
      <formula>0</formula>
    </cfRule>
  </conditionalFormatting>
  <conditionalFormatting sqref="I57">
    <cfRule type="cellIs" dxfId="222" priority="80" stopIfTrue="1" operator="greaterThan">
      <formula>$F$24</formula>
    </cfRule>
    <cfRule type="cellIs" dxfId="221" priority="79" stopIfTrue="1" operator="lessThanOrEqual">
      <formula>0</formula>
    </cfRule>
    <cfRule type="cellIs" dxfId="220" priority="83" stopIfTrue="1" operator="lessThanOrEqual">
      <formula>0</formula>
    </cfRule>
    <cfRule type="cellIs" dxfId="219" priority="82" stopIfTrue="1" operator="greaterThan">
      <formula>#REF!</formula>
    </cfRule>
    <cfRule type="cellIs" dxfId="218" priority="81" stopIfTrue="1" operator="lessThanOrEqual">
      <formula>0</formula>
    </cfRule>
    <cfRule type="cellIs" dxfId="217" priority="78" stopIfTrue="1" operator="greaterThan">
      <formula>#REF!</formula>
    </cfRule>
  </conditionalFormatting>
  <conditionalFormatting sqref="I58">
    <cfRule type="cellIs" dxfId="216" priority="43" stopIfTrue="1" operator="greaterThan">
      <formula>$F$43</formula>
    </cfRule>
    <cfRule type="cellIs" dxfId="215" priority="47" stopIfTrue="1" operator="greaterThan">
      <formula>$F$43</formula>
    </cfRule>
    <cfRule type="cellIs" dxfId="214" priority="48" stopIfTrue="1" operator="lessThanOrEqual">
      <formula>0</formula>
    </cfRule>
    <cfRule type="cellIs" dxfId="213" priority="46" stopIfTrue="1" operator="lessThanOrEqual">
      <formula>0</formula>
    </cfRule>
    <cfRule type="cellIs" dxfId="212" priority="45" stopIfTrue="1" operator="greaterThan">
      <formula>$F$45</formula>
    </cfRule>
    <cfRule type="cellIs" dxfId="211" priority="44" stopIfTrue="1" operator="lessThanOrEqual">
      <formula>0</formula>
    </cfRule>
  </conditionalFormatting>
  <conditionalFormatting sqref="I59:I60">
    <cfRule type="cellIs" dxfId="210" priority="65" stopIfTrue="1" operator="lessThanOrEqual">
      <formula>0</formula>
    </cfRule>
    <cfRule type="cellIs" dxfId="209" priority="64" stopIfTrue="1" operator="greaterThan">
      <formula>#REF!</formula>
    </cfRule>
    <cfRule type="cellIs" dxfId="208" priority="67" stopIfTrue="1" operator="lessThanOrEqual">
      <formula>0</formula>
    </cfRule>
    <cfRule type="cellIs" dxfId="207" priority="69" stopIfTrue="1" operator="lessThanOrEqual">
      <formula>0</formula>
    </cfRule>
    <cfRule type="cellIs" dxfId="206" priority="68" stopIfTrue="1" operator="greaterThan">
      <formula>#REF!</formula>
    </cfRule>
    <cfRule type="cellIs" dxfId="205" priority="66" stopIfTrue="1" operator="greaterThan">
      <formula>$F$23</formula>
    </cfRule>
  </conditionalFormatting>
  <conditionalFormatting sqref="I61">
    <cfRule type="cellIs" dxfId="204" priority="98" stopIfTrue="1" operator="lessThanOrEqual">
      <formula>0</formula>
    </cfRule>
    <cfRule type="cellIs" dxfId="203" priority="99" stopIfTrue="1" operator="greaterThan">
      <formula>$F$37</formula>
    </cfRule>
    <cfRule type="cellIs" dxfId="202" priority="95" stopIfTrue="1" operator="greaterThan">
      <formula>$F$37</formula>
    </cfRule>
    <cfRule type="cellIs" dxfId="201" priority="96" stopIfTrue="1" operator="lessThanOrEqual">
      <formula>0</formula>
    </cfRule>
    <cfRule type="cellIs" dxfId="200" priority="97" stopIfTrue="1" operator="greaterThan">
      <formula>$F$39</formula>
    </cfRule>
    <cfRule type="cellIs" dxfId="199" priority="100" stopIfTrue="1" operator="lessThanOrEqual">
      <formula>0</formula>
    </cfRule>
  </conditionalFormatting>
  <conditionalFormatting sqref="I65:I73">
    <cfRule type="cellIs" dxfId="198" priority="127" stopIfTrue="1" operator="greaterThan">
      <formula>$J65</formula>
    </cfRule>
    <cfRule type="cellIs" dxfId="197" priority="128" stopIfTrue="1" operator="lessThanOrEqual">
      <formula>0</formula>
    </cfRule>
  </conditionalFormatting>
  <conditionalFormatting sqref="I76:I84">
    <cfRule type="cellIs" dxfId="196" priority="156" stopIfTrue="1" operator="lessThanOrEqual">
      <formula>0</formula>
    </cfRule>
    <cfRule type="cellIs" dxfId="195" priority="155" stopIfTrue="1" operator="greaterThan">
      <formula>4.5</formula>
    </cfRule>
  </conditionalFormatting>
  <conditionalFormatting sqref="I10:J24">
    <cfRule type="cellIs" dxfId="194" priority="2" operator="lessThan">
      <formula>97.9</formula>
    </cfRule>
  </conditionalFormatting>
  <conditionalFormatting sqref="J27:J29">
    <cfRule type="cellIs" dxfId="193" priority="108" operator="lessThan">
      <formula>98</formula>
    </cfRule>
    <cfRule type="cellIs" dxfId="192" priority="107" stopIfTrue="1" operator="greaterThan">
      <formula>100</formula>
    </cfRule>
    <cfRule type="cellIs" dxfId="191" priority="106" stopIfTrue="1" operator="lessThan">
      <formula>96.8</formula>
    </cfRule>
  </conditionalFormatting>
  <conditionalFormatting sqref="J27:J31">
    <cfRule type="cellIs" dxfId="190" priority="105" operator="lessThan">
      <formula>97.4</formula>
    </cfRule>
  </conditionalFormatting>
  <conditionalFormatting sqref="J32">
    <cfRule type="cellIs" dxfId="189" priority="109" operator="lessThan">
      <formula>98</formula>
    </cfRule>
  </conditionalFormatting>
  <conditionalFormatting sqref="J34:J35">
    <cfRule type="cellIs" dxfId="188" priority="110" stopIfTrue="1" operator="lessThan">
      <formula>96.8</formula>
    </cfRule>
    <cfRule type="cellIs" dxfId="187" priority="111" stopIfTrue="1" operator="greaterThan">
      <formula>100</formula>
    </cfRule>
  </conditionalFormatting>
  <conditionalFormatting sqref="J34:J36">
    <cfRule type="cellIs" dxfId="186" priority="112" operator="lessThan">
      <formula>98</formula>
    </cfRule>
  </conditionalFormatting>
  <conditionalFormatting sqref="J74">
    <cfRule type="cellIs" dxfId="185" priority="114" stopIfTrue="1" operator="lessThanOrEqual">
      <formula>0</formula>
    </cfRule>
    <cfRule type="cellIs" dxfId="184" priority="113" stopIfTrue="1" operator="greaterThan">
      <formula>$F74</formula>
    </cfRule>
  </conditionalFormatting>
  <conditionalFormatting sqref="K10:K24">
    <cfRule type="cellIs" dxfId="183" priority="5" operator="greaterThan">
      <formula>6</formula>
    </cfRule>
    <cfRule type="cellIs" dxfId="182" priority="7" operator="greaterThan">
      <formula>6.4</formula>
    </cfRule>
    <cfRule type="cellIs" dxfId="181" priority="6" operator="lessThan">
      <formula>4</formula>
    </cfRule>
  </conditionalFormatting>
  <conditionalFormatting sqref="K56:K61 K65:N71 K72 M72:N72 K73:N73">
    <cfRule type="cellIs" dxfId="180" priority="90" stopIfTrue="1" operator="lessThan">
      <formula>100%</formula>
    </cfRule>
  </conditionalFormatting>
  <conditionalFormatting sqref="K76:K81">
    <cfRule type="cellIs" dxfId="179" priority="161" stopIfTrue="1" operator="lessThan">
      <formula>100%</formula>
    </cfRule>
  </conditionalFormatting>
  <conditionalFormatting sqref="K83:K84">
    <cfRule type="cellIs" dxfId="178" priority="168" stopIfTrue="1" operator="lessThan">
      <formula>100%</formula>
    </cfRule>
  </conditionalFormatting>
  <conditionalFormatting sqref="L10:L13">
    <cfRule type="cellIs" dxfId="177" priority="4" operator="greaterThan">
      <formula>65</formula>
    </cfRule>
    <cfRule type="cellIs" dxfId="176" priority="3" operator="between">
      <formula>61</formula>
      <formula>65</formula>
    </cfRule>
  </conditionalFormatting>
  <conditionalFormatting sqref="L19:L24">
    <cfRule type="cellIs" dxfId="175" priority="56" operator="greaterThan">
      <formula>65</formula>
    </cfRule>
    <cfRule type="cellIs" dxfId="174" priority="55" operator="between">
      <formula>61</formula>
      <formula>65</formula>
    </cfRule>
  </conditionalFormatting>
  <conditionalFormatting sqref="L14:M18">
    <cfRule type="cellIs" dxfId="173" priority="27" operator="greaterThan">
      <formula>65</formula>
    </cfRule>
    <cfRule type="cellIs" dxfId="172" priority="26" operator="between">
      <formula>61</formula>
      <formula>65</formula>
    </cfRule>
  </conditionalFormatting>
  <conditionalFormatting sqref="L27:M38">
    <cfRule type="cellIs" dxfId="171" priority="29" operator="lessThan">
      <formula>98</formula>
    </cfRule>
  </conditionalFormatting>
  <conditionalFormatting sqref="L42:N42">
    <cfRule type="cellIs" dxfId="170" priority="30" operator="notEqual">
      <formula>#REF!</formula>
    </cfRule>
  </conditionalFormatting>
  <conditionalFormatting sqref="L74:N74">
    <cfRule type="cellIs" dxfId="169" priority="115" stopIfTrue="1" operator="lessThan">
      <formula>100%</formula>
    </cfRule>
  </conditionalFormatting>
  <conditionalFormatting sqref="L76:N84">
    <cfRule type="cellIs" dxfId="168" priority="146" stopIfTrue="1" operator="lessThan">
      <formula>100%</formula>
    </cfRule>
  </conditionalFormatting>
  <conditionalFormatting sqref="M10:M12">
    <cfRule type="expression" dxfId="167" priority="10">
      <formula>IF(+(IF(M10&lt;U10,0,IF(M10&gt;V10,0,1)))=0,1)</formula>
    </cfRule>
  </conditionalFormatting>
  <conditionalFormatting sqref="M13:M22">
    <cfRule type="expression" dxfId="166" priority="36">
      <formula>IF(+(IF(M13&lt;U13,0,IF(M13&gt;V13,0,1)))=0,1)</formula>
    </cfRule>
  </conditionalFormatting>
  <conditionalFormatting sqref="M23:N24">
    <cfRule type="expression" dxfId="165" priority="176">
      <formula>IF(+(IF(M23&lt;#REF!,0,IF(M23&gt;#REF!,0,1)))=0,1)</formula>
    </cfRule>
  </conditionalFormatting>
  <conditionalFormatting sqref="N10:N22">
    <cfRule type="expression" dxfId="164" priority="9">
      <formula>IF(+(IF(N10&lt;W10,0,IF(N10&gt;X10,0,1)))=0,1)</formula>
    </cfRule>
  </conditionalFormatting>
  <conditionalFormatting sqref="P6">
    <cfRule type="cellIs" dxfId="163" priority="142" operator="greaterThanOrEqual">
      <formula>19</formula>
    </cfRule>
  </conditionalFormatting>
  <dataValidations count="1">
    <dataValidation type="list" allowBlank="1" showInputMessage="1" showErrorMessage="1" sqref="R8" xr:uid="{B51BD8FD-D6BD-465B-89FB-D392E09EA2D8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8" max="16383" man="1"/>
  </rowBreaks>
  <colBreaks count="1" manualBreakCount="1">
    <brk id="15" max="89" man="1"/>
  </colBreaks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0758D-66DD-4746-82C7-2F0E07CD093D}">
  <sheetPr>
    <pageSetUpPr fitToPage="1"/>
  </sheetPr>
  <dimension ref="A1:BE77"/>
  <sheetViews>
    <sheetView tabSelected="1" topLeftCell="A8" zoomScale="70" zoomScaleNormal="70" workbookViewId="0">
      <selection activeCell="K35" sqref="K35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25" t="s">
        <v>0</v>
      </c>
      <c r="T1" s="525"/>
      <c r="U1" s="525" t="s">
        <v>1</v>
      </c>
      <c r="V1" s="525"/>
      <c r="W1" s="525" t="s">
        <v>2</v>
      </c>
      <c r="X1" s="525"/>
      <c r="Y1" s="525" t="s">
        <v>124</v>
      </c>
      <c r="Z1" s="525"/>
    </row>
    <row r="2" spans="2:29" ht="15">
      <c r="B2" s="526" t="s">
        <v>3</v>
      </c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45931</v>
      </c>
      <c r="J4" s="398" t="s">
        <v>193</v>
      </c>
      <c r="K4" s="398"/>
      <c r="L4" s="11"/>
      <c r="M4" s="547" t="s">
        <v>8</v>
      </c>
      <c r="N4" s="548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44"/>
      <c r="D5" s="544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192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84" t="s">
        <v>17</v>
      </c>
      <c r="C8" s="494" t="s">
        <v>18</v>
      </c>
      <c r="D8" s="494" t="s">
        <v>19</v>
      </c>
      <c r="E8" s="356" t="s">
        <v>20</v>
      </c>
      <c r="F8" s="356" t="s">
        <v>21</v>
      </c>
      <c r="G8" s="494" t="s">
        <v>22</v>
      </c>
      <c r="H8" s="535" t="s">
        <v>144</v>
      </c>
      <c r="I8" s="494" t="s">
        <v>166</v>
      </c>
      <c r="J8" s="537" t="s">
        <v>23</v>
      </c>
      <c r="K8" s="539" t="s">
        <v>142</v>
      </c>
      <c r="L8" s="541" t="s">
        <v>24</v>
      </c>
      <c r="M8" s="359" t="s">
        <v>25</v>
      </c>
      <c r="N8" s="17" t="s">
        <v>26</v>
      </c>
      <c r="O8" s="488" t="s">
        <v>155</v>
      </c>
      <c r="P8" s="56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33"/>
      <c r="C9" s="534"/>
      <c r="D9" s="534"/>
      <c r="E9" s="357" t="s">
        <v>30</v>
      </c>
      <c r="F9" s="357" t="s">
        <v>31</v>
      </c>
      <c r="G9" s="534"/>
      <c r="H9" s="536"/>
      <c r="I9" s="534"/>
      <c r="J9" s="538"/>
      <c r="K9" s="540"/>
      <c r="L9" s="542"/>
      <c r="M9" s="20" t="s">
        <v>32</v>
      </c>
      <c r="N9" s="21" t="s">
        <v>41</v>
      </c>
      <c r="O9" s="573"/>
      <c r="P9" s="561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37" t="s">
        <v>16</v>
      </c>
      <c r="C10" s="366" t="str">
        <f>[23]Brewhouse!$A86</f>
        <v>SM074</v>
      </c>
      <c r="D10" s="279">
        <f>[23]Brewhouse!$AH86</f>
        <v>53.1</v>
      </c>
      <c r="E10" s="279">
        <f>[23]Brewhouse!$AM86</f>
        <v>50.8</v>
      </c>
      <c r="F10" s="278">
        <f>[23]Brewhouse!$Z86</f>
        <v>63</v>
      </c>
      <c r="G10" s="279">
        <f>[23]Brewhouse!$AK86</f>
        <v>17.5</v>
      </c>
      <c r="H10" s="396">
        <v>17.399999999999999</v>
      </c>
      <c r="I10" s="368">
        <f>[23]Brewhouse!$AY86</f>
        <v>97.300929934901561</v>
      </c>
      <c r="J10" s="368">
        <f>[23]Brewhouse!$AZ86</f>
        <v>98.27118944621391</v>
      </c>
      <c r="K10" s="281">
        <f>[23]Brewhouse!$U86</f>
        <v>10.131826741996237</v>
      </c>
      <c r="L10" s="276">
        <f>[23]Brewhouse!$T86</f>
        <v>60</v>
      </c>
      <c r="M10" s="374">
        <f>[23]Brewhouse!$Y86-[23]Brewhouse!$X86</f>
        <v>0.12569444444444444</v>
      </c>
      <c r="N10" s="370">
        <f>[23]Brewhouse!$AD86</f>
        <v>0.32430555555555557</v>
      </c>
      <c r="O10" s="371" t="str">
        <f>[23]Brewhouse!$BC86</f>
        <v>R. Regis</v>
      </c>
      <c r="P10" s="418"/>
      <c r="R10" s="277" t="str">
        <f t="shared" ref="R10:R11" si="0">B10</f>
        <v>STARMALT</v>
      </c>
      <c r="S10" s="296">
        <f t="shared" ref="S10:S36" si="1">VLOOKUP($B10,$R$3:$X$9,2,FALSE)</f>
        <v>17</v>
      </c>
      <c r="T10" s="296">
        <f t="shared" ref="T10:T36" si="2">VLOOKUP($B10,$R$3:$X$9,3,FALSE)</f>
        <v>17.399999999999999</v>
      </c>
      <c r="U10" s="297">
        <f t="shared" ref="U10:U36" si="3">VLOOKUP($B10,$R$3:$X$9,4,FALSE)</f>
        <v>0</v>
      </c>
      <c r="V10" s="297">
        <f t="shared" ref="V10:V36" si="4">VLOOKUP($B10,$R$3:$X$9,5,FALSE)</f>
        <v>0.13605324074074074</v>
      </c>
      <c r="W10" s="297">
        <f t="shared" ref="W10:W36" si="5">VLOOKUP($B10,$R$3:$X$9,6,FALSE)</f>
        <v>0.27430555555555552</v>
      </c>
      <c r="X10" s="297">
        <f t="shared" ref="X10:X36" si="6">VLOOKUP($B10,$R$3:$X$9,7,FALSE)</f>
        <v>0.30902777777777779</v>
      </c>
      <c r="Y10" s="297">
        <f t="shared" ref="Y10:Y36" si="7">VLOOKUP($B10,$R$3:$Z$9,8,FALSE)</f>
        <v>0</v>
      </c>
      <c r="Z10" s="296">
        <f t="shared" ref="Z10:Z36" si="8">VLOOKUP($B10,$R$3:$Z$9,9,FALSE)</f>
        <v>85</v>
      </c>
    </row>
    <row r="11" spans="2:29" ht="15.75" customHeight="1">
      <c r="B11" s="37" t="s">
        <v>16</v>
      </c>
      <c r="C11" s="366" t="str">
        <f>[23]Brewhouse!$A87</f>
        <v>SM075</v>
      </c>
      <c r="D11" s="279">
        <f>[23]Brewhouse!$AH87</f>
        <v>53</v>
      </c>
      <c r="E11" s="279">
        <f>[23]Brewhouse!$AM87</f>
        <v>52.1</v>
      </c>
      <c r="F11" s="278">
        <f>[23]Brewhouse!$Z87</f>
        <v>67</v>
      </c>
      <c r="G11" s="279">
        <f>[23]Brewhouse!$AK87</f>
        <v>17.2</v>
      </c>
      <c r="H11" s="396">
        <v>17.100000000000001</v>
      </c>
      <c r="I11" s="368">
        <f>[23]Brewhouse!$AY87</f>
        <v>98.456995928070882</v>
      </c>
      <c r="J11" s="368">
        <f>[23]Brewhouse!$AZ87</f>
        <v>99.433283097407227</v>
      </c>
      <c r="K11" s="281">
        <f>[23]Brewhouse!$U87</f>
        <v>7.5094339622641586</v>
      </c>
      <c r="L11" s="276">
        <f>[23]Brewhouse!$T87</f>
        <v>62</v>
      </c>
      <c r="M11" s="374">
        <f>[23]Brewhouse!$Y87-[23]Brewhouse!$X87</f>
        <v>0.14027777777777778</v>
      </c>
      <c r="N11" s="370">
        <f>[23]Brewhouse!$AD87</f>
        <v>0.28402777777777777</v>
      </c>
      <c r="O11" s="371" t="str">
        <f>[23]Brewhouse!$BC87</f>
        <v>R. Regis</v>
      </c>
      <c r="P11" s="418"/>
      <c r="R11" s="277" t="str">
        <f t="shared" si="0"/>
        <v>STARMALT</v>
      </c>
      <c r="S11" s="296">
        <f t="shared" si="1"/>
        <v>17</v>
      </c>
      <c r="T11" s="296">
        <f t="shared" si="2"/>
        <v>17.399999999999999</v>
      </c>
      <c r="U11" s="297">
        <f t="shared" si="3"/>
        <v>0</v>
      </c>
      <c r="V11" s="297">
        <f t="shared" si="4"/>
        <v>0.13605324074074074</v>
      </c>
      <c r="W11" s="297">
        <f t="shared" si="5"/>
        <v>0.27430555555555552</v>
      </c>
      <c r="X11" s="297">
        <f t="shared" si="6"/>
        <v>0.30902777777777779</v>
      </c>
      <c r="Y11" s="297">
        <f t="shared" si="7"/>
        <v>0</v>
      </c>
      <c r="Z11" s="296">
        <f t="shared" si="8"/>
        <v>85</v>
      </c>
    </row>
    <row r="12" spans="2:29" ht="15.75" customHeight="1">
      <c r="B12" s="37" t="s">
        <v>16</v>
      </c>
      <c r="C12" s="366" t="str">
        <f>[23]Brewhouse!$A88</f>
        <v>SM076</v>
      </c>
      <c r="D12" s="279">
        <f>[23]Brewhouse!$AH88</f>
        <v>53.1</v>
      </c>
      <c r="E12" s="279">
        <f>[23]Brewhouse!$AM88</f>
        <v>52.4</v>
      </c>
      <c r="F12" s="278">
        <f>[23]Brewhouse!$Z88</f>
        <v>70</v>
      </c>
      <c r="G12" s="279">
        <f>[23]Brewhouse!$AK88</f>
        <v>17.399999999999999</v>
      </c>
      <c r="H12" s="396">
        <v>17.3</v>
      </c>
      <c r="I12" s="368">
        <f>[23]Brewhouse!$AY88</f>
        <v>100.01882858314821</v>
      </c>
      <c r="J12" s="368">
        <f>[23]Brewhouse!$AZ88</f>
        <v>101.01340320835052</v>
      </c>
      <c r="K12" s="281">
        <f>[23]Brewhouse!$U88</f>
        <v>5.0470809792843818</v>
      </c>
      <c r="L12" s="276">
        <f>[23]Brewhouse!$T88</f>
        <v>61</v>
      </c>
      <c r="M12" s="374">
        <f>[23]Brewhouse!$Y88-[23]Brewhouse!$X88</f>
        <v>0.14166666666666672</v>
      </c>
      <c r="N12" s="370">
        <f>[23]Brewhouse!$AD88</f>
        <v>0.30000000000000004</v>
      </c>
      <c r="O12" s="371" t="str">
        <f>[23]Brewhouse!$BC88</f>
        <v>R. Regis</v>
      </c>
      <c r="P12" s="418"/>
      <c r="R12" s="277" t="str">
        <f t="shared" ref="R12:R14" si="9">B12</f>
        <v>STARMALT</v>
      </c>
      <c r="S12" s="296">
        <f t="shared" si="1"/>
        <v>17</v>
      </c>
      <c r="T12" s="296">
        <f t="shared" si="2"/>
        <v>17.399999999999999</v>
      </c>
      <c r="U12" s="297">
        <f t="shared" si="3"/>
        <v>0</v>
      </c>
      <c r="V12" s="297">
        <f t="shared" si="4"/>
        <v>0.13605324074074074</v>
      </c>
      <c r="W12" s="297">
        <f t="shared" si="5"/>
        <v>0.27430555555555552</v>
      </c>
      <c r="X12" s="297">
        <f t="shared" si="6"/>
        <v>0.30902777777777779</v>
      </c>
      <c r="Y12" s="297">
        <f t="shared" si="7"/>
        <v>0</v>
      </c>
      <c r="Z12" s="296">
        <f t="shared" si="8"/>
        <v>85</v>
      </c>
    </row>
    <row r="13" spans="2:29" ht="15.75" customHeight="1">
      <c r="B13" s="37" t="s">
        <v>16</v>
      </c>
      <c r="C13" s="366" t="str">
        <f>[23]Brewhouse!$A89</f>
        <v>SM077</v>
      </c>
      <c r="D13" s="279">
        <f>[23]Brewhouse!$AH89</f>
        <v>53.1</v>
      </c>
      <c r="E13" s="279">
        <f>[23]Brewhouse!$AM89</f>
        <v>52.4</v>
      </c>
      <c r="F13" s="278">
        <f>[23]Brewhouse!$Z89</f>
        <v>71</v>
      </c>
      <c r="G13" s="279">
        <f>[23]Brewhouse!$AK89</f>
        <v>17.100000000000001</v>
      </c>
      <c r="H13" s="396">
        <v>17</v>
      </c>
      <c r="I13" s="368">
        <f>[23]Brewhouse!$AY89</f>
        <v>98.0323031936218</v>
      </c>
      <c r="J13" s="368">
        <f>[23]Brewhouse!$AZ89</f>
        <v>99.00894665885086</v>
      </c>
      <c r="K13" s="281">
        <f>[23]Brewhouse!$U89</f>
        <v>6.7419962335216672</v>
      </c>
      <c r="L13" s="276">
        <f>[23]Brewhouse!$T89</f>
        <v>61</v>
      </c>
      <c r="M13" s="374">
        <f>[23]Brewhouse!$Y89-[23]Brewhouse!$X89</f>
        <v>0.13680555555555551</v>
      </c>
      <c r="N13" s="370">
        <f>[23]Brewhouse!$AD89</f>
        <v>0.30208333333333337</v>
      </c>
      <c r="O13" s="371" t="str">
        <f>[23]Brewhouse!$BC89</f>
        <v>R. Regis</v>
      </c>
      <c r="P13" s="418"/>
      <c r="R13" s="277" t="str">
        <f t="shared" si="9"/>
        <v>STARMALT</v>
      </c>
      <c r="S13" s="296">
        <f t="shared" si="1"/>
        <v>17</v>
      </c>
      <c r="T13" s="296">
        <f t="shared" si="2"/>
        <v>17.399999999999999</v>
      </c>
      <c r="U13" s="297">
        <f t="shared" si="3"/>
        <v>0</v>
      </c>
      <c r="V13" s="297">
        <f t="shared" si="4"/>
        <v>0.13605324074074074</v>
      </c>
      <c r="W13" s="297">
        <f t="shared" si="5"/>
        <v>0.27430555555555552</v>
      </c>
      <c r="X13" s="297">
        <f t="shared" si="6"/>
        <v>0.30902777777777779</v>
      </c>
      <c r="Y13" s="297">
        <f t="shared" si="7"/>
        <v>0</v>
      </c>
      <c r="Z13" s="296">
        <f t="shared" si="8"/>
        <v>85</v>
      </c>
    </row>
    <row r="14" spans="2:29" ht="15.75" customHeight="1">
      <c r="B14" s="37" t="s">
        <v>16</v>
      </c>
      <c r="C14" s="366" t="str">
        <f>[23]Brewhouse!$A90</f>
        <v>SM078</v>
      </c>
      <c r="D14" s="279">
        <f>[23]Brewhouse!$AH90</f>
        <v>53.1</v>
      </c>
      <c r="E14" s="279">
        <f>[23]Brewhouse!$AM90</f>
        <v>52.9</v>
      </c>
      <c r="F14" s="278">
        <f>[23]Brewhouse!$Z90</f>
        <v>79</v>
      </c>
      <c r="G14" s="279">
        <f>[23]Brewhouse!$AK90</f>
        <v>17</v>
      </c>
      <c r="H14" s="396">
        <v>17</v>
      </c>
      <c r="I14" s="368">
        <f>[23]Brewhouse!$AY90</f>
        <v>98.397461899198319</v>
      </c>
      <c r="J14" s="368">
        <f>[23]Brewhouse!$AZ90</f>
        <v>99.376829285711466</v>
      </c>
      <c r="K14" s="281">
        <f>[23]Brewhouse!$U90</f>
        <v>4.4821092278719448</v>
      </c>
      <c r="L14" s="276">
        <f>[23]Brewhouse!$T90</f>
        <v>61</v>
      </c>
      <c r="M14" s="374">
        <f>[23]Brewhouse!$Y90-[23]Brewhouse!$X90</f>
        <v>0.1381944444444444</v>
      </c>
      <c r="N14" s="370">
        <f>[23]Brewhouse!$AD90</f>
        <v>0.30763888888888891</v>
      </c>
      <c r="O14" s="371" t="str">
        <f>[23]Brewhouse!$BC90</f>
        <v>R. Regis</v>
      </c>
      <c r="P14" s="418"/>
      <c r="R14" s="277" t="str">
        <f t="shared" si="9"/>
        <v>STARMALT</v>
      </c>
      <c r="S14" s="296">
        <f t="shared" si="1"/>
        <v>17</v>
      </c>
      <c r="T14" s="296">
        <f t="shared" si="2"/>
        <v>17.399999999999999</v>
      </c>
      <c r="U14" s="297">
        <f t="shared" si="3"/>
        <v>0</v>
      </c>
      <c r="V14" s="297">
        <f t="shared" si="4"/>
        <v>0.13605324074074074</v>
      </c>
      <c r="W14" s="297">
        <f t="shared" si="5"/>
        <v>0.27430555555555552</v>
      </c>
      <c r="X14" s="297">
        <f t="shared" si="6"/>
        <v>0.30902777777777779</v>
      </c>
      <c r="Y14" s="297">
        <f t="shared" si="7"/>
        <v>0</v>
      </c>
      <c r="Z14" s="296">
        <f t="shared" si="8"/>
        <v>85</v>
      </c>
    </row>
    <row r="15" spans="2:29" ht="15.6" customHeight="1">
      <c r="B15" s="37" t="s">
        <v>16</v>
      </c>
      <c r="C15" s="366" t="str">
        <f>[23]Brewhouse!$A91</f>
        <v>SM079</v>
      </c>
      <c r="D15" s="279">
        <f>[23]Brewhouse!$AH91</f>
        <v>53</v>
      </c>
      <c r="E15" s="279">
        <f>[23]Brewhouse!$AM91</f>
        <v>52.6</v>
      </c>
      <c r="F15" s="278">
        <f>[23]Brewhouse!$Z91</f>
        <v>83</v>
      </c>
      <c r="G15" s="279">
        <f>[23]Brewhouse!$AK91</f>
        <v>17.2</v>
      </c>
      <c r="H15" s="396">
        <v>17</v>
      </c>
      <c r="I15" s="368">
        <f>[23]Brewhouse!$AY91</f>
        <v>98.998957891963272</v>
      </c>
      <c r="J15" s="368">
        <f>[23]Brewhouse!$AZ91</f>
        <v>99.985231621539</v>
      </c>
      <c r="K15" s="281">
        <f>[23]Brewhouse!$U91</f>
        <v>4.8679245283018968</v>
      </c>
      <c r="L15" s="276">
        <f>[23]Brewhouse!$T91</f>
        <v>61</v>
      </c>
      <c r="M15" s="374">
        <f>[23]Brewhouse!$Y91-[23]Brewhouse!$X91</f>
        <v>0.13819444444444451</v>
      </c>
      <c r="N15" s="370">
        <f>[23]Brewhouse!$AD91</f>
        <v>0.30694444444444446</v>
      </c>
      <c r="O15" s="371" t="str">
        <f>[23]Brewhouse!$BC91</f>
        <v>R. Regis</v>
      </c>
      <c r="P15" s="418"/>
      <c r="R15" s="277" t="str">
        <f t="shared" ref="R15:R36" si="10">B15</f>
        <v>STARMALT</v>
      </c>
      <c r="S15" s="296">
        <f t="shared" si="1"/>
        <v>17</v>
      </c>
      <c r="T15" s="296">
        <f t="shared" si="2"/>
        <v>17.399999999999999</v>
      </c>
      <c r="U15" s="297">
        <f t="shared" si="3"/>
        <v>0</v>
      </c>
      <c r="V15" s="297">
        <f t="shared" si="4"/>
        <v>0.13605324074074074</v>
      </c>
      <c r="W15" s="297">
        <f t="shared" si="5"/>
        <v>0.27430555555555552</v>
      </c>
      <c r="X15" s="297">
        <f t="shared" si="6"/>
        <v>0.30902777777777779</v>
      </c>
      <c r="Y15" s="297">
        <f t="shared" si="7"/>
        <v>0</v>
      </c>
      <c r="Z15" s="296">
        <f t="shared" si="8"/>
        <v>85</v>
      </c>
    </row>
    <row r="16" spans="2:29" ht="15.75" customHeight="1">
      <c r="B16" s="37" t="s">
        <v>16</v>
      </c>
      <c r="C16" s="366" t="str">
        <f>[23]Brewhouse!$A92</f>
        <v>SM080</v>
      </c>
      <c r="D16" s="279">
        <f>[23]Brewhouse!$AH92</f>
        <v>53.1</v>
      </c>
      <c r="E16" s="279">
        <f>[23]Brewhouse!$AM92</f>
        <v>53.6</v>
      </c>
      <c r="F16" s="278">
        <f>[23]Brewhouse!$Z92</f>
        <v>100</v>
      </c>
      <c r="G16" s="279">
        <f>[23]Brewhouse!$AK92</f>
        <v>17.100000000000001</v>
      </c>
      <c r="H16" s="367"/>
      <c r="I16" s="368">
        <f>[23]Brewhouse!$AY92</f>
        <v>100.44017037572831</v>
      </c>
      <c r="J16" s="368">
        <f>[23]Brewhouse!$AZ92</f>
        <v>101.43893477061073</v>
      </c>
      <c r="K16" s="281">
        <f>[23]Brewhouse!$U92</f>
        <v>5.9887005649717642</v>
      </c>
      <c r="L16" s="276">
        <f>[23]Brewhouse!$T92</f>
        <v>66</v>
      </c>
      <c r="M16" s="374">
        <f>[23]Brewhouse!$Y92-[23]Brewhouse!$X92</f>
        <v>0.15416666666666656</v>
      </c>
      <c r="N16" s="370">
        <f>[23]Brewhouse!$AD92</f>
        <v>0.30902777777777768</v>
      </c>
      <c r="O16" s="371" t="str">
        <f>[23]Brewhouse!$BC92</f>
        <v>R.Sookram</v>
      </c>
      <c r="P16" s="418"/>
      <c r="R16" s="277" t="str">
        <f t="shared" si="10"/>
        <v>STARMALT</v>
      </c>
      <c r="S16" s="296">
        <f t="shared" si="1"/>
        <v>17</v>
      </c>
      <c r="T16" s="296">
        <f t="shared" si="2"/>
        <v>17.399999999999999</v>
      </c>
      <c r="U16" s="297">
        <f t="shared" si="3"/>
        <v>0</v>
      </c>
      <c r="V16" s="297">
        <f t="shared" si="4"/>
        <v>0.13605324074074074</v>
      </c>
      <c r="W16" s="297">
        <f t="shared" si="5"/>
        <v>0.27430555555555552</v>
      </c>
      <c r="X16" s="297">
        <f t="shared" si="6"/>
        <v>0.30902777777777779</v>
      </c>
      <c r="Y16" s="297">
        <f t="shared" si="7"/>
        <v>0</v>
      </c>
      <c r="Z16" s="296">
        <f t="shared" si="8"/>
        <v>85</v>
      </c>
    </row>
    <row r="17" spans="1:27" ht="15.75" customHeight="1">
      <c r="B17" s="34"/>
      <c r="C17" s="366"/>
      <c r="D17" s="279"/>
      <c r="E17" s="279"/>
      <c r="F17" s="278"/>
      <c r="G17" s="279"/>
      <c r="H17" s="396"/>
      <c r="I17" s="420"/>
      <c r="J17" s="420"/>
      <c r="K17" s="462"/>
      <c r="L17" s="276"/>
      <c r="M17" s="374"/>
      <c r="N17" s="370"/>
      <c r="O17" s="421"/>
      <c r="P17" s="418"/>
      <c r="R17" s="277">
        <f t="shared" si="1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1:27" ht="15.75" customHeight="1">
      <c r="B18" s="33" t="s">
        <v>9</v>
      </c>
      <c r="C18" s="366" t="str">
        <f>[24]Brewhouse!$A397</f>
        <v>ST375</v>
      </c>
      <c r="D18" s="279">
        <f>[24]Brewhouse!$AD397</f>
        <v>47.6</v>
      </c>
      <c r="E18" s="279">
        <f>[24]Brewhouse!$AG397</f>
        <v>45.9</v>
      </c>
      <c r="F18" s="278">
        <f>[24]Brewhouse!$V397</f>
        <v>65</v>
      </c>
      <c r="G18" s="279">
        <f>[24]Brewhouse!$AE397</f>
        <v>11.7</v>
      </c>
      <c r="H18" s="396">
        <v>11.7</v>
      </c>
      <c r="I18" s="420">
        <f>[24]Brewhouse!$AS397</f>
        <v>93.349327877838363</v>
      </c>
      <c r="J18" s="420">
        <f>[24]Brewhouse!$AT397</f>
        <v>94.922594789348011</v>
      </c>
      <c r="K18" s="281">
        <f>[24]Brewhouse!$Q397</f>
        <v>4.6938775510204023</v>
      </c>
      <c r="L18" s="276">
        <f>[24]Brewhouse!$P397</f>
        <v>58</v>
      </c>
      <c r="M18" s="374">
        <f>[24]Brewhouse!$U397-[24]Brewhouse!$T397</f>
        <v>0.16527777777777786</v>
      </c>
      <c r="N18" s="370">
        <f>[24]Brewhouse!$AW397</f>
        <v>0.31527777777777777</v>
      </c>
      <c r="O18" s="421" t="str">
        <f>[24]Brewhouse!$AV397</f>
        <v>R.Sookram</v>
      </c>
      <c r="P18" s="418"/>
      <c r="R18" s="277" t="str">
        <f t="shared" si="10"/>
        <v>STAG</v>
      </c>
      <c r="S18" s="296">
        <f t="shared" si="1"/>
        <v>11.6</v>
      </c>
      <c r="T18" s="296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296">
        <f t="shared" si="8"/>
        <v>60</v>
      </c>
    </row>
    <row r="19" spans="1:27" ht="15.75" customHeight="1">
      <c r="B19" s="33"/>
      <c r="C19" s="366"/>
      <c r="D19" s="279"/>
      <c r="E19" s="279"/>
      <c r="F19" s="278"/>
      <c r="G19" s="279"/>
      <c r="H19" s="396"/>
      <c r="I19" s="420"/>
      <c r="J19" s="420"/>
      <c r="K19" s="281"/>
      <c r="L19" s="276"/>
      <c r="M19" s="374"/>
      <c r="N19" s="370"/>
      <c r="O19" s="421"/>
      <c r="P19" s="418"/>
      <c r="R19" s="277">
        <f t="shared" si="1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7" ht="15.6" customHeight="1">
      <c r="B20" s="33"/>
      <c r="C20" s="366"/>
      <c r="D20" s="279"/>
      <c r="E20" s="279"/>
      <c r="F20" s="278"/>
      <c r="G20" s="279"/>
      <c r="H20" s="396"/>
      <c r="I20" s="420"/>
      <c r="J20" s="420"/>
      <c r="K20" s="281"/>
      <c r="L20" s="276"/>
      <c r="M20" s="374"/>
      <c r="N20" s="370"/>
      <c r="O20" s="421"/>
      <c r="P20" s="418"/>
      <c r="R20" s="277">
        <f t="shared" si="1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7" ht="15.6" customHeight="1">
      <c r="B21" s="33"/>
      <c r="C21" s="366"/>
      <c r="D21" s="279"/>
      <c r="E21" s="279"/>
      <c r="F21" s="278"/>
      <c r="G21" s="279"/>
      <c r="H21" s="396"/>
      <c r="I21" s="420"/>
      <c r="J21" s="420"/>
      <c r="K21" s="281"/>
      <c r="L21" s="276"/>
      <c r="M21" s="374"/>
      <c r="N21" s="370"/>
      <c r="O21" s="421"/>
      <c r="P21" s="418"/>
      <c r="R21" s="277">
        <f t="shared" si="1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7" ht="15.75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18"/>
      <c r="R22" s="277">
        <f t="shared" si="1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7" ht="15.75" customHeight="1" thickBot="1">
      <c r="B23" s="358"/>
      <c r="C23" s="358"/>
      <c r="D23" s="358"/>
      <c r="E23" s="358"/>
      <c r="F23" s="294"/>
      <c r="G23" s="294"/>
      <c r="H23" s="348"/>
      <c r="I23" s="514"/>
      <c r="J23" s="514"/>
      <c r="K23" s="514"/>
      <c r="L23" s="514"/>
      <c r="M23" s="514"/>
      <c r="N23" s="514"/>
      <c r="O23" s="1"/>
      <c r="P23" s="12"/>
      <c r="R23" s="277">
        <f t="shared" si="1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7" ht="15.75" thickBot="1">
      <c r="B24" s="388" t="s">
        <v>162</v>
      </c>
      <c r="C24" s="388"/>
      <c r="D24" s="527" t="s">
        <v>35</v>
      </c>
      <c r="E24" s="528"/>
      <c r="F24" s="294"/>
      <c r="G24" s="294"/>
      <c r="H24" s="348"/>
      <c r="I24" s="24" t="s">
        <v>17</v>
      </c>
      <c r="J24" s="25" t="s">
        <v>36</v>
      </c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R24" s="277" t="str">
        <f t="shared" si="10"/>
        <v xml:space="preserve">BRAND 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7" ht="15" customHeight="1">
      <c r="A25" s="28"/>
      <c r="B25" s="578"/>
      <c r="C25" s="362"/>
      <c r="D25" s="518"/>
      <c r="E25" s="507"/>
      <c r="F25" s="294"/>
      <c r="G25" s="294"/>
      <c r="H25" s="348"/>
      <c r="I25" s="29" t="s">
        <v>6</v>
      </c>
      <c r="J25" s="280"/>
      <c r="K25" s="284">
        <f>COUNTA([22]Brewhouse!$A$740:$A$821)</f>
        <v>82</v>
      </c>
      <c r="L25" s="305">
        <f>AVERAGE([22]Brewhouse!$AU$740:$AU$821)</f>
        <v>97.314316424839745</v>
      </c>
      <c r="M25" s="302">
        <f>AVERAGE([22]Brewhouse!$AU$102:$AU$171,[22]Brewhouse!$AU$173:$AU$253,[22]Brewhouse!$AU$255:$AU$339,[22]Brewhouse!$AU$341:$AU$346,[22]Brewhouse!$AU$348,[22]Brewhouse!$AU$349:$AU$406,[22]Brewhouse!$AU$408:$AU$491,[22]Brewhouse!$AU$493:$AU$578,[22]Brewhouse!$AU$580:$AU$652,[22]Brewhouse!$AU$655:$AU$738,[22]Brewhouse!$A$740:$A$821)</f>
        <v>97.707262129538279</v>
      </c>
      <c r="N25" s="30">
        <v>98</v>
      </c>
      <c r="O25" s="11"/>
      <c r="P25" s="31"/>
      <c r="R25" s="277">
        <f t="shared" si="1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7" ht="15" customHeight="1">
      <c r="A26" s="28"/>
      <c r="B26" s="579"/>
      <c r="C26" s="362"/>
      <c r="D26" s="519"/>
      <c r="E26" s="502"/>
      <c r="F26" s="294"/>
      <c r="G26" s="294"/>
      <c r="H26" s="348"/>
      <c r="I26" s="33" t="s">
        <v>9</v>
      </c>
      <c r="J26" s="280">
        <f>I18</f>
        <v>93.349327877838363</v>
      </c>
      <c r="K26" s="284">
        <f>COUNTA([24]Brewhouse!$A$361:$A$397)</f>
        <v>37</v>
      </c>
      <c r="L26" s="302">
        <f>AVERAGE([24]Brewhouse!$AS$361:$AS$397)</f>
        <v>97.358194498127645</v>
      </c>
      <c r="M26" s="302">
        <f>AVERAGE([24]Brewhouse!$AS$15:$AS$64,[24]Brewhouse!$AS$66:$AS$103,[24]Brewhouse!$AS$105:$AS$140,[24]Brewhouse!$AS$142:$AS$193,[24]Brewhouse!$AS$195:$AS$240,[24]Brewhouse!$AS$242:$AS$273,[24]Brewhouse!$AS$275:$AS$322,[24]Brewhouse!$AS$324:$AS$359,[24]Brewhouse!$AS$361:$AS$397)</f>
        <v>97.995703185263366</v>
      </c>
      <c r="N26" s="30">
        <v>98</v>
      </c>
      <c r="O26" s="11"/>
      <c r="P26" s="31"/>
      <c r="R26" s="277">
        <f t="shared" si="1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7" ht="14.65" customHeight="1">
      <c r="A27" s="28"/>
      <c r="B27" s="579"/>
      <c r="C27" s="362"/>
      <c r="D27" s="518"/>
      <c r="E27" s="507"/>
      <c r="F27" s="294"/>
      <c r="G27" s="294"/>
      <c r="H27" s="348"/>
      <c r="I27" s="34" t="s">
        <v>12</v>
      </c>
      <c r="J27" s="280"/>
      <c r="K27" s="284">
        <f>COUNTA([25]Brewhouse!$A$94:$A$97)</f>
        <v>4</v>
      </c>
      <c r="L27" s="302">
        <f>AVERAGE([25]Brewhouse!$AU$94:$AU$97)</f>
        <v>94.293724793012899</v>
      </c>
      <c r="M27" s="302">
        <f>AVERAGE([25]Brewhouse!$AU$4:$AU$7,[25]Brewhouse!$AU$9:$AU$22,[25]Brewhouse!$AU$24:$AU$35,[25]Brewhouse!$AU$37:$AU$45,[25]Brewhouse!$AU$47:$AU$62,[25]Brewhouse!$AU$64:$AU$79,[25]Brewhouse!$AU$81:$AU$92,[25]Brewhouse!$AU$94:$AU$97)</f>
        <v>96.816600378435098</v>
      </c>
      <c r="N27" s="30">
        <v>98</v>
      </c>
      <c r="O27" s="11"/>
      <c r="P27" s="31"/>
      <c r="R27" s="277">
        <f t="shared" si="1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7" ht="14.65" customHeight="1">
      <c r="A28" s="28"/>
      <c r="B28" s="579"/>
      <c r="C28" s="362"/>
      <c r="D28" s="519"/>
      <c r="E28" s="502"/>
      <c r="F28" s="294"/>
      <c r="G28" s="294"/>
      <c r="H28" s="348"/>
      <c r="I28" s="22" t="s">
        <v>33</v>
      </c>
      <c r="J28" s="280"/>
      <c r="K28" s="284">
        <f>COUNTA([26]Brewhouse!$A$79:$A$86)</f>
        <v>8</v>
      </c>
      <c r="L28" s="302">
        <f>AVERAGE([26]Brewhouse!$AV$79:$AV$86)</f>
        <v>96.412390542357869</v>
      </c>
      <c r="M28" s="302">
        <f>AVERAGE([26]Brewhouse!$AV$5:$AV$14,[26]Brewhouse!$AV$16:$AV$19,[26]Brewhouse!$AV$21:$AV$24,[26]Brewhouse!$AV$26:$AV$33,[26]Brewhouse!$AV$35:$AV$46,[26]Brewhouse!$AV$48:$AV$53,[26]Brewhouse!$AV$55:$AV$62,[26]Brewhouse!$AV$64:$AV$77,[26]Brewhouse!$AV$79:$AV$86)</f>
        <v>98.293408393493976</v>
      </c>
      <c r="N28" s="30">
        <v>98</v>
      </c>
      <c r="O28" s="11"/>
      <c r="P28" s="31"/>
      <c r="R28" s="277">
        <f t="shared" si="1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1:27" ht="14.65" customHeight="1">
      <c r="A29" s="28"/>
      <c r="B29" s="579"/>
      <c r="C29" s="362"/>
      <c r="D29" s="518"/>
      <c r="E29" s="507"/>
      <c r="F29" s="417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R29" s="277">
        <f t="shared" si="1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1:27" ht="14.65" customHeight="1">
      <c r="A30" s="28"/>
      <c r="B30" s="579"/>
      <c r="C30" s="362"/>
      <c r="D30" s="519"/>
      <c r="E30" s="502"/>
      <c r="F30" s="417"/>
      <c r="G30" s="294"/>
      <c r="H30" s="348"/>
      <c r="I30" s="36" t="s">
        <v>15</v>
      </c>
      <c r="J30" s="323"/>
      <c r="K30" s="284">
        <f>COUNTA([27]Brewhouse!$A$28:$A$35)</f>
        <v>8</v>
      </c>
      <c r="L30" s="302">
        <f>AVERAGE([27]Brewhouse!$AT$28:$AT$35)</f>
        <v>95.233703112250225</v>
      </c>
      <c r="M30" s="302">
        <f>AVERAGE([27]Brewhouse!$AT$4:$AT$11,[27]Brewhouse!$AT$13:$AT$16,[27]Brewhouse!$AT$18:$AT$21,[27]Brewhouse!$AT$26,[27]Brewhouse!$AT$28:$AT$35)</f>
        <v>94.794664331624134</v>
      </c>
      <c r="N30" s="30">
        <v>98</v>
      </c>
      <c r="O30" s="11"/>
      <c r="P30" s="31"/>
      <c r="R30" s="277">
        <f t="shared" si="1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  <c r="AA30" s="296"/>
    </row>
    <row r="31" spans="1:27" ht="14.65" customHeight="1">
      <c r="A31" s="28"/>
      <c r="B31" s="579"/>
      <c r="C31" s="362"/>
      <c r="D31" s="518"/>
      <c r="E31" s="507"/>
      <c r="F31" s="417"/>
      <c r="G31" s="294"/>
      <c r="H31" s="348"/>
      <c r="I31" s="37" t="s">
        <v>16</v>
      </c>
      <c r="J31" s="323">
        <f>AVERAGE(I10:I16)</f>
        <v>98.80652111523321</v>
      </c>
      <c r="K31" s="284">
        <f>COUNTA([23]Brewhouse!$A$75:$A$92)</f>
        <v>18</v>
      </c>
      <c r="L31" s="302">
        <v>97.9</v>
      </c>
      <c r="M31" s="302">
        <f>AVERAGE([23]Brewhouse!$AY$6:$AY$13,[23]Brewhouse!$AY$15:$AY$20,[23]Brewhouse!$AY$22:$AY$29,[23]Brewhouse!$AY$31:$AY$34,[23]Brewhouse!$AY$36:$AY$43,[23]Brewhouse!$AY$45:$AY$50, [23]Brewhouse!$AY$56:$AY$73,[23]Brewhouse!$AY$75:$AY$92)</f>
        <v>97.477741199081322</v>
      </c>
      <c r="N31" s="30">
        <v>98</v>
      </c>
      <c r="O31" s="11"/>
      <c r="P31" s="31" t="s">
        <v>41</v>
      </c>
      <c r="R31" s="277">
        <f t="shared" si="1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  <c r="AA31" s="296"/>
    </row>
    <row r="32" spans="1:27" ht="14.65" customHeight="1">
      <c r="A32" s="28"/>
      <c r="B32" s="579"/>
      <c r="C32" s="362"/>
      <c r="D32" s="519"/>
      <c r="E32" s="502"/>
      <c r="F32" s="294"/>
      <c r="G32" s="294"/>
      <c r="H32" s="348"/>
      <c r="I32" s="411" t="s">
        <v>158</v>
      </c>
      <c r="J32" s="326"/>
      <c r="K32" s="284"/>
      <c r="L32" s="305"/>
      <c r="M32" s="305">
        <f>AVERAGE([28]Brewhouse!$AU$5:$AU$8,[28]Brewhouse!$AU$10:$AU$13,[23]Brewhouse!$AY$75:$AY$77)</f>
        <v>94.749192473706671</v>
      </c>
      <c r="N32" s="30">
        <v>98</v>
      </c>
      <c r="O32" s="11"/>
      <c r="P32" s="31"/>
      <c r="R32" s="277">
        <f t="shared" si="1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  <c r="AA32" s="296"/>
    </row>
    <row r="33" spans="1:56" ht="14.65" customHeight="1">
      <c r="A33" s="28"/>
      <c r="B33" s="579"/>
      <c r="C33" s="349"/>
      <c r="D33" s="518"/>
      <c r="E33" s="507"/>
      <c r="F33" s="294"/>
      <c r="G33" s="294"/>
      <c r="H33" s="348"/>
      <c r="I33" s="410" t="s">
        <v>157</v>
      </c>
      <c r="J33" s="326"/>
      <c r="K33" s="284"/>
      <c r="L33" s="305"/>
      <c r="M33" s="305">
        <f>AVERAGE([29]Brewhouse!$AW$26:$AW$27)</f>
        <v>95.310680905194914</v>
      </c>
      <c r="N33" s="30">
        <v>98</v>
      </c>
      <c r="O33" s="11"/>
      <c r="P33" s="31"/>
      <c r="R33" s="277">
        <f t="shared" si="1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  <c r="AA33" s="296"/>
    </row>
    <row r="34" spans="1:56" ht="15" customHeight="1" thickBot="1">
      <c r="A34" s="28"/>
      <c r="B34" s="579"/>
      <c r="C34" s="349"/>
      <c r="D34" s="519"/>
      <c r="E34" s="502"/>
      <c r="F34" s="294"/>
      <c r="G34" s="294"/>
      <c r="H34" s="348"/>
      <c r="I34" s="406" t="s">
        <v>156</v>
      </c>
      <c r="J34" s="327"/>
      <c r="K34" s="407"/>
      <c r="L34" s="408"/>
      <c r="M34" s="408">
        <f>AVERAGE([30]Brewhouse!$AU$13:$AU$14)</f>
        <v>97.110575243268045</v>
      </c>
      <c r="N34" s="409">
        <v>98</v>
      </c>
      <c r="O34" s="11"/>
      <c r="P34" s="31"/>
      <c r="R34" s="277">
        <f t="shared" si="1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  <c r="AA34" s="296"/>
    </row>
    <row r="35" spans="1:56" ht="15" customHeight="1" thickBot="1">
      <c r="A35" s="28"/>
      <c r="B35" s="579"/>
      <c r="C35" s="349"/>
      <c r="D35" s="518"/>
      <c r="E35" s="507"/>
      <c r="F35" s="294"/>
      <c r="G35" s="294"/>
      <c r="H35" s="348"/>
      <c r="I35" s="1"/>
      <c r="J35" s="39"/>
      <c r="K35" s="404">
        <f>SUM(K25:K34)</f>
        <v>157</v>
      </c>
      <c r="L35" s="405">
        <f>((L25*K25)+(L26*K26)+(L27*K27)+(L28*K28)+(L29*K29)+(K32*L32)+(L30*K30)+(L31*K31)+(L34*K34))/(K35)</f>
        <v>97.162871284563693</v>
      </c>
      <c r="M35" s="405">
        <f>AVERAGE('[31]Jan 31st'!$L$65,'[32]Feb 28th'!$L$35,'[33]Mar. 31st'!$L$35,'[34]Apr. 30th'!$L$45,'[35]May 30th'!$L$37,'[36]June 30th'!$L$57,'[37]July 29th '!$L$44,'[38]Aug 29th'!$L$29,L35)</f>
        <v>97.575500266313099</v>
      </c>
      <c r="N35" s="40">
        <v>98</v>
      </c>
      <c r="O35" s="11"/>
      <c r="P35" s="31"/>
      <c r="R35" s="277">
        <f t="shared" si="1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  <c r="AA35" s="296"/>
    </row>
    <row r="36" spans="1:56" ht="15.75" thickBot="1">
      <c r="B36" s="580"/>
      <c r="C36" s="350"/>
      <c r="D36" s="519"/>
      <c r="E36" s="502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R36" s="277">
        <f t="shared" si="1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  <c r="AA36" s="296"/>
    </row>
    <row r="37" spans="1:56" ht="15.75" thickBot="1">
      <c r="B37" s="552"/>
      <c r="C37" s="362"/>
      <c r="D37" s="499"/>
      <c r="E37" s="500"/>
      <c r="F37" s="294"/>
      <c r="G37" s="42"/>
      <c r="H37" s="41"/>
      <c r="I37" s="42"/>
      <c r="J37" s="553" t="s">
        <v>129</v>
      </c>
      <c r="K37" s="553"/>
      <c r="L37" s="294"/>
      <c r="M37" s="294"/>
      <c r="N37" s="294"/>
      <c r="O37" s="294"/>
      <c r="P37" s="12"/>
    </row>
    <row r="38" spans="1:56" ht="15.75" thickBot="1">
      <c r="B38" s="516"/>
      <c r="C38" s="362"/>
      <c r="D38" s="501"/>
      <c r="E38" s="502"/>
      <c r="F38" s="294"/>
      <c r="G38" s="42"/>
      <c r="H38" s="41"/>
      <c r="I38" s="42"/>
      <c r="J38" s="292" t="s">
        <v>17</v>
      </c>
      <c r="K38" s="293" t="s">
        <v>147</v>
      </c>
      <c r="L38" s="504" t="s">
        <v>136</v>
      </c>
      <c r="M38" s="504"/>
      <c r="N38" s="505"/>
      <c r="O38" s="294"/>
      <c r="P38" s="12"/>
    </row>
    <row r="39" spans="1:56" ht="15" customHeight="1" thickBot="1">
      <c r="B39" s="516"/>
      <c r="C39" s="349"/>
      <c r="D39" s="554"/>
      <c r="E39" s="555"/>
      <c r="F39" s="294"/>
      <c r="G39" s="42"/>
      <c r="H39" s="41"/>
      <c r="I39" s="42"/>
      <c r="J39" s="287" t="s">
        <v>6</v>
      </c>
      <c r="K39" s="324"/>
      <c r="L39" s="343" t="s">
        <v>37</v>
      </c>
      <c r="M39" s="307" t="s">
        <v>38</v>
      </c>
      <c r="N39" s="307" t="s">
        <v>84</v>
      </c>
      <c r="O39" s="294"/>
      <c r="P39" s="12"/>
    </row>
    <row r="40" spans="1:56" ht="15.75" customHeight="1" thickBot="1">
      <c r="B40" s="516"/>
      <c r="C40" s="349"/>
      <c r="D40" s="501"/>
      <c r="E40" s="502"/>
      <c r="F40" s="294"/>
      <c r="G40" s="42"/>
      <c r="H40" s="41"/>
      <c r="I40" s="42"/>
      <c r="J40" s="345" t="s">
        <v>9</v>
      </c>
      <c r="K40" s="324">
        <v>1</v>
      </c>
      <c r="L40" s="344">
        <f>AVERAGE('Sept 1st'!K53,'Sept 2nd'!K51,'Sept 3rd'!K52,'Sept 4th'!K61,'Sept 5th '!K49,'Sept 8th'!K51,'Sept 9th'!K51,'Sept 10th'!K59,'Sept 11th'!K53,'Sept 15th '!K43,'Sept 16th'!K44,'Sept 17th'!K48,'Sept 18th '!K46,'Sept 19th'!K49,'Sept 22nd'!K51,'Sept 23rd'!K57,'Sept 24th'!K52,'Sept 25th'!K54,'Sept 26th'!K51,'Sept 29th '!K51,'Sept 30th'!K49)</f>
        <v>7.4285714285714288</v>
      </c>
      <c r="M40" s="325">
        <f>AVERAGE('[31]Jan 29th '!$M$70,'[32]Feb 28th'!$L$40,'[33]Mar. 31st'!$L$40,'[34]Apr. 30th'!$L$50,'[35]May 30th'!$L$42,'[36]June 30th'!$L$62,'[37]July 29th '!$L$49,'[38]Aug 29th'!$L$34,L40)</f>
        <v>7.0068086418200828</v>
      </c>
      <c r="N40" s="416">
        <v>9.1999999999999993</v>
      </c>
      <c r="O40" s="294"/>
      <c r="P40" s="12"/>
    </row>
    <row r="41" spans="1:56" ht="15" customHeight="1">
      <c r="B41" s="516"/>
      <c r="C41" s="349"/>
      <c r="D41" s="554"/>
      <c r="E41" s="555"/>
      <c r="F41" s="294"/>
      <c r="G41" s="42"/>
      <c r="H41" s="41"/>
      <c r="I41" s="42"/>
      <c r="J41" s="288" t="s">
        <v>40</v>
      </c>
      <c r="K41" s="324"/>
      <c r="L41" s="294"/>
      <c r="M41" s="294"/>
      <c r="N41" s="294"/>
      <c r="O41" s="294"/>
      <c r="P41" s="12"/>
    </row>
    <row r="42" spans="1:56" ht="15" customHeight="1">
      <c r="B42" s="516"/>
      <c r="C42" s="349"/>
      <c r="D42" s="501"/>
      <c r="E42" s="502"/>
      <c r="F42" s="294"/>
      <c r="G42" s="42"/>
      <c r="H42" s="41"/>
      <c r="I42" s="42"/>
      <c r="J42" s="289" t="s">
        <v>33</v>
      </c>
      <c r="K42" s="324"/>
      <c r="L42" s="294"/>
      <c r="M42" s="294"/>
      <c r="N42" s="294"/>
      <c r="O42" s="294"/>
      <c r="P42" s="12"/>
    </row>
    <row r="43" spans="1:56" ht="15">
      <c r="B43" s="516"/>
      <c r="C43" s="349"/>
      <c r="D43" s="554"/>
      <c r="E43" s="555"/>
      <c r="F43" s="294"/>
      <c r="G43" s="42"/>
      <c r="H43" s="41"/>
      <c r="I43" s="42"/>
      <c r="J43" s="290" t="s">
        <v>16</v>
      </c>
      <c r="K43" s="324">
        <v>7</v>
      </c>
      <c r="L43" s="294"/>
      <c r="M43" s="294"/>
      <c r="N43" s="294"/>
      <c r="O43" s="294"/>
      <c r="P43" s="12"/>
      <c r="BC43" s="44"/>
      <c r="BD43" s="44"/>
    </row>
    <row r="44" spans="1:56" ht="15">
      <c r="B44" s="516"/>
      <c r="C44" s="349"/>
      <c r="D44" s="501"/>
      <c r="E44" s="502"/>
      <c r="F44" s="294"/>
      <c r="G44" s="42"/>
      <c r="H44" s="41"/>
      <c r="I44" s="42"/>
      <c r="J44" s="291" t="s">
        <v>15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16"/>
      <c r="C45" s="349"/>
      <c r="D45" s="554"/>
      <c r="E45" s="555"/>
      <c r="F45" s="294"/>
      <c r="G45" s="42"/>
      <c r="H45" s="41"/>
      <c r="I45" s="42"/>
      <c r="J45" s="291" t="s">
        <v>149</v>
      </c>
      <c r="K45" s="324"/>
      <c r="L45" s="294"/>
      <c r="M45" s="294"/>
      <c r="N45" s="294"/>
      <c r="O45" s="294"/>
      <c r="P45" s="12"/>
      <c r="BC45" s="44"/>
      <c r="BD45" s="44"/>
    </row>
    <row r="46" spans="1:56" ht="15.75" thickBot="1">
      <c r="B46" s="517"/>
      <c r="C46" s="350"/>
      <c r="D46" s="556"/>
      <c r="E46" s="557"/>
      <c r="F46" s="294"/>
      <c r="G46" s="42"/>
      <c r="H46" s="41"/>
      <c r="I46" s="42"/>
      <c r="J46" s="291" t="s">
        <v>148</v>
      </c>
      <c r="K46" s="324"/>
      <c r="L46" s="294"/>
      <c r="M46" s="294"/>
      <c r="N46" s="294" t="s">
        <v>41</v>
      </c>
      <c r="O46" s="294"/>
      <c r="P46" s="12"/>
      <c r="BC46" s="44"/>
      <c r="BD46" s="44"/>
    </row>
    <row r="47" spans="1:56" ht="17.649999999999999" customHeight="1" thickBot="1">
      <c r="B47" s="312" t="s">
        <v>139</v>
      </c>
      <c r="C47" s="313"/>
      <c r="D47" s="550" t="e">
        <f>AVERAGE(D25:E46)</f>
        <v>#DIV/0!</v>
      </c>
      <c r="E47" s="551"/>
      <c r="F47" s="294"/>
      <c r="H47" s="41"/>
      <c r="I47" s="42"/>
      <c r="J47" s="295" t="s">
        <v>134</v>
      </c>
      <c r="K47" s="324"/>
      <c r="L47" s="294"/>
      <c r="M47" s="294"/>
      <c r="N47" s="294"/>
      <c r="O47" s="294"/>
      <c r="P47" s="12"/>
      <c r="BC47" s="44"/>
      <c r="BD47" s="44"/>
    </row>
    <row r="48" spans="1:56" ht="17.649999999999999" customHeight="1">
      <c r="B48" s="363"/>
      <c r="C48" s="364"/>
      <c r="D48" s="365"/>
      <c r="E48" s="365"/>
      <c r="F48" s="294"/>
      <c r="G48" s="42"/>
      <c r="H48" s="41"/>
      <c r="I48" s="42"/>
      <c r="J48" s="295" t="s">
        <v>131</v>
      </c>
      <c r="K48" s="324"/>
      <c r="L48" s="294"/>
      <c r="M48" s="294"/>
      <c r="N48" s="294"/>
      <c r="O48" s="294"/>
      <c r="P48" s="12"/>
      <c r="BC48" s="44"/>
      <c r="BD48" s="44"/>
    </row>
    <row r="49" spans="2:57" ht="15.6" customHeight="1">
      <c r="B49" s="45"/>
      <c r="C49" s="11"/>
      <c r="D49" s="11"/>
      <c r="E49" s="46"/>
      <c r="F49" s="294"/>
      <c r="G49" s="42"/>
      <c r="H49" s="41"/>
      <c r="I49" s="42"/>
      <c r="J49" s="346" t="s">
        <v>130</v>
      </c>
      <c r="K49" s="324">
        <f>SUM(K39:K48)</f>
        <v>8</v>
      </c>
      <c r="L49" s="294"/>
      <c r="M49" s="294"/>
      <c r="N49" s="294"/>
      <c r="O49" s="294"/>
      <c r="P49" s="12"/>
    </row>
    <row r="50" spans="2:57" ht="20.25" customHeight="1">
      <c r="B50" s="15" t="s">
        <v>42</v>
      </c>
      <c r="C50" s="1" t="s">
        <v>43</v>
      </c>
      <c r="D50" s="1"/>
      <c r="E50" s="1"/>
      <c r="F50" s="294"/>
      <c r="G50" s="42"/>
      <c r="H50" s="41"/>
      <c r="I50" s="42"/>
      <c r="L50" s="294"/>
      <c r="N50" s="315"/>
      <c r="P50" s="334"/>
    </row>
    <row r="51" spans="2:57" ht="15" customHeight="1" thickBot="1"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1"/>
      <c r="O51" s="48"/>
      <c r="P51" s="49"/>
    </row>
    <row r="52" spans="2:57" ht="15" customHeight="1" thickBot="1">
      <c r="B52" s="480" t="s">
        <v>17</v>
      </c>
      <c r="C52" s="480" t="s">
        <v>44</v>
      </c>
      <c r="D52" s="492" t="s">
        <v>45</v>
      </c>
      <c r="E52" s="494" t="s">
        <v>46</v>
      </c>
      <c r="F52" s="488" t="s">
        <v>47</v>
      </c>
      <c r="G52" s="478" t="s">
        <v>48</v>
      </c>
      <c r="H52" s="480" t="s">
        <v>49</v>
      </c>
      <c r="I52" s="480" t="s">
        <v>50</v>
      </c>
      <c r="J52" s="472" t="s">
        <v>28</v>
      </c>
      <c r="K52" s="484" t="s">
        <v>51</v>
      </c>
      <c r="L52" s="486" t="s">
        <v>52</v>
      </c>
      <c r="M52" s="472" t="s">
        <v>53</v>
      </c>
      <c r="N52" s="13"/>
      <c r="O52" s="13"/>
      <c r="P52" s="50"/>
    </row>
    <row r="53" spans="2:57" ht="28.5" customHeight="1" thickTop="1" thickBot="1">
      <c r="B53" s="481"/>
      <c r="C53" s="481"/>
      <c r="D53" s="493"/>
      <c r="E53" s="495"/>
      <c r="F53" s="489"/>
      <c r="G53" s="479"/>
      <c r="H53" s="549"/>
      <c r="I53" s="549"/>
      <c r="J53" s="473"/>
      <c r="K53" s="485"/>
      <c r="L53" s="487"/>
      <c r="M53" s="473"/>
      <c r="N53" s="13"/>
      <c r="O53" s="13"/>
      <c r="P53" s="50"/>
      <c r="Q53" s="355"/>
      <c r="AB53" s="51">
        <v>43474</v>
      </c>
      <c r="AC53" s="51">
        <v>43475</v>
      </c>
      <c r="AD53" s="51">
        <v>43476</v>
      </c>
      <c r="AE53" s="51">
        <v>43477</v>
      </c>
      <c r="AF53" s="51">
        <v>43478</v>
      </c>
      <c r="AG53" s="51">
        <v>43479</v>
      </c>
      <c r="AH53" s="51">
        <v>43480</v>
      </c>
      <c r="AI53" s="51">
        <v>43481</v>
      </c>
      <c r="AJ53" s="51">
        <v>43482</v>
      </c>
      <c r="AK53" s="51">
        <v>43483</v>
      </c>
      <c r="AL53" s="51">
        <v>43484</v>
      </c>
      <c r="AM53" s="51">
        <v>43485</v>
      </c>
      <c r="AN53" s="51">
        <v>43486</v>
      </c>
      <c r="AO53" s="51">
        <v>43487</v>
      </c>
      <c r="AP53" s="51">
        <v>43488</v>
      </c>
      <c r="AQ53" s="51">
        <v>43489</v>
      </c>
      <c r="AR53" s="51">
        <v>43490</v>
      </c>
      <c r="AS53" s="51">
        <v>43491</v>
      </c>
      <c r="AT53" s="51">
        <v>43492</v>
      </c>
      <c r="AU53" s="51">
        <v>43493</v>
      </c>
      <c r="AV53" s="51">
        <v>43494</v>
      </c>
      <c r="AW53" s="51">
        <v>43495</v>
      </c>
      <c r="AX53" s="51">
        <v>43496</v>
      </c>
    </row>
    <row r="54" spans="2:57" s="54" customFormat="1" ht="59.45" hidden="1" customHeight="1" thickBot="1">
      <c r="B54" s="387" t="str">
        <f>I25</f>
        <v>CARIB</v>
      </c>
      <c r="C54" s="442">
        <v>45926</v>
      </c>
      <c r="D54" s="443"/>
      <c r="E54" s="444"/>
      <c r="F54" s="445"/>
      <c r="G54" s="446"/>
      <c r="H54" s="470"/>
      <c r="I54" s="470"/>
      <c r="J54" s="449" t="s">
        <v>189</v>
      </c>
      <c r="K54" s="450"/>
      <c r="L54" s="471" t="e">
        <f>(((D54+E54)-G54)/(D54+E54))*100</f>
        <v>#DIV/0!</v>
      </c>
      <c r="M54" s="457" t="s">
        <v>182</v>
      </c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[20]January_2019!L7</f>
        <v>285.8</v>
      </c>
      <c r="AC54" s="57">
        <f>[20]January_2019!M7</f>
        <v>508.1</v>
      </c>
      <c r="AD54" s="57">
        <f>[20]January_2019!N7</f>
        <v>0</v>
      </c>
      <c r="AE54" s="57">
        <f>[20]January_2019!O7</f>
        <v>0</v>
      </c>
      <c r="AF54" s="57">
        <f>[20]January_2019!P7</f>
        <v>109.56666666666666</v>
      </c>
      <c r="AG54" s="57">
        <f>[20]January_2019!Q7</f>
        <v>297.64999999999998</v>
      </c>
      <c r="AH54" s="57">
        <f>[20]January_2019!R7</f>
        <v>122.3</v>
      </c>
      <c r="AI54" s="57">
        <f>[20]January_2019!S7</f>
        <v>0</v>
      </c>
      <c r="AJ54" s="57">
        <f>[20]January_2019!T7</f>
        <v>294.7</v>
      </c>
      <c r="AK54" s="57">
        <f>[20]January_2019!U7</f>
        <v>280.5</v>
      </c>
      <c r="AL54" s="57">
        <f>[20]January_2019!V7</f>
        <v>0</v>
      </c>
      <c r="AM54" s="57">
        <f>[20]January_2019!W7</f>
        <v>0</v>
      </c>
      <c r="AN54" s="57">
        <f>[20]January_2019!X7</f>
        <v>188.25</v>
      </c>
      <c r="AO54" s="57">
        <f>[20]January_2019!Y7</f>
        <v>295.7</v>
      </c>
      <c r="AP54" s="57">
        <f>[20]January_2019!Z7</f>
        <v>257.8</v>
      </c>
      <c r="AQ54" s="57">
        <f>[20]January_2019!AA7</f>
        <v>291.2</v>
      </c>
      <c r="AR54" s="57">
        <f>[20]January_2019!AB7</f>
        <v>187</v>
      </c>
      <c r="AS54" s="57">
        <f>[20]January_2019!AC7</f>
        <v>0</v>
      </c>
      <c r="AT54" s="57">
        <f>[20]January_2019!AD7</f>
        <v>0</v>
      </c>
      <c r="AU54" s="57">
        <f>[20]January_2019!AE7</f>
        <v>485.1</v>
      </c>
      <c r="AV54" s="57">
        <f>[20]January_2019!AF7</f>
        <v>171.55</v>
      </c>
      <c r="AW54" s="57">
        <f>[20]January_2019!AG7</f>
        <v>423.8</v>
      </c>
      <c r="AX54" s="277">
        <f>[20]January_2019!AH7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20.45" hidden="1" customHeight="1" thickBot="1">
      <c r="B55" s="459"/>
      <c r="C55" s="431"/>
      <c r="D55" s="432"/>
      <c r="E55" s="433"/>
      <c r="F55" s="434"/>
      <c r="G55" s="435"/>
      <c r="H55" s="429"/>
      <c r="I55" s="429"/>
      <c r="J55" s="452"/>
      <c r="K55" s="437"/>
      <c r="L55" s="453"/>
      <c r="M55" s="422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59.45" hidden="1" customHeight="1" thickBot="1">
      <c r="B56" s="460"/>
      <c r="C56" s="442"/>
      <c r="D56" s="443"/>
      <c r="E56" s="444"/>
      <c r="F56" s="445"/>
      <c r="G56" s="446"/>
      <c r="H56" s="429"/>
      <c r="I56" s="429"/>
      <c r="J56" s="449"/>
      <c r="K56" s="450"/>
      <c r="L56" s="458"/>
      <c r="M56" s="457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15" hidden="1">
      <c r="B57" s="454"/>
      <c r="C57" s="431"/>
      <c r="D57" s="432"/>
      <c r="E57" s="433"/>
      <c r="F57" s="434"/>
      <c r="G57" s="435"/>
      <c r="H57" s="436"/>
      <c r="I57" s="451"/>
      <c r="J57" s="452"/>
      <c r="K57" s="437"/>
      <c r="L57" s="453"/>
      <c r="M57" s="422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6.6" hidden="1" customHeight="1" thickBot="1">
      <c r="B58" s="387"/>
      <c r="C58" s="442"/>
      <c r="D58" s="443"/>
      <c r="E58" s="444"/>
      <c r="F58" s="445"/>
      <c r="G58" s="446"/>
      <c r="H58" s="447"/>
      <c r="I58" s="448"/>
      <c r="J58" s="449"/>
      <c r="K58" s="450"/>
      <c r="L58" s="455" t="e">
        <f>(((D58+E58)-G58)/(D58+E58))*100</f>
        <v>#DIV/0!</v>
      </c>
      <c r="M58" s="456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6.5" hidden="1" customHeight="1" thickBot="1">
      <c r="B59" s="438"/>
      <c r="C59" s="424"/>
      <c r="D59" s="425"/>
      <c r="E59" s="426"/>
      <c r="F59" s="427"/>
      <c r="G59" s="428"/>
      <c r="H59" s="429"/>
      <c r="I59" s="439"/>
      <c r="J59" s="440"/>
      <c r="K59" s="430"/>
      <c r="L59" s="441"/>
      <c r="M59" s="423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415"/>
      <c r="AC59" s="415"/>
      <c r="AD59" s="415"/>
      <c r="AE59" s="415"/>
      <c r="AF59" s="415"/>
      <c r="AG59" s="415"/>
      <c r="AH59" s="415"/>
      <c r="AI59" s="415"/>
      <c r="AJ59" s="415"/>
      <c r="AK59" s="415"/>
      <c r="AL59" s="415"/>
      <c r="AM59" s="415"/>
      <c r="AN59" s="415"/>
      <c r="AO59" s="415"/>
      <c r="AP59" s="415"/>
      <c r="AQ59" s="415"/>
      <c r="AR59" s="415"/>
      <c r="AS59" s="415"/>
      <c r="AT59" s="415"/>
      <c r="AU59" s="415"/>
      <c r="AV59" s="415"/>
      <c r="AW59" s="415"/>
    </row>
    <row r="60" spans="2:57" ht="18" customHeight="1" thickBot="1">
      <c r="B60" s="59"/>
      <c r="C60" s="30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 t="s">
        <v>41</v>
      </c>
      <c r="O60" s="56"/>
      <c r="P60" s="60"/>
    </row>
    <row r="61" spans="2:57" ht="15.75" thickBot="1">
      <c r="B61" s="474" t="s">
        <v>55</v>
      </c>
      <c r="C61" s="475"/>
      <c r="D61" s="475"/>
      <c r="E61" s="475"/>
      <c r="F61" s="476"/>
      <c r="G61" s="474" t="s">
        <v>56</v>
      </c>
      <c r="H61" s="475"/>
      <c r="I61" s="475"/>
      <c r="J61" s="476"/>
      <c r="K61" s="474" t="s">
        <v>51</v>
      </c>
      <c r="L61" s="475"/>
      <c r="M61" s="475"/>
      <c r="N61" s="477"/>
      <c r="O61" s="56"/>
      <c r="P61" s="50"/>
    </row>
    <row r="62" spans="2:57" ht="15">
      <c r="B62" s="61" t="s">
        <v>17</v>
      </c>
      <c r="C62" s="62" t="s">
        <v>36</v>
      </c>
      <c r="D62" s="62" t="s">
        <v>37</v>
      </c>
      <c r="E62" s="62" t="s">
        <v>38</v>
      </c>
      <c r="F62" s="63" t="s">
        <v>39</v>
      </c>
      <c r="G62" s="62" t="s">
        <v>36</v>
      </c>
      <c r="H62" s="62" t="s">
        <v>37</v>
      </c>
      <c r="I62" s="62" t="s">
        <v>38</v>
      </c>
      <c r="J62" s="63" t="s">
        <v>39</v>
      </c>
      <c r="K62" s="62" t="s">
        <v>36</v>
      </c>
      <c r="L62" s="62" t="s">
        <v>37</v>
      </c>
      <c r="M62" s="62" t="s">
        <v>38</v>
      </c>
      <c r="N62" s="63" t="s">
        <v>39</v>
      </c>
      <c r="O62" s="56"/>
      <c r="P62" s="64"/>
    </row>
    <row r="63" spans="2:57" ht="15">
      <c r="B63" s="29" t="s">
        <v>6</v>
      </c>
      <c r="C63" s="65"/>
      <c r="D63" s="76">
        <v>5.5747692448638091</v>
      </c>
      <c r="E63" s="76">
        <v>6.2422655045435054</v>
      </c>
      <c r="F63" s="66">
        <v>4.8</v>
      </c>
      <c r="G63" s="65"/>
      <c r="H63" s="76">
        <v>5.8256772849763934</v>
      </c>
      <c r="I63" s="76">
        <v>6.2355368379164196</v>
      </c>
      <c r="J63" s="66">
        <v>4.8</v>
      </c>
      <c r="K63" s="67"/>
      <c r="L63" s="194">
        <v>0.7211777777777777</v>
      </c>
      <c r="M63" s="194">
        <v>0.76862909709990124</v>
      </c>
      <c r="N63" s="68">
        <v>1</v>
      </c>
      <c r="O63" s="56"/>
      <c r="P63" s="69"/>
    </row>
    <row r="64" spans="2:57" ht="15">
      <c r="B64" s="33" t="s">
        <v>9</v>
      </c>
      <c r="C64" s="65"/>
      <c r="D64" s="76">
        <v>6.4421833717466042</v>
      </c>
      <c r="E64" s="76">
        <v>5.9960377561379312</v>
      </c>
      <c r="F64" s="66">
        <v>4.8</v>
      </c>
      <c r="G64" s="65"/>
      <c r="H64" s="76">
        <v>7.1293852901923529</v>
      </c>
      <c r="I64" s="76">
        <v>5.6513680702551383</v>
      </c>
      <c r="J64" s="66">
        <v>4.8</v>
      </c>
      <c r="K64" s="67"/>
      <c r="L64" s="194">
        <v>0.48873918128654975</v>
      </c>
      <c r="M64" s="194">
        <v>0.71648808642913986</v>
      </c>
      <c r="N64" s="68">
        <v>1</v>
      </c>
      <c r="P64" s="69"/>
    </row>
    <row r="65" spans="2:16" ht="15">
      <c r="B65" s="34" t="s">
        <v>40</v>
      </c>
      <c r="C65" s="65"/>
      <c r="D65" s="76">
        <v>10.092614580859641</v>
      </c>
      <c r="E65" s="76">
        <v>11.635872449225705</v>
      </c>
      <c r="F65" s="66">
        <v>5.5</v>
      </c>
      <c r="G65" s="65"/>
      <c r="H65" s="76">
        <v>10.729570603848533</v>
      </c>
      <c r="I65" s="76">
        <v>12.731353927784783</v>
      </c>
      <c r="J65" s="66">
        <v>5.5</v>
      </c>
      <c r="K65" s="67"/>
      <c r="L65" s="194">
        <v>0.49929824561403513</v>
      </c>
      <c r="M65" s="194">
        <v>0.53494558457711439</v>
      </c>
      <c r="N65" s="68">
        <v>1</v>
      </c>
      <c r="P65" s="69"/>
    </row>
    <row r="66" spans="2:16" ht="15">
      <c r="B66" s="22" t="s">
        <v>33</v>
      </c>
      <c r="C66" s="65"/>
      <c r="D66" s="76">
        <v>2.7693089430894253</v>
      </c>
      <c r="E66" s="76">
        <v>4.8132587912269527</v>
      </c>
      <c r="F66" s="66">
        <v>3.3</v>
      </c>
      <c r="G66" s="65"/>
      <c r="H66" s="76">
        <v>2.091599363557624</v>
      </c>
      <c r="I66" s="76">
        <v>4.4772094679692334</v>
      </c>
      <c r="J66" s="66">
        <v>3.3</v>
      </c>
      <c r="K66" s="67"/>
      <c r="L66" s="194">
        <v>0.67140350877192978</v>
      </c>
      <c r="M66" s="194">
        <v>0.80025950292397652</v>
      </c>
      <c r="N66" s="68">
        <v>1</v>
      </c>
      <c r="P66" s="69"/>
    </row>
    <row r="67" spans="2:16" ht="15">
      <c r="B67" s="35" t="s">
        <v>165</v>
      </c>
      <c r="C67" s="65"/>
      <c r="D67" s="76"/>
      <c r="E67" s="76">
        <v>7.837301587301579</v>
      </c>
      <c r="F67" s="66">
        <v>3.3</v>
      </c>
      <c r="G67" s="282"/>
      <c r="H67" s="76"/>
      <c r="I67" s="76">
        <v>5.3377569154690221</v>
      </c>
      <c r="J67" s="66">
        <v>3</v>
      </c>
      <c r="K67" s="67"/>
      <c r="L67" s="194"/>
      <c r="M67" s="194">
        <v>0.32596491228070179</v>
      </c>
      <c r="N67" s="68">
        <v>1</v>
      </c>
      <c r="P67" s="69"/>
    </row>
    <row r="68" spans="2:16" ht="15">
      <c r="B68" s="36" t="s">
        <v>15</v>
      </c>
      <c r="C68" s="65"/>
      <c r="D68" s="76">
        <v>6.8083051665862007</v>
      </c>
      <c r="E68" s="76">
        <v>7.145714971593196</v>
      </c>
      <c r="F68" s="70">
        <f>[21]May_2022!$M$43</f>
        <v>3.4878406700073312</v>
      </c>
      <c r="G68" s="282"/>
      <c r="H68" s="76">
        <v>9.158428682230376</v>
      </c>
      <c r="I68" s="76">
        <v>8.7314771031579212</v>
      </c>
      <c r="J68" s="66">
        <v>5.5</v>
      </c>
      <c r="K68" s="67"/>
      <c r="L68" s="194">
        <v>1.3543859649122807</v>
      </c>
      <c r="M68" s="194">
        <v>0.73160818713450293</v>
      </c>
      <c r="N68" s="68">
        <v>1</v>
      </c>
      <c r="P68" s="69"/>
    </row>
    <row r="69" spans="2:16" ht="15">
      <c r="B69" s="37" t="s">
        <v>16</v>
      </c>
      <c r="C69" s="65"/>
      <c r="D69" s="76">
        <v>3.3629594042757489</v>
      </c>
      <c r="E69" s="76">
        <v>3.0382638492290015</v>
      </c>
      <c r="F69" s="66">
        <v>3.3</v>
      </c>
      <c r="G69" s="282"/>
      <c r="H69" s="76">
        <v>4.3098656267706001</v>
      </c>
      <c r="I69" s="76">
        <v>4.4758841279290129</v>
      </c>
      <c r="J69" s="66">
        <v>3.3</v>
      </c>
      <c r="K69" s="67"/>
      <c r="L69" s="194">
        <v>1.411578947368421</v>
      </c>
      <c r="M69" s="194">
        <v>0.85680449208779996</v>
      </c>
      <c r="N69" s="71">
        <v>1</v>
      </c>
      <c r="P69" s="69"/>
    </row>
    <row r="70" spans="2:16" ht="15.75" thickBot="1">
      <c r="B70" s="38" t="s">
        <v>164</v>
      </c>
      <c r="C70" s="65"/>
      <c r="D70" s="76"/>
      <c r="E70" s="76">
        <v>11.483253588516746</v>
      </c>
      <c r="F70" s="66">
        <v>7.5</v>
      </c>
      <c r="G70" s="282"/>
      <c r="H70" s="76"/>
      <c r="I70" s="76">
        <v>9.7934336121043764</v>
      </c>
      <c r="J70" s="66">
        <v>7.5</v>
      </c>
      <c r="K70" s="67"/>
      <c r="M70" s="194">
        <v>0.32456140350877194</v>
      </c>
      <c r="N70" s="71">
        <v>1</v>
      </c>
      <c r="P70" s="69"/>
    </row>
    <row r="71" spans="2:16" ht="15.75" thickBot="1">
      <c r="B71" s="414" t="s">
        <v>161</v>
      </c>
      <c r="C71" s="65"/>
      <c r="D71" s="76"/>
      <c r="E71" s="76">
        <v>7.2653644592663174</v>
      </c>
      <c r="F71" s="66">
        <v>4.8</v>
      </c>
      <c r="G71" s="282"/>
      <c r="H71" s="76"/>
      <c r="I71" s="76">
        <v>8.1715311054411259</v>
      </c>
      <c r="J71" s="66">
        <v>4.8</v>
      </c>
      <c r="K71" s="67"/>
      <c r="L71" s="194"/>
      <c r="M71" s="194">
        <v>0.51368421052631585</v>
      </c>
      <c r="N71" s="71">
        <v>1</v>
      </c>
      <c r="O71" s="74"/>
      <c r="P71" s="75"/>
    </row>
    <row r="72" spans="2:16" ht="15">
      <c r="D72" s="76">
        <v>5.8227003157813586</v>
      </c>
      <c r="E72" s="76">
        <v>6.3259576208215522</v>
      </c>
      <c r="F72" s="341">
        <v>5.5</v>
      </c>
      <c r="H72" s="76">
        <v>6.3170243061825362</v>
      </c>
      <c r="I72" s="76">
        <v>6.5645029314164933</v>
      </c>
      <c r="J72" s="341">
        <v>5.5</v>
      </c>
      <c r="L72" s="194">
        <v>0.7029924812030075</v>
      </c>
      <c r="M72" s="194">
        <v>0.7314042642642643</v>
      </c>
      <c r="N72" s="386">
        <v>1</v>
      </c>
    </row>
    <row r="76" spans="2:16">
      <c r="F76" s="315"/>
    </row>
    <row r="77" spans="2:16" ht="15">
      <c r="F77" s="341"/>
    </row>
  </sheetData>
  <mergeCells count="51">
    <mergeCell ref="M52:M53"/>
    <mergeCell ref="B61:F61"/>
    <mergeCell ref="G61:J61"/>
    <mergeCell ref="K61:N61"/>
    <mergeCell ref="G52:G53"/>
    <mergeCell ref="H52:H53"/>
    <mergeCell ref="I52:I53"/>
    <mergeCell ref="J52:J53"/>
    <mergeCell ref="K52:K53"/>
    <mergeCell ref="L52:L53"/>
    <mergeCell ref="F52:F53"/>
    <mergeCell ref="D47:E47"/>
    <mergeCell ref="B52:B53"/>
    <mergeCell ref="C52:C53"/>
    <mergeCell ref="D52:D53"/>
    <mergeCell ref="E52:E53"/>
    <mergeCell ref="B37:B46"/>
    <mergeCell ref="D37:E38"/>
    <mergeCell ref="J37:K37"/>
    <mergeCell ref="L38:N38"/>
    <mergeCell ref="D39:E40"/>
    <mergeCell ref="D41:E42"/>
    <mergeCell ref="D43:E44"/>
    <mergeCell ref="D45:E46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7:B48">
    <cfRule type="cellIs" dxfId="162" priority="145" operator="notBetween">
      <formula>#REF!</formula>
      <formula>#REF!</formula>
    </cfRule>
  </conditionalFormatting>
  <conditionalFormatting sqref="C51">
    <cfRule type="cellIs" dxfId="161" priority="177" stopIfTrue="1" operator="greaterThan">
      <formula>100</formula>
    </cfRule>
    <cfRule type="cellIs" dxfId="160" priority="176" stopIfTrue="1" operator="lessThan">
      <formula>96</formula>
    </cfRule>
  </conditionalFormatting>
  <conditionalFormatting sqref="C63:C67">
    <cfRule type="cellIs" dxfId="159" priority="126" stopIfTrue="1" operator="lessThanOrEqual">
      <formula>0</formula>
    </cfRule>
  </conditionalFormatting>
  <conditionalFormatting sqref="C63:C71">
    <cfRule type="cellIs" dxfId="158" priority="125" stopIfTrue="1" operator="greaterThan">
      <formula>$F63</formula>
    </cfRule>
  </conditionalFormatting>
  <conditionalFormatting sqref="C64">
    <cfRule type="cellIs" dxfId="157" priority="180" stopIfTrue="1" operator="greaterThan">
      <formula>$F63</formula>
    </cfRule>
  </conditionalFormatting>
  <conditionalFormatting sqref="C68">
    <cfRule type="cellIs" dxfId="156" priority="64" stopIfTrue="1" operator="greaterThan">
      <formula>$F67</formula>
    </cfRule>
    <cfRule type="cellIs" dxfId="155" priority="63" stopIfTrue="1" operator="lessThanOrEqual">
      <formula>0</formula>
    </cfRule>
  </conditionalFormatting>
  <conditionalFormatting sqref="C74:C78">
    <cfRule type="cellIs" dxfId="154" priority="168" stopIfTrue="1" operator="lessThanOrEqual">
      <formula>0</formula>
    </cfRule>
  </conditionalFormatting>
  <conditionalFormatting sqref="C75:C78">
    <cfRule type="cellIs" dxfId="153" priority="167" stopIfTrue="1" operator="greaterThan">
      <formula>$F$74</formula>
    </cfRule>
  </conditionalFormatting>
  <conditionalFormatting sqref="C80">
    <cfRule type="cellIs" dxfId="152" priority="170" stopIfTrue="1" operator="lessThanOrEqual">
      <formula>0</formula>
    </cfRule>
    <cfRule type="cellIs" dxfId="151" priority="169" stopIfTrue="1" operator="greaterThan">
      <formula>$F$74</formula>
    </cfRule>
  </conditionalFormatting>
  <conditionalFormatting sqref="C74:D74 D76:D82">
    <cfRule type="cellIs" dxfId="150" priority="162" stopIfTrue="1" operator="greaterThan">
      <formula>4.5</formula>
    </cfRule>
  </conditionalFormatting>
  <conditionalFormatting sqref="D47:D48">
    <cfRule type="cellIs" dxfId="149" priority="146" operator="notBetween">
      <formula>#REF!</formula>
      <formula>#REF!</formula>
    </cfRule>
  </conditionalFormatting>
  <conditionalFormatting sqref="D63:D70">
    <cfRule type="cellIs" dxfId="148" priority="140" stopIfTrue="1" operator="lessThanOrEqual">
      <formula>0</formula>
    </cfRule>
  </conditionalFormatting>
  <conditionalFormatting sqref="D71">
    <cfRule type="cellIs" dxfId="147" priority="139" stopIfTrue="1" operator="lessThanOrEqual">
      <formula>0</formula>
    </cfRule>
  </conditionalFormatting>
  <conditionalFormatting sqref="D74 D76:D82">
    <cfRule type="cellIs" dxfId="146" priority="163" stopIfTrue="1" operator="lessThanOrEqual">
      <formula>0</formula>
    </cfRule>
  </conditionalFormatting>
  <conditionalFormatting sqref="D75">
    <cfRule type="cellIs" dxfId="145" priority="154" stopIfTrue="1" operator="greaterThan">
      <formula>$F$74</formula>
    </cfRule>
    <cfRule type="cellIs" dxfId="144" priority="155" stopIfTrue="1" operator="lessThanOrEqual">
      <formula>0</formula>
    </cfRule>
  </conditionalFormatting>
  <conditionalFormatting sqref="D63:E72">
    <cfRule type="cellIs" dxfId="143" priority="123" stopIfTrue="1" operator="greaterThan">
      <formula>$F63</formula>
    </cfRule>
  </conditionalFormatting>
  <conditionalFormatting sqref="D72:E72">
    <cfRule type="cellIs" dxfId="142" priority="124" stopIfTrue="1" operator="lessThanOrEqual">
      <formula>0</formula>
    </cfRule>
  </conditionalFormatting>
  <conditionalFormatting sqref="E10:E22">
    <cfRule type="cellIs" dxfId="141" priority="12" operator="lessThan">
      <formula>48</formula>
    </cfRule>
  </conditionalFormatting>
  <conditionalFormatting sqref="E50 E51:F51">
    <cfRule type="cellIs" dxfId="140" priority="159" stopIfTrue="1" operator="greaterThan">
      <formula>100</formula>
    </cfRule>
  </conditionalFormatting>
  <conditionalFormatting sqref="E51">
    <cfRule type="cellIs" dxfId="139" priority="157" stopIfTrue="1" operator="greaterThan">
      <formula>100</formula>
    </cfRule>
    <cfRule type="cellIs" dxfId="138" priority="156" stopIfTrue="1" operator="lessThan">
      <formula>96.8</formula>
    </cfRule>
  </conditionalFormatting>
  <conditionalFormatting sqref="E63:E71">
    <cfRule type="cellIs" dxfId="137" priority="134" stopIfTrue="1" operator="lessThanOrEqual">
      <formula>0</formula>
    </cfRule>
  </conditionalFormatting>
  <conditionalFormatting sqref="E74:E82">
    <cfRule type="cellIs" dxfId="136" priority="149" stopIfTrue="1" operator="lessThanOrEqual">
      <formula>0</formula>
    </cfRule>
    <cfRule type="cellIs" dxfId="135" priority="148" stopIfTrue="1" operator="greaterThan">
      <formula>4.5</formula>
    </cfRule>
  </conditionalFormatting>
  <conditionalFormatting sqref="E51:F51 E50">
    <cfRule type="cellIs" dxfId="134" priority="158" stopIfTrue="1" operator="lessThan">
      <formula>96.5</formula>
    </cfRule>
  </conditionalFormatting>
  <conditionalFormatting sqref="F17:F22">
    <cfRule type="cellIs" dxfId="133" priority="43" operator="greaterThan">
      <formula>60</formula>
    </cfRule>
  </conditionalFormatting>
  <conditionalFormatting sqref="F51">
    <cfRule type="cellIs" dxfId="132" priority="175" stopIfTrue="1" operator="greaterThan">
      <formula>100</formula>
    </cfRule>
    <cfRule type="cellIs" dxfId="131" priority="174" stopIfTrue="1" operator="lessThan">
      <formula>96.8</formula>
    </cfRule>
  </conditionalFormatting>
  <conditionalFormatting sqref="F72">
    <cfRule type="cellIs" dxfId="130" priority="135" stopIfTrue="1" operator="greaterThan">
      <formula>$F72</formula>
    </cfRule>
    <cfRule type="cellIs" dxfId="129" priority="136" stopIfTrue="1" operator="lessThanOrEqual">
      <formula>0</formula>
    </cfRule>
  </conditionalFormatting>
  <conditionalFormatting sqref="F77">
    <cfRule type="cellIs" dxfId="128" priority="94" stopIfTrue="1" operator="lessThanOrEqual">
      <formula>0</formula>
    </cfRule>
    <cfRule type="cellIs" dxfId="127" priority="93" stopIfTrue="1" operator="greaterThan">
      <formula>$F77</formula>
    </cfRule>
  </conditionalFormatting>
  <conditionalFormatting sqref="G10:G17">
    <cfRule type="expression" dxfId="126" priority="19">
      <formula>IF(+(IF(G10&lt;S10,0,IF(G10&gt;T10,0,1)))=0,1)</formula>
    </cfRule>
  </conditionalFormatting>
  <conditionalFormatting sqref="G18:G21 G22:H22">
    <cfRule type="expression" dxfId="125" priority="62">
      <formula>IF(+(IF(G18&lt;#REF!,0,IF(G18&gt;#REF!,0,1)))=0,1)</formula>
    </cfRule>
  </conditionalFormatting>
  <conditionalFormatting sqref="G63:G64 C69:C71">
    <cfRule type="cellIs" dxfId="124" priority="142" stopIfTrue="1" operator="lessThanOrEqual">
      <formula>0</formula>
    </cfRule>
  </conditionalFormatting>
  <conditionalFormatting sqref="G63:G64">
    <cfRule type="cellIs" dxfId="123" priority="127" stopIfTrue="1" operator="greaterThan">
      <formula>$F63</formula>
    </cfRule>
    <cfRule type="cellIs" dxfId="122" priority="128" stopIfTrue="1" operator="lessThanOrEqual">
      <formula>0</formula>
    </cfRule>
    <cfRule type="cellIs" dxfId="121" priority="141" stopIfTrue="1" operator="greaterThan">
      <formula>$F63</formula>
    </cfRule>
  </conditionalFormatting>
  <conditionalFormatting sqref="G65">
    <cfRule type="cellIs" dxfId="120" priority="179" stopIfTrue="1" operator="lessThanOrEqual">
      <formula>0</formula>
    </cfRule>
    <cfRule type="cellIs" dxfId="119" priority="178" stopIfTrue="1" operator="greaterThan">
      <formula>$F64</formula>
    </cfRule>
  </conditionalFormatting>
  <conditionalFormatting sqref="G66">
    <cfRule type="cellIs" dxfId="118" priority="137" stopIfTrue="1" operator="greaterThan">
      <formula>$F66</formula>
    </cfRule>
    <cfRule type="cellIs" dxfId="117" priority="138" stopIfTrue="1" operator="lessThanOrEqual">
      <formula>0</formula>
    </cfRule>
  </conditionalFormatting>
  <conditionalFormatting sqref="G67:G71">
    <cfRule type="cellIs" dxfId="116" priority="144" stopIfTrue="1" operator="lessThanOrEqual">
      <formula>0</formula>
    </cfRule>
    <cfRule type="cellIs" dxfId="115" priority="143" stopIfTrue="1" operator="greaterThan">
      <formula>$J67</formula>
    </cfRule>
  </conditionalFormatting>
  <conditionalFormatting sqref="G76:G81 C79 C81">
    <cfRule type="cellIs" dxfId="114" priority="172" stopIfTrue="1" operator="lessThanOrEqual">
      <formula>0</formula>
    </cfRule>
    <cfRule type="cellIs" dxfId="113" priority="171" stopIfTrue="1" operator="greaterThan">
      <formula>4.5</formula>
    </cfRule>
  </conditionalFormatting>
  <conditionalFormatting sqref="G75:H75">
    <cfRule type="cellIs" dxfId="112" priority="153" stopIfTrue="1" operator="lessThanOrEqual">
      <formula>0</formula>
    </cfRule>
    <cfRule type="cellIs" dxfId="111" priority="152" stopIfTrue="1" operator="greaterThan">
      <formula>$F$74</formula>
    </cfRule>
  </conditionalFormatting>
  <conditionalFormatting sqref="H10:H21">
    <cfRule type="expression" dxfId="110" priority="39">
      <formula>IF(+(IF(H10&lt;#REF!,0,IF(H10&gt;#REF!,0,1)))=0,1)</formula>
    </cfRule>
  </conditionalFormatting>
  <conditionalFormatting sqref="H36:H50">
    <cfRule type="cellIs" dxfId="109" priority="150" stopIfTrue="1" operator="greaterThan">
      <formula>0</formula>
    </cfRule>
  </conditionalFormatting>
  <conditionalFormatting sqref="H54">
    <cfRule type="cellIs" dxfId="108" priority="36" stopIfTrue="1" operator="lessThanOrEqual">
      <formula>0</formula>
    </cfRule>
    <cfRule type="cellIs" dxfId="107" priority="33" stopIfTrue="1" operator="greaterThan">
      <formula>$F$67</formula>
    </cfRule>
    <cfRule type="cellIs" dxfId="106" priority="34" stopIfTrue="1" operator="lessThanOrEqual">
      <formula>0</formula>
    </cfRule>
    <cfRule type="cellIs" dxfId="105" priority="24" stopIfTrue="1" operator="lessThanOrEqual">
      <formula>0</formula>
    </cfRule>
    <cfRule type="cellIs" dxfId="104" priority="25" stopIfTrue="1" operator="greaterThan">
      <formula>$F$64</formula>
    </cfRule>
    <cfRule type="cellIs" dxfId="103" priority="35" stopIfTrue="1" operator="greaterThan">
      <formula>$F$65</formula>
    </cfRule>
  </conditionalFormatting>
  <conditionalFormatting sqref="H55">
    <cfRule type="cellIs" dxfId="102" priority="90" stopIfTrue="1" operator="lessThanOrEqual">
      <formula>0</formula>
    </cfRule>
    <cfRule type="cellIs" dxfId="101" priority="89" stopIfTrue="1" operator="greaterThan">
      <formula>$F$23</formula>
    </cfRule>
    <cfRule type="cellIs" dxfId="100" priority="81" stopIfTrue="1" operator="greaterThan">
      <formula>#REF!</formula>
    </cfRule>
    <cfRule type="cellIs" dxfId="99" priority="80" stopIfTrue="1" operator="lessThanOrEqual">
      <formula>0</formula>
    </cfRule>
    <cfRule type="cellIs" dxfId="98" priority="91" stopIfTrue="1" operator="greaterThan">
      <formula>$F$20</formula>
    </cfRule>
    <cfRule type="cellIs" dxfId="97" priority="92" stopIfTrue="1" operator="lessThanOrEqual">
      <formula>0</formula>
    </cfRule>
  </conditionalFormatting>
  <conditionalFormatting sqref="H56">
    <cfRule type="cellIs" dxfId="96" priority="54" stopIfTrue="1" operator="greaterThan">
      <formula>$F$44</formula>
    </cfRule>
    <cfRule type="cellIs" dxfId="95" priority="56" stopIfTrue="1" operator="greaterThan">
      <formula>$F$42</formula>
    </cfRule>
    <cfRule type="cellIs" dxfId="94" priority="45" stopIfTrue="1" operator="lessThanOrEqual">
      <formula>0</formula>
    </cfRule>
    <cfRule type="cellIs" dxfId="93" priority="46" stopIfTrue="1" operator="greaterThan">
      <formula>$F$41</formula>
    </cfRule>
    <cfRule type="cellIs" dxfId="92" priority="57" stopIfTrue="1" operator="lessThanOrEqual">
      <formula>0</formula>
    </cfRule>
    <cfRule type="cellIs" dxfId="91" priority="55" stopIfTrue="1" operator="lessThanOrEqual">
      <formula>0</formula>
    </cfRule>
  </conditionalFormatting>
  <conditionalFormatting sqref="H57:H58">
    <cfRule type="cellIs" dxfId="90" priority="66" stopIfTrue="1" operator="lessThanOrEqual">
      <formula>0</formula>
    </cfRule>
    <cfRule type="cellIs" dxfId="89" priority="67" stopIfTrue="1" operator="greaterThan">
      <formula>#REF!</formula>
    </cfRule>
    <cfRule type="cellIs" dxfId="88" priority="78" stopIfTrue="1" operator="lessThanOrEqual">
      <formula>0</formula>
    </cfRule>
    <cfRule type="cellIs" dxfId="87" priority="77" stopIfTrue="1" operator="greaterThan">
      <formula>#REF!</formula>
    </cfRule>
    <cfRule type="cellIs" dxfId="86" priority="76" stopIfTrue="1" operator="lessThanOrEqual">
      <formula>0</formula>
    </cfRule>
    <cfRule type="cellIs" dxfId="85" priority="75" stopIfTrue="1" operator="greaterThan">
      <formula>$F$22</formula>
    </cfRule>
  </conditionalFormatting>
  <conditionalFormatting sqref="H59">
    <cfRule type="cellIs" dxfId="84" priority="109" stopIfTrue="1" operator="lessThanOrEqual">
      <formula>0</formula>
    </cfRule>
    <cfRule type="cellIs" dxfId="83" priority="106" stopIfTrue="1" operator="greaterThan">
      <formula>$F$38</formula>
    </cfRule>
    <cfRule type="cellIs" dxfId="82" priority="107" stopIfTrue="1" operator="lessThanOrEqual">
      <formula>0</formula>
    </cfRule>
    <cfRule type="cellIs" dxfId="81" priority="108" stopIfTrue="1" operator="greaterThan">
      <formula>$F$36</formula>
    </cfRule>
    <cfRule type="cellIs" dxfId="80" priority="98" stopIfTrue="1" operator="greaterThan">
      <formula>$F$35</formula>
    </cfRule>
    <cfRule type="cellIs" dxfId="79" priority="97" stopIfTrue="1" operator="lessThanOrEqual">
      <formula>0</formula>
    </cfRule>
  </conditionalFormatting>
  <conditionalFormatting sqref="H63:H70">
    <cfRule type="cellIs" dxfId="78" priority="130" stopIfTrue="1" operator="lessThanOrEqual">
      <formula>0</formula>
    </cfRule>
    <cfRule type="cellIs" dxfId="77" priority="129" stopIfTrue="1" operator="greaterThan">
      <formula>$J63</formula>
    </cfRule>
  </conditionalFormatting>
  <conditionalFormatting sqref="H71">
    <cfRule type="cellIs" dxfId="76" priority="131" operator="greaterThan">
      <formula>5.3</formula>
    </cfRule>
  </conditionalFormatting>
  <conditionalFormatting sqref="H74 H76:H82">
    <cfRule type="cellIs" dxfId="75" priority="164" stopIfTrue="1" operator="greaterThan">
      <formula>4.5</formula>
    </cfRule>
    <cfRule type="cellIs" dxfId="74" priority="165" stopIfTrue="1" operator="lessThanOrEqual">
      <formula>0</formula>
    </cfRule>
  </conditionalFormatting>
  <conditionalFormatting sqref="H54:I54">
    <cfRule type="cellIs" dxfId="73" priority="23" stopIfTrue="1" operator="greaterThan">
      <formula>$F$66</formula>
    </cfRule>
    <cfRule type="cellIs" dxfId="72" priority="26" stopIfTrue="1" operator="lessThanOrEqual">
      <formula>0</formula>
    </cfRule>
  </conditionalFormatting>
  <conditionalFormatting sqref="H55:I55">
    <cfRule type="cellIs" dxfId="71" priority="82" stopIfTrue="1" operator="lessThanOrEqual">
      <formula>0</formula>
    </cfRule>
    <cfRule type="cellIs" dxfId="70" priority="79" stopIfTrue="1" operator="greaterThan">
      <formula>$F$22</formula>
    </cfRule>
  </conditionalFormatting>
  <conditionalFormatting sqref="H56:I56">
    <cfRule type="cellIs" dxfId="69" priority="44" stopIfTrue="1" operator="greaterThan">
      <formula>$F$43</formula>
    </cfRule>
    <cfRule type="cellIs" dxfId="68" priority="47" stopIfTrue="1" operator="lessThanOrEqual">
      <formula>0</formula>
    </cfRule>
  </conditionalFormatting>
  <conditionalFormatting sqref="H57:I58">
    <cfRule type="cellIs" dxfId="67" priority="65" stopIfTrue="1" operator="greaterThan">
      <formula>$F$20</formula>
    </cfRule>
    <cfRule type="cellIs" dxfId="66" priority="68" stopIfTrue="1" operator="lessThanOrEqual">
      <formula>0</formula>
    </cfRule>
  </conditionalFormatting>
  <conditionalFormatting sqref="H59:I59">
    <cfRule type="cellIs" dxfId="65" priority="99" stopIfTrue="1" operator="lessThanOrEqual">
      <formula>0</formula>
    </cfRule>
    <cfRule type="cellIs" dxfId="64" priority="96" stopIfTrue="1" operator="greaterThan">
      <formula>$F$37</formula>
    </cfRule>
  </conditionalFormatting>
  <conditionalFormatting sqref="H72:I72">
    <cfRule type="cellIs" dxfId="63" priority="122" stopIfTrue="1" operator="lessThanOrEqual">
      <formula>0</formula>
    </cfRule>
    <cfRule type="cellIs" dxfId="62" priority="121" stopIfTrue="1" operator="greaterThan">
      <formula>$J72</formula>
    </cfRule>
  </conditionalFormatting>
  <conditionalFormatting sqref="I54">
    <cfRule type="cellIs" dxfId="61" priority="28" stopIfTrue="1" operator="lessThanOrEqual">
      <formula>0</formula>
    </cfRule>
    <cfRule type="cellIs" dxfId="60" priority="27" stopIfTrue="1" operator="greaterThan">
      <formula>$F$64</formula>
    </cfRule>
    <cfRule type="cellIs" dxfId="59" priority="32" stopIfTrue="1" operator="lessThanOrEqual">
      <formula>0</formula>
    </cfRule>
    <cfRule type="cellIs" dxfId="58" priority="31" stopIfTrue="1" operator="greaterThan">
      <formula>$F$64</formula>
    </cfRule>
    <cfRule type="cellIs" dxfId="57" priority="30" stopIfTrue="1" operator="lessThanOrEqual">
      <formula>0</formula>
    </cfRule>
    <cfRule type="cellIs" dxfId="56" priority="29" stopIfTrue="1" operator="greaterThan">
      <formula>$F$66</formula>
    </cfRule>
  </conditionalFormatting>
  <conditionalFormatting sqref="I55">
    <cfRule type="cellIs" dxfId="55" priority="83" stopIfTrue="1" operator="greaterThan">
      <formula>#REF!</formula>
    </cfRule>
    <cfRule type="cellIs" dxfId="54" priority="84" stopIfTrue="1" operator="lessThanOrEqual">
      <formula>0</formula>
    </cfRule>
    <cfRule type="cellIs" dxfId="53" priority="85" stopIfTrue="1" operator="greaterThan">
      <formula>$F$22</formula>
    </cfRule>
    <cfRule type="cellIs" dxfId="52" priority="86" stopIfTrue="1" operator="lessThanOrEqual">
      <formula>0</formula>
    </cfRule>
    <cfRule type="cellIs" dxfId="51" priority="87" stopIfTrue="1" operator="greaterThan">
      <formula>#REF!</formula>
    </cfRule>
    <cfRule type="cellIs" dxfId="50" priority="88" stopIfTrue="1" operator="lessThanOrEqual">
      <formula>0</formula>
    </cfRule>
  </conditionalFormatting>
  <conditionalFormatting sqref="I56">
    <cfRule type="cellIs" dxfId="49" priority="53" stopIfTrue="1" operator="lessThanOrEqual">
      <formula>0</formula>
    </cfRule>
    <cfRule type="cellIs" dxfId="48" priority="52" stopIfTrue="1" operator="greaterThan">
      <formula>$F$41</formula>
    </cfRule>
    <cfRule type="cellIs" dxfId="47" priority="51" stopIfTrue="1" operator="lessThanOrEqual">
      <formula>0</formula>
    </cfRule>
    <cfRule type="cellIs" dxfId="46" priority="50" stopIfTrue="1" operator="greaterThan">
      <formula>$F$43</formula>
    </cfRule>
    <cfRule type="cellIs" dxfId="45" priority="49" stopIfTrue="1" operator="lessThanOrEqual">
      <formula>0</formula>
    </cfRule>
    <cfRule type="cellIs" dxfId="44" priority="48" stopIfTrue="1" operator="greaterThan">
      <formula>$F$41</formula>
    </cfRule>
  </conditionalFormatting>
  <conditionalFormatting sqref="I57:I58">
    <cfRule type="cellIs" dxfId="43" priority="73" stopIfTrue="1" operator="greaterThan">
      <formula>#REF!</formula>
    </cfRule>
    <cfRule type="cellIs" dxfId="42" priority="72" stopIfTrue="1" operator="lessThanOrEqual">
      <formula>0</formula>
    </cfRule>
    <cfRule type="cellIs" dxfId="41" priority="71" stopIfTrue="1" operator="greaterThan">
      <formula>$F$20</formula>
    </cfRule>
    <cfRule type="cellIs" dxfId="40" priority="69" stopIfTrue="1" operator="greaterThan">
      <formula>#REF!</formula>
    </cfRule>
    <cfRule type="cellIs" dxfId="39" priority="70" stopIfTrue="1" operator="lessThanOrEqual">
      <formula>0</formula>
    </cfRule>
    <cfRule type="cellIs" dxfId="38" priority="74" stopIfTrue="1" operator="lessThanOrEqual">
      <formula>0</formula>
    </cfRule>
  </conditionalFormatting>
  <conditionalFormatting sqref="I59">
    <cfRule type="cellIs" dxfId="37" priority="100" stopIfTrue="1" operator="greaterThan">
      <formula>$F$35</formula>
    </cfRule>
    <cfRule type="cellIs" dxfId="36" priority="104" stopIfTrue="1" operator="greaterThan">
      <formula>$F$35</formula>
    </cfRule>
    <cfRule type="cellIs" dxfId="35" priority="101" stopIfTrue="1" operator="lessThanOrEqual">
      <formula>0</formula>
    </cfRule>
    <cfRule type="cellIs" dxfId="34" priority="105" stopIfTrue="1" operator="lessThanOrEqual">
      <formula>0</formula>
    </cfRule>
    <cfRule type="cellIs" dxfId="33" priority="103" stopIfTrue="1" operator="lessThanOrEqual">
      <formula>0</formula>
    </cfRule>
    <cfRule type="cellIs" dxfId="32" priority="102" stopIfTrue="1" operator="greaterThan">
      <formula>$F$37</formula>
    </cfRule>
  </conditionalFormatting>
  <conditionalFormatting sqref="I63:I71">
    <cfRule type="cellIs" dxfId="31" priority="132" stopIfTrue="1" operator="greaterThan">
      <formula>$J63</formula>
    </cfRule>
    <cfRule type="cellIs" dxfId="30" priority="133" stopIfTrue="1" operator="lessThanOrEqual">
      <formula>0</formula>
    </cfRule>
  </conditionalFormatting>
  <conditionalFormatting sqref="I74:I82">
    <cfRule type="cellIs" dxfId="29" priority="161" stopIfTrue="1" operator="lessThanOrEqual">
      <formula>0</formula>
    </cfRule>
    <cfRule type="cellIs" dxfId="28" priority="160" stopIfTrue="1" operator="greaterThan">
      <formula>4.5</formula>
    </cfRule>
  </conditionalFormatting>
  <conditionalFormatting sqref="I10:J22">
    <cfRule type="cellIs" dxfId="27" priority="13" operator="lessThan">
      <formula>97.9</formula>
    </cfRule>
  </conditionalFormatting>
  <conditionalFormatting sqref="J25:J27">
    <cfRule type="cellIs" dxfId="26" priority="112" stopIfTrue="1" operator="greaterThan">
      <formula>100</formula>
    </cfRule>
    <cfRule type="cellIs" dxfId="25" priority="111" stopIfTrue="1" operator="lessThan">
      <formula>96.8</formula>
    </cfRule>
    <cfRule type="cellIs" dxfId="24" priority="113" operator="lessThan">
      <formula>98</formula>
    </cfRule>
  </conditionalFormatting>
  <conditionalFormatting sqref="J25:J29">
    <cfRule type="cellIs" dxfId="23" priority="110" operator="lessThan">
      <formula>97.4</formula>
    </cfRule>
  </conditionalFormatting>
  <conditionalFormatting sqref="J30">
    <cfRule type="cellIs" dxfId="22" priority="114" operator="lessThan">
      <formula>98</formula>
    </cfRule>
  </conditionalFormatting>
  <conditionalFormatting sqref="J32:J33">
    <cfRule type="cellIs" dxfId="21" priority="116" stopIfTrue="1" operator="greaterThan">
      <formula>100</formula>
    </cfRule>
    <cfRule type="cellIs" dxfId="20" priority="115" stopIfTrue="1" operator="lessThan">
      <formula>96.8</formula>
    </cfRule>
  </conditionalFormatting>
  <conditionalFormatting sqref="J32:J34">
    <cfRule type="cellIs" dxfId="19" priority="117" operator="lessThan">
      <formula>98</formula>
    </cfRule>
  </conditionalFormatting>
  <conditionalFormatting sqref="J72">
    <cfRule type="cellIs" dxfId="18" priority="118" stopIfTrue="1" operator="greaterThan">
      <formula>$F72</formula>
    </cfRule>
    <cfRule type="cellIs" dxfId="17" priority="119" stopIfTrue="1" operator="lessThanOrEqual">
      <formula>0</formula>
    </cfRule>
  </conditionalFormatting>
  <conditionalFormatting sqref="K10:K22">
    <cfRule type="cellIs" dxfId="16" priority="18" operator="greaterThan">
      <formula>6.4</formula>
    </cfRule>
    <cfRule type="cellIs" dxfId="15" priority="17" operator="lessThan">
      <formula>4</formula>
    </cfRule>
    <cfRule type="cellIs" dxfId="14" priority="16" operator="greaterThan">
      <formula>6</formula>
    </cfRule>
  </conditionalFormatting>
  <conditionalFormatting sqref="K54:K59 K63:N69 K70 M70:N70 K71:N71">
    <cfRule type="cellIs" dxfId="13" priority="95" stopIfTrue="1" operator="lessThan">
      <formula>100%</formula>
    </cfRule>
  </conditionalFormatting>
  <conditionalFormatting sqref="K74:K79">
    <cfRule type="cellIs" dxfId="12" priority="166" stopIfTrue="1" operator="lessThan">
      <formula>100%</formula>
    </cfRule>
  </conditionalFormatting>
  <conditionalFormatting sqref="K81:K82">
    <cfRule type="cellIs" dxfId="11" priority="173" stopIfTrue="1" operator="lessThan">
      <formula>100%</formula>
    </cfRule>
  </conditionalFormatting>
  <conditionalFormatting sqref="L10:L17 L18:M21 L22">
    <cfRule type="cellIs" dxfId="10" priority="15" operator="greaterThan">
      <formula>65</formula>
    </cfRule>
    <cfRule type="cellIs" dxfId="9" priority="14" operator="between">
      <formula>61</formula>
      <formula>65</formula>
    </cfRule>
  </conditionalFormatting>
  <conditionalFormatting sqref="L25:M36">
    <cfRule type="cellIs" dxfId="8" priority="40" operator="lessThan">
      <formula>98</formula>
    </cfRule>
  </conditionalFormatting>
  <conditionalFormatting sqref="L40:N40">
    <cfRule type="cellIs" dxfId="7" priority="41" operator="notEqual">
      <formula>#REF!</formula>
    </cfRule>
  </conditionalFormatting>
  <conditionalFormatting sqref="L72:N72">
    <cfRule type="cellIs" dxfId="6" priority="120" stopIfTrue="1" operator="lessThan">
      <formula>100%</formula>
    </cfRule>
  </conditionalFormatting>
  <conditionalFormatting sqref="L74:N82">
    <cfRule type="cellIs" dxfId="5" priority="151" stopIfTrue="1" operator="lessThan">
      <formula>100%</formula>
    </cfRule>
  </conditionalFormatting>
  <conditionalFormatting sqref="M19:M21 M10:M17">
    <cfRule type="expression" dxfId="4" priority="21">
      <formula>IF(+(IF(M10&lt;U10,0,IF(M10&gt;V10,0,1)))=0,1)</formula>
    </cfRule>
  </conditionalFormatting>
  <conditionalFormatting sqref="M18:N18">
    <cfRule type="expression" dxfId="3" priority="233">
      <formula>IF(+(IF(M18&lt;#REF!,0,IF(M18&gt;#REF!,0,1)))=0,1)</formula>
    </cfRule>
  </conditionalFormatting>
  <conditionalFormatting sqref="M22:N22">
    <cfRule type="expression" dxfId="2" priority="181">
      <formula>IF(+(IF(M22&lt;#REF!,0,IF(M22&gt;#REF!,0,1)))=0,1)</formula>
    </cfRule>
  </conditionalFormatting>
  <conditionalFormatting sqref="N10:N17 N19:N21">
    <cfRule type="expression" dxfId="1" priority="20">
      <formula>IF(+(IF(N10&lt;W10,0,IF(N10&gt;X10,0,1)))=0,1)</formula>
    </cfRule>
  </conditionalFormatting>
  <conditionalFormatting sqref="P6">
    <cfRule type="cellIs" dxfId="0" priority="147" operator="greaterThanOrEqual">
      <formula>19</formula>
    </cfRule>
  </conditionalFormatting>
  <dataValidations count="1">
    <dataValidation type="list" allowBlank="1" showInputMessage="1" showErrorMessage="1" sqref="R8" xr:uid="{2D6A072B-F127-4188-92FB-8D325EC1A1D1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6" max="16383" man="1"/>
  </rowBreaks>
  <colBreaks count="1" manualBreakCount="1">
    <brk id="15" max="89" man="1"/>
  </colBreaks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D082-4AFA-460E-ADC3-B4C1126FF311}">
  <sheetPr codeName="Sheet18">
    <tabColor rgb="FFC00000"/>
    <pageSetUpPr fitToPage="1"/>
  </sheetPr>
  <dimension ref="B1:O73"/>
  <sheetViews>
    <sheetView showZeros="0" topLeftCell="A53" workbookViewId="0">
      <selection activeCell="J56" sqref="J56:J65"/>
    </sheetView>
  </sheetViews>
  <sheetFormatPr defaultColWidth="9.42578125" defaultRowHeight="12.75"/>
  <cols>
    <col min="1" max="1" width="9.42578125" style="78"/>
    <col min="2" max="2" width="12.5703125" style="78" customWidth="1"/>
    <col min="3" max="3" width="9.42578125" style="78" hidden="1" customWidth="1"/>
    <col min="4" max="4" width="9.5703125" style="78" customWidth="1"/>
    <col min="5" max="5" width="8.5703125" style="78" customWidth="1"/>
    <col min="6" max="6" width="14.42578125" style="78" hidden="1" customWidth="1"/>
    <col min="7" max="8" width="9.42578125" style="78" bestFit="1" customWidth="1"/>
    <col min="9" max="9" width="11.5703125" style="78" hidden="1" customWidth="1"/>
    <col min="10" max="10" width="11" style="78" bestFit="1" customWidth="1"/>
    <col min="11" max="11" width="16.42578125" style="78" customWidth="1"/>
    <col min="12" max="12" width="13.42578125" style="78" customWidth="1"/>
    <col min="13" max="16384" width="9.42578125" style="78"/>
  </cols>
  <sheetData>
    <row r="1" spans="2:14" ht="13.5" hidden="1" thickBot="1"/>
    <row r="2" spans="2:14" ht="15.75" hidden="1" thickBot="1">
      <c r="B2" s="608" t="s">
        <v>58</v>
      </c>
      <c r="C2" s="608"/>
      <c r="D2" s="608"/>
      <c r="E2" s="608"/>
      <c r="F2" s="608"/>
      <c r="G2" s="608"/>
      <c r="H2" s="608"/>
      <c r="I2" s="608"/>
      <c r="J2" s="608"/>
      <c r="K2" s="608"/>
    </row>
    <row r="3" spans="2:14" ht="15.75" hidden="1" thickBot="1">
      <c r="B3" s="79"/>
    </row>
    <row r="4" spans="2:14" ht="13.5" hidden="1" thickBot="1">
      <c r="B4" s="78" t="s">
        <v>7</v>
      </c>
      <c r="C4" s="609">
        <v>41431</v>
      </c>
      <c r="D4" s="609"/>
    </row>
    <row r="5" spans="2:14" ht="13.5" hidden="1" thickBot="1">
      <c r="C5" s="78" t="s">
        <v>41</v>
      </c>
    </row>
    <row r="6" spans="2:14" ht="15" hidden="1" thickBot="1">
      <c r="B6" s="5" t="s">
        <v>13</v>
      </c>
    </row>
    <row r="7" spans="2:14" ht="13.5" hidden="1" thickBot="1"/>
    <row r="8" spans="2:14" ht="25.5" hidden="1" customHeight="1" thickBot="1">
      <c r="B8" s="606" t="s">
        <v>17</v>
      </c>
      <c r="C8" s="592" t="s">
        <v>18</v>
      </c>
      <c r="D8" s="592" t="s">
        <v>59</v>
      </c>
      <c r="E8" s="80" t="s">
        <v>20</v>
      </c>
      <c r="F8" s="81" t="s">
        <v>21</v>
      </c>
      <c r="G8" s="592" t="s">
        <v>60</v>
      </c>
      <c r="H8" s="592" t="s">
        <v>61</v>
      </c>
      <c r="I8" s="612" t="s">
        <v>62</v>
      </c>
      <c r="J8" s="82" t="s">
        <v>25</v>
      </c>
      <c r="K8" s="602" t="s">
        <v>28</v>
      </c>
    </row>
    <row r="9" spans="2:14" ht="26.25" hidden="1" thickBot="1">
      <c r="B9" s="610"/>
      <c r="C9" s="611"/>
      <c r="D9" s="611"/>
      <c r="E9" s="83" t="s">
        <v>30</v>
      </c>
      <c r="F9" s="84" t="s">
        <v>63</v>
      </c>
      <c r="G9" s="611"/>
      <c r="H9" s="611"/>
      <c r="I9" s="613"/>
      <c r="J9" s="85" t="s">
        <v>32</v>
      </c>
      <c r="K9" s="614"/>
      <c r="L9" s="86"/>
      <c r="M9" s="86"/>
      <c r="N9" s="86"/>
    </row>
    <row r="10" spans="2:14" ht="13.5" hidden="1" thickBot="1">
      <c r="B10" s="87" t="s">
        <v>64</v>
      </c>
      <c r="C10" s="88" t="str">
        <f>[42]Brewhouse!A5359</f>
        <v>CA236</v>
      </c>
      <c r="D10" s="88">
        <f>[42]Brewhouse!B5359</f>
        <v>41437</v>
      </c>
      <c r="E10" s="89">
        <f>[42]Brewhouse!AG5359</f>
        <v>49.011000000000003</v>
      </c>
      <c r="F10" s="90">
        <f>[42]Brewhouse!T5359</f>
        <v>60</v>
      </c>
      <c r="G10" s="91">
        <f>[42]Brewhouse!I5359</f>
        <v>19.79</v>
      </c>
      <c r="H10" s="92">
        <f>[42]Brewhouse!AS5359</f>
        <v>94.981545664755075</v>
      </c>
      <c r="I10" s="92">
        <f>[42]Brewhouse!AT5359</f>
        <v>97.074072469002047</v>
      </c>
      <c r="J10" s="93">
        <f>[42]Brewhouse!S5359-[42]Brewhouse!R5359</f>
        <v>0.10694444444444451</v>
      </c>
      <c r="K10" s="94"/>
      <c r="N10" s="95"/>
    </row>
    <row r="11" spans="2:14" ht="13.5" hidden="1" thickBot="1">
      <c r="B11" s="96"/>
      <c r="C11" s="88" t="str">
        <f>[42]Brewhouse!A5360</f>
        <v>CA237</v>
      </c>
      <c r="D11" s="88">
        <f>[42]Brewhouse!B5360</f>
        <v>41437</v>
      </c>
      <c r="E11" s="89">
        <f>[42]Brewhouse!AG5360</f>
        <v>48.531999999999996</v>
      </c>
      <c r="F11" s="90">
        <f>[42]Brewhouse!T5360</f>
        <v>68</v>
      </c>
      <c r="G11" s="91">
        <f>[42]Brewhouse!I5360</f>
        <v>17.7</v>
      </c>
      <c r="H11" s="92">
        <f>[42]Brewhouse!AS5360</f>
        <v>94.053260986347809</v>
      </c>
      <c r="I11" s="92">
        <f>[42]Brewhouse!AT5360</f>
        <v>96.1253368644918</v>
      </c>
      <c r="J11" s="93">
        <f>[42]Brewhouse!S5360-[42]Brewhouse!R5360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[42]Brewhouse!A5361</f>
        <v>CA238</v>
      </c>
      <c r="D12" s="88">
        <f>[42]Brewhouse!B5361</f>
        <v>41437</v>
      </c>
      <c r="E12" s="89">
        <f>[42]Brewhouse!AG5361</f>
        <v>50.466999999999999</v>
      </c>
      <c r="F12" s="90">
        <f>[42]Brewhouse!T5361</f>
        <v>61</v>
      </c>
      <c r="G12" s="91">
        <f>[42]Brewhouse!I5361</f>
        <v>19.7</v>
      </c>
      <c r="H12" s="92">
        <f>[42]Brewhouse!AS5361</f>
        <v>96.931393272913695</v>
      </c>
      <c r="I12" s="92">
        <f>[42]Brewhouse!AT5361</f>
        <v>99.066876931102286</v>
      </c>
      <c r="J12" s="93">
        <f>[42]Brewhouse!S5361-[42]Brewhouse!R5361</f>
        <v>0.10208333333333341</v>
      </c>
      <c r="K12" s="98"/>
    </row>
    <row r="13" spans="2:14" ht="13.5" hidden="1" thickBot="1">
      <c r="B13" s="99"/>
      <c r="C13" s="88" t="str">
        <f>[42]Brewhouse!A5362</f>
        <v>CA239</v>
      </c>
      <c r="D13" s="88">
        <f>[42]Brewhouse!B5362</f>
        <v>41437</v>
      </c>
      <c r="E13" s="89">
        <f>[42]Brewhouse!AG5362</f>
        <v>49.374000000000002</v>
      </c>
      <c r="F13" s="90">
        <f>[42]Brewhouse!T5362</f>
        <v>62</v>
      </c>
      <c r="G13" s="91">
        <f>[42]Brewhouse!I5362</f>
        <v>19</v>
      </c>
      <c r="H13" s="92">
        <f>[42]Brewhouse!AS5362</f>
        <v>95.68502653795305</v>
      </c>
      <c r="I13" s="92">
        <f>[42]Brewhouse!AT5362</f>
        <v>97.793051643192499</v>
      </c>
      <c r="J13" s="93">
        <f>[42]Brewhouse!S5362-[42]Brewhouse!R5362</f>
        <v>0.10416666666666663</v>
      </c>
      <c r="K13" s="98"/>
      <c r="M13" s="100"/>
    </row>
    <row r="14" spans="2:14" ht="13.5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5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5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5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5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25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5" hidden="1" thickBot="1">
      <c r="B21" s="86" t="s">
        <v>66</v>
      </c>
      <c r="C21" s="118"/>
      <c r="D21" s="123" t="s">
        <v>67</v>
      </c>
      <c r="E21" s="124" t="s">
        <v>68</v>
      </c>
      <c r="F21" s="600" t="s">
        <v>69</v>
      </c>
      <c r="G21" s="601"/>
      <c r="H21" s="337"/>
      <c r="I21" s="125"/>
      <c r="J21" s="97"/>
      <c r="K21" s="126" t="s">
        <v>24</v>
      </c>
    </row>
    <row r="22" spans="2:11" ht="13.5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75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[42]Brewhouse!N5359</f>
        <v>60</v>
      </c>
    </row>
    <row r="24" spans="2:11" ht="15.75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[42]Brewhouse!N5360</f>
        <v>60</v>
      </c>
    </row>
    <row r="25" spans="2:11" ht="15.75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[42]Brewhouse!N5361</f>
        <v>60</v>
      </c>
    </row>
    <row r="26" spans="2:11" ht="15.75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[42]Brewhouse!N5362</f>
        <v>60</v>
      </c>
    </row>
    <row r="27" spans="2:11" ht="15.75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75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75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5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5" hidden="1" thickBot="1">
      <c r="F31" s="97"/>
    </row>
    <row r="32" spans="2:11" ht="13.5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5" hidden="1" thickBot="1">
      <c r="B33" s="87" t="s">
        <v>64</v>
      </c>
      <c r="C33" s="145">
        <f>AVERAGE(H10:H13)</f>
        <v>95.4128066154924</v>
      </c>
      <c r="D33" s="146">
        <f>AVERAGE([42]Brewhouse!$AS$5347:$AS$5362)</f>
        <v>96.296241624200576</v>
      </c>
      <c r="E33" s="147">
        <v>96</v>
      </c>
    </row>
    <row r="34" spans="2:15" ht="13.5" hidden="1" thickBot="1">
      <c r="B34" s="99" t="s">
        <v>72</v>
      </c>
      <c r="C34" s="100"/>
      <c r="D34" s="146">
        <f>AVERAGE([43]Brewhouse!$AQ$641:$AQ$644)</f>
        <v>94.359266355846486</v>
      </c>
      <c r="E34" s="147">
        <v>96</v>
      </c>
    </row>
    <row r="35" spans="2:15" ht="13.5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5" hidden="1" thickBot="1">
      <c r="B36" s="148" t="s">
        <v>74</v>
      </c>
      <c r="C36" s="145"/>
      <c r="D36" s="149">
        <f>AVERAGE([44]Brewhouse!$AU$708:$AU$711)</f>
        <v>95.049759132870761</v>
      </c>
      <c r="E36" s="147">
        <v>96</v>
      </c>
    </row>
    <row r="37" spans="2:15" ht="13.5" hidden="1" thickBot="1">
      <c r="B37" s="150" t="s">
        <v>75</v>
      </c>
      <c r="C37" s="145"/>
      <c r="D37" s="151">
        <f>AVERAGE([45]Brewhouse!$AY$943:$AY$946)</f>
        <v>95.307332180967137</v>
      </c>
      <c r="E37" s="147">
        <v>96</v>
      </c>
    </row>
    <row r="38" spans="2:15" ht="13.5" hidden="1" thickBot="1">
      <c r="B38" s="102" t="s">
        <v>76</v>
      </c>
      <c r="C38" s="152"/>
      <c r="D38" s="153"/>
      <c r="E38" s="147">
        <v>96</v>
      </c>
    </row>
    <row r="39" spans="2:15" ht="13.5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25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5" hidden="1" thickBot="1">
      <c r="B41" s="5" t="s">
        <v>42</v>
      </c>
      <c r="C41" s="78" t="s">
        <v>78</v>
      </c>
      <c r="D41" s="335"/>
    </row>
    <row r="42" spans="2:15" ht="13.5" hidden="1" thickBot="1"/>
    <row r="43" spans="2:15" ht="12.75" hidden="1" customHeight="1" thickBot="1">
      <c r="B43" s="606" t="s">
        <v>17</v>
      </c>
      <c r="C43" s="592" t="s">
        <v>18</v>
      </c>
      <c r="D43" s="592" t="s">
        <v>44</v>
      </c>
      <c r="E43" s="592" t="s">
        <v>79</v>
      </c>
      <c r="F43" s="592" t="s">
        <v>51</v>
      </c>
      <c r="G43" s="592" t="s">
        <v>48</v>
      </c>
      <c r="H43" s="594" t="s">
        <v>28</v>
      </c>
      <c r="I43" s="595"/>
      <c r="J43" s="595"/>
      <c r="K43" s="602" t="s">
        <v>27</v>
      </c>
    </row>
    <row r="44" spans="2:15" ht="15.75" hidden="1" customHeight="1" thickBot="1">
      <c r="B44" s="607"/>
      <c r="C44" s="593"/>
      <c r="D44" s="593"/>
      <c r="E44" s="593"/>
      <c r="F44" s="593"/>
      <c r="G44" s="593"/>
      <c r="H44" s="596"/>
      <c r="I44" s="597"/>
      <c r="J44" s="597"/>
      <c r="K44" s="603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604"/>
      <c r="I45" s="605"/>
      <c r="J45" s="605"/>
      <c r="K45" s="165"/>
      <c r="L45" s="166"/>
      <c r="N45" s="95"/>
    </row>
    <row r="46" spans="2:15" ht="13.5" hidden="1" thickBot="1">
      <c r="B46" s="99"/>
      <c r="C46" s="160"/>
      <c r="D46" s="167"/>
      <c r="E46" s="163"/>
      <c r="F46" s="168"/>
      <c r="G46" s="162"/>
      <c r="H46" s="598"/>
      <c r="I46" s="599"/>
      <c r="J46" s="599"/>
      <c r="K46" s="169"/>
      <c r="L46" s="166"/>
      <c r="M46" s="97"/>
      <c r="N46" s="95"/>
      <c r="O46" s="100"/>
    </row>
    <row r="47" spans="2:15" ht="13.5" hidden="1" thickBot="1">
      <c r="B47" s="99"/>
      <c r="C47" s="160"/>
      <c r="D47" s="103"/>
      <c r="E47" s="170"/>
      <c r="F47" s="168"/>
      <c r="G47" s="162"/>
      <c r="H47" s="598"/>
      <c r="I47" s="599"/>
      <c r="J47" s="599"/>
      <c r="K47" s="169"/>
    </row>
    <row r="48" spans="2:15" ht="13.5" hidden="1" thickBot="1">
      <c r="B48" s="102"/>
      <c r="C48" s="160"/>
      <c r="D48" s="167"/>
      <c r="E48" s="128"/>
      <c r="F48" s="168"/>
      <c r="G48" s="171"/>
      <c r="H48" s="598"/>
      <c r="I48" s="599"/>
      <c r="J48" s="599"/>
      <c r="K48" s="172"/>
    </row>
    <row r="49" spans="2:11" ht="13.5" hidden="1" thickBot="1">
      <c r="B49" s="101"/>
      <c r="C49" s="160"/>
      <c r="D49" s="167"/>
      <c r="E49" s="170"/>
      <c r="F49" s="163"/>
      <c r="G49" s="162"/>
      <c r="H49" s="590"/>
      <c r="I49" s="591"/>
      <c r="J49" s="591"/>
      <c r="K49" s="172"/>
    </row>
    <row r="50" spans="2:11" ht="13.5" hidden="1" thickBot="1">
      <c r="B50" s="173"/>
      <c r="C50" s="160"/>
      <c r="E50" s="168"/>
      <c r="F50" s="168"/>
      <c r="G50" s="145"/>
      <c r="H50" s="590"/>
      <c r="I50" s="591"/>
      <c r="J50" s="591"/>
      <c r="K50" s="172"/>
    </row>
    <row r="51" spans="2:11" ht="13.5" hidden="1" thickBot="1">
      <c r="B51" s="174"/>
      <c r="C51" s="160"/>
      <c r="D51" s="167"/>
      <c r="E51" s="175"/>
      <c r="F51" s="175"/>
      <c r="G51" s="176"/>
      <c r="H51" s="590"/>
      <c r="I51" s="591"/>
      <c r="J51" s="591"/>
      <c r="K51" s="177"/>
    </row>
    <row r="52" spans="2:11" ht="13.5" hidden="1" thickBot="1">
      <c r="B52" s="178"/>
      <c r="C52" s="179"/>
      <c r="D52" s="180"/>
      <c r="E52" s="181"/>
      <c r="F52" s="181"/>
      <c r="G52" s="182"/>
      <c r="H52" s="581"/>
      <c r="I52" s="582"/>
      <c r="J52" s="582"/>
      <c r="K52" s="183"/>
    </row>
    <row r="53" spans="2:11" ht="13.5" thickBot="1">
      <c r="B53" s="184"/>
      <c r="C53" s="117"/>
      <c r="D53" s="583" t="s">
        <v>80</v>
      </c>
      <c r="E53" s="583"/>
      <c r="F53" s="583"/>
      <c r="G53" s="583"/>
      <c r="H53" s="583"/>
      <c r="I53" s="583"/>
      <c r="J53" s="583"/>
      <c r="K53" s="185"/>
    </row>
    <row r="54" spans="2:11" ht="13.5" thickBot="1">
      <c r="B54" s="584" t="s">
        <v>55</v>
      </c>
      <c r="C54" s="585"/>
      <c r="D54" s="585"/>
      <c r="E54" s="586"/>
      <c r="F54" s="584" t="s">
        <v>56</v>
      </c>
      <c r="G54" s="585"/>
      <c r="H54" s="586"/>
      <c r="I54" s="587" t="s">
        <v>81</v>
      </c>
      <c r="J54" s="588"/>
      <c r="K54" s="589"/>
    </row>
    <row r="55" spans="2:11">
      <c r="B55" s="186" t="s">
        <v>17</v>
      </c>
      <c r="C55" s="187" t="s">
        <v>36</v>
      </c>
      <c r="D55" s="187" t="s">
        <v>37</v>
      </c>
      <c r="E55" s="188" t="s">
        <v>39</v>
      </c>
      <c r="F55" s="187" t="s">
        <v>36</v>
      </c>
      <c r="G55" s="187" t="s">
        <v>37</v>
      </c>
      <c r="H55" s="188" t="s">
        <v>39</v>
      </c>
      <c r="I55" s="189" t="s">
        <v>36</v>
      </c>
      <c r="J55" s="189" t="s">
        <v>37</v>
      </c>
      <c r="K55" s="190" t="s">
        <v>39</v>
      </c>
    </row>
    <row r="56" spans="2:11" ht="15">
      <c r="B56" s="29" t="s">
        <v>64</v>
      </c>
      <c r="C56" s="191"/>
      <c r="D56" s="76">
        <f>[41]MTD!$E5</f>
        <v>5.5747692448638091</v>
      </c>
      <c r="E56" s="192">
        <v>5</v>
      </c>
      <c r="F56" s="191"/>
      <c r="G56" s="76">
        <f>[39]September_2025!AM3</f>
        <v>5.8256772849763934</v>
      </c>
      <c r="H56" s="192">
        <v>5</v>
      </c>
      <c r="I56" s="193"/>
      <c r="J56" s="194">
        <f>[40]September_2025!AM13</f>
        <v>0.7211777777777777</v>
      </c>
      <c r="K56" s="195">
        <v>1</v>
      </c>
    </row>
    <row r="57" spans="2:11" ht="15">
      <c r="B57" s="33" t="s">
        <v>72</v>
      </c>
      <c r="C57" s="191"/>
      <c r="D57" s="76">
        <f>[41]MTD!$E6</f>
        <v>6.4421833717466042</v>
      </c>
      <c r="E57" s="192">
        <v>5</v>
      </c>
      <c r="F57" s="191"/>
      <c r="G57" s="76">
        <f>[39]September_2025!AM4</f>
        <v>7.1293852901923529</v>
      </c>
      <c r="H57" s="192">
        <v>5</v>
      </c>
      <c r="I57" s="196"/>
      <c r="J57" s="194">
        <f>[40]September_2025!AM14</f>
        <v>0.48873918128654975</v>
      </c>
      <c r="K57" s="195">
        <v>1</v>
      </c>
    </row>
    <row r="58" spans="2:11" ht="15">
      <c r="B58" s="34" t="s">
        <v>73</v>
      </c>
      <c r="C58" s="191"/>
      <c r="D58" s="76">
        <f>[41]MTD!$E7</f>
        <v>10.092614580859641</v>
      </c>
      <c r="E58" s="192">
        <v>5</v>
      </c>
      <c r="F58" s="191"/>
      <c r="G58" s="76">
        <f>[39]September_2025!AM5</f>
        <v>10.832824351782785</v>
      </c>
      <c r="H58" s="192">
        <v>5</v>
      </c>
      <c r="I58" s="196"/>
      <c r="J58" s="194">
        <f>[40]September_2025!AM15</f>
        <v>0.49929824561403513</v>
      </c>
      <c r="K58" s="195">
        <v>1</v>
      </c>
    </row>
    <row r="59" spans="2:11" ht="15">
      <c r="B59" s="197" t="s">
        <v>74</v>
      </c>
      <c r="C59" s="191"/>
      <c r="D59" s="76">
        <f>[41]MTD!$E8</f>
        <v>2.7693089430894253</v>
      </c>
      <c r="E59" s="192">
        <v>3.5</v>
      </c>
      <c r="F59" s="191"/>
      <c r="G59" s="76">
        <f>[39]September_2025!AM6</f>
        <v>2.091599363557624</v>
      </c>
      <c r="H59" s="192">
        <v>3.5</v>
      </c>
      <c r="I59" s="196"/>
      <c r="J59" s="194">
        <f>[40]September_2025!AM16</f>
        <v>0.67140350877192978</v>
      </c>
      <c r="K59" s="195">
        <v>1</v>
      </c>
    </row>
    <row r="60" spans="2:11" ht="15.75" thickBot="1">
      <c r="B60" s="38" t="s">
        <v>160</v>
      </c>
      <c r="C60" s="191"/>
      <c r="D60" s="76" t="e">
        <f>[41]MTD!$E9</f>
        <v>#DIV/0!</v>
      </c>
      <c r="E60" s="192">
        <v>3.5</v>
      </c>
      <c r="F60" s="198"/>
      <c r="G60" s="76" t="e">
        <f>[39]September_2025!AM7</f>
        <v>#DIV/0!</v>
      </c>
      <c r="H60" s="192">
        <v>3.5</v>
      </c>
      <c r="I60" s="196"/>
      <c r="J60" s="194" t="e">
        <f>[40]September_2025!AM17</f>
        <v>#DIV/0!</v>
      </c>
      <c r="K60" s="195">
        <v>1</v>
      </c>
    </row>
    <row r="61" spans="2:11" ht="15">
      <c r="B61" s="199" t="s">
        <v>76</v>
      </c>
      <c r="C61" s="191"/>
      <c r="D61" s="76">
        <f>[41]MTD!$E10</f>
        <v>6.8083051665862007</v>
      </c>
      <c r="E61" s="200">
        <v>5</v>
      </c>
      <c r="F61" s="191"/>
      <c r="G61" s="76">
        <f>[39]September_2025!AM8</f>
        <v>8.9142309098707884</v>
      </c>
      <c r="H61" s="200">
        <v>5</v>
      </c>
      <c r="I61" s="196"/>
      <c r="J61" s="194">
        <f>[40]September_2025!AM18</f>
        <v>1.3543859649122807</v>
      </c>
      <c r="K61" s="195">
        <v>1</v>
      </c>
    </row>
    <row r="62" spans="2:11" ht="15">
      <c r="B62" s="201" t="s">
        <v>82</v>
      </c>
      <c r="C62" s="202"/>
      <c r="D62" s="76">
        <f>[41]MTD!$E11</f>
        <v>3.3629594042757489</v>
      </c>
      <c r="E62" s="200">
        <v>3.3</v>
      </c>
      <c r="F62" s="202"/>
      <c r="G62" s="76">
        <f>[39]September_2025!AM9</f>
        <v>4.3098656267706001</v>
      </c>
      <c r="H62" s="200">
        <v>3.3</v>
      </c>
      <c r="I62" s="203"/>
      <c r="J62" s="194">
        <f>[40]September_2025!AM19</f>
        <v>1.411578947368421</v>
      </c>
      <c r="K62" s="204">
        <v>1</v>
      </c>
    </row>
    <row r="63" spans="2:11" ht="15.75" thickBot="1">
      <c r="B63" s="38" t="s">
        <v>128</v>
      </c>
      <c r="C63" s="205"/>
      <c r="D63" s="76" t="e">
        <f>[41]MTD!$E12</f>
        <v>#DIV/0!</v>
      </c>
      <c r="E63" s="206">
        <v>3.5</v>
      </c>
      <c r="F63" s="205"/>
      <c r="G63" s="76" t="e">
        <f>[39]September_2025!AM10</f>
        <v>#DIV/0!</v>
      </c>
      <c r="H63" s="206">
        <v>3.5</v>
      </c>
      <c r="I63" s="207"/>
      <c r="J63" s="194" t="e">
        <f>[40]September_2025!AM20</f>
        <v>#DIV/0!</v>
      </c>
      <c r="K63" s="208">
        <v>1</v>
      </c>
    </row>
    <row r="64" spans="2:11" ht="15.75" thickBot="1">
      <c r="B64" s="413" t="s">
        <v>159</v>
      </c>
      <c r="C64" s="198"/>
      <c r="D64" s="76" t="e">
        <f>[41]MTD!$E13</f>
        <v>#DIV/0!</v>
      </c>
      <c r="E64" s="192">
        <v>5</v>
      </c>
      <c r="F64" s="198"/>
      <c r="G64" s="76" t="e">
        <f>[39]September_2025!AM11</f>
        <v>#DIV/0!</v>
      </c>
      <c r="H64" s="192">
        <v>5</v>
      </c>
      <c r="I64" s="412"/>
      <c r="J64" s="194">
        <f>[40]September_2025!AM21</f>
        <v>0</v>
      </c>
      <c r="K64" s="208">
        <v>1</v>
      </c>
    </row>
    <row r="65" spans="2:11">
      <c r="B65" s="209"/>
      <c r="C65" s="210"/>
      <c r="D65" s="76">
        <f>[41]MTD!$E14</f>
        <v>5.8227003157813586</v>
      </c>
      <c r="E65" s="210"/>
      <c r="F65" s="210"/>
      <c r="G65" s="76">
        <f>[39]September_2025!AM12</f>
        <v>6.3090473359198125</v>
      </c>
      <c r="H65" s="211"/>
      <c r="I65" s="212"/>
      <c r="J65" s="194">
        <f>[40]September_2025!AM22</f>
        <v>0.7029924812030075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B2:K2"/>
    <mergeCell ref="C4:D4"/>
    <mergeCell ref="B8:B9"/>
    <mergeCell ref="C8:C9"/>
    <mergeCell ref="D8:D9"/>
    <mergeCell ref="G8:G9"/>
    <mergeCell ref="H8:H9"/>
    <mergeCell ref="I8:I9"/>
    <mergeCell ref="K8:K9"/>
    <mergeCell ref="F21:G21"/>
    <mergeCell ref="K43:K44"/>
    <mergeCell ref="H45:J45"/>
    <mergeCell ref="B43:B44"/>
    <mergeCell ref="C43:C44"/>
    <mergeCell ref="D43:D44"/>
    <mergeCell ref="E43:E4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H52:J52"/>
    <mergeCell ref="D53:J53"/>
    <mergeCell ref="B54:E54"/>
    <mergeCell ref="F54:H54"/>
    <mergeCell ref="I54:K54"/>
  </mergeCells>
  <printOptions horizontalCentered="1"/>
  <pageMargins left="0.25" right="0.24" top="0.5" bottom="0.5" header="0.5" footer="0.5"/>
  <pageSetup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89C0-C575-4A8E-A1E3-979A579814DF}">
  <sheetPr codeName="Sheet19">
    <tabColor rgb="FF7030A0"/>
    <pageSetUpPr fitToPage="1"/>
  </sheetPr>
  <dimension ref="B1:O73"/>
  <sheetViews>
    <sheetView showZeros="0" topLeftCell="A54" zoomScale="115" zoomScaleNormal="115" workbookViewId="0">
      <selection activeCell="J56" sqref="J56:J65"/>
    </sheetView>
  </sheetViews>
  <sheetFormatPr defaultColWidth="9.42578125" defaultRowHeight="12.75"/>
  <cols>
    <col min="1" max="1" width="9.42578125" style="78"/>
    <col min="2" max="2" width="12.5703125" style="78" customWidth="1"/>
    <col min="3" max="3" width="9.42578125" style="78" customWidth="1"/>
    <col min="4" max="4" width="9.5703125" style="78" customWidth="1"/>
    <col min="5" max="5" width="8.5703125" style="78" customWidth="1"/>
    <col min="6" max="6" width="14.42578125" style="78" customWidth="1"/>
    <col min="7" max="7" width="11.42578125" style="78" customWidth="1"/>
    <col min="8" max="8" width="9.42578125" style="78" bestFit="1" customWidth="1"/>
    <col min="9" max="9" width="11.5703125" style="78" customWidth="1"/>
    <col min="10" max="10" width="11.5703125" style="78" bestFit="1" customWidth="1"/>
    <col min="11" max="11" width="16.42578125" style="78" customWidth="1"/>
    <col min="12" max="12" width="13.42578125" style="78" customWidth="1"/>
    <col min="13" max="16384" width="9.42578125" style="78"/>
  </cols>
  <sheetData>
    <row r="1" spans="2:14" ht="13.5" hidden="1" thickBot="1"/>
    <row r="2" spans="2:14" ht="15.75" hidden="1" thickBot="1">
      <c r="B2" s="608" t="s">
        <v>58</v>
      </c>
      <c r="C2" s="608"/>
      <c r="D2" s="608"/>
      <c r="E2" s="608"/>
      <c r="F2" s="608"/>
      <c r="G2" s="608"/>
      <c r="H2" s="608"/>
      <c r="I2" s="608"/>
      <c r="J2" s="608"/>
      <c r="K2" s="608"/>
    </row>
    <row r="3" spans="2:14" ht="15.75" hidden="1" thickBot="1">
      <c r="B3" s="79"/>
    </row>
    <row r="4" spans="2:14" ht="13.5" hidden="1" thickBot="1">
      <c r="B4" s="78" t="s">
        <v>7</v>
      </c>
      <c r="C4" s="609">
        <v>41431</v>
      </c>
      <c r="D4" s="609"/>
    </row>
    <row r="5" spans="2:14" ht="13.5" hidden="1" thickBot="1">
      <c r="C5" s="78" t="s">
        <v>41</v>
      </c>
    </row>
    <row r="6" spans="2:14" ht="15" hidden="1" thickBot="1">
      <c r="B6" s="5" t="s">
        <v>13</v>
      </c>
    </row>
    <row r="7" spans="2:14" ht="13.5" hidden="1" thickBot="1"/>
    <row r="8" spans="2:14" ht="25.5" hidden="1" customHeight="1" thickBot="1">
      <c r="B8" s="606" t="s">
        <v>17</v>
      </c>
      <c r="C8" s="592" t="s">
        <v>18</v>
      </c>
      <c r="D8" s="592" t="s">
        <v>59</v>
      </c>
      <c r="E8" s="80" t="s">
        <v>20</v>
      </c>
      <c r="F8" s="81" t="s">
        <v>21</v>
      </c>
      <c r="G8" s="592" t="s">
        <v>60</v>
      </c>
      <c r="H8" s="592" t="s">
        <v>61</v>
      </c>
      <c r="I8" s="612" t="s">
        <v>62</v>
      </c>
      <c r="J8" s="82" t="s">
        <v>25</v>
      </c>
      <c r="K8" s="602" t="s">
        <v>28</v>
      </c>
    </row>
    <row r="9" spans="2:14" ht="26.25" hidden="1" thickBot="1">
      <c r="B9" s="610"/>
      <c r="C9" s="611"/>
      <c r="D9" s="611"/>
      <c r="E9" s="83" t="s">
        <v>30</v>
      </c>
      <c r="F9" s="84" t="s">
        <v>63</v>
      </c>
      <c r="G9" s="611"/>
      <c r="H9" s="611"/>
      <c r="I9" s="613"/>
      <c r="J9" s="85" t="s">
        <v>32</v>
      </c>
      <c r="K9" s="614"/>
      <c r="L9" s="86"/>
      <c r="M9" s="86"/>
      <c r="N9" s="86"/>
    </row>
    <row r="10" spans="2:14" ht="13.5" hidden="1" thickBot="1">
      <c r="B10" s="87" t="s">
        <v>64</v>
      </c>
      <c r="C10" s="88" t="str">
        <f>[42]Brewhouse!A5359</f>
        <v>CA236</v>
      </c>
      <c r="D10" s="88">
        <f>[42]Brewhouse!B5359</f>
        <v>41437</v>
      </c>
      <c r="E10" s="89">
        <f>[42]Brewhouse!AG5359</f>
        <v>49.011000000000003</v>
      </c>
      <c r="F10" s="90">
        <f>[42]Brewhouse!T5359</f>
        <v>60</v>
      </c>
      <c r="G10" s="91">
        <f>[42]Brewhouse!I5359</f>
        <v>19.79</v>
      </c>
      <c r="H10" s="92">
        <f>[42]Brewhouse!AS5359</f>
        <v>94.981545664755075</v>
      </c>
      <c r="I10" s="92">
        <f>[42]Brewhouse!AT5359</f>
        <v>97.074072469002047</v>
      </c>
      <c r="J10" s="93">
        <f>[42]Brewhouse!S5359-[42]Brewhouse!R5359</f>
        <v>0.10694444444444451</v>
      </c>
      <c r="K10" s="94"/>
      <c r="N10" s="95"/>
    </row>
    <row r="11" spans="2:14" ht="13.5" hidden="1" thickBot="1">
      <c r="B11" s="96"/>
      <c r="C11" s="88" t="str">
        <f>[42]Brewhouse!A5360</f>
        <v>CA237</v>
      </c>
      <c r="D11" s="88">
        <f>[42]Brewhouse!B5360</f>
        <v>41437</v>
      </c>
      <c r="E11" s="89">
        <f>[42]Brewhouse!AG5360</f>
        <v>48.531999999999996</v>
      </c>
      <c r="F11" s="90">
        <f>[42]Brewhouse!T5360</f>
        <v>68</v>
      </c>
      <c r="G11" s="91">
        <f>[42]Brewhouse!I5360</f>
        <v>17.7</v>
      </c>
      <c r="H11" s="92">
        <f>[42]Brewhouse!AS5360</f>
        <v>94.053260986347809</v>
      </c>
      <c r="I11" s="92">
        <f>[42]Brewhouse!AT5360</f>
        <v>96.1253368644918</v>
      </c>
      <c r="J11" s="93">
        <f>[42]Brewhouse!S5360-[42]Brewhouse!R5360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[42]Brewhouse!A5361</f>
        <v>CA238</v>
      </c>
      <c r="D12" s="88">
        <f>[42]Brewhouse!B5361</f>
        <v>41437</v>
      </c>
      <c r="E12" s="89">
        <f>[42]Brewhouse!AG5361</f>
        <v>50.466999999999999</v>
      </c>
      <c r="F12" s="90">
        <f>[42]Brewhouse!T5361</f>
        <v>61</v>
      </c>
      <c r="G12" s="91">
        <f>[42]Brewhouse!I5361</f>
        <v>19.7</v>
      </c>
      <c r="H12" s="92">
        <f>[42]Brewhouse!AS5361</f>
        <v>96.931393272913695</v>
      </c>
      <c r="I12" s="92">
        <f>[42]Brewhouse!AT5361</f>
        <v>99.066876931102286</v>
      </c>
      <c r="J12" s="93">
        <f>[42]Brewhouse!S5361-[42]Brewhouse!R5361</f>
        <v>0.10208333333333341</v>
      </c>
      <c r="K12" s="98"/>
    </row>
    <row r="13" spans="2:14" ht="13.5" hidden="1" thickBot="1">
      <c r="B13" s="99"/>
      <c r="C13" s="88" t="str">
        <f>[42]Brewhouse!A5362</f>
        <v>CA239</v>
      </c>
      <c r="D13" s="88">
        <f>[42]Brewhouse!B5362</f>
        <v>41437</v>
      </c>
      <c r="E13" s="89">
        <f>[42]Brewhouse!AG5362</f>
        <v>49.374000000000002</v>
      </c>
      <c r="F13" s="90">
        <f>[42]Brewhouse!T5362</f>
        <v>62</v>
      </c>
      <c r="G13" s="91">
        <f>[42]Brewhouse!I5362</f>
        <v>19</v>
      </c>
      <c r="H13" s="92">
        <f>[42]Brewhouse!AS5362</f>
        <v>95.68502653795305</v>
      </c>
      <c r="I13" s="92">
        <f>[42]Brewhouse!AT5362</f>
        <v>97.793051643192499</v>
      </c>
      <c r="J13" s="93">
        <f>[42]Brewhouse!S5362-[42]Brewhouse!R5362</f>
        <v>0.10416666666666663</v>
      </c>
      <c r="K13" s="98"/>
      <c r="M13" s="100"/>
    </row>
    <row r="14" spans="2:14" ht="13.5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5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5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5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5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25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5" hidden="1" thickBot="1">
      <c r="B21" s="86" t="s">
        <v>66</v>
      </c>
      <c r="C21" s="118"/>
      <c r="D21" s="123" t="s">
        <v>67</v>
      </c>
      <c r="E21" s="124" t="s">
        <v>68</v>
      </c>
      <c r="F21" s="600" t="s">
        <v>69</v>
      </c>
      <c r="G21" s="601"/>
      <c r="H21" s="337"/>
      <c r="I21" s="125"/>
      <c r="J21" s="97"/>
      <c r="K21" s="126" t="s">
        <v>24</v>
      </c>
    </row>
    <row r="22" spans="2:11" ht="13.5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75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[42]Brewhouse!N5359</f>
        <v>60</v>
      </c>
    </row>
    <row r="24" spans="2:11" ht="15.75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[42]Brewhouse!N5360</f>
        <v>60</v>
      </c>
    </row>
    <row r="25" spans="2:11" ht="15.75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[42]Brewhouse!N5361</f>
        <v>60</v>
      </c>
    </row>
    <row r="26" spans="2:11" ht="15.75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[42]Brewhouse!N5362</f>
        <v>60</v>
      </c>
    </row>
    <row r="27" spans="2:11" ht="15.75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75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75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5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5" hidden="1" thickBot="1">
      <c r="F31" s="97"/>
    </row>
    <row r="32" spans="2:11" ht="13.5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5" hidden="1" thickBot="1">
      <c r="B33" s="87" t="s">
        <v>64</v>
      </c>
      <c r="C33" s="145">
        <f>AVERAGE(H10:H13)</f>
        <v>95.4128066154924</v>
      </c>
      <c r="D33" s="146">
        <f>AVERAGE([42]Brewhouse!$AS$5347:$AS$5362)</f>
        <v>96.296241624200576</v>
      </c>
      <c r="E33" s="147">
        <v>96</v>
      </c>
    </row>
    <row r="34" spans="2:15" ht="13.5" hidden="1" thickBot="1">
      <c r="B34" s="99" t="s">
        <v>72</v>
      </c>
      <c r="C34" s="100"/>
      <c r="D34" s="146">
        <f>AVERAGE([43]Brewhouse!$AQ$641:$AQ$644)</f>
        <v>94.359266355846486</v>
      </c>
      <c r="E34" s="147">
        <v>96</v>
      </c>
    </row>
    <row r="35" spans="2:15" ht="13.5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5" hidden="1" thickBot="1">
      <c r="B36" s="148" t="s">
        <v>74</v>
      </c>
      <c r="C36" s="145"/>
      <c r="D36" s="149">
        <f>AVERAGE([44]Brewhouse!$AU$708:$AU$711)</f>
        <v>95.049759132870761</v>
      </c>
      <c r="E36" s="147">
        <v>96</v>
      </c>
    </row>
    <row r="37" spans="2:15" ht="13.5" hidden="1" thickBot="1">
      <c r="B37" s="150" t="s">
        <v>75</v>
      </c>
      <c r="C37" s="145"/>
      <c r="D37" s="151">
        <f>AVERAGE([45]Brewhouse!$AY$943:$AY$946)</f>
        <v>95.307332180967137</v>
      </c>
      <c r="E37" s="147">
        <v>96</v>
      </c>
    </row>
    <row r="38" spans="2:15" ht="13.5" hidden="1" thickBot="1">
      <c r="B38" s="102" t="s">
        <v>76</v>
      </c>
      <c r="C38" s="152"/>
      <c r="D38" s="153"/>
      <c r="E38" s="147">
        <v>96</v>
      </c>
    </row>
    <row r="39" spans="2:15" ht="13.5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25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5" hidden="1" thickBot="1">
      <c r="B41" s="5" t="s">
        <v>42</v>
      </c>
      <c r="C41" s="78" t="s">
        <v>78</v>
      </c>
      <c r="D41" s="335"/>
    </row>
    <row r="42" spans="2:15" ht="13.5" hidden="1" thickBot="1"/>
    <row r="43" spans="2:15" ht="12.75" hidden="1" customHeight="1" thickBot="1">
      <c r="B43" s="606" t="s">
        <v>17</v>
      </c>
      <c r="C43" s="592" t="s">
        <v>18</v>
      </c>
      <c r="D43" s="592" t="s">
        <v>44</v>
      </c>
      <c r="E43" s="592" t="s">
        <v>79</v>
      </c>
      <c r="F43" s="592" t="s">
        <v>51</v>
      </c>
      <c r="G43" s="592" t="s">
        <v>48</v>
      </c>
      <c r="H43" s="594" t="s">
        <v>28</v>
      </c>
      <c r="I43" s="595"/>
      <c r="J43" s="595"/>
      <c r="K43" s="602" t="s">
        <v>27</v>
      </c>
    </row>
    <row r="44" spans="2:15" ht="15.75" hidden="1" customHeight="1" thickBot="1">
      <c r="B44" s="607"/>
      <c r="C44" s="593"/>
      <c r="D44" s="593"/>
      <c r="E44" s="593"/>
      <c r="F44" s="593"/>
      <c r="G44" s="593"/>
      <c r="H44" s="596"/>
      <c r="I44" s="597"/>
      <c r="J44" s="597"/>
      <c r="K44" s="603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604"/>
      <c r="I45" s="605"/>
      <c r="J45" s="605"/>
      <c r="K45" s="165"/>
      <c r="L45" s="166"/>
      <c r="N45" s="95"/>
    </row>
    <row r="46" spans="2:15" ht="13.5" hidden="1" thickBot="1">
      <c r="B46" s="99"/>
      <c r="C46" s="160"/>
      <c r="D46" s="167"/>
      <c r="E46" s="163"/>
      <c r="F46" s="168"/>
      <c r="G46" s="162"/>
      <c r="H46" s="598"/>
      <c r="I46" s="599"/>
      <c r="J46" s="599"/>
      <c r="K46" s="169"/>
      <c r="L46" s="166"/>
      <c r="M46" s="97"/>
      <c r="N46" s="95"/>
      <c r="O46" s="100"/>
    </row>
    <row r="47" spans="2:15" ht="13.5" hidden="1" thickBot="1">
      <c r="B47" s="99"/>
      <c r="C47" s="160"/>
      <c r="D47" s="103"/>
      <c r="E47" s="170"/>
      <c r="F47" s="168"/>
      <c r="G47" s="162"/>
      <c r="H47" s="598"/>
      <c r="I47" s="599"/>
      <c r="J47" s="599"/>
      <c r="K47" s="169"/>
    </row>
    <row r="48" spans="2:15" ht="13.5" hidden="1" thickBot="1">
      <c r="B48" s="102"/>
      <c r="C48" s="160"/>
      <c r="D48" s="167"/>
      <c r="E48" s="128"/>
      <c r="F48" s="168"/>
      <c r="G48" s="171"/>
      <c r="H48" s="598"/>
      <c r="I48" s="599"/>
      <c r="J48" s="599"/>
      <c r="K48" s="172"/>
    </row>
    <row r="49" spans="2:11" ht="13.5" hidden="1" thickBot="1">
      <c r="B49" s="101"/>
      <c r="C49" s="160"/>
      <c r="D49" s="167"/>
      <c r="E49" s="170"/>
      <c r="F49" s="163"/>
      <c r="G49" s="162"/>
      <c r="H49" s="590"/>
      <c r="I49" s="591"/>
      <c r="J49" s="591"/>
      <c r="K49" s="172"/>
    </row>
    <row r="50" spans="2:11" ht="13.5" hidden="1" thickBot="1">
      <c r="B50" s="173"/>
      <c r="C50" s="160"/>
      <c r="E50" s="168"/>
      <c r="F50" s="168"/>
      <c r="G50" s="145"/>
      <c r="H50" s="590"/>
      <c r="I50" s="591"/>
      <c r="J50" s="591"/>
      <c r="K50" s="172"/>
    </row>
    <row r="51" spans="2:11" ht="13.5" hidden="1" thickBot="1">
      <c r="B51" s="174"/>
      <c r="C51" s="160"/>
      <c r="D51" s="167"/>
      <c r="E51" s="175"/>
      <c r="F51" s="175"/>
      <c r="G51" s="176"/>
      <c r="H51" s="590"/>
      <c r="I51" s="591"/>
      <c r="J51" s="591"/>
      <c r="K51" s="177"/>
    </row>
    <row r="52" spans="2:11" ht="13.5" hidden="1" thickBot="1">
      <c r="B52" s="178"/>
      <c r="C52" s="179"/>
      <c r="D52" s="180"/>
      <c r="E52" s="181"/>
      <c r="F52" s="181"/>
      <c r="G52" s="182"/>
      <c r="H52" s="581"/>
      <c r="I52" s="582"/>
      <c r="J52" s="582"/>
      <c r="K52" s="183"/>
    </row>
    <row r="53" spans="2:11" ht="13.5" thickBot="1">
      <c r="B53" s="184"/>
      <c r="C53" s="117"/>
      <c r="D53" s="583" t="s">
        <v>80</v>
      </c>
      <c r="E53" s="583"/>
      <c r="F53" s="583"/>
      <c r="G53" s="583"/>
      <c r="H53" s="583"/>
      <c r="I53" s="583"/>
      <c r="J53" s="583"/>
      <c r="K53" s="185"/>
    </row>
    <row r="54" spans="2:11" ht="13.5" thickBot="1">
      <c r="B54" s="584" t="s">
        <v>55</v>
      </c>
      <c r="C54" s="585"/>
      <c r="D54" s="585"/>
      <c r="E54" s="586"/>
      <c r="F54" s="584" t="s">
        <v>56</v>
      </c>
      <c r="G54" s="585"/>
      <c r="H54" s="586"/>
      <c r="I54" s="587" t="s">
        <v>81</v>
      </c>
      <c r="J54" s="588"/>
      <c r="K54" s="589"/>
    </row>
    <row r="55" spans="2:11">
      <c r="B55" s="186" t="s">
        <v>17</v>
      </c>
      <c r="C55" s="187" t="s">
        <v>36</v>
      </c>
      <c r="D55" s="187" t="s">
        <v>38</v>
      </c>
      <c r="E55" s="188" t="s">
        <v>39</v>
      </c>
      <c r="F55" s="187" t="s">
        <v>36</v>
      </c>
      <c r="G55" s="187" t="s">
        <v>38</v>
      </c>
      <c r="H55" s="188" t="s">
        <v>39</v>
      </c>
      <c r="I55" s="189" t="s">
        <v>36</v>
      </c>
      <c r="J55" s="189" t="s">
        <v>38</v>
      </c>
      <c r="K55" s="190" t="s">
        <v>39</v>
      </c>
    </row>
    <row r="56" spans="2:11" ht="15">
      <c r="B56" s="29" t="s">
        <v>64</v>
      </c>
      <c r="C56" s="191"/>
      <c r="D56" s="76">
        <f>'[41]YTD 2025'!$E5</f>
        <v>6.1073636484047737</v>
      </c>
      <c r="E56" s="192">
        <v>5</v>
      </c>
      <c r="F56" s="191"/>
      <c r="G56" s="76">
        <f>[39]September_2025!AP3</f>
        <v>6.2355368379164196</v>
      </c>
      <c r="H56" s="192">
        <v>5</v>
      </c>
      <c r="I56" s="193"/>
      <c r="J56" s="194">
        <f>[40]September_2025!AP13</f>
        <v>0.76862909709990124</v>
      </c>
      <c r="K56" s="195">
        <v>1</v>
      </c>
    </row>
    <row r="57" spans="2:11" ht="15">
      <c r="B57" s="33" t="s">
        <v>72</v>
      </c>
      <c r="C57" s="191"/>
      <c r="D57" s="76">
        <f>'[41]YTD 2025'!$E6</f>
        <v>5.8995777655907986</v>
      </c>
      <c r="E57" s="192">
        <v>5</v>
      </c>
      <c r="F57" s="191"/>
      <c r="G57" s="76">
        <f>[39]September_2025!AP4</f>
        <v>5.6513680702551383</v>
      </c>
      <c r="H57" s="192">
        <v>5</v>
      </c>
      <c r="I57" s="196"/>
      <c r="J57" s="194">
        <f>[40]September_2025!AP14</f>
        <v>0.71648808642913986</v>
      </c>
      <c r="K57" s="195">
        <v>1</v>
      </c>
    </row>
    <row r="58" spans="2:11" ht="15">
      <c r="B58" s="34" t="s">
        <v>73</v>
      </c>
      <c r="C58" s="191"/>
      <c r="D58" s="76">
        <f>'[41]YTD 2025'!$E7</f>
        <v>11.13392127699686</v>
      </c>
      <c r="E58" s="192">
        <v>5</v>
      </c>
      <c r="F58" s="191"/>
      <c r="G58" s="76">
        <f>[39]September_2025!AP5</f>
        <v>12.740878252198055</v>
      </c>
      <c r="H58" s="192">
        <v>5</v>
      </c>
      <c r="I58" s="196"/>
      <c r="J58" s="194">
        <f>[40]September_2025!AP15</f>
        <v>0.53494558457711439</v>
      </c>
      <c r="K58" s="195">
        <v>1</v>
      </c>
    </row>
    <row r="59" spans="2:11" ht="15">
      <c r="B59" s="197" t="s">
        <v>74</v>
      </c>
      <c r="C59" s="191"/>
      <c r="D59" s="76">
        <f>'[41]YTD 2025'!$E8</f>
        <v>4.6585935612061213</v>
      </c>
      <c r="E59" s="192">
        <v>3.5</v>
      </c>
      <c r="F59" s="191"/>
      <c r="G59" s="76">
        <f>[39]September_2025!AP6</f>
        <v>4.4772094679692334</v>
      </c>
      <c r="H59" s="192">
        <v>3.5</v>
      </c>
      <c r="I59" s="196"/>
      <c r="J59" s="194">
        <f>[40]September_2025!AP16</f>
        <v>0.80025950292397652</v>
      </c>
      <c r="K59" s="195">
        <v>1</v>
      </c>
    </row>
    <row r="60" spans="2:11" ht="15.75" thickBot="1">
      <c r="B60" s="38" t="s">
        <v>160</v>
      </c>
      <c r="C60" s="191"/>
      <c r="D60" s="76">
        <f>'[41]YTD 2025'!$E9</f>
        <v>7.837301587301579</v>
      </c>
      <c r="E60" s="192">
        <v>3.5</v>
      </c>
      <c r="F60" s="198"/>
      <c r="G60" s="76">
        <f>[39]September_2025!AP7</f>
        <v>5.3377569154690221</v>
      </c>
      <c r="H60" s="192">
        <v>3.5</v>
      </c>
      <c r="I60" s="196"/>
      <c r="J60" s="194">
        <f>[40]September_2025!AP17</f>
        <v>0.32596491228070179</v>
      </c>
      <c r="K60" s="195">
        <v>1</v>
      </c>
    </row>
    <row r="61" spans="2:11" ht="15">
      <c r="B61" s="199" t="s">
        <v>76</v>
      </c>
      <c r="C61" s="191"/>
      <c r="D61" s="76">
        <f>'[41]YTD 2025'!$E10</f>
        <v>6.8851328044153277</v>
      </c>
      <c r="E61" s="200">
        <v>5</v>
      </c>
      <c r="F61" s="191"/>
      <c r="G61" s="76">
        <f>[39]September_2025!AP8</f>
        <v>8.6614709463340702</v>
      </c>
      <c r="H61" s="200">
        <v>5</v>
      </c>
      <c r="I61" s="196"/>
      <c r="J61" s="194">
        <f>[40]September_2025!AP18</f>
        <v>0.73160818713450293</v>
      </c>
      <c r="K61" s="195">
        <v>1</v>
      </c>
    </row>
    <row r="62" spans="2:11" ht="15">
      <c r="B62" s="201" t="s">
        <v>82</v>
      </c>
      <c r="C62" s="202"/>
      <c r="D62" s="76">
        <f>'[41]YTD 2025'!$E11</f>
        <v>3.0685920577617201</v>
      </c>
      <c r="E62" s="200">
        <v>3.3</v>
      </c>
      <c r="F62" s="202"/>
      <c r="G62" s="76">
        <f>[39]September_2025!AP9</f>
        <v>4.4758841279290129</v>
      </c>
      <c r="H62" s="200">
        <v>3.3</v>
      </c>
      <c r="I62" s="203"/>
      <c r="J62" s="194">
        <f>[40]September_2025!AP19</f>
        <v>0.85680449208779996</v>
      </c>
      <c r="K62" s="204">
        <v>1</v>
      </c>
    </row>
    <row r="63" spans="2:11" ht="15.75" thickBot="1">
      <c r="B63" s="38" t="s">
        <v>128</v>
      </c>
      <c r="C63" s="205"/>
      <c r="D63" s="76">
        <f>'[41]YTD 2025'!$E12</f>
        <v>11.483253588516746</v>
      </c>
      <c r="E63" s="206">
        <v>3.5</v>
      </c>
      <c r="F63" s="205"/>
      <c r="G63" s="76">
        <f>[39]September_2025!AP10</f>
        <v>9.7934336121043764</v>
      </c>
      <c r="H63" s="206">
        <v>3.5</v>
      </c>
      <c r="I63" s="207"/>
      <c r="J63" s="194">
        <f>[40]September_2025!AP20</f>
        <v>0.32456140350877194</v>
      </c>
      <c r="K63" s="208">
        <v>1</v>
      </c>
    </row>
    <row r="64" spans="2:11" ht="15.75" thickBot="1">
      <c r="B64" s="413" t="s">
        <v>159</v>
      </c>
      <c r="C64" s="205"/>
      <c r="D64" s="76">
        <f>'[41]YTD 2025'!$E13</f>
        <v>7.2653644592663174</v>
      </c>
      <c r="E64" s="206">
        <v>5</v>
      </c>
      <c r="F64" s="205"/>
      <c r="G64" s="76">
        <f>[39]September_2025!AP11</f>
        <v>8.1715311054411259</v>
      </c>
      <c r="H64" s="206">
        <v>5</v>
      </c>
      <c r="I64" s="207"/>
      <c r="J64" s="194">
        <f>[40]September_2025!AP21</f>
        <v>0.51368421052631585</v>
      </c>
      <c r="K64" s="208">
        <v>1</v>
      </c>
    </row>
    <row r="65" spans="2:11">
      <c r="B65" s="209"/>
      <c r="C65" s="210"/>
      <c r="D65" s="76">
        <f>'[41]YTD 2025'!$E14</f>
        <v>6.2005513388884896</v>
      </c>
      <c r="E65" s="210"/>
      <c r="F65" s="210"/>
      <c r="G65" s="76">
        <f>[39]September_2025!AP12</f>
        <v>6.5635929475357306</v>
      </c>
      <c r="H65" s="211"/>
      <c r="I65" s="212"/>
      <c r="J65" s="194">
        <f>[40]September_2025!AP22</f>
        <v>0.7314042642642643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B2:K2"/>
    <mergeCell ref="C4:D4"/>
    <mergeCell ref="B8:B9"/>
    <mergeCell ref="C8:C9"/>
    <mergeCell ref="D8:D9"/>
    <mergeCell ref="G8:G9"/>
    <mergeCell ref="H8:H9"/>
    <mergeCell ref="I8:I9"/>
    <mergeCell ref="K8:K9"/>
    <mergeCell ref="F21:G21"/>
    <mergeCell ref="K43:K44"/>
    <mergeCell ref="H45:J45"/>
    <mergeCell ref="B43:B44"/>
    <mergeCell ref="C43:C44"/>
    <mergeCell ref="D43:D44"/>
    <mergeCell ref="E43:E4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H52:J52"/>
    <mergeCell ref="D53:J53"/>
    <mergeCell ref="B54:E54"/>
    <mergeCell ref="F54:H54"/>
    <mergeCell ref="I54:K54"/>
  </mergeCells>
  <printOptions horizontalCentered="1"/>
  <pageMargins left="0.25" right="0.24" top="0.5" bottom="0.5" header="0.5" footer="0.5"/>
  <pageSetup scale="9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DA13-74B1-4009-90C9-5A553EBA7938}">
  <sheetPr codeName="Sheet20">
    <tabColor rgb="FFFFFF00"/>
  </sheetPr>
  <dimension ref="A1:M38"/>
  <sheetViews>
    <sheetView topLeftCell="B16" workbookViewId="0">
      <selection activeCell="E70" sqref="E70"/>
    </sheetView>
  </sheetViews>
  <sheetFormatPr defaultRowHeight="12.75"/>
  <cols>
    <col min="2" max="2" width="9.5703125" customWidth="1"/>
    <col min="3" max="3" width="11" customWidth="1"/>
    <col min="4" max="4" width="13.5703125" customWidth="1"/>
    <col min="5" max="5" width="15.5703125" customWidth="1"/>
    <col min="11" max="11" width="10.42578125" bestFit="1" customWidth="1"/>
    <col min="12" max="12" width="15.42578125" bestFit="1" customWidth="1"/>
    <col min="13" max="13" width="12.28515625" bestFit="1" customWidth="1"/>
  </cols>
  <sheetData>
    <row r="1" spans="1:13" ht="15">
      <c r="A1" s="215"/>
      <c r="B1" s="215"/>
      <c r="C1" s="215"/>
      <c r="D1" s="215"/>
      <c r="E1" s="215"/>
      <c r="F1" s="215"/>
      <c r="G1" s="215"/>
      <c r="H1" s="215"/>
      <c r="I1" s="215"/>
      <c r="J1" s="215"/>
      <c r="K1" s="215"/>
    </row>
    <row r="2" spans="1:13" ht="15.75">
      <c r="A2" s="215"/>
      <c r="B2" s="615" t="s">
        <v>34</v>
      </c>
      <c r="C2" s="615"/>
      <c r="D2" s="615"/>
      <c r="E2" s="215"/>
      <c r="F2" s="215"/>
      <c r="G2" s="215"/>
      <c r="H2" s="215"/>
      <c r="I2" s="215"/>
      <c r="J2" s="215"/>
      <c r="K2" s="215"/>
    </row>
    <row r="3" spans="1:13" s="219" customFormat="1" ht="15.75">
      <c r="A3" s="216"/>
      <c r="B3" s="217" t="s">
        <v>84</v>
      </c>
      <c r="C3" s="218" t="s">
        <v>85</v>
      </c>
      <c r="D3" s="218" t="s">
        <v>86</v>
      </c>
      <c r="E3" s="218" t="s">
        <v>87</v>
      </c>
      <c r="F3" s="218" t="s">
        <v>88</v>
      </c>
      <c r="G3" s="218" t="s">
        <v>89</v>
      </c>
      <c r="H3" s="218" t="s">
        <v>90</v>
      </c>
      <c r="I3" s="218" t="s">
        <v>91</v>
      </c>
      <c r="J3" s="218" t="s">
        <v>92</v>
      </c>
      <c r="K3" s="218" t="s">
        <v>93</v>
      </c>
      <c r="L3" s="218" t="s">
        <v>94</v>
      </c>
      <c r="M3" s="218" t="s">
        <v>95</v>
      </c>
    </row>
    <row r="4" spans="1:13" ht="15">
      <c r="A4" s="215"/>
      <c r="B4" s="220">
        <v>98</v>
      </c>
      <c r="C4" s="221" t="s">
        <v>64</v>
      </c>
      <c r="D4" s="222"/>
      <c r="E4" s="223"/>
      <c r="F4" s="223"/>
      <c r="G4" s="223"/>
      <c r="H4" s="223"/>
      <c r="I4" s="223"/>
      <c r="J4" s="223"/>
      <c r="K4" s="223"/>
      <c r="L4" s="223"/>
    </row>
    <row r="5" spans="1:13" ht="15">
      <c r="A5" s="215"/>
      <c r="B5" s="220">
        <v>98</v>
      </c>
      <c r="C5" s="224" t="s">
        <v>72</v>
      </c>
      <c r="D5" s="223"/>
      <c r="E5" s="223"/>
      <c r="F5" s="223"/>
      <c r="G5" s="223"/>
      <c r="H5" s="223"/>
      <c r="I5" s="223"/>
      <c r="J5" s="223"/>
      <c r="K5" s="223"/>
      <c r="L5" s="223"/>
    </row>
    <row r="6" spans="1:13" ht="15">
      <c r="A6" s="215"/>
      <c r="B6" s="220">
        <v>98</v>
      </c>
      <c r="C6" s="225" t="s">
        <v>96</v>
      </c>
      <c r="D6" s="222"/>
      <c r="E6" s="223"/>
      <c r="F6" s="223"/>
      <c r="G6" s="223"/>
      <c r="H6" s="223"/>
      <c r="I6" s="223"/>
      <c r="J6" s="223"/>
      <c r="K6" s="223"/>
      <c r="L6" s="223"/>
    </row>
    <row r="7" spans="1:13" ht="15">
      <c r="A7" s="215"/>
      <c r="B7" s="220">
        <v>98</v>
      </c>
      <c r="C7" s="226" t="s">
        <v>76</v>
      </c>
      <c r="D7" s="223"/>
      <c r="E7" s="223"/>
      <c r="F7" s="223"/>
      <c r="G7" s="223"/>
      <c r="H7" s="223"/>
      <c r="I7" s="223"/>
      <c r="J7" s="223"/>
      <c r="K7" s="223"/>
      <c r="L7" s="223"/>
    </row>
    <row r="8" spans="1:13" ht="15">
      <c r="A8" s="215"/>
      <c r="B8" s="220">
        <v>98</v>
      </c>
      <c r="C8" s="227" t="s">
        <v>83</v>
      </c>
      <c r="D8" s="222"/>
      <c r="E8" s="223"/>
      <c r="F8" s="223"/>
      <c r="G8" s="223"/>
      <c r="H8" s="223"/>
      <c r="I8" s="223"/>
      <c r="J8" s="223"/>
      <c r="K8" s="223"/>
      <c r="L8" s="223"/>
    </row>
    <row r="9" spans="1:13" ht="15">
      <c r="A9" s="215"/>
      <c r="B9" s="220">
        <v>98</v>
      </c>
      <c r="C9" s="228" t="s">
        <v>97</v>
      </c>
      <c r="D9" s="223"/>
      <c r="E9" s="223"/>
      <c r="F9" s="223"/>
      <c r="G9" s="223"/>
      <c r="H9" s="223"/>
      <c r="I9" s="223"/>
      <c r="J9" s="223"/>
      <c r="K9" s="223"/>
      <c r="L9" s="223"/>
    </row>
    <row r="10" spans="1:13" ht="15">
      <c r="A10" s="215"/>
      <c r="B10" s="220">
        <v>98</v>
      </c>
      <c r="C10" s="229" t="s">
        <v>98</v>
      </c>
      <c r="D10" s="222"/>
      <c r="E10" s="223"/>
      <c r="F10" s="223"/>
      <c r="G10" s="223"/>
      <c r="H10" s="223"/>
      <c r="I10" s="223"/>
      <c r="J10" s="223"/>
      <c r="K10" s="223"/>
      <c r="L10" s="223"/>
    </row>
    <row r="11" spans="1:13" ht="15">
      <c r="A11" s="215"/>
      <c r="B11" s="220">
        <v>98</v>
      </c>
      <c r="C11" s="230" t="s">
        <v>74</v>
      </c>
      <c r="D11" s="223"/>
      <c r="E11" s="223"/>
      <c r="F11" s="223"/>
      <c r="G11" s="223"/>
      <c r="H11" s="223"/>
      <c r="I11" s="223"/>
      <c r="J11" s="223"/>
      <c r="K11" s="223"/>
      <c r="L11" s="223"/>
    </row>
    <row r="12" spans="1:13" s="219" customFormat="1" ht="15.75">
      <c r="A12" s="216"/>
      <c r="B12" s="231">
        <v>98</v>
      </c>
      <c r="C12" s="232" t="s">
        <v>99</v>
      </c>
      <c r="D12" s="233"/>
      <c r="E12" s="234"/>
      <c r="F12" s="234"/>
      <c r="G12" s="234"/>
      <c r="H12" s="234"/>
      <c r="I12" s="234"/>
      <c r="J12" s="234"/>
      <c r="K12" s="234"/>
      <c r="L12" s="234"/>
    </row>
    <row r="13" spans="1:13" ht="15">
      <c r="A13" s="215"/>
      <c r="B13" s="215"/>
      <c r="C13" s="215"/>
      <c r="D13" s="215"/>
      <c r="E13" s="215"/>
      <c r="F13" s="215"/>
      <c r="G13" s="215"/>
      <c r="H13" s="215"/>
      <c r="I13" s="215"/>
      <c r="J13" s="215"/>
      <c r="K13" s="215"/>
    </row>
    <row r="14" spans="1:13" ht="15.75">
      <c r="A14" s="215"/>
      <c r="B14" s="615" t="s">
        <v>100</v>
      </c>
      <c r="C14" s="615"/>
      <c r="D14" s="615"/>
      <c r="E14" s="215"/>
      <c r="F14" s="215"/>
      <c r="G14" s="215"/>
      <c r="H14" s="215"/>
      <c r="I14" s="215"/>
      <c r="J14" s="215"/>
      <c r="K14" s="215"/>
    </row>
    <row r="15" spans="1:13" ht="15.75">
      <c r="A15" s="215"/>
      <c r="B15" s="217" t="s">
        <v>84</v>
      </c>
      <c r="C15" s="218" t="s">
        <v>85</v>
      </c>
      <c r="D15" s="218" t="s">
        <v>86</v>
      </c>
      <c r="E15" s="218" t="s">
        <v>87</v>
      </c>
      <c r="F15" s="218" t="s">
        <v>88</v>
      </c>
      <c r="G15" s="218" t="s">
        <v>89</v>
      </c>
      <c r="H15" s="218" t="s">
        <v>90</v>
      </c>
      <c r="I15" s="218" t="s">
        <v>91</v>
      </c>
      <c r="J15" s="218" t="s">
        <v>92</v>
      </c>
      <c r="K15" s="218" t="s">
        <v>93</v>
      </c>
      <c r="L15" s="218" t="s">
        <v>94</v>
      </c>
      <c r="M15" s="218" t="s">
        <v>95</v>
      </c>
    </row>
    <row r="16" spans="1:13" ht="15">
      <c r="A16" s="215"/>
      <c r="B16" s="220">
        <v>4.8</v>
      </c>
      <c r="C16" s="221" t="s">
        <v>64</v>
      </c>
      <c r="D16" s="222"/>
      <c r="E16" s="222"/>
      <c r="F16" s="222"/>
      <c r="G16" s="222"/>
      <c r="H16" s="222"/>
      <c r="I16" s="222"/>
      <c r="J16" s="222"/>
      <c r="K16" s="222"/>
      <c r="L16" s="222"/>
      <c r="M16" s="222"/>
    </row>
    <row r="17" spans="1:13" ht="15">
      <c r="A17" s="215"/>
      <c r="B17" s="220">
        <v>4.8</v>
      </c>
      <c r="C17" s="224" t="s">
        <v>72</v>
      </c>
      <c r="D17" s="223"/>
      <c r="E17" s="223"/>
      <c r="F17" s="223"/>
      <c r="G17" s="223"/>
      <c r="H17" s="223"/>
      <c r="I17" s="223"/>
      <c r="J17" s="223"/>
      <c r="K17" s="223"/>
      <c r="L17" s="223"/>
      <c r="M17" s="223"/>
    </row>
    <row r="18" spans="1:13" ht="15">
      <c r="A18" s="215"/>
      <c r="B18" s="220">
        <v>5.5</v>
      </c>
      <c r="C18" s="225" t="s">
        <v>96</v>
      </c>
      <c r="D18" s="222"/>
      <c r="E18" s="222"/>
      <c r="F18" s="222"/>
      <c r="G18" s="222"/>
      <c r="H18" s="222"/>
      <c r="I18" s="222"/>
      <c r="J18" s="222"/>
      <c r="K18" s="222"/>
      <c r="L18" s="222"/>
      <c r="M18" s="222"/>
    </row>
    <row r="19" spans="1:13" ht="15">
      <c r="A19" s="215"/>
      <c r="B19" s="220">
        <v>3.3</v>
      </c>
      <c r="C19" s="230" t="s">
        <v>74</v>
      </c>
      <c r="D19" s="223"/>
      <c r="E19" s="223"/>
      <c r="F19" s="223"/>
      <c r="G19" s="223"/>
      <c r="H19" s="223"/>
      <c r="I19" s="223"/>
      <c r="J19" s="223"/>
      <c r="K19" s="223"/>
      <c r="L19" s="223"/>
      <c r="M19" s="223"/>
    </row>
    <row r="20" spans="1:13" ht="15">
      <c r="A20" s="215"/>
      <c r="B20" s="220">
        <v>3.3</v>
      </c>
      <c r="C20" s="228" t="s">
        <v>97</v>
      </c>
      <c r="D20" s="222"/>
      <c r="E20" s="222"/>
      <c r="F20" s="222"/>
      <c r="G20" s="222"/>
      <c r="H20" s="222"/>
      <c r="I20" s="222"/>
      <c r="J20" s="222"/>
      <c r="K20" s="222"/>
      <c r="L20" s="222"/>
      <c r="M20" s="222"/>
    </row>
    <row r="21" spans="1:13" ht="15">
      <c r="A21" s="215"/>
      <c r="B21" s="220">
        <v>5.5</v>
      </c>
      <c r="C21" s="226" t="s">
        <v>76</v>
      </c>
      <c r="D21" s="223"/>
      <c r="E21" s="223"/>
      <c r="F21" s="223"/>
      <c r="G21" s="223"/>
      <c r="H21" s="223"/>
      <c r="I21" s="223"/>
      <c r="J21" s="223"/>
      <c r="K21" s="223"/>
      <c r="L21" s="223"/>
      <c r="M21" s="223"/>
    </row>
    <row r="22" spans="1:13" ht="15">
      <c r="A22" s="215"/>
      <c r="B22" s="220">
        <v>3.3</v>
      </c>
      <c r="C22" s="229" t="s">
        <v>98</v>
      </c>
      <c r="D22" s="222"/>
      <c r="E22" s="222"/>
      <c r="F22" s="222"/>
      <c r="G22" s="222"/>
      <c r="H22" s="222"/>
      <c r="I22" s="222"/>
      <c r="J22" s="222"/>
      <c r="K22" s="222"/>
      <c r="L22" s="222"/>
      <c r="M22" s="222"/>
    </row>
    <row r="23" spans="1:13" ht="15">
      <c r="A23" s="215"/>
      <c r="B23" s="220">
        <v>7.5</v>
      </c>
      <c r="C23" s="227" t="s">
        <v>83</v>
      </c>
      <c r="D23" s="223"/>
      <c r="E23" s="223"/>
      <c r="F23" s="223"/>
      <c r="G23" s="223"/>
      <c r="H23" s="223"/>
      <c r="I23" s="223"/>
      <c r="J23" s="223"/>
      <c r="K23" s="223"/>
      <c r="L23" s="223"/>
      <c r="M23" s="223"/>
    </row>
    <row r="24" spans="1:13" s="219" customFormat="1" ht="15.75">
      <c r="A24" s="216"/>
      <c r="B24" s="216"/>
      <c r="C24" s="232" t="s">
        <v>99</v>
      </c>
      <c r="D24" s="233"/>
      <c r="E24" s="233"/>
      <c r="F24" s="233"/>
      <c r="G24" s="233"/>
      <c r="H24" s="233"/>
      <c r="I24" s="233"/>
      <c r="J24" s="233"/>
      <c r="K24" s="233"/>
      <c r="L24" s="233"/>
      <c r="M24" s="233"/>
    </row>
    <row r="25" spans="1:13" ht="15">
      <c r="A25" s="215"/>
      <c r="B25" s="215"/>
      <c r="C25" s="215"/>
      <c r="D25" s="215"/>
      <c r="E25" s="215"/>
      <c r="F25" s="215"/>
      <c r="G25" s="215"/>
      <c r="H25" s="215"/>
      <c r="I25" s="215"/>
      <c r="J25" s="215"/>
      <c r="K25" s="215"/>
    </row>
    <row r="26" spans="1:13" ht="15">
      <c r="A26" s="215"/>
      <c r="B26" s="215"/>
      <c r="C26" s="215"/>
      <c r="D26" s="215"/>
      <c r="E26" s="215"/>
      <c r="F26" s="215"/>
      <c r="G26" s="215"/>
      <c r="H26" s="215"/>
      <c r="I26" s="215"/>
      <c r="J26" s="215"/>
      <c r="K26" s="215"/>
    </row>
    <row r="27" spans="1:13" ht="15.75">
      <c r="A27" s="215"/>
      <c r="B27" s="615" t="s">
        <v>101</v>
      </c>
      <c r="C27" s="615"/>
      <c r="D27" s="615"/>
      <c r="E27" s="215"/>
      <c r="F27" s="215"/>
      <c r="G27" s="215"/>
      <c r="H27" s="215"/>
      <c r="I27" s="215"/>
      <c r="J27" s="215"/>
      <c r="K27" s="215"/>
    </row>
    <row r="28" spans="1:13" ht="15.75">
      <c r="A28" s="215"/>
      <c r="B28" s="217" t="s">
        <v>84</v>
      </c>
      <c r="C28" s="235" t="s">
        <v>85</v>
      </c>
      <c r="D28" s="218" t="s">
        <v>86</v>
      </c>
      <c r="E28" s="218" t="s">
        <v>87</v>
      </c>
      <c r="F28" s="218" t="s">
        <v>88</v>
      </c>
      <c r="G28" s="218" t="s">
        <v>89</v>
      </c>
      <c r="H28" s="218" t="s">
        <v>90</v>
      </c>
      <c r="I28" s="218" t="s">
        <v>91</v>
      </c>
      <c r="J28" s="218" t="s">
        <v>92</v>
      </c>
      <c r="K28" s="218" t="s">
        <v>93</v>
      </c>
      <c r="L28" s="218" t="s">
        <v>94</v>
      </c>
      <c r="M28" s="218" t="s">
        <v>95</v>
      </c>
    </row>
    <row r="29" spans="1:13" ht="15">
      <c r="A29" s="215"/>
      <c r="B29" s="220">
        <v>4.5999999999999996</v>
      </c>
      <c r="C29" s="236" t="s">
        <v>64</v>
      </c>
      <c r="D29" s="222"/>
      <c r="E29" s="222"/>
      <c r="F29" s="222"/>
      <c r="G29" s="222"/>
      <c r="H29" s="222"/>
      <c r="I29" s="222"/>
      <c r="J29" s="237"/>
      <c r="K29" s="237"/>
      <c r="L29" s="237"/>
      <c r="M29" s="237"/>
    </row>
    <row r="30" spans="1:13" ht="15">
      <c r="A30" s="215"/>
      <c r="B30" s="220">
        <v>4.5999999999999996</v>
      </c>
      <c r="C30" s="238" t="s">
        <v>72</v>
      </c>
      <c r="D30" s="223"/>
      <c r="E30" s="223"/>
      <c r="F30" s="223"/>
      <c r="G30" s="223"/>
      <c r="H30" s="223"/>
      <c r="I30" s="223"/>
      <c r="J30" s="239"/>
      <c r="K30" s="239"/>
      <c r="L30" s="239"/>
      <c r="M30" s="239"/>
    </row>
    <row r="31" spans="1:13" ht="15">
      <c r="A31" s="215"/>
      <c r="B31" s="220">
        <v>5</v>
      </c>
      <c r="C31" s="240" t="s">
        <v>96</v>
      </c>
      <c r="D31" s="222"/>
      <c r="E31" s="222"/>
      <c r="F31" s="222"/>
      <c r="G31" s="222"/>
      <c r="H31" s="222"/>
      <c r="I31" s="222"/>
      <c r="J31" s="237"/>
      <c r="K31" s="237"/>
      <c r="L31" s="237"/>
      <c r="M31" s="237"/>
    </row>
    <row r="32" spans="1:13" ht="15">
      <c r="A32" s="215"/>
      <c r="B32" s="220">
        <v>5</v>
      </c>
      <c r="C32" s="241" t="s">
        <v>76</v>
      </c>
      <c r="D32" s="223"/>
      <c r="E32" s="223"/>
      <c r="F32" s="223"/>
      <c r="G32" s="223"/>
      <c r="H32" s="223"/>
      <c r="I32" s="223"/>
      <c r="J32" s="239"/>
      <c r="K32" s="239"/>
      <c r="L32" s="239"/>
      <c r="M32" s="239"/>
    </row>
    <row r="33" spans="1:13" ht="15">
      <c r="A33" s="215"/>
      <c r="B33" s="220">
        <v>7.5</v>
      </c>
      <c r="C33" s="242" t="s">
        <v>83</v>
      </c>
      <c r="D33" s="222"/>
      <c r="E33" s="222"/>
      <c r="F33" s="222"/>
      <c r="G33" s="222"/>
      <c r="H33" s="222"/>
      <c r="I33" s="222"/>
      <c r="J33" s="222"/>
      <c r="K33" s="222"/>
      <c r="L33" s="222"/>
      <c r="M33" s="243"/>
    </row>
    <row r="34" spans="1:13" ht="15">
      <c r="A34" s="215"/>
      <c r="B34" s="220">
        <v>3.3</v>
      </c>
      <c r="C34" s="244" t="s">
        <v>97</v>
      </c>
      <c r="D34" s="223"/>
      <c r="E34" s="223"/>
      <c r="F34" s="223"/>
      <c r="G34" s="223"/>
      <c r="H34" s="223"/>
      <c r="I34" s="223"/>
      <c r="J34" s="223"/>
      <c r="K34" s="223"/>
      <c r="L34" s="223"/>
      <c r="M34" s="245"/>
    </row>
    <row r="35" spans="1:13" ht="15">
      <c r="A35" s="215"/>
      <c r="B35" s="220">
        <v>3.3</v>
      </c>
      <c r="C35" s="246" t="s">
        <v>98</v>
      </c>
      <c r="D35" s="222"/>
      <c r="E35" s="222"/>
      <c r="F35" s="222"/>
      <c r="G35" s="222"/>
      <c r="H35" s="222"/>
      <c r="I35" s="222"/>
      <c r="J35" s="237"/>
      <c r="K35" s="237"/>
      <c r="L35" s="237"/>
      <c r="M35" s="237"/>
    </row>
    <row r="36" spans="1:13" ht="15">
      <c r="A36" s="215"/>
      <c r="B36" s="220">
        <v>3.3</v>
      </c>
      <c r="C36" s="247" t="s">
        <v>74</v>
      </c>
      <c r="D36" s="223"/>
      <c r="E36" s="223"/>
      <c r="F36" s="223"/>
      <c r="G36" s="223"/>
      <c r="H36" s="223"/>
      <c r="I36" s="223"/>
      <c r="J36" s="239"/>
      <c r="K36" s="239"/>
      <c r="L36" s="239"/>
      <c r="M36" s="239"/>
    </row>
    <row r="37" spans="1:13" ht="15.75">
      <c r="A37" s="215"/>
      <c r="B37" s="231">
        <v>4.5</v>
      </c>
      <c r="C37" s="248" t="s">
        <v>99</v>
      </c>
      <c r="D37" s="233"/>
      <c r="E37" s="233"/>
      <c r="F37" s="233"/>
      <c r="G37" s="233"/>
      <c r="H37" s="233"/>
      <c r="I37" s="233"/>
      <c r="J37" s="249"/>
      <c r="K37" s="249"/>
      <c r="L37" s="249"/>
      <c r="M37" s="249"/>
    </row>
    <row r="38" spans="1:13" ht="15">
      <c r="A38" s="215"/>
      <c r="B38" s="215"/>
      <c r="C38" s="215"/>
      <c r="D38" s="215"/>
      <c r="E38" s="215"/>
      <c r="F38" s="215"/>
      <c r="G38" s="215"/>
      <c r="H38" s="215"/>
      <c r="I38" s="215"/>
      <c r="J38" s="215"/>
      <c r="K38" s="215"/>
    </row>
  </sheetData>
  <mergeCells count="3">
    <mergeCell ref="B2:D2"/>
    <mergeCell ref="B14:D14"/>
    <mergeCell ref="B27:D27"/>
  </mergeCells>
  <pageMargins left="0.7" right="0.7" top="0.75" bottom="0.75" header="0.3" footer="0.3"/>
  <pageSetup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F381E-10D5-4CC1-8443-AB3C4DD2F491}">
  <sheetPr codeName="Sheet21">
    <tabColor rgb="FF92D050"/>
    <pageSetUpPr fitToPage="1"/>
  </sheetPr>
  <dimension ref="B2:W76"/>
  <sheetViews>
    <sheetView showGridLines="0" topLeftCell="A22" zoomScaleNormal="100" workbookViewId="0">
      <selection activeCell="M40" sqref="M40:M46"/>
    </sheetView>
  </sheetViews>
  <sheetFormatPr defaultRowHeight="12.75"/>
  <cols>
    <col min="1" max="1" width="2.42578125" customWidth="1"/>
    <col min="2" max="2" width="6.42578125" customWidth="1"/>
    <col min="3" max="3" width="25.42578125" customWidth="1"/>
    <col min="4" max="4" width="19.42578125" customWidth="1"/>
    <col min="5" max="5" width="15" customWidth="1"/>
    <col min="6" max="6" width="17.5703125" customWidth="1"/>
    <col min="7" max="7" width="13.42578125" customWidth="1"/>
    <col min="8" max="11" width="13.5703125" customWidth="1"/>
    <col min="12" max="12" width="17.42578125" bestFit="1" customWidth="1"/>
    <col min="13" max="15" width="17.42578125" customWidth="1"/>
    <col min="16" max="16" width="13.42578125" customWidth="1"/>
    <col min="17" max="17" width="8.5703125" customWidth="1"/>
    <col min="18" max="20" width="11.5703125" customWidth="1"/>
  </cols>
  <sheetData>
    <row r="2" spans="3:23" ht="15.75" thickBot="1"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</row>
    <row r="3" spans="3:23" ht="25.35" customHeight="1" thickTop="1" thickBot="1">
      <c r="C3" s="617" t="s">
        <v>102</v>
      </c>
      <c r="D3" s="618"/>
      <c r="E3" s="619">
        <f ca="1">TODAY()</f>
        <v>45933</v>
      </c>
      <c r="F3" s="619"/>
      <c r="G3" s="619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2"/>
    </row>
    <row r="4" spans="3:23" ht="20.100000000000001" customHeight="1" thickBot="1">
      <c r="C4" s="253" t="s">
        <v>103</v>
      </c>
      <c r="D4" s="254" t="s">
        <v>104</v>
      </c>
      <c r="E4" s="254" t="s">
        <v>37</v>
      </c>
      <c r="F4" s="255" t="s">
        <v>38</v>
      </c>
      <c r="G4" s="256" t="s">
        <v>84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2"/>
    </row>
    <row r="5" spans="3:23" ht="20.100000000000001" customHeight="1">
      <c r="C5" s="257" t="s">
        <v>105</v>
      </c>
      <c r="D5" s="258"/>
      <c r="E5" s="259">
        <f>VLOOKUP($C5,$C$40:$P$45,7,FALSE)</f>
        <v>98.214734207097663</v>
      </c>
      <c r="F5" s="260">
        <f>VLOOKUP($C5,$C$40:$P$45,14,FALSE)</f>
        <v>97.953297795741619</v>
      </c>
      <c r="G5" s="261">
        <v>98</v>
      </c>
      <c r="I5" s="251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51"/>
      <c r="V5" s="251"/>
      <c r="W5" s="252"/>
    </row>
    <row r="6" spans="3:23" ht="20.100000000000001" customHeight="1">
      <c r="C6" s="263" t="s">
        <v>106</v>
      </c>
      <c r="D6" s="258"/>
      <c r="E6" s="259">
        <f>VLOOKUP($C6,$C$40:$P$45,7,FALSE)</f>
        <v>97.831216272750581</v>
      </c>
      <c r="F6" s="260">
        <f>VLOOKUP($C6,$C$40:$P$45,14,FALSE)</f>
        <v>98.11994120800415</v>
      </c>
      <c r="G6" s="261">
        <v>98</v>
      </c>
      <c r="I6" s="251"/>
      <c r="J6" s="300"/>
      <c r="K6" s="299"/>
      <c r="L6" s="262"/>
      <c r="M6" s="262"/>
      <c r="N6" s="262"/>
      <c r="O6" s="262"/>
      <c r="P6" s="262"/>
      <c r="Q6" s="262"/>
      <c r="R6" s="262"/>
      <c r="S6" s="262"/>
      <c r="T6" s="262"/>
      <c r="U6" s="251"/>
      <c r="V6" s="251"/>
      <c r="W6" s="252"/>
    </row>
    <row r="7" spans="3:23" ht="20.100000000000001" customHeight="1">
      <c r="C7" s="263" t="s">
        <v>107</v>
      </c>
      <c r="D7" s="258"/>
      <c r="E7" s="259">
        <f>VLOOKUP($C7,$C$40:$P$45,7,FALSE)</f>
        <v>100.82497251003979</v>
      </c>
      <c r="F7" s="260">
        <f>VLOOKUP($C7,$C$40:$P$45,14,FALSE)</f>
        <v>99.564987122246436</v>
      </c>
      <c r="G7" s="261">
        <v>98</v>
      </c>
      <c r="I7" s="251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51"/>
      <c r="V7" s="251"/>
      <c r="W7" s="252"/>
    </row>
    <row r="8" spans="3:23" ht="20.100000000000001" customHeight="1">
      <c r="C8" s="263" t="s">
        <v>108</v>
      </c>
      <c r="D8" s="258"/>
      <c r="E8" s="259">
        <f>VLOOKUP($C8,$C$40:$P$45,7,FALSE)</f>
        <v>97.759800403711807</v>
      </c>
      <c r="F8" s="260">
        <f>VLOOKUP($C8,$C$40:$P$45,14,FALSE)</f>
        <v>98.122212110291372</v>
      </c>
      <c r="G8" s="261">
        <v>98</v>
      </c>
      <c r="I8" s="251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51"/>
      <c r="V8" s="251"/>
      <c r="W8" s="252"/>
    </row>
    <row r="9" spans="3:23" ht="20.100000000000001" customHeight="1">
      <c r="C9" s="263" t="s">
        <v>132</v>
      </c>
      <c r="D9" s="258"/>
      <c r="E9" s="259">
        <f>VLOOKUP($C9,$C$40:$P$45,7,FALSE)</f>
        <v>98.186950219332687</v>
      </c>
      <c r="F9" s="260">
        <f>VLOOKUP($C9,$C$40:$P$45,14,FALSE)</f>
        <v>98.089602299246422</v>
      </c>
      <c r="G9" s="261">
        <v>98</v>
      </c>
      <c r="I9" s="251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51"/>
      <c r="V9" s="251"/>
      <c r="W9" s="252"/>
    </row>
    <row r="10" spans="3:23" ht="19.5" thickBot="1">
      <c r="C10" s="264" t="s">
        <v>99</v>
      </c>
      <c r="D10" s="265"/>
      <c r="E10" s="265">
        <f>AVERAGE(E5:E9)</f>
        <v>98.56353472258651</v>
      </c>
      <c r="F10" s="298" t="e">
        <f>P47</f>
        <v>#DIV/0!</v>
      </c>
      <c r="G10" s="261">
        <v>98</v>
      </c>
      <c r="I10" s="251"/>
      <c r="J10" s="262"/>
      <c r="K10" s="262"/>
      <c r="L10" s="262"/>
      <c r="M10" s="262"/>
      <c r="N10" s="262"/>
      <c r="O10" s="262"/>
      <c r="P10" s="262"/>
      <c r="Q10" s="262"/>
      <c r="R10" s="262"/>
      <c r="S10" s="262"/>
      <c r="T10" s="262"/>
      <c r="U10" s="251"/>
      <c r="V10" s="251"/>
      <c r="W10" s="252"/>
    </row>
    <row r="14" spans="3:23" ht="20.25" customHeight="1">
      <c r="C14" s="620" t="s">
        <v>143</v>
      </c>
      <c r="D14" s="620"/>
      <c r="E14" s="620"/>
      <c r="F14" s="620"/>
      <c r="G14" s="620"/>
      <c r="H14" s="620"/>
    </row>
    <row r="15" spans="3:23" ht="15" customHeight="1">
      <c r="C15" s="620"/>
      <c r="D15" s="620"/>
      <c r="E15" s="620"/>
      <c r="F15" s="620"/>
      <c r="G15" s="620"/>
      <c r="H15" s="620"/>
    </row>
    <row r="16" spans="3:23" ht="15" customHeight="1">
      <c r="C16" s="620"/>
      <c r="D16" s="620"/>
      <c r="E16" s="620"/>
      <c r="F16" s="620"/>
      <c r="G16" s="620"/>
      <c r="H16" s="620"/>
    </row>
    <row r="17" spans="3:8" ht="15" customHeight="1">
      <c r="C17" s="620"/>
      <c r="D17" s="620"/>
      <c r="E17" s="620"/>
      <c r="F17" s="620"/>
      <c r="G17" s="620"/>
      <c r="H17" s="620"/>
    </row>
    <row r="18" spans="3:8" ht="15" customHeight="1">
      <c r="C18" s="620"/>
      <c r="D18" s="620"/>
      <c r="E18" s="620"/>
      <c r="F18" s="620"/>
      <c r="G18" s="620"/>
      <c r="H18" s="620"/>
    </row>
    <row r="19" spans="3:8" ht="15" customHeight="1">
      <c r="C19" s="620"/>
      <c r="D19" s="620"/>
      <c r="E19" s="620"/>
      <c r="F19" s="620"/>
      <c r="G19" s="620"/>
      <c r="H19" s="620"/>
    </row>
    <row r="20" spans="3:8" ht="15" customHeight="1">
      <c r="C20" s="620"/>
      <c r="D20" s="620"/>
      <c r="E20" s="620"/>
      <c r="F20" s="620"/>
      <c r="G20" s="620"/>
      <c r="H20" s="620"/>
    </row>
    <row r="21" spans="3:8" ht="15" customHeight="1">
      <c r="C21" s="620"/>
      <c r="D21" s="620"/>
      <c r="E21" s="620"/>
      <c r="F21" s="620"/>
      <c r="G21" s="620"/>
      <c r="H21" s="620"/>
    </row>
    <row r="22" spans="3:8" ht="15" customHeight="1">
      <c r="C22" s="620"/>
      <c r="D22" s="620"/>
      <c r="E22" s="620"/>
      <c r="F22" s="620"/>
      <c r="G22" s="620"/>
      <c r="H22" s="620"/>
    </row>
    <row r="23" spans="3:8" ht="15" customHeight="1">
      <c r="C23" s="620"/>
      <c r="D23" s="620"/>
      <c r="E23" s="620"/>
      <c r="F23" s="620"/>
      <c r="G23" s="620"/>
      <c r="H23" s="620"/>
    </row>
    <row r="24" spans="3:8" ht="15" customHeight="1">
      <c r="C24" s="620"/>
      <c r="D24" s="620"/>
      <c r="E24" s="620"/>
      <c r="F24" s="620"/>
      <c r="G24" s="620"/>
      <c r="H24" s="620"/>
    </row>
    <row r="25" spans="3:8" ht="15" customHeight="1">
      <c r="C25" s="620"/>
      <c r="D25" s="620"/>
      <c r="E25" s="620"/>
      <c r="F25" s="620"/>
      <c r="G25" s="620"/>
      <c r="H25" s="620"/>
    </row>
    <row r="26" spans="3:8" ht="15" customHeight="1">
      <c r="C26" s="620"/>
      <c r="D26" s="620"/>
      <c r="E26" s="620"/>
      <c r="F26" s="620"/>
      <c r="G26" s="620"/>
      <c r="H26" s="620"/>
    </row>
    <row r="27" spans="3:8" ht="15" customHeight="1">
      <c r="C27" s="620"/>
      <c r="D27" s="620"/>
      <c r="E27" s="620"/>
      <c r="F27" s="620"/>
      <c r="G27" s="620"/>
      <c r="H27" s="620"/>
    </row>
    <row r="28" spans="3:8" ht="15" customHeight="1">
      <c r="C28" s="620"/>
      <c r="D28" s="620"/>
      <c r="E28" s="620"/>
      <c r="F28" s="620"/>
      <c r="G28" s="620"/>
      <c r="H28" s="620"/>
    </row>
    <row r="29" spans="3:8" ht="15" customHeight="1">
      <c r="C29" s="620"/>
      <c r="D29" s="620"/>
      <c r="E29" s="620"/>
      <c r="F29" s="620"/>
      <c r="G29" s="620"/>
      <c r="H29" s="620"/>
    </row>
    <row r="30" spans="3:8" ht="15" customHeight="1">
      <c r="C30" s="620"/>
      <c r="D30" s="620"/>
      <c r="E30" s="620"/>
      <c r="F30" s="620"/>
      <c r="G30" s="620"/>
      <c r="H30" s="620"/>
    </row>
    <row r="31" spans="3:8" ht="15" customHeight="1">
      <c r="C31" s="620"/>
      <c r="D31" s="620"/>
      <c r="E31" s="620"/>
      <c r="F31" s="620"/>
      <c r="G31" s="620"/>
      <c r="H31" s="620"/>
    </row>
    <row r="36" spans="2:17" ht="15" customHeight="1"/>
    <row r="37" spans="2:17" ht="15" customHeight="1"/>
    <row r="38" spans="2:17" ht="30.75" customHeight="1" thickBot="1">
      <c r="C38" s="621" t="s">
        <v>109</v>
      </c>
      <c r="D38" s="621"/>
      <c r="E38" s="621"/>
      <c r="F38" s="622">
        <f ca="1">TODAY()</f>
        <v>45933</v>
      </c>
      <c r="G38" s="622"/>
      <c r="H38" s="622"/>
      <c r="I38" s="622"/>
      <c r="J38" s="623" t="s">
        <v>110</v>
      </c>
      <c r="K38" s="623"/>
      <c r="L38" s="623"/>
      <c r="M38" s="623"/>
      <c r="N38" s="623"/>
      <c r="O38" s="623"/>
      <c r="P38" s="623"/>
    </row>
    <row r="39" spans="2:17" ht="20.25" customHeight="1" thickBot="1">
      <c r="C39" s="253" t="s">
        <v>103</v>
      </c>
      <c r="D39" s="254" t="s">
        <v>111</v>
      </c>
      <c r="E39" s="254" t="s">
        <v>112</v>
      </c>
      <c r="F39" s="254" t="s">
        <v>113</v>
      </c>
      <c r="G39" s="254" t="s">
        <v>114</v>
      </c>
      <c r="H39" s="254" t="s">
        <v>115</v>
      </c>
      <c r="I39" s="254" t="s">
        <v>116</v>
      </c>
      <c r="J39" s="255" t="s">
        <v>117</v>
      </c>
      <c r="K39" s="255" t="s">
        <v>118</v>
      </c>
      <c r="L39" s="255" t="s">
        <v>119</v>
      </c>
      <c r="M39" s="255" t="s">
        <v>120</v>
      </c>
      <c r="N39" s="255" t="s">
        <v>121</v>
      </c>
      <c r="O39" s="255" t="s">
        <v>122</v>
      </c>
      <c r="P39" s="266" t="s">
        <v>38</v>
      </c>
    </row>
    <row r="40" spans="2:17" ht="17.25" customHeight="1">
      <c r="C40" s="257" t="s">
        <v>105</v>
      </c>
      <c r="D40" s="259">
        <f>'[46]Brewer Performance'!D40</f>
        <v>96.507822129582451</v>
      </c>
      <c r="E40" s="259">
        <f>AVERAGE('[47]Feb. 1'!I12:I13,'[47]Feb. 2'!I11:I14,[47]Feb.4!I13,[47]Feb.8!I14:I16,[47]Feb.9!I14,[47]Feb.9!I17:I18,[47]Feb10!I13:I16,[47]Feb14!I17,[47]Feb14!I15:I17,[47]Feb17!I10,[47]Feb17!I19:I21,'[47]Feb 21'!I10:I12,'[47]Feb 22'!I11:I13,'[47]Feb 23'!I14:I16,'[47]Feb 24'!I10:I12,'[47]Feb 25'!I13:I15,'[47]Feb 28'!I15:I18)</f>
        <v>98.284801217583563</v>
      </c>
      <c r="F40" s="259">
        <v>98.226686244092193</v>
      </c>
      <c r="G40" s="259">
        <v>98.210530202427222</v>
      </c>
      <c r="H40" s="259">
        <f>'[48]Brewer Performance'!H40</f>
        <v>98.517352497406634</v>
      </c>
      <c r="I40" s="259">
        <v>98.214734207097663</v>
      </c>
      <c r="J40" s="258">
        <v>98.198803831827249</v>
      </c>
      <c r="K40" s="267">
        <v>97.486490472733735</v>
      </c>
      <c r="L40" s="258">
        <v>97.932459358923822</v>
      </c>
      <c r="M40" s="331"/>
      <c r="N40" s="331"/>
      <c r="O40" s="258"/>
      <c r="P40" s="268">
        <f t="shared" ref="P40:P45" si="0">AVERAGE(D40:O40)</f>
        <v>97.953297795741619</v>
      </c>
    </row>
    <row r="41" spans="2:17" ht="17.25" customHeight="1">
      <c r="C41" s="263" t="s">
        <v>106</v>
      </c>
      <c r="D41" s="259">
        <f>'[46]Brewer Performance'!D41</f>
        <v>97.99738587335284</v>
      </c>
      <c r="E41" s="259">
        <f>AVERAGE('[47]Feb. 1'!I10:I11,'[47]Feb. 2'!I10,[47]Feb.3!I11:I13,[47]Feb.4!I10:I12,[47]Feb.8!I10,[47]Feb.8!I13,[47]Feb.9!I10:I13,[47]Feb10!I10:I12,[47]Feb11!I11:I13,[47]Feb14!I13:I14,[47]Feb17!I16:I18,[47]Feb18!I13:I15,'[47]Feb 21'!I17:I19,'[47]Feb 22'!I10,'[47]Feb 22'!I20:I22,'[47]Feb 23'!I10:I11,'[47]Feb 23'!I21,'[47]Feb 25'!I10:I12,'[47]Feb 28'!I11:I14)</f>
        <v>97.918121549662388</v>
      </c>
      <c r="F41" s="259">
        <v>98.070081368185257</v>
      </c>
      <c r="G41" s="259">
        <v>97.79453968977019</v>
      </c>
      <c r="H41" s="259">
        <f>'[48]Brewer Performance'!H41</f>
        <v>98.442574874312371</v>
      </c>
      <c r="I41" s="259">
        <v>97.831216272750581</v>
      </c>
      <c r="J41" s="258">
        <v>98.459260197488078</v>
      </c>
      <c r="K41" s="267">
        <v>98.711428992063503</v>
      </c>
      <c r="L41" s="258">
        <v>97.854862054451985</v>
      </c>
      <c r="M41" s="332"/>
      <c r="N41" s="331"/>
      <c r="O41" s="258"/>
      <c r="P41" s="268">
        <f t="shared" si="0"/>
        <v>98.11994120800415</v>
      </c>
    </row>
    <row r="42" spans="2:17" ht="17.25" customHeight="1">
      <c r="C42" s="263" t="s">
        <v>107</v>
      </c>
      <c r="D42" s="259"/>
      <c r="E42" s="259"/>
      <c r="F42" s="259"/>
      <c r="G42" s="259">
        <v>98.305001734453086</v>
      </c>
      <c r="H42" s="259"/>
      <c r="I42" s="259">
        <v>100.82497251003979</v>
      </c>
      <c r="J42" s="258"/>
      <c r="K42" s="267"/>
      <c r="L42" s="258"/>
      <c r="M42" s="331"/>
      <c r="N42" s="331"/>
      <c r="O42" s="258"/>
      <c r="P42" s="268">
        <f t="shared" si="0"/>
        <v>99.564987122246436</v>
      </c>
    </row>
    <row r="43" spans="2:17" ht="17.25" customHeight="1">
      <c r="C43" s="263" t="s">
        <v>141</v>
      </c>
      <c r="D43" s="259"/>
      <c r="E43" s="259"/>
      <c r="F43" s="259"/>
      <c r="G43" s="259"/>
      <c r="H43" s="259"/>
      <c r="I43" s="259"/>
      <c r="J43" s="258"/>
      <c r="K43" s="267">
        <v>100.09286182555712</v>
      </c>
      <c r="L43" s="258"/>
      <c r="M43" s="331"/>
      <c r="N43" s="331"/>
      <c r="O43" s="258"/>
      <c r="P43" s="268"/>
    </row>
    <row r="44" spans="2:17" ht="17.25" customHeight="1">
      <c r="C44" s="263" t="s">
        <v>108</v>
      </c>
      <c r="D44" s="259">
        <f>'[46]Brewer Performance'!D43</f>
        <v>98.304611060419475</v>
      </c>
      <c r="E44" s="259">
        <f>AVERAGE('[47]Feb. 2'!I15,[47]Feb.3!I10,[47]Feb.4!I16:I17,[47]Feb.8!I19:I21,[47]Feb.9!I19:I20,[47]Feb10!I17:I18,[47]Feb11!I10,[47]Feb14!I10:I12,[47]Feb17!I11:I13,[47]Feb18!I10:I12,'[47]Feb 21'!I13,'[47]Feb 21'!I16,'[47]Feb 22'!I16:I19,'[47]Feb 23'!I17:I20,'[47]Feb 24'!I15:I18,'[47]Feb 25'!I16:I17,'[47]Feb 28'!I10,'[47]Feb 28'!I19:I20)</f>
        <v>97.289162940824014</v>
      </c>
      <c r="F44" s="259">
        <v>98.163642226187022</v>
      </c>
      <c r="G44" s="259">
        <v>97.964054285784258</v>
      </c>
      <c r="H44" s="259">
        <f>'[48]Brewer Performance'!H43</f>
        <v>98.685415156420575</v>
      </c>
      <c r="I44" s="259">
        <v>97.759800403711807</v>
      </c>
      <c r="J44" s="258">
        <v>98.532266745142223</v>
      </c>
      <c r="K44" s="258">
        <v>98.484140672420295</v>
      </c>
      <c r="L44" s="258">
        <v>97.916815501712691</v>
      </c>
      <c r="M44" s="331"/>
      <c r="N44" s="331"/>
      <c r="O44" s="258"/>
      <c r="P44" s="268">
        <f t="shared" si="0"/>
        <v>98.122212110291372</v>
      </c>
    </row>
    <row r="45" spans="2:17" ht="17.25" customHeight="1">
      <c r="C45" s="263" t="s">
        <v>132</v>
      </c>
      <c r="D45" s="259">
        <f>'[46]Brewer Performance'!D44</f>
        <v>98.673584433402866</v>
      </c>
      <c r="E45" s="259"/>
      <c r="F45" s="259"/>
      <c r="G45" s="259"/>
      <c r="H45" s="259"/>
      <c r="I45" s="259">
        <v>98.186950219332687</v>
      </c>
      <c r="J45" s="258">
        <v>97.888270164748889</v>
      </c>
      <c r="K45" s="258">
        <v>97.609604379501235</v>
      </c>
      <c r="L45" s="258"/>
      <c r="M45" s="331"/>
      <c r="N45" s="331"/>
      <c r="O45" s="258"/>
      <c r="P45" s="268">
        <f t="shared" si="0"/>
        <v>98.089602299246422</v>
      </c>
    </row>
    <row r="46" spans="2:17" ht="17.25" customHeight="1">
      <c r="C46" s="316" t="s">
        <v>140</v>
      </c>
      <c r="D46" s="317"/>
      <c r="E46" s="317"/>
      <c r="F46" s="317"/>
      <c r="G46" s="317"/>
      <c r="H46" s="317"/>
      <c r="I46" s="317"/>
      <c r="J46" s="318"/>
      <c r="K46" s="318"/>
      <c r="L46" s="318">
        <v>97.511448216434601</v>
      </c>
      <c r="M46" s="333"/>
      <c r="N46" s="333"/>
      <c r="O46" s="318"/>
      <c r="P46" s="319"/>
    </row>
    <row r="47" spans="2:17" ht="14.25" customHeight="1" thickBot="1">
      <c r="C47" s="269" t="s">
        <v>99</v>
      </c>
      <c r="D47" s="270">
        <f>'[46]Brewer Performance'!D45</f>
        <v>97.870850874189415</v>
      </c>
      <c r="E47" s="270">
        <f>AVERAGE(E40:E45)</f>
        <v>97.830695236023317</v>
      </c>
      <c r="F47" s="270">
        <f>AVERAGE(F40:F45)</f>
        <v>98.153469946154814</v>
      </c>
      <c r="G47" s="270">
        <f>AVERAGE(G40:G45)</f>
        <v>98.068531478108682</v>
      </c>
      <c r="H47" s="270">
        <f>AVERAGE(H40:H45)</f>
        <v>98.548447509379855</v>
      </c>
      <c r="I47" s="270">
        <f>AVERAGE(I40:I45)</f>
        <v>98.56353472258651</v>
      </c>
      <c r="J47" s="270">
        <f t="shared" ref="J47:O47" si="1">AVERAGE(J40:J45)</f>
        <v>98.269650234801617</v>
      </c>
      <c r="K47" s="270">
        <f t="shared" si="1"/>
        <v>98.47690526845517</v>
      </c>
      <c r="L47" s="270">
        <f t="shared" si="1"/>
        <v>97.901378971696161</v>
      </c>
      <c r="M47" s="270" t="e">
        <f t="shared" si="1"/>
        <v>#DIV/0!</v>
      </c>
      <c r="N47" s="270" t="e">
        <f t="shared" si="1"/>
        <v>#DIV/0!</v>
      </c>
      <c r="O47" s="270" t="e">
        <f t="shared" si="1"/>
        <v>#DIV/0!</v>
      </c>
      <c r="P47" s="271" t="e">
        <f>AVERAGE(D47:N47)</f>
        <v>#DIV/0!</v>
      </c>
    </row>
    <row r="48" spans="2:17" ht="15" customHeight="1">
      <c r="B48" s="616" t="s">
        <v>123</v>
      </c>
      <c r="C48" s="616"/>
      <c r="D48" s="616"/>
      <c r="E48" s="616"/>
      <c r="F48" s="616"/>
      <c r="G48" s="616"/>
      <c r="H48" s="616"/>
      <c r="I48" s="616"/>
      <c r="J48" s="616"/>
      <c r="K48" s="616"/>
      <c r="L48" s="616"/>
      <c r="M48" s="616"/>
      <c r="N48" s="616"/>
      <c r="O48" s="616"/>
      <c r="P48" s="616"/>
      <c r="Q48" s="616"/>
    </row>
    <row r="49" spans="2:17" ht="15" customHeight="1">
      <c r="B49" s="616"/>
      <c r="C49" s="616"/>
      <c r="D49" s="616"/>
      <c r="E49" s="616"/>
      <c r="F49" s="616"/>
      <c r="G49" s="616"/>
      <c r="H49" s="616"/>
      <c r="I49" s="616"/>
      <c r="J49" s="616"/>
      <c r="K49" s="616"/>
      <c r="L49" s="616"/>
      <c r="M49" s="616"/>
      <c r="N49" s="616"/>
      <c r="O49" s="616"/>
      <c r="P49" s="616"/>
      <c r="Q49" s="616"/>
    </row>
    <row r="50" spans="2:17" ht="15" customHeight="1">
      <c r="B50" s="616"/>
      <c r="C50" s="616"/>
      <c r="D50" s="616"/>
      <c r="E50" s="616"/>
      <c r="F50" s="616"/>
      <c r="G50" s="616"/>
      <c r="H50" s="616"/>
      <c r="I50" s="616"/>
      <c r="J50" s="616"/>
      <c r="K50" s="616"/>
      <c r="L50" s="616"/>
      <c r="M50" s="616"/>
      <c r="N50" s="616"/>
      <c r="O50" s="616"/>
      <c r="P50" s="616"/>
      <c r="Q50" s="616"/>
    </row>
    <row r="51" spans="2:17" ht="15" customHeight="1">
      <c r="B51" s="616"/>
      <c r="C51" s="616"/>
      <c r="D51" s="616"/>
      <c r="E51" s="616"/>
      <c r="F51" s="616"/>
      <c r="G51" s="616"/>
      <c r="H51" s="616"/>
      <c r="I51" s="616"/>
      <c r="J51" s="616"/>
      <c r="K51" s="616"/>
      <c r="L51" s="616"/>
      <c r="M51" s="616"/>
      <c r="N51" s="616"/>
      <c r="O51" s="616"/>
      <c r="P51" s="616"/>
      <c r="Q51" s="616"/>
    </row>
    <row r="52" spans="2:17" ht="15" customHeight="1">
      <c r="B52" s="616"/>
      <c r="C52" s="616"/>
      <c r="D52" s="616"/>
      <c r="E52" s="616"/>
      <c r="F52" s="616"/>
      <c r="G52" s="616"/>
      <c r="H52" s="616"/>
      <c r="I52" s="616"/>
      <c r="J52" s="616"/>
      <c r="K52" s="616"/>
      <c r="L52" s="616"/>
      <c r="M52" s="616"/>
      <c r="N52" s="616"/>
      <c r="O52" s="616"/>
      <c r="P52" s="616"/>
      <c r="Q52" s="616"/>
    </row>
    <row r="53" spans="2:17" ht="15" customHeight="1">
      <c r="B53" s="616"/>
      <c r="C53" s="616"/>
      <c r="D53" s="616"/>
      <c r="E53" s="616"/>
      <c r="F53" s="616"/>
      <c r="G53" s="616"/>
      <c r="H53" s="616"/>
      <c r="I53" s="616"/>
      <c r="J53" s="616"/>
      <c r="K53" s="616"/>
      <c r="L53" s="616"/>
      <c r="M53" s="616"/>
      <c r="N53" s="616"/>
      <c r="O53" s="616"/>
      <c r="P53" s="616"/>
      <c r="Q53" s="616"/>
    </row>
    <row r="54" spans="2:17" ht="15" customHeight="1">
      <c r="B54" s="616"/>
      <c r="C54" s="616"/>
      <c r="D54" s="616"/>
      <c r="E54" s="616"/>
      <c r="F54" s="616"/>
      <c r="G54" s="616"/>
      <c r="H54" s="616"/>
      <c r="I54" s="616"/>
      <c r="J54" s="616"/>
      <c r="K54" s="616"/>
      <c r="L54" s="616"/>
      <c r="M54" s="616"/>
      <c r="N54" s="616"/>
      <c r="O54" s="616"/>
      <c r="P54" s="616"/>
      <c r="Q54" s="616"/>
    </row>
    <row r="55" spans="2:17" ht="15" customHeight="1">
      <c r="B55" s="616"/>
      <c r="C55" s="616"/>
      <c r="D55" s="616"/>
      <c r="E55" s="616"/>
      <c r="F55" s="616"/>
      <c r="G55" s="616"/>
      <c r="H55" s="616"/>
      <c r="I55" s="616"/>
      <c r="J55" s="616"/>
      <c r="K55" s="616"/>
      <c r="L55" s="616"/>
      <c r="M55" s="616"/>
      <c r="N55" s="616"/>
      <c r="O55" s="616"/>
      <c r="P55" s="616"/>
      <c r="Q55" s="616"/>
    </row>
    <row r="56" spans="2:17" ht="15" customHeight="1">
      <c r="B56" s="616"/>
      <c r="C56" s="616"/>
      <c r="D56" s="616"/>
      <c r="E56" s="616"/>
      <c r="F56" s="616"/>
      <c r="G56" s="616"/>
      <c r="H56" s="616"/>
      <c r="I56" s="616"/>
      <c r="J56" s="616"/>
      <c r="K56" s="616"/>
      <c r="L56" s="616"/>
      <c r="M56" s="616"/>
      <c r="N56" s="616"/>
      <c r="O56" s="616"/>
      <c r="P56" s="616"/>
      <c r="Q56" s="616"/>
    </row>
    <row r="57" spans="2:17" ht="15" customHeight="1">
      <c r="B57" s="616"/>
      <c r="C57" s="616"/>
      <c r="D57" s="616"/>
      <c r="E57" s="616"/>
      <c r="F57" s="616"/>
      <c r="G57" s="616"/>
      <c r="H57" s="616"/>
      <c r="I57" s="616"/>
      <c r="J57" s="616"/>
      <c r="K57" s="616"/>
      <c r="L57" s="616"/>
      <c r="M57" s="616"/>
      <c r="N57" s="616"/>
      <c r="O57" s="616"/>
      <c r="P57" s="616"/>
      <c r="Q57" s="616"/>
    </row>
    <row r="58" spans="2:17" ht="15" customHeight="1">
      <c r="B58" s="616"/>
      <c r="C58" s="616"/>
      <c r="D58" s="616"/>
      <c r="E58" s="616"/>
      <c r="F58" s="616"/>
      <c r="G58" s="616"/>
      <c r="H58" s="616"/>
      <c r="I58" s="616"/>
      <c r="J58" s="616"/>
      <c r="K58" s="616"/>
      <c r="L58" s="616"/>
      <c r="M58" s="616"/>
      <c r="N58" s="616"/>
      <c r="O58" s="616"/>
      <c r="P58" s="616"/>
      <c r="Q58" s="616"/>
    </row>
    <row r="59" spans="2:17" ht="15" customHeight="1">
      <c r="B59" s="616"/>
      <c r="C59" s="616"/>
      <c r="D59" s="616"/>
      <c r="E59" s="616"/>
      <c r="F59" s="616"/>
      <c r="G59" s="616"/>
      <c r="H59" s="616"/>
      <c r="I59" s="616"/>
      <c r="J59" s="616"/>
      <c r="K59" s="616"/>
      <c r="L59" s="616"/>
      <c r="M59" s="616"/>
      <c r="N59" s="616"/>
      <c r="O59" s="616"/>
      <c r="P59" s="616"/>
      <c r="Q59" s="616"/>
    </row>
    <row r="60" spans="2:17" ht="15" customHeight="1">
      <c r="B60" s="616"/>
      <c r="C60" s="616"/>
      <c r="D60" s="616"/>
      <c r="E60" s="616"/>
      <c r="F60" s="616"/>
      <c r="G60" s="616"/>
      <c r="H60" s="616"/>
      <c r="I60" s="616"/>
      <c r="J60" s="616"/>
      <c r="K60" s="616"/>
      <c r="L60" s="616"/>
      <c r="M60" s="616"/>
      <c r="N60" s="616"/>
      <c r="O60" s="616"/>
      <c r="P60" s="616"/>
      <c r="Q60" s="616"/>
    </row>
    <row r="61" spans="2:17" ht="15" customHeight="1">
      <c r="B61" s="616"/>
      <c r="C61" s="616"/>
      <c r="D61" s="616"/>
      <c r="E61" s="616"/>
      <c r="F61" s="616"/>
      <c r="G61" s="616"/>
      <c r="H61" s="616"/>
      <c r="I61" s="616"/>
      <c r="J61" s="616"/>
      <c r="K61" s="616"/>
      <c r="L61" s="616"/>
      <c r="M61" s="616"/>
      <c r="N61" s="616"/>
      <c r="O61" s="616"/>
      <c r="P61" s="616"/>
      <c r="Q61" s="616"/>
    </row>
    <row r="62" spans="2:17" ht="15" customHeight="1">
      <c r="B62" s="616"/>
      <c r="C62" s="616"/>
      <c r="D62" s="616"/>
      <c r="E62" s="616"/>
      <c r="F62" s="616"/>
      <c r="G62" s="616"/>
      <c r="H62" s="616"/>
      <c r="I62" s="616"/>
      <c r="J62" s="616"/>
      <c r="K62" s="616"/>
      <c r="L62" s="616"/>
      <c r="M62" s="616"/>
      <c r="N62" s="616"/>
      <c r="O62" s="616"/>
      <c r="P62" s="616"/>
      <c r="Q62" s="616"/>
    </row>
    <row r="63" spans="2:17" ht="15" customHeight="1">
      <c r="B63" s="616"/>
      <c r="C63" s="616"/>
      <c r="D63" s="616"/>
      <c r="E63" s="616"/>
      <c r="F63" s="616"/>
      <c r="G63" s="616"/>
      <c r="H63" s="616"/>
      <c r="I63" s="616"/>
      <c r="J63" s="616"/>
      <c r="K63" s="616"/>
      <c r="L63" s="616"/>
      <c r="M63" s="616"/>
      <c r="N63" s="616"/>
      <c r="O63" s="616"/>
      <c r="P63" s="616"/>
      <c r="Q63" s="616"/>
    </row>
    <row r="64" spans="2:17" ht="15" customHeight="1">
      <c r="B64" s="616"/>
      <c r="C64" s="616"/>
      <c r="D64" s="616"/>
      <c r="E64" s="616"/>
      <c r="F64" s="616"/>
      <c r="G64" s="616"/>
      <c r="H64" s="616"/>
      <c r="I64" s="616"/>
      <c r="J64" s="616"/>
      <c r="K64" s="616"/>
      <c r="L64" s="616"/>
      <c r="M64" s="616"/>
      <c r="N64" s="616"/>
      <c r="O64" s="616"/>
      <c r="P64" s="616"/>
      <c r="Q64" s="616"/>
    </row>
    <row r="65" spans="2:17" ht="15" customHeight="1">
      <c r="B65" s="616"/>
      <c r="C65" s="616"/>
      <c r="D65" s="616"/>
      <c r="E65" s="616"/>
      <c r="F65" s="616"/>
      <c r="G65" s="616"/>
      <c r="H65" s="616"/>
      <c r="I65" s="616"/>
      <c r="J65" s="616"/>
      <c r="K65" s="616"/>
      <c r="L65" s="616"/>
      <c r="M65" s="616"/>
      <c r="N65" s="616"/>
      <c r="O65" s="616"/>
      <c r="P65" s="616"/>
      <c r="Q65" s="616"/>
    </row>
    <row r="66" spans="2:17" ht="15" customHeight="1"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6"/>
      <c r="Q66" s="616"/>
    </row>
    <row r="67" spans="2:17" ht="15" customHeight="1">
      <c r="B67" s="616"/>
      <c r="C67" s="616"/>
      <c r="D67" s="616"/>
      <c r="E67" s="616"/>
      <c r="F67" s="616"/>
      <c r="G67" s="616"/>
      <c r="H67" s="616"/>
      <c r="I67" s="616"/>
      <c r="J67" s="616"/>
      <c r="K67" s="616"/>
      <c r="L67" s="616"/>
      <c r="M67" s="616"/>
      <c r="N67" s="616"/>
      <c r="O67" s="616"/>
      <c r="P67" s="616"/>
      <c r="Q67" s="616"/>
    </row>
    <row r="68" spans="2:17" ht="15" customHeight="1"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6"/>
      <c r="Q68" s="616"/>
    </row>
    <row r="69" spans="2:17" ht="15" customHeight="1">
      <c r="B69" s="616"/>
      <c r="C69" s="616"/>
      <c r="D69" s="616"/>
      <c r="E69" s="616"/>
      <c r="F69" s="616"/>
      <c r="G69" s="616"/>
      <c r="H69" s="616"/>
      <c r="I69" s="616"/>
      <c r="J69" s="616"/>
      <c r="K69" s="616"/>
      <c r="L69" s="616"/>
      <c r="M69" s="616"/>
      <c r="N69" s="616"/>
      <c r="O69" s="616"/>
      <c r="P69" s="616"/>
      <c r="Q69" s="616"/>
    </row>
    <row r="70" spans="2:17" ht="15" customHeight="1"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6"/>
      <c r="Q70" s="616"/>
    </row>
    <row r="71" spans="2:17" ht="15" customHeight="1">
      <c r="B71" s="616"/>
      <c r="C71" s="616"/>
      <c r="D71" s="616"/>
      <c r="E71" s="616"/>
      <c r="F71" s="616"/>
      <c r="G71" s="616"/>
      <c r="H71" s="616"/>
      <c r="I71" s="616"/>
      <c r="J71" s="616"/>
      <c r="K71" s="616"/>
      <c r="L71" s="616"/>
      <c r="M71" s="616"/>
      <c r="N71" s="616"/>
      <c r="O71" s="616"/>
      <c r="P71" s="616"/>
      <c r="Q71" s="616"/>
    </row>
    <row r="72" spans="2:17" ht="15" customHeight="1">
      <c r="B72" s="616"/>
      <c r="C72" s="616"/>
      <c r="D72" s="616"/>
      <c r="E72" s="616"/>
      <c r="F72" s="616"/>
      <c r="G72" s="616"/>
      <c r="H72" s="616"/>
      <c r="I72" s="616"/>
      <c r="J72" s="616"/>
      <c r="K72" s="616"/>
      <c r="L72" s="616"/>
      <c r="M72" s="616"/>
      <c r="N72" s="616"/>
      <c r="O72" s="616"/>
      <c r="P72" s="616"/>
      <c r="Q72" s="616"/>
    </row>
    <row r="73" spans="2:17" ht="15" customHeight="1">
      <c r="B73" s="616"/>
      <c r="C73" s="616"/>
      <c r="D73" s="616"/>
      <c r="E73" s="616"/>
      <c r="F73" s="616"/>
      <c r="G73" s="616"/>
      <c r="H73" s="616"/>
      <c r="I73" s="616"/>
      <c r="J73" s="616"/>
      <c r="K73" s="616"/>
      <c r="L73" s="616"/>
      <c r="M73" s="616"/>
      <c r="N73" s="616"/>
      <c r="O73" s="616"/>
      <c r="P73" s="616"/>
      <c r="Q73" s="616"/>
    </row>
    <row r="74" spans="2:17" ht="15" customHeight="1">
      <c r="B74" s="616"/>
      <c r="C74" s="616"/>
      <c r="D74" s="616"/>
      <c r="E74" s="616"/>
      <c r="F74" s="616"/>
      <c r="G74" s="616"/>
      <c r="H74" s="616"/>
      <c r="I74" s="616"/>
      <c r="J74" s="616"/>
      <c r="K74" s="616"/>
      <c r="L74" s="616"/>
      <c r="M74" s="616"/>
      <c r="N74" s="616"/>
      <c r="O74" s="616"/>
      <c r="P74" s="616"/>
      <c r="Q74" s="616"/>
    </row>
    <row r="75" spans="2:17" ht="15" customHeight="1">
      <c r="B75" s="616"/>
      <c r="C75" s="616"/>
      <c r="D75" s="616"/>
      <c r="E75" s="616"/>
      <c r="F75" s="616"/>
      <c r="G75" s="616"/>
      <c r="H75" s="616"/>
      <c r="I75" s="616"/>
      <c r="J75" s="616"/>
      <c r="K75" s="616"/>
      <c r="L75" s="616"/>
      <c r="M75" s="616"/>
      <c r="N75" s="616"/>
      <c r="O75" s="616"/>
      <c r="P75" s="616"/>
      <c r="Q75" s="616"/>
    </row>
    <row r="76" spans="2:17">
      <c r="B76" s="616"/>
      <c r="C76" s="616"/>
      <c r="D76" s="616"/>
      <c r="E76" s="616"/>
      <c r="F76" s="616"/>
      <c r="G76" s="616"/>
      <c r="H76" s="616"/>
      <c r="I76" s="616"/>
      <c r="J76" s="616"/>
      <c r="K76" s="616"/>
      <c r="L76" s="616"/>
      <c r="M76" s="616"/>
      <c r="N76" s="616"/>
      <c r="O76" s="616"/>
      <c r="P76" s="616"/>
      <c r="Q76" s="616"/>
    </row>
  </sheetData>
  <mergeCells count="7">
    <mergeCell ref="B48:Q76"/>
    <mergeCell ref="C3:D3"/>
    <mergeCell ref="E3:G3"/>
    <mergeCell ref="C14:H31"/>
    <mergeCell ref="C38:E38"/>
    <mergeCell ref="F38:I38"/>
    <mergeCell ref="J38:P38"/>
  </mergeCells>
  <pageMargins left="0.25" right="0.25" top="0.75" bottom="0.75" header="0.3" footer="0.3"/>
  <pageSetup scale="9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3</vt:i4>
      </vt:variant>
    </vt:vector>
  </HeadingPairs>
  <TitlesOfParts>
    <vt:vector size="30" baseType="lpstr">
      <vt:lpstr>Dec 18th</vt:lpstr>
      <vt:lpstr>Sept 1st</vt:lpstr>
      <vt:lpstr>Sept 2nd</vt:lpstr>
      <vt:lpstr>Sept 3rd</vt:lpstr>
      <vt:lpstr>Sept 4th</vt:lpstr>
      <vt:lpstr>Sept 5th </vt:lpstr>
      <vt:lpstr>Sept 8th</vt:lpstr>
      <vt:lpstr>Sept 9th</vt:lpstr>
      <vt:lpstr>Sept 10th</vt:lpstr>
      <vt:lpstr>Sept 11th</vt:lpstr>
      <vt:lpstr>Sept 12th </vt:lpstr>
      <vt:lpstr>Sept 15th </vt:lpstr>
      <vt:lpstr>Sept 16th</vt:lpstr>
      <vt:lpstr>Sept 17th</vt:lpstr>
      <vt:lpstr>Sept 18th </vt:lpstr>
      <vt:lpstr>Sept 19th</vt:lpstr>
      <vt:lpstr>Sept 22nd</vt:lpstr>
      <vt:lpstr>Sept 23rd</vt:lpstr>
      <vt:lpstr>Sept 24th</vt:lpstr>
      <vt:lpstr>Sept 25th</vt:lpstr>
      <vt:lpstr>Sept 26th</vt:lpstr>
      <vt:lpstr>Sept 29th </vt:lpstr>
      <vt:lpstr>Sept 30th</vt:lpstr>
      <vt:lpstr>MTD_Links</vt:lpstr>
      <vt:lpstr>YTD_Links</vt:lpstr>
      <vt:lpstr>KPIs</vt:lpstr>
      <vt:lpstr>Brewer Performance</vt:lpstr>
      <vt:lpstr>'Brewer Performance'!Print_Area</vt:lpstr>
      <vt:lpstr>MTD_Links!Print_Area</vt:lpstr>
      <vt:lpstr>YTD_Links!Print_Area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Reshelle Fleming</dc:creator>
  <cp:lastModifiedBy>Kaylil Baptiste</cp:lastModifiedBy>
  <cp:lastPrinted>2024-01-26T11:36:30Z</cp:lastPrinted>
  <dcterms:created xsi:type="dcterms:W3CDTF">2020-01-28T18:21:11Z</dcterms:created>
  <dcterms:modified xsi:type="dcterms:W3CDTF">2025-10-03T16:06:05Z</dcterms:modified>
</cp:coreProperties>
</file>