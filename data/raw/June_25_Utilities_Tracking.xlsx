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CDEBE783-D3D4-4F3C-9F5F-91ADD49CCB54}" xr6:coauthVersionLast="47" xr6:coauthVersionMax="47" xr10:uidLastSave="{00000000-0000-0000-0000-000000000000}"/>
  <bookViews>
    <workbookView xWindow="-120" yWindow="-120" windowWidth="29040" windowHeight="15840" tabRatio="592" firstSheet="3" activeTab="9" xr2:uid="{00000000-000D-0000-FFFF-FFFF00000000}"/>
  </bookViews>
  <sheets>
    <sheet name="Entries June'25" sheetId="27" r:id="rId1"/>
    <sheet name="Utility Analysis June 2025" sheetId="23" r:id="rId2"/>
    <sheet name="Steam Mass Flow " sheetId="113" r:id="rId3"/>
    <sheet name="Fuel " sheetId="29" r:id="rId4"/>
    <sheet name="Water " sheetId="31" r:id="rId5"/>
    <sheet name="Elec.June'25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5" sheetId="109" r:id="rId11"/>
    <sheet name="Sheet1" sheetId="112" state="hidden" r:id="rId12"/>
  </sheets>
  <definedNames>
    <definedName name="_1__123Graph_BCHART_8" localSheetId="5" hidden="1">'Elec.June''25'!$B$7:$B$37</definedName>
    <definedName name="_2__123Graph_CCHART_8" localSheetId="5" hidden="1">'Elec.June''25'!$C$7:$C$37</definedName>
    <definedName name="_xlnm.Print_Area" localSheetId="9">'Daily KPIs'!$A$1:$AI$121</definedName>
    <definedName name="_xlnm.Print_Area" localSheetId="8" xml:space="preserve">                                                              'Daily KPIs CO2'!$A$1:$AI$96</definedName>
    <definedName name="_xlnm.Print_Area" localSheetId="0">'Entries June''25'!$A$1:$AI$39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8" i="110" l="1"/>
  <c r="AB8" i="110"/>
  <c r="M8" i="110"/>
  <c r="AG74" i="110"/>
  <c r="AG8" i="110" l="1"/>
  <c r="AD9" i="110"/>
  <c r="AE9" i="110"/>
  <c r="C9" i="110" l="1"/>
  <c r="U9" i="110"/>
  <c r="G8" i="110" l="1"/>
  <c r="F8" i="110"/>
  <c r="E8" i="110"/>
  <c r="C8" i="110"/>
  <c r="S9" i="110" l="1"/>
  <c r="U8" i="110"/>
  <c r="AE8" i="110" l="1"/>
  <c r="E39" i="23"/>
  <c r="B39" i="23"/>
  <c r="C39" i="23"/>
  <c r="AC14" i="110"/>
  <c r="AB14" i="110"/>
  <c r="E36" i="23"/>
  <c r="E37" i="23"/>
  <c r="E38" i="23"/>
  <c r="B36" i="23"/>
  <c r="C36" i="23"/>
  <c r="B37" i="23"/>
  <c r="C37" i="23"/>
  <c r="B38" i="23"/>
  <c r="C38" i="23"/>
  <c r="Y74" i="110"/>
  <c r="AF9" i="110"/>
  <c r="AF58" i="110" s="1"/>
  <c r="AF15" i="110"/>
  <c r="AF29" i="110"/>
  <c r="AF47" i="110"/>
  <c r="AF57" i="110"/>
  <c r="AF62" i="110"/>
  <c r="AF63" i="110"/>
  <c r="AF78" i="110"/>
  <c r="AF83" i="110"/>
  <c r="AF92" i="110"/>
  <c r="AF94" i="110"/>
  <c r="AF98" i="110"/>
  <c r="AF101" i="110"/>
  <c r="AF103" i="110" s="1"/>
  <c r="AF104" i="110"/>
  <c r="AA8" i="110"/>
  <c r="AF61" i="110" l="1"/>
  <c r="AF54" i="110"/>
  <c r="AF90" i="110"/>
  <c r="AF60" i="110"/>
  <c r="AF69" i="110" s="1"/>
  <c r="AF59" i="110"/>
  <c r="AF56" i="110"/>
  <c r="AF91" i="110"/>
  <c r="AF88" i="110"/>
  <c r="AF65" i="110"/>
  <c r="AA14" i="110"/>
  <c r="AF68" i="110" l="1"/>
  <c r="E35" i="23"/>
  <c r="B35" i="23"/>
  <c r="C35" i="23"/>
  <c r="Z12" i="110"/>
  <c r="Z14" i="110"/>
  <c r="Z8" i="110"/>
  <c r="Z9" i="110" s="1"/>
  <c r="E34" i="23"/>
  <c r="B34" i="23"/>
  <c r="C34" i="23"/>
  <c r="E33" i="23"/>
  <c r="B33" i="23"/>
  <c r="C33" i="23"/>
  <c r="X12" i="110"/>
  <c r="X8" i="110"/>
  <c r="X9" i="110" s="1"/>
  <c r="E32" i="23"/>
  <c r="B32" i="23"/>
  <c r="C32" i="23"/>
  <c r="Y9" i="110"/>
  <c r="AA9" i="110"/>
  <c r="AB9" i="110"/>
  <c r="AC9" i="110"/>
  <c r="V9" i="110"/>
  <c r="W9" i="110"/>
  <c r="C39" i="110"/>
  <c r="E29" i="23"/>
  <c r="E30" i="23"/>
  <c r="E31" i="23"/>
  <c r="B29" i="23"/>
  <c r="C29" i="23"/>
  <c r="B30" i="23"/>
  <c r="C30" i="23"/>
  <c r="B31" i="23"/>
  <c r="C31" i="23"/>
  <c r="R14" i="110"/>
  <c r="T9" i="110" l="1"/>
  <c r="S8" i="110"/>
  <c r="E27" i="23"/>
  <c r="E28" i="23"/>
  <c r="B27" i="23"/>
  <c r="C27" i="23"/>
  <c r="B28" i="23"/>
  <c r="C28" i="23"/>
  <c r="E26" i="23"/>
  <c r="B26" i="23"/>
  <c r="C26" i="23"/>
  <c r="R9" i="110"/>
  <c r="Q14" i="110"/>
  <c r="O9" i="110"/>
  <c r="P9" i="110"/>
  <c r="Q9" i="110"/>
  <c r="Q8" i="110"/>
  <c r="E25" i="23"/>
  <c r="B25" i="23"/>
  <c r="C25" i="23"/>
  <c r="N8" i="110"/>
  <c r="N9" i="110" s="1"/>
  <c r="E22" i="23"/>
  <c r="E23" i="23"/>
  <c r="E24" i="23"/>
  <c r="B22" i="23"/>
  <c r="C22" i="23"/>
  <c r="B23" i="23"/>
  <c r="C23" i="23"/>
  <c r="B24" i="23"/>
  <c r="C24" i="23"/>
  <c r="M9" i="110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E21" i="23"/>
  <c r="B21" i="23"/>
  <c r="C21" i="23"/>
  <c r="L74" i="110"/>
  <c r="L8" i="110"/>
  <c r="L9" i="110" s="1"/>
  <c r="E20" i="23"/>
  <c r="B20" i="23"/>
  <c r="C20" i="23"/>
  <c r="H9" i="110"/>
  <c r="I9" i="110"/>
  <c r="J9" i="110"/>
  <c r="K9" i="110"/>
  <c r="E19" i="23"/>
  <c r="B19" i="23"/>
  <c r="C19" i="23"/>
  <c r="G12" i="110"/>
  <c r="G9" i="110"/>
  <c r="E15" i="23"/>
  <c r="E16" i="23"/>
  <c r="E17" i="23"/>
  <c r="E18" i="23"/>
  <c r="B15" i="23"/>
  <c r="C15" i="23"/>
  <c r="B16" i="23"/>
  <c r="C16" i="23"/>
  <c r="B17" i="23"/>
  <c r="C17" i="23"/>
  <c r="B18" i="23"/>
  <c r="C18" i="23"/>
  <c r="F74" i="110"/>
  <c r="E12" i="110"/>
  <c r="F14" i="110"/>
  <c r="E14" i="23" l="1"/>
  <c r="B14" i="23"/>
  <c r="C14" i="23"/>
  <c r="E9" i="110"/>
  <c r="Z7" i="31"/>
  <c r="C71" i="110"/>
  <c r="AH68" i="110"/>
  <c r="E13" i="23"/>
  <c r="B13" i="23"/>
  <c r="C13" i="23"/>
  <c r="D14" i="110"/>
  <c r="F9" i="110"/>
  <c r="D9" i="110"/>
  <c r="E12" i="23" l="1"/>
  <c r="B12" i="23"/>
  <c r="C12" i="23"/>
  <c r="E11" i="23" l="1"/>
  <c r="B11" i="23"/>
  <c r="C11" i="23"/>
  <c r="D40" i="23"/>
  <c r="F40" i="23" s="1"/>
  <c r="H40" i="23"/>
  <c r="B15" i="110" l="1"/>
  <c r="J15" i="110"/>
  <c r="H11" i="23" l="1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N10" i="23" a="1"/>
  <c r="O40" i="23" s="1"/>
  <c r="P40" i="23" s="1"/>
  <c r="Q40" i="23" s="1"/>
  <c r="R40" i="23" s="1"/>
  <c r="N10" i="23" l="1"/>
  <c r="O10" i="23" s="1"/>
  <c r="P10" i="23" s="1"/>
  <c r="Q10" i="23" s="1"/>
  <c r="R10" i="23" s="1"/>
  <c r="O13" i="23"/>
  <c r="P13" i="23" s="1"/>
  <c r="Q13" i="23" s="1"/>
  <c r="O12" i="23"/>
  <c r="P12" i="23" s="1"/>
  <c r="Q12" i="23" s="1"/>
  <c r="O39" i="23"/>
  <c r="P39" i="23" s="1"/>
  <c r="Q39" i="23" s="1"/>
  <c r="O26" i="23"/>
  <c r="P26" i="23" s="1"/>
  <c r="Q26" i="23" s="1"/>
  <c r="O37" i="23"/>
  <c r="P37" i="23" s="1"/>
  <c r="Q37" i="23" s="1"/>
  <c r="R37" i="23" s="1"/>
  <c r="D28" i="23"/>
  <c r="F28" i="23" s="1"/>
  <c r="O28" i="23" s="1"/>
  <c r="D26" i="23" l="1"/>
  <c r="F26" i="23" s="1"/>
  <c r="D27" i="23"/>
  <c r="F27" i="23" s="1"/>
  <c r="O27" i="23" s="1"/>
  <c r="D25" i="23" l="1"/>
  <c r="F25" i="23" s="1"/>
  <c r="O25" i="23" s="1"/>
  <c r="P25" i="23" s="1"/>
  <c r="Q25" i="23" s="1"/>
  <c r="D22" i="23" l="1"/>
  <c r="F22" i="23" s="1"/>
  <c r="AG9" i="110" l="1"/>
  <c r="B37" i="28"/>
  <c r="AG14" i="110"/>
  <c r="AG12" i="110"/>
  <c r="U37" i="31"/>
  <c r="V37" i="31"/>
  <c r="W37" i="31"/>
  <c r="X37" i="31"/>
  <c r="Y37" i="31"/>
  <c r="AF46" i="110" s="1"/>
  <c r="J37" i="31"/>
  <c r="AF36" i="110" s="1"/>
  <c r="AF30" i="110" s="1"/>
  <c r="K37" i="31"/>
  <c r="AF39" i="110" s="1"/>
  <c r="L37" i="31"/>
  <c r="AF40" i="110" s="1"/>
  <c r="M37" i="31"/>
  <c r="AF44" i="110" s="1"/>
  <c r="N37" i="31"/>
  <c r="AF41" i="110" s="1"/>
  <c r="O37" i="31"/>
  <c r="AF42" i="110" s="1"/>
  <c r="P37" i="31"/>
  <c r="Q37" i="31"/>
  <c r="AF45" i="110" s="1"/>
  <c r="AF31" i="110" s="1"/>
  <c r="R37" i="31"/>
  <c r="AF28" i="110" s="1"/>
  <c r="AF32" i="110" s="1"/>
  <c r="C37" i="31"/>
  <c r="AF19" i="110" s="1"/>
  <c r="D37" i="31"/>
  <c r="AF20" i="110" s="1"/>
  <c r="E37" i="31"/>
  <c r="F37" i="31"/>
  <c r="AF71" i="110" s="1"/>
  <c r="K37" i="29"/>
  <c r="AF82" i="110" s="1"/>
  <c r="C37" i="29"/>
  <c r="E37" i="29"/>
  <c r="I37" i="29" s="1"/>
  <c r="J37" i="29"/>
  <c r="B6" i="113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AG90" i="110" l="1"/>
  <c r="AG91" i="110"/>
  <c r="AF26" i="110"/>
  <c r="Z37" i="31"/>
  <c r="G40" i="23" s="1"/>
  <c r="AF21" i="110"/>
  <c r="AF22" i="110" s="1"/>
  <c r="G37" i="31"/>
  <c r="S37" i="31" s="1"/>
  <c r="H37" i="29"/>
  <c r="D35" i="23"/>
  <c r="F35" i="23" s="1"/>
  <c r="O35" i="23" s="1"/>
  <c r="D32" i="23"/>
  <c r="F32" i="23" s="1"/>
  <c r="O32" i="23" s="1"/>
  <c r="D34" i="23"/>
  <c r="D31" i="23"/>
  <c r="D39" i="23"/>
  <c r="D37" i="23"/>
  <c r="D33" i="23"/>
  <c r="D30" i="23"/>
  <c r="D38" i="23"/>
  <c r="D36" i="23"/>
  <c r="D29" i="23"/>
  <c r="B32" i="30" l="1"/>
  <c r="B29" i="30"/>
  <c r="F29" i="23"/>
  <c r="O29" i="23" s="1"/>
  <c r="B26" i="30"/>
  <c r="F36" i="23"/>
  <c r="O36" i="23" s="1"/>
  <c r="B33" i="30"/>
  <c r="F38" i="23"/>
  <c r="O38" i="23" s="1"/>
  <c r="B35" i="30"/>
  <c r="F30" i="23"/>
  <c r="O30" i="23" s="1"/>
  <c r="B27" i="30"/>
  <c r="F33" i="23"/>
  <c r="O33" i="23" s="1"/>
  <c r="B30" i="30"/>
  <c r="F37" i="23"/>
  <c r="B34" i="30"/>
  <c r="B37" i="30"/>
  <c r="F39" i="23"/>
  <c r="B36" i="30"/>
  <c r="F31" i="23"/>
  <c r="O31" i="23" s="1"/>
  <c r="B28" i="30"/>
  <c r="F34" i="23"/>
  <c r="O34" i="23" s="1"/>
  <c r="B31" i="30"/>
  <c r="C15" i="30" l="1"/>
  <c r="D16" i="23"/>
  <c r="F16" i="23" s="1"/>
  <c r="O16" i="23" s="1"/>
  <c r="P16" i="23" s="1"/>
  <c r="Q16" i="23" s="1"/>
  <c r="B8" i="28"/>
  <c r="B9" i="28"/>
  <c r="B10" i="28"/>
  <c r="B11" i="28"/>
  <c r="B12" i="28"/>
  <c r="B13" i="28"/>
  <c r="C8" i="30"/>
  <c r="C9" i="30"/>
  <c r="C10" i="30"/>
  <c r="C12" i="30"/>
  <c r="T7" i="28"/>
  <c r="D13" i="23"/>
  <c r="F13" i="23" s="1"/>
  <c r="C10" i="23"/>
  <c r="C11" i="30"/>
  <c r="C14" i="30"/>
  <c r="C17" i="30"/>
  <c r="B10" i="23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C36" i="30"/>
  <c r="E10" i="23"/>
  <c r="C7" i="30" s="1"/>
  <c r="D17" i="23"/>
  <c r="D18" i="23"/>
  <c r="D19" i="23"/>
  <c r="F19" i="23" s="1"/>
  <c r="O19" i="23" s="1"/>
  <c r="D20" i="23"/>
  <c r="F20" i="23" s="1"/>
  <c r="O20" i="23" s="1"/>
  <c r="D21" i="23"/>
  <c r="B19" i="30"/>
  <c r="D23" i="23"/>
  <c r="D24" i="23"/>
  <c r="B22" i="30"/>
  <c r="B24" i="30"/>
  <c r="B25" i="30"/>
  <c r="B15" i="30" l="1"/>
  <c r="F18" i="23"/>
  <c r="O18" i="23" s="1"/>
  <c r="P18" i="23" s="1"/>
  <c r="Q18" i="23" s="1"/>
  <c r="B21" i="30"/>
  <c r="F24" i="23"/>
  <c r="O24" i="23" s="1"/>
  <c r="P24" i="23" s="1"/>
  <c r="Q24" i="23" s="1"/>
  <c r="B18" i="30"/>
  <c r="F21" i="23"/>
  <c r="O21" i="23" s="1"/>
  <c r="B14" i="30"/>
  <c r="F17" i="23"/>
  <c r="O17" i="23" s="1"/>
  <c r="P17" i="23" s="1"/>
  <c r="Q17" i="23" s="1"/>
  <c r="B20" i="30"/>
  <c r="F23" i="23"/>
  <c r="B23" i="30"/>
  <c r="B16" i="30"/>
  <c r="B17" i="30"/>
  <c r="B13" i="30"/>
  <c r="B10" i="30"/>
  <c r="D11" i="23"/>
  <c r="D12" i="23"/>
  <c r="D15" i="23"/>
  <c r="C32" i="30"/>
  <c r="D10" i="23"/>
  <c r="F10" i="23" s="1"/>
  <c r="C30" i="30"/>
  <c r="O22" i="23"/>
  <c r="C13" i="30"/>
  <c r="C31" i="30"/>
  <c r="C29" i="30"/>
  <c r="C28" i="30"/>
  <c r="D14" i="23"/>
  <c r="AG25" i="110"/>
  <c r="B12" i="30" l="1"/>
  <c r="F15" i="23"/>
  <c r="O15" i="23" s="1"/>
  <c r="P15" i="23" s="1"/>
  <c r="Q15" i="23" s="1"/>
  <c r="B9" i="30"/>
  <c r="F12" i="23"/>
  <c r="O23" i="23"/>
  <c r="P23" i="23" s="1"/>
  <c r="Q23" i="23" s="1"/>
  <c r="B11" i="30"/>
  <c r="F14" i="23"/>
  <c r="O14" i="23" s="1"/>
  <c r="P14" i="23" s="1"/>
  <c r="Q14" i="23" s="1"/>
  <c r="B8" i="30"/>
  <c r="F11" i="23"/>
  <c r="O11" i="23" s="1"/>
  <c r="B7" i="30"/>
  <c r="D43" i="23"/>
  <c r="C38" i="30"/>
  <c r="E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H7" i="31"/>
  <c r="S47" i="111"/>
  <c r="T47" i="111"/>
  <c r="U47" i="111"/>
  <c r="D7" i="30" l="1"/>
  <c r="B38" i="30"/>
  <c r="F43" i="23"/>
  <c r="B5" i="113"/>
  <c r="N43" i="23"/>
  <c r="B14" i="28"/>
  <c r="B15" i="28"/>
  <c r="B16" i="28"/>
  <c r="B17" i="28"/>
  <c r="B18" i="28"/>
  <c r="B19" i="28"/>
  <c r="B20" i="28"/>
  <c r="B21" i="28"/>
  <c r="B22" i="28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O44" i="23" l="1"/>
  <c r="C7" i="28" l="1" a="1"/>
  <c r="I40" i="23" s="1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C7" i="28" l="1"/>
  <c r="I14" i="23"/>
  <c r="R14" i="23" s="1"/>
  <c r="I34" i="23"/>
  <c r="I29" i="23"/>
  <c r="I15" i="23"/>
  <c r="R15" i="23" s="1"/>
  <c r="I35" i="23"/>
  <c r="I25" i="23"/>
  <c r="R25" i="23" s="1"/>
  <c r="I12" i="23"/>
  <c r="R12" i="23" s="1"/>
  <c r="I16" i="23"/>
  <c r="R16" i="23" s="1"/>
  <c r="I36" i="23"/>
  <c r="I21" i="23"/>
  <c r="I30" i="23"/>
  <c r="I31" i="23"/>
  <c r="I33" i="23"/>
  <c r="I17" i="23"/>
  <c r="R17" i="23" s="1"/>
  <c r="I37" i="23"/>
  <c r="I24" i="23"/>
  <c r="R24" i="23" s="1"/>
  <c r="I26" i="23"/>
  <c r="R26" i="23" s="1"/>
  <c r="I11" i="23"/>
  <c r="I32" i="23"/>
  <c r="I13" i="23"/>
  <c r="R13" i="23" s="1"/>
  <c r="I18" i="23"/>
  <c r="R18" i="23" s="1"/>
  <c r="I38" i="23"/>
  <c r="I22" i="23"/>
  <c r="I28" i="23"/>
  <c r="I19" i="23"/>
  <c r="I39" i="23"/>
  <c r="R39" i="23" s="1"/>
  <c r="I27" i="23"/>
  <c r="I20" i="23"/>
  <c r="I23" i="23"/>
  <c r="R23" i="23" s="1"/>
  <c r="H5" i="32" a="1"/>
  <c r="H5" i="32" s="1"/>
  <c r="H36" i="32" s="1"/>
  <c r="AA93" i="111"/>
  <c r="AB93" i="111"/>
  <c r="AC93" i="111"/>
  <c r="AD93" i="111"/>
  <c r="AD63" i="111" s="1"/>
  <c r="AE93" i="111"/>
  <c r="AE63" i="111" s="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8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C38" i="28" l="1"/>
  <c r="I10" i="23"/>
  <c r="I43" i="23" s="1"/>
  <c r="AD79" i="111"/>
  <c r="AE79" i="111"/>
  <c r="AD78" i="111"/>
  <c r="AE78" i="111"/>
  <c r="AA7" i="31" l="1" a="1"/>
  <c r="AA7" i="31" s="1"/>
  <c r="E8" i="29"/>
  <c r="E9" i="29"/>
  <c r="I9" i="29" s="1"/>
  <c r="E10" i="29"/>
  <c r="I10" i="29" s="1"/>
  <c r="E11" i="29"/>
  <c r="I11" i="29" s="1"/>
  <c r="E12" i="29"/>
  <c r="I12" i="29" s="1"/>
  <c r="E13" i="29"/>
  <c r="I13" i="29" s="1"/>
  <c r="E14" i="29"/>
  <c r="I14" i="29" s="1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C9" i="29"/>
  <c r="C10" i="29"/>
  <c r="C11" i="29"/>
  <c r="H11" i="29" s="1"/>
  <c r="C12" i="29"/>
  <c r="C13" i="29"/>
  <c r="H13" i="29" s="1"/>
  <c r="C14" i="29"/>
  <c r="C15" i="29"/>
  <c r="H15" i="29" s="1"/>
  <c r="C16" i="29"/>
  <c r="H16" i="29" s="1"/>
  <c r="C17" i="29"/>
  <c r="H17" i="29" s="1"/>
  <c r="C18" i="29"/>
  <c r="C19" i="29"/>
  <c r="C20" i="29"/>
  <c r="C21" i="29"/>
  <c r="C22" i="29"/>
  <c r="C23" i="29"/>
  <c r="C24" i="29"/>
  <c r="C25" i="29"/>
  <c r="C26" i="29"/>
  <c r="C27" i="29"/>
  <c r="H27" i="29" s="1"/>
  <c r="C28" i="29"/>
  <c r="H28" i="29" s="1"/>
  <c r="C29" i="29"/>
  <c r="H29" i="29" s="1"/>
  <c r="C30" i="29"/>
  <c r="C31" i="29"/>
  <c r="C32" i="29"/>
  <c r="C33" i="29"/>
  <c r="C34" i="29"/>
  <c r="C35" i="29"/>
  <c r="H35" i="29" s="1"/>
  <c r="C36" i="29"/>
  <c r="K35" i="29"/>
  <c r="K36" i="29"/>
  <c r="L7" i="29" a="1"/>
  <c r="L7" i="29" s="1"/>
  <c r="L38" i="29" s="1"/>
  <c r="D7" i="28" a="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D24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Z22" i="31" s="1"/>
  <c r="G25" i="23" s="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W7" i="28"/>
  <c r="Z7" i="28"/>
  <c r="AC7" i="28"/>
  <c r="AF7" i="28"/>
  <c r="AI7" i="28"/>
  <c r="AL7" i="28"/>
  <c r="AO7" i="28"/>
  <c r="AR7" i="28"/>
  <c r="Z26" i="31" l="1"/>
  <c r="G29" i="23" s="1"/>
  <c r="P29" i="23" s="1"/>
  <c r="Q29" i="23" s="1"/>
  <c r="R29" i="23" s="1"/>
  <c r="Z18" i="31"/>
  <c r="G21" i="23" s="1"/>
  <c r="P21" i="23" s="1"/>
  <c r="Q21" i="23" s="1"/>
  <c r="R21" i="23" s="1"/>
  <c r="H21" i="29"/>
  <c r="H12" i="29"/>
  <c r="H8" i="29"/>
  <c r="G8" i="31"/>
  <c r="H14" i="29"/>
  <c r="G9" i="31"/>
  <c r="Z19" i="31"/>
  <c r="G22" i="23" s="1"/>
  <c r="P22" i="23" s="1"/>
  <c r="Q22" i="23" s="1"/>
  <c r="R22" i="23" s="1"/>
  <c r="H30" i="29"/>
  <c r="H10" i="29"/>
  <c r="H9" i="29"/>
  <c r="Z12" i="31"/>
  <c r="G15" i="23" s="1"/>
  <c r="H22" i="29"/>
  <c r="H20" i="29"/>
  <c r="H19" i="29"/>
  <c r="H18" i="29"/>
  <c r="H36" i="29"/>
  <c r="G36" i="31"/>
  <c r="S36" i="31" s="1"/>
  <c r="Z36" i="31"/>
  <c r="G39" i="23" s="1"/>
  <c r="G35" i="31"/>
  <c r="S35" i="31" s="1"/>
  <c r="Z35" i="31"/>
  <c r="Z34" i="31"/>
  <c r="G37" i="23" s="1"/>
  <c r="H34" i="29"/>
  <c r="H33" i="29"/>
  <c r="G34" i="31"/>
  <c r="S34" i="31" s="1"/>
  <c r="AF16" i="111"/>
  <c r="AF18" i="111" s="1"/>
  <c r="G33" i="31"/>
  <c r="S33" i="31" s="1"/>
  <c r="Z33" i="31"/>
  <c r="G36" i="23" s="1"/>
  <c r="P36" i="23" s="1"/>
  <c r="Q36" i="23" s="1"/>
  <c r="R36" i="23" s="1"/>
  <c r="H32" i="29"/>
  <c r="AE16" i="111"/>
  <c r="AE18" i="111" s="1"/>
  <c r="Z32" i="31"/>
  <c r="G35" i="23" s="1"/>
  <c r="G32" i="31"/>
  <c r="S32" i="31" s="1"/>
  <c r="AD16" i="111"/>
  <c r="AD18" i="111" s="1"/>
  <c r="G31" i="31"/>
  <c r="S31" i="31" s="1"/>
  <c r="Z31" i="31"/>
  <c r="G34" i="23" s="1"/>
  <c r="P34" i="23" s="1"/>
  <c r="Q34" i="23" s="1"/>
  <c r="R34" i="23" s="1"/>
  <c r="G30" i="31"/>
  <c r="S30" i="31" s="1"/>
  <c r="Z30" i="31"/>
  <c r="G33" i="23" s="1"/>
  <c r="P33" i="23" s="1"/>
  <c r="Q33" i="23" s="1"/>
  <c r="R33" i="23" s="1"/>
  <c r="H31" i="29"/>
  <c r="G29" i="31"/>
  <c r="S29" i="31" s="1"/>
  <c r="Z29" i="31"/>
  <c r="G32" i="23" s="1"/>
  <c r="P32" i="23" s="1"/>
  <c r="Q32" i="23" s="1"/>
  <c r="R32" i="23" s="1"/>
  <c r="Z28" i="31"/>
  <c r="G31" i="23" s="1"/>
  <c r="P31" i="23" s="1"/>
  <c r="Q31" i="23" s="1"/>
  <c r="R31" i="23" s="1"/>
  <c r="G28" i="31"/>
  <c r="S28" i="31" s="1"/>
  <c r="G27" i="31"/>
  <c r="S27" i="31"/>
  <c r="Z27" i="31"/>
  <c r="G30" i="23" s="1"/>
  <c r="P30" i="23" s="1"/>
  <c r="Q30" i="23" s="1"/>
  <c r="R30" i="23" s="1"/>
  <c r="AA38" i="31"/>
  <c r="AB7" i="31"/>
  <c r="H26" i="29"/>
  <c r="G26" i="31"/>
  <c r="S26" i="31" s="1"/>
  <c r="Z25" i="31"/>
  <c r="G28" i="23" s="1"/>
  <c r="P28" i="23" s="1"/>
  <c r="Q28" i="23" s="1"/>
  <c r="R28" i="23" s="1"/>
  <c r="G25" i="31"/>
  <c r="S25" i="31" s="1"/>
  <c r="G24" i="31"/>
  <c r="S24" i="31" s="1"/>
  <c r="Z24" i="31"/>
  <c r="G27" i="23" s="1"/>
  <c r="P27" i="23" s="1"/>
  <c r="Q27" i="23" s="1"/>
  <c r="R27" i="23" s="1"/>
  <c r="H25" i="29"/>
  <c r="H24" i="29"/>
  <c r="Z23" i="31"/>
  <c r="G26" i="23" s="1"/>
  <c r="G23" i="31"/>
  <c r="S23" i="31" s="1"/>
  <c r="H23" i="29"/>
  <c r="G22" i="31"/>
  <c r="S22" i="31" s="1"/>
  <c r="Z21" i="31"/>
  <c r="G24" i="23" s="1"/>
  <c r="G21" i="31"/>
  <c r="S21" i="31" s="1"/>
  <c r="G19" i="31"/>
  <c r="S19" i="31" s="1"/>
  <c r="G20" i="31"/>
  <c r="S20" i="31" s="1"/>
  <c r="Z20" i="31"/>
  <c r="G23" i="23" s="1"/>
  <c r="G17" i="31"/>
  <c r="S17" i="31" s="1"/>
  <c r="G16" i="31"/>
  <c r="S16" i="31" s="1"/>
  <c r="Z16" i="31"/>
  <c r="G19" i="23" s="1"/>
  <c r="P19" i="23" s="1"/>
  <c r="Q19" i="23" s="1"/>
  <c r="R19" i="23" s="1"/>
  <c r="Z17" i="31"/>
  <c r="G20" i="23" s="1"/>
  <c r="P20" i="23" s="1"/>
  <c r="Q20" i="23" s="1"/>
  <c r="R20" i="23" s="1"/>
  <c r="G18" i="31"/>
  <c r="S18" i="31"/>
  <c r="G15" i="31"/>
  <c r="Z15" i="31"/>
  <c r="G18" i="23" s="1"/>
  <c r="S15" i="31"/>
  <c r="G14" i="31"/>
  <c r="Z14" i="31"/>
  <c r="G17" i="23" s="1"/>
  <c r="S14" i="31"/>
  <c r="Z13" i="31"/>
  <c r="G16" i="23" s="1"/>
  <c r="G13" i="31"/>
  <c r="S13" i="31"/>
  <c r="E37" i="28"/>
  <c r="F37" i="28"/>
  <c r="Z11" i="31"/>
  <c r="G14" i="23" s="1"/>
  <c r="G12" i="31"/>
  <c r="S12" i="31" s="1"/>
  <c r="G11" i="31"/>
  <c r="S11" i="31" s="1"/>
  <c r="G10" i="31"/>
  <c r="S10" i="31" s="1"/>
  <c r="S8" i="31"/>
  <c r="Z10" i="31"/>
  <c r="G13" i="23" s="1"/>
  <c r="Z9" i="31"/>
  <c r="G12" i="23" s="1"/>
  <c r="Z8" i="31"/>
  <c r="G11" i="23" s="1"/>
  <c r="P11" i="23" s="1"/>
  <c r="Q11" i="23" s="1"/>
  <c r="R11" i="23" s="1"/>
  <c r="S9" i="31"/>
  <c r="T28" i="31"/>
  <c r="T23" i="31"/>
  <c r="AB15" i="31"/>
  <c r="T30" i="31"/>
  <c r="B79" i="110" a="1"/>
  <c r="AF114" i="110" s="1"/>
  <c r="D38" i="30"/>
  <c r="AB21" i="31"/>
  <c r="AB29" i="31"/>
  <c r="T29" i="31"/>
  <c r="AB26" i="31"/>
  <c r="T35" i="31"/>
  <c r="T26" i="31"/>
  <c r="T24" i="31"/>
  <c r="AB23" i="31"/>
  <c r="T21" i="31"/>
  <c r="T20" i="31"/>
  <c r="T19" i="31"/>
  <c r="AB19" i="31"/>
  <c r="AB17" i="31"/>
  <c r="AB18" i="31"/>
  <c r="T22" i="31"/>
  <c r="T8" i="31"/>
  <c r="AB34" i="31"/>
  <c r="AB16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D7" i="28"/>
  <c r="D38" i="28" s="1"/>
  <c r="F13" i="28"/>
  <c r="F21" i="28"/>
  <c r="F29" i="28"/>
  <c r="E14" i="28"/>
  <c r="E22" i="28"/>
  <c r="E30" i="28"/>
  <c r="F25" i="28"/>
  <c r="E10" i="28"/>
  <c r="F27" i="28"/>
  <c r="F28" i="28"/>
  <c r="E13" i="28"/>
  <c r="E29" i="28"/>
  <c r="F14" i="28"/>
  <c r="F22" i="28"/>
  <c r="F30" i="28"/>
  <c r="E15" i="28"/>
  <c r="E23" i="28"/>
  <c r="E31" i="28"/>
  <c r="F33" i="28"/>
  <c r="E18" i="28"/>
  <c r="F11" i="28"/>
  <c r="F15" i="28"/>
  <c r="F23" i="28"/>
  <c r="F31" i="28"/>
  <c r="E8" i="28"/>
  <c r="E16" i="28"/>
  <c r="E24" i="28"/>
  <c r="E32" i="28"/>
  <c r="F17" i="28"/>
  <c r="E26" i="28"/>
  <c r="F10" i="28"/>
  <c r="F26" i="28"/>
  <c r="F34" i="28"/>
  <c r="E11" i="28"/>
  <c r="E19" i="28"/>
  <c r="E35" i="28"/>
  <c r="F19" i="28"/>
  <c r="E12" i="28"/>
  <c r="E20" i="28"/>
  <c r="E28" i="28"/>
  <c r="E36" i="28"/>
  <c r="F20" i="28"/>
  <c r="F8" i="28"/>
  <c r="F16" i="28"/>
  <c r="F24" i="28"/>
  <c r="F32" i="28"/>
  <c r="E9" i="28"/>
  <c r="E17" i="28"/>
  <c r="E25" i="28"/>
  <c r="E33" i="28"/>
  <c r="F9" i="28"/>
  <c r="E34" i="28"/>
  <c r="F18" i="28"/>
  <c r="E27" i="28"/>
  <c r="F35" i="28"/>
  <c r="F12" i="28"/>
  <c r="F36" i="28"/>
  <c r="E21" i="28"/>
  <c r="T9" i="31"/>
  <c r="T10" i="31"/>
  <c r="AB10" i="31"/>
  <c r="AB9" i="31"/>
  <c r="AB25" i="31"/>
  <c r="AB22" i="31"/>
  <c r="AB27" i="31"/>
  <c r="AB14" i="31"/>
  <c r="AB8" i="31"/>
  <c r="E11" i="30"/>
  <c r="F11" i="30" s="1"/>
  <c r="E17" i="30"/>
  <c r="F17" i="30" s="1"/>
  <c r="E23" i="30"/>
  <c r="F23" i="30" s="1"/>
  <c r="E29" i="30"/>
  <c r="F29" i="30" s="1"/>
  <c r="E35" i="30"/>
  <c r="F35" i="30" s="1"/>
  <c r="E19" i="30"/>
  <c r="F19" i="30" s="1"/>
  <c r="E25" i="30"/>
  <c r="F25" i="30" s="1"/>
  <c r="E31" i="30"/>
  <c r="F31" i="30" s="1"/>
  <c r="E8" i="30"/>
  <c r="F8" i="30" s="1"/>
  <c r="E14" i="30"/>
  <c r="F14" i="30" s="1"/>
  <c r="E20" i="30"/>
  <c r="F20" i="30" s="1"/>
  <c r="E26" i="30"/>
  <c r="F26" i="30" s="1"/>
  <c r="E32" i="30"/>
  <c r="F32" i="30" s="1"/>
  <c r="E9" i="30"/>
  <c r="F9" i="30" s="1"/>
  <c r="E15" i="30"/>
  <c r="F15" i="30" s="1"/>
  <c r="E21" i="30"/>
  <c r="F21" i="30" s="1"/>
  <c r="E27" i="30"/>
  <c r="F27" i="30" s="1"/>
  <c r="E33" i="30"/>
  <c r="F33" i="30" s="1"/>
  <c r="E10" i="30"/>
  <c r="F10" i="30" s="1"/>
  <c r="E16" i="30"/>
  <c r="F16" i="30" s="1"/>
  <c r="E22" i="30"/>
  <c r="F22" i="30" s="1"/>
  <c r="E28" i="30"/>
  <c r="F28" i="30" s="1"/>
  <c r="E34" i="30"/>
  <c r="F34" i="30" s="1"/>
  <c r="E12" i="30"/>
  <c r="F12" i="30" s="1"/>
  <c r="E18" i="30"/>
  <c r="F18" i="30" s="1"/>
  <c r="E24" i="30"/>
  <c r="F24" i="30" s="1"/>
  <c r="E30" i="30"/>
  <c r="F30" i="30" s="1"/>
  <c r="E36" i="30"/>
  <c r="F36" i="30" s="1"/>
  <c r="E13" i="30"/>
  <c r="F13" i="30" s="1"/>
  <c r="M36" i="29"/>
  <c r="M35" i="29"/>
  <c r="AB36" i="31"/>
  <c r="G38" i="23" l="1"/>
  <c r="P38" i="23" s="1"/>
  <c r="Q38" i="23" s="1"/>
  <c r="R38" i="23" s="1"/>
  <c r="AF37" i="110"/>
  <c r="AB31" i="31"/>
  <c r="AD29" i="111" s="1"/>
  <c r="AD42" i="111" s="1"/>
  <c r="AB30" i="31"/>
  <c r="AB24" i="31"/>
  <c r="AB28" i="31"/>
  <c r="AB12" i="31"/>
  <c r="AB33" i="31"/>
  <c r="AF29" i="111" s="1"/>
  <c r="AF42" i="111" s="1"/>
  <c r="AB11" i="31"/>
  <c r="AB13" i="31"/>
  <c r="AB20" i="31"/>
  <c r="P35" i="23"/>
  <c r="Q35" i="23" s="1"/>
  <c r="R35" i="23" s="1"/>
  <c r="AB32" i="31"/>
  <c r="AE29" i="111" s="1"/>
  <c r="AE42" i="111" s="1"/>
  <c r="F38" i="28"/>
  <c r="AB35" i="31"/>
  <c r="B79" i="110"/>
  <c r="AG79" i="110" s="1"/>
  <c r="AG92" i="110" s="1"/>
  <c r="V92" i="110"/>
  <c r="F7" i="28"/>
  <c r="D90" i="110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J10" i="23"/>
  <c r="J43" i="23" s="1"/>
  <c r="AB9" i="11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C31" i="109" s="1"/>
  <c r="B33" i="109"/>
  <c r="B34" i="109"/>
  <c r="C17" i="109" l="1"/>
  <c r="C15" i="109"/>
  <c r="B38" i="28"/>
  <c r="E38" i="28" s="1"/>
  <c r="B76" i="110" a="1"/>
  <c r="B38" i="29"/>
  <c r="B39" i="29"/>
  <c r="C34" i="109"/>
  <c r="C32" i="109"/>
  <c r="B43" i="110"/>
  <c r="AG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T49" i="111" l="1"/>
  <c r="Y49" i="111"/>
  <c r="AF49" i="111"/>
  <c r="V49" i="111"/>
  <c r="AB49" i="111"/>
  <c r="AB81" i="111" s="1"/>
  <c r="X49" i="111"/>
  <c r="B76" i="110"/>
  <c r="AG76" i="110" s="1"/>
  <c r="AD91" i="110"/>
  <c r="U49" i="111"/>
  <c r="AE49" i="111"/>
  <c r="Z49" i="111"/>
  <c r="AA49" i="111"/>
  <c r="W49" i="111"/>
  <c r="AC49" i="111"/>
  <c r="D9" i="109"/>
  <c r="R7" i="31"/>
  <c r="M11" i="109"/>
  <c r="B23" i="111" l="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AJ91" i="110" l="1"/>
  <c r="AG89" i="110" l="1"/>
  <c r="AJ89" i="110" s="1"/>
  <c r="L20" i="110"/>
  <c r="E7" i="30" l="1"/>
  <c r="E38" i="30" s="1"/>
  <c r="F38" i="30" s="1"/>
  <c r="E7" i="28"/>
  <c r="AC90" i="110"/>
  <c r="F7" i="30" l="1"/>
  <c r="H38" i="28"/>
  <c r="G90" i="110"/>
  <c r="AJ90" i="110" l="1"/>
  <c r="AI90" i="110"/>
  <c r="T90" i="110"/>
  <c r="V90" i="110" l="1"/>
  <c r="U90" i="110" l="1"/>
  <c r="K90" i="110" l="1"/>
  <c r="L90" i="110" l="1"/>
  <c r="L56" i="110"/>
  <c r="G93" i="111"/>
  <c r="I56" i="110"/>
  <c r="D8" i="111"/>
  <c r="C56" i="110"/>
  <c r="J91" i="110"/>
  <c r="O90" i="110"/>
  <c r="S56" i="110"/>
  <c r="AA91" i="110"/>
  <c r="Y8" i="111"/>
  <c r="X95" i="111"/>
  <c r="X8" i="111"/>
  <c r="W91" i="110"/>
  <c r="P93" i="111"/>
  <c r="P95" i="111"/>
  <c r="O8" i="111"/>
  <c r="T8" i="111"/>
  <c r="M8" i="111"/>
  <c r="F39" i="110"/>
  <c r="F57" i="110" s="1"/>
  <c r="E31" i="111"/>
  <c r="F31" i="111"/>
  <c r="M90" i="110"/>
  <c r="AB56" i="110"/>
  <c r="J90" i="110"/>
  <c r="AC23" i="111"/>
  <c r="C83" i="110"/>
  <c r="D83" i="110"/>
  <c r="E83" i="110"/>
  <c r="F83" i="110"/>
  <c r="G83" i="110"/>
  <c r="H83" i="110"/>
  <c r="I83" i="110"/>
  <c r="J83" i="110"/>
  <c r="K83" i="110"/>
  <c r="L83" i="110"/>
  <c r="M83" i="110"/>
  <c r="N83" i="110"/>
  <c r="O83" i="110"/>
  <c r="P83" i="110"/>
  <c r="Q83" i="110"/>
  <c r="R83" i="110"/>
  <c r="S83" i="110"/>
  <c r="T83" i="110"/>
  <c r="U83" i="110"/>
  <c r="V83" i="110"/>
  <c r="W83" i="110"/>
  <c r="X83" i="110"/>
  <c r="Y83" i="110"/>
  <c r="Z83" i="110"/>
  <c r="AA83" i="110"/>
  <c r="AB83" i="110"/>
  <c r="AC83" i="110"/>
  <c r="AD83" i="110"/>
  <c r="AD90" i="110"/>
  <c r="AG75" i="110"/>
  <c r="AG77" i="110"/>
  <c r="AG93" i="110" s="1"/>
  <c r="AJ93" i="110" s="1"/>
  <c r="AC91" i="110"/>
  <c r="AB90" i="110"/>
  <c r="AB91" i="110"/>
  <c r="I10" i="111"/>
  <c r="AH69" i="110"/>
  <c r="AI67" i="110"/>
  <c r="AI66" i="110"/>
  <c r="AD56" i="110"/>
  <c r="AC56" i="110"/>
  <c r="W56" i="110"/>
  <c r="F24" i="111"/>
  <c r="G29" i="110"/>
  <c r="H29" i="110"/>
  <c r="K24" i="111"/>
  <c r="AB10" i="111"/>
  <c r="AC10" i="111"/>
  <c r="AF10" i="111"/>
  <c r="N8" i="111"/>
  <c r="C8" i="111"/>
  <c r="E8" i="111"/>
  <c r="I8" i="111"/>
  <c r="J8" i="111"/>
  <c r="K8" i="111"/>
  <c r="L8" i="111"/>
  <c r="P8" i="111"/>
  <c r="R8" i="111"/>
  <c r="S8" i="111"/>
  <c r="U8" i="111"/>
  <c r="V8" i="111"/>
  <c r="W8" i="111"/>
  <c r="Z8" i="111"/>
  <c r="AA8" i="111"/>
  <c r="AB8" i="111"/>
  <c r="AC8" i="111"/>
  <c r="AF8" i="111"/>
  <c r="B10" i="111"/>
  <c r="C10" i="111"/>
  <c r="D10" i="111"/>
  <c r="E10" i="111"/>
  <c r="F10" i="111"/>
  <c r="G10" i="111"/>
  <c r="H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O7" i="31"/>
  <c r="D42" i="110"/>
  <c r="D60" i="110" s="1"/>
  <c r="Z78" i="110"/>
  <c r="Y78" i="110"/>
  <c r="G27" i="109"/>
  <c r="D27" i="109" s="1"/>
  <c r="AC78" i="110"/>
  <c r="AB78" i="110"/>
  <c r="AA78" i="110"/>
  <c r="X78" i="110"/>
  <c r="W78" i="110"/>
  <c r="V78" i="110"/>
  <c r="U78" i="110"/>
  <c r="T78" i="110"/>
  <c r="S78" i="110"/>
  <c r="R47" i="111"/>
  <c r="R78" i="110" s="1"/>
  <c r="Q47" i="111"/>
  <c r="Q78" i="110" s="1"/>
  <c r="P47" i="111"/>
  <c r="P78" i="110" s="1"/>
  <c r="O47" i="111"/>
  <c r="O78" i="110" s="1"/>
  <c r="N47" i="111"/>
  <c r="M47" i="111"/>
  <c r="M78" i="110" s="1"/>
  <c r="L47" i="111"/>
  <c r="K47" i="111"/>
  <c r="K78" i="110" s="1"/>
  <c r="J47" i="111"/>
  <c r="J78" i="110" s="1"/>
  <c r="I47" i="111"/>
  <c r="I78" i="110" s="1"/>
  <c r="H47" i="111"/>
  <c r="H78" i="110" s="1"/>
  <c r="G47" i="111"/>
  <c r="G78" i="110" s="1"/>
  <c r="F47" i="111"/>
  <c r="F78" i="110" s="1"/>
  <c r="E47" i="111"/>
  <c r="E78" i="110" s="1"/>
  <c r="D47" i="111"/>
  <c r="D78" i="110" s="1"/>
  <c r="C47" i="111"/>
  <c r="C78" i="110" s="1"/>
  <c r="B47" i="111"/>
  <c r="S9" i="111"/>
  <c r="S74" i="111" s="1"/>
  <c r="F7" i="31"/>
  <c r="F38" i="31" s="1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98" i="110"/>
  <c r="X98" i="110"/>
  <c r="S93" i="111"/>
  <c r="R93" i="111"/>
  <c r="R28" i="111"/>
  <c r="Q95" i="111"/>
  <c r="K93" i="111"/>
  <c r="J95" i="111"/>
  <c r="E95" i="111"/>
  <c r="L114" i="110"/>
  <c r="M114" i="110"/>
  <c r="N114" i="110"/>
  <c r="O52" i="111"/>
  <c r="R114" i="110"/>
  <c r="W114" i="110"/>
  <c r="X114" i="110"/>
  <c r="AA114" i="110"/>
  <c r="C115" i="110"/>
  <c r="E52" i="111"/>
  <c r="E101" i="111" s="1"/>
  <c r="F52" i="111"/>
  <c r="G52" i="111"/>
  <c r="G101" i="111" s="1"/>
  <c r="H52" i="111"/>
  <c r="H101" i="111" s="1"/>
  <c r="J114" i="110"/>
  <c r="K52" i="111"/>
  <c r="K101" i="111" s="1"/>
  <c r="AF94" i="111"/>
  <c r="Z104" i="110"/>
  <c r="Y104" i="110"/>
  <c r="AA104" i="110"/>
  <c r="AB104" i="110"/>
  <c r="AC104" i="110"/>
  <c r="AD104" i="110"/>
  <c r="AE104" i="110"/>
  <c r="D13" i="29"/>
  <c r="K13" i="29" s="1"/>
  <c r="M13" i="29" s="1"/>
  <c r="D12" i="29"/>
  <c r="K12" i="29" s="1"/>
  <c r="M12" i="29" s="1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I29" i="28"/>
  <c r="T42" i="110"/>
  <c r="T60" i="110" s="1"/>
  <c r="T41" i="110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G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I11" i="28"/>
  <c r="I15" i="28"/>
  <c r="I16" i="28"/>
  <c r="I17" i="28"/>
  <c r="I26" i="28"/>
  <c r="I33" i="28"/>
  <c r="C23" i="111"/>
  <c r="H28" i="110"/>
  <c r="I37" i="111"/>
  <c r="J23" i="111"/>
  <c r="J24" i="111"/>
  <c r="A31" i="110"/>
  <c r="A30" i="110"/>
  <c r="AG49" i="110"/>
  <c r="H10" i="23"/>
  <c r="H43" i="23" s="1"/>
  <c r="D24" i="29"/>
  <c r="K24" i="29" s="1"/>
  <c r="D19" i="29"/>
  <c r="K19" i="29" s="1"/>
  <c r="D20" i="29"/>
  <c r="K20" i="29" s="1"/>
  <c r="M20" i="29" s="1"/>
  <c r="D18" i="29"/>
  <c r="K18" i="29" s="1"/>
  <c r="D21" i="29"/>
  <c r="K21" i="29" s="1"/>
  <c r="D22" i="29"/>
  <c r="K22" i="29" s="1"/>
  <c r="D23" i="29"/>
  <c r="K23" i="29" s="1"/>
  <c r="M23" i="29" s="1"/>
  <c r="D25" i="29"/>
  <c r="K25" i="29" s="1"/>
  <c r="D26" i="29"/>
  <c r="K26" i="29" s="1"/>
  <c r="D27" i="29"/>
  <c r="K27" i="29" s="1"/>
  <c r="M27" i="29" s="1"/>
  <c r="D28" i="29"/>
  <c r="K28" i="29" s="1"/>
  <c r="D29" i="29"/>
  <c r="K29" i="29" s="1"/>
  <c r="D30" i="29"/>
  <c r="K30" i="29" s="1"/>
  <c r="M30" i="29" s="1"/>
  <c r="D31" i="29"/>
  <c r="K31" i="29" s="1"/>
  <c r="M31" i="29" s="1"/>
  <c r="D32" i="29"/>
  <c r="K32" i="29" s="1"/>
  <c r="M32" i="29" s="1"/>
  <c r="D33" i="29"/>
  <c r="K33" i="29" s="1"/>
  <c r="M33" i="29" s="1"/>
  <c r="D34" i="29"/>
  <c r="K34" i="29" s="1"/>
  <c r="M34" i="29" s="1"/>
  <c r="M86" i="111"/>
  <c r="M70" i="111" s="1"/>
  <c r="AJ33" i="111"/>
  <c r="U101" i="110"/>
  <c r="U103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60" i="110" s="1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1" i="110"/>
  <c r="T103" i="110" s="1"/>
  <c r="M101" i="110"/>
  <c r="M103" i="110" s="1"/>
  <c r="F101" i="110"/>
  <c r="F103" i="110" s="1"/>
  <c r="E101" i="110"/>
  <c r="E103" i="110" s="1"/>
  <c r="D101" i="110"/>
  <c r="D103" i="110" s="1"/>
  <c r="C101" i="110"/>
  <c r="C103" i="110" s="1"/>
  <c r="B104" i="110"/>
  <c r="C104" i="110"/>
  <c r="D104" i="110"/>
  <c r="E104" i="110"/>
  <c r="F104" i="110"/>
  <c r="G104" i="110"/>
  <c r="J104" i="110"/>
  <c r="K104" i="110"/>
  <c r="H104" i="110"/>
  <c r="I104" i="110"/>
  <c r="L104" i="110"/>
  <c r="M104" i="110"/>
  <c r="N104" i="110"/>
  <c r="O104" i="110"/>
  <c r="P104" i="110"/>
  <c r="Q104" i="110"/>
  <c r="R104" i="110"/>
  <c r="S104" i="110"/>
  <c r="T104" i="110"/>
  <c r="U104" i="110"/>
  <c r="V104" i="110"/>
  <c r="W104" i="110"/>
  <c r="X104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1" i="110"/>
  <c r="B103" i="110" s="1"/>
  <c r="G101" i="110"/>
  <c r="H101" i="110"/>
  <c r="H103" i="110" s="1"/>
  <c r="I101" i="110"/>
  <c r="I103" i="110" s="1"/>
  <c r="J101" i="110"/>
  <c r="J103" i="110" s="1"/>
  <c r="K101" i="110"/>
  <c r="K103" i="110" s="1"/>
  <c r="L101" i="110"/>
  <c r="L103" i="110" s="1"/>
  <c r="N101" i="110"/>
  <c r="N103" i="110" s="1"/>
  <c r="O101" i="110"/>
  <c r="O103" i="110" s="1"/>
  <c r="P101" i="110"/>
  <c r="P103" i="110" s="1"/>
  <c r="Q101" i="110"/>
  <c r="Q103" i="110" s="1"/>
  <c r="R101" i="110"/>
  <c r="R103" i="110" s="1"/>
  <c r="S101" i="110"/>
  <c r="S103" i="110" s="1"/>
  <c r="V101" i="110"/>
  <c r="V103" i="110" s="1"/>
  <c r="W101" i="110"/>
  <c r="W103" i="110" s="1"/>
  <c r="X101" i="110"/>
  <c r="X103" i="110" s="1"/>
  <c r="Y101" i="110"/>
  <c r="Y103" i="110" s="1"/>
  <c r="Z101" i="110"/>
  <c r="Z103" i="110" s="1"/>
  <c r="AA101" i="110"/>
  <c r="AA103" i="110" s="1"/>
  <c r="AB101" i="110"/>
  <c r="AB103" i="110" s="1"/>
  <c r="AC101" i="110"/>
  <c r="AC103" i="110" s="1"/>
  <c r="AD101" i="110"/>
  <c r="AD103" i="110" s="1"/>
  <c r="AE101" i="110"/>
  <c r="AE103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D47" i="110"/>
  <c r="AD39" i="110"/>
  <c r="AD57" i="110" s="1"/>
  <c r="AE47" i="110"/>
  <c r="AE98" i="110"/>
  <c r="H7" i="28"/>
  <c r="L7" i="28"/>
  <c r="M7" i="28"/>
  <c r="N7" i="28"/>
  <c r="O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AR8" i="28"/>
  <c r="AR9" i="28"/>
  <c r="AR10" i="28"/>
  <c r="AR11" i="28"/>
  <c r="AR12" i="28"/>
  <c r="AR13" i="28"/>
  <c r="AR14" i="28"/>
  <c r="AR15" i="28"/>
  <c r="AR16" i="28"/>
  <c r="AR17" i="28"/>
  <c r="AR18" i="28"/>
  <c r="AR19" i="28"/>
  <c r="AR20" i="28"/>
  <c r="AR21" i="28"/>
  <c r="AR22" i="28"/>
  <c r="AR23" i="28"/>
  <c r="AR24" i="28"/>
  <c r="AR25" i="28"/>
  <c r="AR26" i="28"/>
  <c r="AR27" i="28"/>
  <c r="AR28" i="28"/>
  <c r="AR29" i="28"/>
  <c r="AU7" i="28"/>
  <c r="AU8" i="28"/>
  <c r="AU9" i="28"/>
  <c r="AU10" i="28"/>
  <c r="AU11" i="28"/>
  <c r="AU12" i="28"/>
  <c r="AU13" i="28"/>
  <c r="AU14" i="28"/>
  <c r="AU15" i="28"/>
  <c r="AU16" i="28"/>
  <c r="AU17" i="28"/>
  <c r="AU18" i="28"/>
  <c r="AU19" i="28"/>
  <c r="AU20" i="28"/>
  <c r="AU21" i="28"/>
  <c r="AU22" i="28"/>
  <c r="AU23" i="28"/>
  <c r="AU24" i="28"/>
  <c r="AU25" i="28"/>
  <c r="AU26" i="28"/>
  <c r="AU27" i="28"/>
  <c r="AU28" i="28"/>
  <c r="AU29" i="28"/>
  <c r="AX7" i="28"/>
  <c r="BA7" i="28"/>
  <c r="BD7" i="28"/>
  <c r="BG7" i="28"/>
  <c r="BJ7" i="28"/>
  <c r="BM7" i="28"/>
  <c r="BP7" i="28"/>
  <c r="BS7" i="28"/>
  <c r="BS8" i="28"/>
  <c r="BS9" i="28"/>
  <c r="BS10" i="28"/>
  <c r="BS11" i="28"/>
  <c r="BS12" i="28"/>
  <c r="BS13" i="28"/>
  <c r="BS14" i="28"/>
  <c r="BS15" i="28"/>
  <c r="BS16" i="28"/>
  <c r="BS17" i="28"/>
  <c r="BS18" i="28"/>
  <c r="BS19" i="28"/>
  <c r="BS20" i="28"/>
  <c r="BS21" i="28"/>
  <c r="BS22" i="28"/>
  <c r="BS23" i="28"/>
  <c r="BS24" i="28"/>
  <c r="BS25" i="28"/>
  <c r="BS26" i="28"/>
  <c r="BS27" i="28"/>
  <c r="BS28" i="28"/>
  <c r="BS29" i="28"/>
  <c r="BV7" i="28"/>
  <c r="BY7" i="28"/>
  <c r="CB7" i="28"/>
  <c r="CB8" i="28"/>
  <c r="CB9" i="28"/>
  <c r="CB10" i="28"/>
  <c r="CB11" i="28"/>
  <c r="CB12" i="28"/>
  <c r="CB13" i="28"/>
  <c r="CB14" i="28"/>
  <c r="CB15" i="28"/>
  <c r="CB16" i="28"/>
  <c r="CB17" i="28"/>
  <c r="CB18" i="28"/>
  <c r="CB19" i="28"/>
  <c r="CB20" i="28"/>
  <c r="CB21" i="28"/>
  <c r="CB22" i="28"/>
  <c r="CB23" i="28"/>
  <c r="CB24" i="28"/>
  <c r="CB25" i="28"/>
  <c r="CB26" i="28"/>
  <c r="CB27" i="28"/>
  <c r="CB28" i="28"/>
  <c r="CB29" i="28"/>
  <c r="CE7" i="28"/>
  <c r="CH7" i="28"/>
  <c r="CK7" i="28"/>
  <c r="CN7" i="28"/>
  <c r="CQ7" i="28"/>
  <c r="CQ8" i="28"/>
  <c r="CQ9" i="28"/>
  <c r="CQ10" i="28"/>
  <c r="CQ11" i="28"/>
  <c r="CQ12" i="28"/>
  <c r="CQ13" i="28"/>
  <c r="CQ14" i="28"/>
  <c r="CQ15" i="28"/>
  <c r="CQ16" i="28"/>
  <c r="CQ17" i="28"/>
  <c r="CQ18" i="28"/>
  <c r="CQ19" i="28"/>
  <c r="CQ20" i="28"/>
  <c r="CQ21" i="28"/>
  <c r="CQ22" i="28"/>
  <c r="CQ23" i="28"/>
  <c r="CQ24" i="28"/>
  <c r="CQ25" i="28"/>
  <c r="CQ26" i="28"/>
  <c r="CQ27" i="28"/>
  <c r="CQ28" i="28"/>
  <c r="CQ29" i="28"/>
  <c r="CT7" i="28"/>
  <c r="CW7" i="28"/>
  <c r="CZ7" i="28"/>
  <c r="H8" i="28"/>
  <c r="L8" i="28"/>
  <c r="M8" i="28"/>
  <c r="N8" i="28"/>
  <c r="O8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Z8" i="28"/>
  <c r="Z9" i="28"/>
  <c r="Z10" i="28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AC8" i="28"/>
  <c r="AF8" i="28"/>
  <c r="AI8" i="28"/>
  <c r="AL8" i="28"/>
  <c r="AL9" i="28"/>
  <c r="AL10" i="28"/>
  <c r="AL11" i="28"/>
  <c r="AL12" i="28"/>
  <c r="AL13" i="28"/>
  <c r="AL14" i="28"/>
  <c r="AL15" i="28"/>
  <c r="AL16" i="28"/>
  <c r="AL17" i="28"/>
  <c r="AL18" i="28"/>
  <c r="AL19" i="28"/>
  <c r="AL20" i="28"/>
  <c r="AL21" i="28"/>
  <c r="AL22" i="28"/>
  <c r="AL23" i="28"/>
  <c r="AL24" i="28"/>
  <c r="AL25" i="28"/>
  <c r="AL26" i="28"/>
  <c r="AL27" i="28"/>
  <c r="AL28" i="28"/>
  <c r="AL29" i="28"/>
  <c r="AO8" i="28"/>
  <c r="AO9" i="28"/>
  <c r="AO10" i="28"/>
  <c r="AO11" i="28"/>
  <c r="AO12" i="28"/>
  <c r="AO13" i="28"/>
  <c r="AO14" i="28"/>
  <c r="AO15" i="28"/>
  <c r="AO16" i="28"/>
  <c r="AO17" i="28"/>
  <c r="AO18" i="28"/>
  <c r="AO19" i="28"/>
  <c r="AO20" i="28"/>
  <c r="AO21" i="28"/>
  <c r="AO22" i="28"/>
  <c r="AO23" i="28"/>
  <c r="AO24" i="28"/>
  <c r="AO25" i="28"/>
  <c r="AO26" i="28"/>
  <c r="AO27" i="28"/>
  <c r="AO28" i="28"/>
  <c r="AO29" i="28"/>
  <c r="AX8" i="28"/>
  <c r="BA8" i="28"/>
  <c r="BD8" i="28"/>
  <c r="BG8" i="28"/>
  <c r="BJ8" i="28"/>
  <c r="BM8" i="28"/>
  <c r="BP8" i="28"/>
  <c r="BV8" i="28"/>
  <c r="BV9" i="28"/>
  <c r="BV10" i="28"/>
  <c r="BV11" i="28"/>
  <c r="BV12" i="28"/>
  <c r="BV13" i="28"/>
  <c r="BV14" i="28"/>
  <c r="BV15" i="28"/>
  <c r="BV16" i="28"/>
  <c r="BV17" i="28"/>
  <c r="BV18" i="28"/>
  <c r="BV19" i="28"/>
  <c r="BV20" i="28"/>
  <c r="BV21" i="28"/>
  <c r="BV22" i="28"/>
  <c r="BV23" i="28"/>
  <c r="BV24" i="28"/>
  <c r="BV25" i="28"/>
  <c r="BV26" i="28"/>
  <c r="BV27" i="28"/>
  <c r="BV28" i="28"/>
  <c r="BV29" i="28"/>
  <c r="BY8" i="28"/>
  <c r="CE8" i="28"/>
  <c r="CH8" i="28"/>
  <c r="CH9" i="28"/>
  <c r="CH10" i="28"/>
  <c r="CH11" i="28"/>
  <c r="CH12" i="28"/>
  <c r="CH13" i="28"/>
  <c r="CH14" i="28"/>
  <c r="CH15" i="28"/>
  <c r="CH16" i="28"/>
  <c r="CH17" i="28"/>
  <c r="CH18" i="28"/>
  <c r="CH19" i="28"/>
  <c r="CH20" i="28"/>
  <c r="CH21" i="28"/>
  <c r="CH22" i="28"/>
  <c r="CH23" i="28"/>
  <c r="CH24" i="28"/>
  <c r="CH25" i="28"/>
  <c r="CH26" i="28"/>
  <c r="CH27" i="28"/>
  <c r="CH28" i="28"/>
  <c r="CH29" i="28"/>
  <c r="CK8" i="28"/>
  <c r="CN8" i="28"/>
  <c r="CT8" i="28"/>
  <c r="CW8" i="28"/>
  <c r="CZ8" i="28"/>
  <c r="H9" i="28"/>
  <c r="L9" i="28"/>
  <c r="M9" i="28"/>
  <c r="N9" i="28"/>
  <c r="O9" i="28"/>
  <c r="AC9" i="28"/>
  <c r="AF9" i="28"/>
  <c r="AI9" i="28"/>
  <c r="AX9" i="28"/>
  <c r="BA9" i="28"/>
  <c r="BD9" i="28"/>
  <c r="BG9" i="28"/>
  <c r="BJ9" i="28"/>
  <c r="BM9" i="28"/>
  <c r="BM10" i="28"/>
  <c r="BM11" i="28"/>
  <c r="BM12" i="28"/>
  <c r="BM13" i="28"/>
  <c r="BM14" i="28"/>
  <c r="BM15" i="28"/>
  <c r="BM16" i="28"/>
  <c r="BM17" i="28"/>
  <c r="BM18" i="28"/>
  <c r="BM19" i="28"/>
  <c r="BM20" i="28"/>
  <c r="BM21" i="28"/>
  <c r="BM22" i="28"/>
  <c r="BM23" i="28"/>
  <c r="BM24" i="28"/>
  <c r="BM25" i="28"/>
  <c r="BM26" i="28"/>
  <c r="BM27" i="28"/>
  <c r="BM28" i="28"/>
  <c r="BM29" i="28"/>
  <c r="BP9" i="28"/>
  <c r="BY9" i="28"/>
  <c r="CE9" i="28"/>
  <c r="CK9" i="28"/>
  <c r="CK10" i="28"/>
  <c r="CK11" i="28"/>
  <c r="CK12" i="28"/>
  <c r="CK13" i="28"/>
  <c r="CK14" i="28"/>
  <c r="CK15" i="28"/>
  <c r="CK16" i="28"/>
  <c r="CK17" i="28"/>
  <c r="CK18" i="28"/>
  <c r="CK19" i="28"/>
  <c r="CK20" i="28"/>
  <c r="CK21" i="28"/>
  <c r="CK22" i="28"/>
  <c r="CK23" i="28"/>
  <c r="CK24" i="28"/>
  <c r="CK25" i="28"/>
  <c r="CK26" i="28"/>
  <c r="CK27" i="28"/>
  <c r="CK28" i="28"/>
  <c r="CK29" i="28"/>
  <c r="CN9" i="28"/>
  <c r="CT9" i="28"/>
  <c r="CW9" i="28"/>
  <c r="CW10" i="28"/>
  <c r="CW11" i="28"/>
  <c r="CW12" i="28"/>
  <c r="CW13" i="28"/>
  <c r="CW14" i="28"/>
  <c r="CW15" i="28"/>
  <c r="CW16" i="28"/>
  <c r="CW17" i="28"/>
  <c r="CW18" i="28"/>
  <c r="CW19" i="28"/>
  <c r="CW20" i="28"/>
  <c r="CW21" i="28"/>
  <c r="CW22" i="28"/>
  <c r="CW23" i="28"/>
  <c r="CW24" i="28"/>
  <c r="CW25" i="28"/>
  <c r="CW26" i="28"/>
  <c r="CW27" i="28"/>
  <c r="CW28" i="28"/>
  <c r="CW29" i="28"/>
  <c r="CZ9" i="28"/>
  <c r="H10" i="28"/>
  <c r="L10" i="28"/>
  <c r="M10" i="28"/>
  <c r="N10" i="28"/>
  <c r="O10" i="28"/>
  <c r="AC10" i="28"/>
  <c r="AC11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F10" i="28"/>
  <c r="AI10" i="28"/>
  <c r="AX10" i="28"/>
  <c r="BA10" i="28"/>
  <c r="BD10" i="28"/>
  <c r="BG10" i="28"/>
  <c r="BJ10" i="28"/>
  <c r="BP10" i="28"/>
  <c r="BY10" i="28"/>
  <c r="CE10" i="28"/>
  <c r="CN10" i="28"/>
  <c r="CN11" i="28"/>
  <c r="CN12" i="28"/>
  <c r="CN13" i="28"/>
  <c r="CN14" i="28"/>
  <c r="CN15" i="28"/>
  <c r="CN16" i="28"/>
  <c r="CN17" i="28"/>
  <c r="CN18" i="28"/>
  <c r="CN19" i="28"/>
  <c r="CN20" i="28"/>
  <c r="CN21" i="28"/>
  <c r="CN22" i="28"/>
  <c r="CN23" i="28"/>
  <c r="CN24" i="28"/>
  <c r="CN25" i="28"/>
  <c r="CN26" i="28"/>
  <c r="CN27" i="28"/>
  <c r="CN28" i="28"/>
  <c r="CN29" i="28"/>
  <c r="CT10" i="28"/>
  <c r="CZ10" i="28"/>
  <c r="H11" i="28"/>
  <c r="L11" i="28"/>
  <c r="M11" i="28"/>
  <c r="N11" i="28"/>
  <c r="O11" i="28"/>
  <c r="AF11" i="28"/>
  <c r="AI11" i="28"/>
  <c r="AX11" i="28"/>
  <c r="AX12" i="28"/>
  <c r="AX13" i="28"/>
  <c r="AX14" i="28"/>
  <c r="AX15" i="28"/>
  <c r="AX16" i="28"/>
  <c r="AX17" i="28"/>
  <c r="AX18" i="28"/>
  <c r="AX19" i="28"/>
  <c r="AX20" i="28"/>
  <c r="AX21" i="28"/>
  <c r="AX22" i="28"/>
  <c r="AX23" i="28"/>
  <c r="AX24" i="28"/>
  <c r="AX25" i="28"/>
  <c r="AX26" i="28"/>
  <c r="AX27" i="28"/>
  <c r="AX28" i="28"/>
  <c r="AX29" i="28"/>
  <c r="BA11" i="28"/>
  <c r="BD11" i="28"/>
  <c r="BG11" i="28"/>
  <c r="BJ11" i="28"/>
  <c r="BP11" i="28"/>
  <c r="BY11" i="28"/>
  <c r="BY12" i="28"/>
  <c r="BY13" i="28"/>
  <c r="BY14" i="28"/>
  <c r="BY15" i="28"/>
  <c r="BY16" i="28"/>
  <c r="BY17" i="28"/>
  <c r="BY18" i="28"/>
  <c r="BY19" i="28"/>
  <c r="BY20" i="28"/>
  <c r="BY21" i="28"/>
  <c r="BY22" i="28"/>
  <c r="BY23" i="28"/>
  <c r="BY24" i="28"/>
  <c r="BY25" i="28"/>
  <c r="BY26" i="28"/>
  <c r="BY27" i="28"/>
  <c r="BY28" i="28"/>
  <c r="BY29" i="28"/>
  <c r="CE11" i="28"/>
  <c r="CT11" i="28"/>
  <c r="CZ11" i="28"/>
  <c r="H12" i="28"/>
  <c r="L12" i="28"/>
  <c r="M12" i="28"/>
  <c r="N12" i="28"/>
  <c r="O12" i="28"/>
  <c r="AF12" i="28"/>
  <c r="AI12" i="28"/>
  <c r="BA12" i="28"/>
  <c r="BD12" i="28"/>
  <c r="BD13" i="28"/>
  <c r="BD14" i="28"/>
  <c r="BD15" i="28"/>
  <c r="BD16" i="28"/>
  <c r="BD17" i="28"/>
  <c r="BD18" i="28"/>
  <c r="BD19" i="28"/>
  <c r="BD20" i="28"/>
  <c r="BD21" i="28"/>
  <c r="BD22" i="28"/>
  <c r="BD23" i="28"/>
  <c r="BD24" i="28"/>
  <c r="BD25" i="28"/>
  <c r="BD26" i="28"/>
  <c r="BD27" i="28"/>
  <c r="BD28" i="28"/>
  <c r="BD29" i="28"/>
  <c r="BG12" i="28"/>
  <c r="BJ12" i="28"/>
  <c r="BP12" i="28"/>
  <c r="CE12" i="28"/>
  <c r="CT12" i="28"/>
  <c r="CZ12" i="28"/>
  <c r="H13" i="28"/>
  <c r="L13" i="28"/>
  <c r="M13" i="28"/>
  <c r="N13" i="28"/>
  <c r="O13" i="28"/>
  <c r="AF13" i="28"/>
  <c r="AI13" i="28"/>
  <c r="BA13" i="28"/>
  <c r="BA14" i="28"/>
  <c r="BA15" i="28"/>
  <c r="BA16" i="28"/>
  <c r="BA17" i="28"/>
  <c r="BA18" i="28"/>
  <c r="BA19" i="28"/>
  <c r="BA20" i="28"/>
  <c r="BA21" i="28"/>
  <c r="BA22" i="28"/>
  <c r="BA23" i="28"/>
  <c r="BA24" i="28"/>
  <c r="BA25" i="28"/>
  <c r="BA26" i="28"/>
  <c r="BA27" i="28"/>
  <c r="BA28" i="28"/>
  <c r="BA29" i="28"/>
  <c r="BG13" i="28"/>
  <c r="BJ13" i="28"/>
  <c r="BP13" i="28"/>
  <c r="CE13" i="28"/>
  <c r="CT13" i="28"/>
  <c r="CT14" i="28"/>
  <c r="CT15" i="28"/>
  <c r="CT16" i="28"/>
  <c r="CT17" i="28"/>
  <c r="CT18" i="28"/>
  <c r="CT19" i="28"/>
  <c r="CT20" i="28"/>
  <c r="CT21" i="28"/>
  <c r="CT22" i="28"/>
  <c r="CT23" i="28"/>
  <c r="CT24" i="28"/>
  <c r="CT25" i="28"/>
  <c r="CT26" i="28"/>
  <c r="CT27" i="28"/>
  <c r="CT28" i="28"/>
  <c r="CT29" i="28"/>
  <c r="CZ13" i="28"/>
  <c r="H14" i="28"/>
  <c r="L14" i="28"/>
  <c r="M14" i="28"/>
  <c r="N14" i="28"/>
  <c r="O14" i="28"/>
  <c r="AF14" i="28"/>
  <c r="AI14" i="28"/>
  <c r="BG14" i="28"/>
  <c r="BJ14" i="28"/>
  <c r="BP14" i="28"/>
  <c r="CE14" i="28"/>
  <c r="CZ14" i="28"/>
  <c r="H15" i="28"/>
  <c r="L15" i="28"/>
  <c r="M15" i="28"/>
  <c r="N15" i="28"/>
  <c r="O15" i="28"/>
  <c r="AF15" i="28"/>
  <c r="AI15" i="28"/>
  <c r="BG15" i="28"/>
  <c r="BJ15" i="28"/>
  <c r="BP15" i="28"/>
  <c r="CE15" i="28"/>
  <c r="CZ15" i="28"/>
  <c r="H16" i="28"/>
  <c r="L16" i="28"/>
  <c r="M16" i="28"/>
  <c r="N16" i="28"/>
  <c r="O16" i="28"/>
  <c r="AF16" i="28"/>
  <c r="AI16" i="28"/>
  <c r="BG16" i="28"/>
  <c r="BJ16" i="28"/>
  <c r="BP16" i="28"/>
  <c r="CE16" i="28"/>
  <c r="CZ16" i="28"/>
  <c r="H17" i="28"/>
  <c r="L17" i="28"/>
  <c r="M17" i="28"/>
  <c r="N17" i="28"/>
  <c r="O17" i="28"/>
  <c r="AF17" i="28"/>
  <c r="AI17" i="28"/>
  <c r="BG17" i="28"/>
  <c r="BJ17" i="28"/>
  <c r="BP17" i="28"/>
  <c r="CE17" i="28"/>
  <c r="CZ17" i="28"/>
  <c r="H18" i="28"/>
  <c r="L18" i="28"/>
  <c r="M18" i="28"/>
  <c r="N18" i="28"/>
  <c r="O18" i="28"/>
  <c r="AF18" i="28"/>
  <c r="AI18" i="28"/>
  <c r="BG18" i="28"/>
  <c r="BJ18" i="28"/>
  <c r="BP18" i="28"/>
  <c r="CE18" i="28"/>
  <c r="CZ18" i="28"/>
  <c r="H19" i="28"/>
  <c r="L19" i="28"/>
  <c r="M19" i="28"/>
  <c r="N19" i="28"/>
  <c r="O19" i="28"/>
  <c r="AF19" i="28"/>
  <c r="AI19" i="28"/>
  <c r="BG19" i="28"/>
  <c r="BJ19" i="28"/>
  <c r="BP19" i="28"/>
  <c r="CE19" i="28"/>
  <c r="CZ19" i="28"/>
  <c r="H20" i="28"/>
  <c r="L20" i="28"/>
  <c r="M20" i="28"/>
  <c r="N20" i="28"/>
  <c r="O20" i="28"/>
  <c r="AF20" i="28"/>
  <c r="AI20" i="28"/>
  <c r="BG20" i="28"/>
  <c r="BJ20" i="28"/>
  <c r="BP20" i="28"/>
  <c r="CE20" i="28"/>
  <c r="CZ20" i="28"/>
  <c r="H21" i="28"/>
  <c r="L21" i="28"/>
  <c r="M21" i="28"/>
  <c r="N21" i="28"/>
  <c r="O21" i="28"/>
  <c r="AF21" i="28"/>
  <c r="AI21" i="28"/>
  <c r="BG21" i="28"/>
  <c r="BJ21" i="28"/>
  <c r="BP21" i="28"/>
  <c r="BP22" i="28"/>
  <c r="BP23" i="28"/>
  <c r="BP24" i="28"/>
  <c r="BP25" i="28"/>
  <c r="BP26" i="28"/>
  <c r="BP27" i="28"/>
  <c r="BP28" i="28"/>
  <c r="BP29" i="28"/>
  <c r="CE21" i="28"/>
  <c r="CZ21" i="28"/>
  <c r="H22" i="28"/>
  <c r="L22" i="28"/>
  <c r="M22" i="28"/>
  <c r="N22" i="28"/>
  <c r="O22" i="28"/>
  <c r="AF22" i="28"/>
  <c r="AI22" i="28"/>
  <c r="BG22" i="28"/>
  <c r="BJ22" i="28"/>
  <c r="CE22" i="28"/>
  <c r="CZ22" i="28"/>
  <c r="H23" i="28"/>
  <c r="L23" i="28"/>
  <c r="M23" i="28"/>
  <c r="N23" i="28"/>
  <c r="O23" i="28"/>
  <c r="AF23" i="28"/>
  <c r="AI23" i="28"/>
  <c r="BG23" i="28"/>
  <c r="BJ23" i="28"/>
  <c r="CE23" i="28"/>
  <c r="CZ23" i="28"/>
  <c r="H24" i="28"/>
  <c r="L24" i="28"/>
  <c r="M24" i="28"/>
  <c r="N24" i="28"/>
  <c r="O24" i="28"/>
  <c r="AF24" i="28"/>
  <c r="AI24" i="28"/>
  <c r="BG24" i="28"/>
  <c r="BJ24" i="28"/>
  <c r="CE24" i="28"/>
  <c r="CZ24" i="28"/>
  <c r="H25" i="28"/>
  <c r="L25" i="28"/>
  <c r="M25" i="28"/>
  <c r="N25" i="28"/>
  <c r="O25" i="28"/>
  <c r="AF25" i="28"/>
  <c r="AI25" i="28"/>
  <c r="BG25" i="28"/>
  <c r="BJ25" i="28"/>
  <c r="CE25" i="28"/>
  <c r="CZ25" i="28"/>
  <c r="H26" i="28"/>
  <c r="L26" i="28"/>
  <c r="M26" i="28"/>
  <c r="N26" i="28"/>
  <c r="O26" i="28"/>
  <c r="AF26" i="28"/>
  <c r="AI26" i="28"/>
  <c r="BG26" i="28"/>
  <c r="BJ26" i="28"/>
  <c r="CE26" i="28"/>
  <c r="CZ26" i="28"/>
  <c r="H27" i="28"/>
  <c r="L27" i="28"/>
  <c r="M27" i="28"/>
  <c r="N27" i="28"/>
  <c r="O27" i="28"/>
  <c r="AF27" i="28"/>
  <c r="AI27" i="28"/>
  <c r="BG27" i="28"/>
  <c r="BJ27" i="28"/>
  <c r="CE27" i="28"/>
  <c r="CZ27" i="28"/>
  <c r="H28" i="28"/>
  <c r="L28" i="28"/>
  <c r="M28" i="28"/>
  <c r="N28" i="28"/>
  <c r="O28" i="28"/>
  <c r="AF28" i="28"/>
  <c r="AI28" i="28"/>
  <c r="BG28" i="28"/>
  <c r="BJ28" i="28"/>
  <c r="CE28" i="28"/>
  <c r="CZ28" i="28"/>
  <c r="H29" i="28"/>
  <c r="L29" i="28"/>
  <c r="M29" i="28"/>
  <c r="N29" i="28"/>
  <c r="O29" i="28"/>
  <c r="AF29" i="28"/>
  <c r="AI29" i="28"/>
  <c r="BG29" i="28"/>
  <c r="BJ29" i="28"/>
  <c r="CE29" i="28"/>
  <c r="CZ29" i="28"/>
  <c r="H30" i="28"/>
  <c r="L30" i="28"/>
  <c r="M30" i="28"/>
  <c r="N30" i="28"/>
  <c r="O30" i="28"/>
  <c r="T30" i="28"/>
  <c r="W30" i="28"/>
  <c r="Z30" i="28"/>
  <c r="AC30" i="28"/>
  <c r="AF30" i="28"/>
  <c r="AI30" i="28"/>
  <c r="AL30" i="28"/>
  <c r="AO30" i="28"/>
  <c r="AR30" i="28"/>
  <c r="AU30" i="28"/>
  <c r="AX30" i="28"/>
  <c r="BA30" i="28"/>
  <c r="BD30" i="28"/>
  <c r="BG30" i="28"/>
  <c r="BJ30" i="28"/>
  <c r="BM30" i="28"/>
  <c r="BP30" i="28"/>
  <c r="BS30" i="28"/>
  <c r="BV30" i="28"/>
  <c r="BY30" i="28"/>
  <c r="CB30" i="28"/>
  <c r="CE30" i="28"/>
  <c r="CH30" i="28"/>
  <c r="CK30" i="28"/>
  <c r="CN30" i="28"/>
  <c r="CQ30" i="28"/>
  <c r="CT30" i="28"/>
  <c r="CW30" i="28"/>
  <c r="CZ30" i="28"/>
  <c r="H31" i="28"/>
  <c r="L31" i="28"/>
  <c r="M31" i="28"/>
  <c r="N31" i="28"/>
  <c r="O31" i="28"/>
  <c r="H32" i="28"/>
  <c r="L32" i="28"/>
  <c r="M32" i="28"/>
  <c r="N32" i="28"/>
  <c r="O32" i="28"/>
  <c r="H33" i="28"/>
  <c r="L33" i="28"/>
  <c r="M33" i="28"/>
  <c r="N33" i="28"/>
  <c r="O33" i="28"/>
  <c r="H34" i="28"/>
  <c r="L34" i="28"/>
  <c r="M34" i="28"/>
  <c r="N34" i="28"/>
  <c r="O34" i="28"/>
  <c r="B6" i="29"/>
  <c r="D7" i="29"/>
  <c r="K7" i="29" s="1"/>
  <c r="M7" i="29" s="1"/>
  <c r="C7" i="29"/>
  <c r="E7" i="29"/>
  <c r="I7" i="29" s="1"/>
  <c r="D8" i="29"/>
  <c r="D9" i="29"/>
  <c r="K9" i="29" s="1"/>
  <c r="M9" i="29" s="1"/>
  <c r="D10" i="29"/>
  <c r="K10" i="29" s="1"/>
  <c r="M10" i="29" s="1"/>
  <c r="D11" i="29"/>
  <c r="K11" i="29" s="1"/>
  <c r="M11" i="29" s="1"/>
  <c r="D14" i="29"/>
  <c r="K14" i="29" s="1"/>
  <c r="D15" i="29"/>
  <c r="K15" i="29" s="1"/>
  <c r="D16" i="29"/>
  <c r="K16" i="29" s="1"/>
  <c r="M16" i="29" s="1"/>
  <c r="D17" i="29"/>
  <c r="K17" i="29" s="1"/>
  <c r="K10" i="23"/>
  <c r="L10" i="23"/>
  <c r="L43" i="23" s="1"/>
  <c r="M10" i="23"/>
  <c r="M43" i="23" s="1"/>
  <c r="O1" i="27"/>
  <c r="B98" i="110"/>
  <c r="Z98" i="110"/>
  <c r="S98" i="110"/>
  <c r="L98" i="110"/>
  <c r="G98" i="110"/>
  <c r="AA98" i="110"/>
  <c r="AB98" i="110"/>
  <c r="H98" i="110"/>
  <c r="K98" i="110"/>
  <c r="E98" i="110"/>
  <c r="T98" i="110"/>
  <c r="F98" i="110"/>
  <c r="U98" i="110"/>
  <c r="Q98" i="110"/>
  <c r="R98" i="110"/>
  <c r="W98" i="110"/>
  <c r="AC98" i="110"/>
  <c r="AD98" i="110"/>
  <c r="O98" i="110"/>
  <c r="N98" i="110"/>
  <c r="C98" i="110"/>
  <c r="P98" i="110"/>
  <c r="V98" i="110"/>
  <c r="J98" i="110"/>
  <c r="I98" i="110"/>
  <c r="D86" i="111"/>
  <c r="D70" i="111" s="1"/>
  <c r="D98" i="110"/>
  <c r="M98" i="110"/>
  <c r="AG97" i="110"/>
  <c r="F93" i="111"/>
  <c r="AG102" i="110"/>
  <c r="AF9" i="111"/>
  <c r="W9" i="111"/>
  <c r="W74" i="111" s="1"/>
  <c r="J93" i="111"/>
  <c r="L9" i="111"/>
  <c r="AI70" i="111"/>
  <c r="Q89" i="111"/>
  <c r="AB16" i="111"/>
  <c r="P49" i="111"/>
  <c r="AD46" i="110"/>
  <c r="AD65" i="110" s="1"/>
  <c r="M49" i="111"/>
  <c r="Q49" i="111"/>
  <c r="I49" i="111"/>
  <c r="AI64" i="110"/>
  <c r="H8" i="111"/>
  <c r="H90" i="110"/>
  <c r="H91" i="110"/>
  <c r="H56" i="110"/>
  <c r="H9" i="111"/>
  <c r="H74" i="111" s="1"/>
  <c r="C95" i="111"/>
  <c r="L91" i="110"/>
  <c r="O56" i="110"/>
  <c r="AA9" i="111"/>
  <c r="AA90" i="110"/>
  <c r="Z9" i="111"/>
  <c r="Z90" i="110"/>
  <c r="O9" i="111"/>
  <c r="Z56" i="110"/>
  <c r="Z91" i="110"/>
  <c r="U56" i="110"/>
  <c r="U9" i="111"/>
  <c r="U91" i="110"/>
  <c r="M9" i="111"/>
  <c r="M56" i="110"/>
  <c r="M91" i="110"/>
  <c r="AC9" i="111"/>
  <c r="AI8" i="110"/>
  <c r="W90" i="110"/>
  <c r="V9" i="111"/>
  <c r="V91" i="110"/>
  <c r="V56" i="110"/>
  <c r="S90" i="110"/>
  <c r="R90" i="110"/>
  <c r="R56" i="110"/>
  <c r="R91" i="110"/>
  <c r="R9" i="111"/>
  <c r="R74" i="111" s="1"/>
  <c r="Q8" i="111"/>
  <c r="P9" i="111"/>
  <c r="P91" i="110"/>
  <c r="P90" i="110"/>
  <c r="P56" i="110"/>
  <c r="X91" i="110"/>
  <c r="X90" i="110"/>
  <c r="X9" i="111"/>
  <c r="X56" i="110"/>
  <c r="N91" i="110"/>
  <c r="N9" i="111"/>
  <c r="N74" i="111" s="1"/>
  <c r="N90" i="110"/>
  <c r="N56" i="110"/>
  <c r="K9" i="111"/>
  <c r="K56" i="110"/>
  <c r="K91" i="110"/>
  <c r="G91" i="110"/>
  <c r="G9" i="111"/>
  <c r="G56" i="110"/>
  <c r="G8" i="111"/>
  <c r="F56" i="110"/>
  <c r="F90" i="110"/>
  <c r="F9" i="111"/>
  <c r="F91" i="110"/>
  <c r="F8" i="111"/>
  <c r="Y9" i="111"/>
  <c r="Y90" i="110"/>
  <c r="I9" i="111"/>
  <c r="I74" i="111" s="1"/>
  <c r="Q90" i="110"/>
  <c r="I91" i="110"/>
  <c r="S91" i="110"/>
  <c r="I90" i="110"/>
  <c r="AA56" i="110"/>
  <c r="Y56" i="110"/>
  <c r="Y91" i="110"/>
  <c r="Q61" i="110"/>
  <c r="Q91" i="110"/>
  <c r="I61" i="110"/>
  <c r="Q9" i="111"/>
  <c r="Q56" i="110"/>
  <c r="X92" i="110"/>
  <c r="G47" i="110"/>
  <c r="G19" i="109"/>
  <c r="D19" i="109" s="1"/>
  <c r="G20" i="109"/>
  <c r="D20" i="109" s="1"/>
  <c r="AE37" i="110"/>
  <c r="I37" i="110"/>
  <c r="AE62" i="110"/>
  <c r="AE91" i="110"/>
  <c r="AE56" i="110"/>
  <c r="AE90" i="110"/>
  <c r="D38" i="31" l="1"/>
  <c r="G7" i="31"/>
  <c r="S7" i="31" s="1"/>
  <c r="G10" i="23"/>
  <c r="G43" i="23" s="1"/>
  <c r="H7" i="29"/>
  <c r="C39" i="29"/>
  <c r="C38" i="29"/>
  <c r="Q30" i="110"/>
  <c r="Q15" i="110"/>
  <c r="F54" i="110"/>
  <c r="F15" i="110"/>
  <c r="W82" i="110"/>
  <c r="W94" i="110" s="1"/>
  <c r="M28" i="29"/>
  <c r="X82" i="110"/>
  <c r="X94" i="110" s="1"/>
  <c r="M29" i="29"/>
  <c r="P82" i="110"/>
  <c r="M21" i="29"/>
  <c r="I82" i="110"/>
  <c r="I94" i="110" s="1"/>
  <c r="M14" i="29"/>
  <c r="Q54" i="111"/>
  <c r="Q84" i="111" s="1"/>
  <c r="M22" i="29"/>
  <c r="J54" i="111"/>
  <c r="M15" i="29"/>
  <c r="K8" i="29"/>
  <c r="K38" i="29" s="1"/>
  <c r="M38" i="29" s="1"/>
  <c r="O38" i="29" s="1"/>
  <c r="I8" i="29"/>
  <c r="U82" i="110"/>
  <c r="U94" i="110" s="1"/>
  <c r="M26" i="29"/>
  <c r="T82" i="110"/>
  <c r="M25" i="29"/>
  <c r="AB63" i="111"/>
  <c r="AB62" i="111"/>
  <c r="B78" i="110"/>
  <c r="AG47" i="111"/>
  <c r="AE78" i="110" s="1"/>
  <c r="S54" i="111"/>
  <c r="M24" i="29"/>
  <c r="G89" i="111"/>
  <c r="AG87" i="111"/>
  <c r="AG89" i="111" s="1"/>
  <c r="K43" i="23"/>
  <c r="M82" i="110"/>
  <c r="M94" i="110" s="1"/>
  <c r="M18" i="29"/>
  <c r="N82" i="110"/>
  <c r="N94" i="110" s="1"/>
  <c r="M19" i="29"/>
  <c r="L82" i="110"/>
  <c r="L94" i="110" s="1"/>
  <c r="M17" i="29"/>
  <c r="B70" i="111"/>
  <c r="AG86" i="111"/>
  <c r="B82" i="110"/>
  <c r="B94" i="110" s="1"/>
  <c r="Z38" i="31"/>
  <c r="D82" i="110"/>
  <c r="D94" i="110" s="1"/>
  <c r="AF54" i="111"/>
  <c r="AF84" i="111" s="1"/>
  <c r="U54" i="111"/>
  <c r="T54" i="111"/>
  <c r="AE54" i="111"/>
  <c r="AC54" i="111"/>
  <c r="V54" i="111"/>
  <c r="V84" i="111" s="1"/>
  <c r="W54" i="111"/>
  <c r="W84" i="111" s="1"/>
  <c r="Y54" i="111"/>
  <c r="Y84" i="111" s="1"/>
  <c r="Z54" i="111"/>
  <c r="AA54" i="111"/>
  <c r="AA84" i="111" s="1"/>
  <c r="AD54" i="111"/>
  <c r="X54" i="111"/>
  <c r="X84" i="111" s="1"/>
  <c r="AB54" i="111"/>
  <c r="AB84" i="111" s="1"/>
  <c r="B114" i="110"/>
  <c r="E82" i="110"/>
  <c r="E94" i="110" s="1"/>
  <c r="H82" i="110"/>
  <c r="H94" i="110" s="1"/>
  <c r="F54" i="111"/>
  <c r="AG8" i="111"/>
  <c r="AI8" i="111" s="1"/>
  <c r="AC84" i="11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A64" i="111"/>
  <c r="AF68" i="111"/>
  <c r="AF26" i="111"/>
  <c r="AF80" i="111"/>
  <c r="AF59" i="111"/>
  <c r="AF69" i="111"/>
  <c r="AF74" i="111"/>
  <c r="AF67" i="111"/>
  <c r="AF72" i="111"/>
  <c r="AF75" i="111"/>
  <c r="AF73" i="111"/>
  <c r="AF64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R92" i="110"/>
  <c r="X15" i="111"/>
  <c r="N38" i="109"/>
  <c r="G19" i="110"/>
  <c r="L19" i="110"/>
  <c r="L26" i="110" s="1"/>
  <c r="D38" i="29"/>
  <c r="M38" i="109"/>
  <c r="J38" i="109"/>
  <c r="G38" i="31"/>
  <c r="C15" i="111"/>
  <c r="B37" i="111"/>
  <c r="Q38" i="31"/>
  <c r="E38" i="29"/>
  <c r="D19" i="110"/>
  <c r="B15" i="111"/>
  <c r="C38" i="109"/>
  <c r="T7" i="31"/>
  <c r="T38" i="31" s="1"/>
  <c r="T31" i="28"/>
  <c r="BG31" i="28"/>
  <c r="AL31" i="28"/>
  <c r="AX31" i="28"/>
  <c r="AO31" i="28"/>
  <c r="CQ31" i="28"/>
  <c r="Z31" i="28"/>
  <c r="CE31" i="28"/>
  <c r="BY31" i="28"/>
  <c r="BV31" i="28"/>
  <c r="AC31" i="28"/>
  <c r="CN31" i="28"/>
  <c r="BS31" i="28"/>
  <c r="CW31" i="28"/>
  <c r="AI31" i="28"/>
  <c r="BP31" i="28"/>
  <c r="AU31" i="28"/>
  <c r="CB31" i="28"/>
  <c r="CH31" i="28"/>
  <c r="W31" i="28"/>
  <c r="BD31" i="28"/>
  <c r="AF31" i="28"/>
  <c r="BM31" i="28"/>
  <c r="CT31" i="28"/>
  <c r="AR31" i="28"/>
  <c r="CK31" i="28"/>
  <c r="BA31" i="28"/>
  <c r="CZ31" i="28"/>
  <c r="BJ31" i="28"/>
  <c r="Q52" i="111"/>
  <c r="Q101" i="111" s="1"/>
  <c r="Q114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88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3" i="110"/>
  <c r="AE83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G60" i="110" s="1"/>
  <c r="U17" i="111"/>
  <c r="M17" i="111"/>
  <c r="G28" i="109"/>
  <c r="S63" i="110"/>
  <c r="O71" i="111"/>
  <c r="O82" i="110"/>
  <c r="O94" i="110" s="1"/>
  <c r="K45" i="110"/>
  <c r="K31" i="110" s="1"/>
  <c r="K29" i="110"/>
  <c r="Z28" i="111"/>
  <c r="Z62" i="111" s="1"/>
  <c r="Y20" i="110"/>
  <c r="P47" i="110"/>
  <c r="AD63" i="110"/>
  <c r="Q46" i="110"/>
  <c r="Q65" i="110" s="1"/>
  <c r="AB23" i="111"/>
  <c r="AB25" i="111" s="1"/>
  <c r="AB26" i="111" s="1"/>
  <c r="X63" i="111"/>
  <c r="T39" i="111"/>
  <c r="Q54" i="110"/>
  <c r="AA30" i="110"/>
  <c r="O44" i="110"/>
  <c r="O62" i="110" s="1"/>
  <c r="I39" i="110"/>
  <c r="I57" i="110" s="1"/>
  <c r="I30" i="28"/>
  <c r="E33" i="111"/>
  <c r="J40" i="111"/>
  <c r="N92" i="110"/>
  <c r="AE114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46" i="110"/>
  <c r="AA65" i="110" s="1"/>
  <c r="AE92" i="110"/>
  <c r="AC34" i="111"/>
  <c r="AC69" i="111" s="1"/>
  <c r="AA34" i="111"/>
  <c r="AA69" i="111" s="1"/>
  <c r="V29" i="111"/>
  <c r="V64" i="111" s="1"/>
  <c r="U96" i="111"/>
  <c r="Q28" i="110"/>
  <c r="Q37" i="111"/>
  <c r="Q73" i="111" s="1"/>
  <c r="K23" i="109"/>
  <c r="H39" i="110"/>
  <c r="H57" i="110" s="1"/>
  <c r="O36" i="110"/>
  <c r="C36" i="110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Q92" i="110"/>
  <c r="B65" i="110"/>
  <c r="I21" i="28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I32" i="28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B22" i="110" s="1"/>
  <c r="K17" i="109"/>
  <c r="I34" i="28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L92" i="110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I24" i="28"/>
  <c r="X29" i="110"/>
  <c r="E47" i="110"/>
  <c r="W39" i="111"/>
  <c r="W75" i="111" s="1"/>
  <c r="Y31" i="111"/>
  <c r="AB40" i="111"/>
  <c r="AA32" i="111"/>
  <c r="AA67" i="111" s="1"/>
  <c r="Q34" i="111"/>
  <c r="Q69" i="111" s="1"/>
  <c r="I20" i="28"/>
  <c r="R36" i="111"/>
  <c r="R72" i="111" s="1"/>
  <c r="X44" i="110"/>
  <c r="X62" i="110" s="1"/>
  <c r="M34" i="111"/>
  <c r="M69" i="111" s="1"/>
  <c r="N24" i="111"/>
  <c r="H46" i="110"/>
  <c r="H65" i="110" s="1"/>
  <c r="I25" i="28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G15" i="110" s="1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4" i="28"/>
  <c r="I16" i="111"/>
  <c r="V17" i="111"/>
  <c r="I8" i="28"/>
  <c r="K20" i="109"/>
  <c r="X33" i="111"/>
  <c r="X68" i="111" s="1"/>
  <c r="S24" i="111"/>
  <c r="S20" i="110"/>
  <c r="R36" i="110"/>
  <c r="R15" i="110" s="1"/>
  <c r="J29" i="110"/>
  <c r="K17" i="111"/>
  <c r="I54" i="111"/>
  <c r="I84" i="111" s="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I10" i="28"/>
  <c r="I13" i="28"/>
  <c r="H16" i="111"/>
  <c r="H41" i="110"/>
  <c r="H59" i="110" s="1"/>
  <c r="D9" i="111"/>
  <c r="B56" i="110"/>
  <c r="B91" i="110"/>
  <c r="B61" i="110"/>
  <c r="AG49" i="111"/>
  <c r="R71" i="111"/>
  <c r="B90" i="110"/>
  <c r="B59" i="110"/>
  <c r="O67" i="111"/>
  <c r="M80" i="111"/>
  <c r="M74" i="111"/>
  <c r="K13" i="109"/>
  <c r="I10" i="109"/>
  <c r="C52" i="111"/>
  <c r="C101" i="111" s="1"/>
  <c r="B36" i="110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92" i="110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2" i="110"/>
  <c r="AA94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2" i="110"/>
  <c r="S94" i="110" s="1"/>
  <c r="O45" i="110"/>
  <c r="P54" i="111"/>
  <c r="P84" i="111" s="1"/>
  <c r="P94" i="110"/>
  <c r="M45" i="110"/>
  <c r="M63" i="110" s="1"/>
  <c r="N54" i="111"/>
  <c r="N84" i="111" s="1"/>
  <c r="M92" i="110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2" i="110"/>
  <c r="K94" i="110" s="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J40" i="110"/>
  <c r="I27" i="28"/>
  <c r="I7" i="28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F34" i="111"/>
  <c r="F69" i="111" s="1"/>
  <c r="V71" i="110"/>
  <c r="V96" i="111"/>
  <c r="I23" i="28"/>
  <c r="O33" i="111"/>
  <c r="O68" i="111" s="1"/>
  <c r="J25" i="111"/>
  <c r="M40" i="111"/>
  <c r="O96" i="111"/>
  <c r="G24" i="111"/>
  <c r="I19" i="28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2" i="110"/>
  <c r="AB94" i="110" s="1"/>
  <c r="AG101" i="110"/>
  <c r="AG103" i="110" s="1"/>
  <c r="J82" i="110"/>
  <c r="J94" i="110" s="1"/>
  <c r="D52" i="111"/>
  <c r="D101" i="111" s="1"/>
  <c r="L54" i="111"/>
  <c r="L84" i="111" s="1"/>
  <c r="G63" i="111"/>
  <c r="D58" i="110"/>
  <c r="F80" i="111"/>
  <c r="F68" i="111"/>
  <c r="D91" i="110"/>
  <c r="D61" i="110"/>
  <c r="F74" i="111"/>
  <c r="R80" i="111"/>
  <c r="U69" i="111"/>
  <c r="B9" i="111"/>
  <c r="D56" i="110"/>
  <c r="F72" i="111"/>
  <c r="F71" i="111"/>
  <c r="R81" i="111"/>
  <c r="U62" i="111"/>
  <c r="F81" i="111"/>
  <c r="F66" i="111"/>
  <c r="U73" i="111"/>
  <c r="U80" i="111"/>
  <c r="Q74" i="111"/>
  <c r="Q75" i="111"/>
  <c r="Q71" i="111"/>
  <c r="AE20" i="110"/>
  <c r="AE22" i="110" s="1"/>
  <c r="AE88" i="110" s="1"/>
  <c r="AD41" i="110"/>
  <c r="AD59" i="110" s="1"/>
  <c r="AC82" i="110"/>
  <c r="AC94" i="110" s="1"/>
  <c r="Y24" i="111"/>
  <c r="Z96" i="111"/>
  <c r="Z33" i="111"/>
  <c r="Z68" i="111" s="1"/>
  <c r="Z45" i="110"/>
  <c r="Z82" i="110"/>
  <c r="Z94" i="110" s="1"/>
  <c r="X21" i="110"/>
  <c r="X80" i="111"/>
  <c r="X75" i="111"/>
  <c r="W92" i="110"/>
  <c r="K28" i="109"/>
  <c r="V82" i="110"/>
  <c r="V94" i="110" s="1"/>
  <c r="V39" i="111"/>
  <c r="V75" i="111" s="1"/>
  <c r="V16" i="111"/>
  <c r="W32" i="111"/>
  <c r="W67" i="111" s="1"/>
  <c r="V24" i="111"/>
  <c r="U8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G54" i="111"/>
  <c r="G84" i="111" s="1"/>
  <c r="G82" i="110"/>
  <c r="G94" i="110" s="1"/>
  <c r="C28" i="110"/>
  <c r="C37" i="111"/>
  <c r="C96" i="111"/>
  <c r="C110" i="110"/>
  <c r="AG110" i="110" s="1"/>
  <c r="B71" i="110"/>
  <c r="G7" i="109"/>
  <c r="D7" i="109" s="1"/>
  <c r="C20" i="110"/>
  <c r="C90" i="110"/>
  <c r="C9" i="111"/>
  <c r="C64" i="111" s="1"/>
  <c r="X62" i="111"/>
  <c r="C59" i="110"/>
  <c r="C63" i="110"/>
  <c r="L67" i="111"/>
  <c r="C61" i="110"/>
  <c r="L71" i="111"/>
  <c r="Q81" i="111"/>
  <c r="I81" i="111"/>
  <c r="X72" i="111"/>
  <c r="X74" i="111"/>
  <c r="X71" i="111"/>
  <c r="C57" i="110"/>
  <c r="D62" i="110"/>
  <c r="Q80" i="111"/>
  <c r="I75" i="111"/>
  <c r="X81" i="111"/>
  <c r="L74" i="111"/>
  <c r="AD69" i="110"/>
  <c r="C91" i="110"/>
  <c r="C92" i="110"/>
  <c r="X67" i="111"/>
  <c r="N28" i="111"/>
  <c r="N62" i="111" s="1"/>
  <c r="N36" i="110"/>
  <c r="N15" i="110" s="1"/>
  <c r="Q40" i="110"/>
  <c r="Q32" i="111"/>
  <c r="Q67" i="111" s="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72" i="111" s="1"/>
  <c r="Q44" i="110"/>
  <c r="Q62" i="110" s="1"/>
  <c r="Q69" i="110" s="1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Q57" i="110" s="1"/>
  <c r="S31" i="111"/>
  <c r="S66" i="111" s="1"/>
  <c r="Q31" i="111"/>
  <c r="Q66" i="111" s="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I31" i="28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28" i="111"/>
  <c r="E63" i="111" s="1"/>
  <c r="AA28" i="111"/>
  <c r="AA63" i="111" s="1"/>
  <c r="G15" i="109"/>
  <c r="D15" i="109" s="1"/>
  <c r="Y33" i="111"/>
  <c r="Y68" i="111" s="1"/>
  <c r="Y41" i="110"/>
  <c r="Y59" i="110" s="1"/>
  <c r="I12" i="28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G104" i="110"/>
  <c r="I12" i="109"/>
  <c r="B28" i="111"/>
  <c r="B63" i="111" s="1"/>
  <c r="P63" i="111"/>
  <c r="L36" i="111"/>
  <c r="L72" i="111" s="1"/>
  <c r="K19" i="109"/>
  <c r="Z26" i="110"/>
  <c r="I30" i="109"/>
  <c r="Y82" i="110"/>
  <c r="Y94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4" i="110"/>
  <c r="F82" i="110"/>
  <c r="F94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T59" i="110"/>
  <c r="T94" i="110"/>
  <c r="T9" i="111"/>
  <c r="J9" i="111"/>
  <c r="F84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S84" i="111"/>
  <c r="M81" i="111"/>
  <c r="O80" i="111"/>
  <c r="M71" i="111"/>
  <c r="T91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J92" i="110"/>
  <c r="F60" i="110"/>
  <c r="E40" i="110"/>
  <c r="E32" i="111"/>
  <c r="L38" i="31"/>
  <c r="E46" i="110"/>
  <c r="E65" i="110" s="1"/>
  <c r="E39" i="111"/>
  <c r="V45" i="110"/>
  <c r="V37" i="111"/>
  <c r="Q41" i="110"/>
  <c r="Q59" i="110" s="1"/>
  <c r="S33" i="111"/>
  <c r="S68" i="111" s="1"/>
  <c r="Q33" i="111"/>
  <c r="Q68" i="111" s="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28"/>
  <c r="I9" i="28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I18" i="28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I22" i="28"/>
  <c r="AG35" i="11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92" i="110"/>
  <c r="T114" i="110"/>
  <c r="I92" i="110"/>
  <c r="I114" i="110"/>
  <c r="Z92" i="110"/>
  <c r="Z114" i="110"/>
  <c r="J52" i="111"/>
  <c r="J101" i="111" s="1"/>
  <c r="Q82" i="110"/>
  <c r="Q94" i="110" s="1"/>
  <c r="AD82" i="110"/>
  <c r="AD94" i="110" s="1"/>
  <c r="B54" i="111"/>
  <c r="G80" i="111"/>
  <c r="AE82" i="110"/>
  <c r="AE94" i="110" s="1"/>
  <c r="S80" i="111"/>
  <c r="R54" i="111"/>
  <c r="R84" i="111" s="1"/>
  <c r="AA92" i="110"/>
  <c r="R82" i="110"/>
  <c r="R94" i="110" s="1"/>
  <c r="G81" i="111"/>
  <c r="G62" i="111"/>
  <c r="G82" i="111"/>
  <c r="G74" i="111"/>
  <c r="G72" i="111"/>
  <c r="G71" i="111"/>
  <c r="E56" i="110"/>
  <c r="E91" i="110"/>
  <c r="E61" i="110"/>
  <c r="E90" i="110"/>
  <c r="E9" i="111"/>
  <c r="Z84" i="111"/>
  <c r="Z81" i="111"/>
  <c r="Z80" i="111"/>
  <c r="Y81" i="111"/>
  <c r="U71" i="111"/>
  <c r="G21" i="109"/>
  <c r="D21" i="109" s="1"/>
  <c r="R62" i="111"/>
  <c r="P62" i="110"/>
  <c r="P80" i="111"/>
  <c r="P62" i="111"/>
  <c r="P72" i="111"/>
  <c r="P74" i="111"/>
  <c r="N38" i="31"/>
  <c r="O57" i="110"/>
  <c r="O60" i="110"/>
  <c r="O59" i="110"/>
  <c r="O114" i="110"/>
  <c r="P52" i="111"/>
  <c r="O101" i="111"/>
  <c r="O82" i="111"/>
  <c r="O54" i="111"/>
  <c r="O61" i="110"/>
  <c r="O91" i="110"/>
  <c r="O72" i="111"/>
  <c r="O65" i="110"/>
  <c r="E54" i="110" l="1"/>
  <c r="E15" i="110"/>
  <c r="S54" i="110"/>
  <c r="S15" i="110"/>
  <c r="L30" i="110"/>
  <c r="L15" i="110"/>
  <c r="AG71" i="110"/>
  <c r="H30" i="110"/>
  <c r="H32" i="110" s="1"/>
  <c r="H15" i="110"/>
  <c r="O30" i="110"/>
  <c r="O15" i="110"/>
  <c r="D54" i="110"/>
  <c r="D15" i="110"/>
  <c r="C30" i="110"/>
  <c r="C32" i="110" s="1"/>
  <c r="C15" i="110"/>
  <c r="H38" i="29"/>
  <c r="AG19" i="110"/>
  <c r="C54" i="111"/>
  <c r="AG54" i="111" s="1"/>
  <c r="Q62" i="111"/>
  <c r="AC62" i="111"/>
  <c r="Y62" i="111"/>
  <c r="Y78" i="111" s="1"/>
  <c r="C54" i="110"/>
  <c r="C68" i="110" s="1"/>
  <c r="C82" i="110"/>
  <c r="C94" i="110" s="1"/>
  <c r="M8" i="29"/>
  <c r="AB38" i="31"/>
  <c r="AD38" i="31" s="1"/>
  <c r="Q82" i="111"/>
  <c r="B88" i="110"/>
  <c r="AA62" i="111"/>
  <c r="AA78" i="111" s="1"/>
  <c r="Z63" i="111"/>
  <c r="AG29" i="110"/>
  <c r="AG41" i="110"/>
  <c r="AG59" i="110" s="1"/>
  <c r="AI59" i="110" s="1"/>
  <c r="AG20" i="110"/>
  <c r="AG40" i="110"/>
  <c r="AG58" i="110" s="1"/>
  <c r="AI58" i="110" s="1"/>
  <c r="E26" i="110"/>
  <c r="B63" i="110"/>
  <c r="AG45" i="110"/>
  <c r="B54" i="110"/>
  <c r="AG36" i="110"/>
  <c r="AG54" i="110" s="1"/>
  <c r="AG21" i="110"/>
  <c r="B57" i="110"/>
  <c r="AG39" i="110"/>
  <c r="AG57" i="110" s="1"/>
  <c r="AI57" i="110" s="1"/>
  <c r="AG28" i="110"/>
  <c r="AG83" i="110"/>
  <c r="AG37" i="110"/>
  <c r="AG55" i="110" s="1"/>
  <c r="AI55" i="110" s="1"/>
  <c r="AB26" i="110"/>
  <c r="H22" i="110"/>
  <c r="H88" i="110" s="1"/>
  <c r="W26" i="110"/>
  <c r="AF79" i="111"/>
  <c r="Q22" i="110"/>
  <c r="Q88" i="110" s="1"/>
  <c r="H26" i="110"/>
  <c r="AF78" i="111"/>
  <c r="L18" i="109"/>
  <c r="E22" i="110"/>
  <c r="E88" i="110" s="1"/>
  <c r="S38" i="31"/>
  <c r="I22" i="110"/>
  <c r="I88" i="110" s="1"/>
  <c r="X21" i="111"/>
  <c r="AG15" i="111"/>
  <c r="I26" i="110"/>
  <c r="AG9" i="111"/>
  <c r="B21" i="111"/>
  <c r="C21" i="111"/>
  <c r="C18" i="111"/>
  <c r="C59" i="111" s="1"/>
  <c r="D26" i="110"/>
  <c r="G26" i="110"/>
  <c r="L22" i="110"/>
  <c r="L88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88" i="110" s="1"/>
  <c r="S50" i="110"/>
  <c r="B101" i="111"/>
  <c r="AG52" i="111"/>
  <c r="AG101" i="111" s="1"/>
  <c r="K38" i="109"/>
  <c r="D40" i="31"/>
  <c r="D43" i="31" s="1"/>
  <c r="D45" i="31" s="1"/>
  <c r="D47" i="31" s="1"/>
  <c r="D49" i="31" s="1"/>
  <c r="G38" i="109"/>
  <c r="G69" i="110"/>
  <c r="P22" i="110"/>
  <c r="P88" i="110" s="1"/>
  <c r="T50" i="110"/>
  <c r="B74" i="111"/>
  <c r="K50" i="110"/>
  <c r="Y50" i="110"/>
  <c r="G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Q58" i="110"/>
  <c r="Q50" i="110"/>
  <c r="I58" i="110"/>
  <c r="I50" i="110"/>
  <c r="E58" i="110"/>
  <c r="E50" i="110"/>
  <c r="AB58" i="110"/>
  <c r="AB50" i="110"/>
  <c r="B58" i="110"/>
  <c r="B50" i="110"/>
  <c r="W18" i="111"/>
  <c r="W59" i="111" s="1"/>
  <c r="R22" i="110"/>
  <c r="R88" i="110" s="1"/>
  <c r="X18" i="111"/>
  <c r="X59" i="111" s="1"/>
  <c r="B26" i="110"/>
  <c r="F22" i="110"/>
  <c r="F88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Q26" i="111" s="1"/>
  <c r="L31" i="109"/>
  <c r="Y22" i="110"/>
  <c r="Y88" i="110" s="1"/>
  <c r="H38" i="30"/>
  <c r="P25" i="111"/>
  <c r="P26" i="111" s="1"/>
  <c r="O92" i="110"/>
  <c r="AA22" i="110"/>
  <c r="AA88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Q32" i="110"/>
  <c r="O22" i="110"/>
  <c r="O88" i="110" s="1"/>
  <c r="O12" i="109"/>
  <c r="R12" i="109" s="1"/>
  <c r="L26" i="109"/>
  <c r="N25" i="111"/>
  <c r="N26" i="111" s="1"/>
  <c r="N63" i="111"/>
  <c r="O24" i="109"/>
  <c r="R24" i="109" s="1"/>
  <c r="N82" i="111"/>
  <c r="C22" i="110"/>
  <c r="C88" i="110" s="1"/>
  <c r="Q21" i="111"/>
  <c r="M82" i="111"/>
  <c r="O17" i="109"/>
  <c r="R17" i="109" s="1"/>
  <c r="O9" i="109"/>
  <c r="R9" i="109" s="1"/>
  <c r="L27" i="109"/>
  <c r="X22" i="110"/>
  <c r="X88" i="110" s="1"/>
  <c r="L14" i="109"/>
  <c r="O21" i="111"/>
  <c r="AE31" i="110"/>
  <c r="AE32" i="110" s="1"/>
  <c r="AE63" i="110"/>
  <c r="Q63" i="110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92" i="110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4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88" i="110" s="1"/>
  <c r="S22" i="110"/>
  <c r="S88" i="110" s="1"/>
  <c r="N22" i="110"/>
  <c r="N88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G54" i="110"/>
  <c r="H54" i="110"/>
  <c r="W21" i="111"/>
  <c r="U22" i="110"/>
  <c r="U88" i="110" s="1"/>
  <c r="N31" i="110"/>
  <c r="N63" i="110"/>
  <c r="U18" i="111"/>
  <c r="U59" i="111" s="1"/>
  <c r="O14" i="109"/>
  <c r="R14" i="109" s="1"/>
  <c r="E92" i="110"/>
  <c r="L101" i="111"/>
  <c r="L82" i="111"/>
  <c r="F114" i="110"/>
  <c r="F92" i="110"/>
  <c r="AD30" i="110"/>
  <c r="AD32" i="110" s="1"/>
  <c r="AD54" i="110"/>
  <c r="AC31" i="110"/>
  <c r="AC63" i="110"/>
  <c r="AC114" i="110"/>
  <c r="AC92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88" i="110" s="1"/>
  <c r="AB30" i="110"/>
  <c r="AB15" i="110"/>
  <c r="AB54" i="110"/>
  <c r="AB114" i="110"/>
  <c r="AB92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4" i="110"/>
  <c r="Y92" i="110"/>
  <c r="O29" i="109"/>
  <c r="R29" i="109" s="1"/>
  <c r="W22" i="110"/>
  <c r="W88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4" i="110"/>
  <c r="K92" i="110"/>
  <c r="K62" i="111"/>
  <c r="K78" i="111" s="1"/>
  <c r="K79" i="111"/>
  <c r="H42" i="111"/>
  <c r="H114" i="110"/>
  <c r="H92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L32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4" i="110"/>
  <c r="AD92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4" i="110"/>
  <c r="U82" i="111"/>
  <c r="U114" i="110"/>
  <c r="U92" i="110"/>
  <c r="T31" i="110"/>
  <c r="T63" i="110"/>
  <c r="T71" i="111"/>
  <c r="AG36" i="111"/>
  <c r="N30" i="110"/>
  <c r="N54" i="110"/>
  <c r="N79" i="111"/>
  <c r="O19" i="109"/>
  <c r="R19" i="109" s="1"/>
  <c r="AG31" i="111"/>
  <c r="C69" i="110"/>
  <c r="AG42" i="110"/>
  <c r="B69" i="110"/>
  <c r="B62" i="111"/>
  <c r="C72" i="111"/>
  <c r="C26" i="111"/>
  <c r="C71" i="111"/>
  <c r="C62" i="111"/>
  <c r="C67" i="111"/>
  <c r="C42" i="111"/>
  <c r="Q79" i="111"/>
  <c r="L79" i="111"/>
  <c r="X42" i="111"/>
  <c r="X73" i="111"/>
  <c r="X78" i="111" s="1"/>
  <c r="AG37" i="111"/>
  <c r="S79" i="111"/>
  <c r="AB42" i="111"/>
  <c r="Y42" i="111"/>
  <c r="I79" i="111"/>
  <c r="M22" i="110"/>
  <c r="M88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G47" i="110"/>
  <c r="W15" i="110"/>
  <c r="W30" i="110"/>
  <c r="O30" i="109"/>
  <c r="R30" i="109" s="1"/>
  <c r="L29" i="109"/>
  <c r="AD22" i="110"/>
  <c r="AD88" i="110" s="1"/>
  <c r="X82" i="111"/>
  <c r="AB22" i="110"/>
  <c r="AB88" i="110" s="1"/>
  <c r="AC42" i="111"/>
  <c r="AC79" i="111"/>
  <c r="W78" i="111"/>
  <c r="W79" i="111"/>
  <c r="E22" i="111"/>
  <c r="E18" i="111"/>
  <c r="E59" i="111" s="1"/>
  <c r="I62" i="110"/>
  <c r="I69" i="110" s="1"/>
  <c r="AG44" i="110"/>
  <c r="AG62" i="110" s="1"/>
  <c r="AI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G46" i="110"/>
  <c r="AG65" i="110" s="1"/>
  <c r="AI65" i="110" s="1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88" i="110" s="1"/>
  <c r="AG40" i="111"/>
  <c r="K21" i="111"/>
  <c r="K18" i="111"/>
  <c r="K59" i="111" s="1"/>
  <c r="T22" i="110"/>
  <c r="T88" i="110" s="1"/>
  <c r="T26" i="110"/>
  <c r="I30" i="110"/>
  <c r="I32" i="110" s="1"/>
  <c r="I54" i="110"/>
  <c r="D42" i="111"/>
  <c r="D68" i="111"/>
  <c r="AC30" i="110"/>
  <c r="AG33" i="111"/>
  <c r="V22" i="110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AG29" i="111"/>
  <c r="B42" i="111"/>
  <c r="N67" i="111"/>
  <c r="N42" i="111"/>
  <c r="K22" i="110"/>
  <c r="K88" i="110" s="1"/>
  <c r="Q42" i="111"/>
  <c r="Q64" i="111"/>
  <c r="Q78" i="111" s="1"/>
  <c r="AG32" i="111"/>
  <c r="E42" i="111"/>
  <c r="T82" i="111"/>
  <c r="T101" i="111"/>
  <c r="G114" i="110"/>
  <c r="G92" i="110"/>
  <c r="D92" i="110"/>
  <c r="D114" i="110"/>
  <c r="G79" i="111"/>
  <c r="AG61" i="110"/>
  <c r="AI61" i="110" s="1"/>
  <c r="AI91" i="110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AG56" i="110"/>
  <c r="AI56" i="110" s="1"/>
  <c r="E69" i="110"/>
  <c r="Z79" i="111"/>
  <c r="U79" i="111"/>
  <c r="P114" i="110"/>
  <c r="P92" i="110"/>
  <c r="P101" i="111"/>
  <c r="P82" i="111"/>
  <c r="P78" i="111"/>
  <c r="O69" i="110"/>
  <c r="O79" i="111"/>
  <c r="O84" i="111"/>
  <c r="C84" i="111" l="1"/>
  <c r="AG98" i="110"/>
  <c r="AI98" i="110" s="1"/>
  <c r="AG60" i="110"/>
  <c r="AI60" i="110" s="1"/>
  <c r="AI69" i="110" s="1"/>
  <c r="O32" i="110"/>
  <c r="AG31" i="110"/>
  <c r="AG63" i="110"/>
  <c r="AI63" i="110" s="1"/>
  <c r="V88" i="110"/>
  <c r="AG22" i="110"/>
  <c r="AG88" i="110" s="1"/>
  <c r="AG82" i="110"/>
  <c r="AG94" i="110" s="1"/>
  <c r="AJ94" i="110" s="1"/>
  <c r="AG50" i="110"/>
  <c r="B68" i="110"/>
  <c r="AG30" i="110"/>
  <c r="AI54" i="110"/>
  <c r="AG26" i="110"/>
  <c r="AG62" i="111"/>
  <c r="AJ92" i="110"/>
  <c r="AG81" i="111"/>
  <c r="AI81" i="111" s="1"/>
  <c r="AG80" i="111"/>
  <c r="AI80" i="111" s="1"/>
  <c r="P44" i="23"/>
  <c r="Q44" i="23" s="1"/>
  <c r="R44" i="23" s="1"/>
  <c r="D38" i="109"/>
  <c r="AE68" i="110"/>
  <c r="AC32" i="110"/>
  <c r="B32" i="110"/>
  <c r="AG114" i="110"/>
  <c r="AD68" i="110"/>
  <c r="V68" i="110"/>
  <c r="F68" i="110"/>
  <c r="Q68" i="110"/>
  <c r="E68" i="110"/>
  <c r="Z78" i="111"/>
  <c r="L68" i="110"/>
  <c r="H68" i="110"/>
  <c r="M68" i="110"/>
  <c r="K68" i="110"/>
  <c r="V78" i="111"/>
  <c r="AG42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C78" i="111"/>
  <c r="T68" i="110"/>
  <c r="T79" i="111"/>
  <c r="W32" i="110"/>
  <c r="C79" i="111"/>
  <c r="I68" i="110"/>
  <c r="AG21" i="111"/>
  <c r="AG18" i="111"/>
  <c r="AG59" i="111" s="1"/>
  <c r="AI59" i="111" s="1"/>
  <c r="AH21" i="111"/>
  <c r="AJ21" i="111" s="1"/>
  <c r="J79" i="111"/>
  <c r="J78" i="111"/>
  <c r="T78" i="111"/>
  <c r="S69" i="110"/>
  <c r="S68" i="110"/>
  <c r="E79" i="111"/>
  <c r="U69" i="110"/>
  <c r="U68" i="110"/>
  <c r="AH26" i="110"/>
  <c r="AJ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4" i="111"/>
  <c r="AI64" i="111" s="1"/>
  <c r="AG69" i="111"/>
  <c r="AG73" i="111"/>
  <c r="AI73" i="111" s="1"/>
  <c r="AG72" i="111"/>
  <c r="AI72" i="111" s="1"/>
  <c r="AG71" i="111"/>
  <c r="AI71" i="111" s="1"/>
  <c r="AG84" i="111"/>
  <c r="AI84" i="111" s="1"/>
  <c r="E78" i="111"/>
  <c r="AG82" i="111"/>
  <c r="AI82" i="111" s="1"/>
  <c r="AI94" i="110" l="1"/>
  <c r="AI92" i="110"/>
  <c r="AI88" i="110"/>
  <c r="AG32" i="110"/>
  <c r="R34" i="109"/>
  <c r="AG69" i="110"/>
  <c r="AG68" i="110"/>
  <c r="AI69" i="111"/>
  <c r="AI79" i="111" s="1"/>
  <c r="AG79" i="111"/>
  <c r="AI62" i="111"/>
  <c r="AI68" i="110"/>
  <c r="AJ88" i="110" l="1"/>
  <c r="D93" i="111"/>
  <c r="D63" i="111" s="1"/>
  <c r="D78" i="111" s="1"/>
  <c r="C93" i="111" l="1"/>
  <c r="AG15" i="110" l="1"/>
  <c r="AI15" i="110" s="1"/>
  <c r="AG93" i="11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AK3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 xml:space="preserve">Ellon:
Please insert CO2 readings from CO2 Gas Collection sheet. Readings should be 6:30 Hrs. Readings.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A14" authorId="0" shapeId="0" xr:uid="{AED08306-CF65-4FDC-B03C-39DD483944FC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Glycol Leaking in  FV5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Anthony Foresyth</author>
    <author>Delano Pasea</author>
    <author>Alexander Dominguez-Ramon</author>
  </authors>
  <commentList>
    <comment ref="J6" authorId="0" shapeId="0" xr:uid="{2283BF4D-8646-4610-ADC4-61F46FF6D0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public Holiday</t>
        </r>
      </text>
    </comment>
    <comment ref="T6" authorId="0" shapeId="0" xr:uid="{77679FAC-1E35-4073-AEE0-A413562127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Public Holiday </t>
        </r>
      </text>
    </comment>
    <comment ref="S12" authorId="0" shapeId="0" xr:uid="{22748F0F-A3E7-40EC-929B-CC14677D62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Finish brewing by mid day- Lautern gearbox to be repaired </t>
        </r>
      </text>
    </comment>
    <comment ref="U12" authorId="0" shapeId="0" xr:uid="{B471EB21-091F-4149-9869-EAC1708329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Repair in progress</t>
        </r>
      </text>
    </comment>
    <comment ref="C42" authorId="0" shapeId="0" xr:uid="{04F6E3A5-B93A-4A97-A30C-27F543A5877B}">
      <text>
        <r>
          <rPr>
            <b/>
            <sz val="14"/>
            <color indexed="81"/>
            <rFont val="Tahoma"/>
            <family val="2"/>
          </rPr>
          <t>Reshelle Fleming:</t>
        </r>
        <r>
          <rPr>
            <sz val="14"/>
            <color indexed="81"/>
            <rFont val="Tahoma"/>
            <family val="2"/>
          </rPr>
          <t xml:space="preserve">
San Martin propose fix for caustic carry over- increase overall flow rate</t>
        </r>
      </text>
    </comment>
    <comment ref="A69" authorId="1" shapeId="0" xr:uid="{ED9D378C-2650-49E3-9B15-6A52CFC9A936}">
      <text>
        <r>
          <rPr>
            <b/>
            <sz val="12"/>
            <color indexed="81"/>
            <rFont val="Tahoma"/>
            <family val="2"/>
          </rPr>
          <t>RAntoine:</t>
        </r>
        <r>
          <rPr>
            <sz val="12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52DA9D70-5605-4A53-9945-007A8ABD8977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9700 kgs
Tank B 0 kgs 
Tank C 11800 Kgs
Mobile approx.0 kgs</t>
        </r>
      </text>
    </comment>
    <comment ref="C74" authorId="2" shapeId="0" xr:uid="{DC386678-004F-43D0-96A8-FA3B75D21DF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9700 kgs
Tank B 0 kgs 
Tank C 11800 Kgs
Mobile approx.0 kgs</t>
        </r>
      </text>
    </comment>
    <comment ref="D74" authorId="2" shapeId="0" xr:uid="{D3FA14D2-7B6B-4779-9FE0-EA1E942D311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7000 kgs
Tank B 0 kgs 
Tank C 11800 Kgs
Mobile approx.0 kgs</t>
        </r>
      </text>
    </comment>
    <comment ref="E74" authorId="2" shapeId="0" xr:uid="{68283AF3-D7FB-45BE-B615-9C5569F1892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3900 kgs
Tank B 0 kgs 
Tank C 11800 Kgs
Mobile approx.0 kgs</t>
        </r>
      </text>
    </comment>
    <comment ref="F74" authorId="2" shapeId="0" xr:uid="{E44D804F-CC43-4EC9-AA0C-4B6606AE091C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1400 kgs
Tank B 0 kgs 
Tank C 11800 Kgs
Mobile approx.0 kgs</t>
        </r>
      </text>
    </comment>
    <comment ref="G74" authorId="2" shapeId="0" xr:uid="{F8704D0C-44D5-4942-91D9-6B40E267AB4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9300 Kgs
Mobile approx.19100 kgs</t>
        </r>
      </text>
    </comment>
    <comment ref="H74" authorId="2" shapeId="0" xr:uid="{6BD376A4-643B-470C-9D9B-3A68E4C45D5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6100 Kgs
Mobile approx.19100 kgs</t>
        </r>
      </text>
    </comment>
    <comment ref="J74" authorId="2" shapeId="0" xr:uid="{7C905D34-0543-474F-9408-96B2EB2E64AC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6100 Kgs
Mobile approx.18300 kgs</t>
        </r>
      </text>
    </comment>
    <comment ref="K74" authorId="2" shapeId="0" xr:uid="{7B77A940-5F49-4A03-8D15-338EFEAB3F39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6100 Kgs
Mobile approx.18300 kgs</t>
        </r>
      </text>
    </comment>
    <comment ref="L74" authorId="2" shapeId="0" xr:uid="{41D6DBE0-EC5C-4E75-AB04-832B16474D06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4400Kgs
Mobile approx.18300 kgs</t>
        </r>
      </text>
    </comment>
    <comment ref="M74" authorId="2" shapeId="0" xr:uid="{2ED0C103-233D-4000-8992-68095640C87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20000Kgs
Mobile approx.0 kgs</t>
        </r>
      </text>
    </comment>
    <comment ref="N74" authorId="2" shapeId="0" xr:uid="{3EABD0DF-26D3-4E88-A8B9-0553AE097E2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17500Kgs
Mobile approx.0 kgs</t>
        </r>
      </text>
    </comment>
    <comment ref="O74" authorId="2" shapeId="0" xr:uid="{538B8473-5BDD-4ED0-914B-CB75FEA9F788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15000Kgs
Mobile approx.0 kgs</t>
        </r>
      </text>
    </comment>
    <comment ref="Q74" authorId="2" shapeId="0" xr:uid="{C06C6D4A-FC88-4350-B2E8-A2A4014ACFF6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15000Kgs
Mobile approx.0 kgs</t>
        </r>
      </text>
    </comment>
    <comment ref="R74" authorId="2" shapeId="0" xr:uid="{AD6AB58C-2341-4C80-A157-A49B4578187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12600Kgs
Mobile approx.0 kgs</t>
        </r>
      </text>
    </comment>
    <comment ref="S74" authorId="2" shapeId="0" xr:uid="{54C66916-8E14-45D5-BBC4-28CF026F128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10100Kgs
Mobile approx.0 kgs</t>
        </r>
      </text>
    </comment>
    <comment ref="T74" authorId="2" shapeId="0" xr:uid="{98C1DBC7-1CFC-489D-8279-A7CA4DB564B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6900Kgs
Mobile approx.0 kgs</t>
        </r>
      </text>
    </comment>
    <comment ref="U74" authorId="2" shapeId="0" xr:uid="{9F3FA009-FC7D-48A4-B338-78373807181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6900Kgs
Mobile approx.0 kgs</t>
        </r>
      </text>
    </comment>
    <comment ref="V74" authorId="2" shapeId="0" xr:uid="{A8B816C3-ABC3-47F0-9964-7D55E13E03FF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4400Kgs
Mobile approx.0 kgs</t>
        </r>
      </text>
    </comment>
    <comment ref="X74" authorId="2" shapeId="0" xr:uid="{0BB8221A-FE25-4767-A4DC-A7C73CA849EB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4400Kgs
Mobile approx.0 kgs</t>
        </r>
      </text>
    </comment>
    <comment ref="Y74" authorId="2" shapeId="0" xr:uid="{302BCF06-CF74-4C18-BDC8-2D567640A4A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1300Kgs
Mobile approx.18000 kgs</t>
        </r>
      </text>
    </comment>
    <comment ref="Z74" authorId="2" shapeId="0" xr:uid="{913CA221-E211-4EEA-9AF4-BAF5D428160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17500 Kgs
Mobile approx.0 kgs</t>
        </r>
      </text>
    </comment>
    <comment ref="AA74" authorId="2" shapeId="0" xr:uid="{F8CE62DE-ADAC-4D18-BA7F-2CCC6D56240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15000Kgs
Mobile approx.0 kgs</t>
        </r>
      </text>
    </comment>
    <comment ref="AB74" authorId="2" shapeId="0" xr:uid="{27CCDD60-9802-45D6-AF28-7005E498AE42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11800 Kgs
Mobile approx.0 kgs</t>
        </r>
      </text>
    </comment>
    <comment ref="AC74" authorId="2" shapeId="0" xr:uid="{AF2CE03D-274B-49B3-B449-70A6EEB993C6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9700Kgs
Mobile approx.15400 kgs</t>
        </r>
      </text>
    </comment>
    <comment ref="AD74" authorId="2" shapeId="0" xr:uid="{600908B1-ABC0-4E1A-88F3-AE1BDE6A8DAF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9700Kgs
Mobile approx.15400 kgs</t>
        </r>
      </text>
    </comment>
    <comment ref="AE74" authorId="2" shapeId="0" xr:uid="{E7CCEB11-9A64-4316-8616-6154A149213A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9700Kgs
Mobile approx.15400 kgs</t>
        </r>
      </text>
    </comment>
    <comment ref="AF74" authorId="2" shapeId="0" xr:uid="{4983C1CE-D13A-439C-BD42-006B4F62FC0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7700Kgs
Mobile approx.15400 kgs</t>
        </r>
      </text>
    </comment>
    <comment ref="AE75" authorId="3" shapeId="0" xr:uid="{6E6B68E8-6440-43FC-82A0-5EC2B127E510}">
      <text>
        <r>
          <rPr>
            <b/>
            <sz val="9"/>
            <color indexed="81"/>
            <rFont val="Tahoma"/>
            <charset val="1"/>
          </rPr>
          <t>Alexander Dominguez-Ramon:</t>
        </r>
        <r>
          <rPr>
            <sz val="9"/>
            <color indexed="81"/>
            <rFont val="Tahoma"/>
            <charset val="1"/>
          </rPr>
          <t xml:space="preserve">
Reading Ne Flowmeter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<sst xmlns="http://schemas.openxmlformats.org/spreadsheetml/2006/main" count="649" uniqueCount="313">
  <si>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</si>
  <si>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</si>
  <si>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</si>
  <si>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</si>
  <si>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</si>
  <si>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</si>
  <si>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</si>
  <si>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</si>
  <si>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</si>
  <si>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</si>
  <si>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</si>
  <si>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</si>
  <si>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</si>
  <si>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</si>
  <si>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</si>
  <si>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</si>
  <si>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</si>
  <si>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</si>
  <si>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</si>
  <si>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</si>
  <si>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</si>
  <si>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</si>
  <si>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</si>
  <si>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</si>
  <si>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</si>
  <si>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</si>
  <si>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</si>
  <si>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</si>
  <si>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</si>
  <si>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</si>
  <si>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</si>
  <si>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</si>
  <si>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</si>
  <si>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</si>
  <si>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</si>
  <si>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</si>
  <si>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</si>
  <si>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</si>
  <si>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</si>
  <si>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</si>
  <si>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</si>
  <si>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</si>
  <si>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</si>
  <si>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</si>
  <si>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</si>
  <si>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</si>
  <si>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</si>
  <si>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</si>
  <si>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</si>
  <si>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</si>
  <si>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</si>
  <si>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</si>
  <si>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</si>
  <si>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</si>
  <si>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</si>
  <si>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</si>
  <si>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</si>
  <si>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 xml:space="preserve"> Collection </t>
  </si>
  <si>
    <t>Consumption</t>
  </si>
  <si>
    <t>Meter (kg)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</si>
  <si>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</si>
  <si>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</si>
  <si>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</si>
  <si>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</si>
  <si>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</si>
  <si>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</si>
  <si>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</si>
  <si>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</si>
  <si>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</si>
  <si>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</si>
  <si>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</si>
  <si>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</si>
  <si>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</si>
  <si>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</si>
  <si>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</si>
  <si>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</si>
  <si>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</si>
  <si>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</si>
  <si>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</si>
  <si>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</si>
  <si>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</si>
  <si>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</si>
  <si>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</si>
  <si>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</si>
  <si>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</si>
  <si>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</si>
  <si>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</si>
  <si>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</si>
  <si>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</si>
  <si>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</si>
  <si>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</si>
  <si>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</si>
  <si>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</si>
  <si>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</si>
  <si>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</si>
  <si>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</si>
  <si>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</si>
  <si>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</si>
  <si>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</si>
  <si>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</si>
  <si>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</si>
  <si>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</si>
  <si>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</si>
  <si>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</si>
  <si>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</si>
  <si>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</si>
  <si>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</si>
  <si>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</si>
  <si>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</si>
  <si>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</si>
  <si>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</si>
  <si>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</si>
  <si>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</si>
  <si>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</si>
  <si>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</si>
  <si>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</si>
  <si>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</si>
  <si>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</si>
  <si>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</si>
  <si>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</si>
  <si>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</si>
  <si>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</si>
  <si>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</si>
  <si>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</si>
  <si>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</si>
  <si>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</si>
  <si>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</si>
  <si>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</si>
  <si>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</si>
  <si>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</si>
  <si>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</si>
  <si>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</si>
  <si>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</si>
  <si>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</si>
  <si>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</si>
  <si>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</si>
  <si>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</si>
  <si>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</si>
  <si>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</si>
  <si>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</si>
  <si>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</si>
  <si>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</si>
  <si>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</si>
  <si>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</si>
  <si>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</si>
  <si>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</si>
  <si>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</si>
  <si>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</si>
  <si>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</si>
  <si>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</si>
  <si>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</si>
  <si>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</si>
  <si>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</si>
  <si>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</si>
  <si>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</si>
  <si>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</si>
  <si>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</si>
  <si>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</si>
  <si>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t>time</t>
  </si>
  <si>
    <t>Usage</t>
  </si>
  <si>
    <t>Time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</si>
  <si>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</si>
  <si>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</si>
  <si>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</si>
  <si>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Collection</t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</si>
  <si>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</si>
  <si>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</si>
  <si>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</si>
  <si>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</si>
  <si>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</si>
  <si>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</si>
  <si>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</si>
  <si>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</si>
  <si>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</si>
  <si>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</si>
  <si>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</si>
  <si>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</si>
  <si>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</si>
  <si>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</si>
  <si>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</si>
  <si>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</si>
  <si>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</si>
  <si>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</si>
  <si>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</si>
  <si>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</si>
  <si>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</si>
  <si>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</si>
  <si>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</si>
  <si>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</si>
  <si>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</si>
  <si>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</si>
  <si>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</si>
  <si>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</si>
  <si>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Inside Tank</t>
  </si>
  <si>
    <t>(Lbs.)</t>
  </si>
  <si>
    <t>(Kg.)</t>
  </si>
  <si>
    <t>Tank A</t>
  </si>
  <si>
    <t>Tank B</t>
  </si>
  <si>
    <t>Mobile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</si>
  <si>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</si>
  <si>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</si>
  <si>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</si>
  <si>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</si>
  <si>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</si>
  <si>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</si>
  <si>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</si>
  <si>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</si>
  <si>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</si>
  <si>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</si>
  <si>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</si>
  <si>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</si>
  <si>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</si>
  <si>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</si>
  <si>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</si>
  <si>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</si>
  <si>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</si>
  <si>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</si>
  <si>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</si>
  <si>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</si>
  <si>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</si>
  <si>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</si>
  <si>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</si>
  <si>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</si>
  <si>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</si>
  <si>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</si>
  <si>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</si>
  <si>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</si>
  <si>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</si>
  <si>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</si>
  <si>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</si>
  <si>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</si>
  <si>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</si>
  <si>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</si>
  <si>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</si>
  <si>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</si>
  <si>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</si>
  <si>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</si>
  <si>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</si>
  <si>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</si>
  <si>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</si>
  <si>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</si>
  <si>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</si>
  <si>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</si>
  <si>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</si>
  <si>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</si>
  <si>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</si>
  <si>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</si>
  <si>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</si>
  <si>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</si>
  <si>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</si>
  <si>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`</t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</si>
  <si>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</si>
  <si>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</si>
  <si>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</si>
  <si>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</si>
  <si>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</si>
  <si>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</si>
  <si>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(Filler)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</si>
  <si>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</si>
  <si>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</si>
  <si>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</si>
  <si>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</si>
  <si>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</si>
  <si>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</si>
  <si>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</si>
  <si>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</si>
  <si>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</si>
  <si>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</si>
  <si>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</si>
  <si>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</si>
  <si>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CO2 (kg.) (Ex. Vap'r)</t>
  </si>
  <si>
    <t>FILLER Cons. (Kg.)</t>
  </si>
  <si>
    <t>CO2 (Ex. Vap'r) (Kg./HL)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</si>
  <si>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</si>
  <si>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</si>
  <si>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</si>
  <si>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</si>
  <si>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</si>
  <si>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</si>
  <si>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</si>
  <si>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</si>
  <si>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DAILY FUEL CONSUMPTION FOR  JUNE 2025</t>
  </si>
  <si>
    <t>DAILY  ELECTRICITY  CONSUMPTION FOR  JUNE 2025</t>
  </si>
  <si>
    <t>PRODUCTION FOR JUNE 2025</t>
  </si>
  <si>
    <t>CO2 Daily Consumption for JUNE 2025</t>
  </si>
  <si>
    <t>VM/ST</t>
  </si>
  <si>
    <t xml:space="preserve">Smalt </t>
  </si>
  <si>
    <t>ST</t>
  </si>
  <si>
    <t>SM/CB</t>
  </si>
  <si>
    <t>ST/CB</t>
  </si>
  <si>
    <t>CB/ST</t>
  </si>
  <si>
    <t>CB</t>
  </si>
  <si>
    <t>CB/SM/GN</t>
  </si>
  <si>
    <t>GN/CR</t>
  </si>
  <si>
    <t>MK</t>
  </si>
  <si>
    <t>CB/Cbex</t>
  </si>
  <si>
    <t>Cbex/Rose/CB</t>
  </si>
  <si>
    <t>Stag</t>
  </si>
  <si>
    <t>CB/GN</t>
  </si>
  <si>
    <t>MK/ST</t>
  </si>
  <si>
    <t>SM/VM</t>
  </si>
  <si>
    <t>CB/VM</t>
  </si>
  <si>
    <t>VM// VMG/SM</t>
  </si>
  <si>
    <t>HP</t>
  </si>
  <si>
    <t>GN/CB</t>
  </si>
  <si>
    <t>Carib</t>
  </si>
  <si>
    <t>Carib/Stag</t>
  </si>
  <si>
    <t>DAILY WATER CONSUMPTION FOR JUNE 2025</t>
  </si>
  <si>
    <t>Stag/Carib</t>
  </si>
  <si>
    <t>CB/GO</t>
  </si>
  <si>
    <t>GO/ST</t>
  </si>
  <si>
    <t>CB/APA/IPA/ST</t>
  </si>
  <si>
    <t>CO2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</si>
</sst>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2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2"/>
      <color indexed="12"/>
      <name val="Arial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sz val="12"/>
      <color indexed="81"/>
      <name val="Tahoma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theme="6" tint="-0.249977111117893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sz val="12"/>
      <color indexed="81"/>
      <name val="Tahoma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20"/>
      <color rgb="FFC00000"/>
      <name val="Arial"/>
      <family val="2"/>
    </font>
    <font>
      <b/>
      <sz val="11"/>
      <color indexed="9"/>
      <name val="Arial"/>
      <family val="2"/>
    </font>
    <font>
      <b/>
      <sz val="20"/>
      <color theme="5" tint="-0.249977111117893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0"/>
      <color rgb="FF00B05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gray0625">
        <bgColor rgb="FFFFFF00"/>
      </patternFill>
    </fill>
    <fill>
      <patternFill patternType="gray0625">
        <bgColor theme="0" tint="-0.14999847407452621"/>
      </patternFill>
    </fill>
    <fill>
      <patternFill patternType="solid">
        <fgColor theme="4" tint="0.59999389629810485"/>
        <bgColor indexed="64"/>
      </patternFill>
    </fill>
  </fills>
  <borders count="90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medium">
        <color indexed="8"/>
      </left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theme="0" tint="-0.24994659260841701"/>
      </top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51" fillId="0" borderId="0" applyFont="0" applyFill="0" applyBorder="0" applyAlignment="0" applyProtection="0"/>
    <xf numFmtId="172" fontId="1" fillId="0" borderId="0"/>
  </cellStyleXfs>
  <cellXfs count="897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20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20" fillId="4" borderId="27" xfId="3" applyFont="1" applyFill="1" applyBorder="1" applyAlignment="1">
      <alignment horizontal="center"/>
    </xf>
    <xf numFmtId="37" fontId="20" fillId="4" borderId="28" xfId="3" applyNumberFormat="1" applyFont="1" applyFill="1" applyBorder="1" applyAlignment="1">
      <alignment horizontal="center"/>
    </xf>
    <xf numFmtId="0" fontId="28" fillId="0" borderId="0" xfId="3" applyFont="1"/>
    <xf numFmtId="0" fontId="29" fillId="0" borderId="5" xfId="3" applyFont="1" applyBorder="1" applyAlignment="1">
      <alignment horizontal="center"/>
    </xf>
    <xf numFmtId="37" fontId="29" fillId="0" borderId="6" xfId="3" applyNumberFormat="1" applyFont="1" applyBorder="1" applyAlignment="1">
      <alignment horizontal="center"/>
    </xf>
    <xf numFmtId="37" fontId="29" fillId="0" borderId="30" xfId="3" applyNumberFormat="1" applyFont="1" applyBorder="1" applyAlignment="1">
      <alignment horizontal="center"/>
    </xf>
    <xf numFmtId="0" fontId="29" fillId="0" borderId="3" xfId="3" applyFont="1" applyBorder="1" applyAlignment="1">
      <alignment horizontal="center"/>
    </xf>
    <xf numFmtId="0" fontId="29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20" fillId="4" borderId="31" xfId="3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6" fillId="4" borderId="34" xfId="3" applyFont="1" applyFill="1" applyBorder="1"/>
    <xf numFmtId="0" fontId="19" fillId="0" borderId="5" xfId="3" applyFont="1" applyBorder="1" applyAlignment="1">
      <alignment horizontal="center"/>
    </xf>
    <xf numFmtId="3" fontId="29" fillId="0" borderId="3" xfId="3" applyNumberFormat="1" applyFont="1" applyBorder="1" applyAlignment="1">
      <alignment horizontal="center"/>
    </xf>
    <xf numFmtId="37" fontId="29" fillId="0" borderId="35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37" fontId="30" fillId="0" borderId="4" xfId="3" applyNumberFormat="1" applyFont="1" applyBorder="1" applyAlignment="1">
      <alignment horizontal="center"/>
    </xf>
    <xf numFmtId="0" fontId="29" fillId="0" borderId="4" xfId="3" applyFont="1" applyBorder="1"/>
    <xf numFmtId="2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0" fontId="29" fillId="0" borderId="6" xfId="3" applyFont="1" applyBorder="1"/>
    <xf numFmtId="3" fontId="30" fillId="0" borderId="3" xfId="3" applyNumberFormat="1" applyFont="1" applyBorder="1" applyAlignment="1">
      <alignment horizontal="center"/>
    </xf>
    <xf numFmtId="3" fontId="30" fillId="0" borderId="5" xfId="3" applyNumberFormat="1" applyFont="1" applyBorder="1" applyAlignment="1">
      <alignment horizontal="center"/>
    </xf>
    <xf numFmtId="3" fontId="29" fillId="0" borderId="0" xfId="3" applyNumberFormat="1" applyFont="1" applyAlignment="1">
      <alignment horizontal="center"/>
    </xf>
    <xf numFmtId="0" fontId="18" fillId="0" borderId="0" xfId="3" applyFont="1"/>
    <xf numFmtId="0" fontId="20" fillId="4" borderId="5" xfId="3" applyFont="1" applyFill="1" applyBorder="1"/>
    <xf numFmtId="0" fontId="27" fillId="4" borderId="5" xfId="3" applyFont="1" applyFill="1" applyBorder="1" applyAlignment="1">
      <alignment horizontal="center"/>
    </xf>
    <xf numFmtId="0" fontId="27" fillId="4" borderId="5" xfId="3" applyFont="1" applyFill="1" applyBorder="1"/>
    <xf numFmtId="0" fontId="20" fillId="4" borderId="5" xfId="3" applyFont="1" applyFill="1" applyBorder="1" applyAlignment="1">
      <alignment horizontal="center"/>
    </xf>
    <xf numFmtId="0" fontId="23" fillId="4" borderId="26" xfId="3" applyFont="1" applyFill="1" applyBorder="1"/>
    <xf numFmtId="3" fontId="7" fillId="0" borderId="0" xfId="3" applyNumberFormat="1" applyAlignment="1">
      <alignment horizontal="left"/>
    </xf>
    <xf numFmtId="0" fontId="35" fillId="0" borderId="0" xfId="3" applyFont="1"/>
    <xf numFmtId="0" fontId="36" fillId="0" borderId="0" xfId="0" applyFont="1"/>
    <xf numFmtId="3" fontId="3" fillId="0" borderId="0" xfId="0" applyNumberFormat="1" applyFont="1" applyAlignment="1">
      <alignment horizontal="center"/>
    </xf>
    <xf numFmtId="0" fontId="37" fillId="0" borderId="0" xfId="0" applyFont="1"/>
    <xf numFmtId="0" fontId="38" fillId="0" borderId="0" xfId="0" applyFont="1"/>
    <xf numFmtId="0" fontId="3" fillId="6" borderId="0" xfId="0" applyFont="1" applyFill="1"/>
    <xf numFmtId="0" fontId="0" fillId="0" borderId="38" xfId="0" applyBorder="1"/>
    <xf numFmtId="0" fontId="0" fillId="0" borderId="21" xfId="0" applyBorder="1"/>
    <xf numFmtId="3" fontId="15" fillId="0" borderId="29" xfId="3" applyNumberFormat="1" applyFont="1" applyBorder="1" applyAlignment="1">
      <alignment horizontal="center"/>
    </xf>
    <xf numFmtId="0" fontId="31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9" fillId="0" borderId="0" xfId="0" applyFont="1"/>
    <xf numFmtId="0" fontId="50" fillId="0" borderId="0" xfId="0" applyFont="1"/>
    <xf numFmtId="0" fontId="50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4" fillId="0" borderId="0" xfId="0" applyFont="1" applyAlignment="1">
      <alignment horizontal="center"/>
    </xf>
    <xf numFmtId="0" fontId="54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4" fillId="0" borderId="0" xfId="0" applyNumberFormat="1" applyFont="1" applyAlignment="1">
      <alignment horizontal="left" wrapText="1"/>
    </xf>
    <xf numFmtId="167" fontId="56" fillId="0" borderId="0" xfId="1" applyNumberFormat="1" applyFont="1" applyAlignment="1">
      <alignment horizontal="center"/>
    </xf>
    <xf numFmtId="167" fontId="56" fillId="0" borderId="0" xfId="1" applyNumberFormat="1" applyFont="1" applyAlignment="1">
      <alignment horizontal="right"/>
    </xf>
    <xf numFmtId="167" fontId="57" fillId="0" borderId="0" xfId="1" applyNumberFormat="1" applyFont="1" applyAlignment="1">
      <alignment horizontal="center"/>
    </xf>
    <xf numFmtId="167" fontId="56" fillId="0" borderId="0" xfId="1" applyNumberFormat="1" applyFont="1" applyAlignment="1">
      <alignment horizontal="center" vertical="center"/>
    </xf>
    <xf numFmtId="0" fontId="59" fillId="0" borderId="0" xfId="0" applyFont="1"/>
    <xf numFmtId="0" fontId="54" fillId="0" borderId="0" xfId="0" applyFont="1"/>
    <xf numFmtId="0" fontId="55" fillId="0" borderId="0" xfId="0" applyFont="1"/>
    <xf numFmtId="0" fontId="8" fillId="0" borderId="27" xfId="0" applyFont="1" applyBorder="1"/>
    <xf numFmtId="0" fontId="62" fillId="0" borderId="0" xfId="0" applyFont="1" applyAlignment="1">
      <alignment horizontal="center"/>
    </xf>
    <xf numFmtId="0" fontId="62" fillId="3" borderId="0" xfId="0" applyFont="1" applyFill="1" applyAlignment="1">
      <alignment horizontal="center"/>
    </xf>
    <xf numFmtId="0" fontId="54" fillId="0" borderId="0" xfId="3" applyFont="1" applyAlignment="1">
      <alignment vertical="center" wrapText="1"/>
    </xf>
    <xf numFmtId="3" fontId="54" fillId="0" borderId="0" xfId="3" applyNumberFormat="1" applyFont="1" applyAlignment="1">
      <alignment horizontal="center"/>
    </xf>
    <xf numFmtId="3" fontId="54" fillId="3" borderId="0" xfId="3" applyNumberFormat="1" applyFont="1" applyFill="1" applyAlignment="1">
      <alignment horizontal="center"/>
    </xf>
    <xf numFmtId="3" fontId="54" fillId="0" borderId="28" xfId="3" applyNumberFormat="1" applyFont="1" applyBorder="1" applyAlignment="1">
      <alignment horizontal="center"/>
    </xf>
    <xf numFmtId="0" fontId="63" fillId="0" borderId="28" xfId="3" applyFont="1" applyBorder="1" applyAlignment="1">
      <alignment horizontal="center"/>
    </xf>
    <xf numFmtId="0" fontId="54" fillId="0" borderId="28" xfId="3" applyFont="1" applyBorder="1" applyAlignment="1">
      <alignment horizontal="center"/>
    </xf>
    <xf numFmtId="0" fontId="54" fillId="3" borderId="28" xfId="3" applyFont="1" applyFill="1" applyBorder="1" applyAlignment="1">
      <alignment horizontal="center"/>
    </xf>
    <xf numFmtId="1" fontId="54" fillId="0" borderId="28" xfId="3" applyNumberFormat="1" applyFont="1" applyBorder="1" applyAlignment="1">
      <alignment horizontal="center"/>
    </xf>
    <xf numFmtId="0" fontId="55" fillId="6" borderId="0" xfId="3" applyFont="1" applyFill="1" applyAlignment="1">
      <alignment vertical="center" wrapText="1"/>
    </xf>
    <xf numFmtId="3" fontId="53" fillId="6" borderId="0" xfId="0" applyNumberFormat="1" applyFont="1" applyFill="1" applyAlignment="1">
      <alignment horizontal="center"/>
    </xf>
    <xf numFmtId="3" fontId="54" fillId="0" borderId="0" xfId="0" applyNumberFormat="1" applyFont="1" applyAlignment="1">
      <alignment horizontal="center"/>
    </xf>
    <xf numFmtId="3" fontId="54" fillId="3" borderId="0" xfId="0" applyNumberFormat="1" applyFont="1" applyFill="1" applyAlignment="1">
      <alignment horizontal="center"/>
    </xf>
    <xf numFmtId="0" fontId="54" fillId="0" borderId="0" xfId="3" applyFont="1" applyAlignment="1">
      <alignment horizontal="left" vertical="center" wrapText="1"/>
    </xf>
    <xf numFmtId="0" fontId="54" fillId="0" borderId="28" xfId="3" applyFont="1" applyBorder="1" applyAlignment="1">
      <alignment vertical="center" wrapText="1"/>
    </xf>
    <xf numFmtId="3" fontId="54" fillId="3" borderId="28" xfId="3" applyNumberFormat="1" applyFont="1" applyFill="1" applyBorder="1" applyAlignment="1">
      <alignment horizontal="center"/>
    </xf>
    <xf numFmtId="0" fontId="55" fillId="6" borderId="0" xfId="3" applyFont="1" applyFill="1" applyAlignment="1">
      <alignment horizontal="left" vertical="center" wrapText="1"/>
    </xf>
    <xf numFmtId="164" fontId="54" fillId="0" borderId="0" xfId="0" applyNumberFormat="1" applyFont="1" applyAlignment="1">
      <alignment horizontal="center"/>
    </xf>
    <xf numFmtId="0" fontId="55" fillId="0" borderId="28" xfId="3" applyFont="1" applyBorder="1" applyAlignment="1">
      <alignment vertical="center" wrapText="1"/>
    </xf>
    <xf numFmtId="0" fontId="54" fillId="0" borderId="0" xfId="3" applyFont="1" applyAlignment="1">
      <alignment horizontal="center"/>
    </xf>
    <xf numFmtId="0" fontId="54" fillId="3" borderId="0" xfId="3" applyFont="1" applyFill="1" applyAlignment="1">
      <alignment horizontal="center"/>
    </xf>
    <xf numFmtId="0" fontId="54" fillId="8" borderId="0" xfId="3" applyFont="1" applyFill="1" applyAlignment="1">
      <alignment horizontal="left" vertical="center" wrapText="1"/>
    </xf>
    <xf numFmtId="0" fontId="54" fillId="6" borderId="0" xfId="3" applyFont="1" applyFill="1" applyAlignment="1">
      <alignment vertical="center" wrapText="1"/>
    </xf>
    <xf numFmtId="3" fontId="54" fillId="6" borderId="0" xfId="3" applyNumberFormat="1" applyFont="1" applyFill="1" applyAlignment="1">
      <alignment horizontal="center"/>
    </xf>
    <xf numFmtId="0" fontId="54" fillId="6" borderId="0" xfId="3" applyFont="1" applyFill="1" applyAlignment="1">
      <alignment horizontal="left" vertical="center" wrapText="1"/>
    </xf>
    <xf numFmtId="3" fontId="54" fillId="6" borderId="0" xfId="0" applyNumberFormat="1" applyFont="1" applyFill="1" applyAlignment="1">
      <alignment horizontal="center"/>
    </xf>
    <xf numFmtId="3" fontId="54" fillId="8" borderId="0" xfId="3" applyNumberFormat="1" applyFont="1" applyFill="1" applyAlignment="1">
      <alignment horizontal="center"/>
    </xf>
    <xf numFmtId="0" fontId="54" fillId="2" borderId="0" xfId="3" applyFont="1" applyFill="1" applyAlignment="1">
      <alignment horizontal="left" vertical="center" wrapText="1"/>
    </xf>
    <xf numFmtId="3" fontId="54" fillId="2" borderId="0" xfId="3" applyNumberFormat="1" applyFont="1" applyFill="1" applyAlignment="1">
      <alignment horizontal="center"/>
    </xf>
    <xf numFmtId="0" fontId="55" fillId="6" borderId="0" xfId="0" applyFont="1" applyFill="1"/>
    <xf numFmtId="3" fontId="53" fillId="6" borderId="27" xfId="0" applyNumberFormat="1" applyFont="1" applyFill="1" applyBorder="1" applyAlignment="1">
      <alignment horizontal="center"/>
    </xf>
    <xf numFmtId="0" fontId="55" fillId="0" borderId="0" xfId="3" applyFont="1" applyAlignment="1">
      <alignment horizontal="left" vertical="center" wrapText="1"/>
    </xf>
    <xf numFmtId="3" fontId="58" fillId="0" borderId="0" xfId="0" applyNumberFormat="1" applyFont="1" applyAlignment="1">
      <alignment horizontal="center"/>
    </xf>
    <xf numFmtId="37" fontId="53" fillId="6" borderId="0" xfId="0" applyNumberFormat="1" applyFont="1" applyFill="1" applyAlignment="1">
      <alignment horizontal="center"/>
    </xf>
    <xf numFmtId="0" fontId="56" fillId="0" borderId="0" xfId="0" applyFont="1" applyAlignment="1">
      <alignment horizontal="center"/>
    </xf>
    <xf numFmtId="37" fontId="53" fillId="6" borderId="0" xfId="3" applyNumberFormat="1" applyFont="1" applyFill="1" applyAlignment="1">
      <alignment horizontal="center"/>
    </xf>
    <xf numFmtId="165" fontId="53" fillId="6" borderId="0" xfId="0" applyNumberFormat="1" applyFont="1" applyFill="1" applyAlignment="1">
      <alignment horizontal="center"/>
    </xf>
    <xf numFmtId="165" fontId="54" fillId="0" borderId="0" xfId="0" applyNumberFormat="1" applyFont="1" applyAlignment="1">
      <alignment horizontal="center"/>
    </xf>
    <xf numFmtId="0" fontId="66" fillId="0" borderId="0" xfId="3" applyFont="1" applyAlignment="1">
      <alignment horizontal="left" vertical="center" wrapText="1"/>
    </xf>
    <xf numFmtId="165" fontId="66" fillId="0" borderId="0" xfId="0" applyNumberFormat="1" applyFont="1" applyAlignment="1">
      <alignment horizontal="center"/>
    </xf>
    <xf numFmtId="165" fontId="54" fillId="2" borderId="0" xfId="0" applyNumberFormat="1" applyFont="1" applyFill="1" applyAlignment="1">
      <alignment horizontal="center"/>
    </xf>
    <xf numFmtId="0" fontId="66" fillId="2" borderId="0" xfId="3" applyFont="1" applyFill="1" applyAlignment="1">
      <alignment horizontal="left" vertical="center" wrapText="1"/>
    </xf>
    <xf numFmtId="165" fontId="66" fillId="2" borderId="0" xfId="0" applyNumberFormat="1" applyFont="1" applyFill="1" applyAlignment="1">
      <alignment horizontal="center"/>
    </xf>
    <xf numFmtId="0" fontId="55" fillId="0" borderId="27" xfId="3" applyFont="1" applyBorder="1" applyAlignment="1">
      <alignment horizontal="left" shrinkToFit="1"/>
    </xf>
    <xf numFmtId="165" fontId="55" fillId="0" borderId="27" xfId="0" applyNumberFormat="1" applyFont="1" applyBorder="1" applyAlignment="1">
      <alignment horizontal="center"/>
    </xf>
    <xf numFmtId="0" fontId="68" fillId="0" borderId="40" xfId="3" applyFont="1" applyBorder="1" applyAlignment="1">
      <alignment horizontal="left" wrapText="1"/>
    </xf>
    <xf numFmtId="164" fontId="69" fillId="0" borderId="40" xfId="0" applyNumberFormat="1" applyFont="1" applyBorder="1" applyAlignment="1">
      <alignment horizontal="center"/>
    </xf>
    <xf numFmtId="164" fontId="53" fillId="6" borderId="0" xfId="0" applyNumberFormat="1" applyFont="1" applyFill="1" applyAlignment="1">
      <alignment horizontal="center"/>
    </xf>
    <xf numFmtId="0" fontId="55" fillId="9" borderId="0" xfId="0" applyFont="1" applyFill="1"/>
    <xf numFmtId="43" fontId="53" fillId="9" borderId="0" xfId="0" applyNumberFormat="1" applyFont="1" applyFill="1"/>
    <xf numFmtId="0" fontId="53" fillId="0" borderId="0" xfId="0" applyFont="1" applyAlignment="1">
      <alignment horizontal="center"/>
    </xf>
    <xf numFmtId="37" fontId="54" fillId="0" borderId="0" xfId="0" applyNumberFormat="1" applyFont="1" applyAlignment="1">
      <alignment horizontal="center"/>
    </xf>
    <xf numFmtId="170" fontId="54" fillId="0" borderId="0" xfId="4" applyNumberFormat="1" applyFont="1" applyAlignment="1">
      <alignment horizontal="center"/>
    </xf>
    <xf numFmtId="0" fontId="7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71" fillId="0" borderId="0" xfId="1" applyNumberFormat="1" applyFont="1" applyAlignment="1">
      <alignment horizontal="center"/>
    </xf>
    <xf numFmtId="0" fontId="63" fillId="14" borderId="0" xfId="0" applyFont="1" applyFill="1"/>
    <xf numFmtId="164" fontId="63" fillId="14" borderId="0" xfId="0" applyNumberFormat="1" applyFont="1" applyFill="1" applyAlignment="1">
      <alignment horizontal="center"/>
    </xf>
    <xf numFmtId="0" fontId="63" fillId="14" borderId="0" xfId="0" applyFont="1" applyFill="1" applyAlignment="1">
      <alignment horizontal="center"/>
    </xf>
    <xf numFmtId="0" fontId="69" fillId="14" borderId="0" xfId="3" applyFont="1" applyFill="1" applyAlignment="1">
      <alignment vertical="center" wrapText="1"/>
    </xf>
    <xf numFmtId="165" fontId="69" fillId="14" borderId="0" xfId="0" applyNumberFormat="1" applyFont="1" applyFill="1" applyAlignment="1">
      <alignment horizontal="center"/>
    </xf>
    <xf numFmtId="0" fontId="69" fillId="15" borderId="0" xfId="3" applyFont="1" applyFill="1" applyAlignment="1">
      <alignment horizontal="left" vertical="center" wrapText="1"/>
    </xf>
    <xf numFmtId="165" fontId="69" fillId="15" borderId="0" xfId="0" applyNumberFormat="1" applyFont="1" applyFill="1" applyAlignment="1">
      <alignment horizontal="center"/>
    </xf>
    <xf numFmtId="0" fontId="69" fillId="15" borderId="0" xfId="0" applyFont="1" applyFill="1"/>
    <xf numFmtId="3" fontId="69" fillId="15" borderId="0" xfId="0" applyNumberFormat="1" applyFont="1" applyFill="1" applyAlignment="1">
      <alignment horizontal="center"/>
    </xf>
    <xf numFmtId="0" fontId="54" fillId="14" borderId="0" xfId="0" applyFont="1" applyFill="1"/>
    <xf numFmtId="0" fontId="54" fillId="14" borderId="0" xfId="0" applyFont="1" applyFill="1" applyAlignment="1">
      <alignment horizontal="center"/>
    </xf>
    <xf numFmtId="3" fontId="53" fillId="19" borderId="0" xfId="0" applyNumberFormat="1" applyFont="1" applyFill="1" applyAlignment="1">
      <alignment horizontal="center"/>
    </xf>
    <xf numFmtId="167" fontId="58" fillId="0" borderId="0" xfId="1" applyNumberFormat="1" applyFont="1" applyAlignment="1">
      <alignment horizontal="center"/>
    </xf>
    <xf numFmtId="0" fontId="78" fillId="0" borderId="0" xfId="0" applyFont="1"/>
    <xf numFmtId="0" fontId="77" fillId="0" borderId="0" xfId="0" applyFont="1"/>
    <xf numFmtId="17" fontId="79" fillId="0" borderId="0" xfId="0" applyNumberFormat="1" applyFont="1" applyAlignment="1">
      <alignment horizontal="left" wrapText="1"/>
    </xf>
    <xf numFmtId="0" fontId="79" fillId="0" borderId="0" xfId="0" applyFont="1"/>
    <xf numFmtId="17" fontId="78" fillId="0" borderId="0" xfId="0" applyNumberFormat="1" applyFont="1" applyAlignment="1">
      <alignment horizontal="left" wrapText="1"/>
    </xf>
    <xf numFmtId="0" fontId="81" fillId="0" borderId="0" xfId="0" applyFont="1"/>
    <xf numFmtId="0" fontId="81" fillId="22" borderId="63" xfId="0" applyFont="1" applyFill="1" applyBorder="1"/>
    <xf numFmtId="0" fontId="81" fillId="13" borderId="0" xfId="0" applyFont="1" applyFill="1"/>
    <xf numFmtId="0" fontId="84" fillId="0" borderId="0" xfId="0" applyFont="1"/>
    <xf numFmtId="0" fontId="80" fillId="0" borderId="0" xfId="0" applyFont="1"/>
    <xf numFmtId="0" fontId="85" fillId="16" borderId="0" xfId="3" applyFont="1" applyFill="1" applyAlignment="1">
      <alignment vertical="center" wrapText="1"/>
    </xf>
    <xf numFmtId="0" fontId="78" fillId="16" borderId="0" xfId="0" applyFont="1" applyFill="1"/>
    <xf numFmtId="0" fontId="79" fillId="0" borderId="27" xfId="0" applyFont="1" applyBorder="1"/>
    <xf numFmtId="0" fontId="88" fillId="0" borderId="0" xfId="0" applyFont="1"/>
    <xf numFmtId="0" fontId="78" fillId="0" borderId="0" xfId="3" applyFont="1" applyAlignment="1">
      <alignment vertical="center" wrapText="1"/>
    </xf>
    <xf numFmtId="0" fontId="77" fillId="16" borderId="0" xfId="3" applyFont="1" applyFill="1" applyAlignment="1">
      <alignment vertical="center" wrapText="1"/>
    </xf>
    <xf numFmtId="0" fontId="77" fillId="16" borderId="0" xfId="0" applyFont="1" applyFill="1"/>
    <xf numFmtId="0" fontId="77" fillId="0" borderId="0" xfId="3" applyFont="1" applyAlignment="1">
      <alignment vertical="center" wrapText="1"/>
    </xf>
    <xf numFmtId="0" fontId="78" fillId="0" borderId="0" xfId="3" applyFont="1" applyAlignment="1">
      <alignment horizontal="left" vertical="center" wrapText="1"/>
    </xf>
    <xf numFmtId="0" fontId="78" fillId="0" borderId="58" xfId="3" applyFont="1" applyBorder="1" applyAlignment="1">
      <alignment vertical="center" wrapText="1"/>
    </xf>
    <xf numFmtId="0" fontId="77" fillId="0" borderId="0" xfId="3" applyFont="1" applyAlignment="1">
      <alignment horizontal="left" vertical="center" wrapText="1"/>
    </xf>
    <xf numFmtId="0" fontId="77" fillId="0" borderId="28" xfId="3" applyFont="1" applyBorder="1" applyAlignment="1">
      <alignment vertical="center" wrapText="1"/>
    </xf>
    <xf numFmtId="0" fontId="78" fillId="16" borderId="60" xfId="3" applyFont="1" applyFill="1" applyBorder="1" applyAlignment="1">
      <alignment horizontal="left" vertical="center" wrapText="1"/>
    </xf>
    <xf numFmtId="0" fontId="78" fillId="0" borderId="60" xfId="3" applyFont="1" applyBorder="1" applyAlignment="1">
      <alignment horizontal="left" vertical="center" wrapText="1"/>
    </xf>
    <xf numFmtId="0" fontId="78" fillId="0" borderId="60" xfId="3" applyFont="1" applyBorder="1" applyAlignment="1">
      <alignment vertical="center" wrapText="1"/>
    </xf>
    <xf numFmtId="0" fontId="78" fillId="0" borderId="61" xfId="3" applyFont="1" applyBorder="1" applyAlignment="1">
      <alignment horizontal="left" vertical="center" wrapText="1"/>
    </xf>
    <xf numFmtId="0" fontId="77" fillId="20" borderId="0" xfId="0" applyFont="1" applyFill="1"/>
    <xf numFmtId="3" fontId="84" fillId="0" borderId="0" xfId="0" applyNumberFormat="1" applyFont="1" applyAlignment="1">
      <alignment horizontal="center"/>
    </xf>
    <xf numFmtId="3" fontId="84" fillId="13" borderId="0" xfId="0" applyNumberFormat="1" applyFont="1" applyFill="1" applyAlignment="1">
      <alignment horizontal="center"/>
    </xf>
    <xf numFmtId="0" fontId="78" fillId="0" borderId="62" xfId="3" applyFont="1" applyBorder="1" applyAlignment="1">
      <alignment vertical="center" wrapText="1"/>
    </xf>
    <xf numFmtId="0" fontId="78" fillId="16" borderId="63" xfId="3" applyFont="1" applyFill="1" applyBorder="1" applyAlignment="1">
      <alignment horizontal="left" vertical="center" wrapText="1"/>
    </xf>
    <xf numFmtId="0" fontId="92" fillId="0" borderId="0" xfId="0" applyFont="1"/>
    <xf numFmtId="0" fontId="92" fillId="16" borderId="0" xfId="0" applyFont="1" applyFill="1"/>
    <xf numFmtId="0" fontId="78" fillId="0" borderId="63" xfId="3" applyFont="1" applyBorder="1" applyAlignment="1">
      <alignment vertical="center" wrapText="1"/>
    </xf>
    <xf numFmtId="0" fontId="92" fillId="0" borderId="63" xfId="3" applyFont="1" applyBorder="1" applyAlignment="1">
      <alignment horizontal="left" vertical="center" wrapText="1"/>
    </xf>
    <xf numFmtId="0" fontId="92" fillId="0" borderId="0" xfId="3" applyFont="1" applyAlignment="1">
      <alignment horizontal="left" vertical="center" wrapText="1"/>
    </xf>
    <xf numFmtId="0" fontId="77" fillId="0" borderId="27" xfId="3" applyFont="1" applyBorder="1" applyAlignment="1">
      <alignment horizontal="left" shrinkToFit="1"/>
    </xf>
    <xf numFmtId="0" fontId="94" fillId="0" borderId="40" xfId="3" applyFont="1" applyBorder="1" applyAlignment="1">
      <alignment horizontal="left" wrapText="1"/>
    </xf>
    <xf numFmtId="0" fontId="86" fillId="0" borderId="0" xfId="0" applyFont="1"/>
    <xf numFmtId="0" fontId="86" fillId="16" borderId="0" xfId="3" applyFont="1" applyFill="1" applyAlignment="1">
      <alignment horizontal="left" vertical="center" wrapText="1"/>
    </xf>
    <xf numFmtId="0" fontId="86" fillId="0" borderId="0" xfId="3" applyFont="1" applyAlignment="1">
      <alignment horizontal="left" vertical="center" wrapText="1"/>
    </xf>
    <xf numFmtId="0" fontId="56" fillId="16" borderId="63" xfId="3" applyFont="1" applyFill="1" applyBorder="1" applyAlignment="1">
      <alignment horizontal="left" vertical="center" wrapText="1"/>
    </xf>
    <xf numFmtId="0" fontId="95" fillId="16" borderId="60" xfId="3" applyFont="1" applyFill="1" applyBorder="1" applyAlignment="1">
      <alignment horizontal="left" vertical="center" wrapText="1"/>
    </xf>
    <xf numFmtId="3" fontId="53" fillId="0" borderId="27" xfId="0" applyNumberFormat="1" applyFont="1" applyBorder="1" applyAlignment="1">
      <alignment horizontal="center"/>
    </xf>
    <xf numFmtId="3" fontId="53" fillId="0" borderId="57" xfId="0" applyNumberFormat="1" applyFont="1" applyBorder="1" applyAlignment="1">
      <alignment horizontal="center"/>
    </xf>
    <xf numFmtId="0" fontId="55" fillId="23" borderId="0" xfId="0" applyFont="1" applyFill="1"/>
    <xf numFmtId="0" fontId="1" fillId="23" borderId="0" xfId="0" applyFont="1" applyFill="1"/>
    <xf numFmtId="171" fontId="77" fillId="0" borderId="0" xfId="0" applyNumberFormat="1" applyFont="1"/>
    <xf numFmtId="17" fontId="78" fillId="0" borderId="0" xfId="0" applyNumberFormat="1" applyFont="1" applyAlignment="1">
      <alignment horizontal="center" wrapText="1"/>
    </xf>
    <xf numFmtId="0" fontId="81" fillId="0" borderId="0" xfId="0" applyFont="1" applyAlignment="1">
      <alignment horizontal="center"/>
    </xf>
    <xf numFmtId="0" fontId="77" fillId="21" borderId="57" xfId="3" applyFont="1" applyFill="1" applyBorder="1" applyAlignment="1">
      <alignment horizontal="left" vertical="center" wrapText="1"/>
    </xf>
    <xf numFmtId="0" fontId="77" fillId="21" borderId="0" xfId="0" applyFont="1" applyFill="1"/>
    <xf numFmtId="0" fontId="78" fillId="13" borderId="0" xfId="0" applyFont="1" applyFill="1"/>
    <xf numFmtId="0" fontId="78" fillId="13" borderId="63" xfId="3" applyFont="1" applyFill="1" applyBorder="1" applyAlignment="1">
      <alignment horizontal="left" vertical="center" wrapText="1"/>
    </xf>
    <xf numFmtId="0" fontId="78" fillId="16" borderId="63" xfId="3" applyFont="1" applyFill="1" applyBorder="1" applyAlignment="1">
      <alignment vertical="center" wrapText="1"/>
    </xf>
    <xf numFmtId="0" fontId="77" fillId="25" borderId="0" xfId="3" applyFont="1" applyFill="1" applyAlignment="1">
      <alignment horizontal="left" vertical="center" wrapText="1"/>
    </xf>
    <xf numFmtId="0" fontId="77" fillId="25" borderId="0" xfId="0" applyFont="1" applyFill="1"/>
    <xf numFmtId="0" fontId="78" fillId="25" borderId="0" xfId="0" applyFont="1" applyFill="1"/>
    <xf numFmtId="0" fontId="78" fillId="25" borderId="0" xfId="3" applyFont="1" applyFill="1" applyAlignment="1">
      <alignment vertical="center" wrapText="1"/>
    </xf>
    <xf numFmtId="0" fontId="80" fillId="13" borderId="63" xfId="3" applyFont="1" applyFill="1" applyBorder="1" applyAlignment="1">
      <alignment horizontal="left" vertical="center" wrapText="1"/>
    </xf>
    <xf numFmtId="0" fontId="80" fillId="13" borderId="0" xfId="0" applyFont="1" applyFill="1"/>
    <xf numFmtId="0" fontId="92" fillId="16" borderId="0" xfId="3" applyFont="1" applyFill="1" applyAlignment="1">
      <alignment horizontal="left" vertical="center" wrapText="1"/>
    </xf>
    <xf numFmtId="0" fontId="77" fillId="26" borderId="0" xfId="0" applyFont="1" applyFill="1"/>
    <xf numFmtId="0" fontId="78" fillId="26" borderId="0" xfId="0" applyFont="1" applyFill="1"/>
    <xf numFmtId="0" fontId="77" fillId="26" borderId="0" xfId="3" applyFont="1" applyFill="1" applyAlignment="1">
      <alignment horizontal="center" vertical="center" wrapText="1"/>
    </xf>
    <xf numFmtId="0" fontId="78" fillId="17" borderId="59" xfId="3" applyFont="1" applyFill="1" applyBorder="1" applyAlignment="1">
      <alignment vertical="center" wrapText="1"/>
    </xf>
    <xf numFmtId="0" fontId="78" fillId="17" borderId="63" xfId="3" applyFont="1" applyFill="1" applyBorder="1" applyAlignment="1">
      <alignment horizontal="left" vertical="center" wrapText="1"/>
    </xf>
    <xf numFmtId="0" fontId="77" fillId="27" borderId="0" xfId="0" applyFont="1" applyFill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77" fillId="23" borderId="0" xfId="0" applyFont="1" applyFill="1"/>
    <xf numFmtId="0" fontId="78" fillId="23" borderId="0" xfId="0" applyFont="1" applyFill="1"/>
    <xf numFmtId="0" fontId="54" fillId="24" borderId="0" xfId="0" applyFont="1" applyFill="1"/>
    <xf numFmtId="3" fontId="58" fillId="24" borderId="0" xfId="0" applyNumberFormat="1" applyFont="1" applyFill="1" applyAlignment="1">
      <alignment horizontal="center"/>
    </xf>
    <xf numFmtId="0" fontId="1" fillId="24" borderId="0" xfId="0" applyFont="1" applyFill="1"/>
    <xf numFmtId="0" fontId="77" fillId="24" borderId="0" xfId="0" applyFont="1" applyFill="1" applyAlignment="1">
      <alignment vertical="center"/>
    </xf>
    <xf numFmtId="3" fontId="84" fillId="24" borderId="0" xfId="0" applyNumberFormat="1" applyFont="1" applyFill="1" applyAlignment="1">
      <alignment horizontal="center" vertical="center"/>
    </xf>
    <xf numFmtId="3" fontId="77" fillId="24" borderId="0" xfId="0" applyNumberFormat="1" applyFont="1" applyFill="1" applyAlignment="1">
      <alignment horizontal="center" vertical="center"/>
    </xf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8" borderId="37" xfId="3" applyNumberFormat="1" applyFont="1" applyFill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31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9" borderId="37" xfId="3" applyNumberFormat="1" applyFont="1" applyFill="1" applyBorder="1" applyAlignment="1">
      <alignment horizontal="center" vertical="center"/>
    </xf>
    <xf numFmtId="3" fontId="15" fillId="21" borderId="37" xfId="3" applyNumberFormat="1" applyFont="1" applyFill="1" applyBorder="1" applyAlignment="1">
      <alignment horizontal="center" vertical="center"/>
    </xf>
    <xf numFmtId="3" fontId="15" fillId="24" borderId="37" xfId="3" applyNumberFormat="1" applyFont="1" applyFill="1" applyBorder="1" applyAlignment="1">
      <alignment horizontal="center" vertical="center"/>
    </xf>
    <xf numFmtId="3" fontId="15" fillId="0" borderId="65" xfId="3" applyNumberFormat="1" applyFont="1" applyBorder="1" applyAlignment="1">
      <alignment horizontal="center" vertical="center"/>
    </xf>
    <xf numFmtId="3" fontId="15" fillId="0" borderId="5" xfId="3" applyNumberFormat="1" applyFont="1" applyBorder="1" applyAlignment="1">
      <alignment horizontal="center" vertical="center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167" fontId="56" fillId="16" borderId="0" xfId="1" applyNumberFormat="1" applyFont="1" applyFill="1" applyAlignment="1">
      <alignment horizontal="center" vertical="center"/>
    </xf>
    <xf numFmtId="167" fontId="56" fillId="16" borderId="0" xfId="1" applyNumberFormat="1" applyFont="1" applyFill="1" applyAlignment="1">
      <alignment horizontal="center"/>
    </xf>
    <xf numFmtId="167" fontId="71" fillId="16" borderId="0" xfId="1" applyNumberFormat="1" applyFont="1" applyFill="1" applyAlignment="1">
      <alignment horizontal="center"/>
    </xf>
    <xf numFmtId="3" fontId="54" fillId="16" borderId="0" xfId="3" applyNumberFormat="1" applyFont="1" applyFill="1" applyAlignment="1">
      <alignment horizontal="center"/>
    </xf>
    <xf numFmtId="0" fontId="54" fillId="16" borderId="0" xfId="0" applyFont="1" applyFill="1" applyAlignment="1">
      <alignment horizontal="center"/>
    </xf>
    <xf numFmtId="37" fontId="54" fillId="16" borderId="0" xfId="0" applyNumberFormat="1" applyFont="1" applyFill="1" applyAlignment="1">
      <alignment horizontal="center"/>
    </xf>
    <xf numFmtId="164" fontId="63" fillId="16" borderId="0" xfId="0" applyNumberFormat="1" applyFont="1" applyFill="1" applyAlignment="1">
      <alignment horizontal="center"/>
    </xf>
    <xf numFmtId="0" fontId="63" fillId="16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5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2" fontId="54" fillId="0" borderId="0" xfId="0" applyNumberFormat="1" applyFont="1" applyAlignment="1">
      <alignment horizontal="center" vertical="center"/>
    </xf>
    <xf numFmtId="3" fontId="55" fillId="6" borderId="0" xfId="0" applyNumberFormat="1" applyFont="1" applyFill="1" applyAlignment="1">
      <alignment horizontal="center" vertical="center"/>
    </xf>
    <xf numFmtId="3" fontId="54" fillId="8" borderId="0" xfId="3" applyNumberFormat="1" applyFont="1" applyFill="1" applyAlignment="1">
      <alignment horizontal="center" vertical="center"/>
    </xf>
    <xf numFmtId="3" fontId="55" fillId="2" borderId="0" xfId="0" applyNumberFormat="1" applyFont="1" applyFill="1" applyAlignment="1">
      <alignment horizontal="center" vertical="center"/>
    </xf>
    <xf numFmtId="3" fontId="53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5" fillId="23" borderId="0" xfId="0" applyNumberFormat="1" applyFont="1" applyFill="1" applyAlignment="1">
      <alignment horizontal="center" vertical="center"/>
    </xf>
    <xf numFmtId="3" fontId="56" fillId="23" borderId="0" xfId="0" applyNumberFormat="1" applyFont="1" applyFill="1" applyAlignment="1">
      <alignment horizontal="center" vertical="center"/>
    </xf>
    <xf numFmtId="3" fontId="65" fillId="0" borderId="0" xfId="0" applyNumberFormat="1" applyFont="1" applyAlignment="1">
      <alignment horizontal="center" vertical="center"/>
    </xf>
    <xf numFmtId="3" fontId="65" fillId="24" borderId="0" xfId="0" applyNumberFormat="1" applyFont="1" applyFill="1" applyAlignment="1">
      <alignment horizontal="center" vertical="center"/>
    </xf>
    <xf numFmtId="3" fontId="53" fillId="24" borderId="0" xfId="0" applyNumberFormat="1" applyFont="1" applyFill="1" applyAlignment="1">
      <alignment horizontal="center" vertical="center"/>
    </xf>
    <xf numFmtId="3" fontId="65" fillId="6" borderId="0" xfId="0" applyNumberFormat="1" applyFont="1" applyFill="1" applyAlignment="1">
      <alignment horizontal="center" vertical="center"/>
    </xf>
    <xf numFmtId="165" fontId="53" fillId="2" borderId="0" xfId="0" applyNumberFormat="1" applyFont="1" applyFill="1" applyAlignment="1">
      <alignment horizontal="center" vertical="center"/>
    </xf>
    <xf numFmtId="165" fontId="53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5" fillId="0" borderId="0" xfId="1" applyNumberFormat="1" applyFont="1" applyAlignment="1">
      <alignment horizontal="center" vertical="center"/>
    </xf>
    <xf numFmtId="169" fontId="55" fillId="0" borderId="0" xfId="1" applyNumberFormat="1" applyFont="1" applyAlignment="1">
      <alignment horizontal="center" vertical="center"/>
    </xf>
    <xf numFmtId="165" fontId="75" fillId="14" borderId="0" xfId="1" applyNumberFormat="1" applyFont="1" applyFill="1" applyAlignment="1">
      <alignment horizontal="center" vertical="center"/>
    </xf>
    <xf numFmtId="169" fontId="75" fillId="14" borderId="0" xfId="1" applyNumberFormat="1" applyFont="1" applyFill="1" applyAlignment="1">
      <alignment horizontal="center" vertical="center"/>
    </xf>
    <xf numFmtId="165" fontId="67" fillId="0" borderId="0" xfId="1" applyNumberFormat="1" applyFont="1" applyAlignment="1">
      <alignment horizontal="center" vertical="center"/>
    </xf>
    <xf numFmtId="169" fontId="67" fillId="0" borderId="0" xfId="1" applyNumberFormat="1" applyFont="1" applyAlignment="1">
      <alignment horizontal="center" vertical="center"/>
    </xf>
    <xf numFmtId="165" fontId="55" fillId="2" borderId="0" xfId="1" applyNumberFormat="1" applyFont="1" applyFill="1" applyAlignment="1">
      <alignment horizontal="center" vertical="center"/>
    </xf>
    <xf numFmtId="169" fontId="55" fillId="2" borderId="0" xfId="1" applyNumberFormat="1" applyFont="1" applyFill="1" applyAlignment="1">
      <alignment horizontal="center" vertical="center"/>
    </xf>
    <xf numFmtId="165" fontId="67" fillId="2" borderId="0" xfId="1" applyNumberFormat="1" applyFont="1" applyFill="1" applyAlignment="1">
      <alignment horizontal="center" vertical="center"/>
    </xf>
    <xf numFmtId="169" fontId="67" fillId="2" borderId="0" xfId="1" applyNumberFormat="1" applyFont="1" applyFill="1" applyAlignment="1">
      <alignment horizontal="center" vertical="center"/>
    </xf>
    <xf numFmtId="165" fontId="75" fillId="15" borderId="0" xfId="1" applyNumberFormat="1" applyFont="1" applyFill="1" applyAlignment="1">
      <alignment horizontal="center" vertical="center"/>
    </xf>
    <xf numFmtId="169" fontId="75" fillId="15" borderId="0" xfId="1" applyNumberFormat="1" applyFont="1" applyFill="1" applyAlignment="1">
      <alignment horizontal="center" vertical="center"/>
    </xf>
    <xf numFmtId="165" fontId="55" fillId="0" borderId="27" xfId="0" applyNumberFormat="1" applyFont="1" applyBorder="1" applyAlignment="1">
      <alignment horizontal="center" vertical="center"/>
    </xf>
    <xf numFmtId="164" fontId="69" fillId="0" borderId="40" xfId="0" applyNumberFormat="1" applyFont="1" applyBorder="1" applyAlignment="1">
      <alignment horizontal="center" vertical="center"/>
    </xf>
    <xf numFmtId="4" fontId="53" fillId="2" borderId="0" xfId="0" applyNumberFormat="1" applyFont="1" applyFill="1" applyAlignment="1">
      <alignment horizontal="center" vertical="center"/>
    </xf>
    <xf numFmtId="4" fontId="53" fillId="6" borderId="0" xfId="0" applyNumberFormat="1" applyFont="1" applyFill="1" applyAlignment="1">
      <alignment horizontal="center" vertical="center"/>
    </xf>
    <xf numFmtId="165" fontId="53" fillId="3" borderId="0" xfId="0" applyNumberFormat="1" applyFont="1" applyFill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170" fontId="54" fillId="0" borderId="0" xfId="4" applyNumberFormat="1" applyFont="1" applyAlignment="1">
      <alignment horizontal="center" vertical="center"/>
    </xf>
    <xf numFmtId="164" fontId="76" fillId="14" borderId="0" xfId="0" applyNumberFormat="1" applyFont="1" applyFill="1" applyAlignment="1">
      <alignment horizontal="center" vertical="center"/>
    </xf>
    <xf numFmtId="0" fontId="76" fillId="14" borderId="0" xfId="0" applyFont="1" applyFill="1" applyAlignment="1">
      <alignment horizontal="center" vertical="center"/>
    </xf>
    <xf numFmtId="0" fontId="55" fillId="14" borderId="0" xfId="0" applyFont="1" applyFill="1" applyAlignment="1">
      <alignment horizontal="center" vertical="center"/>
    </xf>
    <xf numFmtId="37" fontId="5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0" fontId="56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40" fontId="53" fillId="10" borderId="0" xfId="0" applyNumberFormat="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40" fontId="53" fillId="6" borderId="0" xfId="0" applyNumberFormat="1" applyFont="1" applyFill="1" applyAlignment="1">
      <alignment horizontal="center" vertical="center"/>
    </xf>
    <xf numFmtId="43" fontId="53" fillId="9" borderId="0" xfId="0" applyNumberFormat="1" applyFont="1" applyFill="1" applyAlignment="1">
      <alignment horizontal="center" vertical="center"/>
    </xf>
    <xf numFmtId="3" fontId="69" fillId="15" borderId="0" xfId="0" applyNumberFormat="1" applyFont="1" applyFill="1" applyAlignment="1">
      <alignment horizontal="center" vertical="center"/>
    </xf>
    <xf numFmtId="0" fontId="63" fillId="14" borderId="0" xfId="0" applyFont="1" applyFill="1" applyAlignment="1">
      <alignment horizontal="center" vertical="center"/>
    </xf>
    <xf numFmtId="0" fontId="54" fillId="14" borderId="0" xfId="0" applyFont="1" applyFill="1" applyAlignment="1">
      <alignment horizontal="center" vertical="center"/>
    </xf>
    <xf numFmtId="0" fontId="77" fillId="24" borderId="0" xfId="0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2" borderId="0" xfId="0" applyFont="1" applyFill="1" applyAlignment="1">
      <alignment horizontal="center" vertical="center"/>
    </xf>
    <xf numFmtId="0" fontId="80" fillId="3" borderId="0" xfId="0" applyFont="1" applyFill="1" applyAlignment="1">
      <alignment horizontal="center" vertical="center"/>
    </xf>
    <xf numFmtId="171" fontId="77" fillId="0" borderId="0" xfId="0" applyNumberFormat="1" applyFont="1" applyAlignment="1">
      <alignment horizontal="center" vertical="center"/>
    </xf>
    <xf numFmtId="167" fontId="79" fillId="0" borderId="0" xfId="1" applyNumberFormat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3" fontId="77" fillId="2" borderId="0" xfId="0" applyNumberFormat="1" applyFont="1" applyFill="1" applyAlignment="1">
      <alignment horizontal="center" vertical="center"/>
    </xf>
    <xf numFmtId="3" fontId="77" fillId="28" borderId="0" xfId="0" applyNumberFormat="1" applyFont="1" applyFill="1" applyAlignment="1">
      <alignment horizontal="center" vertical="center"/>
    </xf>
    <xf numFmtId="3" fontId="79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167" fontId="99" fillId="0" borderId="0" xfId="1" applyNumberFormat="1" applyFont="1" applyAlignment="1">
      <alignment horizontal="center" vertical="center"/>
    </xf>
    <xf numFmtId="167" fontId="107" fillId="0" borderId="0" xfId="1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167" fontId="96" fillId="22" borderId="63" xfId="1" applyNumberFormat="1" applyFont="1" applyFill="1" applyBorder="1" applyAlignment="1">
      <alignment horizontal="center" vertical="center"/>
    </xf>
    <xf numFmtId="167" fontId="104" fillId="22" borderId="63" xfId="1" applyNumberFormat="1" applyFont="1" applyFill="1" applyBorder="1" applyAlignment="1">
      <alignment horizontal="center" vertical="center"/>
    </xf>
    <xf numFmtId="0" fontId="83" fillId="22" borderId="63" xfId="0" applyFont="1" applyFill="1" applyBorder="1" applyAlignment="1">
      <alignment horizontal="center" vertical="center"/>
    </xf>
    <xf numFmtId="0" fontId="78" fillId="22" borderId="63" xfId="0" applyFont="1" applyFill="1" applyBorder="1" applyAlignment="1">
      <alignment horizontal="center" vertical="center"/>
    </xf>
    <xf numFmtId="164" fontId="80" fillId="0" borderId="0" xfId="0" applyNumberFormat="1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165" fontId="86" fillId="16" borderId="0" xfId="0" applyNumberFormat="1" applyFont="1" applyFill="1" applyAlignment="1">
      <alignment horizontal="center" vertical="center"/>
    </xf>
    <xf numFmtId="165" fontId="97" fillId="16" borderId="0" xfId="0" applyNumberFormat="1" applyFont="1" applyFill="1" applyAlignment="1">
      <alignment horizontal="center" vertical="center"/>
    </xf>
    <xf numFmtId="165" fontId="85" fillId="16" borderId="0" xfId="1" applyNumberFormat="1" applyFont="1" applyFill="1" applyAlignment="1">
      <alignment horizontal="center" vertical="center"/>
    </xf>
    <xf numFmtId="169" fontId="100" fillId="16" borderId="0" xfId="1" applyNumberFormat="1" applyFont="1" applyFill="1" applyAlignment="1">
      <alignment horizontal="center" vertical="center"/>
    </xf>
    <xf numFmtId="0" fontId="88" fillId="0" borderId="0" xfId="0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80" fillId="0" borderId="0" xfId="3" applyNumberFormat="1" applyFont="1" applyAlignment="1">
      <alignment horizontal="center" vertical="center"/>
    </xf>
    <xf numFmtId="3" fontId="78" fillId="0" borderId="28" xfId="3" applyNumberFormat="1" applyFont="1" applyBorder="1" applyAlignment="1">
      <alignment horizontal="center" vertical="center"/>
    </xf>
    <xf numFmtId="1" fontId="80" fillId="0" borderId="28" xfId="3" applyNumberFormat="1" applyFont="1" applyBorder="1" applyAlignment="1">
      <alignment horizontal="center" vertical="center"/>
    </xf>
    <xf numFmtId="1" fontId="84" fillId="0" borderId="28" xfId="3" applyNumberFormat="1" applyFont="1" applyBorder="1" applyAlignment="1">
      <alignment horizontal="center" vertical="center"/>
    </xf>
    <xf numFmtId="3" fontId="80" fillId="0" borderId="28" xfId="3" applyNumberFormat="1" applyFont="1" applyBorder="1" applyAlignment="1">
      <alignment horizontal="center" vertical="center"/>
    </xf>
    <xf numFmtId="3" fontId="77" fillId="0" borderId="28" xfId="0" applyNumberFormat="1" applyFont="1" applyBorder="1" applyAlignment="1">
      <alignment horizontal="center" vertical="center"/>
    </xf>
    <xf numFmtId="0" fontId="78" fillId="0" borderId="28" xfId="0" applyFont="1" applyBorder="1" applyAlignment="1">
      <alignment horizontal="center" vertical="center"/>
    </xf>
    <xf numFmtId="3" fontId="77" fillId="16" borderId="0" xfId="0" applyNumberFormat="1" applyFont="1" applyFill="1" applyAlignment="1">
      <alignment horizontal="center" vertical="center"/>
    </xf>
    <xf numFmtId="3" fontId="84" fillId="16" borderId="0" xfId="0" applyNumberFormat="1" applyFont="1" applyFill="1" applyAlignment="1">
      <alignment horizontal="center" vertical="center"/>
    </xf>
    <xf numFmtId="3" fontId="77" fillId="17" borderId="0" xfId="0" applyNumberFormat="1" applyFont="1" applyFill="1" applyAlignment="1">
      <alignment horizontal="center" vertical="center"/>
    </xf>
    <xf numFmtId="0" fontId="77" fillId="16" borderId="0" xfId="0" applyFont="1" applyFill="1" applyAlignment="1">
      <alignment horizontal="center" vertical="center"/>
    </xf>
    <xf numFmtId="3" fontId="84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3" fontId="80" fillId="0" borderId="0" xfId="0" applyNumberFormat="1" applyFont="1" applyAlignment="1">
      <alignment horizontal="center" vertical="center"/>
    </xf>
    <xf numFmtId="3" fontId="89" fillId="0" borderId="0" xfId="0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3" fontId="78" fillId="0" borderId="58" xfId="3" applyNumberFormat="1" applyFont="1" applyBorder="1" applyAlignment="1">
      <alignment horizontal="center" vertical="center"/>
    </xf>
    <xf numFmtId="3" fontId="80" fillId="0" borderId="58" xfId="3" applyNumberFormat="1" applyFont="1" applyBorder="1" applyAlignment="1">
      <alignment horizontal="center" vertical="center"/>
    </xf>
    <xf numFmtId="3" fontId="77" fillId="0" borderId="58" xfId="0" applyNumberFormat="1" applyFont="1" applyBorder="1" applyAlignment="1">
      <alignment horizontal="center" vertical="center"/>
    </xf>
    <xf numFmtId="3" fontId="77" fillId="21" borderId="57" xfId="0" applyNumberFormat="1" applyFont="1" applyFill="1" applyBorder="1" applyAlignment="1">
      <alignment horizontal="center" vertical="center"/>
    </xf>
    <xf numFmtId="3" fontId="84" fillId="21" borderId="57" xfId="0" applyNumberFormat="1" applyFont="1" applyFill="1" applyBorder="1" applyAlignment="1">
      <alignment horizontal="center" vertical="center"/>
    </xf>
    <xf numFmtId="0" fontId="77" fillId="21" borderId="57" xfId="0" applyFont="1" applyFill="1" applyBorder="1" applyAlignment="1">
      <alignment horizontal="center" vertical="center"/>
    </xf>
    <xf numFmtId="0" fontId="77" fillId="21" borderId="0" xfId="0" applyFont="1" applyFill="1" applyAlignment="1">
      <alignment horizontal="center" vertical="center"/>
    </xf>
    <xf numFmtId="164" fontId="78" fillId="0" borderId="0" xfId="0" applyNumberFormat="1" applyFont="1" applyAlignment="1">
      <alignment horizontal="center" vertical="center"/>
    </xf>
    <xf numFmtId="164" fontId="77" fillId="0" borderId="0" xfId="0" applyNumberFormat="1" applyFont="1" applyAlignment="1">
      <alignment horizontal="center" vertical="center"/>
    </xf>
    <xf numFmtId="2" fontId="78" fillId="0" borderId="0" xfId="0" applyNumberFormat="1" applyFont="1" applyAlignment="1">
      <alignment horizontal="center" vertical="center"/>
    </xf>
    <xf numFmtId="0" fontId="78" fillId="0" borderId="59" xfId="3" applyFont="1" applyBorder="1" applyAlignment="1">
      <alignment horizontal="center" vertical="center"/>
    </xf>
    <xf numFmtId="3" fontId="78" fillId="0" borderId="59" xfId="3" applyNumberFormat="1" applyFont="1" applyBorder="1" applyAlignment="1">
      <alignment horizontal="center" vertical="center"/>
    </xf>
    <xf numFmtId="0" fontId="80" fillId="0" borderId="59" xfId="3" applyFont="1" applyBorder="1" applyAlignment="1">
      <alignment horizontal="center" vertical="center"/>
    </xf>
    <xf numFmtId="3" fontId="80" fillId="0" borderId="59" xfId="3" applyNumberFormat="1" applyFont="1" applyBorder="1" applyAlignment="1">
      <alignment horizontal="center" vertical="center"/>
    </xf>
    <xf numFmtId="3" fontId="77" fillId="0" borderId="59" xfId="0" applyNumberFormat="1" applyFont="1" applyBorder="1" applyAlignment="1">
      <alignment horizontal="center" vertical="center"/>
    </xf>
    <xf numFmtId="0" fontId="78" fillId="0" borderId="59" xfId="0" applyFont="1" applyBorder="1" applyAlignment="1">
      <alignment horizontal="center" vertical="center"/>
    </xf>
    <xf numFmtId="3" fontId="78" fillId="16" borderId="60" xfId="0" applyNumberFormat="1" applyFont="1" applyFill="1" applyBorder="1" applyAlignment="1">
      <alignment horizontal="center" vertical="center"/>
    </xf>
    <xf numFmtId="3" fontId="80" fillId="16" borderId="60" xfId="0" applyNumberFormat="1" applyFont="1" applyFill="1" applyBorder="1" applyAlignment="1">
      <alignment horizontal="center" vertical="center"/>
    </xf>
    <xf numFmtId="3" fontId="77" fillId="16" borderId="60" xfId="0" applyNumberFormat="1" applyFont="1" applyFill="1" applyBorder="1" applyAlignment="1">
      <alignment horizontal="center" vertical="center"/>
    </xf>
    <xf numFmtId="0" fontId="78" fillId="16" borderId="60" xfId="0" applyFont="1" applyFill="1" applyBorder="1" applyAlignment="1">
      <alignment horizontal="center" vertical="center"/>
    </xf>
    <xf numFmtId="3" fontId="78" fillId="0" borderId="60" xfId="0" applyNumberFormat="1" applyFont="1" applyBorder="1" applyAlignment="1">
      <alignment horizontal="center" vertical="center"/>
    </xf>
    <xf numFmtId="3" fontId="80" fillId="0" borderId="60" xfId="0" applyNumberFormat="1" applyFont="1" applyBorder="1" applyAlignment="1">
      <alignment horizontal="center" vertical="center"/>
    </xf>
    <xf numFmtId="3" fontId="77" fillId="0" borderId="60" xfId="0" applyNumberFormat="1" applyFont="1" applyBorder="1" applyAlignment="1">
      <alignment horizontal="center" vertical="center"/>
    </xf>
    <xf numFmtId="0" fontId="78" fillId="0" borderId="60" xfId="0" applyFont="1" applyBorder="1" applyAlignment="1">
      <alignment horizontal="center" vertical="center"/>
    </xf>
    <xf numFmtId="3" fontId="78" fillId="0" borderId="60" xfId="3" applyNumberFormat="1" applyFont="1" applyBorder="1" applyAlignment="1">
      <alignment horizontal="center" vertical="center"/>
    </xf>
    <xf numFmtId="3" fontId="80" fillId="0" borderId="60" xfId="3" applyNumberFormat="1" applyFont="1" applyBorder="1" applyAlignment="1">
      <alignment horizontal="center" vertical="center"/>
    </xf>
    <xf numFmtId="3" fontId="78" fillId="16" borderId="60" xfId="3" applyNumberFormat="1" applyFont="1" applyFill="1" applyBorder="1" applyAlignment="1">
      <alignment horizontal="center" vertical="center"/>
    </xf>
    <xf numFmtId="3" fontId="80" fillId="16" borderId="60" xfId="3" applyNumberFormat="1" applyFont="1" applyFill="1" applyBorder="1" applyAlignment="1">
      <alignment horizontal="center" vertical="center"/>
    </xf>
    <xf numFmtId="3" fontId="77" fillId="0" borderId="60" xfId="3" applyNumberFormat="1" applyFont="1" applyBorder="1" applyAlignment="1">
      <alignment horizontal="center" vertical="center"/>
    </xf>
    <xf numFmtId="3" fontId="84" fillId="0" borderId="60" xfId="3" applyNumberFormat="1" applyFont="1" applyBorder="1" applyAlignment="1">
      <alignment horizontal="center" vertical="center"/>
    </xf>
    <xf numFmtId="165" fontId="80" fillId="0" borderId="60" xfId="3" applyNumberFormat="1" applyFont="1" applyBorder="1" applyAlignment="1">
      <alignment horizontal="center" vertical="center"/>
    </xf>
    <xf numFmtId="3" fontId="80" fillId="17" borderId="60" xfId="3" applyNumberFormat="1" applyFont="1" applyFill="1" applyBorder="1" applyAlignment="1">
      <alignment horizontal="center" vertical="center"/>
    </xf>
    <xf numFmtId="3" fontId="78" fillId="0" borderId="61" xfId="0" applyNumberFormat="1" applyFont="1" applyBorder="1" applyAlignment="1">
      <alignment horizontal="center" vertical="center"/>
    </xf>
    <xf numFmtId="3" fontId="80" fillId="0" borderId="61" xfId="0" applyNumberFormat="1" applyFont="1" applyBorder="1" applyAlignment="1">
      <alignment horizontal="center" vertical="center"/>
    </xf>
    <xf numFmtId="3" fontId="77" fillId="0" borderId="61" xfId="0" applyNumberFormat="1" applyFont="1" applyBorder="1" applyAlignment="1">
      <alignment horizontal="center" vertical="center"/>
    </xf>
    <xf numFmtId="0" fontId="78" fillId="0" borderId="61" xfId="0" applyFont="1" applyBorder="1" applyAlignment="1">
      <alignment horizontal="center" vertical="center"/>
    </xf>
    <xf numFmtId="3" fontId="77" fillId="0" borderId="27" xfId="0" applyNumberFormat="1" applyFont="1" applyBorder="1" applyAlignment="1">
      <alignment horizontal="center" vertical="center"/>
    </xf>
    <xf numFmtId="165" fontId="78" fillId="0" borderId="62" xfId="0" applyNumberFormat="1" applyFont="1" applyBorder="1" applyAlignment="1">
      <alignment horizontal="center" vertical="center"/>
    </xf>
    <xf numFmtId="165" fontId="77" fillId="27" borderId="62" xfId="1" applyNumberFormat="1" applyFont="1" applyFill="1" applyBorder="1" applyAlignment="1">
      <alignment horizontal="center" vertical="center"/>
    </xf>
    <xf numFmtId="169" fontId="77" fillId="0" borderId="62" xfId="1" applyNumberFormat="1" applyFont="1" applyBorder="1" applyAlignment="1">
      <alignment horizontal="center" vertical="center"/>
    </xf>
    <xf numFmtId="165" fontId="78" fillId="16" borderId="62" xfId="0" applyNumberFormat="1" applyFont="1" applyFill="1" applyBorder="1" applyAlignment="1">
      <alignment horizontal="center" vertical="center"/>
    </xf>
    <xf numFmtId="165" fontId="77" fillId="16" borderId="62" xfId="1" applyNumberFormat="1" applyFont="1" applyFill="1" applyBorder="1" applyAlignment="1">
      <alignment horizontal="center" vertical="center"/>
    </xf>
    <xf numFmtId="165" fontId="77" fillId="16" borderId="63" xfId="1" applyNumberFormat="1" applyFont="1" applyFill="1" applyBorder="1" applyAlignment="1">
      <alignment horizontal="center" vertical="center"/>
    </xf>
    <xf numFmtId="169" fontId="77" fillId="16" borderId="63" xfId="1" applyNumberFormat="1" applyFont="1" applyFill="1" applyBorder="1" applyAlignment="1">
      <alignment horizontal="center" vertical="center"/>
    </xf>
    <xf numFmtId="0" fontId="92" fillId="16" borderId="0" xfId="0" applyFont="1" applyFill="1" applyAlignment="1">
      <alignment horizontal="center" vertical="center"/>
    </xf>
    <xf numFmtId="0" fontId="78" fillId="16" borderId="0" xfId="0" applyFont="1" applyFill="1" applyAlignment="1">
      <alignment horizontal="center" vertical="center"/>
    </xf>
    <xf numFmtId="165" fontId="77" fillId="0" borderId="62" xfId="1" applyNumberFormat="1" applyFont="1" applyBorder="1" applyAlignment="1">
      <alignment horizontal="center" vertical="center"/>
    </xf>
    <xf numFmtId="165" fontId="77" fillId="13" borderId="63" xfId="1" applyNumberFormat="1" applyFont="1" applyFill="1" applyBorder="1" applyAlignment="1">
      <alignment horizontal="center" vertical="center"/>
    </xf>
    <xf numFmtId="169" fontId="77" fillId="13" borderId="63" xfId="1" applyNumberFormat="1" applyFont="1" applyFill="1" applyBorder="1" applyAlignment="1">
      <alignment horizontal="center" vertical="center"/>
    </xf>
    <xf numFmtId="0" fontId="78" fillId="13" borderId="0" xfId="0" applyFont="1" applyFill="1" applyAlignment="1">
      <alignment horizontal="center" vertical="center"/>
    </xf>
    <xf numFmtId="165" fontId="84" fillId="13" borderId="63" xfId="1" applyNumberFormat="1" applyFont="1" applyFill="1" applyBorder="1" applyAlignment="1">
      <alignment horizontal="center" vertical="center"/>
    </xf>
    <xf numFmtId="169" fontId="84" fillId="13" borderId="63" xfId="1" applyNumberFormat="1" applyFont="1" applyFill="1" applyBorder="1" applyAlignment="1">
      <alignment horizontal="center" vertical="center"/>
    </xf>
    <xf numFmtId="0" fontId="80" fillId="13" borderId="0" xfId="0" applyFont="1" applyFill="1" applyAlignment="1">
      <alignment horizontal="center" vertical="center"/>
    </xf>
    <xf numFmtId="165" fontId="78" fillId="32" borderId="62" xfId="0" applyNumberFormat="1" applyFont="1" applyFill="1" applyBorder="1" applyAlignment="1">
      <alignment horizontal="center" vertical="center"/>
    </xf>
    <xf numFmtId="165" fontId="77" fillId="0" borderId="62" xfId="1" applyNumberFormat="1" applyFont="1" applyFill="1" applyBorder="1" applyAlignment="1">
      <alignment horizontal="center" vertical="center"/>
    </xf>
    <xf numFmtId="165" fontId="77" fillId="0" borderId="63" xfId="1" applyNumberFormat="1" applyFont="1" applyBorder="1" applyAlignment="1">
      <alignment horizontal="center" vertical="center"/>
    </xf>
    <xf numFmtId="169" fontId="77" fillId="0" borderId="63" xfId="1" applyNumberFormat="1" applyFont="1" applyBorder="1" applyAlignment="1">
      <alignment horizontal="center" vertical="center"/>
    </xf>
    <xf numFmtId="165" fontId="78" fillId="16" borderId="62" xfId="1" applyNumberFormat="1" applyFont="1" applyFill="1" applyBorder="1" applyAlignment="1">
      <alignment horizontal="center" vertical="center"/>
    </xf>
    <xf numFmtId="165" fontId="93" fillId="0" borderId="63" xfId="1" applyNumberFormat="1" applyFont="1" applyBorder="1" applyAlignment="1">
      <alignment horizontal="center" vertical="center"/>
    </xf>
    <xf numFmtId="169" fontId="93" fillId="0" borderId="63" xfId="1" applyNumberFormat="1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" fontId="78" fillId="16" borderId="62" xfId="0" applyNumberFormat="1" applyFont="1" applyFill="1" applyBorder="1" applyAlignment="1">
      <alignment horizontal="center" vertical="center"/>
    </xf>
    <xf numFmtId="165" fontId="92" fillId="0" borderId="0" xfId="0" applyNumberFormat="1" applyFont="1" applyAlignment="1">
      <alignment horizontal="center" vertical="center"/>
    </xf>
    <xf numFmtId="165" fontId="80" fillId="0" borderId="0" xfId="0" applyNumberFormat="1" applyFont="1" applyAlignment="1">
      <alignment horizontal="center" vertical="center"/>
    </xf>
    <xf numFmtId="165" fontId="93" fillId="0" borderId="0" xfId="1" applyNumberFormat="1" applyFont="1" applyAlignment="1">
      <alignment horizontal="center" vertical="center"/>
    </xf>
    <xf numFmtId="169" fontId="93" fillId="0" borderId="0" xfId="1" applyNumberFormat="1" applyFont="1" applyAlignment="1">
      <alignment horizontal="center" vertical="center"/>
    </xf>
    <xf numFmtId="165" fontId="92" fillId="16" borderId="0" xfId="0" applyNumberFormat="1" applyFont="1" applyFill="1" applyAlignment="1">
      <alignment horizontal="center" vertical="center"/>
    </xf>
    <xf numFmtId="165" fontId="80" fillId="16" borderId="0" xfId="0" applyNumberFormat="1" applyFont="1" applyFill="1" applyAlignment="1">
      <alignment horizontal="center" vertical="center"/>
    </xf>
    <xf numFmtId="165" fontId="93" fillId="16" borderId="0" xfId="1" applyNumberFormat="1" applyFont="1" applyFill="1" applyAlignment="1">
      <alignment horizontal="center" vertical="center"/>
    </xf>
    <xf numFmtId="169" fontId="93" fillId="16" borderId="0" xfId="1" applyNumberFormat="1" applyFont="1" applyFill="1" applyAlignment="1">
      <alignment horizontal="center" vertical="center"/>
    </xf>
    <xf numFmtId="165" fontId="77" fillId="0" borderId="27" xfId="0" applyNumberFormat="1" applyFont="1" applyBorder="1" applyAlignment="1">
      <alignment horizontal="center" vertical="center"/>
    </xf>
    <xf numFmtId="165" fontId="84" fillId="0" borderId="27" xfId="0" applyNumberFormat="1" applyFont="1" applyBorder="1" applyAlignment="1">
      <alignment horizontal="center" vertical="center"/>
    </xf>
    <xf numFmtId="169" fontId="77" fillId="0" borderId="64" xfId="1" applyNumberFormat="1" applyFont="1" applyBorder="1" applyAlignment="1">
      <alignment horizontal="center" vertical="center"/>
    </xf>
    <xf numFmtId="164" fontId="86" fillId="0" borderId="40" xfId="0" applyNumberFormat="1" applyFont="1" applyBorder="1" applyAlignment="1">
      <alignment horizontal="center" vertical="center"/>
    </xf>
    <xf numFmtId="164" fontId="97" fillId="0" borderId="40" xfId="0" applyNumberFormat="1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3" fontId="77" fillId="26" borderId="0" xfId="3" applyNumberFormat="1" applyFont="1" applyFill="1" applyAlignment="1">
      <alignment horizontal="center" vertical="center"/>
    </xf>
    <xf numFmtId="3" fontId="84" fillId="26" borderId="0" xfId="3" applyNumberFormat="1" applyFont="1" applyFill="1" applyAlignment="1">
      <alignment horizontal="center" vertical="center"/>
    </xf>
    <xf numFmtId="3" fontId="77" fillId="26" borderId="0" xfId="0" applyNumberFormat="1" applyFont="1" applyFill="1" applyAlignment="1">
      <alignment horizontal="center" vertical="center"/>
    </xf>
    <xf numFmtId="0" fontId="77" fillId="26" borderId="0" xfId="0" applyFont="1" applyFill="1" applyAlignment="1">
      <alignment horizontal="center" vertical="center"/>
    </xf>
    <xf numFmtId="38" fontId="77" fillId="0" borderId="0" xfId="0" applyNumberFormat="1" applyFont="1" applyAlignment="1">
      <alignment horizontal="center" vertical="center"/>
    </xf>
    <xf numFmtId="3" fontId="77" fillId="31" borderId="0" xfId="0" applyNumberFormat="1" applyFont="1" applyFill="1" applyAlignment="1">
      <alignment horizontal="center" vertical="center"/>
    </xf>
    <xf numFmtId="3" fontId="77" fillId="23" borderId="0" xfId="0" applyNumberFormat="1" applyFont="1" applyFill="1" applyAlignment="1">
      <alignment horizontal="center" vertical="center"/>
    </xf>
    <xf numFmtId="3" fontId="84" fillId="17" borderId="0" xfId="0" applyNumberFormat="1" applyFont="1" applyFill="1" applyAlignment="1">
      <alignment horizontal="center" vertical="center"/>
    </xf>
    <xf numFmtId="3" fontId="78" fillId="16" borderId="0" xfId="0" applyNumberFormat="1" applyFont="1" applyFill="1" applyAlignment="1">
      <alignment horizontal="center" vertical="center"/>
    </xf>
    <xf numFmtId="3" fontId="84" fillId="31" borderId="0" xfId="0" applyNumberFormat="1" applyFont="1" applyFill="1" applyAlignment="1">
      <alignment horizontal="center" vertical="center"/>
    </xf>
    <xf numFmtId="3" fontId="84" fillId="15" borderId="0" xfId="0" applyNumberFormat="1" applyFont="1" applyFill="1" applyAlignment="1">
      <alignment horizontal="center" vertical="center"/>
    </xf>
    <xf numFmtId="37" fontId="77" fillId="26" borderId="0" xfId="0" applyNumberFormat="1" applyFont="1" applyFill="1" applyAlignment="1">
      <alignment horizontal="center" vertical="center"/>
    </xf>
    <xf numFmtId="37" fontId="84" fillId="26" borderId="0" xfId="0" applyNumberFormat="1" applyFont="1" applyFill="1" applyAlignment="1">
      <alignment horizontal="center" vertical="center"/>
    </xf>
    <xf numFmtId="0" fontId="78" fillId="26" borderId="0" xfId="0" applyFont="1" applyFill="1" applyAlignment="1">
      <alignment horizontal="center" vertical="center"/>
    </xf>
    <xf numFmtId="37" fontId="105" fillId="26" borderId="0" xfId="0" applyNumberFormat="1" applyFont="1" applyFill="1" applyAlignment="1">
      <alignment horizontal="center" vertical="center"/>
    </xf>
    <xf numFmtId="0" fontId="80" fillId="26" borderId="0" xfId="0" applyFont="1" applyFill="1" applyAlignment="1">
      <alignment horizontal="center" vertical="center"/>
    </xf>
    <xf numFmtId="9" fontId="80" fillId="26" borderId="0" xfId="4" applyFont="1" applyFill="1" applyAlignment="1">
      <alignment horizontal="center" vertical="center"/>
    </xf>
    <xf numFmtId="37" fontId="77" fillId="26" borderId="0" xfId="3" applyNumberFormat="1" applyFont="1" applyFill="1" applyAlignment="1">
      <alignment horizontal="center" vertical="center"/>
    </xf>
    <xf numFmtId="37" fontId="84" fillId="26" borderId="0" xfId="3" applyNumberFormat="1" applyFont="1" applyFill="1" applyAlignment="1">
      <alignment horizontal="center" vertical="center"/>
    </xf>
    <xf numFmtId="3" fontId="84" fillId="26" borderId="0" xfId="0" applyNumberFormat="1" applyFont="1" applyFill="1" applyAlignment="1">
      <alignment horizontal="center" vertical="center"/>
    </xf>
    <xf numFmtId="3" fontId="84" fillId="23" borderId="0" xfId="0" applyNumberFormat="1" applyFont="1" applyFill="1" applyAlignment="1">
      <alignment horizontal="center" vertical="center"/>
    </xf>
    <xf numFmtId="0" fontId="78" fillId="23" borderId="0" xfId="0" applyFont="1" applyFill="1" applyAlignment="1">
      <alignment horizontal="center" vertical="center"/>
    </xf>
    <xf numFmtId="165" fontId="77" fillId="25" borderId="0" xfId="0" applyNumberFormat="1" applyFont="1" applyFill="1" applyAlignment="1">
      <alignment horizontal="center" vertical="center"/>
    </xf>
    <xf numFmtId="165" fontId="84" fillId="25" borderId="0" xfId="0" applyNumberFormat="1" applyFont="1" applyFill="1" applyAlignment="1">
      <alignment horizontal="center" vertical="center"/>
    </xf>
    <xf numFmtId="0" fontId="77" fillId="25" borderId="0" xfId="0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0" fontId="80" fillId="25" borderId="0" xfId="0" applyFont="1" applyFill="1" applyAlignment="1">
      <alignment horizontal="center" vertical="center"/>
    </xf>
    <xf numFmtId="164" fontId="77" fillId="25" borderId="0" xfId="0" applyNumberFormat="1" applyFont="1" applyFill="1" applyAlignment="1">
      <alignment horizontal="center" vertical="center"/>
    </xf>
    <xf numFmtId="0" fontId="84" fillId="25" borderId="0" xfId="0" applyFont="1" applyFill="1" applyAlignment="1">
      <alignment horizontal="center" vertical="center"/>
    </xf>
    <xf numFmtId="3" fontId="86" fillId="0" borderId="0" xfId="0" applyNumberFormat="1" applyFont="1" applyAlignment="1">
      <alignment horizontal="center" vertical="center"/>
    </xf>
    <xf numFmtId="3" fontId="97" fillId="0" borderId="0" xfId="0" applyNumberFormat="1" applyFont="1" applyAlignment="1">
      <alignment horizontal="center" vertical="center"/>
    </xf>
    <xf numFmtId="3" fontId="85" fillId="25" borderId="0" xfId="0" applyNumberFormat="1" applyFont="1" applyFill="1" applyAlignment="1">
      <alignment horizontal="center" vertical="center"/>
    </xf>
    <xf numFmtId="3" fontId="85" fillId="0" borderId="0" xfId="0" applyNumberFormat="1" applyFont="1" applyAlignment="1">
      <alignment horizontal="center" vertical="center"/>
    </xf>
    <xf numFmtId="169" fontId="85" fillId="16" borderId="0" xfId="1" applyNumberFormat="1" applyFont="1" applyFill="1" applyAlignment="1">
      <alignment horizontal="center" vertical="center"/>
    </xf>
    <xf numFmtId="165" fontId="86" fillId="0" borderId="0" xfId="0" applyNumberFormat="1" applyFont="1" applyAlignment="1">
      <alignment horizontal="center" vertical="center"/>
    </xf>
    <xf numFmtId="165" fontId="97" fillId="0" borderId="0" xfId="0" applyNumberFormat="1" applyFont="1" applyAlignment="1">
      <alignment horizontal="center" vertical="center"/>
    </xf>
    <xf numFmtId="165" fontId="85" fillId="0" borderId="0" xfId="1" applyNumberFormat="1" applyFont="1" applyAlignment="1">
      <alignment horizontal="center" vertical="center"/>
    </xf>
    <xf numFmtId="169" fontId="85" fillId="0" borderId="0" xfId="1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37" fontId="80" fillId="0" borderId="0" xfId="0" applyNumberFormat="1" applyFont="1" applyAlignment="1">
      <alignment horizontal="center" vertical="center"/>
    </xf>
    <xf numFmtId="170" fontId="78" fillId="0" borderId="0" xfId="4" applyNumberFormat="1" applyFont="1" applyAlignment="1">
      <alignment horizontal="center" vertical="center"/>
    </xf>
    <xf numFmtId="170" fontId="80" fillId="0" borderId="0" xfId="4" applyNumberFormat="1" applyFont="1" applyAlignment="1">
      <alignment horizontal="center" vertical="center"/>
    </xf>
    <xf numFmtId="164" fontId="109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167" fontId="34" fillId="0" borderId="5" xfId="0" applyNumberFormat="1" applyFont="1" applyBorder="1" applyAlignment="1">
      <alignment horizontal="center"/>
    </xf>
    <xf numFmtId="164" fontId="15" fillId="0" borderId="5" xfId="3" applyNumberFormat="1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1" fontId="78" fillId="0" borderId="60" xfId="3" applyNumberFormat="1" applyFont="1" applyBorder="1" applyAlignment="1">
      <alignment horizontal="center" vertical="center"/>
    </xf>
    <xf numFmtId="1" fontId="78" fillId="16" borderId="60" xfId="0" applyNumberFormat="1" applyFont="1" applyFill="1" applyBorder="1" applyAlignment="1">
      <alignment horizontal="center" vertical="center"/>
    </xf>
    <xf numFmtId="1" fontId="80" fillId="16" borderId="60" xfId="0" applyNumberFormat="1" applyFont="1" applyFill="1" applyBorder="1" applyAlignment="1">
      <alignment horizontal="center" vertical="center"/>
    </xf>
    <xf numFmtId="1" fontId="77" fillId="0" borderId="60" xfId="3" applyNumberFormat="1" applyFont="1" applyBorder="1" applyAlignment="1">
      <alignment horizontal="center" vertical="center"/>
    </xf>
    <xf numFmtId="1" fontId="77" fillId="16" borderId="60" xfId="0" applyNumberFormat="1" applyFont="1" applyFill="1" applyBorder="1" applyAlignment="1">
      <alignment horizontal="center" vertical="center"/>
    </xf>
    <xf numFmtId="0" fontId="7" fillId="0" borderId="0" xfId="3" applyAlignment="1">
      <alignment wrapText="1"/>
    </xf>
    <xf numFmtId="0" fontId="54" fillId="0" borderId="0" xfId="3" applyFont="1"/>
    <xf numFmtId="0" fontId="110" fillId="0" borderId="0" xfId="3" applyFont="1" applyAlignment="1">
      <alignment horizontal="center"/>
    </xf>
    <xf numFmtId="3" fontId="110" fillId="0" borderId="0" xfId="3" applyNumberFormat="1" applyFont="1" applyAlignment="1">
      <alignment horizontal="center"/>
    </xf>
    <xf numFmtId="3" fontId="111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12" fillId="0" borderId="0" xfId="3" applyFont="1"/>
    <xf numFmtId="0" fontId="111" fillId="17" borderId="0" xfId="3" applyFont="1" applyFill="1" applyAlignment="1">
      <alignment horizontal="center"/>
    </xf>
    <xf numFmtId="3" fontId="111" fillId="17" borderId="0" xfId="3" applyNumberFormat="1" applyFont="1" applyFill="1" applyAlignment="1">
      <alignment horizontal="center"/>
    </xf>
    <xf numFmtId="37" fontId="15" fillId="0" borderId="5" xfId="3" applyNumberFormat="1" applyFont="1" applyBorder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3" fillId="4" borderId="5" xfId="3" applyNumberFormat="1" applyFont="1" applyFill="1" applyBorder="1"/>
    <xf numFmtId="0" fontId="23" fillId="4" borderId="5" xfId="3" applyFont="1" applyFill="1" applyBorder="1"/>
    <xf numFmtId="0" fontId="7" fillId="0" borderId="66" xfId="3" applyBorder="1"/>
    <xf numFmtId="0" fontId="20" fillId="4" borderId="67" xfId="3" applyFont="1" applyFill="1" applyBorder="1" applyAlignment="1">
      <alignment horizontal="center"/>
    </xf>
    <xf numFmtId="2" fontId="23" fillId="4" borderId="67" xfId="3" applyNumberFormat="1" applyFont="1" applyFill="1" applyBorder="1"/>
    <xf numFmtId="0" fontId="23" fillId="4" borderId="67" xfId="3" applyFont="1" applyFill="1" applyBorder="1"/>
    <xf numFmtId="3" fontId="23" fillId="4" borderId="68" xfId="3" applyNumberFormat="1" applyFont="1" applyFill="1" applyBorder="1"/>
    <xf numFmtId="0" fontId="7" fillId="0" borderId="69" xfId="3" applyBorder="1"/>
    <xf numFmtId="3" fontId="23" fillId="4" borderId="70" xfId="3" applyNumberFormat="1" applyFont="1" applyFill="1" applyBorder="1"/>
    <xf numFmtId="3" fontId="15" fillId="0" borderId="70" xfId="3" applyNumberFormat="1" applyFont="1" applyBorder="1" applyAlignment="1">
      <alignment horizontal="center"/>
    </xf>
    <xf numFmtId="0" fontId="111" fillId="17" borderId="24" xfId="3" applyFont="1" applyFill="1" applyBorder="1" applyAlignment="1">
      <alignment horizontal="center"/>
    </xf>
    <xf numFmtId="3" fontId="111" fillId="17" borderId="74" xfId="3" applyNumberFormat="1" applyFont="1" applyFill="1" applyBorder="1" applyAlignment="1">
      <alignment horizontal="center"/>
    </xf>
    <xf numFmtId="37" fontId="7" fillId="0" borderId="3" xfId="3" applyNumberFormat="1" applyBorder="1" applyAlignment="1">
      <alignment horizontal="center"/>
    </xf>
    <xf numFmtId="37" fontId="29" fillId="0" borderId="5" xfId="3" applyNumberFormat="1" applyFont="1" applyBorder="1" applyAlignment="1">
      <alignment horizontal="center"/>
    </xf>
    <xf numFmtId="37" fontId="29" fillId="0" borderId="72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9" borderId="6" xfId="3" applyFill="1" applyBorder="1" applyAlignment="1">
      <alignment horizontal="center" vertical="center"/>
    </xf>
    <xf numFmtId="0" fontId="7" fillId="19" borderId="6" xfId="3" applyFill="1" applyBorder="1" applyAlignment="1">
      <alignment horizontal="center"/>
    </xf>
    <xf numFmtId="0" fontId="4" fillId="19" borderId="7" xfId="3" applyFont="1" applyFill="1" applyBorder="1"/>
    <xf numFmtId="3" fontId="15" fillId="19" borderId="6" xfId="3" applyNumberFormat="1" applyFont="1" applyFill="1" applyBorder="1" applyAlignment="1">
      <alignment horizontal="center" vertical="center"/>
    </xf>
    <xf numFmtId="3" fontId="15" fillId="19" borderId="6" xfId="3" applyNumberFormat="1" applyFont="1" applyFill="1" applyBorder="1" applyAlignment="1">
      <alignment horizontal="center"/>
    </xf>
    <xf numFmtId="4" fontId="15" fillId="19" borderId="7" xfId="3" applyNumberFormat="1" applyFont="1" applyFill="1" applyBorder="1" applyAlignment="1">
      <alignment horizontal="center"/>
    </xf>
    <xf numFmtId="3" fontId="110" fillId="19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12" fillId="0" borderId="0" xfId="3" applyNumberFormat="1" applyFont="1" applyAlignment="1">
      <alignment horizontal="center" vertical="center"/>
    </xf>
    <xf numFmtId="37" fontId="15" fillId="16" borderId="49" xfId="3" applyNumberFormat="1" applyFont="1" applyFill="1" applyBorder="1" applyAlignment="1">
      <alignment horizontal="center"/>
    </xf>
    <xf numFmtId="4" fontId="15" fillId="16" borderId="51" xfId="3" applyNumberFormat="1" applyFont="1" applyFill="1" applyBorder="1" applyAlignment="1">
      <alignment horizontal="center"/>
    </xf>
    <xf numFmtId="3" fontId="111" fillId="16" borderId="75" xfId="3" applyNumberFormat="1" applyFont="1" applyFill="1" applyBorder="1" applyAlignment="1">
      <alignment horizontal="center"/>
    </xf>
    <xf numFmtId="4" fontId="111" fillId="16" borderId="76" xfId="3" applyNumberFormat="1" applyFont="1" applyFill="1" applyBorder="1" applyAlignment="1">
      <alignment horizontal="center"/>
    </xf>
    <xf numFmtId="3" fontId="7" fillId="19" borderId="3" xfId="3" applyNumberFormat="1" applyFill="1" applyBorder="1" applyAlignment="1">
      <alignment horizontal="center"/>
    </xf>
    <xf numFmtId="3" fontId="29" fillId="19" borderId="5" xfId="3" applyNumberFormat="1" applyFont="1" applyFill="1" applyBorder="1" applyAlignment="1">
      <alignment horizontal="center"/>
    </xf>
    <xf numFmtId="0" fontId="35" fillId="0" borderId="0" xfId="3" applyFont="1" applyAlignment="1">
      <alignment horizontal="center" vertical="center"/>
    </xf>
    <xf numFmtId="0" fontId="111" fillId="17" borderId="0" xfId="3" applyFont="1" applyFill="1" applyAlignment="1">
      <alignment horizontal="center" vertical="center"/>
    </xf>
    <xf numFmtId="164" fontId="54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3" fontId="0" fillId="0" borderId="0" xfId="0" applyNumberFormat="1"/>
    <xf numFmtId="3" fontId="1" fillId="0" borderId="5" xfId="0" applyNumberFormat="1" applyFont="1" applyBorder="1" applyAlignment="1">
      <alignment horizontal="center"/>
    </xf>
    <xf numFmtId="3" fontId="29" fillId="19" borderId="46" xfId="3" applyNumberFormat="1" applyFont="1" applyFill="1" applyBorder="1" applyAlignment="1">
      <alignment horizontal="center"/>
    </xf>
    <xf numFmtId="3" fontId="113" fillId="0" borderId="5" xfId="3" applyNumberFormat="1" applyFont="1" applyBorder="1" applyAlignment="1">
      <alignment horizontal="center"/>
    </xf>
    <xf numFmtId="4" fontId="110" fillId="16" borderId="5" xfId="3" applyNumberFormat="1" applyFont="1" applyFill="1" applyBorder="1" applyAlignment="1">
      <alignment horizontal="center"/>
    </xf>
    <xf numFmtId="164" fontId="54" fillId="0" borderId="5" xfId="3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13" fillId="17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5" fillId="0" borderId="0" xfId="3" applyNumberFormat="1" applyFont="1" applyAlignment="1">
      <alignment horizontal="center" vertical="center"/>
    </xf>
    <xf numFmtId="1" fontId="28" fillId="0" borderId="0" xfId="3" applyNumberFormat="1" applyFont="1" applyAlignment="1">
      <alignment horizontal="center"/>
    </xf>
    <xf numFmtId="3" fontId="15" fillId="0" borderId="41" xfId="3" applyNumberFormat="1" applyFont="1" applyBorder="1" applyAlignment="1">
      <alignment horizontal="center" vertical="center"/>
    </xf>
    <xf numFmtId="0" fontId="7" fillId="16" borderId="23" xfId="3" applyFill="1" applyBorder="1"/>
    <xf numFmtId="0" fontId="15" fillId="16" borderId="24" xfId="3" applyFont="1" applyFill="1" applyBorder="1" applyAlignment="1">
      <alignment horizontal="center"/>
    </xf>
    <xf numFmtId="164" fontId="109" fillId="16" borderId="24" xfId="0" applyNumberFormat="1" applyFont="1" applyFill="1" applyBorder="1" applyAlignment="1">
      <alignment horizontal="center" vertical="center"/>
    </xf>
    <xf numFmtId="0" fontId="15" fillId="16" borderId="24" xfId="0" applyFont="1" applyFill="1" applyBorder="1" applyAlignment="1">
      <alignment horizontal="center"/>
    </xf>
    <xf numFmtId="167" fontId="96" fillId="0" borderId="63" xfId="1" applyNumberFormat="1" applyFont="1" applyFill="1" applyBorder="1" applyAlignment="1">
      <alignment horizontal="center" vertical="center"/>
    </xf>
    <xf numFmtId="167" fontId="99" fillId="0" borderId="0" xfId="1" applyNumberFormat="1" applyFont="1" applyFill="1" applyAlignment="1">
      <alignment horizontal="center" vertical="center"/>
    </xf>
    <xf numFmtId="167" fontId="108" fillId="0" borderId="0" xfId="1" applyNumberFormat="1" applyFont="1" applyAlignment="1">
      <alignment horizontal="center" vertical="center"/>
    </xf>
    <xf numFmtId="37" fontId="116" fillId="17" borderId="30" xfId="3" applyNumberFormat="1" applyFont="1" applyFill="1" applyBorder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15" fillId="16" borderId="51" xfId="3" applyNumberFormat="1" applyFont="1" applyFill="1" applyBorder="1" applyAlignment="1">
      <alignment horizontal="center"/>
    </xf>
    <xf numFmtId="2" fontId="110" fillId="16" borderId="5" xfId="3" applyNumberFormat="1" applyFont="1" applyFill="1" applyBorder="1" applyAlignment="1">
      <alignment horizontal="center"/>
    </xf>
    <xf numFmtId="1" fontId="7" fillId="0" borderId="0" xfId="3" applyNumberFormat="1"/>
    <xf numFmtId="1" fontId="7" fillId="19" borderId="3" xfId="3" applyNumberFormat="1" applyFill="1" applyBorder="1" applyAlignment="1">
      <alignment horizontal="center"/>
    </xf>
    <xf numFmtId="1" fontId="29" fillId="19" borderId="5" xfId="3" applyNumberFormat="1" applyFont="1" applyFill="1" applyBorder="1" applyAlignment="1">
      <alignment horizontal="center"/>
    </xf>
    <xf numFmtId="39" fontId="29" fillId="0" borderId="5" xfId="3" applyNumberFormat="1" applyFont="1" applyBorder="1" applyAlignment="1">
      <alignment horizontal="center"/>
    </xf>
    <xf numFmtId="0" fontId="7" fillId="0" borderId="81" xfId="3" applyBorder="1" applyAlignment="1">
      <alignment horizontal="center"/>
    </xf>
    <xf numFmtId="0" fontId="29" fillId="0" borderId="82" xfId="3" applyFont="1" applyBorder="1" applyAlignment="1">
      <alignment horizontal="center"/>
    </xf>
    <xf numFmtId="1" fontId="15" fillId="19" borderId="5" xfId="3" applyNumberFormat="1" applyFont="1" applyFill="1" applyBorder="1" applyAlignment="1">
      <alignment horizontal="center"/>
    </xf>
    <xf numFmtId="0" fontId="72" fillId="13" borderId="66" xfId="3" applyFont="1" applyFill="1" applyBorder="1" applyAlignment="1">
      <alignment horizontal="center"/>
    </xf>
    <xf numFmtId="0" fontId="72" fillId="13" borderId="67" xfId="3" applyFont="1" applyFill="1" applyBorder="1" applyAlignment="1">
      <alignment horizontal="center"/>
    </xf>
    <xf numFmtId="37" fontId="29" fillId="0" borderId="69" xfId="3" applyNumberFormat="1" applyFont="1" applyBorder="1" applyAlignment="1">
      <alignment horizontal="center"/>
    </xf>
    <xf numFmtId="4" fontId="15" fillId="19" borderId="70" xfId="3" applyNumberFormat="1" applyFont="1" applyFill="1" applyBorder="1" applyAlignment="1">
      <alignment horizontal="center"/>
    </xf>
    <xf numFmtId="0" fontId="30" fillId="0" borderId="72" xfId="3" applyFont="1" applyBorder="1" applyAlignment="1">
      <alignment horizontal="center"/>
    </xf>
    <xf numFmtId="37" fontId="111" fillId="17" borderId="72" xfId="3" applyNumberFormat="1" applyFont="1" applyFill="1" applyBorder="1" applyAlignment="1">
      <alignment horizontal="center"/>
    </xf>
    <xf numFmtId="1" fontId="111" fillId="17" borderId="72" xfId="3" applyNumberFormat="1" applyFont="1" applyFill="1" applyBorder="1" applyAlignment="1">
      <alignment horizontal="center"/>
    </xf>
    <xf numFmtId="4" fontId="111" fillId="19" borderId="73" xfId="3" applyNumberFormat="1" applyFont="1" applyFill="1" applyBorder="1" applyAlignment="1">
      <alignment horizontal="center"/>
    </xf>
    <xf numFmtId="37" fontId="29" fillId="0" borderId="49" xfId="3" applyNumberFormat="1" applyFont="1" applyBorder="1" applyAlignment="1">
      <alignment horizontal="center"/>
    </xf>
    <xf numFmtId="2" fontId="10" fillId="19" borderId="51" xfId="3" applyNumberFormat="1" applyFont="1" applyFill="1" applyBorder="1" applyAlignment="1">
      <alignment horizontal="center"/>
    </xf>
    <xf numFmtId="0" fontId="72" fillId="13" borderId="71" xfId="3" applyFont="1" applyFill="1" applyBorder="1" applyAlignment="1">
      <alignment horizontal="center"/>
    </xf>
    <xf numFmtId="0" fontId="72" fillId="13" borderId="72" xfId="3" applyFont="1" applyFill="1" applyBorder="1" applyAlignment="1">
      <alignment horizontal="center"/>
    </xf>
    <xf numFmtId="0" fontId="117" fillId="13" borderId="72" xfId="3" applyFont="1" applyFill="1" applyBorder="1" applyAlignment="1">
      <alignment horizontal="center"/>
    </xf>
    <xf numFmtId="3" fontId="111" fillId="17" borderId="5" xfId="3" applyNumberFormat="1" applyFont="1" applyFill="1" applyBorder="1" applyAlignment="1">
      <alignment horizontal="center"/>
    </xf>
    <xf numFmtId="3" fontId="111" fillId="17" borderId="75" xfId="3" applyNumberFormat="1" applyFont="1" applyFill="1" applyBorder="1" applyAlignment="1">
      <alignment horizontal="center"/>
    </xf>
    <xf numFmtId="0" fontId="77" fillId="25" borderId="0" xfId="0" applyFont="1" applyFill="1" applyAlignment="1">
      <alignment vertical="center"/>
    </xf>
    <xf numFmtId="0" fontId="78" fillId="25" borderId="0" xfId="0" applyFont="1" applyFill="1" applyAlignment="1">
      <alignment vertical="center"/>
    </xf>
    <xf numFmtId="0" fontId="79" fillId="0" borderId="5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165" fontId="77" fillId="25" borderId="5" xfId="0" applyNumberFormat="1" applyFont="1" applyFill="1" applyBorder="1" applyAlignment="1">
      <alignment horizontal="center" vertical="center"/>
    </xf>
    <xf numFmtId="169" fontId="77" fillId="25" borderId="5" xfId="0" applyNumberFormat="1" applyFont="1" applyFill="1" applyBorder="1" applyAlignment="1">
      <alignment horizontal="center" vertical="center"/>
    </xf>
    <xf numFmtId="167" fontId="77" fillId="25" borderId="5" xfId="1" applyNumberFormat="1" applyFont="1" applyFill="1" applyBorder="1" applyAlignment="1">
      <alignment horizontal="center" vertical="center"/>
    </xf>
    <xf numFmtId="0" fontId="78" fillId="25" borderId="5" xfId="0" applyFont="1" applyFill="1" applyBorder="1" applyAlignment="1">
      <alignment horizontal="center" vertical="center"/>
    </xf>
    <xf numFmtId="4" fontId="77" fillId="25" borderId="5" xfId="0" applyNumberFormat="1" applyFont="1" applyFill="1" applyBorder="1" applyAlignment="1">
      <alignment horizontal="center" vertical="center"/>
    </xf>
    <xf numFmtId="164" fontId="77" fillId="25" borderId="5" xfId="0" applyNumberFormat="1" applyFont="1" applyFill="1" applyBorder="1" applyAlignment="1">
      <alignment horizontal="center" vertical="center"/>
    </xf>
    <xf numFmtId="40" fontId="77" fillId="25" borderId="5" xfId="0" applyNumberFormat="1" applyFont="1" applyFill="1" applyBorder="1" applyAlignment="1">
      <alignment horizontal="center" vertical="center"/>
    </xf>
    <xf numFmtId="0" fontId="77" fillId="25" borderId="5" xfId="0" applyFont="1" applyFill="1" applyBorder="1" applyAlignment="1">
      <alignment horizontal="center" vertical="center"/>
    </xf>
    <xf numFmtId="2" fontId="6" fillId="0" borderId="0" xfId="3" applyNumberFormat="1" applyFont="1"/>
    <xf numFmtId="2" fontId="20" fillId="4" borderId="27" xfId="3" applyNumberFormat="1" applyFont="1" applyFill="1" applyBorder="1" applyAlignment="1">
      <alignment horizontal="center"/>
    </xf>
    <xf numFmtId="2" fontId="20" fillId="4" borderId="0" xfId="3" applyNumberFormat="1" applyFont="1" applyFill="1" applyAlignment="1">
      <alignment horizontal="center"/>
    </xf>
    <xf numFmtId="2" fontId="20" fillId="4" borderId="28" xfId="3" applyNumberFormat="1" applyFont="1" applyFill="1" applyBorder="1" applyAlignment="1">
      <alignment horizontal="center"/>
    </xf>
    <xf numFmtId="3" fontId="7" fillId="34" borderId="5" xfId="0" applyNumberFormat="1" applyFont="1" applyFill="1" applyBorder="1" applyAlignment="1">
      <alignment horizontal="center"/>
    </xf>
    <xf numFmtId="37" fontId="7" fillId="34" borderId="5" xfId="3" applyNumberFormat="1" applyFill="1" applyBorder="1" applyAlignment="1">
      <alignment horizontal="center"/>
    </xf>
    <xf numFmtId="3" fontId="7" fillId="7" borderId="42" xfId="3" applyNumberFormat="1" applyFill="1" applyBorder="1" applyAlignment="1">
      <alignment horizontal="center" vertical="center"/>
    </xf>
    <xf numFmtId="0" fontId="7" fillId="7" borderId="5" xfId="3" applyFill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4" borderId="12" xfId="3" applyFont="1" applyFill="1" applyBorder="1" applyAlignment="1">
      <alignment horizontal="center" vertical="center"/>
    </xf>
    <xf numFmtId="0" fontId="20" fillId="4" borderId="13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21" fillId="4" borderId="14" xfId="3" applyFont="1" applyFill="1" applyBorder="1" applyAlignment="1">
      <alignment horizontal="center" vertical="center"/>
    </xf>
    <xf numFmtId="0" fontId="20" fillId="4" borderId="15" xfId="3" applyFont="1" applyFill="1" applyBorder="1" applyAlignment="1">
      <alignment horizontal="center" vertical="center"/>
    </xf>
    <xf numFmtId="0" fontId="21" fillId="4" borderId="15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/>
    </xf>
    <xf numFmtId="0" fontId="20" fillId="4" borderId="0" xfId="3" applyFont="1" applyFill="1" applyAlignment="1">
      <alignment horizontal="center" vertical="center"/>
    </xf>
    <xf numFmtId="0" fontId="39" fillId="4" borderId="0" xfId="3" applyFont="1" applyFill="1" applyAlignment="1">
      <alignment horizontal="center" vertical="center"/>
    </xf>
    <xf numFmtId="0" fontId="20" fillId="4" borderId="16" xfId="3" applyFont="1" applyFill="1" applyBorder="1" applyAlignment="1">
      <alignment horizontal="center" vertical="center"/>
    </xf>
    <xf numFmtId="0" fontId="20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20" fillId="4" borderId="18" xfId="3" applyFont="1" applyFill="1" applyBorder="1" applyAlignment="1">
      <alignment horizontal="center" vertical="center"/>
    </xf>
    <xf numFmtId="0" fontId="7" fillId="0" borderId="1" xfId="3" applyBorder="1" applyAlignment="1">
      <alignment horizontal="center" vertical="center"/>
    </xf>
    <xf numFmtId="3" fontId="7" fillId="21" borderId="0" xfId="3" applyNumberFormat="1" applyFill="1" applyAlignment="1">
      <alignment horizontal="center" vertical="center"/>
    </xf>
    <xf numFmtId="3" fontId="7" fillId="0" borderId="36" xfId="3" applyNumberFormat="1" applyBorder="1" applyAlignment="1">
      <alignment horizontal="center" vertical="center"/>
    </xf>
    <xf numFmtId="3" fontId="17" fillId="0" borderId="36" xfId="3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5" xfId="3" applyBorder="1" applyAlignment="1">
      <alignment horizontal="center" vertical="center"/>
    </xf>
    <xf numFmtId="3" fontId="7" fillId="21" borderId="37" xfId="3" applyNumberFormat="1" applyFill="1" applyBorder="1" applyAlignment="1">
      <alignment horizontal="center" vertical="center"/>
    </xf>
    <xf numFmtId="0" fontId="7" fillId="27" borderId="0" xfId="3" applyFill="1" applyAlignment="1">
      <alignment horizontal="center" vertical="center"/>
    </xf>
    <xf numFmtId="0" fontId="7" fillId="7" borderId="42" xfId="3" applyFill="1" applyBorder="1" applyAlignment="1">
      <alignment horizontal="center" vertical="center"/>
    </xf>
    <xf numFmtId="3" fontId="15" fillId="17" borderId="5" xfId="3" applyNumberFormat="1" applyFont="1" applyFill="1" applyBorder="1" applyAlignment="1">
      <alignment horizontal="center" vertical="center"/>
    </xf>
    <xf numFmtId="37" fontId="15" fillId="0" borderId="41" xfId="3" applyNumberFormat="1" applyFont="1" applyBorder="1" applyAlignment="1">
      <alignment horizontal="center" vertical="center"/>
    </xf>
    <xf numFmtId="37" fontId="15" fillId="0" borderId="36" xfId="3" applyNumberFormat="1" applyFont="1" applyBorder="1" applyAlignment="1">
      <alignment horizontal="center" vertical="center"/>
    </xf>
    <xf numFmtId="37" fontId="15" fillId="0" borderId="39" xfId="3" applyNumberFormat="1" applyFont="1" applyBorder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1" borderId="0" xfId="3" applyFill="1" applyAlignment="1">
      <alignment horizontal="center" vertical="center"/>
    </xf>
    <xf numFmtId="1" fontId="80" fillId="0" borderId="0" xfId="1" applyNumberFormat="1" applyFont="1" applyAlignment="1">
      <alignment horizontal="center" vertical="center"/>
    </xf>
    <xf numFmtId="3" fontId="118" fillId="0" borderId="37" xfId="3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5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5" fillId="16" borderId="3" xfId="3" applyNumberFormat="1" applyFont="1" applyFill="1" applyBorder="1" applyAlignment="1">
      <alignment horizontal="center"/>
    </xf>
    <xf numFmtId="3" fontId="15" fillId="32" borderId="37" xfId="3" applyNumberFormat="1" applyFont="1" applyFill="1" applyBorder="1" applyAlignment="1">
      <alignment horizontal="center" vertical="center"/>
    </xf>
    <xf numFmtId="1" fontId="84" fillId="0" borderId="0" xfId="1" applyNumberFormat="1" applyFont="1" applyFill="1" applyAlignment="1">
      <alignment horizontal="center" vertical="center"/>
    </xf>
    <xf numFmtId="1" fontId="80" fillId="0" borderId="0" xfId="1" applyNumberFormat="1" applyFont="1" applyFill="1" applyAlignment="1">
      <alignment horizontal="center" vertical="center"/>
    </xf>
    <xf numFmtId="1" fontId="99" fillId="0" borderId="0" xfId="1" applyNumberFormat="1" applyFont="1" applyAlignment="1">
      <alignment horizontal="center" vertical="center"/>
    </xf>
    <xf numFmtId="1" fontId="108" fillId="0" borderId="0" xfId="1" applyNumberFormat="1" applyFont="1" applyAlignment="1">
      <alignment horizontal="center" vertical="center"/>
    </xf>
    <xf numFmtId="1" fontId="98" fillId="0" borderId="0" xfId="1" applyNumberFormat="1" applyFont="1" applyAlignment="1">
      <alignment horizontal="center" vertical="center"/>
    </xf>
    <xf numFmtId="37" fontId="113" fillId="17" borderId="71" xfId="3" applyNumberFormat="1" applyFont="1" applyFill="1" applyBorder="1" applyAlignment="1">
      <alignment horizontal="center"/>
    </xf>
    <xf numFmtId="37" fontId="113" fillId="17" borderId="72" xfId="3" applyNumberFormat="1" applyFont="1" applyFill="1" applyBorder="1" applyAlignment="1">
      <alignment horizontal="center"/>
    </xf>
    <xf numFmtId="3" fontId="77" fillId="21" borderId="0" xfId="0" applyNumberFormat="1" applyFont="1" applyFill="1" applyAlignment="1">
      <alignment horizontal="center"/>
    </xf>
    <xf numFmtId="3" fontId="84" fillId="27" borderId="57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37" fontId="30" fillId="0" borderId="3" xfId="3" applyNumberFormat="1" applyFont="1" applyBorder="1" applyAlignment="1">
      <alignment horizontal="center"/>
    </xf>
    <xf numFmtId="39" fontId="30" fillId="0" borderId="3" xfId="3" applyNumberFormat="1" applyFont="1" applyBorder="1" applyAlignment="1">
      <alignment horizontal="center"/>
    </xf>
    <xf numFmtId="167" fontId="98" fillId="0" borderId="0" xfId="1" applyNumberFormat="1" applyFont="1" applyFill="1" applyAlignment="1">
      <alignment horizontal="center" vertical="center"/>
    </xf>
    <xf numFmtId="167" fontId="119" fillId="0" borderId="0" xfId="1" applyNumberFormat="1" applyFont="1" applyAlignment="1">
      <alignment horizontal="center" vertical="center"/>
    </xf>
    <xf numFmtId="1" fontId="99" fillId="0" borderId="0" xfId="1" applyNumberFormat="1" applyFont="1" applyFill="1" applyAlignment="1">
      <alignment horizontal="center" vertical="center"/>
    </xf>
    <xf numFmtId="0" fontId="116" fillId="5" borderId="5" xfId="0" applyFont="1" applyFill="1" applyBorder="1" applyAlignment="1">
      <alignment horizontal="center"/>
    </xf>
    <xf numFmtId="39" fontId="113" fillId="17" borderId="5" xfId="3" applyNumberFormat="1" applyFont="1" applyFill="1" applyBorder="1" applyAlignment="1">
      <alignment horizontal="center"/>
    </xf>
    <xf numFmtId="1" fontId="107" fillId="0" borderId="0" xfId="1" applyNumberFormat="1" applyFont="1" applyAlignment="1">
      <alignment horizontal="center" vertical="center"/>
    </xf>
    <xf numFmtId="0" fontId="23" fillId="4" borderId="47" xfId="0" applyFont="1" applyFill="1" applyBorder="1" applyAlignment="1">
      <alignment horizontal="center"/>
    </xf>
    <xf numFmtId="3" fontId="7" fillId="34" borderId="47" xfId="0" quotePrefix="1" applyNumberFormat="1" applyFont="1" applyFill="1" applyBorder="1" applyAlignment="1">
      <alignment horizontal="center"/>
    </xf>
    <xf numFmtId="0" fontId="23" fillId="4" borderId="69" xfId="0" applyFont="1" applyFill="1" applyBorder="1" applyAlignment="1">
      <alignment horizontal="center"/>
    </xf>
    <xf numFmtId="3" fontId="7" fillId="34" borderId="69" xfId="0" applyNumberFormat="1" applyFont="1" applyFill="1" applyBorder="1" applyAlignment="1">
      <alignment horizontal="center"/>
    </xf>
    <xf numFmtId="3" fontId="7" fillId="34" borderId="71" xfId="0" applyNumberFormat="1" applyFont="1" applyFill="1" applyBorder="1" applyAlignment="1">
      <alignment horizontal="center"/>
    </xf>
    <xf numFmtId="3" fontId="7" fillId="34" borderId="72" xfId="0" applyNumberFormat="1" applyFont="1" applyFill="1" applyBorder="1" applyAlignment="1">
      <alignment horizontal="center"/>
    </xf>
    <xf numFmtId="2" fontId="23" fillId="4" borderId="42" xfId="0" applyNumberFormat="1" applyFont="1" applyFill="1" applyBorder="1" applyAlignment="1">
      <alignment horizontal="center"/>
    </xf>
    <xf numFmtId="2" fontId="7" fillId="34" borderId="42" xfId="0" applyNumberFormat="1" applyFont="1" applyFill="1" applyBorder="1" applyAlignment="1">
      <alignment horizontal="center"/>
    </xf>
    <xf numFmtId="2" fontId="7" fillId="34" borderId="86" xfId="0" applyNumberFormat="1" applyFont="1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3" fontId="77" fillId="15" borderId="0" xfId="0" applyNumberFormat="1" applyFont="1" applyFill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4" borderId="71" xfId="0" applyNumberFormat="1" applyFont="1" applyFill="1" applyBorder="1" applyAlignment="1">
      <alignment horizontal="center"/>
    </xf>
    <xf numFmtId="2" fontId="7" fillId="34" borderId="72" xfId="0" applyNumberFormat="1" applyFont="1" applyFill="1" applyBorder="1" applyAlignment="1">
      <alignment horizontal="center"/>
    </xf>
    <xf numFmtId="2" fontId="7" fillId="34" borderId="73" xfId="0" applyNumberFormat="1" applyFont="1" applyFill="1" applyBorder="1" applyAlignment="1">
      <alignment horizontal="center"/>
    </xf>
    <xf numFmtId="1" fontId="23" fillId="4" borderId="70" xfId="0" applyNumberFormat="1" applyFont="1" applyFill="1" applyBorder="1" applyAlignment="1">
      <alignment horizontal="center"/>
    </xf>
    <xf numFmtId="1" fontId="7" fillId="34" borderId="70" xfId="0" applyNumberFormat="1" applyFont="1" applyFill="1" applyBorder="1" applyAlignment="1">
      <alignment horizontal="center"/>
    </xf>
    <xf numFmtId="1" fontId="7" fillId="34" borderId="73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20" fillId="17" borderId="66" xfId="0" applyNumberFormat="1" applyFont="1" applyFill="1" applyBorder="1" applyAlignment="1">
      <alignment horizontal="center"/>
    </xf>
    <xf numFmtId="0" fontId="120" fillId="17" borderId="67" xfId="0" applyFont="1" applyFill="1" applyBorder="1" applyAlignment="1">
      <alignment horizontal="center"/>
    </xf>
    <xf numFmtId="0" fontId="120" fillId="17" borderId="68" xfId="0" applyFont="1" applyFill="1" applyBorder="1" applyAlignment="1">
      <alignment horizontal="center"/>
    </xf>
    <xf numFmtId="2" fontId="0" fillId="17" borderId="69" xfId="0" applyNumberForma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7" borderId="70" xfId="0" applyFill="1" applyBorder="1" applyAlignment="1">
      <alignment horizontal="center"/>
    </xf>
    <xf numFmtId="0" fontId="78" fillId="32" borderId="0" xfId="0" applyFont="1" applyFill="1" applyAlignment="1">
      <alignment horizontal="center" vertical="center"/>
    </xf>
    <xf numFmtId="1" fontId="84" fillId="32" borderId="0" xfId="1" applyNumberFormat="1" applyFont="1" applyFill="1" applyAlignment="1">
      <alignment horizontal="center" vertical="center"/>
    </xf>
    <xf numFmtId="1" fontId="80" fillId="32" borderId="0" xfId="1" applyNumberFormat="1" applyFont="1" applyFill="1" applyAlignment="1">
      <alignment horizontal="center" vertical="center"/>
    </xf>
    <xf numFmtId="167" fontId="108" fillId="32" borderId="0" xfId="1" applyNumberFormat="1" applyFont="1" applyFill="1" applyAlignment="1">
      <alignment horizontal="center" vertical="center"/>
    </xf>
    <xf numFmtId="167" fontId="96" fillId="35" borderId="63" xfId="1" applyNumberFormat="1" applyFont="1" applyFill="1" applyBorder="1" applyAlignment="1">
      <alignment horizontal="center" vertical="center"/>
    </xf>
    <xf numFmtId="164" fontId="80" fillId="32" borderId="0" xfId="0" applyNumberFormat="1" applyFont="1" applyFill="1" applyAlignment="1">
      <alignment horizontal="center" vertical="center"/>
    </xf>
    <xf numFmtId="167" fontId="99" fillId="32" borderId="0" xfId="1" applyNumberFormat="1" applyFont="1" applyFill="1" applyAlignment="1">
      <alignment horizontal="center" vertical="center"/>
    </xf>
    <xf numFmtId="0" fontId="80" fillId="32" borderId="0" xfId="0" applyFont="1" applyFill="1" applyAlignment="1">
      <alignment horizontal="center" vertical="center"/>
    </xf>
    <xf numFmtId="1" fontId="121" fillId="0" borderId="0" xfId="1" applyNumberFormat="1" applyFont="1" applyAlignment="1">
      <alignment horizontal="center" vertical="center"/>
    </xf>
    <xf numFmtId="1" fontId="124" fillId="0" borderId="0" xfId="1" applyNumberFormat="1" applyFont="1" applyFill="1" applyAlignment="1">
      <alignment horizontal="center" vertical="center"/>
    </xf>
    <xf numFmtId="165" fontId="84" fillId="25" borderId="5" xfId="0" applyNumberFormat="1" applyFont="1" applyFill="1" applyBorder="1" applyAlignment="1">
      <alignment horizontal="center" vertical="center"/>
    </xf>
    <xf numFmtId="164" fontId="84" fillId="25" borderId="5" xfId="0" applyNumberFormat="1" applyFont="1" applyFill="1" applyBorder="1" applyAlignment="1">
      <alignment horizontal="center" vertical="center"/>
    </xf>
    <xf numFmtId="3" fontId="77" fillId="31" borderId="0" xfId="0" applyNumberFormat="1" applyFont="1" applyFill="1" applyAlignment="1">
      <alignment horizontal="center"/>
    </xf>
    <xf numFmtId="3" fontId="98" fillId="15" borderId="0" xfId="0" applyNumberFormat="1" applyFont="1" applyFill="1" applyAlignment="1">
      <alignment horizontal="center"/>
    </xf>
    <xf numFmtId="0" fontId="9" fillId="5" borderId="5" xfId="0" applyFont="1" applyFill="1" applyBorder="1" applyAlignment="1">
      <alignment horizontal="center"/>
    </xf>
    <xf numFmtId="1" fontId="124" fillId="0" borderId="0" xfId="1" applyNumberFormat="1" applyFont="1" applyAlignment="1">
      <alignment horizontal="center" vertical="center"/>
    </xf>
    <xf numFmtId="165" fontId="98" fillId="25" borderId="5" xfId="0" applyNumberFormat="1" applyFont="1" applyFill="1" applyBorder="1" applyAlignment="1">
      <alignment horizontal="center" vertical="center"/>
    </xf>
    <xf numFmtId="0" fontId="78" fillId="17" borderId="0" xfId="0" applyFont="1" applyFill="1" applyAlignment="1">
      <alignment horizontal="center" vertical="center"/>
    </xf>
    <xf numFmtId="167" fontId="79" fillId="17" borderId="0" xfId="1" applyNumberFormat="1" applyFont="1" applyFill="1" applyAlignment="1">
      <alignment horizontal="center" vertical="center"/>
    </xf>
    <xf numFmtId="1" fontId="80" fillId="17" borderId="0" xfId="1" applyNumberFormat="1" applyFont="1" applyFill="1" applyAlignment="1">
      <alignment horizontal="center" vertical="center"/>
    </xf>
    <xf numFmtId="1" fontId="99" fillId="17" borderId="0" xfId="1" applyNumberFormat="1" applyFont="1" applyFill="1" applyAlignment="1">
      <alignment horizontal="center" vertical="center"/>
    </xf>
    <xf numFmtId="167" fontId="96" fillId="36" borderId="63" xfId="1" applyNumberFormat="1" applyFont="1" applyFill="1" applyBorder="1" applyAlignment="1">
      <alignment horizontal="center" vertical="center"/>
    </xf>
    <xf numFmtId="164" fontId="80" fillId="17" borderId="0" xfId="0" applyNumberFormat="1" applyFont="1" applyFill="1" applyAlignment="1">
      <alignment horizontal="center" vertical="center"/>
    </xf>
    <xf numFmtId="167" fontId="82" fillId="17" borderId="0" xfId="1" applyNumberFormat="1" applyFont="1" applyFill="1" applyAlignment="1">
      <alignment horizontal="center" vertical="center"/>
    </xf>
    <xf numFmtId="0" fontId="80" fillId="17" borderId="0" xfId="0" applyFont="1" applyFill="1" applyAlignment="1">
      <alignment horizontal="center" vertical="center"/>
    </xf>
    <xf numFmtId="167" fontId="99" fillId="17" borderId="0" xfId="1" applyNumberFormat="1" applyFont="1" applyFill="1" applyAlignment="1">
      <alignment horizontal="center" vertical="center"/>
    </xf>
    <xf numFmtId="167" fontId="79" fillId="16" borderId="0" xfId="1" applyNumberFormat="1" applyFont="1" applyFill="1" applyAlignment="1">
      <alignment horizontal="center" vertical="center"/>
    </xf>
    <xf numFmtId="1" fontId="80" fillId="16" borderId="0" xfId="1" applyNumberFormat="1" applyFont="1" applyFill="1" applyAlignment="1">
      <alignment horizontal="center" vertical="center"/>
    </xf>
    <xf numFmtId="1" fontId="98" fillId="16" borderId="0" xfId="1" applyNumberFormat="1" applyFont="1" applyFill="1" applyAlignment="1">
      <alignment horizontal="center" vertical="center"/>
    </xf>
    <xf numFmtId="167" fontId="96" fillId="37" borderId="63" xfId="1" applyNumberFormat="1" applyFont="1" applyFill="1" applyBorder="1" applyAlignment="1">
      <alignment horizontal="center" vertical="center"/>
    </xf>
    <xf numFmtId="164" fontId="80" fillId="16" borderId="0" xfId="0" applyNumberFormat="1" applyFont="1" applyFill="1" applyAlignment="1">
      <alignment horizontal="center" vertical="center"/>
    </xf>
    <xf numFmtId="167" fontId="99" fillId="16" borderId="0" xfId="1" applyNumberFormat="1" applyFont="1" applyFill="1" applyAlignment="1">
      <alignment horizontal="center" vertical="center"/>
    </xf>
    <xf numFmtId="0" fontId="80" fillId="16" borderId="0" xfId="0" applyFont="1" applyFill="1" applyAlignment="1">
      <alignment horizontal="center" vertical="center"/>
    </xf>
    <xf numFmtId="1" fontId="98" fillId="32" borderId="0" xfId="1" applyNumberFormat="1" applyFont="1" applyFill="1" applyAlignment="1">
      <alignment horizontal="center" vertical="center"/>
    </xf>
    <xf numFmtId="0" fontId="77" fillId="38" borderId="0" xfId="0" applyFont="1" applyFill="1"/>
    <xf numFmtId="167" fontId="98" fillId="38" borderId="0" xfId="1" applyNumberFormat="1" applyFont="1" applyFill="1" applyAlignment="1">
      <alignment horizontal="center" vertical="center"/>
    </xf>
    <xf numFmtId="167" fontId="99" fillId="38" borderId="0" xfId="1" applyNumberFormat="1" applyFont="1" applyFill="1" applyAlignment="1">
      <alignment horizontal="center" vertical="center"/>
    </xf>
    <xf numFmtId="167" fontId="108" fillId="38" borderId="0" xfId="1" applyNumberFormat="1" applyFont="1" applyFill="1" applyAlignment="1">
      <alignment horizontal="center" vertical="center"/>
    </xf>
    <xf numFmtId="167" fontId="119" fillId="38" borderId="0" xfId="1" applyNumberFormat="1" applyFont="1" applyFill="1" applyAlignment="1">
      <alignment horizontal="center" vertical="center"/>
    </xf>
    <xf numFmtId="167" fontId="82" fillId="38" borderId="0" xfId="1" applyNumberFormat="1" applyFont="1" applyFill="1" applyAlignment="1">
      <alignment horizontal="center" vertical="center"/>
    </xf>
    <xf numFmtId="1" fontId="108" fillId="38" borderId="0" xfId="1" applyNumberFormat="1" applyFont="1" applyFill="1" applyAlignment="1">
      <alignment horizontal="center" vertical="center"/>
    </xf>
    <xf numFmtId="3" fontId="80" fillId="38" borderId="0" xfId="0" applyNumberFormat="1" applyFont="1" applyFill="1" applyAlignment="1">
      <alignment horizontal="center" vertical="center"/>
    </xf>
    <xf numFmtId="3" fontId="84" fillId="38" borderId="0" xfId="0" applyNumberFormat="1" applyFont="1" applyFill="1" applyAlignment="1">
      <alignment horizontal="center" vertical="center"/>
    </xf>
    <xf numFmtId="3" fontId="77" fillId="38" borderId="0" xfId="0" applyNumberFormat="1" applyFont="1" applyFill="1" applyAlignment="1">
      <alignment horizontal="center" vertical="center"/>
    </xf>
    <xf numFmtId="0" fontId="78" fillId="38" borderId="0" xfId="0" applyFont="1" applyFill="1" applyAlignment="1">
      <alignment horizontal="center" vertical="center"/>
    </xf>
    <xf numFmtId="0" fontId="78" fillId="38" borderId="0" xfId="0" applyFont="1" applyFill="1"/>
    <xf numFmtId="1" fontId="84" fillId="17" borderId="0" xfId="1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0" fontId="52" fillId="11" borderId="46" xfId="3" applyFont="1" applyFill="1" applyBorder="1" applyAlignment="1">
      <alignment horizontal="center" vertical="center" wrapText="1"/>
    </xf>
    <xf numFmtId="0" fontId="52" fillId="11" borderId="9" xfId="3" applyFont="1" applyFill="1" applyBorder="1" applyAlignment="1">
      <alignment horizontal="center" vertical="center" wrapText="1"/>
    </xf>
    <xf numFmtId="0" fontId="9" fillId="12" borderId="11" xfId="3" applyFont="1" applyFill="1" applyBorder="1" applyAlignment="1">
      <alignment horizontal="center" vertical="center"/>
    </xf>
    <xf numFmtId="0" fontId="9" fillId="12" borderId="0" xfId="3" applyFont="1" applyFill="1" applyAlignment="1">
      <alignment horizontal="center" vertical="center"/>
    </xf>
    <xf numFmtId="0" fontId="52" fillId="11" borderId="26" xfId="3" applyFont="1" applyFill="1" applyBorder="1" applyAlignment="1">
      <alignment horizontal="center" vertical="center" wrapText="1"/>
    </xf>
    <xf numFmtId="0" fontId="52" fillId="30" borderId="11" xfId="3" applyFont="1" applyFill="1" applyBorder="1" applyAlignment="1">
      <alignment horizontal="center" vertical="center" wrapText="1"/>
    </xf>
    <xf numFmtId="3" fontId="7" fillId="0" borderId="0" xfId="3" applyNumberFormat="1" applyAlignment="1">
      <alignment horizontal="center" vertical="center"/>
    </xf>
    <xf numFmtId="0" fontId="7" fillId="0" borderId="0" xfId="3" applyAlignment="1">
      <alignment horizontal="center" vertical="center"/>
    </xf>
    <xf numFmtId="0" fontId="20" fillId="4" borderId="13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20" fillId="4" borderId="15" xfId="3" applyFont="1" applyFill="1" applyBorder="1" applyAlignment="1">
      <alignment horizontal="center" vertical="center"/>
    </xf>
    <xf numFmtId="0" fontId="9" fillId="0" borderId="16" xfId="3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0" fillId="4" borderId="43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20" fillId="4" borderId="0" xfId="3" applyFont="1" applyFill="1" applyAlignment="1">
      <alignment horizontal="center" vertical="center"/>
    </xf>
    <xf numFmtId="0" fontId="20" fillId="4" borderId="43" xfId="3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/>
    </xf>
    <xf numFmtId="0" fontId="20" fillId="4" borderId="44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 wrapText="1"/>
    </xf>
    <xf numFmtId="0" fontId="20" fillId="4" borderId="45" xfId="3" applyFont="1" applyFill="1" applyBorder="1" applyAlignment="1">
      <alignment horizontal="center" vertical="center" wrapText="1"/>
    </xf>
    <xf numFmtId="0" fontId="20" fillId="4" borderId="1" xfId="3" applyFont="1" applyFill="1" applyBorder="1" applyAlignment="1">
      <alignment horizontal="center" vertical="center"/>
    </xf>
    <xf numFmtId="0" fontId="20" fillId="21" borderId="0" xfId="3" applyFont="1" applyFill="1" applyAlignment="1">
      <alignment horizontal="center" vertical="center" wrapText="1"/>
    </xf>
    <xf numFmtId="0" fontId="20" fillId="4" borderId="11" xfId="3" applyFont="1" applyFill="1" applyBorder="1" applyAlignment="1">
      <alignment horizontal="center" vertical="center" wrapText="1"/>
    </xf>
    <xf numFmtId="2" fontId="7" fillId="0" borderId="87" xfId="0" applyNumberFormat="1" applyFont="1" applyBorder="1" applyAlignment="1">
      <alignment horizontal="center"/>
    </xf>
    <xf numFmtId="2" fontId="7" fillId="0" borderId="88" xfId="0" applyNumberFormat="1" applyFont="1" applyBorder="1" applyAlignment="1">
      <alignment horizontal="center"/>
    </xf>
    <xf numFmtId="2" fontId="7" fillId="0" borderId="89" xfId="0" applyNumberFormat="1" applyFont="1" applyBorder="1" applyAlignment="1">
      <alignment horizontal="center"/>
    </xf>
    <xf numFmtId="0" fontId="23" fillId="4" borderId="42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 vertical="center" wrapText="1"/>
    </xf>
    <xf numFmtId="0" fontId="23" fillId="4" borderId="83" xfId="0" applyFont="1" applyFill="1" applyBorder="1" applyAlignment="1">
      <alignment horizontal="center"/>
    </xf>
    <xf numFmtId="0" fontId="23" fillId="4" borderId="84" xfId="0" applyFont="1" applyFill="1" applyBorder="1" applyAlignment="1">
      <alignment horizontal="center"/>
    </xf>
    <xf numFmtId="0" fontId="23" fillId="4" borderId="85" xfId="0" applyFont="1" applyFill="1" applyBorder="1" applyAlignment="1">
      <alignment horizontal="center"/>
    </xf>
    <xf numFmtId="0" fontId="27" fillId="4" borderId="22" xfId="3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4" borderId="19" xfId="3" applyFont="1" applyFill="1" applyBorder="1" applyAlignment="1">
      <alignment horizontal="center" wrapText="1"/>
    </xf>
    <xf numFmtId="0" fontId="27" fillId="4" borderId="3" xfId="3" applyFont="1" applyFill="1" applyBorder="1" applyAlignment="1">
      <alignment horizontal="center" wrapText="1"/>
    </xf>
    <xf numFmtId="0" fontId="18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4" fillId="19" borderId="67" xfId="3" applyNumberFormat="1" applyFont="1" applyFill="1" applyBorder="1" applyAlignment="1">
      <alignment horizontal="center" wrapText="1"/>
    </xf>
    <xf numFmtId="1" fontId="74" fillId="19" borderId="72" xfId="3" applyNumberFormat="1" applyFont="1" applyFill="1" applyBorder="1" applyAlignment="1">
      <alignment horizontal="center" wrapText="1"/>
    </xf>
    <xf numFmtId="0" fontId="73" fillId="19" borderId="68" xfId="3" applyFont="1" applyFill="1" applyBorder="1" applyAlignment="1">
      <alignment horizontal="center" vertical="center" wrapText="1"/>
    </xf>
    <xf numFmtId="0" fontId="73" fillId="19" borderId="73" xfId="3" applyFont="1" applyFill="1" applyBorder="1" applyAlignment="1">
      <alignment horizontal="center" vertical="center" wrapText="1"/>
    </xf>
    <xf numFmtId="0" fontId="72" fillId="13" borderId="20" xfId="3" applyFont="1" applyFill="1" applyBorder="1" applyAlignment="1">
      <alignment horizontal="center" vertical="center"/>
    </xf>
    <xf numFmtId="0" fontId="72" fillId="13" borderId="21" xfId="3" applyFont="1" applyFill="1" applyBorder="1" applyAlignment="1">
      <alignment horizontal="center" vertical="center"/>
    </xf>
    <xf numFmtId="0" fontId="9" fillId="19" borderId="55" xfId="3" applyFont="1" applyFill="1" applyBorder="1" applyAlignment="1">
      <alignment horizontal="center" vertical="center" wrapText="1"/>
    </xf>
    <xf numFmtId="0" fontId="9" fillId="19" borderId="56" xfId="3" applyFont="1" applyFill="1" applyBorder="1" applyAlignment="1">
      <alignment horizontal="center" vertical="center" wrapText="1"/>
    </xf>
    <xf numFmtId="0" fontId="3" fillId="19" borderId="31" xfId="3" applyFont="1" applyFill="1" applyBorder="1" applyAlignment="1">
      <alignment horizontal="center" vertical="center" wrapText="1"/>
    </xf>
    <xf numFmtId="0" fontId="3" fillId="19" borderId="4" xfId="3" applyFont="1" applyFill="1" applyBorder="1" applyAlignment="1">
      <alignment horizontal="center" vertical="center" wrapText="1"/>
    </xf>
    <xf numFmtId="0" fontId="20" fillId="4" borderId="31" xfId="3" applyFont="1" applyFill="1" applyBorder="1" applyAlignment="1">
      <alignment horizontal="center" vertical="center" wrapText="1"/>
    </xf>
    <xf numFmtId="0" fontId="20" fillId="4" borderId="4" xfId="3" applyFont="1" applyFill="1" applyBorder="1" applyAlignment="1">
      <alignment horizontal="center" vertical="center" wrapText="1"/>
    </xf>
    <xf numFmtId="0" fontId="9" fillId="19" borderId="31" xfId="3" applyFont="1" applyFill="1" applyBorder="1" applyAlignment="1">
      <alignment horizontal="center" vertical="center" wrapText="1"/>
    </xf>
    <xf numFmtId="0" fontId="9" fillId="19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0" fontId="20" fillId="4" borderId="5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/>
    </xf>
    <xf numFmtId="0" fontId="20" fillId="4" borderId="33" xfId="3" applyFont="1" applyFill="1" applyBorder="1" applyAlignment="1">
      <alignment horizontal="center" vertical="center"/>
    </xf>
    <xf numFmtId="0" fontId="18" fillId="0" borderId="47" xfId="3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20" fillId="16" borderId="22" xfId="3" applyFont="1" applyFill="1" applyBorder="1" applyAlignment="1">
      <alignment horizontal="center" vertical="center" wrapText="1"/>
    </xf>
    <xf numFmtId="0" fontId="20" fillId="16" borderId="77" xfId="3" applyFont="1" applyFill="1" applyBorder="1" applyAlignment="1">
      <alignment horizontal="center" vertical="center" wrapText="1"/>
    </xf>
    <xf numFmtId="0" fontId="20" fillId="16" borderId="23" xfId="3" applyFont="1" applyFill="1" applyBorder="1" applyAlignment="1">
      <alignment horizontal="center" vertical="center" wrapText="1"/>
    </xf>
    <xf numFmtId="0" fontId="27" fillId="16" borderId="19" xfId="3" applyFont="1" applyFill="1" applyBorder="1" applyAlignment="1">
      <alignment horizontal="center" vertical="center" wrapText="1"/>
    </xf>
    <xf numFmtId="0" fontId="27" fillId="16" borderId="9" xfId="3" applyFont="1" applyFill="1" applyBorder="1" applyAlignment="1">
      <alignment horizontal="center" vertical="center" wrapText="1"/>
    </xf>
    <xf numFmtId="0" fontId="27" fillId="16" borderId="24" xfId="3" applyFont="1" applyFill="1" applyBorder="1" applyAlignment="1">
      <alignment horizontal="center" vertical="center" wrapText="1"/>
    </xf>
    <xf numFmtId="0" fontId="23" fillId="16" borderId="50" xfId="3" applyFont="1" applyFill="1" applyBorder="1" applyAlignment="1">
      <alignment horizontal="center" vertical="center"/>
    </xf>
    <xf numFmtId="0" fontId="23" fillId="16" borderId="78" xfId="3" applyFont="1" applyFill="1" applyBorder="1" applyAlignment="1">
      <alignment horizontal="center" vertical="center"/>
    </xf>
    <xf numFmtId="0" fontId="23" fillId="16" borderId="74" xfId="3" applyFont="1" applyFill="1" applyBorder="1" applyAlignment="1">
      <alignment horizontal="center" vertical="center"/>
    </xf>
    <xf numFmtId="164" fontId="7" fillId="0" borderId="80" xfId="3" applyNumberFormat="1" applyBorder="1" applyAlignment="1">
      <alignment horizontal="center" vertical="center"/>
    </xf>
    <xf numFmtId="0" fontId="20" fillId="4" borderId="25" xfId="3" applyFont="1" applyFill="1" applyBorder="1" applyAlignment="1">
      <alignment horizontal="center" vertical="center"/>
    </xf>
    <xf numFmtId="0" fontId="20" fillId="4" borderId="11" xfId="3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/>
    </xf>
    <xf numFmtId="2" fontId="18" fillId="0" borderId="0" xfId="3" applyNumberFormat="1" applyFont="1" applyAlignment="1">
      <alignment horizontal="center"/>
    </xf>
    <xf numFmtId="2" fontId="27" fillId="4" borderId="50" xfId="3" applyNumberFormat="1" applyFont="1" applyFill="1" applyBorder="1" applyAlignment="1">
      <alignment horizontal="center" vertical="center" wrapText="1"/>
    </xf>
    <xf numFmtId="2" fontId="31" fillId="4" borderId="51" xfId="0" applyNumberFormat="1" applyFont="1" applyFill="1" applyBorder="1" applyAlignment="1">
      <alignment horizontal="center" vertical="center" wrapText="1"/>
    </xf>
    <xf numFmtId="0" fontId="27" fillId="4" borderId="50" xfId="3" applyFont="1" applyFill="1" applyBorder="1" applyAlignment="1">
      <alignment horizontal="center" vertical="center" wrapText="1"/>
    </xf>
    <xf numFmtId="0" fontId="31" fillId="4" borderId="51" xfId="0" applyFont="1" applyFill="1" applyBorder="1" applyAlignment="1">
      <alignment horizontal="center" vertical="center" wrapText="1"/>
    </xf>
    <xf numFmtId="0" fontId="27" fillId="4" borderId="19" xfId="3" applyFont="1" applyFill="1" applyBorder="1" applyAlignment="1">
      <alignment horizontal="center" vertical="center" wrapText="1"/>
    </xf>
    <xf numFmtId="0" fontId="27" fillId="4" borderId="3" xfId="3" applyFont="1" applyFill="1" applyBorder="1" applyAlignment="1">
      <alignment horizontal="center" vertical="center" wrapText="1"/>
    </xf>
    <xf numFmtId="3" fontId="74" fillId="19" borderId="66" xfId="3" applyNumberFormat="1" applyFont="1" applyFill="1" applyBorder="1" applyAlignment="1">
      <alignment horizontal="center" vertical="center" wrapText="1"/>
    </xf>
    <xf numFmtId="3" fontId="74" fillId="19" borderId="71" xfId="3" applyNumberFormat="1" applyFont="1" applyFill="1" applyBorder="1" applyAlignment="1">
      <alignment horizontal="center" vertical="center" wrapText="1"/>
    </xf>
    <xf numFmtId="0" fontId="115" fillId="33" borderId="79" xfId="0" applyFont="1" applyFill="1" applyBorder="1" applyAlignment="1">
      <alignment horizontal="center" vertical="center" wrapText="1"/>
    </xf>
    <xf numFmtId="0" fontId="115" fillId="33" borderId="51" xfId="0" applyFont="1" applyFill="1" applyBorder="1" applyAlignment="1">
      <alignment horizontal="center" vertical="center" wrapText="1"/>
    </xf>
    <xf numFmtId="167" fontId="71" fillId="0" borderId="0" xfId="1" applyNumberFormat="1" applyFont="1" applyAlignment="1">
      <alignment horizontal="center"/>
    </xf>
    <xf numFmtId="0" fontId="79" fillId="0" borderId="0" xfId="0" applyFont="1" applyAlignment="1">
      <alignment horizontal="center" vertical="center" wrapText="1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85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  <color rgb="FF00A44A"/>
      <color rgb="FFFF3300"/>
      <color rgb="FFFFFF99"/>
      <color rgb="FFFF5050"/>
      <color rgb="FF170EC2"/>
      <color rgb="FFC092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77</xdr:row>
      <xdr:rowOff>0</xdr:rowOff>
    </xdr:from>
    <xdr:to>
      <xdr:col>36</xdr:col>
      <xdr:colOff>304800</xdr:colOff>
      <xdr:row>78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Z415"/>
  <sheetViews>
    <sheetView showGridLines="0" defaultGridColor="0" colorId="22" zoomScale="110" zoomScaleNormal="110" zoomScaleSheetLayoutView="80" workbookViewId="0">
      <pane ySplit="4" topLeftCell="A24" activePane="bottomLeft" state="frozen"/>
      <selection pane="bottomLeft" activeCell="B37" sqref="B37:AN37"/>
    </sheetView>
  </sheetViews>
  <sheetFormatPr defaultColWidth="16.42578125" defaultRowHeight="15" x14ac:dyDescent="0.2"/>
  <cols>
    <col min="1" max="1" width="8.42578125" style="258" customWidth="1"/>
    <col min="2" max="3" width="25" style="258" customWidth="1"/>
    <col min="4" max="4" width="18.5703125" style="258" customWidth="1"/>
    <col min="5" max="5" width="19.5703125" style="258" customWidth="1"/>
    <col min="6" max="6" width="21.5703125" style="258" customWidth="1"/>
    <col min="7" max="7" width="21.42578125" style="258" customWidth="1"/>
    <col min="8" max="8" width="20.5703125" style="258" customWidth="1"/>
    <col min="9" max="9" width="26.42578125" style="258" customWidth="1"/>
    <col min="10" max="10" width="27.42578125" style="258" customWidth="1"/>
    <col min="11" max="11" width="25.42578125" style="258" customWidth="1"/>
    <col min="12" max="12" width="30.5703125" style="258" customWidth="1"/>
    <col min="13" max="13" width="20.5703125" style="258" customWidth="1"/>
    <col min="14" max="14" width="28.42578125" style="258" customWidth="1"/>
    <col min="15" max="15" width="19.5703125" style="258" customWidth="1"/>
    <col min="16" max="16" width="18.42578125" style="258" customWidth="1"/>
    <col min="17" max="17" width="20.42578125" style="258" customWidth="1"/>
    <col min="18" max="18" width="18.5703125" style="258" customWidth="1"/>
    <col min="19" max="19" width="21" style="258" customWidth="1"/>
    <col min="20" max="20" width="19.42578125" style="258" customWidth="1"/>
    <col min="21" max="21" width="18" style="258" customWidth="1"/>
    <col min="22" max="22" width="19.42578125" style="697" customWidth="1"/>
    <col min="23" max="23" width="15.5703125" style="258" customWidth="1"/>
    <col min="24" max="24" width="17.42578125" style="258" customWidth="1"/>
    <col min="25" max="25" width="19.5703125" style="258" customWidth="1"/>
    <col min="26" max="26" width="17.5703125" style="258" customWidth="1"/>
    <col min="27" max="27" width="19.42578125" style="258" customWidth="1"/>
    <col min="28" max="28" width="15.42578125" style="258" bestFit="1" customWidth="1"/>
    <col min="29" max="29" width="16.5703125" style="258" customWidth="1"/>
    <col min="30" max="30" width="18" style="258" customWidth="1"/>
    <col min="31" max="31" width="16.5703125" style="258" customWidth="1"/>
    <col min="32" max="33" width="19.42578125" style="258" customWidth="1"/>
    <col min="34" max="34" width="14.42578125" style="258" customWidth="1"/>
    <col min="35" max="35" width="16.42578125" style="258"/>
    <col min="36" max="36" width="17.5703125" style="258" bestFit="1" customWidth="1"/>
    <col min="37" max="38" width="16.42578125" style="258"/>
    <col min="39" max="39" width="16.42578125" style="258" customWidth="1"/>
    <col min="40" max="16384" width="16.42578125" style="258"/>
  </cols>
  <sheetData>
    <row r="1" spans="1:52" ht="18" x14ac:dyDescent="0.2">
      <c r="B1" s="822" t="s">
        <v>225</v>
      </c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664"/>
      <c r="O1" s="823" t="str">
        <f>B1</f>
        <v>ENTRIES FOR DAILY CONS. MONITOR</v>
      </c>
      <c r="P1" s="823"/>
      <c r="Q1" s="823"/>
      <c r="R1" s="823"/>
      <c r="S1" s="823"/>
      <c r="T1" s="823"/>
      <c r="U1" s="823"/>
      <c r="V1" s="823"/>
      <c r="W1" s="823"/>
      <c r="X1" s="823"/>
      <c r="Y1" s="823"/>
      <c r="Z1" s="823"/>
      <c r="AA1" s="823"/>
      <c r="AB1" s="823"/>
    </row>
    <row r="2" spans="1:52" ht="16.5" thickBot="1" x14ac:dyDescent="0.25">
      <c r="C2" s="665" t="s">
        <v>62</v>
      </c>
      <c r="F2" s="666" t="s">
        <v>62</v>
      </c>
      <c r="G2" s="667"/>
      <c r="O2" s="814" t="s">
        <v>248</v>
      </c>
      <c r="P2" s="814"/>
      <c r="Q2" s="814"/>
      <c r="R2" s="814"/>
      <c r="S2" s="814"/>
      <c r="T2" s="814"/>
      <c r="U2" s="814"/>
      <c r="V2" s="814"/>
    </row>
    <row r="3" spans="1:52" ht="20.100000000000001" customHeight="1" x14ac:dyDescent="0.2">
      <c r="A3" s="668"/>
      <c r="B3" s="669"/>
      <c r="C3" s="670"/>
      <c r="D3" s="670" t="s">
        <v>4</v>
      </c>
      <c r="E3" s="670"/>
      <c r="F3" s="671"/>
      <c r="G3" s="671"/>
      <c r="H3" s="672"/>
      <c r="I3" s="669"/>
      <c r="J3" s="670" t="s">
        <v>22</v>
      </c>
      <c r="K3" s="673"/>
      <c r="L3" s="815" t="s">
        <v>56</v>
      </c>
      <c r="M3" s="816"/>
      <c r="N3" s="817"/>
      <c r="O3" s="830" t="s">
        <v>3</v>
      </c>
      <c r="P3" s="824"/>
      <c r="Q3" s="824"/>
      <c r="R3" s="824"/>
      <c r="S3" s="824"/>
      <c r="T3" s="824"/>
      <c r="U3" s="824"/>
      <c r="V3" s="824"/>
      <c r="W3" s="824"/>
      <c r="X3" s="824"/>
      <c r="Y3" s="824"/>
      <c r="Z3" s="824"/>
      <c r="AA3" s="824"/>
      <c r="AB3" s="824"/>
      <c r="AC3" s="824"/>
      <c r="AD3" s="675"/>
      <c r="AE3" s="676"/>
      <c r="AF3" s="675"/>
      <c r="AG3" s="811" t="s">
        <v>222</v>
      </c>
      <c r="AH3" s="807" t="s">
        <v>220</v>
      </c>
      <c r="AI3" s="807" t="s">
        <v>221</v>
      </c>
      <c r="AJ3" s="812" t="s">
        <v>251</v>
      </c>
      <c r="AK3" s="809" t="s">
        <v>189</v>
      </c>
      <c r="AL3" s="810"/>
      <c r="AM3" s="810"/>
      <c r="AN3" s="810"/>
    </row>
    <row r="4" spans="1:52" ht="20.100000000000001" customHeight="1" x14ac:dyDescent="0.2">
      <c r="A4" s="677"/>
      <c r="B4" s="674" t="s">
        <v>23</v>
      </c>
      <c r="C4" s="675" t="s">
        <v>27</v>
      </c>
      <c r="D4" s="675" t="s">
        <v>25</v>
      </c>
      <c r="E4" s="675" t="s">
        <v>26</v>
      </c>
      <c r="F4" s="675" t="s">
        <v>27</v>
      </c>
      <c r="G4" s="675" t="s">
        <v>24</v>
      </c>
      <c r="H4" s="678" t="s">
        <v>28</v>
      </c>
      <c r="I4" s="674" t="s">
        <v>29</v>
      </c>
      <c r="J4" s="675" t="s">
        <v>30</v>
      </c>
      <c r="K4" s="678" t="s">
        <v>31</v>
      </c>
      <c r="L4" s="674" t="s">
        <v>57</v>
      </c>
      <c r="M4" s="679" t="s">
        <v>58</v>
      </c>
      <c r="N4" s="818" t="s">
        <v>178</v>
      </c>
      <c r="O4" s="828" t="s">
        <v>107</v>
      </c>
      <c r="P4" s="805" t="s">
        <v>108</v>
      </c>
      <c r="Q4" s="805" t="s">
        <v>171</v>
      </c>
      <c r="R4" s="805" t="s">
        <v>182</v>
      </c>
      <c r="S4" s="805" t="s">
        <v>109</v>
      </c>
      <c r="T4" s="805" t="s">
        <v>183</v>
      </c>
      <c r="U4" s="805" t="s">
        <v>110</v>
      </c>
      <c r="V4" s="831" t="s">
        <v>254</v>
      </c>
      <c r="W4" s="805" t="s">
        <v>188</v>
      </c>
      <c r="X4" s="675" t="s">
        <v>103</v>
      </c>
      <c r="Y4" s="675" t="s">
        <v>104</v>
      </c>
      <c r="Z4" s="675" t="s">
        <v>105</v>
      </c>
      <c r="AA4" s="824" t="s">
        <v>75</v>
      </c>
      <c r="AB4" s="826" t="s">
        <v>76</v>
      </c>
      <c r="AC4" s="832" t="s">
        <v>161</v>
      </c>
      <c r="AD4" s="805" t="s">
        <v>165</v>
      </c>
      <c r="AE4" s="805" t="s">
        <v>166</v>
      </c>
      <c r="AF4" s="805" t="s">
        <v>170</v>
      </c>
      <c r="AG4" s="811"/>
      <c r="AH4" s="808"/>
      <c r="AI4" s="808"/>
      <c r="AJ4" s="812"/>
      <c r="AK4" s="258" t="s">
        <v>195</v>
      </c>
      <c r="AL4" s="258" t="s">
        <v>250</v>
      </c>
      <c r="AM4" s="258" t="s">
        <v>194</v>
      </c>
      <c r="AN4" s="258" t="s">
        <v>195</v>
      </c>
    </row>
    <row r="5" spans="1:52" ht="20.100000000000001" customHeight="1" thickBot="1" x14ac:dyDescent="0.25">
      <c r="A5" s="680" t="s">
        <v>7</v>
      </c>
      <c r="B5" s="674" t="s">
        <v>273</v>
      </c>
      <c r="C5" s="675" t="s">
        <v>273</v>
      </c>
      <c r="D5" s="675" t="s">
        <v>32</v>
      </c>
      <c r="E5" s="675" t="s">
        <v>33</v>
      </c>
      <c r="F5" s="675" t="s">
        <v>34</v>
      </c>
      <c r="G5" s="675" t="s">
        <v>34</v>
      </c>
      <c r="H5" s="678" t="s">
        <v>35</v>
      </c>
      <c r="I5" s="674" t="s">
        <v>36</v>
      </c>
      <c r="J5" s="675" t="s">
        <v>36</v>
      </c>
      <c r="K5" s="678" t="s">
        <v>36</v>
      </c>
      <c r="L5" s="674" t="s">
        <v>59</v>
      </c>
      <c r="M5" s="679" t="s">
        <v>59</v>
      </c>
      <c r="N5" s="819"/>
      <c r="O5" s="829"/>
      <c r="P5" s="805"/>
      <c r="Q5" s="805"/>
      <c r="R5" s="805"/>
      <c r="S5" s="820"/>
      <c r="T5" s="820"/>
      <c r="U5" s="820"/>
      <c r="V5" s="831"/>
      <c r="W5" s="821"/>
      <c r="X5" s="675" t="s">
        <v>111</v>
      </c>
      <c r="Y5" s="675" t="s">
        <v>111</v>
      </c>
      <c r="Z5" s="675" t="s">
        <v>111</v>
      </c>
      <c r="AA5" s="825"/>
      <c r="AB5" s="827"/>
      <c r="AC5" s="832"/>
      <c r="AD5" s="805"/>
      <c r="AE5" s="805"/>
      <c r="AF5" s="806"/>
      <c r="AG5" s="811"/>
      <c r="AH5" s="808"/>
      <c r="AI5" s="808"/>
      <c r="AJ5" s="812"/>
      <c r="AK5" s="258" t="s">
        <v>190</v>
      </c>
      <c r="AL5" s="258" t="s">
        <v>191</v>
      </c>
      <c r="AM5" s="258" t="s">
        <v>192</v>
      </c>
      <c r="AN5" s="258" t="s">
        <v>193</v>
      </c>
    </row>
    <row r="6" spans="1:52" ht="18" customHeight="1" x14ac:dyDescent="0.2">
      <c r="A6" s="681" t="s">
        <v>37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63"/>
      <c r="P6" s="259"/>
      <c r="Q6" s="259"/>
      <c r="R6" s="265"/>
      <c r="S6" s="259"/>
      <c r="T6" s="259"/>
      <c r="U6" s="259"/>
      <c r="V6" s="682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683"/>
      <c r="AH6" s="684"/>
      <c r="AI6" s="685"/>
      <c r="AJ6" s="686"/>
    </row>
    <row r="7" spans="1:52" ht="26.1" customHeight="1" x14ac:dyDescent="0.2">
      <c r="A7" s="687">
        <v>1</v>
      </c>
      <c r="B7" s="609">
        <v>7416560</v>
      </c>
      <c r="C7" s="263"/>
      <c r="D7" s="263"/>
      <c r="E7" s="263">
        <v>64</v>
      </c>
      <c r="F7" s="263">
        <v>4131.1000000000004</v>
      </c>
      <c r="G7" s="263">
        <v>68225</v>
      </c>
      <c r="H7" s="264"/>
      <c r="I7" s="265">
        <v>651300</v>
      </c>
      <c r="J7" s="263">
        <v>204968</v>
      </c>
      <c r="K7" s="264">
        <v>468000</v>
      </c>
      <c r="L7" s="263"/>
      <c r="M7" s="266"/>
      <c r="N7" s="265">
        <v>3052.19</v>
      </c>
      <c r="O7" s="263">
        <v>180743</v>
      </c>
      <c r="P7" s="268">
        <v>21238</v>
      </c>
      <c r="Q7" s="263">
        <v>903351</v>
      </c>
      <c r="R7" s="263"/>
      <c r="S7" s="263">
        <v>45913</v>
      </c>
      <c r="T7" s="263"/>
      <c r="U7" s="263">
        <v>20888</v>
      </c>
      <c r="V7" s="269">
        <v>1298636</v>
      </c>
      <c r="W7" s="263"/>
      <c r="X7" s="270">
        <v>34117</v>
      </c>
      <c r="Y7" s="263">
        <v>33760</v>
      </c>
      <c r="Z7" s="263">
        <v>7492</v>
      </c>
      <c r="AA7" s="263">
        <v>97122</v>
      </c>
      <c r="AB7" s="263"/>
      <c r="AC7" s="265">
        <v>40368</v>
      </c>
      <c r="AD7" s="263">
        <v>259432</v>
      </c>
      <c r="AE7" s="263"/>
      <c r="AF7" s="265"/>
      <c r="AG7" s="263"/>
      <c r="AH7" s="263"/>
      <c r="AI7" s="271"/>
      <c r="AJ7" s="691">
        <v>7288160.767</v>
      </c>
      <c r="AK7" s="692"/>
      <c r="AL7" s="693"/>
      <c r="AM7" s="693"/>
      <c r="AN7" s="694"/>
    </row>
    <row r="8" spans="1:52" ht="26.1" customHeight="1" x14ac:dyDescent="0.2">
      <c r="A8" s="687">
        <v>2</v>
      </c>
      <c r="B8" s="609">
        <v>7417290</v>
      </c>
      <c r="C8" s="263"/>
      <c r="D8" s="263"/>
      <c r="E8" s="263">
        <v>64</v>
      </c>
      <c r="F8" s="263">
        <v>4135.5</v>
      </c>
      <c r="G8" s="263">
        <v>68225</v>
      </c>
      <c r="H8" s="264"/>
      <c r="I8" s="265">
        <v>654282</v>
      </c>
      <c r="J8" s="263">
        <v>207771</v>
      </c>
      <c r="K8" s="264">
        <v>468000</v>
      </c>
      <c r="L8" s="263"/>
      <c r="M8" s="266"/>
      <c r="N8" s="265">
        <v>3052.19</v>
      </c>
      <c r="O8" s="267">
        <v>180743</v>
      </c>
      <c r="P8" s="268">
        <v>21309</v>
      </c>
      <c r="Q8" s="263">
        <v>903363</v>
      </c>
      <c r="R8" s="263"/>
      <c r="S8" s="263">
        <v>45913</v>
      </c>
      <c r="T8" s="263"/>
      <c r="U8" s="263">
        <v>20888</v>
      </c>
      <c r="V8" s="269">
        <v>1298708</v>
      </c>
      <c r="W8" s="263"/>
      <c r="X8" s="270">
        <v>34117</v>
      </c>
      <c r="Y8" s="263">
        <v>33787</v>
      </c>
      <c r="Z8" s="263">
        <v>7493</v>
      </c>
      <c r="AA8" s="263">
        <v>97122</v>
      </c>
      <c r="AB8" s="263"/>
      <c r="AC8" s="263">
        <v>40368</v>
      </c>
      <c r="AD8" s="263">
        <v>259432</v>
      </c>
      <c r="AE8" s="263"/>
      <c r="AF8" s="265"/>
      <c r="AG8" s="263"/>
      <c r="AH8" s="263"/>
      <c r="AI8" s="271"/>
      <c r="AJ8" s="691">
        <v>7288189.2910000002</v>
      </c>
      <c r="AK8" s="662"/>
      <c r="AL8" s="663"/>
      <c r="AM8" s="663"/>
      <c r="AN8" s="663"/>
    </row>
    <row r="9" spans="1:52" ht="26.1" customHeight="1" x14ac:dyDescent="0.2">
      <c r="A9" s="687">
        <v>3</v>
      </c>
      <c r="B9" s="609">
        <v>7420570</v>
      </c>
      <c r="C9" s="263"/>
      <c r="D9" s="263"/>
      <c r="E9" s="263">
        <v>64</v>
      </c>
      <c r="F9" s="263">
        <v>4156.6000000000004</v>
      </c>
      <c r="G9" s="263">
        <v>68225</v>
      </c>
      <c r="H9" s="264"/>
      <c r="I9" s="265">
        <v>658919</v>
      </c>
      <c r="J9" s="263">
        <v>212138</v>
      </c>
      <c r="K9" s="264">
        <v>468000</v>
      </c>
      <c r="L9" s="263"/>
      <c r="M9" s="266"/>
      <c r="N9" s="265">
        <v>3112.78</v>
      </c>
      <c r="O9" s="267">
        <v>181010</v>
      </c>
      <c r="P9" s="268">
        <v>21497</v>
      </c>
      <c r="Q9" s="263">
        <v>903698</v>
      </c>
      <c r="R9" s="263"/>
      <c r="S9" s="263">
        <v>46026</v>
      </c>
      <c r="T9" s="263"/>
      <c r="U9" s="263">
        <v>20907</v>
      </c>
      <c r="V9" s="269">
        <v>1298908</v>
      </c>
      <c r="W9" s="263"/>
      <c r="X9" s="270">
        <v>34202</v>
      </c>
      <c r="Y9" s="263">
        <v>33900</v>
      </c>
      <c r="Z9" s="699">
        <v>7518</v>
      </c>
      <c r="AA9" s="263">
        <v>97122</v>
      </c>
      <c r="AB9" s="263"/>
      <c r="AC9" s="263">
        <v>40368</v>
      </c>
      <c r="AD9" s="263">
        <v>259432</v>
      </c>
      <c r="AE9" s="263"/>
      <c r="AF9" s="265"/>
      <c r="AG9" s="263"/>
      <c r="AH9" s="263"/>
      <c r="AI9" s="271"/>
      <c r="AJ9" s="691">
        <v>7288189.2910000002</v>
      </c>
      <c r="AK9" s="662"/>
      <c r="AL9" s="663"/>
      <c r="AM9" s="663"/>
      <c r="AN9" s="663"/>
    </row>
    <row r="10" spans="1:52" ht="26.1" customHeight="1" x14ac:dyDescent="0.2">
      <c r="A10" s="687">
        <v>4</v>
      </c>
      <c r="B10" s="609">
        <v>7423950</v>
      </c>
      <c r="C10" s="263"/>
      <c r="D10" s="263"/>
      <c r="E10" s="263">
        <v>64</v>
      </c>
      <c r="F10" s="263">
        <v>4177.7</v>
      </c>
      <c r="G10" s="263">
        <v>68225</v>
      </c>
      <c r="H10" s="264"/>
      <c r="I10" s="265">
        <v>663548</v>
      </c>
      <c r="J10" s="707">
        <v>216496</v>
      </c>
      <c r="K10" s="264">
        <v>468000</v>
      </c>
      <c r="L10" s="263"/>
      <c r="M10" s="266"/>
      <c r="N10" s="265">
        <v>3165.58</v>
      </c>
      <c r="O10" s="688">
        <v>181298</v>
      </c>
      <c r="P10" s="268">
        <v>21629</v>
      </c>
      <c r="Q10" s="263">
        <v>903992</v>
      </c>
      <c r="R10" s="263"/>
      <c r="S10" s="263">
        <v>46156</v>
      </c>
      <c r="T10" s="263"/>
      <c r="U10" s="263">
        <v>20907</v>
      </c>
      <c r="V10" s="269">
        <v>1299047</v>
      </c>
      <c r="W10" s="263"/>
      <c r="X10" s="270">
        <v>34253</v>
      </c>
      <c r="Y10" s="263">
        <v>34058</v>
      </c>
      <c r="Z10" s="263">
        <v>7538</v>
      </c>
      <c r="AA10" s="263">
        <v>97122</v>
      </c>
      <c r="AB10" s="263"/>
      <c r="AC10" s="263">
        <v>40410</v>
      </c>
      <c r="AD10" s="263">
        <v>259432</v>
      </c>
      <c r="AE10" s="263"/>
      <c r="AF10" s="265"/>
      <c r="AG10" s="263"/>
      <c r="AH10" s="263"/>
      <c r="AI10" s="263"/>
      <c r="AJ10" s="272">
        <v>7288297.3459999999</v>
      </c>
      <c r="AK10" s="263"/>
      <c r="AL10" s="263"/>
      <c r="AM10" s="263"/>
      <c r="AN10" s="263"/>
    </row>
    <row r="11" spans="1:52" ht="26.1" customHeight="1" x14ac:dyDescent="0.2">
      <c r="A11" s="687">
        <v>5</v>
      </c>
      <c r="B11" s="609">
        <v>7427080</v>
      </c>
      <c r="C11" s="263"/>
      <c r="D11" s="263"/>
      <c r="E11" s="263">
        <v>64</v>
      </c>
      <c r="F11" s="263">
        <v>4197.8999999999996</v>
      </c>
      <c r="G11" s="263">
        <v>68225</v>
      </c>
      <c r="H11" s="264"/>
      <c r="I11" s="265">
        <v>668191</v>
      </c>
      <c r="J11" s="263">
        <v>220866</v>
      </c>
      <c r="K11" s="264">
        <v>468000</v>
      </c>
      <c r="L11" s="263"/>
      <c r="M11" s="266"/>
      <c r="N11" s="265">
        <v>3215.28</v>
      </c>
      <c r="O11" s="267">
        <v>181496</v>
      </c>
      <c r="P11" s="268">
        <v>21800</v>
      </c>
      <c r="Q11" s="263">
        <v>904220</v>
      </c>
      <c r="R11" s="263"/>
      <c r="S11" s="263">
        <v>46329</v>
      </c>
      <c r="T11" s="263"/>
      <c r="U11" s="263">
        <v>20907</v>
      </c>
      <c r="V11" s="269">
        <v>1299228</v>
      </c>
      <c r="W11" s="263"/>
      <c r="X11" s="270">
        <v>34284</v>
      </c>
      <c r="Y11" s="263">
        <v>34171</v>
      </c>
      <c r="Z11" s="263">
        <v>7554</v>
      </c>
      <c r="AA11" s="263">
        <v>97122</v>
      </c>
      <c r="AB11" s="263"/>
      <c r="AC11" s="263">
        <v>40432</v>
      </c>
      <c r="AD11" s="263">
        <v>259432</v>
      </c>
      <c r="AE11" s="263"/>
      <c r="AF11" s="265"/>
      <c r="AG11" s="263"/>
      <c r="AH11" s="263"/>
      <c r="AI11" s="263"/>
      <c r="AJ11" s="263">
        <v>7288301.1639999999</v>
      </c>
      <c r="AK11" s="263"/>
      <c r="AL11" s="263"/>
      <c r="AM11" s="263"/>
      <c r="AN11" s="263"/>
    </row>
    <row r="12" spans="1:52" ht="25.35" customHeight="1" x14ac:dyDescent="0.2">
      <c r="A12" s="687">
        <v>6</v>
      </c>
      <c r="B12" s="609">
        <v>7430590</v>
      </c>
      <c r="C12" s="263"/>
      <c r="D12" s="263"/>
      <c r="E12" s="263">
        <v>64</v>
      </c>
      <c r="F12" s="263">
        <v>4219.8</v>
      </c>
      <c r="G12" s="263">
        <v>68225</v>
      </c>
      <c r="H12" s="264"/>
      <c r="I12" s="265">
        <v>673137</v>
      </c>
      <c r="J12" s="263">
        <v>225529</v>
      </c>
      <c r="K12" s="264">
        <v>468000</v>
      </c>
      <c r="L12" s="263"/>
      <c r="M12" s="266"/>
      <c r="N12" s="265">
        <v>3276.42</v>
      </c>
      <c r="O12" s="267">
        <v>181637</v>
      </c>
      <c r="P12" s="268">
        <v>22062</v>
      </c>
      <c r="Q12" s="263">
        <v>904525</v>
      </c>
      <c r="R12" s="263"/>
      <c r="S12" s="263">
        <v>46551</v>
      </c>
      <c r="T12" s="263"/>
      <c r="U12" s="263">
        <v>20915</v>
      </c>
      <c r="V12" s="269">
        <v>1299504</v>
      </c>
      <c r="W12" s="263"/>
      <c r="X12" s="270">
        <v>34340</v>
      </c>
      <c r="Y12" s="263">
        <v>34321</v>
      </c>
      <c r="Z12" s="263">
        <v>7574</v>
      </c>
      <c r="AA12" s="263">
        <v>97122</v>
      </c>
      <c r="AB12" s="263"/>
      <c r="AC12" s="263">
        <v>40455</v>
      </c>
      <c r="AD12" s="263">
        <v>259448</v>
      </c>
      <c r="AE12" s="263"/>
      <c r="AF12" s="265"/>
      <c r="AG12" s="263"/>
      <c r="AH12" s="263"/>
      <c r="AI12" s="263"/>
      <c r="AJ12" s="263">
        <v>7288301.1639999999</v>
      </c>
      <c r="AK12" s="263"/>
      <c r="AL12" s="263"/>
      <c r="AM12" s="263"/>
      <c r="AN12" s="263"/>
    </row>
    <row r="13" spans="1:52" ht="26.25" customHeight="1" x14ac:dyDescent="0.2">
      <c r="A13" s="687">
        <v>7</v>
      </c>
      <c r="B13" s="609">
        <v>7433250</v>
      </c>
      <c r="C13" s="263"/>
      <c r="D13" s="263"/>
      <c r="E13" s="263">
        <v>64</v>
      </c>
      <c r="F13" s="263">
        <v>4238.1000000000004</v>
      </c>
      <c r="G13" s="263">
        <v>68225</v>
      </c>
      <c r="H13" s="264"/>
      <c r="I13" s="265">
        <v>677816</v>
      </c>
      <c r="J13" s="263">
        <v>229936</v>
      </c>
      <c r="K13" s="264">
        <v>468000</v>
      </c>
      <c r="L13" s="263"/>
      <c r="M13" s="266"/>
      <c r="N13" s="265">
        <v>3324.64</v>
      </c>
      <c r="O13" s="267">
        <v>181860</v>
      </c>
      <c r="P13" s="268">
        <v>22349</v>
      </c>
      <c r="Q13" s="263">
        <v>904750</v>
      </c>
      <c r="R13" s="263"/>
      <c r="S13" s="263">
        <v>46673</v>
      </c>
      <c r="T13" s="263"/>
      <c r="U13" s="263">
        <v>20915</v>
      </c>
      <c r="V13" s="269">
        <v>1299806</v>
      </c>
      <c r="W13" s="263"/>
      <c r="X13" s="270">
        <v>34400</v>
      </c>
      <c r="Y13" s="263">
        <v>34415</v>
      </c>
      <c r="Z13" s="263">
        <v>7589</v>
      </c>
      <c r="AA13" s="263">
        <v>97122</v>
      </c>
      <c r="AB13" s="263"/>
      <c r="AC13" s="263">
        <v>40472</v>
      </c>
      <c r="AD13" s="263">
        <v>259448</v>
      </c>
      <c r="AE13" s="263"/>
      <c r="AF13" s="265"/>
      <c r="AG13" s="263"/>
      <c r="AH13" s="263"/>
      <c r="AI13" s="263"/>
      <c r="AJ13" s="263">
        <v>7288301.1639999999</v>
      </c>
      <c r="AK13" s="263"/>
      <c r="AL13" s="263"/>
      <c r="AM13" s="263"/>
      <c r="AN13" s="263"/>
    </row>
    <row r="14" spans="1:52" ht="27" customHeight="1" x14ac:dyDescent="0.2">
      <c r="A14" s="687">
        <v>8</v>
      </c>
      <c r="B14" s="609">
        <v>7433550</v>
      </c>
      <c r="C14" s="263"/>
      <c r="D14" s="263"/>
      <c r="E14" s="263">
        <v>64</v>
      </c>
      <c r="F14" s="263">
        <v>4240.2</v>
      </c>
      <c r="G14" s="263">
        <v>68225</v>
      </c>
      <c r="H14" s="264"/>
      <c r="I14" s="265">
        <v>679982</v>
      </c>
      <c r="J14" s="263">
        <v>231968</v>
      </c>
      <c r="K14" s="264">
        <v>468000</v>
      </c>
      <c r="L14" s="263"/>
      <c r="M14" s="266"/>
      <c r="N14" s="265">
        <v>3324.97</v>
      </c>
      <c r="O14" s="267">
        <v>181860</v>
      </c>
      <c r="P14" s="268">
        <v>22349</v>
      </c>
      <c r="Q14" s="263">
        <v>904797</v>
      </c>
      <c r="R14" s="263"/>
      <c r="S14" s="263">
        <v>46674</v>
      </c>
      <c r="T14" s="263"/>
      <c r="U14" s="263">
        <v>20915</v>
      </c>
      <c r="V14" s="269">
        <v>1299806</v>
      </c>
      <c r="W14" s="263"/>
      <c r="X14" s="270">
        <v>34405</v>
      </c>
      <c r="Y14" s="263">
        <v>34420</v>
      </c>
      <c r="Z14" s="263">
        <v>7589</v>
      </c>
      <c r="AA14" s="263">
        <v>97122</v>
      </c>
      <c r="AB14" s="263"/>
      <c r="AC14" s="263">
        <v>40474</v>
      </c>
      <c r="AD14" s="263">
        <v>259448</v>
      </c>
      <c r="AE14" s="263"/>
      <c r="AF14" s="265"/>
      <c r="AG14" s="263"/>
      <c r="AH14" s="263"/>
      <c r="AI14" s="263"/>
      <c r="AJ14" s="263">
        <v>7288301.1639999999</v>
      </c>
      <c r="AK14" s="263"/>
      <c r="AL14" s="263"/>
      <c r="AM14" s="263"/>
      <c r="AN14" s="263"/>
    </row>
    <row r="15" spans="1:52" s="689" customFormat="1" ht="26.1" customHeight="1" x14ac:dyDescent="0.2">
      <c r="A15" s="687">
        <v>9</v>
      </c>
      <c r="B15" s="609">
        <v>7433550</v>
      </c>
      <c r="C15" s="263"/>
      <c r="D15" s="263"/>
      <c r="E15" s="263">
        <v>64</v>
      </c>
      <c r="F15" s="263">
        <v>4240.2</v>
      </c>
      <c r="G15" s="263">
        <v>68225</v>
      </c>
      <c r="H15" s="264"/>
      <c r="I15" s="265">
        <v>682776</v>
      </c>
      <c r="J15" s="263">
        <v>234539</v>
      </c>
      <c r="K15" s="264">
        <v>468000</v>
      </c>
      <c r="L15" s="263"/>
      <c r="M15" s="266"/>
      <c r="N15" s="265">
        <v>3324.97</v>
      </c>
      <c r="O15" s="267">
        <v>181860</v>
      </c>
      <c r="P15" s="268">
        <v>22437</v>
      </c>
      <c r="Q15" s="263">
        <v>904868</v>
      </c>
      <c r="R15" s="263"/>
      <c r="S15" s="263">
        <v>46674</v>
      </c>
      <c r="T15" s="263"/>
      <c r="U15" s="263">
        <v>20915</v>
      </c>
      <c r="V15" s="269">
        <v>1299899</v>
      </c>
      <c r="W15" s="263"/>
      <c r="X15" s="270">
        <v>34405</v>
      </c>
      <c r="Y15" s="263">
        <v>34479</v>
      </c>
      <c r="Z15" s="263">
        <v>7590</v>
      </c>
      <c r="AA15" s="263">
        <v>97122</v>
      </c>
      <c r="AB15" s="263"/>
      <c r="AC15" s="263">
        <v>40474</v>
      </c>
      <c r="AD15" s="263">
        <v>259448</v>
      </c>
      <c r="AE15" s="263"/>
      <c r="AF15" s="265"/>
      <c r="AG15" s="263"/>
      <c r="AH15" s="263"/>
      <c r="AI15" s="263"/>
      <c r="AJ15" s="263">
        <v>7288301.1639999999</v>
      </c>
      <c r="AK15" s="263"/>
      <c r="AL15" s="263"/>
      <c r="AM15" s="263"/>
      <c r="AN15" s="263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</row>
    <row r="16" spans="1:52" ht="26.1" customHeight="1" x14ac:dyDescent="0.2">
      <c r="A16" s="687">
        <v>10</v>
      </c>
      <c r="B16" s="609">
        <v>7434380</v>
      </c>
      <c r="C16" s="263"/>
      <c r="D16" s="263"/>
      <c r="E16" s="263">
        <v>64</v>
      </c>
      <c r="F16" s="263">
        <v>4245.2</v>
      </c>
      <c r="G16" s="263">
        <v>68225</v>
      </c>
      <c r="H16" s="264"/>
      <c r="I16" s="265">
        <v>685080</v>
      </c>
      <c r="J16" s="263">
        <v>236740</v>
      </c>
      <c r="K16" s="264">
        <v>468000</v>
      </c>
      <c r="L16" s="263"/>
      <c r="M16" s="266"/>
      <c r="N16" s="265">
        <v>3324.97</v>
      </c>
      <c r="O16" s="267">
        <v>181860</v>
      </c>
      <c r="P16" s="268">
        <v>22437</v>
      </c>
      <c r="Q16" s="263">
        <v>904874</v>
      </c>
      <c r="R16" s="263"/>
      <c r="S16" s="263">
        <v>46674</v>
      </c>
      <c r="T16" s="263"/>
      <c r="U16" s="263">
        <v>20915</v>
      </c>
      <c r="V16" s="269">
        <v>1299899</v>
      </c>
      <c r="W16" s="263"/>
      <c r="X16" s="270">
        <v>34405</v>
      </c>
      <c r="Y16" s="263">
        <v>34479</v>
      </c>
      <c r="Z16" s="263">
        <v>7593</v>
      </c>
      <c r="AA16" s="263">
        <v>97122</v>
      </c>
      <c r="AB16" s="263"/>
      <c r="AC16" s="263">
        <v>40474</v>
      </c>
      <c r="AD16" s="263">
        <v>259448</v>
      </c>
      <c r="AE16" s="263"/>
      <c r="AF16" s="265"/>
      <c r="AG16" s="263"/>
      <c r="AH16" s="263"/>
      <c r="AI16" s="263"/>
      <c r="AJ16" s="263">
        <v>7288301.1639999999</v>
      </c>
      <c r="AK16" s="263"/>
      <c r="AL16" s="263"/>
      <c r="AM16" s="263"/>
      <c r="AN16" s="263"/>
    </row>
    <row r="17" spans="1:40" ht="26.1" customHeight="1" x14ac:dyDescent="0.2">
      <c r="A17" s="687">
        <v>11</v>
      </c>
      <c r="B17" s="609">
        <v>7437280</v>
      </c>
      <c r="C17" s="263"/>
      <c r="D17" s="263"/>
      <c r="E17" s="263">
        <v>64</v>
      </c>
      <c r="F17" s="263">
        <v>4264.3</v>
      </c>
      <c r="G17" s="263">
        <v>68225</v>
      </c>
      <c r="H17" s="264"/>
      <c r="I17" s="265">
        <v>689299</v>
      </c>
      <c r="J17" s="263">
        <v>240709</v>
      </c>
      <c r="K17" s="264">
        <v>468000</v>
      </c>
      <c r="L17" s="263"/>
      <c r="M17" s="266"/>
      <c r="N17" s="265">
        <v>3384.18</v>
      </c>
      <c r="O17" s="267">
        <v>182031</v>
      </c>
      <c r="P17" s="268">
        <v>22573</v>
      </c>
      <c r="Q17" s="263">
        <v>905144</v>
      </c>
      <c r="R17" s="263"/>
      <c r="S17" s="263">
        <v>46774</v>
      </c>
      <c r="T17" s="263"/>
      <c r="U17" s="263">
        <v>20921</v>
      </c>
      <c r="V17" s="269">
        <v>1300042</v>
      </c>
      <c r="W17" s="263"/>
      <c r="X17" s="270">
        <v>34452</v>
      </c>
      <c r="Y17" s="263">
        <v>34619</v>
      </c>
      <c r="Z17" s="263">
        <v>7610</v>
      </c>
      <c r="AA17" s="263">
        <v>97122</v>
      </c>
      <c r="AB17" s="263"/>
      <c r="AC17" s="263">
        <v>40474</v>
      </c>
      <c r="AD17" s="263">
        <v>259448</v>
      </c>
      <c r="AE17" s="263"/>
      <c r="AF17" s="265"/>
      <c r="AG17" s="263"/>
      <c r="AH17" s="263"/>
      <c r="AI17" s="263"/>
      <c r="AJ17" s="263">
        <v>7288304.0580000002</v>
      </c>
      <c r="AK17" s="263"/>
      <c r="AL17" s="263"/>
      <c r="AM17" s="263"/>
      <c r="AN17" s="263"/>
    </row>
    <row r="18" spans="1:40" ht="26.1" customHeight="1" x14ac:dyDescent="0.2">
      <c r="A18" s="687">
        <v>12</v>
      </c>
      <c r="B18" s="609">
        <v>7440680</v>
      </c>
      <c r="C18" s="263"/>
      <c r="D18" s="263"/>
      <c r="E18" s="263">
        <v>64</v>
      </c>
      <c r="F18" s="263">
        <v>4285.8</v>
      </c>
      <c r="G18" s="263">
        <v>68225</v>
      </c>
      <c r="H18" s="264"/>
      <c r="I18" s="265">
        <v>693826</v>
      </c>
      <c r="J18" s="263">
        <v>244973</v>
      </c>
      <c r="K18" s="264">
        <v>468000</v>
      </c>
      <c r="L18" s="263"/>
      <c r="M18" s="266"/>
      <c r="N18" s="265">
        <v>3458.97</v>
      </c>
      <c r="O18" s="267">
        <v>182335</v>
      </c>
      <c r="P18" s="268">
        <v>22745</v>
      </c>
      <c r="Q18" s="263">
        <v>905431</v>
      </c>
      <c r="R18" s="263"/>
      <c r="S18" s="263">
        <v>46954</v>
      </c>
      <c r="T18" s="263"/>
      <c r="U18" s="263">
        <v>20921</v>
      </c>
      <c r="V18" s="269">
        <v>1300216</v>
      </c>
      <c r="W18" s="263"/>
      <c r="X18" s="270">
        <v>34495</v>
      </c>
      <c r="Y18" s="263">
        <v>34777</v>
      </c>
      <c r="Z18" s="263">
        <v>7628</v>
      </c>
      <c r="AA18" s="263">
        <v>97122</v>
      </c>
      <c r="AB18" s="263"/>
      <c r="AC18" s="263">
        <v>40474</v>
      </c>
      <c r="AD18" s="263">
        <v>259448</v>
      </c>
      <c r="AE18" s="263"/>
      <c r="AF18" s="265"/>
      <c r="AG18" s="263"/>
      <c r="AH18" s="263"/>
      <c r="AI18" s="263"/>
      <c r="AJ18" s="263">
        <v>7288304.0580000002</v>
      </c>
      <c r="AK18" s="263"/>
      <c r="AL18" s="263"/>
      <c r="AM18" s="263"/>
      <c r="AN18" s="263"/>
    </row>
    <row r="19" spans="1:40" ht="26.1" customHeight="1" x14ac:dyDescent="0.2">
      <c r="A19" s="687">
        <v>13</v>
      </c>
      <c r="B19" s="609">
        <v>7443620</v>
      </c>
      <c r="C19" s="263"/>
      <c r="D19" s="263"/>
      <c r="E19" s="263">
        <v>64</v>
      </c>
      <c r="F19" s="263">
        <v>4305.2</v>
      </c>
      <c r="G19" s="263">
        <v>68225</v>
      </c>
      <c r="H19" s="264"/>
      <c r="I19" s="265">
        <v>698186</v>
      </c>
      <c r="J19" s="263">
        <v>249076</v>
      </c>
      <c r="K19" s="264">
        <v>468000</v>
      </c>
      <c r="L19" s="263"/>
      <c r="M19" s="266"/>
      <c r="N19" s="265">
        <v>3507.93</v>
      </c>
      <c r="O19" s="267">
        <v>182359</v>
      </c>
      <c r="P19" s="268">
        <v>23014</v>
      </c>
      <c r="Q19" s="263">
        <v>905690</v>
      </c>
      <c r="R19" s="263"/>
      <c r="S19" s="263">
        <v>47083</v>
      </c>
      <c r="T19" s="263"/>
      <c r="U19" s="263">
        <v>20921</v>
      </c>
      <c r="V19" s="269">
        <v>1300506</v>
      </c>
      <c r="W19" s="263"/>
      <c r="X19" s="270">
        <v>34559</v>
      </c>
      <c r="Y19" s="263">
        <v>34887</v>
      </c>
      <c r="Z19" s="263">
        <v>7655</v>
      </c>
      <c r="AA19" s="263">
        <v>97122</v>
      </c>
      <c r="AB19" s="263"/>
      <c r="AC19" s="263">
        <v>40539</v>
      </c>
      <c r="AD19" s="263">
        <v>259448</v>
      </c>
      <c r="AE19" s="263"/>
      <c r="AF19" s="265"/>
      <c r="AG19" s="263"/>
      <c r="AH19" s="263"/>
      <c r="AI19" s="263"/>
      <c r="AJ19" s="263">
        <v>7288304.0580000002</v>
      </c>
      <c r="AK19" s="263"/>
      <c r="AL19" s="263"/>
      <c r="AM19" s="263"/>
      <c r="AN19" s="263"/>
    </row>
    <row r="20" spans="1:40" ht="26.1" customHeight="1" x14ac:dyDescent="0.2">
      <c r="A20" s="687">
        <v>14</v>
      </c>
      <c r="B20" s="609">
        <v>7446640</v>
      </c>
      <c r="C20" s="263"/>
      <c r="D20" s="263"/>
      <c r="E20" s="263">
        <v>64</v>
      </c>
      <c r="F20" s="263">
        <v>4324.2</v>
      </c>
      <c r="G20" s="263">
        <v>68225</v>
      </c>
      <c r="H20" s="264"/>
      <c r="I20" s="265">
        <v>702516</v>
      </c>
      <c r="J20" s="263">
        <v>253152</v>
      </c>
      <c r="K20" s="264">
        <v>468000</v>
      </c>
      <c r="L20" s="263"/>
      <c r="M20" s="266"/>
      <c r="N20" s="265">
        <v>3570.38</v>
      </c>
      <c r="O20" s="267">
        <v>182428</v>
      </c>
      <c r="P20" s="268">
        <v>23291</v>
      </c>
      <c r="Q20" s="263">
        <v>905938</v>
      </c>
      <c r="R20" s="263"/>
      <c r="S20" s="263">
        <v>47218</v>
      </c>
      <c r="T20" s="263"/>
      <c r="U20" s="263">
        <v>20924</v>
      </c>
      <c r="V20" s="269">
        <v>1300799</v>
      </c>
      <c r="W20" s="263"/>
      <c r="X20" s="270">
        <v>34590</v>
      </c>
      <c r="Y20" s="263">
        <v>35013</v>
      </c>
      <c r="Z20" s="263">
        <v>7682</v>
      </c>
      <c r="AA20" s="263">
        <v>97122</v>
      </c>
      <c r="AB20" s="263"/>
      <c r="AC20" s="263">
        <v>40559</v>
      </c>
      <c r="AD20" s="263">
        <v>259448</v>
      </c>
      <c r="AE20" s="263"/>
      <c r="AF20" s="265"/>
      <c r="AG20" s="263"/>
      <c r="AH20" s="263"/>
      <c r="AI20" s="263"/>
      <c r="AJ20" s="263">
        <v>7288304.0580000002</v>
      </c>
      <c r="AK20" s="263"/>
      <c r="AL20" s="263"/>
      <c r="AM20" s="263"/>
      <c r="AN20" s="263"/>
    </row>
    <row r="21" spans="1:40" ht="26.1" customHeight="1" x14ac:dyDescent="0.2">
      <c r="A21" s="687">
        <v>15</v>
      </c>
      <c r="B21" s="609">
        <v>7447660</v>
      </c>
      <c r="C21" s="263"/>
      <c r="D21" s="263"/>
      <c r="E21" s="263">
        <v>64</v>
      </c>
      <c r="F21" s="263">
        <v>4333.8999999999996</v>
      </c>
      <c r="G21" s="263">
        <v>68225</v>
      </c>
      <c r="H21" s="264"/>
      <c r="I21" s="265">
        <v>705394</v>
      </c>
      <c r="J21" s="263">
        <v>255851</v>
      </c>
      <c r="K21" s="264">
        <v>468000</v>
      </c>
      <c r="L21" s="263"/>
      <c r="M21" s="266"/>
      <c r="N21" s="265">
        <v>3570.38</v>
      </c>
      <c r="O21" s="267">
        <v>182428</v>
      </c>
      <c r="P21" s="268">
        <v>23440</v>
      </c>
      <c r="Q21" s="263">
        <v>906090</v>
      </c>
      <c r="R21" s="263"/>
      <c r="S21" s="263">
        <v>47292</v>
      </c>
      <c r="T21" s="263"/>
      <c r="U21" s="263">
        <v>20939</v>
      </c>
      <c r="V21" s="269">
        <v>1300999</v>
      </c>
      <c r="W21" s="263"/>
      <c r="X21" s="270">
        <v>34608</v>
      </c>
      <c r="Y21" s="263">
        <v>35040</v>
      </c>
      <c r="Z21" s="263">
        <v>7687</v>
      </c>
      <c r="AA21" s="263">
        <v>97122</v>
      </c>
      <c r="AB21" s="263"/>
      <c r="AC21" s="263">
        <v>40560</v>
      </c>
      <c r="AD21" s="263">
        <v>259448</v>
      </c>
      <c r="AE21" s="263"/>
      <c r="AF21" s="265"/>
      <c r="AG21" s="263"/>
      <c r="AH21" s="263"/>
      <c r="AI21" s="263"/>
      <c r="AJ21" s="263">
        <v>7288306.1409999998</v>
      </c>
      <c r="AK21" s="263"/>
      <c r="AL21" s="263"/>
      <c r="AM21" s="263"/>
      <c r="AN21" s="263"/>
    </row>
    <row r="22" spans="1:40" ht="26.1" customHeight="1" x14ac:dyDescent="0.2">
      <c r="A22" s="687">
        <v>16</v>
      </c>
      <c r="B22" s="609">
        <v>7448350</v>
      </c>
      <c r="C22" s="263"/>
      <c r="D22" s="263"/>
      <c r="E22" s="263">
        <v>64</v>
      </c>
      <c r="F22" s="263">
        <v>4337.7</v>
      </c>
      <c r="G22" s="263">
        <v>68225</v>
      </c>
      <c r="H22" s="264"/>
      <c r="I22" s="265">
        <v>708113</v>
      </c>
      <c r="J22" s="263">
        <v>258399</v>
      </c>
      <c r="K22" s="264">
        <v>468000</v>
      </c>
      <c r="L22" s="263"/>
      <c r="M22" s="266"/>
      <c r="N22" s="265">
        <v>3570.38</v>
      </c>
      <c r="O22" s="267">
        <v>182428</v>
      </c>
      <c r="P22" s="268">
        <v>23528</v>
      </c>
      <c r="Q22" s="263">
        <v>906099</v>
      </c>
      <c r="R22" s="263"/>
      <c r="S22" s="263">
        <v>47292</v>
      </c>
      <c r="T22" s="263"/>
      <c r="U22" s="263">
        <v>20939</v>
      </c>
      <c r="V22" s="269">
        <v>1301045</v>
      </c>
      <c r="W22" s="263"/>
      <c r="X22" s="270">
        <v>34608</v>
      </c>
      <c r="Y22" s="263">
        <v>35040</v>
      </c>
      <c r="Z22" s="263">
        <v>7694</v>
      </c>
      <c r="AA22" s="263">
        <v>97122</v>
      </c>
      <c r="AB22" s="263"/>
      <c r="AC22" s="263">
        <v>40560</v>
      </c>
      <c r="AD22" s="263">
        <v>259448</v>
      </c>
      <c r="AE22" s="263"/>
      <c r="AF22" s="265"/>
      <c r="AG22" s="263"/>
      <c r="AH22" s="263"/>
      <c r="AI22" s="263"/>
      <c r="AJ22" s="263">
        <v>7288306.1409999998</v>
      </c>
      <c r="AK22" s="263"/>
      <c r="AL22" s="263"/>
      <c r="AM22" s="263"/>
      <c r="AN22" s="263"/>
    </row>
    <row r="23" spans="1:40" ht="26.1" customHeight="1" x14ac:dyDescent="0.2">
      <c r="A23" s="687">
        <v>17</v>
      </c>
      <c r="B23" s="609">
        <v>7452030</v>
      </c>
      <c r="C23" s="263"/>
      <c r="D23" s="263"/>
      <c r="E23" s="263">
        <v>64</v>
      </c>
      <c r="F23" s="263">
        <v>4360</v>
      </c>
      <c r="G23" s="263">
        <v>68225</v>
      </c>
      <c r="H23" s="264"/>
      <c r="I23" s="265">
        <v>712404</v>
      </c>
      <c r="J23" s="263">
        <v>262436</v>
      </c>
      <c r="K23" s="264">
        <v>468000</v>
      </c>
      <c r="L23" s="263"/>
      <c r="M23" s="266"/>
      <c r="N23" s="265">
        <v>3635.92</v>
      </c>
      <c r="O23" s="267">
        <v>182588</v>
      </c>
      <c r="P23" s="268">
        <v>23728</v>
      </c>
      <c r="Q23" s="263">
        <v>906357</v>
      </c>
      <c r="R23" s="263"/>
      <c r="S23" s="263">
        <v>47399</v>
      </c>
      <c r="T23" s="263"/>
      <c r="U23" s="263">
        <v>20977</v>
      </c>
      <c r="V23" s="269">
        <v>1301258</v>
      </c>
      <c r="W23" s="263"/>
      <c r="X23" s="270">
        <v>34655</v>
      </c>
      <c r="Y23" s="263">
        <v>35172</v>
      </c>
      <c r="Z23" s="263">
        <v>7727</v>
      </c>
      <c r="AA23" s="263">
        <v>97122</v>
      </c>
      <c r="AB23" s="263"/>
      <c r="AC23" s="263">
        <v>40580</v>
      </c>
      <c r="AD23" s="263">
        <v>259502</v>
      </c>
      <c r="AE23" s="263"/>
      <c r="AF23" s="265"/>
      <c r="AG23" s="263"/>
      <c r="AH23" s="263"/>
      <c r="AI23" s="263"/>
      <c r="AJ23" s="263">
        <v>7288336.3839999996</v>
      </c>
      <c r="AK23" s="263"/>
      <c r="AL23" s="263"/>
      <c r="AM23" s="263"/>
      <c r="AN23" s="263"/>
    </row>
    <row r="24" spans="1:40" ht="26.1" customHeight="1" x14ac:dyDescent="0.2">
      <c r="A24" s="687">
        <v>18</v>
      </c>
      <c r="B24" s="609">
        <v>7455650</v>
      </c>
      <c r="C24" s="263"/>
      <c r="D24" s="263"/>
      <c r="E24" s="263">
        <v>64</v>
      </c>
      <c r="F24" s="263">
        <v>4381.7</v>
      </c>
      <c r="G24" s="263">
        <v>68225</v>
      </c>
      <c r="H24" s="264"/>
      <c r="I24" s="265">
        <v>717164</v>
      </c>
      <c r="J24" s="263">
        <v>266920</v>
      </c>
      <c r="K24" s="264">
        <v>468000</v>
      </c>
      <c r="L24" s="263"/>
      <c r="M24" s="266"/>
      <c r="N24" s="265">
        <v>3709.07</v>
      </c>
      <c r="O24" s="267">
        <v>182946</v>
      </c>
      <c r="P24" s="268">
        <v>23874</v>
      </c>
      <c r="Q24" s="263">
        <v>906645</v>
      </c>
      <c r="R24" s="263"/>
      <c r="S24" s="263">
        <v>47576</v>
      </c>
      <c r="T24" s="263"/>
      <c r="U24" s="263">
        <v>20985</v>
      </c>
      <c r="V24" s="269">
        <v>1301413</v>
      </c>
      <c r="W24" s="263"/>
      <c r="X24" s="270">
        <v>34702</v>
      </c>
      <c r="Y24" s="263">
        <v>35322</v>
      </c>
      <c r="Z24" s="263">
        <v>7759</v>
      </c>
      <c r="AA24" s="263">
        <v>97122</v>
      </c>
      <c r="AB24" s="263"/>
      <c r="AC24" s="263">
        <v>40604</v>
      </c>
      <c r="AD24" s="263">
        <v>259502</v>
      </c>
      <c r="AE24" s="263"/>
      <c r="AF24" s="265"/>
      <c r="AG24" s="263"/>
      <c r="AH24" s="263"/>
      <c r="AI24" s="263"/>
      <c r="AJ24" s="263">
        <v>7288336.3839999996</v>
      </c>
      <c r="AK24" s="263"/>
      <c r="AL24" s="263"/>
      <c r="AM24" s="263"/>
      <c r="AN24" s="263"/>
    </row>
    <row r="25" spans="1:40" ht="26.1" customHeight="1" x14ac:dyDescent="0.2">
      <c r="A25" s="687">
        <v>19</v>
      </c>
      <c r="B25" s="609">
        <v>7458700</v>
      </c>
      <c r="C25" s="263"/>
      <c r="D25" s="263"/>
      <c r="E25" s="263">
        <v>64</v>
      </c>
      <c r="F25" s="263">
        <v>4401.3999999999996</v>
      </c>
      <c r="G25" s="263">
        <v>68225</v>
      </c>
      <c r="H25" s="264"/>
      <c r="I25" s="265">
        <v>721406</v>
      </c>
      <c r="J25" s="263">
        <v>270910</v>
      </c>
      <c r="K25" s="264">
        <v>468000</v>
      </c>
      <c r="L25" s="263"/>
      <c r="M25" s="266"/>
      <c r="N25" s="265">
        <v>3806.13</v>
      </c>
      <c r="O25" s="267">
        <v>183169</v>
      </c>
      <c r="P25" s="268">
        <v>24017</v>
      </c>
      <c r="Q25" s="263">
        <v>906912</v>
      </c>
      <c r="R25" s="263"/>
      <c r="S25" s="263">
        <v>47681</v>
      </c>
      <c r="T25" s="263"/>
      <c r="U25" s="263">
        <v>20995</v>
      </c>
      <c r="V25" s="269">
        <v>1301563</v>
      </c>
      <c r="W25" s="263"/>
      <c r="X25" s="270">
        <v>34740</v>
      </c>
      <c r="Y25" s="263">
        <v>35450</v>
      </c>
      <c r="Z25" s="263">
        <v>7780</v>
      </c>
      <c r="AA25" s="263">
        <v>97122</v>
      </c>
      <c r="AB25" s="263"/>
      <c r="AC25" s="263">
        <v>40623</v>
      </c>
      <c r="AD25" s="263">
        <v>259502</v>
      </c>
      <c r="AE25" s="263"/>
      <c r="AF25" s="265"/>
      <c r="AG25" s="263"/>
      <c r="AH25" s="263"/>
      <c r="AI25" s="263"/>
      <c r="AJ25" s="263">
        <v>7288339.9560000002</v>
      </c>
      <c r="AK25" s="263"/>
      <c r="AL25" s="263"/>
      <c r="AM25" s="263"/>
      <c r="AN25" s="263"/>
    </row>
    <row r="26" spans="1:40" ht="26.1" customHeight="1" x14ac:dyDescent="0.2">
      <c r="A26" s="687">
        <v>20</v>
      </c>
      <c r="B26" s="609">
        <v>7459400</v>
      </c>
      <c r="C26" s="263"/>
      <c r="D26" s="263"/>
      <c r="E26" s="263">
        <v>64</v>
      </c>
      <c r="F26" s="263">
        <v>4406</v>
      </c>
      <c r="G26" s="263">
        <v>68225</v>
      </c>
      <c r="H26" s="264"/>
      <c r="I26" s="265">
        <v>723839</v>
      </c>
      <c r="J26" s="263">
        <v>273185</v>
      </c>
      <c r="K26" s="264">
        <v>468000</v>
      </c>
      <c r="L26" s="263"/>
      <c r="M26" s="266"/>
      <c r="N26" s="265">
        <v>3806.13</v>
      </c>
      <c r="O26" s="267">
        <v>183169</v>
      </c>
      <c r="P26" s="268">
        <v>24017</v>
      </c>
      <c r="Q26" s="699">
        <v>906923</v>
      </c>
      <c r="R26" s="263"/>
      <c r="S26" s="263">
        <v>47681</v>
      </c>
      <c r="T26" s="263"/>
      <c r="U26" s="263">
        <v>20995</v>
      </c>
      <c r="V26" s="269">
        <v>1301563</v>
      </c>
      <c r="W26" s="263"/>
      <c r="X26" s="270">
        <v>34740</v>
      </c>
      <c r="Y26" s="263">
        <v>35450</v>
      </c>
      <c r="Z26" s="263">
        <v>7798</v>
      </c>
      <c r="AA26" s="263">
        <v>97122</v>
      </c>
      <c r="AB26" s="263"/>
      <c r="AC26" s="263">
        <v>40623</v>
      </c>
      <c r="AD26" s="263">
        <v>259502</v>
      </c>
      <c r="AE26" s="263"/>
      <c r="AF26" s="265"/>
      <c r="AG26" s="263"/>
      <c r="AH26" s="263"/>
      <c r="AI26" s="263"/>
      <c r="AJ26" s="263">
        <v>7288339.9560000002</v>
      </c>
      <c r="AK26" s="263"/>
      <c r="AL26" s="263"/>
      <c r="AM26" s="263"/>
      <c r="AN26" s="263"/>
    </row>
    <row r="27" spans="1:40" ht="26.1" customHeight="1" x14ac:dyDescent="0.2">
      <c r="A27" s="687">
        <v>21</v>
      </c>
      <c r="B27" s="609">
        <v>7461720</v>
      </c>
      <c r="C27" s="263"/>
      <c r="D27" s="263"/>
      <c r="E27" s="263">
        <v>64</v>
      </c>
      <c r="F27" s="263">
        <v>4422.3999999999996</v>
      </c>
      <c r="G27" s="263">
        <v>68225</v>
      </c>
      <c r="H27" s="264"/>
      <c r="I27" s="265">
        <v>727504</v>
      </c>
      <c r="J27" s="263">
        <v>276631</v>
      </c>
      <c r="K27" s="264">
        <v>468000</v>
      </c>
      <c r="L27" s="263"/>
      <c r="M27" s="266"/>
      <c r="N27" s="265">
        <v>3850.26</v>
      </c>
      <c r="O27" s="267">
        <v>183435</v>
      </c>
      <c r="P27" s="268">
        <v>24225</v>
      </c>
      <c r="Q27" s="699">
        <v>906147</v>
      </c>
      <c r="R27" s="263"/>
      <c r="S27" s="263">
        <v>47693</v>
      </c>
      <c r="T27" s="263"/>
      <c r="U27" s="263">
        <v>21011</v>
      </c>
      <c r="V27" s="269">
        <v>1301779</v>
      </c>
      <c r="W27" s="263"/>
      <c r="X27" s="270">
        <v>34761</v>
      </c>
      <c r="Y27" s="263">
        <v>35565</v>
      </c>
      <c r="Z27" s="263">
        <v>7875</v>
      </c>
      <c r="AA27" s="263">
        <v>97122</v>
      </c>
      <c r="AB27" s="263"/>
      <c r="AC27" s="263">
        <v>40639</v>
      </c>
      <c r="AD27" s="263">
        <v>259502</v>
      </c>
      <c r="AE27" s="263"/>
      <c r="AF27" s="265"/>
      <c r="AG27" s="263"/>
      <c r="AH27" s="263"/>
      <c r="AI27" s="263"/>
      <c r="AJ27" s="263">
        <v>7288339.9560000002</v>
      </c>
      <c r="AK27" s="263"/>
      <c r="AL27" s="263"/>
      <c r="AM27" s="263"/>
      <c r="AN27" s="263"/>
    </row>
    <row r="28" spans="1:40" ht="26.1" customHeight="1" x14ac:dyDescent="0.2">
      <c r="A28" s="687">
        <v>22</v>
      </c>
      <c r="B28" s="609">
        <v>7461990</v>
      </c>
      <c r="C28" s="263"/>
      <c r="D28" s="263"/>
      <c r="E28" s="263">
        <v>64</v>
      </c>
      <c r="F28" s="263">
        <v>4424.5</v>
      </c>
      <c r="G28" s="263">
        <v>68225</v>
      </c>
      <c r="H28" s="264"/>
      <c r="I28" s="265">
        <v>729883</v>
      </c>
      <c r="J28" s="263">
        <v>278858</v>
      </c>
      <c r="K28" s="264">
        <v>468000</v>
      </c>
      <c r="L28" s="263"/>
      <c r="M28" s="266"/>
      <c r="N28" s="265">
        <v>3850.26</v>
      </c>
      <c r="O28" s="267">
        <v>183435</v>
      </c>
      <c r="P28" s="268">
        <v>24243</v>
      </c>
      <c r="Q28" s="263">
        <v>907204</v>
      </c>
      <c r="R28" s="263"/>
      <c r="S28" s="263">
        <v>47693</v>
      </c>
      <c r="T28" s="263"/>
      <c r="U28" s="263">
        <v>21011</v>
      </c>
      <c r="V28" s="269">
        <v>1301796</v>
      </c>
      <c r="W28" s="263"/>
      <c r="X28" s="270">
        <v>34761</v>
      </c>
      <c r="Y28" s="263">
        <v>35596</v>
      </c>
      <c r="Z28" s="263">
        <v>7899</v>
      </c>
      <c r="AA28" s="263">
        <v>97122</v>
      </c>
      <c r="AB28" s="263"/>
      <c r="AC28" s="263">
        <v>40639</v>
      </c>
      <c r="AD28" s="263">
        <v>259502</v>
      </c>
      <c r="AE28" s="263"/>
      <c r="AF28" s="265"/>
      <c r="AG28" s="263"/>
      <c r="AH28" s="263"/>
      <c r="AI28" s="263"/>
      <c r="AJ28" s="263">
        <v>7288339.9560000002</v>
      </c>
      <c r="AK28" s="263"/>
      <c r="AL28" s="263"/>
      <c r="AM28" s="263"/>
      <c r="AN28" s="263"/>
    </row>
    <row r="29" spans="1:40" ht="26.1" customHeight="1" x14ac:dyDescent="0.2">
      <c r="A29" s="687">
        <v>23</v>
      </c>
      <c r="B29" s="609">
        <v>7461990</v>
      </c>
      <c r="C29" s="263"/>
      <c r="D29" s="263"/>
      <c r="E29" s="263">
        <v>64</v>
      </c>
      <c r="F29" s="263">
        <v>4424.5</v>
      </c>
      <c r="G29" s="263">
        <v>68225</v>
      </c>
      <c r="H29" s="264"/>
      <c r="I29" s="265">
        <v>732397</v>
      </c>
      <c r="J29" s="263">
        <v>281220</v>
      </c>
      <c r="K29" s="264">
        <v>468000</v>
      </c>
      <c r="L29" s="263"/>
      <c r="M29" s="266"/>
      <c r="N29" s="265">
        <v>3850.26</v>
      </c>
      <c r="O29" s="267">
        <v>183435</v>
      </c>
      <c r="P29" s="268">
        <v>24321</v>
      </c>
      <c r="Q29" s="263">
        <v>907208</v>
      </c>
      <c r="R29" s="263"/>
      <c r="S29" s="263">
        <v>47693</v>
      </c>
      <c r="T29" s="263"/>
      <c r="U29" s="263">
        <v>21011</v>
      </c>
      <c r="V29" s="269">
        <v>1301877</v>
      </c>
      <c r="W29" s="263"/>
      <c r="X29" s="270">
        <v>34761</v>
      </c>
      <c r="Y29" s="263">
        <v>35596</v>
      </c>
      <c r="Z29" s="263">
        <v>7899</v>
      </c>
      <c r="AA29" s="263">
        <v>97122</v>
      </c>
      <c r="AB29" s="263"/>
      <c r="AC29" s="263">
        <v>40639</v>
      </c>
      <c r="AD29" s="263">
        <v>259502</v>
      </c>
      <c r="AE29" s="263"/>
      <c r="AF29" s="265"/>
      <c r="AG29" s="263"/>
      <c r="AH29" s="263"/>
      <c r="AI29" s="263"/>
      <c r="AJ29" s="263">
        <v>7288339.9560000002</v>
      </c>
      <c r="AK29" s="263"/>
      <c r="AL29" s="263"/>
      <c r="AM29" s="263"/>
      <c r="AN29" s="263"/>
    </row>
    <row r="30" spans="1:40" ht="26.1" customHeight="1" x14ac:dyDescent="0.2">
      <c r="A30" s="687">
        <v>24</v>
      </c>
      <c r="B30" s="609">
        <v>7465240</v>
      </c>
      <c r="C30" s="263"/>
      <c r="D30" s="263"/>
      <c r="E30" s="263">
        <v>64</v>
      </c>
      <c r="F30" s="263">
        <v>4447.2</v>
      </c>
      <c r="G30" s="263">
        <v>68225</v>
      </c>
      <c r="H30" s="264"/>
      <c r="I30" s="265">
        <v>736220</v>
      </c>
      <c r="J30" s="263">
        <v>285289</v>
      </c>
      <c r="K30" s="264">
        <v>468000</v>
      </c>
      <c r="L30" s="263"/>
      <c r="M30" s="266"/>
      <c r="N30" s="265">
        <v>3909.64</v>
      </c>
      <c r="O30" s="267">
        <v>183561</v>
      </c>
      <c r="P30" s="268">
        <v>24510</v>
      </c>
      <c r="Q30" s="263">
        <v>907503</v>
      </c>
      <c r="R30" s="263"/>
      <c r="S30" s="263">
        <v>47760</v>
      </c>
      <c r="T30" s="263"/>
      <c r="U30" s="263">
        <v>21021</v>
      </c>
      <c r="V30" s="269">
        <v>1302075</v>
      </c>
      <c r="W30" s="263"/>
      <c r="X30" s="270">
        <v>34825</v>
      </c>
      <c r="Y30" s="263">
        <v>35741</v>
      </c>
      <c r="Z30" s="263">
        <v>7933</v>
      </c>
      <c r="AA30" s="263">
        <v>97122</v>
      </c>
      <c r="AB30" s="263"/>
      <c r="AC30" s="263">
        <v>40651</v>
      </c>
      <c r="AD30" s="263">
        <v>259502</v>
      </c>
      <c r="AE30" s="263"/>
      <c r="AF30" s="265"/>
      <c r="AG30" s="263"/>
      <c r="AH30" s="263"/>
      <c r="AI30" s="263"/>
      <c r="AJ30" s="263">
        <v>7288940.6890000002</v>
      </c>
      <c r="AK30" s="263"/>
      <c r="AL30" s="263"/>
      <c r="AM30" s="263"/>
      <c r="AN30" s="263"/>
    </row>
    <row r="31" spans="1:40" ht="26.1" customHeight="1" x14ac:dyDescent="0.2">
      <c r="A31" s="687">
        <v>25</v>
      </c>
      <c r="B31" s="609">
        <v>7468760</v>
      </c>
      <c r="C31" s="263"/>
      <c r="D31" s="263"/>
      <c r="E31" s="263">
        <v>64</v>
      </c>
      <c r="F31" s="263">
        <v>4468.6000000000004</v>
      </c>
      <c r="G31" s="263">
        <v>68225</v>
      </c>
      <c r="H31" s="264"/>
      <c r="I31" s="265">
        <v>740867</v>
      </c>
      <c r="J31" s="263">
        <v>289184</v>
      </c>
      <c r="K31" s="264">
        <v>468000</v>
      </c>
      <c r="L31" s="263"/>
      <c r="M31" s="266"/>
      <c r="N31" s="265">
        <v>3955.25</v>
      </c>
      <c r="O31" s="267">
        <v>183824</v>
      </c>
      <c r="P31" s="268">
        <v>24601</v>
      </c>
      <c r="Q31" s="263">
        <v>907736</v>
      </c>
      <c r="R31" s="263"/>
      <c r="S31" s="263">
        <v>47974</v>
      </c>
      <c r="T31" s="263"/>
      <c r="U31" s="263">
        <v>21021</v>
      </c>
      <c r="V31" s="269">
        <v>1302171</v>
      </c>
      <c r="W31" s="263"/>
      <c r="X31" s="270">
        <v>34864</v>
      </c>
      <c r="Y31" s="263">
        <v>35844</v>
      </c>
      <c r="Z31" s="263">
        <v>7956</v>
      </c>
      <c r="AA31" s="263">
        <v>97122</v>
      </c>
      <c r="AB31" s="263"/>
      <c r="AC31" s="263">
        <v>40673</v>
      </c>
      <c r="AD31" s="263">
        <v>259502</v>
      </c>
      <c r="AE31" s="263"/>
      <c r="AF31" s="265"/>
      <c r="AG31" s="263"/>
      <c r="AH31" s="263"/>
      <c r="AI31" s="263"/>
      <c r="AJ31" s="263">
        <v>7288997.2549999999</v>
      </c>
      <c r="AK31" s="263"/>
      <c r="AL31" s="263"/>
      <c r="AM31" s="263"/>
      <c r="AN31" s="263"/>
    </row>
    <row r="32" spans="1:40" ht="26.1" customHeight="1" x14ac:dyDescent="0.2">
      <c r="A32" s="687">
        <v>26</v>
      </c>
      <c r="B32" s="609">
        <v>7472690</v>
      </c>
      <c r="C32" s="263"/>
      <c r="D32" s="263"/>
      <c r="E32" s="263">
        <v>64</v>
      </c>
      <c r="F32" s="263">
        <v>4490.6000000000004</v>
      </c>
      <c r="G32" s="263">
        <v>68225</v>
      </c>
      <c r="H32" s="264"/>
      <c r="I32" s="265">
        <v>745772</v>
      </c>
      <c r="J32" s="263">
        <v>293801</v>
      </c>
      <c r="K32" s="264">
        <v>468000</v>
      </c>
      <c r="L32" s="263"/>
      <c r="M32" s="266"/>
      <c r="N32" s="265">
        <v>4026.74</v>
      </c>
      <c r="O32" s="267">
        <v>184210</v>
      </c>
      <c r="P32" s="268">
        <v>24737</v>
      </c>
      <c r="Q32" s="263">
        <v>908048</v>
      </c>
      <c r="R32" s="263"/>
      <c r="S32" s="263">
        <v>48136</v>
      </c>
      <c r="T32" s="263"/>
      <c r="U32" s="263">
        <v>21021</v>
      </c>
      <c r="V32" s="269">
        <v>1302312</v>
      </c>
      <c r="W32" s="263"/>
      <c r="X32" s="270">
        <v>34902</v>
      </c>
      <c r="Y32" s="263">
        <v>36021</v>
      </c>
      <c r="Z32" s="263">
        <v>7987</v>
      </c>
      <c r="AA32" s="263">
        <v>97122</v>
      </c>
      <c r="AB32" s="263"/>
      <c r="AC32" s="263">
        <v>40697</v>
      </c>
      <c r="AD32" s="263">
        <v>259502</v>
      </c>
      <c r="AE32" s="263"/>
      <c r="AF32" s="265"/>
      <c r="AG32" s="263"/>
      <c r="AH32" s="263"/>
      <c r="AI32" s="263"/>
      <c r="AJ32" s="263">
        <v>7288997.2549999999</v>
      </c>
      <c r="AK32" s="263"/>
      <c r="AL32" s="263"/>
      <c r="AM32" s="263"/>
      <c r="AN32" s="263"/>
    </row>
    <row r="33" spans="1:47" ht="26.1" customHeight="1" x14ac:dyDescent="0.2">
      <c r="A33" s="687">
        <v>27</v>
      </c>
      <c r="B33" s="609">
        <v>7476110</v>
      </c>
      <c r="C33" s="263"/>
      <c r="D33" s="263"/>
      <c r="E33" s="263">
        <v>64</v>
      </c>
      <c r="F33" s="263">
        <v>4512</v>
      </c>
      <c r="G33" s="263">
        <v>68225</v>
      </c>
      <c r="H33" s="264"/>
      <c r="I33" s="265">
        <v>750521</v>
      </c>
      <c r="J33" s="263">
        <v>298265</v>
      </c>
      <c r="K33" s="264">
        <v>468000</v>
      </c>
      <c r="L33" s="263"/>
      <c r="M33" s="266"/>
      <c r="N33" s="265">
        <v>4094.51</v>
      </c>
      <c r="O33" s="267">
        <v>184415</v>
      </c>
      <c r="P33" s="268">
        <v>25003</v>
      </c>
      <c r="Q33" s="263">
        <v>908305</v>
      </c>
      <c r="R33" s="263"/>
      <c r="S33" s="263">
        <v>48331</v>
      </c>
      <c r="T33" s="263"/>
      <c r="U33" s="263">
        <v>21021</v>
      </c>
      <c r="V33" s="269">
        <v>1302593</v>
      </c>
      <c r="W33" s="263"/>
      <c r="X33" s="270">
        <v>34945</v>
      </c>
      <c r="Y33" s="263">
        <v>36162</v>
      </c>
      <c r="Z33" s="263">
        <v>8015</v>
      </c>
      <c r="AA33" s="263">
        <v>97122</v>
      </c>
      <c r="AB33" s="263"/>
      <c r="AC33" s="263">
        <v>40717</v>
      </c>
      <c r="AD33" s="263">
        <v>259509</v>
      </c>
      <c r="AE33" s="263"/>
      <c r="AF33" s="265"/>
      <c r="AG33" s="263"/>
      <c r="AH33" s="263"/>
      <c r="AI33" s="263"/>
      <c r="AJ33" s="263">
        <v>7288997.2549999999</v>
      </c>
      <c r="AK33" s="263"/>
      <c r="AL33" s="263"/>
      <c r="AM33" s="263"/>
      <c r="AN33" s="263"/>
    </row>
    <row r="34" spans="1:47" ht="26.1" customHeight="1" x14ac:dyDescent="0.2">
      <c r="A34" s="687">
        <v>28</v>
      </c>
      <c r="B34" s="609">
        <v>7479350</v>
      </c>
      <c r="C34" s="263"/>
      <c r="D34" s="263"/>
      <c r="E34" s="263">
        <v>64</v>
      </c>
      <c r="F34" s="263">
        <v>4533</v>
      </c>
      <c r="G34" s="263">
        <v>68225</v>
      </c>
      <c r="H34" s="264"/>
      <c r="I34" s="265">
        <v>755273</v>
      </c>
      <c r="J34" s="263">
        <v>302728</v>
      </c>
      <c r="K34" s="264">
        <v>468000</v>
      </c>
      <c r="L34" s="263"/>
      <c r="M34" s="266"/>
      <c r="N34" s="265">
        <v>4146.26</v>
      </c>
      <c r="O34" s="267">
        <v>184524</v>
      </c>
      <c r="P34" s="268">
        <v>25275</v>
      </c>
      <c r="Q34" s="263">
        <v>908554</v>
      </c>
      <c r="R34" s="263"/>
      <c r="S34" s="263">
        <v>48479</v>
      </c>
      <c r="T34" s="263"/>
      <c r="U34" s="263">
        <v>21031</v>
      </c>
      <c r="V34" s="269">
        <v>1302887</v>
      </c>
      <c r="W34" s="263"/>
      <c r="X34" s="270">
        <v>35009</v>
      </c>
      <c r="Y34" s="263">
        <v>36274</v>
      </c>
      <c r="Z34" s="263">
        <v>8044</v>
      </c>
      <c r="AA34" s="263">
        <v>97122</v>
      </c>
      <c r="AB34" s="263"/>
      <c r="AC34" s="263">
        <v>40773</v>
      </c>
      <c r="AD34" s="263">
        <v>259511</v>
      </c>
      <c r="AE34" s="263"/>
      <c r="AF34" s="265"/>
      <c r="AG34" s="263"/>
      <c r="AH34" s="263"/>
      <c r="AI34" s="263"/>
      <c r="AJ34" s="263">
        <v>7289000.7139999997</v>
      </c>
      <c r="AK34" s="263"/>
      <c r="AL34" s="263"/>
      <c r="AM34" s="263"/>
      <c r="AN34" s="263"/>
    </row>
    <row r="35" spans="1:47" ht="26.1" customHeight="1" x14ac:dyDescent="0.2">
      <c r="A35" s="687">
        <v>29</v>
      </c>
      <c r="B35" s="609">
        <v>7481230</v>
      </c>
      <c r="C35" s="263"/>
      <c r="D35" s="263"/>
      <c r="E35" s="263">
        <v>64</v>
      </c>
      <c r="F35" s="263">
        <v>4550.8</v>
      </c>
      <c r="G35" s="263">
        <v>68225</v>
      </c>
      <c r="H35" s="264"/>
      <c r="I35" s="265">
        <v>758334</v>
      </c>
      <c r="J35" s="263">
        <v>305601</v>
      </c>
      <c r="K35" s="264">
        <v>468000</v>
      </c>
      <c r="L35" s="263"/>
      <c r="M35" s="266"/>
      <c r="N35" s="265">
        <v>4146.26</v>
      </c>
      <c r="O35" s="267">
        <v>184529</v>
      </c>
      <c r="P35" s="268">
        <v>25443</v>
      </c>
      <c r="Q35" s="263">
        <v>908650</v>
      </c>
      <c r="R35" s="263"/>
      <c r="S35" s="263">
        <v>48688</v>
      </c>
      <c r="T35" s="263"/>
      <c r="U35" s="263">
        <v>21031</v>
      </c>
      <c r="V35" s="269">
        <v>1303054</v>
      </c>
      <c r="W35" s="263"/>
      <c r="X35" s="270">
        <v>35028</v>
      </c>
      <c r="Y35" s="263">
        <v>36281</v>
      </c>
      <c r="Z35" s="263">
        <v>8051</v>
      </c>
      <c r="AA35" s="263">
        <v>97122</v>
      </c>
      <c r="AB35" s="263"/>
      <c r="AC35" s="263">
        <v>40773</v>
      </c>
      <c r="AD35" s="263">
        <v>259554</v>
      </c>
      <c r="AE35" s="263"/>
      <c r="AF35" s="265"/>
      <c r="AG35" s="263"/>
      <c r="AH35" s="263"/>
      <c r="AI35" s="263"/>
      <c r="AJ35" s="263">
        <v>7289000.7139999997</v>
      </c>
      <c r="AK35" s="263"/>
      <c r="AL35" s="263"/>
      <c r="AM35" s="263"/>
      <c r="AN35" s="263"/>
    </row>
    <row r="36" spans="1:47" ht="26.1" customHeight="1" x14ac:dyDescent="0.2">
      <c r="A36" s="687">
        <v>30</v>
      </c>
      <c r="B36" s="609">
        <v>7482710</v>
      </c>
      <c r="C36" s="263"/>
      <c r="D36" s="263"/>
      <c r="E36" s="263">
        <v>64</v>
      </c>
      <c r="F36" s="263">
        <v>4561</v>
      </c>
      <c r="G36" s="263">
        <v>68225</v>
      </c>
      <c r="H36" s="264"/>
      <c r="I36" s="265">
        <v>761270</v>
      </c>
      <c r="J36" s="263">
        <v>308359</v>
      </c>
      <c r="K36" s="264">
        <v>468000</v>
      </c>
      <c r="L36" s="263"/>
      <c r="M36" s="266"/>
      <c r="N36" s="265">
        <v>4146.26</v>
      </c>
      <c r="O36" s="267">
        <v>184702</v>
      </c>
      <c r="P36" s="268">
        <v>25444</v>
      </c>
      <c r="Q36" s="263">
        <v>908724</v>
      </c>
      <c r="R36" s="263"/>
      <c r="S36" s="263">
        <v>48765</v>
      </c>
      <c r="T36" s="263"/>
      <c r="U36" s="263">
        <v>21031</v>
      </c>
      <c r="V36" s="269">
        <v>1303054</v>
      </c>
      <c r="W36" s="263"/>
      <c r="X36" s="270">
        <v>35046</v>
      </c>
      <c r="Y36" s="263">
        <v>36281</v>
      </c>
      <c r="Z36" s="263">
        <v>8061</v>
      </c>
      <c r="AA36" s="263">
        <v>97122</v>
      </c>
      <c r="AB36" s="263"/>
      <c r="AC36" s="263">
        <v>40773</v>
      </c>
      <c r="AD36" s="263">
        <v>259554</v>
      </c>
      <c r="AE36" s="263"/>
      <c r="AF36" s="265"/>
      <c r="AG36" s="263"/>
      <c r="AH36" s="263"/>
      <c r="AI36" s="271"/>
      <c r="AJ36" s="263">
        <v>7289000.7139999997</v>
      </c>
      <c r="AK36" s="690"/>
      <c r="AL36" s="663"/>
      <c r="AM36" s="663"/>
      <c r="AN36" s="663"/>
    </row>
    <row r="37" spans="1:47" ht="26.1" customHeight="1" x14ac:dyDescent="0.2">
      <c r="A37" s="687">
        <v>1</v>
      </c>
      <c r="B37" s="609">
        <v>7486040</v>
      </c>
      <c r="C37" s="263"/>
      <c r="D37" s="263"/>
      <c r="E37" s="263">
        <v>64</v>
      </c>
      <c r="F37" s="263">
        <v>4583</v>
      </c>
      <c r="G37" s="263">
        <v>68225</v>
      </c>
      <c r="H37" s="264"/>
      <c r="I37" s="265">
        <v>765750</v>
      </c>
      <c r="J37" s="263">
        <v>312573</v>
      </c>
      <c r="K37" s="264">
        <v>468000</v>
      </c>
      <c r="L37" s="263"/>
      <c r="M37" s="266"/>
      <c r="N37" s="265">
        <v>4185.99</v>
      </c>
      <c r="O37" s="267">
        <v>184851</v>
      </c>
      <c r="P37" s="268">
        <v>25619</v>
      </c>
      <c r="Q37" s="263">
        <v>908959</v>
      </c>
      <c r="R37" s="263"/>
      <c r="S37" s="263">
        <v>48949</v>
      </c>
      <c r="T37" s="263"/>
      <c r="U37" s="263">
        <v>21043</v>
      </c>
      <c r="V37" s="269">
        <v>1303314</v>
      </c>
      <c r="W37" s="263"/>
      <c r="X37" s="270">
        <v>35100</v>
      </c>
      <c r="Y37" s="263">
        <v>36417</v>
      </c>
      <c r="Z37" s="263">
        <v>8088</v>
      </c>
      <c r="AA37" s="263">
        <v>97122</v>
      </c>
      <c r="AB37" s="263"/>
      <c r="AC37" s="263">
        <v>40783</v>
      </c>
      <c r="AD37" s="263">
        <v>259968</v>
      </c>
      <c r="AE37" s="263"/>
      <c r="AF37" s="265"/>
      <c r="AG37" s="263"/>
      <c r="AH37" s="263"/>
      <c r="AI37" s="271"/>
      <c r="AJ37" s="691">
        <v>7289001.9460000005</v>
      </c>
      <c r="AK37" s="692"/>
      <c r="AL37" s="693"/>
      <c r="AM37" s="693"/>
      <c r="AN37" s="694"/>
    </row>
    <row r="38" spans="1:47" ht="26.1" customHeight="1" x14ac:dyDescent="0.2">
      <c r="A38" s="687"/>
      <c r="B38" s="609"/>
      <c r="C38" s="263"/>
      <c r="D38" s="263"/>
      <c r="E38" s="263"/>
      <c r="F38" s="263"/>
      <c r="G38" s="263"/>
      <c r="H38" s="264"/>
      <c r="I38" s="265"/>
      <c r="J38" s="263"/>
      <c r="K38" s="264"/>
      <c r="L38" s="263"/>
      <c r="M38" s="266"/>
      <c r="N38" s="265"/>
      <c r="O38" s="263"/>
      <c r="P38" s="268"/>
      <c r="Q38" s="263"/>
      <c r="R38" s="263"/>
      <c r="S38" s="263"/>
      <c r="T38" s="263"/>
      <c r="U38" s="263"/>
      <c r="V38" s="269"/>
      <c r="W38" s="263"/>
      <c r="X38" s="270"/>
      <c r="Y38" s="263"/>
      <c r="Z38" s="263"/>
      <c r="AA38" s="263"/>
      <c r="AB38" s="263"/>
      <c r="AC38" s="265"/>
      <c r="AD38" s="263"/>
      <c r="AE38" s="263"/>
      <c r="AF38" s="265"/>
      <c r="AG38" s="263"/>
      <c r="AH38" s="263"/>
      <c r="AI38" s="271"/>
      <c r="AJ38" s="691"/>
      <c r="AK38" s="692"/>
      <c r="AL38" s="693"/>
      <c r="AM38" s="693"/>
      <c r="AN38" s="694"/>
    </row>
    <row r="39" spans="1:47" x14ac:dyDescent="0.2">
      <c r="B39" s="259"/>
      <c r="C39" s="259"/>
      <c r="G39" s="259"/>
      <c r="I39" s="813"/>
      <c r="J39" s="814"/>
      <c r="R39" s="259"/>
      <c r="S39" s="259"/>
      <c r="T39" s="259"/>
      <c r="U39" s="259"/>
      <c r="V39" s="259"/>
      <c r="W39" s="259"/>
      <c r="Z39" s="259"/>
      <c r="AA39" s="813"/>
      <c r="AB39" s="813"/>
      <c r="AC39" s="259"/>
      <c r="AD39" s="259"/>
      <c r="AI39" s="695"/>
      <c r="AJ39" s="570"/>
    </row>
    <row r="40" spans="1:47" x14ac:dyDescent="0.2">
      <c r="B40" s="259"/>
      <c r="G40" s="259"/>
      <c r="J40" s="259"/>
      <c r="V40" s="258"/>
      <c r="Z40" s="259"/>
      <c r="AA40" s="259"/>
      <c r="AC40" s="259"/>
      <c r="AF40" s="259"/>
      <c r="AG40" s="259"/>
      <c r="AH40" s="259"/>
    </row>
    <row r="41" spans="1:47" x14ac:dyDescent="0.2">
      <c r="B41" s="259"/>
      <c r="G41" s="259"/>
      <c r="I41" s="259"/>
      <c r="J41" s="259"/>
      <c r="K41" s="259"/>
      <c r="M41" s="259"/>
      <c r="O41" s="259"/>
      <c r="P41" s="259"/>
      <c r="Q41" s="259"/>
      <c r="V41" s="258"/>
      <c r="Y41" s="259"/>
      <c r="Z41" s="259"/>
    </row>
    <row r="42" spans="1:47" x14ac:dyDescent="0.2">
      <c r="B42" s="259"/>
      <c r="V42" s="258"/>
    </row>
    <row r="43" spans="1:47" x14ac:dyDescent="0.2">
      <c r="B43" s="259"/>
      <c r="J43" s="696"/>
      <c r="V43" s="258"/>
    </row>
    <row r="44" spans="1:47" x14ac:dyDescent="0.2">
      <c r="H44" s="696"/>
      <c r="J44" s="696"/>
      <c r="V44" s="258"/>
      <c r="AU44" s="258" t="s">
        <v>61</v>
      </c>
    </row>
    <row r="45" spans="1:47" x14ac:dyDescent="0.2">
      <c r="V45" s="258"/>
    </row>
    <row r="46" spans="1:47" x14ac:dyDescent="0.2">
      <c r="I46" s="259"/>
      <c r="J46" s="259"/>
      <c r="V46" s="258"/>
    </row>
    <row r="47" spans="1:47" x14ac:dyDescent="0.2">
      <c r="V47" s="258"/>
    </row>
    <row r="48" spans="1:47" x14ac:dyDescent="0.2">
      <c r="V48" s="258"/>
    </row>
    <row r="49" s="258" customFormat="1" x14ac:dyDescent="0.2"/>
    <row r="50" s="258" customFormat="1" x14ac:dyDescent="0.2"/>
    <row r="51" s="258" customFormat="1" x14ac:dyDescent="0.2"/>
    <row r="52" s="258" customFormat="1" x14ac:dyDescent="0.2"/>
    <row r="53" s="258" customFormat="1" x14ac:dyDescent="0.2"/>
    <row r="54" s="258" customFormat="1" x14ac:dyDescent="0.2"/>
    <row r="55" s="258" customFormat="1" x14ac:dyDescent="0.2"/>
    <row r="56" s="258" customFormat="1" x14ac:dyDescent="0.2"/>
    <row r="57" s="258" customFormat="1" x14ac:dyDescent="0.2"/>
    <row r="58" s="258" customFormat="1" x14ac:dyDescent="0.2"/>
    <row r="59" s="258" customFormat="1" x14ac:dyDescent="0.2"/>
    <row r="60" s="258" customFormat="1" x14ac:dyDescent="0.2"/>
    <row r="61" s="258" customFormat="1" x14ac:dyDescent="0.2"/>
    <row r="62" s="258" customFormat="1" x14ac:dyDescent="0.2"/>
    <row r="63" s="258" customFormat="1" x14ac:dyDescent="0.2"/>
    <row r="64" s="258" customFormat="1" x14ac:dyDescent="0.2"/>
    <row r="65" s="258" customFormat="1" x14ac:dyDescent="0.2"/>
    <row r="66" s="258" customFormat="1" x14ac:dyDescent="0.2"/>
    <row r="67" s="258" customFormat="1" x14ac:dyDescent="0.2"/>
    <row r="68" s="258" customFormat="1" x14ac:dyDescent="0.2"/>
    <row r="69" s="258" customFormat="1" x14ac:dyDescent="0.2"/>
    <row r="70" s="258" customFormat="1" x14ac:dyDescent="0.2"/>
    <row r="71" s="258" customFormat="1" x14ac:dyDescent="0.2"/>
    <row r="72" s="258" customFormat="1" x14ac:dyDescent="0.2"/>
    <row r="73" s="258" customFormat="1" x14ac:dyDescent="0.2"/>
    <row r="74" s="258" customFormat="1" x14ac:dyDescent="0.2"/>
    <row r="75" s="258" customFormat="1" x14ac:dyDescent="0.2"/>
    <row r="76" s="258" customFormat="1" x14ac:dyDescent="0.2"/>
    <row r="77" s="258" customFormat="1" x14ac:dyDescent="0.2"/>
    <row r="78" s="258" customFormat="1" x14ac:dyDescent="0.2"/>
    <row r="79" s="258" customFormat="1" x14ac:dyDescent="0.2"/>
    <row r="80" s="258" customFormat="1" x14ac:dyDescent="0.2"/>
    <row r="81" s="258" customFormat="1" x14ac:dyDescent="0.2"/>
    <row r="82" s="258" customFormat="1" x14ac:dyDescent="0.2"/>
    <row r="83" s="258" customFormat="1" x14ac:dyDescent="0.2"/>
    <row r="84" s="258" customFormat="1" x14ac:dyDescent="0.2"/>
    <row r="85" s="258" customFormat="1" x14ac:dyDescent="0.2"/>
    <row r="86" s="258" customFormat="1" x14ac:dyDescent="0.2"/>
    <row r="87" s="258" customFormat="1" x14ac:dyDescent="0.2"/>
    <row r="88" s="258" customFormat="1" x14ac:dyDescent="0.2"/>
    <row r="89" s="258" customFormat="1" x14ac:dyDescent="0.2"/>
    <row r="90" s="258" customFormat="1" x14ac:dyDescent="0.2"/>
    <row r="91" s="258" customFormat="1" x14ac:dyDescent="0.2"/>
    <row r="92" s="258" customFormat="1" x14ac:dyDescent="0.2"/>
    <row r="93" s="258" customFormat="1" x14ac:dyDescent="0.2"/>
    <row r="94" s="258" customFormat="1" x14ac:dyDescent="0.2"/>
    <row r="95" s="258" customFormat="1" x14ac:dyDescent="0.2"/>
    <row r="96" s="258" customFormat="1" x14ac:dyDescent="0.2"/>
    <row r="97" s="258" customFormat="1" x14ac:dyDescent="0.2"/>
    <row r="98" s="258" customFormat="1" x14ac:dyDescent="0.2"/>
    <row r="99" s="258" customFormat="1" x14ac:dyDescent="0.2"/>
    <row r="100" s="258" customFormat="1" x14ac:dyDescent="0.2"/>
    <row r="101" s="258" customFormat="1" x14ac:dyDescent="0.2"/>
    <row r="102" s="258" customFormat="1" x14ac:dyDescent="0.2"/>
    <row r="103" s="258" customFormat="1" x14ac:dyDescent="0.2"/>
    <row r="104" s="258" customFormat="1" x14ac:dyDescent="0.2"/>
    <row r="105" s="258" customFormat="1" x14ac:dyDescent="0.2"/>
    <row r="106" s="258" customFormat="1" x14ac:dyDescent="0.2"/>
    <row r="107" s="258" customFormat="1" x14ac:dyDescent="0.2"/>
    <row r="108" s="258" customFormat="1" x14ac:dyDescent="0.2"/>
    <row r="109" s="258" customFormat="1" x14ac:dyDescent="0.2"/>
    <row r="110" s="258" customFormat="1" x14ac:dyDescent="0.2"/>
    <row r="111" s="258" customFormat="1" x14ac:dyDescent="0.2"/>
    <row r="112" s="258" customFormat="1" x14ac:dyDescent="0.2"/>
    <row r="113" s="258" customFormat="1" x14ac:dyDescent="0.2"/>
    <row r="114" s="258" customFormat="1" x14ac:dyDescent="0.2"/>
    <row r="115" s="258" customFormat="1" x14ac:dyDescent="0.2"/>
    <row r="116" s="258" customFormat="1" x14ac:dyDescent="0.2"/>
    <row r="117" s="258" customFormat="1" x14ac:dyDescent="0.2"/>
    <row r="118" s="258" customFormat="1" x14ac:dyDescent="0.2"/>
    <row r="119" s="258" customFormat="1" x14ac:dyDescent="0.2"/>
    <row r="120" s="258" customFormat="1" x14ac:dyDescent="0.2"/>
    <row r="121" s="258" customFormat="1" x14ac:dyDescent="0.2"/>
    <row r="122" s="258" customFormat="1" x14ac:dyDescent="0.2"/>
    <row r="123" s="258" customFormat="1" x14ac:dyDescent="0.2"/>
    <row r="124" s="258" customFormat="1" x14ac:dyDescent="0.2"/>
    <row r="125" s="258" customFormat="1" x14ac:dyDescent="0.2"/>
    <row r="126" s="258" customFormat="1" x14ac:dyDescent="0.2"/>
    <row r="127" s="258" customFormat="1" x14ac:dyDescent="0.2"/>
    <row r="128" s="258" customFormat="1" x14ac:dyDescent="0.2"/>
    <row r="129" s="258" customFormat="1" x14ac:dyDescent="0.2"/>
    <row r="130" s="258" customFormat="1" x14ac:dyDescent="0.2"/>
    <row r="131" s="258" customFormat="1" x14ac:dyDescent="0.2"/>
    <row r="132" s="258" customFormat="1" x14ac:dyDescent="0.2"/>
    <row r="133" s="258" customFormat="1" x14ac:dyDescent="0.2"/>
    <row r="134" s="258" customFormat="1" x14ac:dyDescent="0.2"/>
    <row r="135" s="258" customFormat="1" x14ac:dyDescent="0.2"/>
    <row r="136" s="258" customFormat="1" x14ac:dyDescent="0.2"/>
    <row r="137" s="258" customFormat="1" x14ac:dyDescent="0.2"/>
    <row r="138" s="258" customFormat="1" x14ac:dyDescent="0.2"/>
    <row r="139" s="258" customFormat="1" x14ac:dyDescent="0.2"/>
    <row r="140" s="258" customFormat="1" x14ac:dyDescent="0.2"/>
    <row r="141" s="258" customFormat="1" x14ac:dyDescent="0.2"/>
    <row r="142" s="258" customFormat="1" x14ac:dyDescent="0.2"/>
    <row r="143" s="258" customFormat="1" x14ac:dyDescent="0.2"/>
    <row r="144" s="258" customFormat="1" x14ac:dyDescent="0.2"/>
    <row r="145" s="258" customFormat="1" x14ac:dyDescent="0.2"/>
    <row r="146" s="258" customFormat="1" x14ac:dyDescent="0.2"/>
    <row r="147" s="258" customFormat="1" x14ac:dyDescent="0.2"/>
    <row r="148" s="258" customFormat="1" x14ac:dyDescent="0.2"/>
    <row r="149" s="258" customFormat="1" x14ac:dyDescent="0.2"/>
    <row r="150" s="258" customFormat="1" x14ac:dyDescent="0.2"/>
    <row r="151" s="258" customFormat="1" x14ac:dyDescent="0.2"/>
    <row r="152" s="258" customFormat="1" x14ac:dyDescent="0.2"/>
    <row r="153" s="258" customFormat="1" x14ac:dyDescent="0.2"/>
    <row r="154" s="258" customFormat="1" x14ac:dyDescent="0.2"/>
    <row r="155" s="258" customFormat="1" x14ac:dyDescent="0.2"/>
    <row r="156" s="258" customFormat="1" x14ac:dyDescent="0.2"/>
    <row r="157" s="258" customFormat="1" x14ac:dyDescent="0.2"/>
    <row r="158" s="258" customFormat="1" x14ac:dyDescent="0.2"/>
    <row r="159" s="258" customFormat="1" x14ac:dyDescent="0.2"/>
    <row r="160" s="258" customFormat="1" x14ac:dyDescent="0.2"/>
    <row r="161" s="258" customFormat="1" x14ac:dyDescent="0.2"/>
    <row r="162" s="258" customFormat="1" x14ac:dyDescent="0.2"/>
    <row r="163" s="258" customFormat="1" x14ac:dyDescent="0.2"/>
    <row r="164" s="258" customFormat="1" x14ac:dyDescent="0.2"/>
    <row r="165" s="258" customFormat="1" x14ac:dyDescent="0.2"/>
    <row r="166" s="258" customFormat="1" x14ac:dyDescent="0.2"/>
    <row r="167" s="258" customFormat="1" x14ac:dyDescent="0.2"/>
    <row r="168" s="258" customFormat="1" x14ac:dyDescent="0.2"/>
    <row r="169" s="258" customFormat="1" x14ac:dyDescent="0.2"/>
    <row r="170" s="258" customFormat="1" x14ac:dyDescent="0.2"/>
    <row r="171" s="258" customFormat="1" x14ac:dyDescent="0.2"/>
    <row r="172" s="258" customFormat="1" x14ac:dyDescent="0.2"/>
    <row r="173" s="258" customFormat="1" x14ac:dyDescent="0.2"/>
    <row r="174" s="258" customFormat="1" x14ac:dyDescent="0.2"/>
    <row r="175" s="258" customFormat="1" x14ac:dyDescent="0.2"/>
    <row r="176" s="258" customFormat="1" x14ac:dyDescent="0.2"/>
    <row r="177" s="258" customFormat="1" x14ac:dyDescent="0.2"/>
    <row r="178" s="258" customFormat="1" x14ac:dyDescent="0.2"/>
    <row r="179" s="258" customFormat="1" x14ac:dyDescent="0.2"/>
    <row r="180" s="258" customFormat="1" x14ac:dyDescent="0.2"/>
    <row r="181" s="258" customFormat="1" x14ac:dyDescent="0.2"/>
    <row r="182" s="258" customFormat="1" x14ac:dyDescent="0.2"/>
    <row r="183" s="258" customFormat="1" x14ac:dyDescent="0.2"/>
    <row r="184" s="258" customFormat="1" x14ac:dyDescent="0.2"/>
    <row r="185" s="258" customFormat="1" x14ac:dyDescent="0.2"/>
    <row r="186" s="258" customFormat="1" x14ac:dyDescent="0.2"/>
    <row r="187" s="258" customFormat="1" x14ac:dyDescent="0.2"/>
    <row r="188" s="258" customFormat="1" x14ac:dyDescent="0.2"/>
    <row r="189" s="258" customFormat="1" x14ac:dyDescent="0.2"/>
    <row r="190" s="258" customFormat="1" x14ac:dyDescent="0.2"/>
    <row r="191" s="258" customFormat="1" x14ac:dyDescent="0.2"/>
    <row r="192" s="258" customFormat="1" x14ac:dyDescent="0.2"/>
    <row r="193" s="258" customFormat="1" x14ac:dyDescent="0.2"/>
    <row r="194" s="258" customFormat="1" x14ac:dyDescent="0.2"/>
    <row r="195" s="258" customFormat="1" x14ac:dyDescent="0.2"/>
    <row r="196" s="258" customFormat="1" x14ac:dyDescent="0.2"/>
    <row r="197" s="258" customFormat="1" x14ac:dyDescent="0.2"/>
    <row r="198" s="258" customFormat="1" x14ac:dyDescent="0.2"/>
    <row r="199" s="258" customFormat="1" x14ac:dyDescent="0.2"/>
    <row r="200" s="258" customFormat="1" x14ac:dyDescent="0.2"/>
    <row r="201" s="258" customFormat="1" x14ac:dyDescent="0.2"/>
    <row r="202" s="258" customFormat="1" x14ac:dyDescent="0.2"/>
    <row r="203" s="258" customFormat="1" x14ac:dyDescent="0.2"/>
    <row r="204" s="258" customFormat="1" x14ac:dyDescent="0.2"/>
    <row r="205" s="258" customFormat="1" x14ac:dyDescent="0.2"/>
    <row r="206" s="258" customFormat="1" x14ac:dyDescent="0.2"/>
    <row r="207" s="258" customFormat="1" x14ac:dyDescent="0.2"/>
    <row r="208" s="258" customFormat="1" x14ac:dyDescent="0.2"/>
    <row r="209" s="258" customFormat="1" x14ac:dyDescent="0.2"/>
    <row r="210" s="258" customFormat="1" x14ac:dyDescent="0.2"/>
    <row r="211" s="258" customFormat="1" x14ac:dyDescent="0.2"/>
    <row r="212" s="258" customFormat="1" x14ac:dyDescent="0.2"/>
    <row r="213" s="258" customFormat="1" x14ac:dyDescent="0.2"/>
    <row r="214" s="258" customFormat="1" x14ac:dyDescent="0.2"/>
    <row r="215" s="258" customFormat="1" x14ac:dyDescent="0.2"/>
    <row r="216" s="258" customFormat="1" x14ac:dyDescent="0.2"/>
    <row r="217" s="258" customFormat="1" x14ac:dyDescent="0.2"/>
    <row r="218" s="258" customFormat="1" x14ac:dyDescent="0.2"/>
    <row r="219" s="258" customFormat="1" x14ac:dyDescent="0.2"/>
    <row r="220" s="258" customFormat="1" x14ac:dyDescent="0.2"/>
    <row r="221" s="258" customFormat="1" x14ac:dyDescent="0.2"/>
    <row r="222" s="258" customFormat="1" x14ac:dyDescent="0.2"/>
    <row r="223" s="258" customFormat="1" x14ac:dyDescent="0.2"/>
    <row r="224" s="258" customFormat="1" x14ac:dyDescent="0.2"/>
    <row r="225" s="258" customFormat="1" x14ac:dyDescent="0.2"/>
    <row r="226" s="258" customFormat="1" x14ac:dyDescent="0.2"/>
    <row r="227" s="258" customFormat="1" x14ac:dyDescent="0.2"/>
    <row r="228" s="258" customFormat="1" x14ac:dyDescent="0.2"/>
    <row r="229" s="258" customFormat="1" x14ac:dyDescent="0.2"/>
    <row r="230" s="258" customFormat="1" x14ac:dyDescent="0.2"/>
    <row r="231" s="258" customFormat="1" x14ac:dyDescent="0.2"/>
    <row r="232" s="258" customFormat="1" x14ac:dyDescent="0.2"/>
    <row r="233" s="258" customFormat="1" x14ac:dyDescent="0.2"/>
    <row r="234" s="258" customFormat="1" x14ac:dyDescent="0.2"/>
    <row r="235" s="258" customFormat="1" x14ac:dyDescent="0.2"/>
    <row r="236" s="258" customFormat="1" x14ac:dyDescent="0.2"/>
    <row r="237" s="258" customFormat="1" x14ac:dyDescent="0.2"/>
    <row r="238" s="258" customFormat="1" x14ac:dyDescent="0.2"/>
    <row r="239" s="258" customFormat="1" x14ac:dyDescent="0.2"/>
    <row r="240" s="258" customFormat="1" x14ac:dyDescent="0.2"/>
    <row r="241" s="258" customFormat="1" x14ac:dyDescent="0.2"/>
    <row r="242" s="258" customFormat="1" x14ac:dyDescent="0.2"/>
    <row r="243" s="258" customFormat="1" x14ac:dyDescent="0.2"/>
    <row r="244" s="258" customFormat="1" x14ac:dyDescent="0.2"/>
    <row r="245" s="258" customFormat="1" x14ac:dyDescent="0.2"/>
    <row r="246" s="258" customFormat="1" x14ac:dyDescent="0.2"/>
    <row r="247" s="258" customFormat="1" x14ac:dyDescent="0.2"/>
    <row r="248" s="258" customFormat="1" x14ac:dyDescent="0.2"/>
    <row r="249" s="258" customFormat="1" x14ac:dyDescent="0.2"/>
    <row r="250" s="258" customFormat="1" x14ac:dyDescent="0.2"/>
    <row r="251" s="258" customFormat="1" x14ac:dyDescent="0.2"/>
    <row r="252" s="258" customFormat="1" x14ac:dyDescent="0.2"/>
    <row r="253" s="258" customFormat="1" x14ac:dyDescent="0.2"/>
    <row r="254" s="258" customFormat="1" x14ac:dyDescent="0.2"/>
    <row r="255" s="258" customFormat="1" x14ac:dyDescent="0.2"/>
    <row r="256" s="258" customFormat="1" x14ac:dyDescent="0.2"/>
    <row r="257" s="258" customFormat="1" x14ac:dyDescent="0.2"/>
    <row r="258" s="258" customFormat="1" x14ac:dyDescent="0.2"/>
    <row r="259" s="258" customFormat="1" x14ac:dyDescent="0.2"/>
    <row r="260" s="258" customFormat="1" x14ac:dyDescent="0.2"/>
    <row r="261" s="258" customFormat="1" x14ac:dyDescent="0.2"/>
    <row r="262" s="258" customFormat="1" x14ac:dyDescent="0.2"/>
    <row r="263" s="258" customFormat="1" x14ac:dyDescent="0.2"/>
    <row r="264" s="258" customFormat="1" x14ac:dyDescent="0.2"/>
    <row r="265" s="258" customFormat="1" x14ac:dyDescent="0.2"/>
    <row r="266" s="258" customFormat="1" x14ac:dyDescent="0.2"/>
    <row r="267" s="258" customFormat="1" x14ac:dyDescent="0.2"/>
    <row r="268" s="258" customFormat="1" x14ac:dyDescent="0.2"/>
    <row r="269" s="258" customFormat="1" x14ac:dyDescent="0.2"/>
    <row r="270" s="258" customFormat="1" x14ac:dyDescent="0.2"/>
    <row r="271" s="258" customFormat="1" x14ac:dyDescent="0.2"/>
    <row r="272" s="258" customFormat="1" x14ac:dyDescent="0.2"/>
    <row r="273" s="258" customFormat="1" x14ac:dyDescent="0.2"/>
    <row r="274" s="258" customFormat="1" x14ac:dyDescent="0.2"/>
    <row r="275" s="258" customFormat="1" x14ac:dyDescent="0.2"/>
    <row r="276" s="258" customFormat="1" x14ac:dyDescent="0.2"/>
    <row r="277" s="258" customFormat="1" x14ac:dyDescent="0.2"/>
    <row r="278" s="258" customFormat="1" x14ac:dyDescent="0.2"/>
    <row r="279" s="258" customFormat="1" x14ac:dyDescent="0.2"/>
    <row r="280" s="258" customFormat="1" x14ac:dyDescent="0.2"/>
    <row r="281" s="258" customFormat="1" x14ac:dyDescent="0.2"/>
    <row r="282" s="258" customFormat="1" x14ac:dyDescent="0.2"/>
    <row r="283" s="258" customFormat="1" x14ac:dyDescent="0.2"/>
    <row r="284" s="258" customFormat="1" x14ac:dyDescent="0.2"/>
    <row r="285" s="258" customFormat="1" x14ac:dyDescent="0.2"/>
    <row r="286" s="258" customFormat="1" x14ac:dyDescent="0.2"/>
    <row r="287" s="258" customFormat="1" x14ac:dyDescent="0.2"/>
    <row r="288" s="258" customFormat="1" x14ac:dyDescent="0.2"/>
    <row r="289" s="258" customFormat="1" x14ac:dyDescent="0.2"/>
    <row r="290" s="258" customFormat="1" x14ac:dyDescent="0.2"/>
    <row r="291" s="258" customFormat="1" x14ac:dyDescent="0.2"/>
    <row r="292" s="258" customFormat="1" x14ac:dyDescent="0.2"/>
    <row r="293" s="258" customFormat="1" x14ac:dyDescent="0.2"/>
    <row r="294" s="258" customFormat="1" x14ac:dyDescent="0.2"/>
    <row r="295" s="258" customFormat="1" x14ac:dyDescent="0.2"/>
    <row r="296" s="258" customFormat="1" x14ac:dyDescent="0.2"/>
    <row r="297" s="258" customFormat="1" x14ac:dyDescent="0.2"/>
    <row r="298" s="258" customFormat="1" x14ac:dyDescent="0.2"/>
    <row r="299" s="258" customFormat="1" x14ac:dyDescent="0.2"/>
    <row r="300" s="258" customFormat="1" x14ac:dyDescent="0.2"/>
    <row r="301" s="258" customFormat="1" x14ac:dyDescent="0.2"/>
    <row r="302" s="258" customFormat="1" x14ac:dyDescent="0.2"/>
    <row r="303" s="258" customFormat="1" x14ac:dyDescent="0.2"/>
    <row r="304" s="258" customFormat="1" x14ac:dyDescent="0.2"/>
    <row r="305" s="258" customFormat="1" x14ac:dyDescent="0.2"/>
    <row r="306" s="258" customFormat="1" x14ac:dyDescent="0.2"/>
    <row r="307" s="258" customFormat="1" x14ac:dyDescent="0.2"/>
    <row r="308" s="258" customFormat="1" x14ac:dyDescent="0.2"/>
    <row r="309" s="258" customFormat="1" x14ac:dyDescent="0.2"/>
    <row r="310" s="258" customFormat="1" x14ac:dyDescent="0.2"/>
    <row r="311" s="258" customFormat="1" x14ac:dyDescent="0.2"/>
    <row r="312" s="258" customFormat="1" x14ac:dyDescent="0.2"/>
    <row r="313" s="258" customFormat="1" x14ac:dyDescent="0.2"/>
    <row r="314" s="258" customFormat="1" x14ac:dyDescent="0.2"/>
    <row r="315" s="258" customFormat="1" x14ac:dyDescent="0.2"/>
    <row r="316" s="258" customFormat="1" x14ac:dyDescent="0.2"/>
    <row r="317" s="258" customFormat="1" x14ac:dyDescent="0.2"/>
    <row r="318" s="258" customFormat="1" x14ac:dyDescent="0.2"/>
    <row r="319" s="258" customFormat="1" x14ac:dyDescent="0.2"/>
    <row r="320" s="258" customFormat="1" x14ac:dyDescent="0.2"/>
    <row r="321" s="258" customFormat="1" x14ac:dyDescent="0.2"/>
    <row r="322" s="258" customFormat="1" x14ac:dyDescent="0.2"/>
    <row r="323" s="258" customFormat="1" x14ac:dyDescent="0.2"/>
    <row r="324" s="258" customFormat="1" x14ac:dyDescent="0.2"/>
    <row r="325" s="258" customFormat="1" x14ac:dyDescent="0.2"/>
    <row r="326" s="258" customFormat="1" x14ac:dyDescent="0.2"/>
    <row r="327" s="258" customFormat="1" x14ac:dyDescent="0.2"/>
    <row r="328" s="258" customFormat="1" x14ac:dyDescent="0.2"/>
    <row r="329" s="258" customFormat="1" x14ac:dyDescent="0.2"/>
    <row r="330" s="258" customFormat="1" x14ac:dyDescent="0.2"/>
    <row r="331" s="258" customFormat="1" x14ac:dyDescent="0.2"/>
    <row r="332" s="258" customFormat="1" x14ac:dyDescent="0.2"/>
    <row r="333" s="258" customFormat="1" x14ac:dyDescent="0.2"/>
    <row r="334" s="258" customFormat="1" x14ac:dyDescent="0.2"/>
    <row r="335" s="258" customFormat="1" x14ac:dyDescent="0.2"/>
    <row r="336" s="258" customFormat="1" x14ac:dyDescent="0.2"/>
    <row r="337" s="258" customFormat="1" x14ac:dyDescent="0.2"/>
    <row r="338" s="258" customFormat="1" x14ac:dyDescent="0.2"/>
    <row r="339" s="258" customFormat="1" x14ac:dyDescent="0.2"/>
    <row r="340" s="258" customFormat="1" x14ac:dyDescent="0.2"/>
    <row r="341" s="258" customFormat="1" x14ac:dyDescent="0.2"/>
    <row r="342" s="258" customFormat="1" x14ac:dyDescent="0.2"/>
    <row r="343" s="258" customFormat="1" x14ac:dyDescent="0.2"/>
    <row r="344" s="258" customFormat="1" x14ac:dyDescent="0.2"/>
    <row r="345" s="258" customFormat="1" x14ac:dyDescent="0.2"/>
    <row r="346" s="258" customFormat="1" x14ac:dyDescent="0.2"/>
    <row r="347" s="258" customFormat="1" x14ac:dyDescent="0.2"/>
    <row r="348" s="258" customFormat="1" x14ac:dyDescent="0.2"/>
    <row r="349" s="258" customFormat="1" x14ac:dyDescent="0.2"/>
    <row r="350" s="258" customFormat="1" x14ac:dyDescent="0.2"/>
    <row r="351" s="258" customFormat="1" x14ac:dyDescent="0.2"/>
    <row r="352" s="258" customFormat="1" x14ac:dyDescent="0.2"/>
    <row r="353" s="258" customFormat="1" x14ac:dyDescent="0.2"/>
    <row r="354" s="258" customFormat="1" x14ac:dyDescent="0.2"/>
    <row r="355" s="258" customFormat="1" x14ac:dyDescent="0.2"/>
    <row r="356" s="258" customFormat="1" x14ac:dyDescent="0.2"/>
    <row r="357" s="258" customFormat="1" x14ac:dyDescent="0.2"/>
    <row r="358" s="258" customFormat="1" x14ac:dyDescent="0.2"/>
    <row r="359" s="258" customFormat="1" x14ac:dyDescent="0.2"/>
    <row r="360" s="258" customFormat="1" x14ac:dyDescent="0.2"/>
    <row r="361" s="258" customFormat="1" x14ac:dyDescent="0.2"/>
    <row r="362" s="258" customFormat="1" x14ac:dyDescent="0.2"/>
    <row r="363" s="258" customFormat="1" x14ac:dyDescent="0.2"/>
    <row r="364" s="258" customFormat="1" x14ac:dyDescent="0.2"/>
    <row r="365" s="258" customFormat="1" x14ac:dyDescent="0.2"/>
    <row r="366" s="258" customFormat="1" x14ac:dyDescent="0.2"/>
    <row r="367" s="258" customFormat="1" x14ac:dyDescent="0.2"/>
    <row r="368" s="258" customFormat="1" x14ac:dyDescent="0.2"/>
    <row r="369" s="258" customFormat="1" x14ac:dyDescent="0.2"/>
    <row r="370" s="258" customFormat="1" x14ac:dyDescent="0.2"/>
    <row r="371" s="258" customFormat="1" x14ac:dyDescent="0.2"/>
    <row r="372" s="258" customFormat="1" x14ac:dyDescent="0.2"/>
    <row r="373" s="258" customFormat="1" x14ac:dyDescent="0.2"/>
    <row r="374" s="258" customFormat="1" x14ac:dyDescent="0.2"/>
    <row r="375" s="258" customFormat="1" x14ac:dyDescent="0.2"/>
    <row r="376" s="258" customFormat="1" x14ac:dyDescent="0.2"/>
    <row r="377" s="258" customFormat="1" x14ac:dyDescent="0.2"/>
    <row r="378" s="258" customFormat="1" x14ac:dyDescent="0.2"/>
    <row r="379" s="258" customFormat="1" x14ac:dyDescent="0.2"/>
    <row r="380" s="258" customFormat="1" x14ac:dyDescent="0.2"/>
    <row r="381" s="258" customFormat="1" x14ac:dyDescent="0.2"/>
    <row r="382" s="258" customFormat="1" x14ac:dyDescent="0.2"/>
    <row r="383" s="258" customFormat="1" x14ac:dyDescent="0.2"/>
    <row r="384" s="258" customFormat="1" x14ac:dyDescent="0.2"/>
    <row r="385" s="258" customFormat="1" x14ac:dyDescent="0.2"/>
    <row r="386" s="258" customFormat="1" x14ac:dyDescent="0.2"/>
    <row r="387" s="258" customFormat="1" x14ac:dyDescent="0.2"/>
    <row r="388" s="258" customFormat="1" x14ac:dyDescent="0.2"/>
    <row r="389" s="258" customFormat="1" x14ac:dyDescent="0.2"/>
    <row r="390" s="258" customFormat="1" x14ac:dyDescent="0.2"/>
    <row r="391" s="258" customFormat="1" x14ac:dyDescent="0.2"/>
    <row r="392" s="258" customFormat="1" x14ac:dyDescent="0.2"/>
    <row r="393" s="258" customFormat="1" x14ac:dyDescent="0.2"/>
    <row r="394" s="258" customFormat="1" x14ac:dyDescent="0.2"/>
    <row r="395" s="258" customFormat="1" x14ac:dyDescent="0.2"/>
    <row r="396" s="258" customFormat="1" x14ac:dyDescent="0.2"/>
    <row r="397" s="258" customFormat="1" x14ac:dyDescent="0.2"/>
    <row r="398" s="258" customFormat="1" x14ac:dyDescent="0.2"/>
    <row r="399" s="258" customFormat="1" x14ac:dyDescent="0.2"/>
    <row r="400" s="258" customFormat="1" x14ac:dyDescent="0.2"/>
    <row r="401" s="258" customFormat="1" x14ac:dyDescent="0.2"/>
    <row r="402" s="258" customFormat="1" x14ac:dyDescent="0.2"/>
    <row r="403" s="258" customFormat="1" x14ac:dyDescent="0.2"/>
    <row r="404" s="258" customFormat="1" x14ac:dyDescent="0.2"/>
    <row r="405" s="258" customFormat="1" x14ac:dyDescent="0.2"/>
    <row r="406" s="258" customFormat="1" x14ac:dyDescent="0.2"/>
    <row r="407" s="258" customFormat="1" x14ac:dyDescent="0.2"/>
    <row r="408" s="258" customFormat="1" x14ac:dyDescent="0.2"/>
    <row r="409" s="258" customFormat="1" x14ac:dyDescent="0.2"/>
    <row r="410" s="258" customFormat="1" x14ac:dyDescent="0.2"/>
    <row r="411" s="258" customFormat="1" x14ac:dyDescent="0.2"/>
    <row r="412" s="258" customFormat="1" x14ac:dyDescent="0.2"/>
    <row r="413" s="258" customFormat="1" x14ac:dyDescent="0.2"/>
    <row r="414" s="258" customFormat="1" x14ac:dyDescent="0.2"/>
    <row r="415" s="258" customFormat="1" x14ac:dyDescent="0.2"/>
  </sheetData>
  <mergeCells count="28"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I39:J39"/>
    <mergeCell ref="AA39:AB39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AH3:AH5"/>
    <mergeCell ref="AK3:AN3"/>
    <mergeCell ref="AG3:AG5"/>
    <mergeCell ref="AI3:AI5"/>
    <mergeCell ref="AJ3:AJ5"/>
  </mergeCells>
  <phoneticPr fontId="0" type="noConversion"/>
  <conditionalFormatting sqref="B9:D10">
    <cfRule type="expression" dxfId="84" priority="137">
      <formula>B9&lt;B8</formula>
    </cfRule>
  </conditionalFormatting>
  <conditionalFormatting sqref="B36:D36">
    <cfRule type="expression" dxfId="83" priority="15">
      <formula>B36&lt;#REF!</formula>
    </cfRule>
  </conditionalFormatting>
  <conditionalFormatting sqref="B7:E7">
    <cfRule type="expression" dxfId="82" priority="129">
      <formula>B7&lt;B6</formula>
    </cfRule>
  </conditionalFormatting>
  <conditionalFormatting sqref="B8:E8 H8:J8 L8:AI8 E10">
    <cfRule type="expression" dxfId="81" priority="139">
      <formula>B8&lt;#REF!</formula>
    </cfRule>
  </conditionalFormatting>
  <conditionalFormatting sqref="B11:E34 B35:D35 E35:E36">
    <cfRule type="expression" dxfId="80" priority="9">
      <formula>B11&lt;B10</formula>
    </cfRule>
  </conditionalFormatting>
  <conditionalFormatting sqref="B37:E38">
    <cfRule type="expression" dxfId="79" priority="5">
      <formula>B37&lt;B36</formula>
    </cfRule>
  </conditionalFormatting>
  <conditionalFormatting sqref="E9">
    <cfRule type="expression" dxfId="78" priority="136">
      <formula>E9&lt;E8</formula>
    </cfRule>
  </conditionalFormatting>
  <conditionalFormatting sqref="F7:F38">
    <cfRule type="expression" dxfId="77" priority="1">
      <formula>F7&lt;#REF!</formula>
    </cfRule>
  </conditionalFormatting>
  <conditionalFormatting sqref="G8:G17">
    <cfRule type="expression" dxfId="76" priority="76">
      <formula>G8&lt;G7</formula>
    </cfRule>
  </conditionalFormatting>
  <conditionalFormatting sqref="G35:G37 U35:U37 AC35:AC37 AA36:AA37 H37:P37">
    <cfRule type="expression" dxfId="75" priority="3">
      <formula>G35&lt;G34</formula>
    </cfRule>
  </conditionalFormatting>
  <conditionalFormatting sqref="G7:AI7">
    <cfRule type="expression" dxfId="74" priority="128">
      <formula>G7&lt;G6</formula>
    </cfRule>
  </conditionalFormatting>
  <conditionalFormatting sqref="G38:AJ38">
    <cfRule type="expression" dxfId="73" priority="255">
      <formula>G38&lt;G37</formula>
    </cfRule>
  </conditionalFormatting>
  <conditionalFormatting sqref="H9:J11 L9:AC11 AE9:AI11">
    <cfRule type="expression" dxfId="72" priority="120">
      <formula>H9&lt;H8</formula>
    </cfRule>
  </conditionalFormatting>
  <conditionalFormatting sqref="H36:J36 L36:M36 P36:T36 W36:Z36 AB36 AD36:AI36">
    <cfRule type="expression" dxfId="71" priority="14">
      <formula>H36&lt;#REF!</formula>
    </cfRule>
  </conditionalFormatting>
  <conditionalFormatting sqref="H12:AI17">
    <cfRule type="expression" dxfId="70" priority="71">
      <formula>H12&lt;H11</formula>
    </cfRule>
  </conditionalFormatting>
  <conditionalFormatting sqref="K8:K11 AA8:AA11">
    <cfRule type="expression" dxfId="69" priority="124">
      <formula>K8&lt;K7</formula>
    </cfRule>
  </conditionalFormatting>
  <conditionalFormatting sqref="O6 R6">
    <cfRule type="expression" dxfId="68" priority="292">
      <formula>O6&lt;O5</formula>
    </cfRule>
  </conditionalFormatting>
  <conditionalFormatting sqref="Q37">
    <cfRule type="expression" dxfId="67" priority="6">
      <formula>Q37&lt;#REF!</formula>
    </cfRule>
  </conditionalFormatting>
  <conditionalFormatting sqref="R37:T37 V37:Z37 AB37 AD37:AJ37">
    <cfRule type="expression" dxfId="66" priority="4">
      <formula>R37&lt;R36</formula>
    </cfRule>
  </conditionalFormatting>
  <conditionalFormatting sqref="AA8:AA37">
    <cfRule type="expression" dxfId="65" priority="2">
      <formula>AA8&lt;#REF!</formula>
    </cfRule>
  </conditionalFormatting>
  <conditionalFormatting sqref="AD9:AD11">
    <cfRule type="expression" dxfId="64" priority="126">
      <formula>AD9&lt;#REF!</formula>
    </cfRule>
  </conditionalFormatting>
  <conditionalFormatting sqref="AJ7:AJ9">
    <cfRule type="expression" dxfId="63" priority="99">
      <formula>AJ7&lt;AJ6</formula>
    </cfRule>
  </conditionalFormatting>
  <conditionalFormatting sqref="AJ10">
    <cfRule type="expression" dxfId="62" priority="102">
      <formula>AJ10&lt;AJ7</formula>
    </cfRule>
  </conditionalFormatting>
  <conditionalFormatting sqref="AJ11:AJ16">
    <cfRule type="expression" dxfId="61" priority="75">
      <formula>AJ11&lt;#REF!</formula>
    </cfRule>
  </conditionalFormatting>
  <conditionalFormatting sqref="AJ17:AJ36">
    <cfRule type="expression" dxfId="60" priority="12">
      <formula>AJ17&lt;AJ16</formula>
    </cfRule>
  </conditionalFormatting>
  <conditionalFormatting sqref="AK10:AL35 G18:AI34 H35:J35 L35:M35 O35:T35 V35:AB35 AD35:AI35 K35:K36 N35:N36 O36 V36">
    <cfRule type="expression" dxfId="59" priority="10">
      <formula>G10&lt;G9</formula>
    </cfRule>
  </conditionalFormatting>
  <conditionalFormatting sqref="AM10:AM35">
    <cfRule type="expression" dxfId="58" priority="11">
      <formula>AM10&lt;#REF!</formula>
    </cfRule>
  </conditionalFormatting>
  <conditionalFormatting sqref="AN10:AN35">
    <cfRule type="expression" dxfId="57" priority="13">
      <formula>AN10&lt;AN9</formula>
    </cfRule>
  </conditionalFormatting>
  <pageMargins left="0.1" right="0.5" top="0.32" bottom="0.25" header="0.25" footer="0.25"/>
  <pageSetup paperSize="5" scale="24" orientation="landscape" horizontalDpi="4294967295" verticalDpi="4294967295" r:id="rId1"/>
  <headerFooter alignWithMargins="0"/>
  <rowBreaks count="1" manualBreakCount="1">
    <brk id="39" max="38" man="1"/>
  </rowBreaks>
  <colBreaks count="1" manualBreakCount="1">
    <brk id="37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R46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E38" sqref="E38:E39"/>
    </sheetView>
  </sheetViews>
  <sheetFormatPr defaultRowHeight="12.75" x14ac:dyDescent="0.2"/>
  <cols>
    <col min="1" max="1" width="8.42578125" bestFit="1" customWidth="1"/>
    <col min="2" max="3" width="8.42578125" customWidth="1"/>
    <col min="4" max="6" width="15.5703125" customWidth="1"/>
    <col min="7" max="7" width="13.5703125" customWidth="1"/>
    <col min="8" max="8" width="13.42578125" customWidth="1"/>
    <col min="9" max="9" width="13.5703125" customWidth="1"/>
    <col min="11" max="11" width="13.5703125" customWidth="1"/>
    <col min="14" max="14" width="9.140625" style="593"/>
    <col min="15" max="15" width="9.140625" style="618"/>
  </cols>
  <sheetData>
    <row r="2" spans="1:18" x14ac:dyDescent="0.2">
      <c r="H2" s="14" t="s">
        <v>1</v>
      </c>
    </row>
    <row r="3" spans="1:18" x14ac:dyDescent="0.2">
      <c r="H3" s="1" t="s">
        <v>0</v>
      </c>
    </row>
    <row r="5" spans="1:18" x14ac:dyDescent="0.2">
      <c r="A5" s="1" t="s">
        <v>2</v>
      </c>
      <c r="B5" s="1"/>
      <c r="C5" s="1"/>
      <c r="G5" s="3">
        <v>39295</v>
      </c>
      <c r="I5" s="3"/>
    </row>
    <row r="6" spans="1:18" ht="13.5" thickBot="1" x14ac:dyDescent="0.25"/>
    <row r="7" spans="1:18" x14ac:dyDescent="0.2">
      <c r="A7" s="701" t="s">
        <v>7</v>
      </c>
      <c r="B7" s="701"/>
      <c r="C7" s="701"/>
      <c r="D7" s="838" t="s">
        <v>275</v>
      </c>
      <c r="E7" s="838" t="s">
        <v>276</v>
      </c>
      <c r="F7" s="838" t="s">
        <v>277</v>
      </c>
      <c r="G7" s="701" t="s">
        <v>3</v>
      </c>
      <c r="H7" s="701" t="s">
        <v>4</v>
      </c>
      <c r="I7" s="728" t="s">
        <v>56</v>
      </c>
      <c r="J7" s="839" t="s">
        <v>17</v>
      </c>
      <c r="K7" s="840"/>
      <c r="L7" s="840"/>
      <c r="M7" s="840"/>
      <c r="N7" s="841"/>
      <c r="O7" s="836" t="s">
        <v>11</v>
      </c>
      <c r="P7" s="837"/>
      <c r="Q7" s="837"/>
      <c r="R7" s="837"/>
    </row>
    <row r="8" spans="1:18" x14ac:dyDescent="0.2">
      <c r="A8" s="702"/>
      <c r="B8" s="702" t="s">
        <v>278</v>
      </c>
      <c r="C8" s="702" t="s">
        <v>279</v>
      </c>
      <c r="D8" s="838"/>
      <c r="E8" s="838"/>
      <c r="F8" s="838"/>
      <c r="G8" s="701"/>
      <c r="H8" s="701"/>
      <c r="I8" s="728"/>
      <c r="J8" s="730"/>
      <c r="K8" s="701"/>
      <c r="L8" s="701"/>
      <c r="M8" s="701"/>
      <c r="N8" s="745"/>
      <c r="O8" s="734" t="s">
        <v>14</v>
      </c>
      <c r="P8" s="701" t="s">
        <v>15</v>
      </c>
      <c r="Q8" s="701" t="s">
        <v>9</v>
      </c>
      <c r="R8" s="701" t="s">
        <v>70</v>
      </c>
    </row>
    <row r="9" spans="1:18" x14ac:dyDescent="0.2">
      <c r="A9" s="703"/>
      <c r="B9" s="703"/>
      <c r="C9" s="703"/>
      <c r="D9" s="701" t="s">
        <v>63</v>
      </c>
      <c r="E9" s="701" t="s">
        <v>63</v>
      </c>
      <c r="F9" s="701" t="s">
        <v>63</v>
      </c>
      <c r="G9" s="701" t="s">
        <v>64</v>
      </c>
      <c r="H9" s="701" t="s">
        <v>65</v>
      </c>
      <c r="I9" s="728" t="s">
        <v>69</v>
      </c>
      <c r="J9" s="730" t="s">
        <v>5</v>
      </c>
      <c r="K9" s="701" t="s">
        <v>6</v>
      </c>
      <c r="L9" s="701" t="s">
        <v>8</v>
      </c>
      <c r="M9" s="701" t="s">
        <v>10</v>
      </c>
      <c r="N9" s="745" t="s">
        <v>12</v>
      </c>
      <c r="O9" s="734" t="s">
        <v>13</v>
      </c>
      <c r="P9" s="701" t="s">
        <v>68</v>
      </c>
      <c r="Q9" s="701" t="s">
        <v>16</v>
      </c>
      <c r="R9" s="701" t="s">
        <v>71</v>
      </c>
    </row>
    <row r="10" spans="1:18" s="35" customFormat="1" ht="15" x14ac:dyDescent="0.2">
      <c r="A10" s="717">
        <v>1</v>
      </c>
      <c r="B10" s="704">
        <f>IF('Entries June''25'!I8&gt;='Entries June''25'!I7,'Entries June''25'!I8-'Entries June''25'!I7,(999999-'Entries June''25'!I7)+'Entries June''25'!I8+1)</f>
        <v>2982</v>
      </c>
      <c r="C10" s="704">
        <f>IF('Entries June''25'!J8&gt;='Entries June''25'!J7,'Entries June''25'!J8-'Entries June''25'!J7,(999999-'Entries June''25'!J7)+'Entries June''25'!J8+1)</f>
        <v>2803</v>
      </c>
      <c r="D10" s="660">
        <f>B10+C10</f>
        <v>5785</v>
      </c>
      <c r="E10" s="661">
        <f>IF('Entries June''25'!K8&gt;='Entries June''25'!K7,'Entries June''25'!K8-'Entries June''25'!K7,(999999-'Entries June''25'!K7)+'Entries June''25'!K8+1)</f>
        <v>0</v>
      </c>
      <c r="F10" s="660">
        <f>D10+E10</f>
        <v>5785</v>
      </c>
      <c r="G10" s="661">
        <f>'Water '!Z7*10</f>
        <v>710</v>
      </c>
      <c r="H10" s="660">
        <f>IF('Entries June''25'!B8-'Entries June''25'!B7&lt;1,"0",'Entries June''25'!B8-'Entries June''25'!B7)</f>
        <v>730</v>
      </c>
      <c r="I10" s="729">
        <f>'CO2'!C7</f>
        <v>0</v>
      </c>
      <c r="J10" s="731">
        <f>+'PROD.FIG. '!F5</f>
        <v>0</v>
      </c>
      <c r="K10" s="660">
        <f>+'PROD.FIG. '!C5</f>
        <v>0</v>
      </c>
      <c r="L10" s="660">
        <f>+'PROD.FIG. '!D5</f>
        <v>0</v>
      </c>
      <c r="M10" s="660">
        <f>+'PROD.FIG. '!E5</f>
        <v>0</v>
      </c>
      <c r="N10" s="746" cm="1">
        <f t="array" ref="N10:N40">TRANSPOSE('Daily KPIs'!B9:AF9)</f>
        <v>0</v>
      </c>
      <c r="O10" s="735">
        <f>IF(N10=0,0,F10/N10)</f>
        <v>0</v>
      </c>
      <c r="P10" s="735">
        <f>IF(O10=0,0,G10/N10)</f>
        <v>0</v>
      </c>
      <c r="Q10" s="735">
        <f>IF(P10=0,0,H10/N10)</f>
        <v>0</v>
      </c>
      <c r="R10" s="735">
        <f>IF(Q10=0,0,I10/N10)</f>
        <v>0</v>
      </c>
    </row>
    <row r="11" spans="1:18" ht="15" x14ac:dyDescent="0.2">
      <c r="A11" s="718">
        <v>2</v>
      </c>
      <c r="B11" s="704">
        <f>IF('Entries June''25'!I9&gt;='Entries June''25'!I8,'Entries June''25'!I9-'Entries June''25'!I8,(999999-'Entries June''25'!I8)+'Entries June''25'!I9+1)</f>
        <v>4637</v>
      </c>
      <c r="C11" s="704">
        <f>IF('Entries June''25'!J9&gt;='Entries June''25'!J8,'Entries June''25'!J9-'Entries June''25'!J8,(999999-'Entries June''25'!J8)+'Entries June''25'!J9+1)</f>
        <v>4367</v>
      </c>
      <c r="D11" s="660">
        <f t="shared" ref="D11:D13" si="0">B11+C11</f>
        <v>9004</v>
      </c>
      <c r="E11" s="661">
        <f>IF('Entries June''25'!K9&gt;='Entries June''25'!K8,'Entries June''25'!K9-'Entries June''25'!K8,(999999-'Entries June''25'!K8)+'Entries June''25'!K9+1)</f>
        <v>0</v>
      </c>
      <c r="F11" s="660">
        <f t="shared" ref="F11:F40" si="1">D11+E11</f>
        <v>9004</v>
      </c>
      <c r="G11" s="661">
        <f>'Water '!Z8*10</f>
        <v>4550</v>
      </c>
      <c r="H11" s="660">
        <f>IF('Entries June''25'!B9-'Entries June''25'!B8&lt;1,"0",'Entries June''25'!B9-'Entries June''25'!B8)</f>
        <v>3280</v>
      </c>
      <c r="I11" s="729">
        <f>'CO2'!C8</f>
        <v>2700</v>
      </c>
      <c r="J11" s="731">
        <f>+'PROD.FIG. '!F6</f>
        <v>0</v>
      </c>
      <c r="K11" s="660">
        <f>+'PROD.FIG. '!C6</f>
        <v>0</v>
      </c>
      <c r="L11" s="660">
        <f>+'PROD.FIG. '!D6</f>
        <v>0</v>
      </c>
      <c r="M11" s="660">
        <f>+'PROD.FIG. '!E6</f>
        <v>0</v>
      </c>
      <c r="N11" s="746">
        <v>455.60520000000002</v>
      </c>
      <c r="O11" s="735">
        <f t="shared" ref="O11:O40" si="2">IF(N11=0,0,F11/N11)</f>
        <v>19.762724393839225</v>
      </c>
      <c r="P11" s="735">
        <f t="shared" ref="P11:P40" si="3">IF(O11=0,0,G11/N11)</f>
        <v>9.9867165695211551</v>
      </c>
      <c r="Q11" s="735">
        <f t="shared" ref="Q11:Q40" si="4">IF(P11=0,0,H11/N11)</f>
        <v>7.1992154611053598</v>
      </c>
      <c r="R11" s="735">
        <f t="shared" ref="R11:R40" si="5">IF(Q11=0,0,I11/N11)</f>
        <v>5.9261834588367295</v>
      </c>
    </row>
    <row r="12" spans="1:18" s="35" customFormat="1" ht="15" x14ac:dyDescent="0.2">
      <c r="A12" s="717">
        <v>3</v>
      </c>
      <c r="B12" s="704">
        <f>IF('Entries June''25'!I10&gt;='Entries June''25'!I9,'Entries June''25'!I10-'Entries June''25'!I9,(999999-'Entries June''25'!I9)+'Entries June''25'!I10+1)</f>
        <v>4629</v>
      </c>
      <c r="C12" s="704">
        <f>IF('Entries June''25'!J10&gt;='Entries June''25'!J9,'Entries June''25'!J10-'Entries June''25'!J9,(999999-'Entries June''25'!J9)+'Entries June''25'!J10+1)</f>
        <v>4358</v>
      </c>
      <c r="D12" s="660">
        <f t="shared" si="0"/>
        <v>8987</v>
      </c>
      <c r="E12" s="661">
        <f>IF('Entries June''25'!K10&gt;='Entries June''25'!K9,'Entries June''25'!K10-'Entries June''25'!K9,(999999-'Entries June''25'!K9)+'Entries June''25'!K10+1)</f>
        <v>0</v>
      </c>
      <c r="F12" s="660">
        <f t="shared" si="1"/>
        <v>8987</v>
      </c>
      <c r="G12" s="661">
        <f>'Water '!Z9*10</f>
        <v>4200</v>
      </c>
      <c r="H12" s="660">
        <f>IF('Entries June''25'!B10-'Entries June''25'!B9&lt;1,"0",'Entries June''25'!B10-'Entries June''25'!B9)</f>
        <v>3380</v>
      </c>
      <c r="I12" s="729">
        <f>'CO2'!C9</f>
        <v>3100</v>
      </c>
      <c r="J12" s="731">
        <f>+'PROD.FIG. '!F7</f>
        <v>0</v>
      </c>
      <c r="K12" s="660">
        <f>+'PROD.FIG. '!C7</f>
        <v>0</v>
      </c>
      <c r="L12" s="660">
        <f>+'PROD.FIG. '!D7</f>
        <v>0</v>
      </c>
      <c r="M12" s="660">
        <f>+'PROD.FIG. '!E7</f>
        <v>0</v>
      </c>
      <c r="N12" s="746">
        <v>644.75400000000002</v>
      </c>
      <c r="O12" s="735">
        <f t="shared" si="2"/>
        <v>13.938649469410038</v>
      </c>
      <c r="P12" s="735">
        <f t="shared" si="3"/>
        <v>6.5141123591323202</v>
      </c>
      <c r="Q12" s="735">
        <f t="shared" si="4"/>
        <v>5.242309469968391</v>
      </c>
      <c r="R12" s="735">
        <f t="shared" si="5"/>
        <v>4.808035312692903</v>
      </c>
    </row>
    <row r="13" spans="1:18" ht="15" x14ac:dyDescent="0.2">
      <c r="A13" s="719">
        <v>4</v>
      </c>
      <c r="B13" s="704">
        <f>IF('Entries June''25'!I11&gt;='Entries June''25'!I10,'Entries June''25'!I11-'Entries June''25'!I10,(999999-'Entries June''25'!I10)+'Entries June''25'!I11+1)</f>
        <v>4643</v>
      </c>
      <c r="C13" s="704">
        <f>IF('Entries June''25'!J11&gt;='Entries June''25'!J10,'Entries June''25'!J11-'Entries June''25'!J10,(999999-'Entries June''25'!J10)+'Entries June''25'!J11+1)</f>
        <v>4370</v>
      </c>
      <c r="D13" s="660">
        <f t="shared" si="0"/>
        <v>9013</v>
      </c>
      <c r="E13" s="661">
        <f>IF('Entries June''25'!K11&gt;='Entries June''25'!K10,'Entries June''25'!K11-'Entries June''25'!K10,(999999-'Entries June''25'!K10)+'Entries June''25'!K11+1)</f>
        <v>0</v>
      </c>
      <c r="F13" s="660">
        <f t="shared" si="1"/>
        <v>9013</v>
      </c>
      <c r="G13" s="661">
        <f>'Water '!Z10*10</f>
        <v>3690</v>
      </c>
      <c r="H13" s="660">
        <f>IF('Entries June''25'!B11-'Entries June''25'!B10&lt;1,"0",'Entries June''25'!B11-'Entries June''25'!B10)</f>
        <v>3130</v>
      </c>
      <c r="I13" s="729">
        <f>'CO2'!C10</f>
        <v>2500</v>
      </c>
      <c r="J13" s="731">
        <f>+'PROD.FIG. '!F8</f>
        <v>0</v>
      </c>
      <c r="K13" s="660">
        <f>+'PROD.FIG. '!C8</f>
        <v>0</v>
      </c>
      <c r="L13" s="660">
        <f>+'PROD.FIG. '!D8</f>
        <v>0</v>
      </c>
      <c r="M13" s="660">
        <f>+'PROD.FIG. '!E8</f>
        <v>0</v>
      </c>
      <c r="N13" s="746">
        <v>398.44200000000001</v>
      </c>
      <c r="O13" s="735">
        <f t="shared" si="2"/>
        <v>22.620607265298336</v>
      </c>
      <c r="P13" s="735">
        <f t="shared" si="3"/>
        <v>9.2610718749529415</v>
      </c>
      <c r="Q13" s="735">
        <f t="shared" si="4"/>
        <v>7.8555975524668584</v>
      </c>
      <c r="R13" s="735">
        <f t="shared" si="5"/>
        <v>6.2744389396700146</v>
      </c>
    </row>
    <row r="14" spans="1:18" s="35" customFormat="1" ht="15.75" x14ac:dyDescent="0.25">
      <c r="A14" s="717">
        <v>5</v>
      </c>
      <c r="B14" s="725">
        <f>IF('Entries June''25'!I12&gt;='Entries June''25'!I11,'Entries June''25'!I12-'Entries June''25'!I11,(999999-'Entries June''25'!I11)+'Entries June''25'!I12+1)</f>
        <v>4946</v>
      </c>
      <c r="C14" s="725">
        <f>IF('Entries June''25'!J12&gt;='Entries June''25'!J11,'Entries June''25'!J12-'Entries June''25'!J11,(999999-'Entries June''25'!J11)+'Entries June''25'!J12+1)</f>
        <v>4663</v>
      </c>
      <c r="D14" s="660">
        <f t="shared" ref="D14:D40" si="6">B14+C14</f>
        <v>9609</v>
      </c>
      <c r="E14" s="661">
        <f>IF('Entries June''25'!K12&gt;='Entries June''25'!K11,'Entries June''25'!K12-'Entries June''25'!K11,(999999-'Entries June''25'!K11)+'Entries June''25'!K12+1)</f>
        <v>0</v>
      </c>
      <c r="F14" s="660">
        <f t="shared" si="1"/>
        <v>9609</v>
      </c>
      <c r="G14" s="661">
        <f>'Water '!Z11*10</f>
        <v>4030</v>
      </c>
      <c r="H14" s="660">
        <f>IF('Entries June''25'!B12-'Entries June''25'!B11&lt;1,"0",'Entries June''25'!B12-'Entries June''25'!B11)</f>
        <v>3510</v>
      </c>
      <c r="I14" s="729">
        <f>'CO2'!C11</f>
        <v>3900</v>
      </c>
      <c r="J14" s="731">
        <f>+'PROD.FIG. '!F9</f>
        <v>0</v>
      </c>
      <c r="K14" s="660">
        <f>+'PROD.FIG. '!C9</f>
        <v>0</v>
      </c>
      <c r="L14" s="660">
        <f>+'PROD.FIG. '!D9</f>
        <v>0</v>
      </c>
      <c r="M14" s="660">
        <f>+'PROD.FIG. '!E9</f>
        <v>0</v>
      </c>
      <c r="N14" s="746">
        <v>496.584</v>
      </c>
      <c r="O14" s="735">
        <f t="shared" si="2"/>
        <v>19.350200570296263</v>
      </c>
      <c r="P14" s="735">
        <f t="shared" si="3"/>
        <v>8.1154447183155316</v>
      </c>
      <c r="Q14" s="735">
        <f t="shared" si="4"/>
        <v>7.0682905611135274</v>
      </c>
      <c r="R14" s="735">
        <f t="shared" si="5"/>
        <v>7.8536561790150303</v>
      </c>
    </row>
    <row r="15" spans="1:18" ht="15" x14ac:dyDescent="0.2">
      <c r="A15" s="719">
        <v>6</v>
      </c>
      <c r="B15" s="717">
        <f>IF('Entries June''25'!I13&gt;='Entries June''25'!I12,'Entries June''25'!I13-'Entries June''25'!I12,(999999-'Entries June''25'!I12)+'Entries June''25'!I13+1)</f>
        <v>4679</v>
      </c>
      <c r="C15" s="717">
        <f>IF('Entries June''25'!J13&gt;='Entries June''25'!J12,'Entries June''25'!J13-'Entries June''25'!J12,(999999-'Entries June''25'!J12)+'Entries June''25'!J13+1)</f>
        <v>4407</v>
      </c>
      <c r="D15" s="660">
        <f t="shared" si="6"/>
        <v>9086</v>
      </c>
      <c r="E15" s="661">
        <f>IF('Entries June''25'!K13&gt;='Entries June''25'!K12,'Entries June''25'!K13-'Entries June''25'!K12,(999999-'Entries June''25'!K12)+'Entries June''25'!K13+1)</f>
        <v>0</v>
      </c>
      <c r="F15" s="660">
        <f t="shared" si="1"/>
        <v>9086</v>
      </c>
      <c r="G15" s="661">
        <f>'Water '!Z12*10</f>
        <v>5100</v>
      </c>
      <c r="H15" s="660">
        <f>IF('Entries June''25'!B13-'Entries June''25'!B12&lt;1,"0",'Entries June''25'!B13-'Entries June''25'!B12)</f>
        <v>2660</v>
      </c>
      <c r="I15" s="729">
        <f>'CO2'!C12</f>
        <v>3200</v>
      </c>
      <c r="J15" s="731">
        <f>+'PROD.FIG. '!F10</f>
        <v>0</v>
      </c>
      <c r="K15" s="660">
        <f>+'PROD.FIG. '!C10</f>
        <v>0</v>
      </c>
      <c r="L15" s="660">
        <f>+'PROD.FIG. '!D10</f>
        <v>0</v>
      </c>
      <c r="M15" s="660">
        <f>+'PROD.FIG. '!E10</f>
        <v>0</v>
      </c>
      <c r="N15" s="746">
        <v>263.93400000000003</v>
      </c>
      <c r="O15" s="735">
        <f t="shared" si="2"/>
        <v>34.425272984912894</v>
      </c>
      <c r="P15" s="735">
        <f t="shared" si="3"/>
        <v>19.323012571324647</v>
      </c>
      <c r="Q15" s="735">
        <f t="shared" si="4"/>
        <v>10.078277145043836</v>
      </c>
      <c r="R15" s="735">
        <f t="shared" si="5"/>
        <v>12.124243182007621</v>
      </c>
    </row>
    <row r="16" spans="1:18" s="35" customFormat="1" ht="15" x14ac:dyDescent="0.2">
      <c r="A16" s="717">
        <v>7</v>
      </c>
      <c r="B16" s="717">
        <f>IF('Entries June''25'!I14&gt;='Entries June''25'!I13,'Entries June''25'!I14-'Entries June''25'!I13,(999999-'Entries June''25'!I13)+'Entries June''25'!I14+1)</f>
        <v>2166</v>
      </c>
      <c r="C16" s="717">
        <f>IF('Entries June''25'!J14&gt;='Entries June''25'!J13,'Entries June''25'!J14-'Entries June''25'!J13,(999999-'Entries June''25'!J13)+'Entries June''25'!J14+1)</f>
        <v>2032</v>
      </c>
      <c r="D16" s="660">
        <f t="shared" si="6"/>
        <v>4198</v>
      </c>
      <c r="E16" s="661">
        <f>IF('Entries June''25'!K14&gt;='Entries June''25'!K13,'Entries June''25'!K14-'Entries June''25'!K13,(999999-'Entries June''25'!K13)+'Entries June''25'!K14+1)</f>
        <v>0</v>
      </c>
      <c r="F16" s="660">
        <f t="shared" si="1"/>
        <v>4198</v>
      </c>
      <c r="G16" s="661">
        <f>'Water '!Z13*10</f>
        <v>0</v>
      </c>
      <c r="H16" s="660">
        <f>IF('Entries June''25'!B14-'Entries June''25'!B13&lt;1,"0",'Entries June''25'!B14-'Entries June''25'!B13)</f>
        <v>300</v>
      </c>
      <c r="I16" s="729">
        <f>'CO2'!C13</f>
        <v>0</v>
      </c>
      <c r="J16" s="731">
        <f>+'PROD.FIG. '!F11</f>
        <v>0</v>
      </c>
      <c r="K16" s="660">
        <f>+'PROD.FIG. '!C11</f>
        <v>0</v>
      </c>
      <c r="L16" s="660">
        <f>+'PROD.FIG. '!D11</f>
        <v>0</v>
      </c>
      <c r="M16" s="660">
        <f>+'PROD.FIG. '!E11</f>
        <v>0</v>
      </c>
      <c r="N16" s="746">
        <v>0</v>
      </c>
      <c r="O16" s="735">
        <f t="shared" si="2"/>
        <v>0</v>
      </c>
      <c r="P16" s="735">
        <f t="shared" si="3"/>
        <v>0</v>
      </c>
      <c r="Q16" s="735">
        <f t="shared" si="4"/>
        <v>0</v>
      </c>
      <c r="R16" s="735">
        <f t="shared" si="5"/>
        <v>0</v>
      </c>
    </row>
    <row r="17" spans="1:18" ht="15" x14ac:dyDescent="0.2">
      <c r="A17" s="719">
        <v>8</v>
      </c>
      <c r="B17" s="717">
        <f>IF('Entries June''25'!I15&gt;='Entries June''25'!I14,'Entries June''25'!I15-'Entries June''25'!I14,(999999-'Entries June''25'!I14)+'Entries June''25'!I15+1)</f>
        <v>2794</v>
      </c>
      <c r="C17" s="717">
        <f>IF('Entries June''25'!J15&gt;='Entries June''25'!J14,'Entries June''25'!J15-'Entries June''25'!J14,(999999-'Entries June''25'!J14)+'Entries June''25'!J15+1)</f>
        <v>2571</v>
      </c>
      <c r="D17" s="660">
        <f t="shared" si="6"/>
        <v>5365</v>
      </c>
      <c r="E17" s="661">
        <f>IF('Entries June''25'!K15&gt;='Entries June''25'!K14,'Entries June''25'!K15-'Entries June''25'!K14,(999999-'Entries June''25'!K14)+'Entries June''25'!K15+1)</f>
        <v>0</v>
      </c>
      <c r="F17" s="660">
        <f t="shared" si="1"/>
        <v>5365</v>
      </c>
      <c r="G17" s="661">
        <f>'Water '!Z14*10</f>
        <v>880</v>
      </c>
      <c r="H17" s="660" t="str">
        <f>IF('Entries June''25'!B15-'Entries June''25'!B14&lt;1,"0",'Entries June''25'!B15-'Entries June''25'!B14)</f>
        <v>0</v>
      </c>
      <c r="I17" s="729">
        <f>'CO2'!C14</f>
        <v>0</v>
      </c>
      <c r="J17" s="731">
        <f>+'PROD.FIG. '!F12</f>
        <v>0</v>
      </c>
      <c r="K17" s="660">
        <f>+'PROD.FIG. '!C12</f>
        <v>0</v>
      </c>
      <c r="L17" s="660">
        <f>+'PROD.FIG. '!D12</f>
        <v>0</v>
      </c>
      <c r="M17" s="660">
        <f>+'PROD.FIG. '!E12</f>
        <v>0</v>
      </c>
      <c r="N17" s="746">
        <v>0</v>
      </c>
      <c r="O17" s="735">
        <f t="shared" si="2"/>
        <v>0</v>
      </c>
      <c r="P17" s="735">
        <f>IF(O17=0,0,G17/N17)</f>
        <v>0</v>
      </c>
      <c r="Q17" s="735">
        <f t="shared" si="4"/>
        <v>0</v>
      </c>
      <c r="R17" s="735">
        <f t="shared" si="5"/>
        <v>0</v>
      </c>
    </row>
    <row r="18" spans="1:18" s="35" customFormat="1" ht="15" x14ac:dyDescent="0.2">
      <c r="A18" s="717">
        <v>9</v>
      </c>
      <c r="B18" s="717">
        <f>IF('Entries June''25'!I16&gt;='Entries June''25'!I15,'Entries June''25'!I16-'Entries June''25'!I15,(999999-'Entries June''25'!I15)+'Entries June''25'!I16+1)</f>
        <v>2304</v>
      </c>
      <c r="C18" s="717">
        <f>IF('Entries June''25'!J16&gt;='Entries June''25'!J15,'Entries June''25'!J16-'Entries June''25'!J15,(999999-'Entries June''25'!J15)+'Entries June''25'!J16+1)</f>
        <v>2201</v>
      </c>
      <c r="D18" s="660">
        <f t="shared" si="6"/>
        <v>4505</v>
      </c>
      <c r="E18" s="661">
        <f>IF('Entries June''25'!K16&gt;='Entries June''25'!K15,'Entries June''25'!K16-'Entries June''25'!K15,(999999-'Entries June''25'!K15)+'Entries June''25'!K16+1)</f>
        <v>0</v>
      </c>
      <c r="F18" s="660">
        <f t="shared" si="1"/>
        <v>4505</v>
      </c>
      <c r="G18" s="661">
        <f>'Water '!Z15*10</f>
        <v>0</v>
      </c>
      <c r="H18" s="660">
        <f>IF('Entries June''25'!B16-'Entries June''25'!B15&lt;1,"0",'Entries June''25'!B16-'Entries June''25'!B15)</f>
        <v>830</v>
      </c>
      <c r="I18" s="729">
        <f>'CO2'!C15</f>
        <v>400</v>
      </c>
      <c r="J18" s="731">
        <f>+'PROD.FIG. '!F13</f>
        <v>0</v>
      </c>
      <c r="K18" s="660">
        <f>+'PROD.FIG. '!C13</f>
        <v>0</v>
      </c>
      <c r="L18" s="660">
        <f>+'PROD.FIG. '!D13</f>
        <v>0</v>
      </c>
      <c r="M18" s="660">
        <f>+'PROD.FIG. '!E13</f>
        <v>0</v>
      </c>
      <c r="N18" s="746">
        <v>0</v>
      </c>
      <c r="O18" s="735">
        <f t="shared" si="2"/>
        <v>0</v>
      </c>
      <c r="P18" s="735">
        <f t="shared" si="3"/>
        <v>0</v>
      </c>
      <c r="Q18" s="735">
        <f t="shared" si="4"/>
        <v>0</v>
      </c>
      <c r="R18" s="735">
        <f t="shared" si="5"/>
        <v>0</v>
      </c>
    </row>
    <row r="19" spans="1:18" ht="15" x14ac:dyDescent="0.2">
      <c r="A19" s="719">
        <v>10</v>
      </c>
      <c r="B19" s="717">
        <f>IF('Entries June''25'!I17&gt;='Entries June''25'!I16,'Entries June''25'!I17-'Entries June''25'!I16,(999999-'Entries June''25'!I16)+'Entries June''25'!I17+1)</f>
        <v>4219</v>
      </c>
      <c r="C19" s="717">
        <f>IF('Entries June''25'!J17&gt;='Entries June''25'!J16,'Entries June''25'!J17-'Entries June''25'!J16,(999999-'Entries June''25'!J16)+'Entries June''25'!J17+1)</f>
        <v>3969</v>
      </c>
      <c r="D19" s="660">
        <f t="shared" si="6"/>
        <v>8188</v>
      </c>
      <c r="E19" s="661">
        <f>IF('Entries June''25'!K17&gt;='Entries June''25'!K16,'Entries June''25'!K17-'Entries June''25'!K16,(999999-'Entries June''25'!K16)+'Entries June''25'!K17+1)</f>
        <v>0</v>
      </c>
      <c r="F19" s="660">
        <f t="shared" si="1"/>
        <v>8188</v>
      </c>
      <c r="G19" s="661">
        <f>'Water '!Z16*10</f>
        <v>3070</v>
      </c>
      <c r="H19" s="660">
        <f>IF('Entries June''25'!B17-'Entries June''25'!B16&lt;1,"0",'Entries June''25'!B17-'Entries June''25'!B16)</f>
        <v>2900</v>
      </c>
      <c r="I19" s="729">
        <f>'CO2'!C16</f>
        <v>1700</v>
      </c>
      <c r="J19" s="731">
        <f>+'PROD.FIG. '!F14</f>
        <v>0</v>
      </c>
      <c r="K19" s="660">
        <f>+'PROD.FIG. '!C14</f>
        <v>0</v>
      </c>
      <c r="L19" s="660">
        <f>+'PROD.FIG. '!D14</f>
        <v>0</v>
      </c>
      <c r="M19" s="660">
        <f>+'PROD.FIG. '!E14</f>
        <v>0</v>
      </c>
      <c r="N19" s="746">
        <v>418.11</v>
      </c>
      <c r="O19" s="735">
        <f t="shared" si="2"/>
        <v>19.583363229772068</v>
      </c>
      <c r="P19" s="735">
        <f t="shared" si="3"/>
        <v>7.3425653536150772</v>
      </c>
      <c r="Q19" s="735">
        <f t="shared" si="4"/>
        <v>6.9359737868025162</v>
      </c>
      <c r="R19" s="735">
        <f t="shared" si="5"/>
        <v>4.065915668125613</v>
      </c>
    </row>
    <row r="20" spans="1:18" s="35" customFormat="1" ht="15" x14ac:dyDescent="0.2">
      <c r="A20" s="717">
        <v>11</v>
      </c>
      <c r="B20" s="717">
        <f>IF('Entries June''25'!I18&gt;='Entries June''25'!I17,'Entries June''25'!I18-'Entries June''25'!I17,(999999-'Entries June''25'!I17)+'Entries June''25'!I18+1)</f>
        <v>4527</v>
      </c>
      <c r="C20" s="717">
        <f>IF('Entries June''25'!J18&gt;='Entries June''25'!J17,'Entries June''25'!J18-'Entries June''25'!J17,(999999-'Entries June''25'!J17)+'Entries June''25'!J18+1)</f>
        <v>4264</v>
      </c>
      <c r="D20" s="660">
        <f t="shared" si="6"/>
        <v>8791</v>
      </c>
      <c r="E20" s="661">
        <f>IF('Entries June''25'!K18&gt;='Entries June''25'!K17,'Entries June''25'!K18-'Entries June''25'!K17,(999999-'Entries June''25'!K17)+'Entries June''25'!K18+1)</f>
        <v>0</v>
      </c>
      <c r="F20" s="660">
        <f t="shared" si="1"/>
        <v>8791</v>
      </c>
      <c r="G20" s="661">
        <f>'Water '!Z17*10</f>
        <v>4760</v>
      </c>
      <c r="H20" s="660">
        <f>IF('Entries June''25'!B18-'Entries June''25'!B17&lt;1,"0",'Entries June''25'!B18-'Entries June''25'!B17)</f>
        <v>3400</v>
      </c>
      <c r="I20" s="729">
        <f>'CO2'!C17</f>
        <v>2300</v>
      </c>
      <c r="J20" s="731">
        <f>+'PROD.FIG. '!F15</f>
        <v>0</v>
      </c>
      <c r="K20" s="660">
        <f>+'PROD.FIG. '!C15</f>
        <v>0</v>
      </c>
      <c r="L20" s="660">
        <f>+'PROD.FIG. '!D15</f>
        <v>0</v>
      </c>
      <c r="M20" s="660">
        <f>+'PROD.FIG. '!E15</f>
        <v>0</v>
      </c>
      <c r="N20" s="746">
        <v>475.99200000000002</v>
      </c>
      <c r="O20" s="735">
        <f t="shared" si="2"/>
        <v>18.468797794920921</v>
      </c>
      <c r="P20" s="735">
        <f t="shared" si="3"/>
        <v>10.000168070051597</v>
      </c>
      <c r="Q20" s="735">
        <f t="shared" si="4"/>
        <v>7.1429771928939978</v>
      </c>
      <c r="R20" s="735">
        <f t="shared" si="5"/>
        <v>4.8320139834282925</v>
      </c>
    </row>
    <row r="21" spans="1:18" ht="15" x14ac:dyDescent="0.2">
      <c r="A21" s="719">
        <v>12</v>
      </c>
      <c r="B21" s="717">
        <f>IF('Entries June''25'!I19&gt;='Entries June''25'!I18,'Entries June''25'!I19-'Entries June''25'!I18,(999999-'Entries June''25'!I18)+'Entries June''25'!I19+1)</f>
        <v>4360</v>
      </c>
      <c r="C21" s="717">
        <f>IF('Entries June''25'!J19&gt;='Entries June''25'!J18,'Entries June''25'!J19-'Entries June''25'!J18,(999999-'Entries June''25'!J18)+'Entries June''25'!J19+1)</f>
        <v>4103</v>
      </c>
      <c r="D21" s="660">
        <f t="shared" si="6"/>
        <v>8463</v>
      </c>
      <c r="E21" s="661">
        <f>IF('Entries June''25'!K19&gt;='Entries June''25'!K18,'Entries June''25'!K19-'Entries June''25'!K18,(999999-'Entries June''25'!K18)+'Entries June''25'!K19+1)</f>
        <v>0</v>
      </c>
      <c r="F21" s="660">
        <f t="shared" si="1"/>
        <v>8463</v>
      </c>
      <c r="G21" s="661">
        <f>'Water '!Z18*10</f>
        <v>2930</v>
      </c>
      <c r="H21" s="660">
        <f>IF('Entries June''25'!B19-'Entries June''25'!B18&lt;1,"0",'Entries June''25'!B19-'Entries June''25'!B18)</f>
        <v>2940</v>
      </c>
      <c r="I21" s="729">
        <f>'CO2'!C18</f>
        <v>2500</v>
      </c>
      <c r="J21" s="731">
        <f>+'PROD.FIG. '!F16</f>
        <v>0</v>
      </c>
      <c r="K21" s="660">
        <f>+'PROD.FIG. '!C16</f>
        <v>0</v>
      </c>
      <c r="L21" s="660">
        <f>+'PROD.FIG. '!D16</f>
        <v>0</v>
      </c>
      <c r="M21" s="660">
        <f>+'PROD.FIG. '!E16</f>
        <v>0</v>
      </c>
      <c r="N21" s="746">
        <v>339.834</v>
      </c>
      <c r="O21" s="735">
        <f t="shared" si="2"/>
        <v>24.903335157753492</v>
      </c>
      <c r="P21" s="735">
        <f t="shared" si="3"/>
        <v>8.6218565534937639</v>
      </c>
      <c r="Q21" s="735">
        <f t="shared" si="4"/>
        <v>8.651282685075655</v>
      </c>
      <c r="R21" s="735">
        <f t="shared" si="5"/>
        <v>7.3565328954724949</v>
      </c>
    </row>
    <row r="22" spans="1:18" s="35" customFormat="1" ht="15.75" x14ac:dyDescent="0.25">
      <c r="A22" s="772">
        <v>13</v>
      </c>
      <c r="B22" s="717">
        <f>IF('Entries June''25'!I20&gt;='Entries June''25'!I19,'Entries June''25'!I20-'Entries June''25'!I19,(999999-'Entries June''25'!I19)+'Entries June''25'!I20+1)</f>
        <v>4330</v>
      </c>
      <c r="C22" s="717">
        <f>IF('Entries June''25'!J20&gt;='Entries June''25'!J19,'Entries June''25'!J20-'Entries June''25'!J19,(999999-'Entries June''25'!J19)+'Entries June''25'!J20+1)</f>
        <v>4076</v>
      </c>
      <c r="D22" s="660">
        <f t="shared" si="6"/>
        <v>8406</v>
      </c>
      <c r="E22" s="661">
        <f>IF('Entries June''25'!K20&gt;='Entries June''25'!K19,'Entries June''25'!K20-'Entries June''25'!K19,(999999-'Entries June''25'!K19)+'Entries June''25'!K20+1)</f>
        <v>0</v>
      </c>
      <c r="F22" s="660">
        <f t="shared" si="1"/>
        <v>8406</v>
      </c>
      <c r="G22" s="661">
        <f>'Water '!Z19*10</f>
        <v>3460</v>
      </c>
      <c r="H22" s="660">
        <f>IF('Entries June''25'!B20-'Entries June''25'!B19&lt;1,"0",'Entries June''25'!B20-'Entries June''25'!B19)</f>
        <v>3020</v>
      </c>
      <c r="I22" s="729">
        <f>'CO2'!C19</f>
        <v>2500</v>
      </c>
      <c r="J22" s="731">
        <f>+'PROD.FIG. '!F17</f>
        <v>0</v>
      </c>
      <c r="K22" s="660">
        <f>+'PROD.FIG. '!C17</f>
        <v>0</v>
      </c>
      <c r="L22" s="660">
        <f>+'PROD.FIG. '!D17</f>
        <v>0</v>
      </c>
      <c r="M22" s="660">
        <f>+'PROD.FIG. '!E17</f>
        <v>0</v>
      </c>
      <c r="N22" s="746">
        <v>411.57600000000002</v>
      </c>
      <c r="O22" s="735">
        <f>IF(N22=0,0,F22/N22)</f>
        <v>20.42393142457286</v>
      </c>
      <c r="P22" s="735">
        <f>IF(O22=0,0,G22/N22)</f>
        <v>8.4067098178708175</v>
      </c>
      <c r="Q22" s="735">
        <f>IF(P22=0,0,H22/N22)</f>
        <v>7.3376484537485176</v>
      </c>
      <c r="R22" s="735">
        <f>IF(Q22=0,0,I22/N22)</f>
        <v>6.0742122961494349</v>
      </c>
    </row>
    <row r="23" spans="1:18" ht="15" x14ac:dyDescent="0.2">
      <c r="A23" s="719">
        <v>14</v>
      </c>
      <c r="B23" s="717">
        <f>IF('Entries June''25'!I21&gt;='Entries June''25'!I20,'Entries June''25'!I21-'Entries June''25'!I20,(999999-'Entries June''25'!I20)+'Entries June''25'!I21+1)</f>
        <v>2878</v>
      </c>
      <c r="C23" s="717">
        <f>IF('Entries June''25'!J21&gt;='Entries June''25'!J20,'Entries June''25'!J21-'Entries June''25'!J20,(999999-'Entries June''25'!J20)+'Entries June''25'!J21+1)</f>
        <v>2699</v>
      </c>
      <c r="D23" s="660">
        <f t="shared" si="6"/>
        <v>5577</v>
      </c>
      <c r="E23" s="661">
        <f>IF('Entries June''25'!K21&gt;='Entries June''25'!K20,'Entries June''25'!K21-'Entries June''25'!K20,(999999-'Entries June''25'!K20)+'Entries June''25'!K21+1)</f>
        <v>0</v>
      </c>
      <c r="F23" s="660">
        <f t="shared" si="1"/>
        <v>5577</v>
      </c>
      <c r="G23" s="661">
        <f>'Water '!Z20*10</f>
        <v>1490</v>
      </c>
      <c r="H23" s="660">
        <f>IF('Entries June''25'!B21-'Entries June''25'!B20&lt;1,"0",'Entries June''25'!B21-'Entries June''25'!B20)</f>
        <v>1020</v>
      </c>
      <c r="I23" s="729">
        <f>'CO2'!C20</f>
        <v>0</v>
      </c>
      <c r="J23" s="731">
        <f>+'PROD.FIG. '!F18</f>
        <v>0</v>
      </c>
      <c r="K23" s="660">
        <f>+'PROD.FIG. '!C18</f>
        <v>0</v>
      </c>
      <c r="L23" s="660">
        <f>+'PROD.FIG. '!D18</f>
        <v>0</v>
      </c>
      <c r="M23" s="660">
        <f>+'PROD.FIG. '!E18</f>
        <v>0</v>
      </c>
      <c r="N23" s="746">
        <v>0</v>
      </c>
      <c r="O23" s="735">
        <f t="shared" si="2"/>
        <v>0</v>
      </c>
      <c r="P23" s="735">
        <f t="shared" si="3"/>
        <v>0</v>
      </c>
      <c r="Q23" s="735">
        <f t="shared" si="4"/>
        <v>0</v>
      </c>
      <c r="R23" s="735">
        <f t="shared" si="5"/>
        <v>0</v>
      </c>
    </row>
    <row r="24" spans="1:18" s="35" customFormat="1" ht="15" x14ac:dyDescent="0.2">
      <c r="A24" s="717">
        <v>15</v>
      </c>
      <c r="B24" s="717">
        <f>IF('Entries June''25'!I22&gt;='Entries June''25'!I21,'Entries June''25'!I22-'Entries June''25'!I21,(999999-'Entries June''25'!I21)+'Entries June''25'!I22+1)</f>
        <v>2719</v>
      </c>
      <c r="C24" s="717">
        <f>IF('Entries June''25'!J22&gt;='Entries June''25'!J21,'Entries June''25'!J22-'Entries June''25'!J21,(999999-'Entries June''25'!J21)+'Entries June''25'!J22+1)</f>
        <v>2548</v>
      </c>
      <c r="D24" s="660">
        <f t="shared" si="6"/>
        <v>5267</v>
      </c>
      <c r="E24" s="661">
        <f>IF('Entries June''25'!K22&gt;='Entries June''25'!K21,'Entries June''25'!K22-'Entries June''25'!K21,(999999-'Entries June''25'!K21)+'Entries June''25'!K22+1)</f>
        <v>0</v>
      </c>
      <c r="F24" s="660">
        <f t="shared" si="1"/>
        <v>5267</v>
      </c>
      <c r="G24" s="661">
        <f>'Water '!Z21*10</f>
        <v>880</v>
      </c>
      <c r="H24" s="660">
        <f>IF('Entries June''25'!B22-'Entries June''25'!B21&lt;1,"0",'Entries June''25'!B22-'Entries June''25'!B21)</f>
        <v>690</v>
      </c>
      <c r="I24" s="729">
        <f>'CO2'!C21</f>
        <v>0</v>
      </c>
      <c r="J24" s="731">
        <f>+'PROD.FIG. '!F19</f>
        <v>0</v>
      </c>
      <c r="K24" s="660">
        <f>+'PROD.FIG. '!C19</f>
        <v>0</v>
      </c>
      <c r="L24" s="660">
        <f>+'PROD.FIG. '!D19</f>
        <v>0</v>
      </c>
      <c r="M24" s="660">
        <f>+'PROD.FIG. '!E19</f>
        <v>0</v>
      </c>
      <c r="N24" s="746">
        <v>0</v>
      </c>
      <c r="O24" s="735">
        <f t="shared" si="2"/>
        <v>0</v>
      </c>
      <c r="P24" s="735">
        <f t="shared" si="3"/>
        <v>0</v>
      </c>
      <c r="Q24" s="735">
        <f t="shared" si="4"/>
        <v>0</v>
      </c>
      <c r="R24" s="735">
        <f t="shared" si="5"/>
        <v>0</v>
      </c>
    </row>
    <row r="25" spans="1:18" ht="15" x14ac:dyDescent="0.2">
      <c r="A25" s="719">
        <v>16</v>
      </c>
      <c r="B25" s="717">
        <f>IF('Entries June''25'!I23&gt;='Entries June''25'!I22,'Entries June''25'!I23-'Entries June''25'!I22,(999999-'Entries June''25'!I22)+'Entries June''25'!I23+1)</f>
        <v>4291</v>
      </c>
      <c r="C25" s="717">
        <f>IF('Entries June''25'!J23&gt;='Entries June''25'!J22,'Entries June''25'!J23-'Entries June''25'!J22,(999999-'Entries June''25'!J22)+'Entries June''25'!J23+1)</f>
        <v>4037</v>
      </c>
      <c r="D25" s="660">
        <f t="shared" si="6"/>
        <v>8328</v>
      </c>
      <c r="E25" s="661">
        <f>IF('Entries June''25'!K23&gt;='Entries June''25'!K22,'Entries June''25'!K23-'Entries June''25'!K22,(999999-'Entries June''25'!K22)+'Entries June''25'!K23+1)</f>
        <v>0</v>
      </c>
      <c r="F25" s="660">
        <f t="shared" si="1"/>
        <v>8328</v>
      </c>
      <c r="G25" s="661">
        <f>'Water '!Z22*10</f>
        <v>3600</v>
      </c>
      <c r="H25" s="660">
        <f>IF('Entries June''25'!B23-'Entries June''25'!B22&lt;1,"0",'Entries June''25'!B23-'Entries June''25'!B22)</f>
        <v>3680</v>
      </c>
      <c r="I25" s="729">
        <f>'CO2'!C22</f>
        <v>2400</v>
      </c>
      <c r="J25" s="731">
        <f>+'PROD.FIG. '!F20</f>
        <v>0</v>
      </c>
      <c r="K25" s="660">
        <f>+'PROD.FIG. '!C20</f>
        <v>0</v>
      </c>
      <c r="L25" s="660">
        <f>+'PROD.FIG. '!D20</f>
        <v>0</v>
      </c>
      <c r="M25" s="660">
        <f>+'PROD.FIG. '!E20</f>
        <v>0</v>
      </c>
      <c r="N25" s="746">
        <v>400.62</v>
      </c>
      <c r="O25" s="735">
        <f t="shared" si="2"/>
        <v>20.787778942638909</v>
      </c>
      <c r="P25" s="735">
        <f t="shared" si="3"/>
        <v>8.9860715890369924</v>
      </c>
      <c r="Q25" s="735">
        <f t="shared" si="4"/>
        <v>9.1857620687933697</v>
      </c>
      <c r="R25" s="735">
        <f t="shared" si="5"/>
        <v>5.990714392691328</v>
      </c>
    </row>
    <row r="26" spans="1:18" s="35" customFormat="1" ht="15" x14ac:dyDescent="0.2">
      <c r="A26" s="717">
        <v>17</v>
      </c>
      <c r="B26" s="717">
        <f>IF('Entries June''25'!I24&gt;='Entries June''25'!I23,'Entries June''25'!I24-'Entries June''25'!I23,(999999-'Entries June''25'!I23)+'Entries June''25'!I24+1)</f>
        <v>4760</v>
      </c>
      <c r="C26" s="717">
        <f>IF('Entries June''25'!J24&gt;='Entries June''25'!J23,'Entries June''25'!J24-'Entries June''25'!J23,(999999-'Entries June''25'!J23)+'Entries June''25'!J24+1)</f>
        <v>4484</v>
      </c>
      <c r="D26" s="660">
        <f t="shared" si="6"/>
        <v>9244</v>
      </c>
      <c r="E26" s="661">
        <f>IF('Entries June''25'!K24&gt;='Entries June''25'!K23,'Entries June''25'!K24-'Entries June''25'!K23,(999999-'Entries June''25'!K23)+'Entries June''25'!K24+1)</f>
        <v>0</v>
      </c>
      <c r="F26" s="660">
        <f t="shared" si="1"/>
        <v>9244</v>
      </c>
      <c r="G26" s="661">
        <f>'Water '!Z23*10</f>
        <v>5040</v>
      </c>
      <c r="H26" s="660">
        <f>IF('Entries June''25'!B24-'Entries June''25'!B23&lt;1,"0",'Entries June''25'!B24-'Entries June''25'!B23)</f>
        <v>3620</v>
      </c>
      <c r="I26" s="729">
        <f>'CO2'!C23</f>
        <v>2500</v>
      </c>
      <c r="J26" s="731">
        <f>+'PROD.FIG. '!F21</f>
        <v>0</v>
      </c>
      <c r="K26" s="660">
        <f>+'PROD.FIG. '!C21</f>
        <v>0</v>
      </c>
      <c r="L26" s="660">
        <f>+'PROD.FIG. '!D21</f>
        <v>0</v>
      </c>
      <c r="M26" s="660">
        <f>+'PROD.FIG. '!E21</f>
        <v>0</v>
      </c>
      <c r="N26" s="746">
        <v>550.24200000000008</v>
      </c>
      <c r="O26" s="735">
        <f t="shared" si="2"/>
        <v>16.799880779729644</v>
      </c>
      <c r="P26" s="735">
        <f t="shared" si="3"/>
        <v>9.1596061369361106</v>
      </c>
      <c r="Q26" s="735">
        <f t="shared" si="4"/>
        <v>6.5789234554977618</v>
      </c>
      <c r="R26" s="735">
        <f t="shared" si="5"/>
        <v>4.5434554250675152</v>
      </c>
    </row>
    <row r="27" spans="1:18" ht="15" x14ac:dyDescent="0.2">
      <c r="A27" s="719">
        <v>18</v>
      </c>
      <c r="B27" s="717">
        <f>IF('Entries June''25'!I25&gt;='Entries June''25'!I24,'Entries June''25'!I25-'Entries June''25'!I24,(999999-'Entries June''25'!I24)+'Entries June''25'!I25+1)</f>
        <v>4242</v>
      </c>
      <c r="C27" s="717">
        <f>IF('Entries June''25'!J25&gt;='Entries June''25'!J24,'Entries June''25'!J25-'Entries June''25'!J24,(999999-'Entries June''25'!J24)+'Entries June''25'!J25+1)</f>
        <v>3990</v>
      </c>
      <c r="D27" s="660">
        <f t="shared" si="6"/>
        <v>8232</v>
      </c>
      <c r="E27" s="661">
        <f>IF('Entries June''25'!K25&gt;='Entries June''25'!K24,'Entries June''25'!K25-'Entries June''25'!K24,(999999-'Entries June''25'!K24)+'Entries June''25'!K25+1)</f>
        <v>0</v>
      </c>
      <c r="F27" s="660">
        <f t="shared" si="1"/>
        <v>8232</v>
      </c>
      <c r="G27" s="661">
        <f>'Water '!Z24*10</f>
        <v>3660</v>
      </c>
      <c r="H27" s="660">
        <f>IF('Entries June''25'!B25-'Entries June''25'!B24&lt;1,"0",'Entries June''25'!B25-'Entries June''25'!B24)</f>
        <v>3050</v>
      </c>
      <c r="I27" s="729">
        <f>'CO2'!C24</f>
        <v>3200</v>
      </c>
      <c r="J27" s="731">
        <f>+'PROD.FIG. '!F22</f>
        <v>0</v>
      </c>
      <c r="K27" s="660">
        <f>+'PROD.FIG. '!C22</f>
        <v>0</v>
      </c>
      <c r="L27" s="660">
        <f>+'PROD.FIG. '!D22</f>
        <v>0</v>
      </c>
      <c r="M27" s="660">
        <f>+'PROD.FIG. '!E22</f>
        <v>0</v>
      </c>
      <c r="N27" s="746">
        <v>446.5428</v>
      </c>
      <c r="O27" s="735">
        <f t="shared" si="2"/>
        <v>18.434963009144923</v>
      </c>
      <c r="P27" s="735">
        <f t="shared" si="3"/>
        <v>8.1963027956110821</v>
      </c>
      <c r="Q27" s="735">
        <f t="shared" si="4"/>
        <v>6.8302523296759015</v>
      </c>
      <c r="R27" s="735">
        <f t="shared" si="5"/>
        <v>7.1661663786763556</v>
      </c>
    </row>
    <row r="28" spans="1:18" s="35" customFormat="1" ht="15" x14ac:dyDescent="0.2">
      <c r="A28" s="717">
        <v>19</v>
      </c>
      <c r="B28" s="717">
        <f>IF('Entries June''25'!I26&gt;='Entries June''25'!I25,'Entries June''25'!I26-'Entries June''25'!I25,(999999-'Entries June''25'!I25)+'Entries June''25'!I26+1)</f>
        <v>2433</v>
      </c>
      <c r="C28" s="717">
        <f>IF('Entries June''25'!J26&gt;='Entries June''25'!J25,'Entries June''25'!J26-'Entries June''25'!J25,(999999-'Entries June''25'!J25)+'Entries June''25'!J26+1)</f>
        <v>2275</v>
      </c>
      <c r="D28" s="660">
        <f t="shared" si="6"/>
        <v>4708</v>
      </c>
      <c r="E28" s="661">
        <f>IF('Entries June''25'!K26&gt;='Entries June''25'!K25,'Entries June''25'!K26-'Entries June''25'!K25,(999999-'Entries June''25'!K25)+'Entries June''25'!K26+1)</f>
        <v>0</v>
      </c>
      <c r="F28" s="660">
        <f t="shared" si="1"/>
        <v>4708</v>
      </c>
      <c r="G28" s="661">
        <f>'Water '!Z25*10</f>
        <v>0</v>
      </c>
      <c r="H28" s="660">
        <f>IF('Entries June''25'!B26-'Entries June''25'!B25&lt;1,"0",'Entries June''25'!B26-'Entries June''25'!B25)</f>
        <v>700</v>
      </c>
      <c r="I28" s="729">
        <f>'CO2'!C25</f>
        <v>0</v>
      </c>
      <c r="J28" s="731">
        <f>+'PROD.FIG. '!F23</f>
        <v>0</v>
      </c>
      <c r="K28" s="660">
        <f>+'PROD.FIG. '!C23</f>
        <v>0</v>
      </c>
      <c r="L28" s="660">
        <f>+'PROD.FIG. '!D23</f>
        <v>0</v>
      </c>
      <c r="M28" s="660">
        <f>+'PROD.FIG. '!E23</f>
        <v>0</v>
      </c>
      <c r="N28" s="746">
        <v>0</v>
      </c>
      <c r="O28" s="735">
        <f t="shared" si="2"/>
        <v>0</v>
      </c>
      <c r="P28" s="735">
        <f t="shared" si="3"/>
        <v>0</v>
      </c>
      <c r="Q28" s="735">
        <f t="shared" si="4"/>
        <v>0</v>
      </c>
      <c r="R28" s="735">
        <f t="shared" si="5"/>
        <v>0</v>
      </c>
    </row>
    <row r="29" spans="1:18" ht="15" x14ac:dyDescent="0.2">
      <c r="A29" s="705">
        <v>20</v>
      </c>
      <c r="B29" s="717">
        <f>IF('Entries June''25'!I27&gt;='Entries June''25'!I26,'Entries June''25'!I27-'Entries June''25'!I26,(999999-'Entries June''25'!I26)+'Entries June''25'!I27+1)</f>
        <v>3665</v>
      </c>
      <c r="C29" s="717">
        <f>IF('Entries June''25'!J27&gt;='Entries June''25'!J26,'Entries June''25'!J27-'Entries June''25'!J26,(999999-'Entries June''25'!J26)+'Entries June''25'!J27+1)</f>
        <v>3446</v>
      </c>
      <c r="D29" s="660">
        <f t="shared" si="6"/>
        <v>7111</v>
      </c>
      <c r="E29" s="661">
        <f>IF('Entries June''25'!K27&gt;='Entries June''25'!K26,'Entries June''25'!K27-'Entries June''25'!K26,(999999-'Entries June''25'!K26)+'Entries June''25'!K27+1)</f>
        <v>0</v>
      </c>
      <c r="F29" s="660">
        <f t="shared" si="1"/>
        <v>7111</v>
      </c>
      <c r="G29" s="661">
        <f>'Water '!Z26*10</f>
        <v>4740</v>
      </c>
      <c r="H29" s="660">
        <f>IF('Entries June''25'!B27-'Entries June''25'!B26&lt;1,"0",'Entries June''25'!B27-'Entries June''25'!B26)</f>
        <v>2320</v>
      </c>
      <c r="I29" s="729">
        <f>'CO2'!C26</f>
        <v>2500</v>
      </c>
      <c r="J29" s="731">
        <f>+'PROD.FIG. '!F24</f>
        <v>0</v>
      </c>
      <c r="K29" s="660">
        <f>+'PROD.FIG. '!C24</f>
        <v>0</v>
      </c>
      <c r="L29" s="660">
        <f>+'PROD.FIG. '!D24</f>
        <v>0</v>
      </c>
      <c r="M29" s="660">
        <f>+'PROD.FIG. '!E24</f>
        <v>0</v>
      </c>
      <c r="N29" s="746">
        <v>365.02080000000001</v>
      </c>
      <c r="O29" s="735">
        <f t="shared" si="2"/>
        <v>19.481081626033365</v>
      </c>
      <c r="P29" s="735">
        <f t="shared" si="3"/>
        <v>12.985561370749283</v>
      </c>
      <c r="Q29" s="735">
        <f t="shared" si="4"/>
        <v>6.3558021899026027</v>
      </c>
      <c r="R29" s="735">
        <f t="shared" si="5"/>
        <v>6.8489247736019427</v>
      </c>
    </row>
    <row r="30" spans="1:18" s="35" customFormat="1" ht="15" x14ac:dyDescent="0.2">
      <c r="A30" s="704">
        <v>21</v>
      </c>
      <c r="B30" s="717">
        <f>IF('Entries June''25'!I28&gt;='Entries June''25'!I27,'Entries June''25'!I28-'Entries June''25'!I27,(999999-'Entries June''25'!I27)+'Entries June''25'!I28+1)</f>
        <v>2379</v>
      </c>
      <c r="C30" s="717">
        <f>IF('Entries June''25'!J28&gt;='Entries June''25'!J27,'Entries June''25'!J28-'Entries June''25'!J27,(999999-'Entries June''25'!J27)+'Entries June''25'!J28+1)</f>
        <v>2227</v>
      </c>
      <c r="D30" s="660">
        <f t="shared" si="6"/>
        <v>4606</v>
      </c>
      <c r="E30" s="661">
        <f>IF('Entries June''25'!K28&gt;='Entries June''25'!K27,'Entries June''25'!K28-'Entries June''25'!K27,(999999-'Entries June''25'!K27)+'Entries June''25'!K28+1)</f>
        <v>0</v>
      </c>
      <c r="F30" s="660">
        <f t="shared" si="1"/>
        <v>4606</v>
      </c>
      <c r="G30" s="661">
        <f>'Water '!Z27*10</f>
        <v>180</v>
      </c>
      <c r="H30" s="660">
        <f>IF('Entries June''25'!B28-'Entries June''25'!B27&lt;1,"0",'Entries June''25'!B28-'Entries June''25'!B27)</f>
        <v>270</v>
      </c>
      <c r="I30" s="729">
        <f>'CO2'!C27</f>
        <v>0</v>
      </c>
      <c r="J30" s="731">
        <f>+'PROD.FIG. '!F25</f>
        <v>0</v>
      </c>
      <c r="K30" s="660">
        <f>+'PROD.FIG. '!C25</f>
        <v>0</v>
      </c>
      <c r="L30" s="660">
        <f>+'PROD.FIG. '!D25</f>
        <v>0</v>
      </c>
      <c r="M30" s="660">
        <f>+'PROD.FIG. '!E25</f>
        <v>0</v>
      </c>
      <c r="N30" s="746">
        <v>0</v>
      </c>
      <c r="O30" s="735">
        <f t="shared" si="2"/>
        <v>0</v>
      </c>
      <c r="P30" s="735">
        <f t="shared" si="3"/>
        <v>0</v>
      </c>
      <c r="Q30" s="735">
        <f t="shared" si="4"/>
        <v>0</v>
      </c>
      <c r="R30" s="735">
        <f t="shared" si="5"/>
        <v>0</v>
      </c>
    </row>
    <row r="31" spans="1:18" ht="15" x14ac:dyDescent="0.2">
      <c r="A31" s="705">
        <v>22</v>
      </c>
      <c r="B31" s="717">
        <f>IF('Entries June''25'!I29&gt;='Entries June''25'!I28,'Entries June''25'!I29-'Entries June''25'!I28,(999999-'Entries June''25'!I28)+'Entries June''25'!I29+1)</f>
        <v>2514</v>
      </c>
      <c r="C31" s="717">
        <f>IF('Entries June''25'!J29&gt;='Entries June''25'!J28,'Entries June''25'!J29-'Entries June''25'!J28,(999999-'Entries June''25'!J28)+'Entries June''25'!J29+1)</f>
        <v>2362</v>
      </c>
      <c r="D31" s="660">
        <f t="shared" si="6"/>
        <v>4876</v>
      </c>
      <c r="E31" s="661">
        <f>IF('Entries June''25'!K29&gt;='Entries June''25'!K28,'Entries June''25'!K29-'Entries June''25'!K28,(999999-'Entries June''25'!K28)+'Entries June''25'!K29+1)</f>
        <v>0</v>
      </c>
      <c r="F31" s="660">
        <f t="shared" si="1"/>
        <v>4876</v>
      </c>
      <c r="G31" s="661">
        <f>'Water '!Z28*10</f>
        <v>780</v>
      </c>
      <c r="H31" s="660" t="str">
        <f>IF('Entries June''25'!B29-'Entries June''25'!B28&lt;1,"0",'Entries June''25'!B29-'Entries June''25'!B28)</f>
        <v>0</v>
      </c>
      <c r="I31" s="729">
        <f>'CO2'!C28</f>
        <v>0</v>
      </c>
      <c r="J31" s="731">
        <f>+'PROD.FIG. '!F26</f>
        <v>0</v>
      </c>
      <c r="K31" s="660">
        <f>+'PROD.FIG. '!C26</f>
        <v>0</v>
      </c>
      <c r="L31" s="660">
        <f>+'PROD.FIG. '!D26</f>
        <v>0</v>
      </c>
      <c r="M31" s="660">
        <f>+'PROD.FIG. '!E26</f>
        <v>0</v>
      </c>
      <c r="N31" s="746">
        <v>0</v>
      </c>
      <c r="O31" s="735">
        <f>IF(N31=0,0,F31/N31)</f>
        <v>0</v>
      </c>
      <c r="P31" s="735">
        <f>IF(O31=0,0,G31/N31)</f>
        <v>0</v>
      </c>
      <c r="Q31" s="735">
        <f>IF(P31=0,0,H31/N31)</f>
        <v>0</v>
      </c>
      <c r="R31" s="735">
        <f>IF(Q31=0,0,I31/N31)</f>
        <v>0</v>
      </c>
    </row>
    <row r="32" spans="1:18" s="35" customFormat="1" ht="15" x14ac:dyDescent="0.2">
      <c r="A32" s="704">
        <v>23</v>
      </c>
      <c r="B32" s="717">
        <f>IF('Entries June''25'!I30&gt;='Entries June''25'!I29,'Entries June''25'!I30-'Entries June''25'!I29,(999999-'Entries June''25'!I29)+'Entries June''25'!I30+1)</f>
        <v>3823</v>
      </c>
      <c r="C32" s="717">
        <f>IF('Entries June''25'!J30&gt;='Entries June''25'!J29,'Entries June''25'!J30-'Entries June''25'!J29,(999999-'Entries June''25'!J29)+'Entries June''25'!J30+1)</f>
        <v>4069</v>
      </c>
      <c r="D32" s="660">
        <f t="shared" si="6"/>
        <v>7892</v>
      </c>
      <c r="E32" s="661">
        <f>IF('Entries June''25'!K30&gt;='Entries June''25'!K29,'Entries June''25'!K30-'Entries June''25'!K29,(999999-'Entries June''25'!K29)+'Entries June''25'!K30+1)</f>
        <v>0</v>
      </c>
      <c r="F32" s="660">
        <f t="shared" si="1"/>
        <v>7892</v>
      </c>
      <c r="G32" s="661">
        <f>'Water '!Z29*10</f>
        <v>3150</v>
      </c>
      <c r="H32" s="660">
        <f>IF('Entries June''25'!B30-'Entries June''25'!B29&lt;1,"0",'Entries June''25'!B30-'Entries June''25'!B29)</f>
        <v>3250</v>
      </c>
      <c r="I32" s="729">
        <f>'CO2'!C29</f>
        <v>3100</v>
      </c>
      <c r="J32" s="731">
        <f>+'PROD.FIG. '!F27</f>
        <v>0</v>
      </c>
      <c r="K32" s="660">
        <f>+'PROD.FIG. '!C27</f>
        <v>0</v>
      </c>
      <c r="L32" s="660">
        <f>+'PROD.FIG. '!D27</f>
        <v>0</v>
      </c>
      <c r="M32" s="660">
        <f>+'PROD.FIG. '!E27</f>
        <v>0</v>
      </c>
      <c r="N32" s="746">
        <v>475.86</v>
      </c>
      <c r="O32" s="735">
        <f t="shared" si="2"/>
        <v>16.584709788593283</v>
      </c>
      <c r="P32" s="735">
        <f t="shared" si="3"/>
        <v>6.6195939982347749</v>
      </c>
      <c r="Q32" s="735">
        <f t="shared" si="4"/>
        <v>6.8297398394485773</v>
      </c>
      <c r="R32" s="735">
        <f t="shared" si="5"/>
        <v>6.5145210776278732</v>
      </c>
    </row>
    <row r="33" spans="1:18" ht="15" x14ac:dyDescent="0.2">
      <c r="A33" s="705">
        <v>24</v>
      </c>
      <c r="B33" s="717">
        <f>IF('Entries June''25'!I31&gt;='Entries June''25'!I30,'Entries June''25'!I31-'Entries June''25'!I30,(999999-'Entries June''25'!I30)+'Entries June''25'!I31+1)</f>
        <v>4647</v>
      </c>
      <c r="C33" s="717">
        <f>IF('Entries June''25'!J31&gt;='Entries June''25'!J30,'Entries June''25'!J31-'Entries June''25'!J30,(999999-'Entries June''25'!J30)+'Entries June''25'!J31+1)</f>
        <v>3895</v>
      </c>
      <c r="D33" s="660">
        <f t="shared" si="6"/>
        <v>8542</v>
      </c>
      <c r="E33" s="661">
        <f>IF('Entries June''25'!K31&gt;='Entries June''25'!K30,'Entries June''25'!K31-'Entries June''25'!K30,(999999-'Entries June''25'!K30)+'Entries June''25'!K31+1)</f>
        <v>0</v>
      </c>
      <c r="F33" s="660">
        <f t="shared" si="1"/>
        <v>8542</v>
      </c>
      <c r="G33" s="661">
        <f>'Water '!Z30*10</f>
        <v>3540</v>
      </c>
      <c r="H33" s="660">
        <f>IF('Entries June''25'!B31-'Entries June''25'!B30&lt;1,"0",'Entries June''25'!B31-'Entries June''25'!B30)</f>
        <v>3520</v>
      </c>
      <c r="I33" s="729">
        <f>'CO2'!C30</f>
        <v>1800</v>
      </c>
      <c r="J33" s="731">
        <f>+'PROD.FIG. '!F28</f>
        <v>0</v>
      </c>
      <c r="K33" s="660">
        <f>+'PROD.FIG. '!C28</f>
        <v>0</v>
      </c>
      <c r="L33" s="660">
        <f>+'PROD.FIG. '!D28</f>
        <v>0</v>
      </c>
      <c r="M33" s="660">
        <f>+'PROD.FIG. '!E28</f>
        <v>0</v>
      </c>
      <c r="N33" s="746">
        <v>367.75200000000001</v>
      </c>
      <c r="O33" s="735">
        <f>IF(N33=0,0,F33/N33)</f>
        <v>23.227609911026995</v>
      </c>
      <c r="P33" s="735">
        <f>IF(O33=0,0,G33/N33)</f>
        <v>9.6260523396201787</v>
      </c>
      <c r="Q33" s="735">
        <f>IF(P33=0,0,H33/N33)</f>
        <v>9.5716678631251497</v>
      </c>
      <c r="R33" s="735">
        <f>IF(Q33=0,0,I33/N33)</f>
        <v>4.8946028845526328</v>
      </c>
    </row>
    <row r="34" spans="1:18" s="35" customFormat="1" ht="15" x14ac:dyDescent="0.2">
      <c r="A34" s="704">
        <v>25</v>
      </c>
      <c r="B34" s="717">
        <f>IF('Entries June''25'!I32&gt;='Entries June''25'!I31,'Entries June''25'!I32-'Entries June''25'!I31,(999999-'Entries June''25'!I31)+'Entries June''25'!I32+1)</f>
        <v>4905</v>
      </c>
      <c r="C34" s="717">
        <f>IF('Entries June''25'!J32&gt;='Entries June''25'!J31,'Entries June''25'!J32-'Entries June''25'!J31,(999999-'Entries June''25'!J31)+'Entries June''25'!J32+1)</f>
        <v>4617</v>
      </c>
      <c r="D34" s="660">
        <f t="shared" si="6"/>
        <v>9522</v>
      </c>
      <c r="E34" s="661">
        <f>IF('Entries June''25'!K32&gt;='Entries June''25'!K31,'Entries June''25'!K32-'Entries June''25'!K31,(999999-'Entries June''25'!K31)+'Entries June''25'!K32+1)</f>
        <v>0</v>
      </c>
      <c r="F34" s="660">
        <f t="shared" si="1"/>
        <v>9522</v>
      </c>
      <c r="G34" s="661">
        <f>'Water '!Z31*10</f>
        <v>5220</v>
      </c>
      <c r="H34" s="660">
        <f>IF('Entries June''25'!B32-'Entries June''25'!B31&lt;1,"0",'Entries June''25'!B32-'Entries June''25'!B31)</f>
        <v>3930</v>
      </c>
      <c r="I34" s="729">
        <f>'CO2'!C31</f>
        <v>2500</v>
      </c>
      <c r="J34" s="731">
        <f>+'PROD.FIG. '!F29</f>
        <v>0</v>
      </c>
      <c r="K34" s="660">
        <f>+'PROD.FIG. '!C29</f>
        <v>0</v>
      </c>
      <c r="L34" s="660">
        <f>+'PROD.FIG. '!D29</f>
        <v>0</v>
      </c>
      <c r="M34" s="660">
        <f>+'PROD.FIG. '!E29</f>
        <v>0</v>
      </c>
      <c r="N34" s="746">
        <v>663.30000000000007</v>
      </c>
      <c r="O34" s="735">
        <f t="shared" si="2"/>
        <v>14.355495251017638</v>
      </c>
      <c r="P34" s="735">
        <f t="shared" si="3"/>
        <v>7.8697421981004059</v>
      </c>
      <c r="Q34" s="735">
        <f t="shared" si="4"/>
        <v>5.9249208502939839</v>
      </c>
      <c r="R34" s="735">
        <f t="shared" si="5"/>
        <v>3.7690336197798882</v>
      </c>
    </row>
    <row r="35" spans="1:18" ht="15" x14ac:dyDescent="0.2">
      <c r="A35" s="705">
        <v>26</v>
      </c>
      <c r="B35" s="717">
        <f>IF('Entries June''25'!I33&gt;='Entries June''25'!I32,'Entries June''25'!I33-'Entries June''25'!I32,(999999-'Entries June''25'!I32)+'Entries June''25'!I33+1)</f>
        <v>4749</v>
      </c>
      <c r="C35" s="717">
        <f>IF('Entries June''25'!J33&gt;='Entries June''25'!J32,'Entries June''25'!J33-'Entries June''25'!J32,(999999-'Entries June''25'!J32)+'Entries June''25'!J33+1)</f>
        <v>4464</v>
      </c>
      <c r="D35" s="660">
        <f t="shared" si="6"/>
        <v>9213</v>
      </c>
      <c r="E35" s="661">
        <f>IF('Entries June''25'!K33&gt;='Entries June''25'!K32,'Entries June''25'!K33-'Entries June''25'!K32,(999999-'Entries June''25'!K32)+'Entries June''25'!K33+1)</f>
        <v>0</v>
      </c>
      <c r="F35" s="660">
        <f t="shared" si="1"/>
        <v>9213</v>
      </c>
      <c r="G35" s="661">
        <f>'Water '!Z32*10</f>
        <v>4710</v>
      </c>
      <c r="H35" s="660">
        <f>IF('Entries June''25'!B33-'Entries June''25'!B32&lt;1,"0",'Entries June''25'!B33-'Entries June''25'!B32)</f>
        <v>3420</v>
      </c>
      <c r="I35" s="729">
        <f>'CO2'!C32</f>
        <v>3800</v>
      </c>
      <c r="J35" s="731">
        <f>+'PROD.FIG. '!F30</f>
        <v>0</v>
      </c>
      <c r="K35" s="660">
        <f>+'PROD.FIG. '!C30</f>
        <v>0</v>
      </c>
      <c r="L35" s="660">
        <f>+'PROD.FIG. '!D30</f>
        <v>0</v>
      </c>
      <c r="M35" s="660">
        <f>+'PROD.FIG. '!E30</f>
        <v>0</v>
      </c>
      <c r="N35" s="746">
        <v>526.28399999999999</v>
      </c>
      <c r="O35" s="735">
        <f t="shared" si="2"/>
        <v>17.505757347743803</v>
      </c>
      <c r="P35" s="735">
        <f t="shared" si="3"/>
        <v>8.9495405522493563</v>
      </c>
      <c r="Q35" s="735">
        <f t="shared" si="4"/>
        <v>6.4983925029071754</v>
      </c>
      <c r="R35" s="735">
        <f t="shared" si="5"/>
        <v>7.2204361143413065</v>
      </c>
    </row>
    <row r="36" spans="1:18" s="35" customFormat="1" ht="15" x14ac:dyDescent="0.2">
      <c r="A36" s="704">
        <v>27</v>
      </c>
      <c r="B36" s="717">
        <f>IF('Entries June''25'!I34&gt;='Entries June''25'!I33,'Entries June''25'!I34-'Entries June''25'!I33,(999999-'Entries June''25'!I33)+'Entries June''25'!I34+1)</f>
        <v>4752</v>
      </c>
      <c r="C36" s="717">
        <f>IF('Entries June''25'!J34&gt;='Entries June''25'!J33,'Entries June''25'!J34-'Entries June''25'!J33,(999999-'Entries June''25'!J33)+'Entries June''25'!J34+1)</f>
        <v>4463</v>
      </c>
      <c r="D36" s="660">
        <f t="shared" si="6"/>
        <v>9215</v>
      </c>
      <c r="E36" s="661">
        <f>IF('Entries June''25'!K34&gt;='Entries June''25'!K33,'Entries June''25'!K34-'Entries June''25'!K33,(999999-'Entries June''25'!K33)+'Entries June''25'!K34+1)</f>
        <v>0</v>
      </c>
      <c r="F36" s="660">
        <f t="shared" si="1"/>
        <v>9215</v>
      </c>
      <c r="G36" s="661">
        <f>'Water '!Z33*10</f>
        <v>3810</v>
      </c>
      <c r="H36" s="660">
        <f>IF('Entries June''25'!B34-'Entries June''25'!B33&lt;1,"0",'Entries June''25'!B34-'Entries June''25'!B33)</f>
        <v>3240</v>
      </c>
      <c r="I36" s="729">
        <f>'CO2'!C33</f>
        <v>2100</v>
      </c>
      <c r="J36" s="731">
        <f>+'PROD.FIG. '!F31</f>
        <v>0</v>
      </c>
      <c r="K36" s="660">
        <f>+'PROD.FIG. '!C31</f>
        <v>0</v>
      </c>
      <c r="L36" s="660">
        <f>+'PROD.FIG. '!D31</f>
        <v>0</v>
      </c>
      <c r="M36" s="660">
        <f>+'PROD.FIG. '!E31</f>
        <v>0</v>
      </c>
      <c r="N36" s="746">
        <v>402.20400000000001</v>
      </c>
      <c r="O36" s="735">
        <f t="shared" si="2"/>
        <v>22.911258963113244</v>
      </c>
      <c r="P36" s="735">
        <f t="shared" si="3"/>
        <v>9.4728048453023845</v>
      </c>
      <c r="Q36" s="735">
        <f t="shared" si="4"/>
        <v>8.0556135692335236</v>
      </c>
      <c r="R36" s="735">
        <f t="shared" si="5"/>
        <v>5.2212310170958016</v>
      </c>
    </row>
    <row r="37" spans="1:18" ht="15" x14ac:dyDescent="0.2">
      <c r="A37" s="705">
        <v>28</v>
      </c>
      <c r="B37" s="717">
        <f>IF('Entries June''25'!I35&gt;='Entries June''25'!I34,'Entries June''25'!I35-'Entries June''25'!I34,(999999-'Entries June''25'!I34)+'Entries June''25'!I35+1)</f>
        <v>3061</v>
      </c>
      <c r="C37" s="717">
        <f>IF('Entries June''25'!J35&gt;='Entries June''25'!J34,'Entries June''25'!J35-'Entries June''25'!J34,(999999-'Entries June''25'!J34)+'Entries June''25'!J35+1)</f>
        <v>2873</v>
      </c>
      <c r="D37" s="660">
        <f t="shared" si="6"/>
        <v>5934</v>
      </c>
      <c r="E37" s="661">
        <f>IF('Entries June''25'!K35&gt;='Entries June''25'!K34,'Entries June''25'!K35-'Entries June''25'!K34,(999999-'Entries June''25'!K34)+'Entries June''25'!K35+1)</f>
        <v>0</v>
      </c>
      <c r="F37" s="660">
        <f t="shared" si="1"/>
        <v>5934</v>
      </c>
      <c r="G37" s="661">
        <f>'Water '!Z34*10</f>
        <v>1730</v>
      </c>
      <c r="H37" s="660">
        <f>IF('Entries June''25'!B35-'Entries June''25'!B34&lt;1,"0",'Entries June''25'!B35-'Entries June''25'!B34)</f>
        <v>1880</v>
      </c>
      <c r="I37" s="729">
        <f>'CO2'!C34</f>
        <v>0</v>
      </c>
      <c r="J37" s="731">
        <f>+'PROD.FIG. '!F32</f>
        <v>0</v>
      </c>
      <c r="K37" s="660">
        <f>+'PROD.FIG. '!C32</f>
        <v>0</v>
      </c>
      <c r="L37" s="660">
        <f>+'PROD.FIG. '!D32</f>
        <v>0</v>
      </c>
      <c r="M37" s="660">
        <f>+'PROD.FIG. '!E32</f>
        <v>0</v>
      </c>
      <c r="N37" s="746">
        <v>0</v>
      </c>
      <c r="O37" s="735">
        <f t="shared" si="2"/>
        <v>0</v>
      </c>
      <c r="P37" s="735">
        <f t="shared" si="3"/>
        <v>0</v>
      </c>
      <c r="Q37" s="735">
        <f t="shared" si="4"/>
        <v>0</v>
      </c>
      <c r="R37" s="735">
        <f t="shared" si="5"/>
        <v>0</v>
      </c>
    </row>
    <row r="38" spans="1:18" s="35" customFormat="1" ht="15" x14ac:dyDescent="0.2">
      <c r="A38" s="704">
        <v>29</v>
      </c>
      <c r="B38" s="717">
        <f>IF('Entries June''25'!I36&gt;='Entries June''25'!I35,'Entries June''25'!I36-'Entries June''25'!I35,(999999-'Entries June''25'!I35)+'Entries June''25'!I36+1)</f>
        <v>2936</v>
      </c>
      <c r="C38" s="717">
        <f>IF('Entries June''25'!J36&gt;='Entries June''25'!J35,'Entries June''25'!J36-'Entries June''25'!J35,(999999-'Entries June''25'!J35)+'Entries June''25'!J36+1)</f>
        <v>2758</v>
      </c>
      <c r="D38" s="660">
        <f t="shared" si="6"/>
        <v>5694</v>
      </c>
      <c r="E38" s="661">
        <f>IF('Entries June''25'!K36&gt;='Entries June''25'!K35,'Entries June''25'!K36-'Entries June''25'!K35,(999999-'Entries June''25'!K35)+'Entries June''25'!K36+1)</f>
        <v>0</v>
      </c>
      <c r="F38" s="660">
        <f t="shared" si="1"/>
        <v>5694</v>
      </c>
      <c r="G38" s="661">
        <f>'Water '!Z35*10</f>
        <v>1740</v>
      </c>
      <c r="H38" s="660">
        <f>IF('Entries June''25'!B36-'Entries June''25'!B35&lt;1,"0",'Entries June''25'!B36-'Entries June''25'!B35)</f>
        <v>1480</v>
      </c>
      <c r="I38" s="729">
        <f>'CO2'!C35</f>
        <v>0</v>
      </c>
      <c r="J38" s="731">
        <f>+'PROD.FIG. '!F33</f>
        <v>0</v>
      </c>
      <c r="K38" s="660">
        <f>+'PROD.FIG. '!C33</f>
        <v>0</v>
      </c>
      <c r="L38" s="660">
        <f>+'PROD.FIG. '!D33</f>
        <v>0</v>
      </c>
      <c r="M38" s="660">
        <f>+'PROD.FIG. '!E33</f>
        <v>0</v>
      </c>
      <c r="N38" s="746">
        <v>29.040000000000003</v>
      </c>
      <c r="O38" s="735">
        <f t="shared" si="2"/>
        <v>196.07438016528923</v>
      </c>
      <c r="P38" s="735">
        <f t="shared" si="3"/>
        <v>59.917355371900818</v>
      </c>
      <c r="Q38" s="735">
        <f t="shared" si="4"/>
        <v>50.964187327823687</v>
      </c>
      <c r="R38" s="735">
        <f t="shared" si="5"/>
        <v>0</v>
      </c>
    </row>
    <row r="39" spans="1:18" ht="15" x14ac:dyDescent="0.2">
      <c r="A39" s="705">
        <v>30</v>
      </c>
      <c r="B39" s="717">
        <f>IF('Entries June''25'!I37&gt;='Entries June''25'!I36,'Entries June''25'!I37-'Entries June''25'!I36,(999999-'Entries June''25'!I36)+'Entries June''25'!I37+1)</f>
        <v>4480</v>
      </c>
      <c r="C39" s="717">
        <f>IF('Entries June''25'!J37&gt;='Entries June''25'!J36,'Entries June''25'!J37-'Entries June''25'!J36,(999999-'Entries June''25'!J36)+'Entries June''25'!J37+1)</f>
        <v>4214</v>
      </c>
      <c r="D39" s="660">
        <f t="shared" si="6"/>
        <v>8694</v>
      </c>
      <c r="E39" s="661">
        <f>IF('Entries June''25'!K37&gt;='Entries June''25'!K36,'Entries June''25'!K37-'Entries June''25'!K36,(999999-'Entries June''25'!K36)+'Entries June''25'!K37+1)</f>
        <v>0</v>
      </c>
      <c r="F39" s="660">
        <f t="shared" si="1"/>
        <v>8694</v>
      </c>
      <c r="G39" s="661">
        <f>'Water '!Z36*10</f>
        <v>3240</v>
      </c>
      <c r="H39" s="660">
        <f>IF('Entries June''25'!B37-'Entries June''25'!B36&lt;1,"0",'Entries June''25'!B37-'Entries June''25'!B36)</f>
        <v>3330</v>
      </c>
      <c r="I39" s="729">
        <f>'CO2'!C36</f>
        <v>2000</v>
      </c>
      <c r="J39" s="731">
        <f>+'PROD.FIG. '!F34</f>
        <v>0</v>
      </c>
      <c r="K39" s="660">
        <f>+'PROD.FIG. '!C34</f>
        <v>0</v>
      </c>
      <c r="L39" s="660">
        <f>+'PROD.FIG. '!D34</f>
        <v>0</v>
      </c>
      <c r="M39" s="660">
        <f>+'PROD.FIG. '!E34</f>
        <v>0</v>
      </c>
      <c r="N39" s="746">
        <v>272.84399999999999</v>
      </c>
      <c r="O39" s="735">
        <f t="shared" si="2"/>
        <v>31.864362053041297</v>
      </c>
      <c r="P39" s="735">
        <f t="shared" si="3"/>
        <v>11.874917535294895</v>
      </c>
      <c r="Q39" s="735">
        <f t="shared" si="4"/>
        <v>12.204776355719753</v>
      </c>
      <c r="R39" s="735">
        <f t="shared" si="5"/>
        <v>7.330196009441293</v>
      </c>
    </row>
    <row r="40" spans="1:18" s="35" customFormat="1" ht="15.75" thickBot="1" x14ac:dyDescent="0.25">
      <c r="A40" s="704"/>
      <c r="B40" s="704"/>
      <c r="C40" s="704"/>
      <c r="D40" s="660">
        <f t="shared" si="6"/>
        <v>0</v>
      </c>
      <c r="E40" s="661"/>
      <c r="F40" s="660">
        <f t="shared" si="1"/>
        <v>0</v>
      </c>
      <c r="G40" s="661">
        <f>'Water '!Z37*10</f>
        <v>0</v>
      </c>
      <c r="H40" s="660" t="str">
        <f>IF('Entries June''25'!B38-'Entries June''25'!B37&lt;1,"0",'Entries June''25'!B38-'Entries June''25'!B37)</f>
        <v>0</v>
      </c>
      <c r="I40" s="729">
        <f>'CO2'!C37</f>
        <v>0</v>
      </c>
      <c r="J40" s="732"/>
      <c r="K40" s="733"/>
      <c r="L40" s="733"/>
      <c r="M40" s="733"/>
      <c r="N40" s="747">
        <v>0</v>
      </c>
      <c r="O40" s="736">
        <f t="shared" si="2"/>
        <v>0</v>
      </c>
      <c r="P40" s="735">
        <f t="shared" si="3"/>
        <v>0</v>
      </c>
      <c r="Q40" s="735">
        <f t="shared" si="4"/>
        <v>0</v>
      </c>
      <c r="R40" s="735">
        <f t="shared" si="5"/>
        <v>0</v>
      </c>
    </row>
    <row r="41" spans="1:18" ht="15.75" thickBot="1" x14ac:dyDescent="0.25">
      <c r="A41" s="25"/>
      <c r="B41" s="700"/>
      <c r="C41" s="700"/>
      <c r="D41" s="5"/>
      <c r="E41" s="5"/>
      <c r="F41" s="5"/>
      <c r="G41" s="6"/>
      <c r="H41" s="6"/>
      <c r="I41" s="6"/>
      <c r="J41" s="6"/>
      <c r="K41" s="6"/>
      <c r="L41" s="6"/>
      <c r="M41" s="6"/>
      <c r="N41" s="748"/>
      <c r="O41" s="833" t="s">
        <v>89</v>
      </c>
      <c r="P41" s="834"/>
      <c r="Q41" s="834"/>
      <c r="R41" s="835"/>
    </row>
    <row r="42" spans="1:18" ht="15.75" x14ac:dyDescent="0.25">
      <c r="A42" s="6"/>
      <c r="B42" s="6"/>
      <c r="C42" s="6"/>
      <c r="D42" s="27" t="s">
        <v>21</v>
      </c>
      <c r="E42" s="27" t="s">
        <v>21</v>
      </c>
      <c r="F42" s="27" t="s">
        <v>21</v>
      </c>
      <c r="G42" s="27" t="s">
        <v>87</v>
      </c>
      <c r="H42" s="27" t="s">
        <v>88</v>
      </c>
      <c r="I42" s="27" t="s">
        <v>95</v>
      </c>
      <c r="J42" s="27" t="s">
        <v>20</v>
      </c>
      <c r="K42" s="27" t="s">
        <v>20</v>
      </c>
      <c r="L42" s="27" t="s">
        <v>20</v>
      </c>
      <c r="M42" s="27" t="s">
        <v>20</v>
      </c>
      <c r="N42" s="749" t="s">
        <v>20</v>
      </c>
      <c r="O42" s="752" t="s">
        <v>14</v>
      </c>
      <c r="P42" s="753" t="s">
        <v>15</v>
      </c>
      <c r="Q42" s="753" t="s">
        <v>9</v>
      </c>
      <c r="R42" s="754" t="s">
        <v>70</v>
      </c>
    </row>
    <row r="43" spans="1:18" ht="15.75" x14ac:dyDescent="0.25">
      <c r="A43" s="19" t="s">
        <v>19</v>
      </c>
      <c r="B43" s="19"/>
      <c r="C43" s="19"/>
      <c r="D43" s="20">
        <f t="shared" ref="D43:N43" si="7">SUM(D10:D40)</f>
        <v>222055</v>
      </c>
      <c r="E43" s="20">
        <f t="shared" si="7"/>
        <v>0</v>
      </c>
      <c r="F43" s="20">
        <f t="shared" si="7"/>
        <v>222055</v>
      </c>
      <c r="G43" s="20">
        <f t="shared" si="7"/>
        <v>84890</v>
      </c>
      <c r="H43" s="20">
        <f t="shared" si="7"/>
        <v>69480</v>
      </c>
      <c r="I43" s="20">
        <f t="shared" si="7"/>
        <v>50700</v>
      </c>
      <c r="J43" s="20">
        <f t="shared" si="7"/>
        <v>0</v>
      </c>
      <c r="K43" s="20">
        <f t="shared" si="7"/>
        <v>0</v>
      </c>
      <c r="L43" s="20">
        <f t="shared" si="7"/>
        <v>0</v>
      </c>
      <c r="M43" s="20">
        <f t="shared" si="7"/>
        <v>0</v>
      </c>
      <c r="N43" s="750">
        <f t="shared" si="7"/>
        <v>8404.5408000000007</v>
      </c>
      <c r="O43" s="755" t="s">
        <v>13</v>
      </c>
      <c r="P43" s="756" t="s">
        <v>68</v>
      </c>
      <c r="Q43" s="756" t="s">
        <v>16</v>
      </c>
      <c r="R43" s="757" t="s">
        <v>71</v>
      </c>
    </row>
    <row r="44" spans="1:18" ht="17.25" thickBot="1" x14ac:dyDescent="0.3">
      <c r="A44" s="4"/>
      <c r="B44" s="4"/>
      <c r="C44" s="4"/>
      <c r="D44" s="7"/>
      <c r="E44" s="7"/>
      <c r="F44" s="740"/>
      <c r="G44" s="6"/>
      <c r="H44" s="6"/>
      <c r="I44" s="6"/>
      <c r="J44" s="6"/>
      <c r="K44" s="6"/>
      <c r="L44" s="6"/>
      <c r="M44" s="6"/>
      <c r="N44" s="748"/>
      <c r="O44" s="742">
        <f>IF(N43=0,0,F43/N43)</f>
        <v>26.420836698181056</v>
      </c>
      <c r="P44" s="743">
        <f>IF(O44=0,0,G43/N43)</f>
        <v>10.100492343377047</v>
      </c>
      <c r="Q44" s="743">
        <f>IF(P44=0,0,H43/N43)</f>
        <v>8.2669596892194264</v>
      </c>
      <c r="R44" s="744">
        <f>IF(Q44=0,0,I43/N43)</f>
        <v>6.0324533138086496</v>
      </c>
    </row>
    <row r="45" spans="1:18" ht="15" x14ac:dyDescent="0.2">
      <c r="A45" s="2"/>
      <c r="B45" s="2"/>
      <c r="C45" s="2"/>
      <c r="D45" s="2"/>
      <c r="E45" s="2"/>
      <c r="F45" s="741"/>
      <c r="G45" s="2"/>
      <c r="H45" s="2"/>
      <c r="I45" s="2"/>
      <c r="J45" s="2"/>
      <c r="K45" s="2"/>
      <c r="L45" s="2"/>
      <c r="M45" s="2"/>
      <c r="N45" s="751"/>
      <c r="O45" s="737"/>
      <c r="P45" s="6"/>
      <c r="Q45" s="6"/>
      <c r="R45" s="2"/>
    </row>
    <row r="46" spans="1:18" ht="15" x14ac:dyDescent="0.2">
      <c r="F46" s="741"/>
      <c r="O46" s="738"/>
      <c r="P46" s="2"/>
      <c r="Q46" s="2"/>
      <c r="R46" s="2"/>
    </row>
  </sheetData>
  <mergeCells count="6">
    <mergeCell ref="O41:R41"/>
    <mergeCell ref="O7:R7"/>
    <mergeCell ref="D7:D8"/>
    <mergeCell ref="E7:E8"/>
    <mergeCell ref="F7:F8"/>
    <mergeCell ref="J7:N7"/>
  </mergeCells>
  <phoneticPr fontId="0" type="noConversion"/>
  <conditionalFormatting sqref="O1:O1048576 P44:R44 P10:R40">
    <cfRule type="cellIs" dxfId="56" priority="20" operator="lessThan">
      <formula>22</formula>
    </cfRule>
    <cfRule type="cellIs" dxfId="55" priority="21" operator="greaterThan">
      <formula>22</formula>
    </cfRule>
  </conditionalFormatting>
  <conditionalFormatting sqref="O1:O1048576">
    <cfRule type="cellIs" dxfId="54" priority="1" operator="between">
      <formula>0</formula>
      <formula>22</formula>
    </cfRule>
    <cfRule type="cellIs" dxfId="53" priority="8" operator="greaterThan">
      <formula>22</formula>
    </cfRule>
  </conditionalFormatting>
  <conditionalFormatting sqref="O10:R40">
    <cfRule type="cellIs" dxfId="52" priority="23" stopIfTrue="1" operator="greaterThan">
      <formula>35</formula>
    </cfRule>
  </conditionalFormatting>
  <conditionalFormatting sqref="O44:R44">
    <cfRule type="cellIs" dxfId="51" priority="19" stopIfTrue="1" operator="greaterThan">
      <formula>35</formula>
    </cfRule>
  </conditionalFormatting>
  <conditionalFormatting sqref="P1:P1048576">
    <cfRule type="cellIs" dxfId="50" priority="2" operator="between">
      <formula>0</formula>
      <formula>10.2</formula>
    </cfRule>
    <cfRule type="cellIs" dxfId="49" priority="7" operator="greaterThan">
      <formula>10.2</formula>
    </cfRule>
  </conditionalFormatting>
  <conditionalFormatting sqref="Q1:Q1048576">
    <cfRule type="cellIs" dxfId="48" priority="3" operator="between">
      <formula>0</formula>
      <formula>7.2</formula>
    </cfRule>
    <cfRule type="cellIs" dxfId="47" priority="6" operator="greaterThan">
      <formula>7.2</formula>
    </cfRule>
  </conditionalFormatting>
  <conditionalFormatting sqref="Q10:R40 Q44:R44 P1:P1048576">
    <cfRule type="cellIs" dxfId="46" priority="16" operator="lessThan">
      <formula>10.2</formula>
    </cfRule>
  </conditionalFormatting>
  <conditionalFormatting sqref="Q10:R40 Q44:R44">
    <cfRule type="cellIs" dxfId="45" priority="17" operator="greaterThan">
      <formula>10.2</formula>
    </cfRule>
  </conditionalFormatting>
  <conditionalFormatting sqref="R1:R1048576">
    <cfRule type="cellIs" dxfId="44" priority="4" operator="between">
      <formula>0</formula>
      <formula>5</formula>
    </cfRule>
    <cfRule type="cellIs" dxfId="43" priority="5" operator="greaterThan">
      <formula>5</formula>
    </cfRule>
    <cfRule type="cellIs" dxfId="42" priority="11" operator="lessThan">
      <formula>5</formula>
    </cfRule>
  </conditionalFormatting>
  <conditionalFormatting sqref="R10:R40 Q1:Q43 Q45:Q1048576">
    <cfRule type="cellIs" dxfId="41" priority="13" operator="lessThan">
      <formula>7.2</formula>
    </cfRule>
  </conditionalFormatting>
  <conditionalFormatting sqref="R10:R40">
    <cfRule type="cellIs" dxfId="40" priority="14" operator="greaterThan">
      <formula>7.2</formula>
    </cfRule>
  </conditionalFormatting>
  <pageMargins left="0.56000000000000005" right="0" top="0" bottom="0" header="0.5" footer="0.5"/>
  <pageSetup scale="81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topLeftCell="A3" workbookViewId="0">
      <selection activeCell="G24" sqref="G24"/>
    </sheetView>
  </sheetViews>
  <sheetFormatPr defaultRowHeight="12.75" x14ac:dyDescent="0.2"/>
  <cols>
    <col min="2" max="2" width="13.42578125" style="27" customWidth="1"/>
    <col min="3" max="3" width="9.140625" style="594"/>
  </cols>
  <sheetData>
    <row r="1" spans="1:4" ht="15" x14ac:dyDescent="0.2">
      <c r="A1" s="8"/>
      <c r="B1" s="11"/>
    </row>
    <row r="2" spans="1:4" ht="15.75" thickBot="1" x14ac:dyDescent="0.25">
      <c r="A2" s="8"/>
      <c r="B2" s="11"/>
    </row>
    <row r="3" spans="1:4" x14ac:dyDescent="0.2">
      <c r="A3" s="842" t="s">
        <v>7</v>
      </c>
      <c r="B3" s="844" t="s">
        <v>253</v>
      </c>
    </row>
    <row r="4" spans="1:4" ht="15" customHeight="1" x14ac:dyDescent="0.2">
      <c r="A4" s="843"/>
      <c r="B4" s="845"/>
    </row>
    <row r="5" spans="1:4" ht="15" x14ac:dyDescent="0.2">
      <c r="A5" s="36">
        <v>1</v>
      </c>
      <c r="B5" s="44">
        <f>IF('Entries June''25'!AJ8-'Entries June''25'!AJ7&lt;1,"0",'Entries June''25'!AJ8-'Entries June''25'!AJ7)</f>
        <v>28.524000000208616</v>
      </c>
      <c r="D5" s="595"/>
    </row>
    <row r="6" spans="1:4" ht="15" x14ac:dyDescent="0.2">
      <c r="A6" s="36">
        <v>2</v>
      </c>
      <c r="B6" s="44" t="str">
        <f>IF('Entries June''25'!AJ9-'Entries June''25'!AJ8&lt;1,"0",'Entries June''25'!AJ9-'Entries June''25'!AJ8)</f>
        <v>0</v>
      </c>
      <c r="D6" s="595"/>
    </row>
    <row r="7" spans="1:4" ht="15" x14ac:dyDescent="0.2">
      <c r="A7" s="36">
        <v>3</v>
      </c>
      <c r="B7" s="44">
        <f>IF('Entries June''25'!AJ10-'Entries June''25'!AJ9&lt;1,"0",'Entries June''25'!AJ10-'Entries June''25'!AJ9)</f>
        <v>108.05499999970198</v>
      </c>
      <c r="D7" s="595"/>
    </row>
    <row r="8" spans="1:4" ht="15" x14ac:dyDescent="0.2">
      <c r="A8" s="36">
        <v>4</v>
      </c>
      <c r="B8" s="44">
        <f>IF('Entries June''25'!AJ11-'Entries June''25'!AJ10&lt;1,"0",'Entries June''25'!AJ11-'Entries June''25'!AJ10)</f>
        <v>3.8179999999701977</v>
      </c>
      <c r="D8" s="595"/>
    </row>
    <row r="9" spans="1:4" ht="15" customHeight="1" x14ac:dyDescent="0.2">
      <c r="A9" s="36">
        <v>5</v>
      </c>
      <c r="B9" s="44" t="str">
        <f>IF('Entries June''25'!AJ12-'Entries June''25'!AJ11&lt;1,"0",'Entries June''25'!AJ12-'Entries June''25'!AJ11)</f>
        <v>0</v>
      </c>
      <c r="D9" s="595"/>
    </row>
    <row r="10" spans="1:4" ht="15" x14ac:dyDescent="0.2">
      <c r="A10" s="36">
        <v>6</v>
      </c>
      <c r="B10" s="44" t="str">
        <f>IF('Entries June''25'!AJ13-'Entries June''25'!AJ12&lt;1,"0",'Entries June''25'!AJ13-'Entries June''25'!AJ12)</f>
        <v>0</v>
      </c>
      <c r="D10" s="595"/>
    </row>
    <row r="11" spans="1:4" ht="15" x14ac:dyDescent="0.2">
      <c r="A11" s="36">
        <v>7</v>
      </c>
      <c r="B11" s="44" t="str">
        <f>IF('Entries June''25'!AJ14-'Entries June''25'!AJ13&lt;1,"0",'Entries June''25'!AJ14-'Entries June''25'!AJ13)</f>
        <v>0</v>
      </c>
      <c r="D11" s="595"/>
    </row>
    <row r="12" spans="1:4" ht="15" x14ac:dyDescent="0.2">
      <c r="A12" s="36">
        <v>8</v>
      </c>
      <c r="B12" s="44" t="str">
        <f>IF('Entries June''25'!AJ15-'Entries June''25'!AJ14&lt;1,"0",'Entries June''25'!AJ15-'Entries June''25'!AJ14)</f>
        <v>0</v>
      </c>
      <c r="D12" s="595"/>
    </row>
    <row r="13" spans="1:4" ht="15" x14ac:dyDescent="0.2">
      <c r="A13" s="36">
        <v>9</v>
      </c>
      <c r="B13" s="44" t="str">
        <f>IF('Entries June''25'!AJ16-'Entries June''25'!AJ15&lt;1,"0",'Entries June''25'!AJ16-'Entries June''25'!AJ15)</f>
        <v>0</v>
      </c>
      <c r="D13" s="595"/>
    </row>
    <row r="14" spans="1:4" ht="15" x14ac:dyDescent="0.2">
      <c r="A14" s="36">
        <v>10</v>
      </c>
      <c r="B14" s="44">
        <f>IF('Entries June''25'!AJ17-'Entries June''25'!AJ16&lt;1,"0",'Entries June''25'!AJ17-'Entries June''25'!AJ16)</f>
        <v>2.894000000320375</v>
      </c>
      <c r="D14" s="595"/>
    </row>
    <row r="15" spans="1:4" ht="15" x14ac:dyDescent="0.2">
      <c r="A15" s="36">
        <v>11</v>
      </c>
      <c r="B15" s="44" t="str">
        <f>IF('Entries June''25'!AJ18-'Entries June''25'!AJ17&lt;1,"0",'Entries June''25'!AJ18-'Entries June''25'!AJ17)</f>
        <v>0</v>
      </c>
      <c r="D15" s="595"/>
    </row>
    <row r="16" spans="1:4" ht="15" x14ac:dyDescent="0.2">
      <c r="A16" s="36">
        <v>12</v>
      </c>
      <c r="B16" s="44" t="str">
        <f>IF('Entries June''25'!AJ19-'Entries June''25'!AJ18&lt;1,"0",'Entries June''25'!AJ19-'Entries June''25'!AJ18)</f>
        <v>0</v>
      </c>
      <c r="D16" s="595"/>
    </row>
    <row r="17" spans="1:4" ht="15" x14ac:dyDescent="0.2">
      <c r="A17" s="36">
        <v>13</v>
      </c>
      <c r="B17" s="44" t="str">
        <f>IF('Entries June''25'!AJ20-'Entries June''25'!AJ19&lt;1,"0",'Entries June''25'!AJ20-'Entries June''25'!AJ19)</f>
        <v>0</v>
      </c>
      <c r="D17" s="595"/>
    </row>
    <row r="18" spans="1:4" ht="15" x14ac:dyDescent="0.2">
      <c r="A18" s="36">
        <v>14</v>
      </c>
      <c r="B18" s="44">
        <f>IF('Entries June''25'!AJ21-'Entries June''25'!AJ20&lt;1,"0",'Entries June''25'!AJ21-'Entries June''25'!AJ20)</f>
        <v>2.0829999996349216</v>
      </c>
      <c r="D18" s="595"/>
    </row>
    <row r="19" spans="1:4" ht="15" x14ac:dyDescent="0.2">
      <c r="A19" s="36">
        <v>15</v>
      </c>
      <c r="B19" s="44" t="str">
        <f>IF('Entries June''25'!AJ22-'Entries June''25'!AJ21&lt;1,"0",'Entries June''25'!AJ22-'Entries June''25'!AJ21)</f>
        <v>0</v>
      </c>
      <c r="D19" s="595"/>
    </row>
    <row r="20" spans="1:4" ht="15" x14ac:dyDescent="0.2">
      <c r="A20" s="36">
        <v>16</v>
      </c>
      <c r="B20" s="44">
        <f>IF('Entries June''25'!AJ23-'Entries June''25'!AJ22&lt;1,"0",'Entries June''25'!AJ23-'Entries June''25'!AJ22)</f>
        <v>30.242999999783933</v>
      </c>
      <c r="D20" s="595"/>
    </row>
    <row r="21" spans="1:4" ht="15" x14ac:dyDescent="0.2">
      <c r="A21" s="36">
        <v>17</v>
      </c>
      <c r="B21" s="44" t="str">
        <f>IF('Entries June''25'!AJ24-'Entries June''25'!AJ23&lt;1,"0",'Entries June''25'!AJ24-'Entries June''25'!AJ23)</f>
        <v>0</v>
      </c>
      <c r="D21" s="595"/>
    </row>
    <row r="22" spans="1:4" ht="15" x14ac:dyDescent="0.2">
      <c r="A22" s="36">
        <v>18</v>
      </c>
      <c r="B22" s="44">
        <f>IF('Entries June''25'!AJ25-'Entries June''25'!AJ24&lt;1,"0",'Entries June''25'!AJ25-'Entries June''25'!AJ24)</f>
        <v>3.5720000006258488</v>
      </c>
      <c r="D22" s="595"/>
    </row>
    <row r="23" spans="1:4" ht="15" x14ac:dyDescent="0.2">
      <c r="A23" s="36">
        <v>19</v>
      </c>
      <c r="B23" s="44" t="str">
        <f>IF('Entries June''25'!AJ26-'Entries June''25'!AJ25&lt;1,"0",'Entries June''25'!AJ26-'Entries June''25'!AJ25)</f>
        <v>0</v>
      </c>
      <c r="D23" s="595"/>
    </row>
    <row r="24" spans="1:4" ht="15" x14ac:dyDescent="0.2">
      <c r="A24" s="36">
        <v>20</v>
      </c>
      <c r="B24" s="44" t="str">
        <f>IF('Entries June''25'!AJ27-'Entries June''25'!AJ26&lt;1,"0",'Entries June''25'!AJ27-'Entries June''25'!AJ26)</f>
        <v>0</v>
      </c>
      <c r="D24" s="595"/>
    </row>
    <row r="25" spans="1:4" ht="15" x14ac:dyDescent="0.2">
      <c r="A25" s="36">
        <v>21</v>
      </c>
      <c r="B25" s="44" t="str">
        <f>IF('Entries June''25'!AJ28-'Entries June''25'!AJ27&lt;1,"0",'Entries June''25'!AJ28-'Entries June''25'!AJ27)</f>
        <v>0</v>
      </c>
      <c r="D25" s="595"/>
    </row>
    <row r="26" spans="1:4" ht="15" x14ac:dyDescent="0.2">
      <c r="A26" s="36">
        <v>22</v>
      </c>
      <c r="B26" s="44" t="str">
        <f>IF('Entries June''25'!AJ29-'Entries June''25'!AJ28&lt;1,"0",'Entries June''25'!AJ29-'Entries June''25'!AJ28)</f>
        <v>0</v>
      </c>
      <c r="D26" s="595"/>
    </row>
    <row r="27" spans="1:4" ht="15" x14ac:dyDescent="0.2">
      <c r="A27" s="36">
        <v>23</v>
      </c>
      <c r="B27" s="44">
        <f>IF('Entries June''25'!AJ30-'Entries June''25'!AJ29&lt;1,"0",'Entries June''25'!AJ30-'Entries June''25'!AJ29)</f>
        <v>600.73300000000745</v>
      </c>
      <c r="D27" s="595"/>
    </row>
    <row r="28" spans="1:4" ht="15" x14ac:dyDescent="0.2">
      <c r="A28" s="36">
        <v>24</v>
      </c>
      <c r="B28" s="44">
        <f>IF('Entries June''25'!AJ31-'Entries June''25'!AJ30&lt;1,"0",'Entries June''25'!AJ31-'Entries June''25'!AJ30)</f>
        <v>56.565999999642372</v>
      </c>
      <c r="D28" s="595"/>
    </row>
    <row r="29" spans="1:4" ht="15" x14ac:dyDescent="0.2">
      <c r="A29" s="36">
        <v>25</v>
      </c>
      <c r="B29" s="44" t="str">
        <f>IF('Entries June''25'!AJ32-'Entries June''25'!AJ31&lt;1,"0",'Entries June''25'!AJ32-'Entries June''25'!AJ31)</f>
        <v>0</v>
      </c>
      <c r="D29" s="595"/>
    </row>
    <row r="30" spans="1:4" ht="15" x14ac:dyDescent="0.2">
      <c r="A30" s="36">
        <v>26</v>
      </c>
      <c r="B30" s="44" t="str">
        <f>IF('Entries June''25'!AJ33-'Entries June''25'!AJ32&lt;1,"0",'Entries June''25'!AJ33-'Entries June''25'!AJ32)</f>
        <v>0</v>
      </c>
      <c r="D30" s="595"/>
    </row>
    <row r="31" spans="1:4" ht="15" x14ac:dyDescent="0.2">
      <c r="A31" s="36">
        <v>27</v>
      </c>
      <c r="B31" s="44">
        <f>IF('Entries June''25'!AJ34-'Entries June''25'!AJ33&lt;1,"0",'Entries June''25'!AJ34-'Entries June''25'!AJ33)</f>
        <v>3.4589999997988343</v>
      </c>
      <c r="D31" s="595"/>
    </row>
    <row r="32" spans="1:4" ht="15" x14ac:dyDescent="0.2">
      <c r="A32" s="36">
        <v>28</v>
      </c>
      <c r="B32" s="44" t="str">
        <f>IF('Entries June''25'!AJ35-'Entries June''25'!AJ34&lt;1,"0",'Entries June''25'!AJ35-'Entries June''25'!AJ34)</f>
        <v>0</v>
      </c>
      <c r="D32" s="595"/>
    </row>
    <row r="33" spans="1:2" ht="15" x14ac:dyDescent="0.2">
      <c r="A33" s="36">
        <v>29</v>
      </c>
      <c r="B33" s="44" t="str">
        <f>IF('Entries June''25'!AJ36-'Entries June''25'!AJ35&lt;1,"0",'Entries June''25'!AJ36-'Entries June''25'!AJ35)</f>
        <v>0</v>
      </c>
    </row>
    <row r="34" spans="1:2" ht="15" x14ac:dyDescent="0.2">
      <c r="A34" s="36">
        <v>30</v>
      </c>
      <c r="B34" s="44">
        <f>IF('Entries June''25'!AJ37-'Entries June''25'!AJ36&lt;1,"0",'Entries June''25'!AJ37-'Entries June''25'!AJ36)</f>
        <v>1.2320000007748604</v>
      </c>
    </row>
    <row r="35" spans="1:2" ht="15" x14ac:dyDescent="0.2">
      <c r="A35" s="36"/>
      <c r="B35" s="44"/>
    </row>
    <row r="36" spans="1:2" ht="15.75" x14ac:dyDescent="0.25">
      <c r="A36" s="41"/>
      <c r="B36" s="617">
        <f>SUM(B5:B35)</f>
        <v>841.17900000046939</v>
      </c>
    </row>
    <row r="37" spans="1:2" ht="15" x14ac:dyDescent="0.2">
      <c r="A37" s="8"/>
      <c r="B37" s="11"/>
    </row>
    <row r="38" spans="1:2" ht="15" x14ac:dyDescent="0.2">
      <c r="A38" s="8"/>
      <c r="B38" s="11"/>
    </row>
    <row r="39" spans="1:2" ht="15" x14ac:dyDescent="0.2">
      <c r="A39" s="8"/>
      <c r="B39" s="11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21" colorId="22" zoomScaleNormal="100" workbookViewId="0">
      <selection activeCell="E48" sqref="E48"/>
    </sheetView>
  </sheetViews>
  <sheetFormatPr defaultColWidth="12.5703125" defaultRowHeight="15" x14ac:dyDescent="0.2"/>
  <cols>
    <col min="1" max="1" width="7.5703125" style="8" customWidth="1"/>
    <col min="2" max="2" width="13.42578125" style="29" bestFit="1" customWidth="1"/>
    <col min="3" max="3" width="14" style="8" customWidth="1"/>
    <col min="4" max="4" width="14.5703125" style="29" customWidth="1"/>
    <col min="5" max="5" width="11.42578125" style="8" bestFit="1" customWidth="1"/>
    <col min="6" max="6" width="11.5703125" style="8" customWidth="1"/>
    <col min="7" max="7" width="9.5703125" style="8" customWidth="1"/>
    <col min="8" max="11" width="13.5703125" style="8" customWidth="1"/>
    <col min="12" max="12" width="12" style="622" customWidth="1"/>
    <col min="13" max="13" width="15.5703125" style="8" bestFit="1" customWidth="1"/>
    <col min="14" max="14" width="12.5703125" style="258"/>
    <col min="15" max="15" width="12.5703125" style="8"/>
    <col min="16" max="16" width="12.5703125" style="606"/>
    <col min="17" max="16384" width="12.5703125" style="8"/>
  </cols>
  <sheetData>
    <row r="1" spans="1:16" ht="15.75" x14ac:dyDescent="0.25">
      <c r="A1" s="846" t="s">
        <v>281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4" customFormat="1" ht="15.75" x14ac:dyDescent="0.25">
      <c r="A4" s="852" t="s">
        <v>7</v>
      </c>
      <c r="B4" s="629" t="s">
        <v>27</v>
      </c>
      <c r="C4" s="630" t="s">
        <v>27</v>
      </c>
      <c r="D4" s="630" t="s">
        <v>24</v>
      </c>
      <c r="E4" s="630" t="s">
        <v>24</v>
      </c>
      <c r="F4" s="630" t="s">
        <v>38</v>
      </c>
      <c r="G4" s="630" t="s">
        <v>39</v>
      </c>
      <c r="H4" s="630" t="s">
        <v>40</v>
      </c>
      <c r="I4" s="630" t="s">
        <v>41</v>
      </c>
      <c r="J4" s="630" t="s">
        <v>42</v>
      </c>
      <c r="K4" s="630" t="s">
        <v>43</v>
      </c>
      <c r="L4" s="848" t="s">
        <v>262</v>
      </c>
      <c r="M4" s="850" t="s">
        <v>265</v>
      </c>
      <c r="N4" s="590"/>
      <c r="O4" s="590"/>
      <c r="P4" s="607"/>
    </row>
    <row r="5" spans="1:16" s="74" customFormat="1" ht="16.5" thickBot="1" x14ac:dyDescent="0.3">
      <c r="A5" s="853"/>
      <c r="B5" s="639" t="s">
        <v>44</v>
      </c>
      <c r="C5" s="640" t="s">
        <v>34</v>
      </c>
      <c r="D5" s="640" t="s">
        <v>44</v>
      </c>
      <c r="E5" s="640" t="s">
        <v>34</v>
      </c>
      <c r="F5" s="640" t="s">
        <v>44</v>
      </c>
      <c r="G5" s="640" t="s">
        <v>34</v>
      </c>
      <c r="H5" s="640" t="s">
        <v>45</v>
      </c>
      <c r="I5" s="640" t="s">
        <v>45</v>
      </c>
      <c r="J5" s="640" t="s">
        <v>46</v>
      </c>
      <c r="K5" s="640" t="s">
        <v>47</v>
      </c>
      <c r="L5" s="849"/>
      <c r="M5" s="851"/>
      <c r="N5" s="590"/>
      <c r="O5" s="590"/>
      <c r="P5" s="607"/>
    </row>
    <row r="6" spans="1:16" x14ac:dyDescent="0.2">
      <c r="A6" s="626"/>
      <c r="B6" s="637">
        <f>IF('Entries June''25'!B6=0,0,+'Entries June''25'!B6-'Entries June''25'!B5)</f>
        <v>0</v>
      </c>
      <c r="C6" s="565"/>
      <c r="D6" s="565"/>
      <c r="E6" s="565"/>
      <c r="F6" s="565"/>
      <c r="G6" s="565"/>
      <c r="H6" s="565"/>
      <c r="I6" s="565"/>
      <c r="J6" s="565"/>
      <c r="K6" s="565"/>
      <c r="L6" s="623"/>
      <c r="M6" s="638"/>
      <c r="O6" s="258"/>
      <c r="P6" s="582"/>
    </row>
    <row r="7" spans="1:16" x14ac:dyDescent="0.2">
      <c r="A7" s="627">
        <v>1</v>
      </c>
      <c r="B7" s="631">
        <f>IF('Entries June''25'!B8-'Entries June''25'!B7&lt;1,"0",'Entries June''25'!B8-'Entries June''25'!B7)</f>
        <v>730</v>
      </c>
      <c r="C7" s="566">
        <f>IF('Entries June''25'!F8-'Entries June''25'!F7&lt;1,"0",'Entries June''25'!F8-'Entries June''25'!F7)</f>
        <v>4.3999999999996362</v>
      </c>
      <c r="D7" s="566">
        <f>IF('Entries June''25'!C7=0,0,+'Entries June''25'!C7-'Entries June''25'!C6)</f>
        <v>0</v>
      </c>
      <c r="E7" s="566" t="str">
        <f>IF('Entries June''25'!G8-'Entries June''25'!G7&lt;1,"0",'Entries June''25'!G8-'Entries June''25'!G7)</f>
        <v>0</v>
      </c>
      <c r="F7" s="566"/>
      <c r="G7" s="566"/>
      <c r="H7" s="625">
        <f>IF(C7+E7=0,"0", B7/(C7+E7))</f>
        <v>165.90909090910463</v>
      </c>
      <c r="I7" s="625" t="str">
        <f>IF(E7=0,"0", D7/E7)</f>
        <v>0</v>
      </c>
      <c r="J7" s="625" t="str">
        <f>IF(G7=0,"0", F7/G7)</f>
        <v>0</v>
      </c>
      <c r="K7" s="566">
        <f>B7+D7+F7</f>
        <v>730</v>
      </c>
      <c r="L7" s="628" t="str" cm="1">
        <f t="array" ref="L7:L37">IF(TRANSPOSE('Daily KPIs'!B9:AF9)=0,"0",TRANSPOSE('Daily KPIs'!B9:AF9))</f>
        <v>0</v>
      </c>
      <c r="M7" s="632" t="str">
        <f>IF(L7=0,"0",(K7/L7))</f>
        <v>0</v>
      </c>
      <c r="O7" s="581"/>
      <c r="P7" s="581"/>
    </row>
    <row r="8" spans="1:16" x14ac:dyDescent="0.2">
      <c r="A8" s="627">
        <v>2</v>
      </c>
      <c r="B8" s="631">
        <f>IF('Entries June''25'!B9-'Entries June''25'!B8&lt;1,"0",'Entries June''25'!B9-'Entries June''25'!B8)</f>
        <v>3280</v>
      </c>
      <c r="C8" s="566">
        <f>IF('Entries June''25'!F9-'Entries June''25'!F8&lt;1,"0",'Entries June''25'!F9-'Entries June''25'!F8)</f>
        <v>21.100000000000364</v>
      </c>
      <c r="D8" s="566">
        <f>IF('Entries June''25'!C8=0,0,+'Entries June''25'!C8-'Entries June''25'!C7)</f>
        <v>0</v>
      </c>
      <c r="E8" s="566" t="str">
        <f>IF('Entries June''25'!G9-'Entries June''25'!G8&lt;1,"0",'Entries June''25'!G9-'Entries June''25'!G8)</f>
        <v>0</v>
      </c>
      <c r="F8" s="566"/>
      <c r="G8" s="566"/>
      <c r="H8" s="625">
        <f t="shared" ref="H8:H38" si="0">IF(C8+E8=0,"0", B8/(C8+E8))</f>
        <v>155.45023696682196</v>
      </c>
      <c r="I8" s="625" t="str">
        <f t="shared" ref="I8:I36" si="1">IF(E8=0,"0", D8/E8)</f>
        <v>0</v>
      </c>
      <c r="J8" s="625" t="str">
        <f t="shared" ref="J8:J36" si="2">IF(G8=0,"0", F8/G8)</f>
        <v>0</v>
      </c>
      <c r="K8" s="566">
        <f t="shared" ref="K8:K36" si="3">B8+D8+F8</f>
        <v>3280</v>
      </c>
      <c r="L8" s="624">
        <v>455.60520000000002</v>
      </c>
      <c r="M8" s="632">
        <f t="shared" ref="M8:M36" si="4">IF(L8=0,"0",(K8/L8))</f>
        <v>7.1992154611053598</v>
      </c>
      <c r="O8" s="581"/>
      <c r="P8" s="581"/>
    </row>
    <row r="9" spans="1:16" x14ac:dyDescent="0.2">
      <c r="A9" s="627">
        <v>3</v>
      </c>
      <c r="B9" s="631">
        <f>IF('Entries June''25'!B10-'Entries June''25'!B9&lt;1,"0",'Entries June''25'!B10-'Entries June''25'!B9)</f>
        <v>3380</v>
      </c>
      <c r="C9" s="566">
        <f>IF('Entries June''25'!F10-'Entries June''25'!F9&lt;1,"0",'Entries June''25'!F10-'Entries June''25'!F9)</f>
        <v>21.099999999999454</v>
      </c>
      <c r="D9" s="566">
        <f>IF('Entries June''25'!C9=0,0,+'Entries June''25'!C9-'Entries June''25'!C8)</f>
        <v>0</v>
      </c>
      <c r="E9" s="566" t="str">
        <f>IF('Entries June''25'!G10-'Entries June''25'!G9&lt;1,"0",'Entries June''25'!G10-'Entries June''25'!G9)</f>
        <v>0</v>
      </c>
      <c r="F9" s="566"/>
      <c r="G9" s="566"/>
      <c r="H9" s="625">
        <f t="shared" si="0"/>
        <v>160.18957345971978</v>
      </c>
      <c r="I9" s="625" t="str">
        <f t="shared" si="1"/>
        <v>0</v>
      </c>
      <c r="J9" s="625" t="str">
        <f t="shared" si="2"/>
        <v>0</v>
      </c>
      <c r="K9" s="566">
        <f t="shared" si="3"/>
        <v>3380</v>
      </c>
      <c r="L9" s="624">
        <v>644.75400000000002</v>
      </c>
      <c r="M9" s="632">
        <f t="shared" si="4"/>
        <v>5.242309469968391</v>
      </c>
      <c r="O9" s="581"/>
      <c r="P9" s="581"/>
    </row>
    <row r="10" spans="1:16" x14ac:dyDescent="0.2">
      <c r="A10" s="627">
        <v>4</v>
      </c>
      <c r="B10" s="631">
        <f>IF('Entries June''25'!B11-'Entries June''25'!B10&lt;1,"0",'Entries June''25'!B11-'Entries June''25'!B10)</f>
        <v>3130</v>
      </c>
      <c r="C10" s="566">
        <f>IF('Entries June''25'!F11-'Entries June''25'!F10&lt;1,"0",'Entries June''25'!F11-'Entries June''25'!F10)</f>
        <v>20.199999999999818</v>
      </c>
      <c r="D10" s="566">
        <f>IF('Entries June''25'!C12=0,0,+'Entries June''25'!C12-'Entries June''25'!C9)</f>
        <v>0</v>
      </c>
      <c r="E10" s="566" t="str">
        <f>IF('Entries June''25'!G11-'Entries June''25'!G10&lt;1,"0",'Entries June''25'!G11-'Entries June''25'!G10)</f>
        <v>0</v>
      </c>
      <c r="F10" s="566"/>
      <c r="G10" s="566"/>
      <c r="H10" s="625">
        <f t="shared" si="0"/>
        <v>154.95049504950634</v>
      </c>
      <c r="I10" s="625" t="str">
        <f t="shared" si="1"/>
        <v>0</v>
      </c>
      <c r="J10" s="625" t="str">
        <f t="shared" si="2"/>
        <v>0</v>
      </c>
      <c r="K10" s="566">
        <f t="shared" si="3"/>
        <v>3130</v>
      </c>
      <c r="L10" s="624">
        <v>398.44200000000001</v>
      </c>
      <c r="M10" s="632">
        <f t="shared" si="4"/>
        <v>7.8555975524668584</v>
      </c>
      <c r="O10" s="581"/>
      <c r="P10" s="581"/>
    </row>
    <row r="11" spans="1:16" x14ac:dyDescent="0.2">
      <c r="A11" s="627">
        <v>5</v>
      </c>
      <c r="B11" s="631">
        <f>IF('Entries June''25'!B12-'Entries June''25'!B11&lt;1,"0",'Entries June''25'!B12-'Entries June''25'!B11)</f>
        <v>3510</v>
      </c>
      <c r="C11" s="566">
        <f>IF('Entries June''25'!F12-'Entries June''25'!F11&lt;1,"0",'Entries June''25'!F12-'Entries June''25'!F11)</f>
        <v>21.900000000000546</v>
      </c>
      <c r="D11" s="566">
        <f>IF('Entries June''25'!C11=0,0,+'Entries June''25'!C11-'Entries June''25'!C12)</f>
        <v>0</v>
      </c>
      <c r="E11" s="566" t="str">
        <f>IF('Entries June''25'!G12-'Entries June''25'!G11&lt;1,"0",'Entries June''25'!G12-'Entries June''25'!G11)</f>
        <v>0</v>
      </c>
      <c r="F11" s="566"/>
      <c r="G11" s="566"/>
      <c r="H11" s="625">
        <f t="shared" si="0"/>
        <v>160.27397260273574</v>
      </c>
      <c r="I11" s="625" t="str">
        <f t="shared" si="1"/>
        <v>0</v>
      </c>
      <c r="J11" s="625" t="str">
        <f t="shared" si="2"/>
        <v>0</v>
      </c>
      <c r="K11" s="566">
        <f t="shared" si="3"/>
        <v>3510</v>
      </c>
      <c r="L11" s="624">
        <v>496.584</v>
      </c>
      <c r="M11" s="632">
        <f t="shared" si="4"/>
        <v>7.0682905611135274</v>
      </c>
      <c r="O11" s="581"/>
      <c r="P11" s="581"/>
    </row>
    <row r="12" spans="1:16" x14ac:dyDescent="0.2">
      <c r="A12" s="627">
        <v>6</v>
      </c>
      <c r="B12" s="631">
        <f>IF('Entries June''25'!B13-'Entries June''25'!B12&lt;1,"0",'Entries June''25'!B13-'Entries June''25'!B12)</f>
        <v>2660</v>
      </c>
      <c r="C12" s="566">
        <f>IF('Entries June''25'!F13-'Entries June''25'!F12&lt;1,"0",'Entries June''25'!F13-'Entries June''25'!F12)</f>
        <v>18.300000000000182</v>
      </c>
      <c r="D12" s="566">
        <f>IF('Entries June''25'!C13=0,0,+'Entries June''25'!C13-'Entries June''25'!C11)</f>
        <v>0</v>
      </c>
      <c r="E12" s="566" t="str">
        <f>IF('Entries June''25'!G13-'Entries June''25'!G12&lt;1,"0",'Entries June''25'!G13-'Entries June''25'!G12)</f>
        <v>0</v>
      </c>
      <c r="F12" s="566"/>
      <c r="G12" s="566"/>
      <c r="H12" s="625">
        <f t="shared" si="0"/>
        <v>145.35519125682916</v>
      </c>
      <c r="I12" s="625" t="str">
        <f t="shared" si="1"/>
        <v>0</v>
      </c>
      <c r="J12" s="625" t="str">
        <f t="shared" si="2"/>
        <v>0</v>
      </c>
      <c r="K12" s="566">
        <f t="shared" si="3"/>
        <v>2660</v>
      </c>
      <c r="L12" s="624">
        <v>263.93400000000003</v>
      </c>
      <c r="M12" s="632">
        <f t="shared" si="4"/>
        <v>10.078277145043836</v>
      </c>
      <c r="O12" s="581"/>
      <c r="P12" s="581"/>
    </row>
    <row r="13" spans="1:16" x14ac:dyDescent="0.2">
      <c r="A13" s="627">
        <v>7</v>
      </c>
      <c r="B13" s="631">
        <f>IF('Entries June''25'!B14-'Entries June''25'!B13&lt;1,"0",'Entries June''25'!B14-'Entries June''25'!B13)</f>
        <v>300</v>
      </c>
      <c r="C13" s="566">
        <f>IF('Entries June''25'!F14-'Entries June''25'!F13&lt;1,"0",'Entries June''25'!F14-'Entries June''25'!F13)</f>
        <v>2.0999999999994543</v>
      </c>
      <c r="D13" s="566">
        <f>IF('Entries June''25'!C14=0,0,+'Entries June''25'!C14-'Entries June''25'!C12)</f>
        <v>0</v>
      </c>
      <c r="E13" s="566" t="str">
        <f>IF('Entries June''25'!G14-'Entries June''25'!G13&lt;1,"0",'Entries June''25'!G14-'Entries June''25'!G13)</f>
        <v>0</v>
      </c>
      <c r="F13" s="566"/>
      <c r="G13" s="566"/>
      <c r="H13" s="625">
        <f t="shared" si="0"/>
        <v>142.85714285717998</v>
      </c>
      <c r="I13" s="625" t="str">
        <f t="shared" si="1"/>
        <v>0</v>
      </c>
      <c r="J13" s="625" t="str">
        <f t="shared" si="2"/>
        <v>0</v>
      </c>
      <c r="K13" s="566">
        <f t="shared" si="3"/>
        <v>300</v>
      </c>
      <c r="L13" s="624" t="str">
        <v>0</v>
      </c>
      <c r="M13" s="632" t="str">
        <f t="shared" si="4"/>
        <v>0</v>
      </c>
      <c r="O13" s="581"/>
      <c r="P13" s="581"/>
    </row>
    <row r="14" spans="1:16" x14ac:dyDescent="0.2">
      <c r="A14" s="627">
        <v>8</v>
      </c>
      <c r="B14" s="631" t="str">
        <f>IF('Entries June''25'!B15-'Entries June''25'!B14&lt;1,"0",'Entries June''25'!B15-'Entries June''25'!B14)</f>
        <v>0</v>
      </c>
      <c r="C14" s="566" t="str">
        <f>IF('Entries June''25'!F15-'Entries June''25'!F14&lt;1,"0",'Entries June''25'!F15-'Entries June''25'!F14)</f>
        <v>0</v>
      </c>
      <c r="D14" s="566">
        <f>IF('Entries June''25'!C14=0,0,+'Entries June''25'!C14-'Entries June''25'!#REF!)</f>
        <v>0</v>
      </c>
      <c r="E14" s="566" t="str">
        <f>IF('Entries June''25'!G15-'Entries June''25'!G14&lt;1,"0",'Entries June''25'!G15-'Entries June''25'!G14)</f>
        <v>0</v>
      </c>
      <c r="F14" s="566"/>
      <c r="G14" s="566"/>
      <c r="H14" s="625" t="str">
        <f t="shared" si="0"/>
        <v>0</v>
      </c>
      <c r="I14" s="625" t="str">
        <f t="shared" si="1"/>
        <v>0</v>
      </c>
      <c r="J14" s="625" t="str">
        <f t="shared" si="2"/>
        <v>0</v>
      </c>
      <c r="K14" s="566">
        <f t="shared" si="3"/>
        <v>0</v>
      </c>
      <c r="L14" s="624" t="str">
        <v>0</v>
      </c>
      <c r="M14" s="632" t="str">
        <f t="shared" si="4"/>
        <v>0</v>
      </c>
      <c r="O14" s="581"/>
      <c r="P14" s="581"/>
    </row>
    <row r="15" spans="1:16" x14ac:dyDescent="0.2">
      <c r="A15" s="627">
        <v>9</v>
      </c>
      <c r="B15" s="631">
        <f>IF('Entries June''25'!B16-'Entries June''25'!B15&lt;1,"0",'Entries June''25'!B16-'Entries June''25'!B15)</f>
        <v>830</v>
      </c>
      <c r="C15" s="566">
        <f>IF('Entries June''25'!F16-'Entries June''25'!F15&lt;1,"0",'Entries June''25'!F16-'Entries June''25'!F15)</f>
        <v>5</v>
      </c>
      <c r="D15" s="566">
        <f>IF('Entries June''25'!C15=0,0,+'Entries June''25'!C15-'Entries June''25'!C14)</f>
        <v>0</v>
      </c>
      <c r="E15" s="566" t="str">
        <f>IF('Entries June''25'!G16-'Entries June''25'!G15&lt;1,"0",'Entries June''25'!G16-'Entries June''25'!G15)</f>
        <v>0</v>
      </c>
      <c r="F15" s="566"/>
      <c r="G15" s="566"/>
      <c r="H15" s="625">
        <f t="shared" si="0"/>
        <v>166</v>
      </c>
      <c r="I15" s="625" t="str">
        <f t="shared" si="1"/>
        <v>0</v>
      </c>
      <c r="J15" s="625" t="str">
        <f t="shared" si="2"/>
        <v>0</v>
      </c>
      <c r="K15" s="566">
        <f t="shared" si="3"/>
        <v>830</v>
      </c>
      <c r="L15" s="624" t="str">
        <v>0</v>
      </c>
      <c r="M15" s="632" t="str">
        <f t="shared" si="4"/>
        <v>0</v>
      </c>
      <c r="O15" s="581"/>
      <c r="P15" s="581"/>
    </row>
    <row r="16" spans="1:16" x14ac:dyDescent="0.2">
      <c r="A16" s="627">
        <v>10</v>
      </c>
      <c r="B16" s="631">
        <f>IF('Entries June''25'!B17-'Entries June''25'!B16&lt;1,"0",'Entries June''25'!B17-'Entries June''25'!B16)</f>
        <v>2900</v>
      </c>
      <c r="C16" s="566">
        <f>IF('Entries June''25'!F17-'Entries June''25'!F16&lt;1,"0",'Entries June''25'!F17-'Entries June''25'!F16)</f>
        <v>19.100000000000364</v>
      </c>
      <c r="D16" s="566">
        <f>IF('Entries June''25'!C16=0,0,+'Entries June''25'!C16-'Entries June''25'!C15)</f>
        <v>0</v>
      </c>
      <c r="E16" s="566" t="str">
        <f>IF('Entries June''25'!G17-'Entries June''25'!G16&lt;1,"0",'Entries June''25'!G17-'Entries June''25'!G16)</f>
        <v>0</v>
      </c>
      <c r="F16" s="566"/>
      <c r="G16" s="566"/>
      <c r="H16" s="625">
        <f t="shared" si="0"/>
        <v>151.83246073298139</v>
      </c>
      <c r="I16" s="625" t="str">
        <f t="shared" si="1"/>
        <v>0</v>
      </c>
      <c r="J16" s="625" t="str">
        <f t="shared" si="2"/>
        <v>0</v>
      </c>
      <c r="K16" s="566">
        <f t="shared" si="3"/>
        <v>2900</v>
      </c>
      <c r="L16" s="624">
        <v>418.11</v>
      </c>
      <c r="M16" s="632">
        <f t="shared" si="4"/>
        <v>6.9359737868025162</v>
      </c>
      <c r="O16" s="581"/>
      <c r="P16" s="581"/>
    </row>
    <row r="17" spans="1:16" x14ac:dyDescent="0.2">
      <c r="A17" s="627">
        <v>11</v>
      </c>
      <c r="B17" s="631">
        <f>IF('Entries June''25'!B18-'Entries June''25'!B17&lt;1,"0",'Entries June''25'!B18-'Entries June''25'!B17)</f>
        <v>3400</v>
      </c>
      <c r="C17" s="566">
        <f>IF('Entries June''25'!F18-'Entries June''25'!F17&lt;1,"0",'Entries June''25'!F18-'Entries June''25'!F17)</f>
        <v>21.5</v>
      </c>
      <c r="D17" s="566">
        <f>IF('Entries June''25'!C17=0,0,+'Entries June''25'!C17-'Entries June''25'!C16)</f>
        <v>0</v>
      </c>
      <c r="E17" s="566" t="str">
        <f>IF('Entries June''25'!G18-'Entries June''25'!G17&lt;1,"0",'Entries June''25'!G18-'Entries June''25'!G17)</f>
        <v>0</v>
      </c>
      <c r="F17" s="566"/>
      <c r="G17" s="566"/>
      <c r="H17" s="625">
        <f t="shared" si="0"/>
        <v>158.13953488372093</v>
      </c>
      <c r="I17" s="625" t="str">
        <f t="shared" si="1"/>
        <v>0</v>
      </c>
      <c r="J17" s="625" t="str">
        <f t="shared" si="2"/>
        <v>0</v>
      </c>
      <c r="K17" s="566">
        <f t="shared" si="3"/>
        <v>3400</v>
      </c>
      <c r="L17" s="624">
        <v>475.99200000000002</v>
      </c>
      <c r="M17" s="632">
        <f t="shared" si="4"/>
        <v>7.1429771928939978</v>
      </c>
      <c r="O17" s="581"/>
      <c r="P17" s="581"/>
    </row>
    <row r="18" spans="1:16" x14ac:dyDescent="0.2">
      <c r="A18" s="627">
        <v>12</v>
      </c>
      <c r="B18" s="631">
        <f>IF('Entries June''25'!B19-'Entries June''25'!B18&lt;1,"0",'Entries June''25'!B19-'Entries June''25'!B18)</f>
        <v>2940</v>
      </c>
      <c r="C18" s="566">
        <f>IF('Entries June''25'!F19-'Entries June''25'!F18&lt;1,"0",'Entries June''25'!F19-'Entries June''25'!F18)</f>
        <v>19.399999999999636</v>
      </c>
      <c r="D18" s="566">
        <f>IF('Entries June''25'!C18=0,0,+'Entries June''25'!C18-'Entries June''25'!C17)</f>
        <v>0</v>
      </c>
      <c r="E18" s="566" t="str">
        <f>IF('Entries June''25'!G19-'Entries June''25'!G18&lt;1,"0",'Entries June''25'!G19-'Entries June''25'!G18)</f>
        <v>0</v>
      </c>
      <c r="F18" s="566"/>
      <c r="G18" s="566"/>
      <c r="H18" s="625">
        <f t="shared" si="0"/>
        <v>151.54639175258015</v>
      </c>
      <c r="I18" s="625" t="str">
        <f t="shared" si="1"/>
        <v>0</v>
      </c>
      <c r="J18" s="625" t="str">
        <f t="shared" si="2"/>
        <v>0</v>
      </c>
      <c r="K18" s="566">
        <f t="shared" si="3"/>
        <v>2940</v>
      </c>
      <c r="L18" s="624">
        <v>339.834</v>
      </c>
      <c r="M18" s="632">
        <f t="shared" si="4"/>
        <v>8.651282685075655</v>
      </c>
      <c r="O18" s="581"/>
      <c r="P18" s="581"/>
    </row>
    <row r="19" spans="1:16" x14ac:dyDescent="0.2">
      <c r="A19" s="627">
        <v>13</v>
      </c>
      <c r="B19" s="631">
        <f>IF('Entries June''25'!B20-'Entries June''25'!B19&lt;1,"0",'Entries June''25'!B20-'Entries June''25'!B19)</f>
        <v>3020</v>
      </c>
      <c r="C19" s="566">
        <f>IF('Entries June''25'!F20-'Entries June''25'!F19&lt;1,"0",'Entries June''25'!F20-'Entries June''25'!F19)</f>
        <v>19</v>
      </c>
      <c r="D19" s="566">
        <f>IF('Entries June''25'!C19=0,0,+'Entries June''25'!C19-'Entries June''25'!C18)</f>
        <v>0</v>
      </c>
      <c r="E19" s="566" t="str">
        <f>IF('Entries June''25'!G20-'Entries June''25'!G19&lt;1,"0",'Entries June''25'!G20-'Entries June''25'!G19)</f>
        <v>0</v>
      </c>
      <c r="F19" s="566"/>
      <c r="G19" s="566"/>
      <c r="H19" s="625">
        <f t="shared" si="0"/>
        <v>158.94736842105263</v>
      </c>
      <c r="I19" s="625" t="str">
        <f t="shared" si="1"/>
        <v>0</v>
      </c>
      <c r="J19" s="625" t="str">
        <f t="shared" si="2"/>
        <v>0</v>
      </c>
      <c r="K19" s="566">
        <f t="shared" si="3"/>
        <v>3020</v>
      </c>
      <c r="L19" s="624">
        <v>411.57600000000002</v>
      </c>
      <c r="M19" s="632">
        <f t="shared" si="4"/>
        <v>7.3376484537485176</v>
      </c>
      <c r="O19" s="581"/>
      <c r="P19" s="581"/>
    </row>
    <row r="20" spans="1:16" x14ac:dyDescent="0.2">
      <c r="A20" s="627">
        <v>14</v>
      </c>
      <c r="B20" s="631">
        <f>IF('Entries June''25'!B21-'Entries June''25'!B20&lt;1,"0",'Entries June''25'!B21-'Entries June''25'!B20)</f>
        <v>1020</v>
      </c>
      <c r="C20" s="566">
        <f>IF('Entries June''25'!F21-'Entries June''25'!F20&lt;1,"0",'Entries June''25'!F21-'Entries June''25'!F20)</f>
        <v>9.6999999999998181</v>
      </c>
      <c r="D20" s="566">
        <f>IF('Entries June''25'!C20=0,0,+'Entries June''25'!C20-'Entries June''25'!C19)</f>
        <v>0</v>
      </c>
      <c r="E20" s="566" t="str">
        <f>IF('Entries June''25'!G21-'Entries June''25'!G20&lt;1,"0",'Entries June''25'!G21-'Entries June''25'!G20)</f>
        <v>0</v>
      </c>
      <c r="F20" s="566"/>
      <c r="G20" s="566"/>
      <c r="H20" s="625">
        <f t="shared" si="0"/>
        <v>105.1546391752597</v>
      </c>
      <c r="I20" s="625" t="str">
        <f t="shared" si="1"/>
        <v>0</v>
      </c>
      <c r="J20" s="625" t="str">
        <f t="shared" si="2"/>
        <v>0</v>
      </c>
      <c r="K20" s="566">
        <f t="shared" si="3"/>
        <v>1020</v>
      </c>
      <c r="L20" s="624" t="str">
        <v>0</v>
      </c>
      <c r="M20" s="632" t="str">
        <f t="shared" si="4"/>
        <v>0</v>
      </c>
      <c r="O20" s="581"/>
      <c r="P20" s="581"/>
    </row>
    <row r="21" spans="1:16" x14ac:dyDescent="0.2">
      <c r="A21" s="627">
        <v>15</v>
      </c>
      <c r="B21" s="631">
        <f>IF('Entries June''25'!B22-'Entries June''25'!B21&lt;1,"0",'Entries June''25'!B22-'Entries June''25'!B21)</f>
        <v>690</v>
      </c>
      <c r="C21" s="566">
        <f>IF('Entries June''25'!F22-'Entries June''25'!F21&lt;1,"0",'Entries June''25'!F22-'Entries June''25'!F21)</f>
        <v>3.8000000000001819</v>
      </c>
      <c r="D21" s="566">
        <f>IF('Entries June''25'!C21=0,0,+'Entries June''25'!C21-'Entries June''25'!C20)</f>
        <v>0</v>
      </c>
      <c r="E21" s="566" t="str">
        <f>IF('Entries June''25'!G22-'Entries June''25'!G21&lt;1,"0",'Entries June''25'!G22-'Entries June''25'!G21)</f>
        <v>0</v>
      </c>
      <c r="F21" s="566"/>
      <c r="G21" s="566"/>
      <c r="H21" s="625">
        <f t="shared" si="0"/>
        <v>181.57894736841237</v>
      </c>
      <c r="I21" s="625" t="str">
        <f t="shared" si="1"/>
        <v>0</v>
      </c>
      <c r="J21" s="625" t="str">
        <f t="shared" si="2"/>
        <v>0</v>
      </c>
      <c r="K21" s="566">
        <f t="shared" si="3"/>
        <v>690</v>
      </c>
      <c r="L21" s="624" t="str">
        <v>0</v>
      </c>
      <c r="M21" s="632" t="str">
        <f t="shared" si="4"/>
        <v>0</v>
      </c>
      <c r="O21" s="581"/>
      <c r="P21" s="581"/>
    </row>
    <row r="22" spans="1:16" x14ac:dyDescent="0.2">
      <c r="A22" s="627">
        <v>16</v>
      </c>
      <c r="B22" s="631">
        <f>IF('Entries June''25'!B23-'Entries June''25'!B22&lt;1,"0",'Entries June''25'!B23-'Entries June''25'!B22)</f>
        <v>3680</v>
      </c>
      <c r="C22" s="566">
        <f>IF('Entries June''25'!F23-'Entries June''25'!F22&lt;1,"0",'Entries June''25'!F23-'Entries June''25'!F22)</f>
        <v>22.300000000000182</v>
      </c>
      <c r="D22" s="566">
        <f>IF('Entries June''25'!C22=0,0,+'Entries June''25'!C22-'Entries June''25'!C21)</f>
        <v>0</v>
      </c>
      <c r="E22" s="566" t="str">
        <f>IF('Entries June''25'!G23-'Entries June''25'!G22&lt;1,"0",'Entries June''25'!G23-'Entries June''25'!G22)</f>
        <v>0</v>
      </c>
      <c r="F22" s="566"/>
      <c r="G22" s="566"/>
      <c r="H22" s="625">
        <f t="shared" si="0"/>
        <v>165.02242152466232</v>
      </c>
      <c r="I22" s="625" t="str">
        <f t="shared" si="1"/>
        <v>0</v>
      </c>
      <c r="J22" s="625" t="str">
        <f t="shared" si="2"/>
        <v>0</v>
      </c>
      <c r="K22" s="566">
        <f t="shared" si="3"/>
        <v>3680</v>
      </c>
      <c r="L22" s="624">
        <v>400.62</v>
      </c>
      <c r="M22" s="632">
        <f t="shared" si="4"/>
        <v>9.1857620687933697</v>
      </c>
      <c r="O22" s="581"/>
      <c r="P22" s="581"/>
    </row>
    <row r="23" spans="1:16" x14ac:dyDescent="0.2">
      <c r="A23" s="627">
        <v>17</v>
      </c>
      <c r="B23" s="631">
        <f>IF('Entries June''25'!B24-'Entries June''25'!B23&lt;1,"0",'Entries June''25'!B24-'Entries June''25'!B23)</f>
        <v>3620</v>
      </c>
      <c r="C23" s="566">
        <f>IF('Entries June''25'!F24-'Entries June''25'!F23&lt;1,"0",'Entries June''25'!F24-'Entries June''25'!F23)</f>
        <v>21.699999999999818</v>
      </c>
      <c r="D23" s="566">
        <f>IF('Entries June''25'!C23=0,0,+'Entries June''25'!C23-'Entries June''25'!C22)</f>
        <v>0</v>
      </c>
      <c r="E23" s="566" t="str">
        <f>IF('Entries June''25'!G24-'Entries June''25'!G23&lt;1,"0",'Entries June''25'!G24-'Entries June''25'!G23)</f>
        <v>0</v>
      </c>
      <c r="F23" s="566"/>
      <c r="G23" s="566"/>
      <c r="H23" s="625">
        <f t="shared" si="0"/>
        <v>166.82027649769725</v>
      </c>
      <c r="I23" s="625" t="str">
        <f t="shared" si="1"/>
        <v>0</v>
      </c>
      <c r="J23" s="625" t="str">
        <f t="shared" si="2"/>
        <v>0</v>
      </c>
      <c r="K23" s="566">
        <f t="shared" si="3"/>
        <v>3620</v>
      </c>
      <c r="L23" s="624">
        <v>550.24200000000008</v>
      </c>
      <c r="M23" s="632">
        <f t="shared" si="4"/>
        <v>6.5789234554977618</v>
      </c>
      <c r="O23" s="581"/>
      <c r="P23" s="581"/>
    </row>
    <row r="24" spans="1:16" x14ac:dyDescent="0.2">
      <c r="A24" s="627">
        <v>18</v>
      </c>
      <c r="B24" s="631">
        <f>IF('Entries June''25'!B25-'Entries June''25'!B24&lt;1,"0",'Entries June''25'!B25-'Entries June''25'!B24)</f>
        <v>3050</v>
      </c>
      <c r="C24" s="566">
        <f>IF('Entries June''25'!F25-'Entries June''25'!F24&lt;1,"0",'Entries June''25'!F25-'Entries June''25'!F24)</f>
        <v>19.699999999999818</v>
      </c>
      <c r="D24" s="566">
        <f>IF('Entries June''25'!C24=0,0,+'Entries June''25'!C24-'Entries June''25'!C23)</f>
        <v>0</v>
      </c>
      <c r="E24" s="566" t="str">
        <f>IF('Entries June''25'!G25-'Entries June''25'!G24&lt;1,"0",'Entries June''25'!G25-'Entries June''25'!G24)</f>
        <v>0</v>
      </c>
      <c r="F24" s="566"/>
      <c r="G24" s="566"/>
      <c r="H24" s="625">
        <f t="shared" si="0"/>
        <v>154.82233502538213</v>
      </c>
      <c r="I24" s="625" t="str">
        <f t="shared" si="1"/>
        <v>0</v>
      </c>
      <c r="J24" s="625" t="str">
        <f t="shared" si="2"/>
        <v>0</v>
      </c>
      <c r="K24" s="566">
        <f t="shared" si="3"/>
        <v>3050</v>
      </c>
      <c r="L24" s="624">
        <v>446.5428</v>
      </c>
      <c r="M24" s="632">
        <f t="shared" si="4"/>
        <v>6.8302523296759015</v>
      </c>
      <c r="O24" s="581"/>
      <c r="P24" s="581"/>
    </row>
    <row r="25" spans="1:16" x14ac:dyDescent="0.2">
      <c r="A25" s="627">
        <v>19</v>
      </c>
      <c r="B25" s="631">
        <f>IF('Entries June''25'!B26-'Entries June''25'!B25&lt;1,"0",'Entries June''25'!B26-'Entries June''25'!B25)</f>
        <v>700</v>
      </c>
      <c r="C25" s="566">
        <f>IF('Entries June''25'!F26-'Entries June''25'!F25&lt;1,"0",'Entries June''25'!F26-'Entries June''25'!F25)</f>
        <v>4.6000000000003638</v>
      </c>
      <c r="D25" s="566">
        <f>IF('Entries June''25'!C25=0,0,+'Entries June''25'!C25-'Entries June''25'!C24)</f>
        <v>0</v>
      </c>
      <c r="E25" s="566" t="str">
        <f>IF('Entries June''25'!G26-'Entries June''25'!G25&lt;1,"0",'Entries June''25'!G26-'Entries June''25'!G25)</f>
        <v>0</v>
      </c>
      <c r="F25" s="566"/>
      <c r="G25" s="566"/>
      <c r="H25" s="625">
        <f t="shared" si="0"/>
        <v>152.17391304346623</v>
      </c>
      <c r="I25" s="625" t="str">
        <f t="shared" si="1"/>
        <v>0</v>
      </c>
      <c r="J25" s="625" t="str">
        <f t="shared" si="2"/>
        <v>0</v>
      </c>
      <c r="K25" s="566">
        <f t="shared" si="3"/>
        <v>700</v>
      </c>
      <c r="L25" s="624" t="str">
        <v>0</v>
      </c>
      <c r="M25" s="632" t="str">
        <f t="shared" si="4"/>
        <v>0</v>
      </c>
      <c r="O25" s="581"/>
      <c r="P25" s="581"/>
    </row>
    <row r="26" spans="1:16" x14ac:dyDescent="0.2">
      <c r="A26" s="627">
        <v>20</v>
      </c>
      <c r="B26" s="631">
        <f>IF('Entries June''25'!B27-'Entries June''25'!B26&lt;1,"0",'Entries June''25'!B27-'Entries June''25'!B26)</f>
        <v>2320</v>
      </c>
      <c r="C26" s="566">
        <f>IF('Entries June''25'!F27-'Entries June''25'!F26&lt;1,"0",'Entries June''25'!F27-'Entries June''25'!F26)</f>
        <v>16.399999999999636</v>
      </c>
      <c r="D26" s="566">
        <f>IF('Entries June''25'!C26=0,0,+'Entries June''25'!C26-'Entries June''25'!C25)</f>
        <v>0</v>
      </c>
      <c r="E26" s="566" t="str">
        <f>IF('Entries June''25'!G27-'Entries June''25'!G26&lt;1,"0",'Entries June''25'!G27-'Entries June''25'!G26)</f>
        <v>0</v>
      </c>
      <c r="F26" s="566"/>
      <c r="G26" s="566"/>
      <c r="H26" s="625">
        <f t="shared" si="0"/>
        <v>141.46341463414947</v>
      </c>
      <c r="I26" s="625" t="str">
        <f t="shared" si="1"/>
        <v>0</v>
      </c>
      <c r="J26" s="625" t="str">
        <f t="shared" si="2"/>
        <v>0</v>
      </c>
      <c r="K26" s="566">
        <f t="shared" si="3"/>
        <v>2320</v>
      </c>
      <c r="L26" s="624">
        <v>365.02080000000001</v>
      </c>
      <c r="M26" s="632">
        <f t="shared" si="4"/>
        <v>6.3558021899026027</v>
      </c>
      <c r="O26" s="581"/>
      <c r="P26" s="581"/>
    </row>
    <row r="27" spans="1:16" x14ac:dyDescent="0.2">
      <c r="A27" s="627">
        <v>21</v>
      </c>
      <c r="B27" s="631">
        <f>IF('Entries June''25'!B28-'Entries June''25'!B27&lt;1,"0",'Entries June''25'!B28-'Entries June''25'!B27)</f>
        <v>270</v>
      </c>
      <c r="C27" s="566">
        <f>IF('Entries June''25'!F28-'Entries June''25'!F27&lt;1,"0",'Entries June''25'!F28-'Entries June''25'!F27)</f>
        <v>2.1000000000003638</v>
      </c>
      <c r="D27" s="566">
        <f>IF('Entries June''25'!C27=0,0,+'Entries June''25'!C27-'Entries June''25'!C26)</f>
        <v>0</v>
      </c>
      <c r="E27" s="566" t="str">
        <f>IF('Entries June''25'!G28-'Entries June''25'!G27&lt;1,"0",'Entries June''25'!G28-'Entries June''25'!G27)</f>
        <v>0</v>
      </c>
      <c r="F27" s="566"/>
      <c r="G27" s="566"/>
      <c r="H27" s="625">
        <f t="shared" si="0"/>
        <v>128.5714285714063</v>
      </c>
      <c r="I27" s="625" t="str">
        <f t="shared" si="1"/>
        <v>0</v>
      </c>
      <c r="J27" s="625" t="str">
        <f t="shared" si="2"/>
        <v>0</v>
      </c>
      <c r="K27" s="566">
        <f t="shared" si="3"/>
        <v>270</v>
      </c>
      <c r="L27" s="624" t="str">
        <v>0</v>
      </c>
      <c r="M27" s="632" t="str">
        <f t="shared" si="4"/>
        <v>0</v>
      </c>
      <c r="O27" s="581"/>
      <c r="P27" s="581"/>
    </row>
    <row r="28" spans="1:16" x14ac:dyDescent="0.2">
      <c r="A28" s="627">
        <v>22</v>
      </c>
      <c r="B28" s="631" t="str">
        <f>IF('Entries June''25'!B29-'Entries June''25'!B28&lt;1,"0",'Entries June''25'!B29-'Entries June''25'!B28)</f>
        <v>0</v>
      </c>
      <c r="C28" s="566" t="str">
        <f>IF('Entries June''25'!F29-'Entries June''25'!F28&lt;1,"0",'Entries June''25'!F29-'Entries June''25'!F28)</f>
        <v>0</v>
      </c>
      <c r="D28" s="566">
        <f>IF('Entries June''25'!C28=0,0,+'Entries June''25'!C28-'Entries June''25'!C27)</f>
        <v>0</v>
      </c>
      <c r="E28" s="566" t="str">
        <f>IF('Entries June''25'!G29-'Entries June''25'!G28&lt;1,"0",'Entries June''25'!G29-'Entries June''25'!G28)</f>
        <v>0</v>
      </c>
      <c r="F28" s="566"/>
      <c r="G28" s="566"/>
      <c r="H28" s="625" t="str">
        <f t="shared" si="0"/>
        <v>0</v>
      </c>
      <c r="I28" s="625" t="str">
        <f t="shared" si="1"/>
        <v>0</v>
      </c>
      <c r="J28" s="625" t="str">
        <f t="shared" si="2"/>
        <v>0</v>
      </c>
      <c r="K28" s="566">
        <f t="shared" si="3"/>
        <v>0</v>
      </c>
      <c r="L28" s="624" t="str">
        <v>0</v>
      </c>
      <c r="M28" s="632" t="str">
        <f t="shared" si="4"/>
        <v>0</v>
      </c>
      <c r="O28" s="581"/>
      <c r="P28" s="581"/>
    </row>
    <row r="29" spans="1:16" x14ac:dyDescent="0.2">
      <c r="A29" s="627">
        <v>23</v>
      </c>
      <c r="B29" s="631">
        <f>IF('Entries June''25'!B30-'Entries June''25'!B29&lt;1,"0",'Entries June''25'!B30-'Entries June''25'!B29)</f>
        <v>3250</v>
      </c>
      <c r="C29" s="566">
        <f>IF('Entries June''25'!F30-'Entries June''25'!F29&lt;1,"0",'Entries June''25'!F30-'Entries June''25'!F29)</f>
        <v>22.699999999999818</v>
      </c>
      <c r="D29" s="566">
        <f>IF('Entries June''25'!C29=0,0,+'Entries June''25'!C29-'Entries June''25'!C28)</f>
        <v>0</v>
      </c>
      <c r="E29" s="566" t="str">
        <f>IF('Entries June''25'!G30-'Entries June''25'!G29&lt;1,"0",'Entries June''25'!G30-'Entries June''25'!G29)</f>
        <v>0</v>
      </c>
      <c r="F29" s="566"/>
      <c r="G29" s="566"/>
      <c r="H29" s="625">
        <f t="shared" si="0"/>
        <v>143.17180616740202</v>
      </c>
      <c r="I29" s="625" t="str">
        <f t="shared" si="1"/>
        <v>0</v>
      </c>
      <c r="J29" s="625" t="str">
        <f t="shared" si="2"/>
        <v>0</v>
      </c>
      <c r="K29" s="566">
        <f t="shared" si="3"/>
        <v>3250</v>
      </c>
      <c r="L29" s="624">
        <v>475.86</v>
      </c>
      <c r="M29" s="632">
        <f t="shared" si="4"/>
        <v>6.8297398394485773</v>
      </c>
      <c r="O29" s="581"/>
      <c r="P29" s="581"/>
    </row>
    <row r="30" spans="1:16" x14ac:dyDescent="0.2">
      <c r="A30" s="627">
        <v>24</v>
      </c>
      <c r="B30" s="631">
        <f>IF('Entries June''25'!B31-'Entries June''25'!B30&lt;1,"0",'Entries June''25'!B31-'Entries June''25'!B30)</f>
        <v>3520</v>
      </c>
      <c r="C30" s="566">
        <f>IF('Entries June''25'!F31-'Entries June''25'!F30&lt;1,"0",'Entries June''25'!F31-'Entries June''25'!F30)</f>
        <v>21.400000000000546</v>
      </c>
      <c r="D30" s="566">
        <f>IF('Entries June''25'!C30=0,0,+'Entries June''25'!C30-'Entries June''25'!C29)</f>
        <v>0</v>
      </c>
      <c r="E30" s="566" t="str">
        <f>IF('Entries June''25'!G31-'Entries June''25'!G30&lt;1,"0",'Entries June''25'!G31-'Entries June''25'!G30)</f>
        <v>0</v>
      </c>
      <c r="F30" s="566"/>
      <c r="G30" s="566"/>
      <c r="H30" s="625">
        <f t="shared" si="0"/>
        <v>164.48598130840702</v>
      </c>
      <c r="I30" s="625" t="str">
        <f t="shared" si="1"/>
        <v>0</v>
      </c>
      <c r="J30" s="625" t="str">
        <f t="shared" si="2"/>
        <v>0</v>
      </c>
      <c r="K30" s="566">
        <f t="shared" si="3"/>
        <v>3520</v>
      </c>
      <c r="L30" s="624">
        <v>367.75200000000001</v>
      </c>
      <c r="M30" s="632">
        <f t="shared" si="4"/>
        <v>9.5716678631251497</v>
      </c>
      <c r="O30" s="581"/>
      <c r="P30" s="581"/>
    </row>
    <row r="31" spans="1:16" x14ac:dyDescent="0.2">
      <c r="A31" s="627">
        <v>25</v>
      </c>
      <c r="B31" s="631">
        <f>IF('Entries June''25'!B32-'Entries June''25'!B31&lt;1,"0",'Entries June''25'!B32-'Entries June''25'!B31)</f>
        <v>3930</v>
      </c>
      <c r="C31" s="566">
        <f>IF('Entries June''25'!F32-'Entries June''25'!F31&lt;1,"0",'Entries June''25'!F32-'Entries June''25'!F31)</f>
        <v>22</v>
      </c>
      <c r="D31" s="566">
        <f>IF('Entries June''25'!C31=0,0,+'Entries June''25'!C31-'Entries June''25'!C30)</f>
        <v>0</v>
      </c>
      <c r="E31" s="566" t="str">
        <f>IF('Entries June''25'!G32-'Entries June''25'!G31&lt;1,"0",'Entries June''25'!G32-'Entries June''25'!G31)</f>
        <v>0</v>
      </c>
      <c r="F31" s="566"/>
      <c r="G31" s="566"/>
      <c r="H31" s="625">
        <f t="shared" si="0"/>
        <v>178.63636363636363</v>
      </c>
      <c r="I31" s="625" t="str">
        <f t="shared" si="1"/>
        <v>0</v>
      </c>
      <c r="J31" s="625" t="str">
        <f t="shared" si="2"/>
        <v>0</v>
      </c>
      <c r="K31" s="566">
        <f t="shared" si="3"/>
        <v>3930</v>
      </c>
      <c r="L31" s="624">
        <v>663.30000000000007</v>
      </c>
      <c r="M31" s="632">
        <f t="shared" si="4"/>
        <v>5.9249208502939839</v>
      </c>
      <c r="O31" s="581"/>
      <c r="P31" s="581"/>
    </row>
    <row r="32" spans="1:16" x14ac:dyDescent="0.2">
      <c r="A32" s="627">
        <v>26</v>
      </c>
      <c r="B32" s="631">
        <f>IF('Entries June''25'!B33-'Entries June''25'!B32&lt;1,"0",'Entries June''25'!B33-'Entries June''25'!B32)</f>
        <v>3420</v>
      </c>
      <c r="C32" s="566">
        <f>IF('Entries June''25'!F33-'Entries June''25'!F32&lt;1,"0",'Entries June''25'!F33-'Entries June''25'!F32)</f>
        <v>21.399999999999636</v>
      </c>
      <c r="D32" s="566">
        <f>IF('Entries June''25'!C32=0,0,+'Entries June''25'!C32-'Entries June''25'!C31)</f>
        <v>0</v>
      </c>
      <c r="E32" s="566" t="str">
        <f>IF('Entries June''25'!G33-'Entries June''25'!G32&lt;1,"0",'Entries June''25'!G33-'Entries June''25'!G32)</f>
        <v>0</v>
      </c>
      <c r="F32" s="566"/>
      <c r="G32" s="566"/>
      <c r="H32" s="625">
        <f t="shared" si="0"/>
        <v>159.81308411215224</v>
      </c>
      <c r="I32" s="625" t="str">
        <f t="shared" si="1"/>
        <v>0</v>
      </c>
      <c r="J32" s="625" t="str">
        <f t="shared" si="2"/>
        <v>0</v>
      </c>
      <c r="K32" s="566">
        <f t="shared" si="3"/>
        <v>3420</v>
      </c>
      <c r="L32" s="624">
        <v>526.28399999999999</v>
      </c>
      <c r="M32" s="632">
        <f t="shared" si="4"/>
        <v>6.4983925029071754</v>
      </c>
      <c r="O32" s="581"/>
      <c r="P32" s="581"/>
    </row>
    <row r="33" spans="1:16" x14ac:dyDescent="0.2">
      <c r="A33" s="627">
        <v>27</v>
      </c>
      <c r="B33" s="631">
        <f>IF('Entries June''25'!B34-'Entries June''25'!B33&lt;1,"0",'Entries June''25'!B34-'Entries June''25'!B33)</f>
        <v>3240</v>
      </c>
      <c r="C33" s="566">
        <f>IF('Entries June''25'!F34-'Entries June''25'!F33&lt;1,"0",'Entries June''25'!F34-'Entries June''25'!F33)</f>
        <v>21</v>
      </c>
      <c r="D33" s="566">
        <f>IF('Entries June''25'!C33=0,0,+'Entries June''25'!C33-'Entries June''25'!C32)</f>
        <v>0</v>
      </c>
      <c r="E33" s="566" t="str">
        <f>IF('Entries June''25'!G34-'Entries June''25'!G33&lt;1,"0",'Entries June''25'!G34-'Entries June''25'!G33)</f>
        <v>0</v>
      </c>
      <c r="F33" s="566"/>
      <c r="G33" s="566"/>
      <c r="H33" s="625">
        <f t="shared" si="0"/>
        <v>154.28571428571428</v>
      </c>
      <c r="I33" s="625" t="str">
        <f t="shared" si="1"/>
        <v>0</v>
      </c>
      <c r="J33" s="625" t="str">
        <f t="shared" si="2"/>
        <v>0</v>
      </c>
      <c r="K33" s="566">
        <f t="shared" si="3"/>
        <v>3240</v>
      </c>
      <c r="L33" s="624">
        <v>402.20400000000001</v>
      </c>
      <c r="M33" s="632">
        <f t="shared" si="4"/>
        <v>8.0556135692335236</v>
      </c>
      <c r="O33" s="581"/>
      <c r="P33" s="581"/>
    </row>
    <row r="34" spans="1:16" x14ac:dyDescent="0.2">
      <c r="A34" s="627">
        <v>28</v>
      </c>
      <c r="B34" s="631">
        <f>IF('Entries June''25'!B35-'Entries June''25'!B34&lt;1,"0",'Entries June''25'!B35-'Entries June''25'!B34)</f>
        <v>1880</v>
      </c>
      <c r="C34" s="566">
        <f>IF('Entries June''25'!F35-'Entries June''25'!F34&lt;1,"0",'Entries June''25'!F35-'Entries June''25'!F34)</f>
        <v>17.800000000000182</v>
      </c>
      <c r="D34" s="566">
        <f>IF('Entries June''25'!C34=0,0,+'Entries June''25'!C34-'Entries June''25'!C33)</f>
        <v>0</v>
      </c>
      <c r="E34" s="566" t="str">
        <f>IF('Entries June''25'!G35-'Entries June''25'!G34&lt;1,"0",'Entries June''25'!G35-'Entries June''25'!G34)</f>
        <v>0</v>
      </c>
      <c r="F34" s="566"/>
      <c r="G34" s="566"/>
      <c r="H34" s="625">
        <f t="shared" si="0"/>
        <v>105.61797752808882</v>
      </c>
      <c r="I34" s="625" t="str">
        <f t="shared" si="1"/>
        <v>0</v>
      </c>
      <c r="J34" s="625" t="str">
        <f t="shared" si="2"/>
        <v>0</v>
      </c>
      <c r="K34" s="566">
        <f t="shared" si="3"/>
        <v>1880</v>
      </c>
      <c r="L34" s="624" t="str">
        <v>0</v>
      </c>
      <c r="M34" s="632" t="str">
        <f t="shared" si="4"/>
        <v>0</v>
      </c>
      <c r="O34" s="581"/>
      <c r="P34" s="581"/>
    </row>
    <row r="35" spans="1:16" x14ac:dyDescent="0.2">
      <c r="A35" s="627">
        <v>29</v>
      </c>
      <c r="B35" s="631">
        <f>IF('Entries June''25'!B36-'Entries June''25'!B35&lt;1,"0",'Entries June''25'!B36-'Entries June''25'!B35)</f>
        <v>1480</v>
      </c>
      <c r="C35" s="566">
        <f>IF('Entries June''25'!F36-'Entries June''25'!F35&lt;1,"0",'Entries June''25'!F36-'Entries June''25'!F35)</f>
        <v>10.199999999999818</v>
      </c>
      <c r="D35" s="566"/>
      <c r="E35" s="566" t="str">
        <f>IF('Entries June''25'!G36-'Entries June''25'!G35&lt;1,"0",'Entries June''25'!G36-'Entries June''25'!G35)</f>
        <v>0</v>
      </c>
      <c r="F35" s="566"/>
      <c r="G35" s="566"/>
      <c r="H35" s="625">
        <f t="shared" si="0"/>
        <v>145.09803921568886</v>
      </c>
      <c r="I35" s="625" t="str">
        <f t="shared" si="1"/>
        <v>0</v>
      </c>
      <c r="J35" s="625" t="str">
        <f t="shared" si="2"/>
        <v>0</v>
      </c>
      <c r="K35" s="566">
        <f t="shared" si="3"/>
        <v>1480</v>
      </c>
      <c r="L35" s="624">
        <v>29.040000000000003</v>
      </c>
      <c r="M35" s="632">
        <f t="shared" si="4"/>
        <v>50.964187327823687</v>
      </c>
      <c r="O35" s="30"/>
    </row>
    <row r="36" spans="1:16" x14ac:dyDescent="0.2">
      <c r="A36" s="627">
        <v>30</v>
      </c>
      <c r="B36" s="631">
        <f>IF('Entries June''25'!B37-'Entries June''25'!B36&lt;1,"0",'Entries June''25'!B37-'Entries June''25'!B36)</f>
        <v>3330</v>
      </c>
      <c r="C36" s="566">
        <f>IF('Entries June''25'!F37-'Entries June''25'!F36&lt;1,"0",'Entries June''25'!F37-'Entries June''25'!F36)</f>
        <v>22</v>
      </c>
      <c r="D36" s="566"/>
      <c r="E36" s="566" t="str">
        <f>IF('Entries June''25'!G37-'Entries June''25'!G36&lt;1,"0",'Entries June''25'!G37-'Entries June''25'!G36)</f>
        <v>0</v>
      </c>
      <c r="F36" s="566"/>
      <c r="G36" s="566"/>
      <c r="H36" s="625">
        <f t="shared" si="0"/>
        <v>151.36363636363637</v>
      </c>
      <c r="I36" s="625" t="str">
        <f t="shared" si="1"/>
        <v>0</v>
      </c>
      <c r="J36" s="625" t="str">
        <f t="shared" si="2"/>
        <v>0</v>
      </c>
      <c r="K36" s="566">
        <f t="shared" si="3"/>
        <v>3330</v>
      </c>
      <c r="L36" s="624">
        <v>272.84399999999999</v>
      </c>
      <c r="M36" s="632">
        <f t="shared" si="4"/>
        <v>12.204776355719753</v>
      </c>
      <c r="O36" s="30"/>
    </row>
    <row r="37" spans="1:16" x14ac:dyDescent="0.2">
      <c r="A37" s="627"/>
      <c r="B37" s="631" t="str">
        <f>IF('Entries June''25'!B38-'Entries June''25'!B37&lt;1,"0",'Entries June''25'!B38-'Entries June''25'!B37)</f>
        <v>0</v>
      </c>
      <c r="C37" s="566" t="str">
        <f>IF('Entries June''25'!F38-'Entries June''25'!F37&lt;1,"0",'Entries June''25'!F38-'Entries June''25'!F37)</f>
        <v>0</v>
      </c>
      <c r="D37" s="566"/>
      <c r="E37" s="566" t="str">
        <f>IF('Entries June''25'!G38-'Entries June''25'!G37&lt;1,"0",'Entries June''25'!G38-'Entries June''25'!G37)</f>
        <v>0</v>
      </c>
      <c r="F37" s="566"/>
      <c r="G37" s="566"/>
      <c r="H37" s="625" t="str">
        <f t="shared" si="0"/>
        <v>0</v>
      </c>
      <c r="I37" s="625" t="str">
        <f t="shared" ref="I37" si="5">IF(E37=0,"0", D37/E37)</f>
        <v>0</v>
      </c>
      <c r="J37" s="625" t="str">
        <f t="shared" ref="J37" si="6">IF(G37=0,"0", F37/G37)</f>
        <v>0</v>
      </c>
      <c r="K37" s="566">
        <f t="shared" ref="K37" si="7">B37+D37+F37</f>
        <v>0</v>
      </c>
      <c r="L37" s="624" t="str">
        <v>0</v>
      </c>
      <c r="M37" s="632"/>
      <c r="O37" s="258"/>
    </row>
    <row r="38" spans="1:16" ht="18.75" thickBot="1" x14ac:dyDescent="0.3">
      <c r="A38" s="46" t="s">
        <v>89</v>
      </c>
      <c r="B38" s="713">
        <f>SUM(B7:B37)</f>
        <v>69480</v>
      </c>
      <c r="C38" s="714">
        <f>SUM(C7:C37)</f>
        <v>451.89999999999964</v>
      </c>
      <c r="D38" s="567">
        <f t="shared" ref="D38:E38" si="8">SUM(D7:D34)</f>
        <v>0</v>
      </c>
      <c r="E38" s="714">
        <f t="shared" si="8"/>
        <v>0</v>
      </c>
      <c r="F38" s="567"/>
      <c r="G38" s="633"/>
      <c r="H38" s="726">
        <f t="shared" si="0"/>
        <v>153.75082982960845</v>
      </c>
      <c r="I38" s="633"/>
      <c r="J38" s="633"/>
      <c r="K38" s="634">
        <f>SUM(K7:K37)</f>
        <v>69480</v>
      </c>
      <c r="L38" s="635">
        <f>SUM(L7:L37)</f>
        <v>8404.5408000000007</v>
      </c>
      <c r="M38" s="636">
        <f>IF(L38=0,"0",(K38/L38))</f>
        <v>8.2669596892194264</v>
      </c>
      <c r="N38" s="591">
        <v>7.2</v>
      </c>
      <c r="O38" s="592">
        <f>M38/N38*100</f>
        <v>114.81888457249202</v>
      </c>
    </row>
    <row r="39" spans="1:16" ht="16.5" thickBot="1" x14ac:dyDescent="0.3">
      <c r="A39" s="8" t="s">
        <v>280</v>
      </c>
      <c r="B39" s="720">
        <f>AVERAGE(B7:B37)</f>
        <v>2481.4285714285716</v>
      </c>
      <c r="C39" s="721">
        <f>AVERAGE(C7:C37)</f>
        <v>16.139285714285702</v>
      </c>
      <c r="D39" s="30"/>
      <c r="H39" s="641" t="s">
        <v>45</v>
      </c>
    </row>
    <row r="40" spans="1:16" x14ac:dyDescent="0.2">
      <c r="B40" s="8"/>
      <c r="C40" s="42"/>
      <c r="D40" s="30"/>
      <c r="J40" s="8" t="s">
        <v>61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39" priority="1" operator="greaterThan">
      <formula>24</formula>
    </cfRule>
  </conditionalFormatting>
  <conditionalFormatting sqref="M7:M37">
    <cfRule type="cellIs" dxfId="38" priority="3" operator="greaterThan">
      <formula>7.2</formula>
    </cfRule>
    <cfRule type="cellIs" dxfId="37" priority="4" operator="greaterThan">
      <formula>7.2</formula>
    </cfRule>
    <cfRule type="cellIs" dxfId="36" priority="5" operator="between">
      <formula>0</formula>
      <formula>7.2</formula>
    </cfRule>
    <cfRule type="cellIs" dxfId="35" priority="7" operator="lessThan">
      <formula>7.2</formula>
    </cfRule>
  </conditionalFormatting>
  <conditionalFormatting sqref="M7:M38">
    <cfRule type="cellIs" dxfId="34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J40" sqref="J40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5703125" style="8" customWidth="1"/>
    <col min="4" max="6" width="16.42578125" style="8" customWidth="1"/>
    <col min="7" max="10" width="18.5703125" style="8" customWidth="1"/>
    <col min="11" max="11" width="19.5703125" style="8" customWidth="1"/>
    <col min="12" max="16" width="18.5703125" style="8" customWidth="1"/>
    <col min="17" max="17" width="19.42578125" style="8" customWidth="1"/>
    <col min="18" max="18" width="14.5703125" style="8" customWidth="1"/>
    <col min="19" max="24" width="20.42578125" style="8" customWidth="1"/>
    <col min="25" max="25" width="17.5703125" style="8" customWidth="1"/>
    <col min="26" max="26" width="17.5703125" style="258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846"/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  <c r="U1" s="847"/>
      <c r="V1" s="847"/>
      <c r="W1" s="847"/>
      <c r="X1" s="847"/>
      <c r="Y1" s="847"/>
      <c r="Z1" s="847"/>
      <c r="AA1" s="847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866" t="s">
        <v>7</v>
      </c>
      <c r="C4" s="858" t="s">
        <v>112</v>
      </c>
      <c r="D4" s="863" t="s">
        <v>113</v>
      </c>
      <c r="E4" s="858" t="s">
        <v>114</v>
      </c>
      <c r="F4" s="863" t="s">
        <v>258</v>
      </c>
      <c r="G4" s="863" t="s">
        <v>115</v>
      </c>
      <c r="H4" s="863" t="s">
        <v>172</v>
      </c>
      <c r="I4" s="858" t="s">
        <v>223</v>
      </c>
      <c r="J4" s="858" t="s">
        <v>116</v>
      </c>
      <c r="K4" s="858" t="s">
        <v>185</v>
      </c>
      <c r="L4" s="858" t="s">
        <v>184</v>
      </c>
      <c r="M4" s="858" t="s">
        <v>110</v>
      </c>
      <c r="N4" s="49"/>
      <c r="O4" s="49"/>
      <c r="P4" s="49"/>
      <c r="Q4" s="49"/>
      <c r="R4" s="863" t="s">
        <v>117</v>
      </c>
      <c r="S4" s="863" t="s">
        <v>259</v>
      </c>
      <c r="T4" s="49"/>
      <c r="U4" s="858" t="s">
        <v>163</v>
      </c>
      <c r="V4" s="49"/>
      <c r="W4" s="49"/>
      <c r="X4" s="858" t="s">
        <v>186</v>
      </c>
      <c r="Y4" s="858" t="s">
        <v>187</v>
      </c>
      <c r="Z4" s="856" t="s">
        <v>266</v>
      </c>
      <c r="AA4" s="860" t="s">
        <v>262</v>
      </c>
      <c r="AB4" s="854" t="s">
        <v>83</v>
      </c>
    </row>
    <row r="5" spans="1:31" s="541" customFormat="1" ht="47.25" customHeight="1" x14ac:dyDescent="0.2">
      <c r="B5" s="867"/>
      <c r="C5" s="865"/>
      <c r="D5" s="864"/>
      <c r="E5" s="859"/>
      <c r="F5" s="864"/>
      <c r="G5" s="864"/>
      <c r="H5" s="864"/>
      <c r="I5" s="859"/>
      <c r="J5" s="859"/>
      <c r="K5" s="859"/>
      <c r="L5" s="859"/>
      <c r="M5" s="859"/>
      <c r="N5" s="51" t="s">
        <v>118</v>
      </c>
      <c r="O5" s="51" t="s">
        <v>119</v>
      </c>
      <c r="P5" s="51" t="s">
        <v>261</v>
      </c>
      <c r="Q5" s="51" t="s">
        <v>120</v>
      </c>
      <c r="R5" s="864"/>
      <c r="S5" s="864"/>
      <c r="T5" s="50" t="s">
        <v>106</v>
      </c>
      <c r="U5" s="862"/>
      <c r="V5" s="83" t="s">
        <v>167</v>
      </c>
      <c r="W5" s="83" t="s">
        <v>168</v>
      </c>
      <c r="X5" s="859"/>
      <c r="Y5" s="859"/>
      <c r="Z5" s="857"/>
      <c r="AA5" s="861"/>
      <c r="AB5" s="855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82"/>
      <c r="W6" s="31"/>
      <c r="X6" s="31"/>
      <c r="Y6" s="31"/>
      <c r="Z6" s="574"/>
      <c r="AA6" s="575"/>
      <c r="AB6" s="576"/>
    </row>
    <row r="7" spans="1:31" x14ac:dyDescent="0.2">
      <c r="B7" s="52">
        <v>1</v>
      </c>
      <c r="C7" s="53" t="str">
        <f>IF('Entries June''25'!W8-'Entries June''25'!W7&lt;1,"0",'Entries June''25'!W8-'Entries June''25'!W7)</f>
        <v>0</v>
      </c>
      <c r="D7" s="31" t="str">
        <f>IF('Entries June''25'!O8-'Entries June''25'!O7&lt;1,"0",'Entries June''25'!O8-'Entries June''25'!O7)</f>
        <v>0</v>
      </c>
      <c r="E7" s="31">
        <f>IF('Entries June''25'!P8-'Entries June''25'!P7&lt;1,"0",'Entries June''25'!P8-'Entries June''25'!P7)</f>
        <v>71</v>
      </c>
      <c r="F7" s="31">
        <f>IF('Entries June''25'!V8-'Entries June''25'!V7&lt;1,"0",'Entries June''25'!V8-'Entries June''25'!V7)</f>
        <v>72</v>
      </c>
      <c r="G7" s="31">
        <f>(D7+E7)-F7</f>
        <v>-1</v>
      </c>
      <c r="H7" s="31">
        <f>IF('Entries June''25'!Q8-'Entries June''25'!Q7&lt;1,0,'Entries June''25'!Q8-'Entries June''25'!Q7)</f>
        <v>12</v>
      </c>
      <c r="I7" s="31">
        <f>IF('Entries June''25'!AG8-'Entries June''25'!AG7&lt;1,0,'Entries June''25'!AG8-'Entries June''25'!AG7)</f>
        <v>0</v>
      </c>
      <c r="J7" s="31" t="str">
        <f>IF('Entries June''25'!S8-'Entries June''25'!S7&lt;1,"0",'Entries June''25'!S8-'Entries June''25'!S7)</f>
        <v>0</v>
      </c>
      <c r="K7" s="31" t="str">
        <f>IF('Entries June''25'!R8-'Entries June''25'!R7&lt;1,"0",'Entries June''25'!R8-'Entries June''25'!R7)</f>
        <v>0</v>
      </c>
      <c r="L7" s="31" t="str">
        <f>IF('Entries June''25'!T8-'Entries June''25'!T7&lt;1,"0",'Entries June''25'!T8-'Entries June''25'!T7)</f>
        <v>0</v>
      </c>
      <c r="M7" s="31" t="str">
        <f>IF('Entries June''25'!U8-'Entries June''25'!U7&lt;1,"0",'Entries June''25'!U8-'Entries June''25'!U7)</f>
        <v>0</v>
      </c>
      <c r="N7" s="31" t="str">
        <f>IF('Entries June''25'!X8-'Entries June''25'!X7&lt;1,"0",'Entries June''25'!X8-'Entries June''25'!X7)</f>
        <v>0</v>
      </c>
      <c r="O7" s="31">
        <f>IF('Entries June''25'!Y8-'Entries June''25'!Y7&lt;1,"0",'Entries June''25'!Y8-'Entries June''25'!Y7)</f>
        <v>27</v>
      </c>
      <c r="P7" s="31" t="str">
        <f>IF('Entries June''25'!AC8-'Entries June''25'!AC7&lt;1,"0",'Entries June''25'!AC8-'Entries June''25'!AC7)</f>
        <v>0</v>
      </c>
      <c r="Q7" s="31">
        <f>IF('Entries June''25'!Z8-'Entries June''25'!Z7&lt;1,"0",'Entries June''25'!Z8-'Entries June''25'!Z7)</f>
        <v>1</v>
      </c>
      <c r="R7" s="31" t="str">
        <f>IF(('Entries June''25'!AA8-'Entries June''25'!AA7)+('Entries June''25'!AB8-'Entries June''25'!AB7)&lt;1,"0",('Entries June''25'!AA8-'Entries June''25'!AA7)+('Entries June''25'!AB8-'Entries June''25'!AB7))</f>
        <v>0</v>
      </c>
      <c r="S7" s="53">
        <f>(R7+G7)*10</f>
        <v>-10</v>
      </c>
      <c r="T7" s="53">
        <f>O7+N7+M7+L7</f>
        <v>27</v>
      </c>
      <c r="U7" s="31" t="str">
        <f>IF('Entries June''25'!AC8-'Entries June''25'!AC7&lt;1,"0",'Entries June''25'!AC8-'Entries June''25'!AC7)</f>
        <v>0</v>
      </c>
      <c r="V7" s="31" t="str">
        <f>IF('Entries June''25'!AD8-'Entries June''25'!AD7&lt;1,"0",'Entries June''25'!AD8-'Entries June''25'!AD7)</f>
        <v>0</v>
      </c>
      <c r="W7" s="31" t="str">
        <f>IF('Entries June''25'!AE8-'Entries June''25'!AE7&lt;1,"0",'Entries June''25'!AE8-'Entries June''25'!AE7)</f>
        <v>0</v>
      </c>
      <c r="X7" s="82" t="str">
        <f>IF('Entries June''25'!AI8-'Entries June''25'!AI7&lt;1,"0",'Entries June''25'!AI8-'Entries June''25'!AI7)</f>
        <v>0</v>
      </c>
      <c r="Y7" s="82" t="str">
        <f>IF('Entries June''25'!AH8-'Entries June''25'!AH7&lt;1,"0",'Entries June''25'!AH8-'Entries June''25'!AH7)</f>
        <v>0</v>
      </c>
      <c r="Z7" s="577">
        <f>C7+D7+E7</f>
        <v>71</v>
      </c>
      <c r="AA7" s="578" t="str" cm="1">
        <f t="array" ref="AA7:AA37">IF(TRANSPOSE('Daily KPIs'!B9:AF9)=0,"0",TRANSPOSE('Daily KPIs'!B9:AF9))</f>
        <v>0</v>
      </c>
      <c r="AB7" s="579" t="str">
        <f>IF(AA7=0,"0",(Z7*10/AA7))</f>
        <v>0</v>
      </c>
    </row>
    <row r="8" spans="1:31" x14ac:dyDescent="0.2">
      <c r="B8" s="52">
        <v>2</v>
      </c>
      <c r="C8" s="53" t="str">
        <f>IF('Entries June''25'!W9-'Entries June''25'!W8&lt;1,"0",'Entries June''25'!W9-'Entries June''25'!W8)</f>
        <v>0</v>
      </c>
      <c r="D8" s="31">
        <f>IF('Entries June''25'!O9-'Entries June''25'!O8&lt;1,"0",'Entries June''25'!O9-'Entries June''25'!O8)</f>
        <v>267</v>
      </c>
      <c r="E8" s="31">
        <f>IF('Entries June''25'!P9-'Entries June''25'!P8&lt;1,"0",'Entries June''25'!P9-'Entries June''25'!P8)</f>
        <v>188</v>
      </c>
      <c r="F8" s="31">
        <f>IF('Entries June''25'!V9-'Entries June''25'!V8&lt;1,"0",'Entries June''25'!V9-'Entries June''25'!V8)</f>
        <v>200</v>
      </c>
      <c r="G8" s="31">
        <f t="shared" ref="G8:G37" si="0">(D8+E8)-F8</f>
        <v>255</v>
      </c>
      <c r="H8" s="31">
        <f>IF('Entries June''25'!Q9-'Entries June''25'!Q8&lt;1,0,'Entries June''25'!Q9-'Entries June''25'!Q8)</f>
        <v>335</v>
      </c>
      <c r="I8" s="31">
        <f>IF('Entries June''25'!AG9-'Entries June''25'!AG8&lt;1,0,'Entries June''25'!AG9-'Entries June''25'!AG8)</f>
        <v>0</v>
      </c>
      <c r="J8" s="31">
        <f>IF('Entries June''25'!S9-'Entries June''25'!S8&lt;1,"0",'Entries June''25'!S9-'Entries June''25'!S8)</f>
        <v>113</v>
      </c>
      <c r="K8" s="31" t="str">
        <f>IF('Entries June''25'!R9-'Entries June''25'!R8&lt;1,"0",'Entries June''25'!R9-'Entries June''25'!R8)</f>
        <v>0</v>
      </c>
      <c r="L8" s="31" t="str">
        <f>IF('Entries June''25'!T9-'Entries June''25'!T8&lt;1,"0",'Entries June''25'!T9-'Entries June''25'!T8)</f>
        <v>0</v>
      </c>
      <c r="M8" s="31">
        <f>IF('Entries June''25'!U9-'Entries June''25'!U8&lt;1,"0",'Entries June''25'!U9-'Entries June''25'!U8)</f>
        <v>19</v>
      </c>
      <c r="N8" s="31">
        <f>IF('Entries June''25'!X9-'Entries June''25'!X8&lt;1,"0",'Entries June''25'!X9-'Entries June''25'!X8)</f>
        <v>85</v>
      </c>
      <c r="O8" s="31">
        <f>IF('Entries June''25'!Y9-'Entries June''25'!Y8&lt;1,"0",'Entries June''25'!Y9-'Entries June''25'!Y8)</f>
        <v>113</v>
      </c>
      <c r="P8" s="31" t="str">
        <f>IF('Entries June''25'!AC9-'Entries June''25'!AC8&lt;1,"0",'Entries June''25'!AC9-'Entries June''25'!AC8)</f>
        <v>0</v>
      </c>
      <c r="Q8" s="31">
        <f>IF('Entries June''25'!Z9-'Entries June''25'!Z8&lt;1,"0",'Entries June''25'!Z9-'Entries June''25'!Z8)</f>
        <v>25</v>
      </c>
      <c r="R8" s="31" t="str">
        <f>IF(('Entries June''25'!AA9-'Entries June''25'!AA8)+('Entries June''25'!AB9-'Entries June''25'!AB8)&lt;1,"0",('Entries June''25'!AA9-'Entries June''25'!AA8)+('Entries June''25'!AB9-'Entries June''25'!AB8))</f>
        <v>0</v>
      </c>
      <c r="S8" s="53">
        <f t="shared" ref="S8:S37" si="1">(R8+G8)*10</f>
        <v>2550</v>
      </c>
      <c r="T8" s="53">
        <f t="shared" ref="T8:T36" si="2">O8+N8+M8+L8</f>
        <v>217</v>
      </c>
      <c r="U8" s="31" t="str">
        <f>IF('Entries June''25'!AC9-'Entries June''25'!AC8&lt;1,"0",'Entries June''25'!AC9-'Entries June''25'!AC8)</f>
        <v>0</v>
      </c>
      <c r="V8" s="31" t="str">
        <f>IF('Entries June''25'!AD9-'Entries June''25'!AD8&lt;1,"0",'Entries June''25'!AD9-'Entries June''25'!AD8)</f>
        <v>0</v>
      </c>
      <c r="W8" s="31" t="str">
        <f>IF('Entries June''25'!AE9-'Entries June''25'!AE8&lt;1,"0",'Entries June''25'!AE9-'Entries June''25'!AE8)</f>
        <v>0</v>
      </c>
      <c r="X8" s="82" t="str">
        <f>IF('Entries June''25'!AI9-'Entries June''25'!AI8&lt;1,"0",'Entries June''25'!AI9-'Entries June''25'!AI8)</f>
        <v>0</v>
      </c>
      <c r="Y8" s="82" t="str">
        <f>IF('Entries June''25'!AH9-'Entries June''25'!AH8&lt;1,"0",'Entries June''25'!AH9-'Entries June''25'!AH8)</f>
        <v>0</v>
      </c>
      <c r="Z8" s="577">
        <f t="shared" ref="Z8:Z37" si="3">C8+D8+E8</f>
        <v>455</v>
      </c>
      <c r="AA8" s="578">
        <v>455.60520000000002</v>
      </c>
      <c r="AB8" s="579">
        <f t="shared" ref="AB8:AB36" si="4">IF(AA8=0,"0",(Z8*10/AA8))</f>
        <v>9.9867165695211551</v>
      </c>
    </row>
    <row r="9" spans="1:31" x14ac:dyDescent="0.2">
      <c r="B9" s="52">
        <v>3</v>
      </c>
      <c r="C9" s="53" t="str">
        <f>IF('Entries June''25'!W10-'Entries June''25'!W9&lt;1,"0",'Entries June''25'!W10-'Entries June''25'!W9)</f>
        <v>0</v>
      </c>
      <c r="D9" s="31">
        <f>IF('Entries June''25'!O10-'Entries June''25'!O9&lt;1,"0",'Entries June''25'!O10-'Entries June''25'!O9)</f>
        <v>288</v>
      </c>
      <c r="E9" s="31">
        <f>IF('Entries June''25'!P10-'Entries June''25'!P9&lt;1,"0",'Entries June''25'!P10-'Entries June''25'!P9)</f>
        <v>132</v>
      </c>
      <c r="F9" s="31">
        <f>IF('Entries June''25'!V10-'Entries June''25'!V9&lt;1,"0",'Entries June''25'!V10-'Entries June''25'!V9)</f>
        <v>139</v>
      </c>
      <c r="G9" s="31">
        <f t="shared" si="0"/>
        <v>281</v>
      </c>
      <c r="H9" s="31">
        <f>IF('Entries June''25'!Q10-'Entries June''25'!Q9&lt;1,0,'Entries June''25'!Q10-'Entries June''25'!Q9)</f>
        <v>294</v>
      </c>
      <c r="I9" s="31">
        <f>IF('Entries June''25'!AG10-'Entries June''25'!AG9&lt;1,0,'Entries June''25'!AG10-'Entries June''25'!AG9)</f>
        <v>0</v>
      </c>
      <c r="J9" s="31">
        <f>IF('Entries June''25'!S10-'Entries June''25'!S9&lt;1,"0",'Entries June''25'!S10-'Entries June''25'!S9)</f>
        <v>130</v>
      </c>
      <c r="K9" s="31" t="str">
        <f>IF('Entries June''25'!R10-'Entries June''25'!R9&lt;1,"0",'Entries June''25'!R10-'Entries June''25'!R9)</f>
        <v>0</v>
      </c>
      <c r="L9" s="31" t="str">
        <f>IF('Entries June''25'!T10-'Entries June''25'!T9&lt;1,"0",'Entries June''25'!T10-'Entries June''25'!T9)</f>
        <v>0</v>
      </c>
      <c r="M9" s="31" t="str">
        <f>IF('Entries June''25'!U10-'Entries June''25'!U9&lt;1,"0",'Entries June''25'!U10-'Entries June''25'!U9)</f>
        <v>0</v>
      </c>
      <c r="N9" s="31">
        <f>IF('Entries June''25'!X10-'Entries June''25'!X9&lt;1,"0",'Entries June''25'!X10-'Entries June''25'!X9)</f>
        <v>51</v>
      </c>
      <c r="O9" s="31">
        <f>IF('Entries June''25'!Y10-'Entries June''25'!Y9&lt;1,"0",'Entries June''25'!Y10-'Entries June''25'!Y9)</f>
        <v>158</v>
      </c>
      <c r="P9" s="31">
        <f>IF('Entries June''25'!AC10-'Entries June''25'!AC9&lt;1,"0",'Entries June''25'!AC10-'Entries June''25'!AC9)</f>
        <v>42</v>
      </c>
      <c r="Q9" s="31">
        <f>IF('Entries June''25'!Z10-'Entries June''25'!Z9&lt;1,"0",'Entries June''25'!Z10-'Entries June''25'!Z9)</f>
        <v>20</v>
      </c>
      <c r="R9" s="31" t="str">
        <f>IF(('Entries June''25'!AA10-'Entries June''25'!AA9)+('Entries June''25'!AB10-'Entries June''25'!AB9)&lt;1,"0",('Entries June''25'!AA10-'Entries June''25'!AA9)+('Entries June''25'!AB10-'Entries June''25'!AB9))</f>
        <v>0</v>
      </c>
      <c r="S9" s="53">
        <f t="shared" si="1"/>
        <v>2810</v>
      </c>
      <c r="T9" s="53">
        <f t="shared" si="2"/>
        <v>209</v>
      </c>
      <c r="U9" s="31">
        <f>IF('Entries June''25'!AC10-'Entries June''25'!AC9&lt;1,"0",'Entries June''25'!AC10-'Entries June''25'!AC9)</f>
        <v>42</v>
      </c>
      <c r="V9" s="31" t="str">
        <f>IF('Entries June''25'!AD10-'Entries June''25'!AD9&lt;1,"0",'Entries June''25'!AD10-'Entries June''25'!AD9)</f>
        <v>0</v>
      </c>
      <c r="W9" s="31" t="str">
        <f>IF('Entries June''25'!AE10-'Entries June''25'!AE9&lt;1,"0",'Entries June''25'!AE10-'Entries June''25'!AE9)</f>
        <v>0</v>
      </c>
      <c r="X9" s="82" t="str">
        <f>IF('Entries June''25'!AI10-'Entries June''25'!AI9&lt;1,"0",'Entries June''25'!AI10-'Entries June''25'!AI9)</f>
        <v>0</v>
      </c>
      <c r="Y9" s="82" t="str">
        <f>IF('Entries June''25'!AH10-'Entries June''25'!AH9&lt;1,"0",'Entries June''25'!AH10-'Entries June''25'!AH9)</f>
        <v>0</v>
      </c>
      <c r="Z9" s="577">
        <f t="shared" si="3"/>
        <v>420</v>
      </c>
      <c r="AA9" s="578">
        <v>644.75400000000002</v>
      </c>
      <c r="AB9" s="579">
        <f t="shared" si="4"/>
        <v>6.5141123591323202</v>
      </c>
    </row>
    <row r="10" spans="1:31" x14ac:dyDescent="0.2">
      <c r="B10" s="52">
        <v>4</v>
      </c>
      <c r="C10" s="53" t="str">
        <f>IF('Entries June''25'!W11-'Entries June''25'!W10&lt;1,"0",'Entries June''25'!W11-'Entries June''25'!W10)</f>
        <v>0</v>
      </c>
      <c r="D10" s="31">
        <f>IF('Entries June''25'!O11-'Entries June''25'!O10&lt;1,"0",'Entries June''25'!O11-'Entries June''25'!O10)</f>
        <v>198</v>
      </c>
      <c r="E10" s="31">
        <f>IF('Entries June''25'!P11-'Entries June''25'!P10&lt;1,"0",'Entries June''25'!P11-'Entries June''25'!P10)</f>
        <v>171</v>
      </c>
      <c r="F10" s="31">
        <f>IF('Entries June''25'!V11-'Entries June''25'!V10&lt;1,"0",'Entries June''25'!V11-'Entries June''25'!V10)</f>
        <v>181</v>
      </c>
      <c r="G10" s="31">
        <f t="shared" si="0"/>
        <v>188</v>
      </c>
      <c r="H10" s="31">
        <f>IF('Entries June''25'!Q11-'Entries June''25'!Q10&lt;1,0,'Entries June''25'!Q11-'Entries June''25'!Q10)</f>
        <v>228</v>
      </c>
      <c r="I10" s="31">
        <f>IF('Entries June''25'!AG11-'Entries June''25'!AG10&lt;1,0,'Entries June''25'!AG11-'Entries June''25'!AG10)</f>
        <v>0</v>
      </c>
      <c r="J10" s="31">
        <f>IF('Entries June''25'!S11-'Entries June''25'!S10&lt;1,"0",'Entries June''25'!S11-'Entries June''25'!S10)</f>
        <v>173</v>
      </c>
      <c r="K10" s="31" t="str">
        <f>IF('Entries June''25'!R11-'Entries June''25'!R10&lt;1,"0",'Entries June''25'!R11-'Entries June''25'!R10)</f>
        <v>0</v>
      </c>
      <c r="L10" s="31" t="str">
        <f>IF('Entries June''25'!T11-'Entries June''25'!T10&lt;1,"0",'Entries June''25'!T11-'Entries June''25'!T10)</f>
        <v>0</v>
      </c>
      <c r="M10" s="31" t="str">
        <f>IF('Entries June''25'!U11-'Entries June''25'!U10&lt;1,"0",'Entries June''25'!U11-'Entries June''25'!U10)</f>
        <v>0</v>
      </c>
      <c r="N10" s="31">
        <f>IF('Entries June''25'!X11-'Entries June''25'!X10&lt;1,"0",'Entries June''25'!X11-'Entries June''25'!X10)</f>
        <v>31</v>
      </c>
      <c r="O10" s="31">
        <f>IF('Entries June''25'!Y11-'Entries June''25'!Y10&lt;1,"0",'Entries June''25'!Y11-'Entries June''25'!Y10)</f>
        <v>113</v>
      </c>
      <c r="P10" s="31">
        <f>IF('Entries June''25'!AC11-'Entries June''25'!AC10&lt;1,"0",'Entries June''25'!AC11-'Entries June''25'!AC10)</f>
        <v>22</v>
      </c>
      <c r="Q10" s="31">
        <f>IF('Entries June''25'!Z11-'Entries June''25'!Z10&lt;1,"0",'Entries June''25'!Z11-'Entries June''25'!Z10)</f>
        <v>16</v>
      </c>
      <c r="R10" s="31" t="str">
        <f>IF(('Entries June''25'!AA11-'Entries June''25'!AA10)+('Entries June''25'!AB11-'Entries June''25'!AB10)&lt;1,"0",('Entries June''25'!AA11-'Entries June''25'!AA10)+('Entries June''25'!AB11-'Entries June''25'!AB10))</f>
        <v>0</v>
      </c>
      <c r="S10" s="53">
        <f t="shared" si="1"/>
        <v>1880</v>
      </c>
      <c r="T10" s="53">
        <f t="shared" si="2"/>
        <v>144</v>
      </c>
      <c r="U10" s="31">
        <f>IF('Entries June''25'!AC11-'Entries June''25'!AC10&lt;1,"0",'Entries June''25'!AC11-'Entries June''25'!AC10)</f>
        <v>22</v>
      </c>
      <c r="V10" s="31" t="str">
        <f>IF('Entries June''25'!AD11-'Entries June''25'!AD10&lt;1,"0",'Entries June''25'!AD11-'Entries June''25'!AD10)</f>
        <v>0</v>
      </c>
      <c r="W10" s="31" t="str">
        <f>IF('Entries June''25'!AE11-'Entries June''25'!AE10&lt;1,"0",'Entries June''25'!AE11-'Entries June''25'!AE10)</f>
        <v>0</v>
      </c>
      <c r="X10" s="82" t="str">
        <f>IF('Entries June''25'!AI11-'Entries June''25'!AI10&lt;1,"0",'Entries June''25'!AI11-'Entries June''25'!AI10)</f>
        <v>0</v>
      </c>
      <c r="Y10" s="82" t="str">
        <f>IF('Entries June''25'!AH11-'Entries June''25'!AH10&lt;1,"0",'Entries June''25'!AH11-'Entries June''25'!AH10)</f>
        <v>0</v>
      </c>
      <c r="Z10" s="577">
        <f t="shared" si="3"/>
        <v>369</v>
      </c>
      <c r="AA10" s="578">
        <v>398.44200000000001</v>
      </c>
      <c r="AB10" s="579">
        <f t="shared" si="4"/>
        <v>9.2610718749529415</v>
      </c>
      <c r="AD10" s="8" t="s">
        <v>61</v>
      </c>
    </row>
    <row r="11" spans="1:31" x14ac:dyDescent="0.2">
      <c r="B11" s="52">
        <v>5</v>
      </c>
      <c r="C11" s="53" t="str">
        <f>IF('Entries June''25'!W12-'Entries June''25'!W11&lt;1,"0",'Entries June''25'!W12-'Entries June''25'!W11)</f>
        <v>0</v>
      </c>
      <c r="D11" s="31">
        <f>IF('Entries June''25'!O12-'Entries June''25'!O11&lt;1,"0",'Entries June''25'!O12-'Entries June''25'!O11)</f>
        <v>141</v>
      </c>
      <c r="E11" s="31">
        <f>IF('Entries June''25'!P12-'Entries June''25'!P11&lt;1,"0",'Entries June''25'!P12-'Entries June''25'!P11)</f>
        <v>262</v>
      </c>
      <c r="F11" s="31">
        <f>IF('Entries June''25'!V12-'Entries June''25'!V11&lt;1,"0",'Entries June''25'!V12-'Entries June''25'!V11)</f>
        <v>276</v>
      </c>
      <c r="G11" s="31">
        <f t="shared" si="0"/>
        <v>127</v>
      </c>
      <c r="H11" s="31">
        <f>IF('Entries June''25'!Q12-'Entries June''25'!Q11&lt;1,0,'Entries June''25'!Q12-'Entries June''25'!Q11)</f>
        <v>305</v>
      </c>
      <c r="I11" s="31">
        <f>IF('Entries June''25'!AG12-'Entries June''25'!AG11&lt;1,0,'Entries June''25'!AG12-'Entries June''25'!AG11)</f>
        <v>0</v>
      </c>
      <c r="J11" s="31">
        <f>IF('Entries June''25'!S12-'Entries June''25'!S11&lt;1,"0",'Entries June''25'!S12-'Entries June''25'!S11)</f>
        <v>222</v>
      </c>
      <c r="K11" s="31" t="str">
        <f>IF('Entries June''25'!R12-'Entries June''25'!R11&lt;1,"0",'Entries June''25'!R12-'Entries June''25'!R11)</f>
        <v>0</v>
      </c>
      <c r="L11" s="31" t="str">
        <f>IF('Entries June''25'!T12-'Entries June''25'!T11&lt;1,"0",'Entries June''25'!T12-'Entries June''25'!T11)</f>
        <v>0</v>
      </c>
      <c r="M11" s="31">
        <f>IF('Entries June''25'!U12-'Entries June''25'!U11&lt;1,"0",'Entries June''25'!U12-'Entries June''25'!U11)</f>
        <v>8</v>
      </c>
      <c r="N11" s="31">
        <f>IF('Entries June''25'!X12-'Entries June''25'!X11&lt;1,"0",'Entries June''25'!X12-'Entries June''25'!X11)</f>
        <v>56</v>
      </c>
      <c r="O11" s="31">
        <f>IF('Entries June''25'!Y12-'Entries June''25'!Y11&lt;1,"0",'Entries June''25'!Y12-'Entries June''25'!Y11)</f>
        <v>150</v>
      </c>
      <c r="P11" s="31">
        <f>IF('Entries June''25'!AC12-'Entries June''25'!AC11&lt;1,"0",'Entries June''25'!AC12-'Entries June''25'!AC11)</f>
        <v>23</v>
      </c>
      <c r="Q11" s="31">
        <f>IF('Entries June''25'!Z12-'Entries June''25'!Z11&lt;1,"0",'Entries June''25'!Z12-'Entries June''25'!Z11)</f>
        <v>20</v>
      </c>
      <c r="R11" s="31" t="str">
        <f>IF(('Entries June''25'!AA12-'Entries June''25'!AA11)+('Entries June''25'!AB12-'Entries June''25'!AB11)&lt;1,"0",('Entries June''25'!AA12-'Entries June''25'!AA11)+('Entries June''25'!AB12-'Entries June''25'!AB11))</f>
        <v>0</v>
      </c>
      <c r="S11" s="53">
        <f t="shared" si="1"/>
        <v>1270</v>
      </c>
      <c r="T11" s="53">
        <f t="shared" si="2"/>
        <v>214</v>
      </c>
      <c r="U11" s="31">
        <f>IF('Entries June''25'!AC12-'Entries June''25'!AC11&lt;1,"0",'Entries June''25'!AC12-'Entries June''25'!AC11)</f>
        <v>23</v>
      </c>
      <c r="V11" s="31">
        <f>IF('Entries June''25'!AD12-'Entries June''25'!AD11&lt;1,"0",'Entries June''25'!AD12-'Entries June''25'!AD11)</f>
        <v>16</v>
      </c>
      <c r="W11" s="31" t="str">
        <f>IF('Entries June''25'!AE12-'Entries June''25'!AE11&lt;1,"0",'Entries June''25'!AE12-'Entries June''25'!AE11)</f>
        <v>0</v>
      </c>
      <c r="X11" s="82" t="str">
        <f>IF('Entries June''25'!AI12-'Entries June''25'!AI11&lt;1,"0",'Entries June''25'!AI12-'Entries June''25'!AI11)</f>
        <v>0</v>
      </c>
      <c r="Y11" s="82" t="str">
        <f>IF('Entries June''25'!AH12-'Entries June''25'!AH11&lt;1,"0",'Entries June''25'!AH12-'Entries June''25'!AH11)</f>
        <v>0</v>
      </c>
      <c r="Z11" s="577">
        <f t="shared" si="3"/>
        <v>403</v>
      </c>
      <c r="AA11" s="578">
        <v>496.584</v>
      </c>
      <c r="AB11" s="579">
        <f t="shared" si="4"/>
        <v>8.1154447183155316</v>
      </c>
    </row>
    <row r="12" spans="1:31" x14ac:dyDescent="0.2">
      <c r="A12" s="29"/>
      <c r="B12" s="52">
        <v>6</v>
      </c>
      <c r="C12" s="53" t="str">
        <f>IF('Entries June''25'!W13-'Entries June''25'!W12&lt;1,"0",'Entries June''25'!W13-'Entries June''25'!W12)</f>
        <v>0</v>
      </c>
      <c r="D12" s="31">
        <f>IF('Entries June''25'!O13-'Entries June''25'!O12&lt;1,"0",'Entries June''25'!O13-'Entries June''25'!O12)</f>
        <v>223</v>
      </c>
      <c r="E12" s="31">
        <f>IF('Entries June''25'!P13-'Entries June''25'!P12&lt;1,"0",'Entries June''25'!P13-'Entries June''25'!P12)</f>
        <v>287</v>
      </c>
      <c r="F12" s="31">
        <f>IF('Entries June''25'!V13-'Entries June''25'!V12&lt;1,"0",'Entries June''25'!V13-'Entries June''25'!V12)</f>
        <v>302</v>
      </c>
      <c r="G12" s="31">
        <f t="shared" si="0"/>
        <v>208</v>
      </c>
      <c r="H12" s="31">
        <f>IF('Entries June''25'!Q13-'Entries June''25'!Q12&lt;1,0,'Entries June''25'!Q13-'Entries June''25'!Q12)</f>
        <v>225</v>
      </c>
      <c r="I12" s="31">
        <f>IF('Entries June''25'!AG13-'Entries June''25'!AG12&lt;1,0,'Entries June''25'!AG13-'Entries June''25'!AG12)</f>
        <v>0</v>
      </c>
      <c r="J12" s="31">
        <f>IF('Entries June''25'!S13-'Entries June''25'!S12&lt;1,"0",'Entries June''25'!S13-'Entries June''25'!S12)</f>
        <v>122</v>
      </c>
      <c r="K12" s="31" t="str">
        <f>IF('Entries June''25'!R13-'Entries June''25'!R12&lt;1,"0",'Entries June''25'!R13-'Entries June''25'!R12)</f>
        <v>0</v>
      </c>
      <c r="L12" s="31" t="str">
        <f>IF('Entries June''25'!T13-'Entries June''25'!T12&lt;1,"0",'Entries June''25'!T13-'Entries June''25'!T12)</f>
        <v>0</v>
      </c>
      <c r="M12" s="31" t="str">
        <f>IF('Entries June''25'!U13-'Entries June''25'!U12&lt;1,"0",'Entries June''25'!U13-'Entries June''25'!U12)</f>
        <v>0</v>
      </c>
      <c r="N12" s="31">
        <f>IF('Entries June''25'!X13-'Entries June''25'!X12&lt;1,"0",'Entries June''25'!X13-'Entries June''25'!X12)</f>
        <v>60</v>
      </c>
      <c r="O12" s="31">
        <f>IF('Entries June''25'!Y13-'Entries June''25'!Y12&lt;1,"0",'Entries June''25'!Y13-'Entries June''25'!Y12)</f>
        <v>94</v>
      </c>
      <c r="P12" s="31">
        <f>IF('Entries June''25'!AC13-'Entries June''25'!AC12&lt;1,"0",'Entries June''25'!AC13-'Entries June''25'!AC12)</f>
        <v>17</v>
      </c>
      <c r="Q12" s="31">
        <f>IF('Entries June''25'!Z13-'Entries June''25'!Z12&lt;1,"0",'Entries June''25'!Z13-'Entries June''25'!Z12)</f>
        <v>15</v>
      </c>
      <c r="R12" s="31" t="str">
        <f>IF(('Entries June''25'!AA13-'Entries June''25'!AA12)+('Entries June''25'!AB13-'Entries June''25'!AB12)&lt;1,"0",('Entries June''25'!AA13-'Entries June''25'!AA12)+('Entries June''25'!AB13-'Entries June''25'!AB12))</f>
        <v>0</v>
      </c>
      <c r="S12" s="53">
        <f t="shared" si="1"/>
        <v>2080</v>
      </c>
      <c r="T12" s="53">
        <f t="shared" si="2"/>
        <v>154</v>
      </c>
      <c r="U12" s="31">
        <f>IF('Entries June''25'!AC13-'Entries June''25'!AC12&lt;1,"0",'Entries June''25'!AC13-'Entries June''25'!AC12)</f>
        <v>17</v>
      </c>
      <c r="V12" s="31" t="str">
        <f>IF('Entries June''25'!AD13-'Entries June''25'!AD12&lt;1,"0",'Entries June''25'!AD13-'Entries June''25'!AD12)</f>
        <v>0</v>
      </c>
      <c r="W12" s="31" t="str">
        <f>IF('Entries June''25'!AE13-'Entries June''25'!AE12&lt;1,"0",'Entries June''25'!AE13-'Entries June''25'!AE12)</f>
        <v>0</v>
      </c>
      <c r="X12" s="82" t="str">
        <f>IF('Entries June''25'!AI13-'Entries June''25'!AI12&lt;1,"0",'Entries June''25'!AI13-'Entries June''25'!AI12)</f>
        <v>0</v>
      </c>
      <c r="Y12" s="82" t="str">
        <f>IF('Entries June''25'!AH13-'Entries June''25'!AH12&lt;1,"0",'Entries June''25'!AH13-'Entries June''25'!AH12)</f>
        <v>0</v>
      </c>
      <c r="Z12" s="577">
        <f t="shared" si="3"/>
        <v>510</v>
      </c>
      <c r="AA12" s="578">
        <v>263.93400000000003</v>
      </c>
      <c r="AB12" s="579">
        <f t="shared" si="4"/>
        <v>19.323012571324647</v>
      </c>
      <c r="AE12" s="8" t="s">
        <v>61</v>
      </c>
    </row>
    <row r="13" spans="1:31" x14ac:dyDescent="0.2">
      <c r="A13" s="29"/>
      <c r="B13" s="52">
        <v>7</v>
      </c>
      <c r="C13" s="53" t="str">
        <f>IF('Entries June''25'!W14-'Entries June''25'!W13&lt;1,"0",'Entries June''25'!W14-'Entries June''25'!W13)</f>
        <v>0</v>
      </c>
      <c r="D13" s="31" t="str">
        <f>IF('Entries June''25'!O14-'Entries June''25'!O13&lt;1,"0",'Entries June''25'!O14-'Entries June''25'!O13)</f>
        <v>0</v>
      </c>
      <c r="E13" s="31" t="str">
        <f>IF('Entries June''25'!P14-'Entries June''25'!P13&lt;1,"0",'Entries June''25'!P14-'Entries June''25'!P13)</f>
        <v>0</v>
      </c>
      <c r="F13" s="31" t="str">
        <f>IF('Entries June''25'!V14-'Entries June''25'!V13&lt;1,"0",'Entries June''25'!V14-'Entries June''25'!V13)</f>
        <v>0</v>
      </c>
      <c r="G13" s="31">
        <f t="shared" si="0"/>
        <v>0</v>
      </c>
      <c r="H13" s="31">
        <f>IF('Entries June''25'!Q14-'Entries June''25'!Q13&lt;1,0,'Entries June''25'!Q14-'Entries June''25'!Q13)</f>
        <v>47</v>
      </c>
      <c r="I13" s="31">
        <f>IF('Entries June''25'!AG14-'Entries June''25'!AG13&lt;1,0,'Entries June''25'!AG14-'Entries June''25'!AG13)</f>
        <v>0</v>
      </c>
      <c r="J13" s="31">
        <f>IF('Entries June''25'!S14-'Entries June''25'!S13&lt;1,"0",'Entries June''25'!S14-'Entries June''25'!S13)</f>
        <v>1</v>
      </c>
      <c r="K13" s="31" t="str">
        <f>IF('Entries June''25'!R14-'Entries June''25'!R13&lt;1,"0",'Entries June''25'!R14-'Entries June''25'!R13)</f>
        <v>0</v>
      </c>
      <c r="L13" s="31" t="str">
        <f>IF('Entries June''25'!T14-'Entries June''25'!T13&lt;1,"0",'Entries June''25'!T14-'Entries June''25'!T13)</f>
        <v>0</v>
      </c>
      <c r="M13" s="31" t="str">
        <f>IF('Entries June''25'!U14-'Entries June''25'!U13&lt;1,"0",'Entries June''25'!U14-'Entries June''25'!U13)</f>
        <v>0</v>
      </c>
      <c r="N13" s="31">
        <f>IF('Entries June''25'!X14-'Entries June''25'!X13&lt;1,"0",'Entries June''25'!X14-'Entries June''25'!X13)</f>
        <v>5</v>
      </c>
      <c r="O13" s="31">
        <f>IF('Entries June''25'!Y14-'Entries June''25'!Y13&lt;1,"0",'Entries June''25'!Y14-'Entries June''25'!Y13)</f>
        <v>5</v>
      </c>
      <c r="P13" s="31">
        <f>IF('Entries June''25'!AC14-'Entries June''25'!AC13&lt;1,"0",'Entries June''25'!AC14-'Entries June''25'!AC13)</f>
        <v>2</v>
      </c>
      <c r="Q13" s="31" t="str">
        <f>IF('Entries June''25'!Z14-'Entries June''25'!Z13&lt;1,"0",'Entries June''25'!Z14-'Entries June''25'!Z13)</f>
        <v>0</v>
      </c>
      <c r="R13" s="31" t="str">
        <f>IF(('Entries June''25'!AA14-'Entries June''25'!AA13)+('Entries June''25'!AB14-'Entries June''25'!AB13)&lt;1,"0",('Entries June''25'!AA14-'Entries June''25'!AA13)+('Entries June''25'!AB14-'Entries June''25'!AB13))</f>
        <v>0</v>
      </c>
      <c r="S13" s="53">
        <f t="shared" si="1"/>
        <v>0</v>
      </c>
      <c r="T13" s="53">
        <f t="shared" si="2"/>
        <v>10</v>
      </c>
      <c r="U13" s="31">
        <f>IF('Entries June''25'!AC14-'Entries June''25'!AC13&lt;1,"0",'Entries June''25'!AC14-'Entries June''25'!AC13)</f>
        <v>2</v>
      </c>
      <c r="V13" s="31" t="str">
        <f>IF('Entries June''25'!AD14-'Entries June''25'!AD13&lt;1,"0",'Entries June''25'!AD14-'Entries June''25'!AD13)</f>
        <v>0</v>
      </c>
      <c r="W13" s="31" t="str">
        <f>IF('Entries June''25'!AE14-'Entries June''25'!AE13&lt;1,"0",'Entries June''25'!AE14-'Entries June''25'!AE13)</f>
        <v>0</v>
      </c>
      <c r="X13" s="82" t="str">
        <f>IF('Entries June''25'!AI14-'Entries June''25'!AI13&lt;1,"0",'Entries June''25'!AI14-'Entries June''25'!AI13)</f>
        <v>0</v>
      </c>
      <c r="Y13" s="82" t="str">
        <f>IF('Entries June''25'!AH14-'Entries June''25'!AH13&lt;1,"0",'Entries June''25'!AH14-'Entries June''25'!AH13)</f>
        <v>0</v>
      </c>
      <c r="Z13" s="577">
        <f t="shared" si="3"/>
        <v>0</v>
      </c>
      <c r="AA13" s="578" t="str">
        <v>0</v>
      </c>
      <c r="AB13" s="579" t="str">
        <f t="shared" si="4"/>
        <v>0</v>
      </c>
    </row>
    <row r="14" spans="1:31" x14ac:dyDescent="0.2">
      <c r="B14" s="52">
        <v>8</v>
      </c>
      <c r="C14" s="53" t="str">
        <f>IF('Entries June''25'!W15-'Entries June''25'!W14&lt;1,"0",'Entries June''25'!W15-'Entries June''25'!W14)</f>
        <v>0</v>
      </c>
      <c r="D14" s="31" t="str">
        <f>IF('Entries June''25'!O15-'Entries June''25'!O14&lt;1,"0",'Entries June''25'!O15-'Entries June''25'!O14)</f>
        <v>0</v>
      </c>
      <c r="E14" s="31">
        <f>IF('Entries June''25'!P15-'Entries June''25'!P14&lt;1,"0",'Entries June''25'!P15-'Entries June''25'!P14)</f>
        <v>88</v>
      </c>
      <c r="F14" s="31">
        <f>IF('Entries June''25'!V15-'Entries June''25'!V14&lt;1,"0",'Entries June''25'!V15-'Entries June''25'!V14)</f>
        <v>93</v>
      </c>
      <c r="G14" s="31">
        <f t="shared" si="0"/>
        <v>-5</v>
      </c>
      <c r="H14" s="31">
        <f>IF('Entries June''25'!Q15-'Entries June''25'!Q14&lt;1,0,'Entries June''25'!Q15-'Entries June''25'!Q14)</f>
        <v>71</v>
      </c>
      <c r="I14" s="31">
        <f>IF('Entries June''25'!AG15-'Entries June''25'!AG14&lt;1,0,'Entries June''25'!AG15-'Entries June''25'!AG14)</f>
        <v>0</v>
      </c>
      <c r="J14" s="31" t="str">
        <f>IF('Entries June''25'!S15-'Entries June''25'!S14&lt;1,"0",'Entries June''25'!S15-'Entries June''25'!S14)</f>
        <v>0</v>
      </c>
      <c r="K14" s="31" t="str">
        <f>IF('Entries June''25'!R15-'Entries June''25'!R14&lt;1,"0",'Entries June''25'!R15-'Entries June''25'!R14)</f>
        <v>0</v>
      </c>
      <c r="L14" s="31" t="str">
        <f>IF('Entries June''25'!T15-'Entries June''25'!T14&lt;1,"0",'Entries June''25'!T15-'Entries June''25'!T14)</f>
        <v>0</v>
      </c>
      <c r="M14" s="31" t="str">
        <f>IF('Entries June''25'!U15-'Entries June''25'!U14&lt;1,"0",'Entries June''25'!U15-'Entries June''25'!U14)</f>
        <v>0</v>
      </c>
      <c r="N14" s="31" t="str">
        <f>IF('Entries June''25'!X15-'Entries June''25'!X14&lt;1,"0",'Entries June''25'!X15-'Entries June''25'!X14)</f>
        <v>0</v>
      </c>
      <c r="O14" s="31">
        <f>IF('Entries June''25'!Y15-'Entries June''25'!Y14&lt;1,"0",'Entries June''25'!Y15-'Entries June''25'!Y14)</f>
        <v>59</v>
      </c>
      <c r="P14" s="31" t="str">
        <f>IF('Entries June''25'!AC15-'Entries June''25'!AC14&lt;1,"0",'Entries June''25'!AC15-'Entries June''25'!AC14)</f>
        <v>0</v>
      </c>
      <c r="Q14" s="31">
        <f>IF('Entries June''25'!Z15-'Entries June''25'!Z14&lt;1,"0",'Entries June''25'!Z15-'Entries June''25'!Z14)</f>
        <v>1</v>
      </c>
      <c r="R14" s="31" t="str">
        <f>IF(('Entries June''25'!AA15-'Entries June''25'!AA14)+('Entries June''25'!AB15-'Entries June''25'!AB14)&lt;1,"0",('Entries June''25'!AA15-'Entries June''25'!AA14)+('Entries June''25'!AB15-'Entries June''25'!AB14))</f>
        <v>0</v>
      </c>
      <c r="S14" s="53">
        <f t="shared" si="1"/>
        <v>-50</v>
      </c>
      <c r="T14" s="53">
        <f t="shared" si="2"/>
        <v>59</v>
      </c>
      <c r="U14" s="31" t="str">
        <f>IF('Entries June''25'!AC15-'Entries June''25'!AC14&lt;1,"0",'Entries June''25'!AC15-'Entries June''25'!AC14)</f>
        <v>0</v>
      </c>
      <c r="V14" s="31" t="str">
        <f>IF('Entries June''25'!AD15-'Entries June''25'!AD14&lt;1,"0",'Entries June''25'!AD15-'Entries June''25'!AD14)</f>
        <v>0</v>
      </c>
      <c r="W14" s="31" t="str">
        <f>IF('Entries June''25'!AE15-'Entries June''25'!AE14&lt;1,"0",'Entries June''25'!AE15-'Entries June''25'!AE14)</f>
        <v>0</v>
      </c>
      <c r="X14" s="82" t="str">
        <f>IF('Entries June''25'!AI15-'Entries June''25'!AI14&lt;1,"0",'Entries June''25'!AI15-'Entries June''25'!AI14)</f>
        <v>0</v>
      </c>
      <c r="Y14" s="82" t="str">
        <f>IF('Entries June''25'!AH15-'Entries June''25'!AH14&lt;1,"0",'Entries June''25'!AH15-'Entries June''25'!AH14)</f>
        <v>0</v>
      </c>
      <c r="Z14" s="577">
        <f t="shared" si="3"/>
        <v>88</v>
      </c>
      <c r="AA14" s="578" t="str">
        <v>0</v>
      </c>
      <c r="AB14" s="579" t="str">
        <f t="shared" si="4"/>
        <v>0</v>
      </c>
    </row>
    <row r="15" spans="1:31" x14ac:dyDescent="0.2">
      <c r="B15" s="52">
        <v>9</v>
      </c>
      <c r="C15" s="53" t="str">
        <f>IF('Entries June''25'!W16-'Entries June''25'!W15&lt;1,"0",'Entries June''25'!W16-'Entries June''25'!W15)</f>
        <v>0</v>
      </c>
      <c r="D15" s="31" t="str">
        <f>IF('Entries June''25'!O16-'Entries June''25'!O15&lt;1,"0",'Entries June''25'!O16-'Entries June''25'!O15)</f>
        <v>0</v>
      </c>
      <c r="E15" s="31" t="str">
        <f>IF('Entries June''25'!P16-'Entries June''25'!P15&lt;1,"0",'Entries June''25'!P16-'Entries June''25'!P15)</f>
        <v>0</v>
      </c>
      <c r="F15" s="31" t="str">
        <f>IF('Entries June''25'!V16-'Entries June''25'!V15&lt;1,"0",'Entries June''25'!V16-'Entries June''25'!V15)</f>
        <v>0</v>
      </c>
      <c r="G15" s="31">
        <f t="shared" si="0"/>
        <v>0</v>
      </c>
      <c r="H15" s="31">
        <f>IF('Entries June''25'!Q16-'Entries June''25'!Q15&lt;1,0,'Entries June''25'!Q16-'Entries June''25'!Q15)</f>
        <v>6</v>
      </c>
      <c r="I15" s="31">
        <f>IF('Entries June''25'!AG16-'Entries June''25'!AG15&lt;1,0,'Entries June''25'!AG16-'Entries June''25'!AG15)</f>
        <v>0</v>
      </c>
      <c r="J15" s="31" t="str">
        <f>IF('Entries June''25'!S16-'Entries June''25'!S15&lt;1,"0",'Entries June''25'!S16-'Entries June''25'!S15)</f>
        <v>0</v>
      </c>
      <c r="K15" s="31" t="str">
        <f>IF('Entries June''25'!R16-'Entries June''25'!R15&lt;1,"0",'Entries June''25'!R16-'Entries June''25'!R15)</f>
        <v>0</v>
      </c>
      <c r="L15" s="31" t="str">
        <f>IF('Entries June''25'!T16-'Entries June''25'!T15&lt;1,"0",'Entries June''25'!T16-'Entries June''25'!T15)</f>
        <v>0</v>
      </c>
      <c r="M15" s="31" t="str">
        <f>IF('Entries June''25'!U16-'Entries June''25'!U15&lt;1,"0",'Entries June''25'!U16-'Entries June''25'!U15)</f>
        <v>0</v>
      </c>
      <c r="N15" s="31" t="str">
        <f>IF('Entries June''25'!X16-'Entries June''25'!X15&lt;1,"0",'Entries June''25'!X16-'Entries June''25'!X15)</f>
        <v>0</v>
      </c>
      <c r="O15" s="31" t="str">
        <f>IF('Entries June''25'!Y16-'Entries June''25'!Y15&lt;1,"0",'Entries June''25'!Y16-'Entries June''25'!Y15)</f>
        <v>0</v>
      </c>
      <c r="P15" s="31" t="str">
        <f>IF('Entries June''25'!AC16-'Entries June''25'!AC15&lt;1,"0",'Entries June''25'!AC16-'Entries June''25'!AC15)</f>
        <v>0</v>
      </c>
      <c r="Q15" s="31">
        <f>IF('Entries June''25'!Z16-'Entries June''25'!Z15&lt;1,"0",'Entries June''25'!Z16-'Entries June''25'!Z15)</f>
        <v>3</v>
      </c>
      <c r="R15" s="31" t="str">
        <f>IF(('Entries June''25'!AA16-'Entries June''25'!AA15)+('Entries June''25'!AB16-'Entries June''25'!AB15)&lt;1,"0",('Entries June''25'!AA16-'Entries June''25'!AA15)+('Entries June''25'!AB16-'Entries June''25'!AB15))</f>
        <v>0</v>
      </c>
      <c r="S15" s="53">
        <f t="shared" si="1"/>
        <v>0</v>
      </c>
      <c r="T15" s="53">
        <f t="shared" si="2"/>
        <v>0</v>
      </c>
      <c r="U15" s="31" t="str">
        <f>IF('Entries June''25'!AC16-'Entries June''25'!AC15&lt;1,"0",'Entries June''25'!AC16-'Entries June''25'!AC15)</f>
        <v>0</v>
      </c>
      <c r="V15" s="31" t="str">
        <f>IF('Entries June''25'!AD16-'Entries June''25'!AD15&lt;1,"0",'Entries June''25'!AD16-'Entries June''25'!AD15)</f>
        <v>0</v>
      </c>
      <c r="W15" s="31" t="str">
        <f>IF('Entries June''25'!AE16-'Entries June''25'!AE15&lt;1,"0",'Entries June''25'!AE16-'Entries June''25'!AE15)</f>
        <v>0</v>
      </c>
      <c r="X15" s="82" t="str">
        <f>IF('Entries June''25'!AI16-'Entries June''25'!AI15&lt;1,"0",'Entries June''25'!AI16-'Entries June''25'!AI15)</f>
        <v>0</v>
      </c>
      <c r="Y15" s="82" t="str">
        <f>IF('Entries June''25'!AH16-'Entries June''25'!AH15&lt;1,"0",'Entries June''25'!AH16-'Entries June''25'!AH15)</f>
        <v>0</v>
      </c>
      <c r="Z15" s="577">
        <f t="shared" si="3"/>
        <v>0</v>
      </c>
      <c r="AA15" s="578" t="str">
        <v>0</v>
      </c>
      <c r="AB15" s="579" t="str">
        <f t="shared" si="4"/>
        <v>0</v>
      </c>
    </row>
    <row r="16" spans="1:31" x14ac:dyDescent="0.2">
      <c r="B16" s="52">
        <v>10</v>
      </c>
      <c r="C16" s="53" t="str">
        <f>IF('Entries June''25'!W17-'Entries June''25'!W16&lt;1,"0",'Entries June''25'!W17-'Entries June''25'!W16)</f>
        <v>0</v>
      </c>
      <c r="D16" s="31">
        <f>IF('Entries June''25'!O17-'Entries June''25'!O16&lt;1,"0",'Entries June''25'!O17-'Entries June''25'!O16)</f>
        <v>171</v>
      </c>
      <c r="E16" s="31">
        <f>IF('Entries June''25'!P17-'Entries June''25'!P16&lt;1,"0",'Entries June''25'!P17-'Entries June''25'!P16)</f>
        <v>136</v>
      </c>
      <c r="F16" s="31">
        <f>IF('Entries June''25'!V17-'Entries June''25'!V16&lt;1,"0",'Entries June''25'!V17-'Entries June''25'!V16)</f>
        <v>143</v>
      </c>
      <c r="G16" s="31">
        <f t="shared" si="0"/>
        <v>164</v>
      </c>
      <c r="H16" s="31">
        <f>IF('Entries June''25'!Q17-'Entries June''25'!Q16&lt;1,0,'Entries June''25'!Q17-'Entries June''25'!Q16)</f>
        <v>270</v>
      </c>
      <c r="I16" s="31">
        <f>IF('Entries June''25'!AG17-'Entries June''25'!AG16&lt;1,0,'Entries June''25'!AG17-'Entries June''25'!AG16)</f>
        <v>0</v>
      </c>
      <c r="J16" s="31">
        <f>IF('Entries June''25'!S17-'Entries June''25'!S16&lt;1,"0",'Entries June''25'!S17-'Entries June''25'!S16)</f>
        <v>100</v>
      </c>
      <c r="K16" s="31" t="str">
        <f>IF('Entries June''25'!R17-'Entries June''25'!R16&lt;1,"0",'Entries June''25'!R17-'Entries June''25'!R16)</f>
        <v>0</v>
      </c>
      <c r="L16" s="31" t="str">
        <f>IF('Entries June''25'!T17-'Entries June''25'!T16&lt;1,"0",'Entries June''25'!T17-'Entries June''25'!T16)</f>
        <v>0</v>
      </c>
      <c r="M16" s="31">
        <f>IF('Entries June''25'!U17-'Entries June''25'!U16&lt;1,"0",'Entries June''25'!U17-'Entries June''25'!U16)</f>
        <v>6</v>
      </c>
      <c r="N16" s="31">
        <f>IF('Entries June''25'!X17-'Entries June''25'!X16&lt;1,"0",'Entries June''25'!X17-'Entries June''25'!X16)</f>
        <v>47</v>
      </c>
      <c r="O16" s="31">
        <f>IF('Entries June''25'!Y17-'Entries June''25'!Y16&lt;1,"0",'Entries June''25'!Y17-'Entries June''25'!Y16)</f>
        <v>140</v>
      </c>
      <c r="P16" s="31" t="str">
        <f>IF('Entries June''25'!AC17-'Entries June''25'!AC16&lt;1,"0",'Entries June''25'!AC17-'Entries June''25'!AC16)</f>
        <v>0</v>
      </c>
      <c r="Q16" s="31">
        <f>IF('Entries June''25'!Z17-'Entries June''25'!Z16&lt;1,"0",'Entries June''25'!Z17-'Entries June''25'!Z16)</f>
        <v>17</v>
      </c>
      <c r="R16" s="31" t="str">
        <f>IF(('Entries June''25'!AA17-'Entries June''25'!AA16)+('Entries June''25'!AB17-'Entries June''25'!AB16)&lt;1,"0",('Entries June''25'!AA17-'Entries June''25'!AA16)+('Entries June''25'!AB17-'Entries June''25'!AB16))</f>
        <v>0</v>
      </c>
      <c r="S16" s="53">
        <f t="shared" si="1"/>
        <v>1640</v>
      </c>
      <c r="T16" s="53">
        <f t="shared" si="2"/>
        <v>193</v>
      </c>
      <c r="U16" s="31" t="str">
        <f>IF('Entries June''25'!AC17-'Entries June''25'!AC16&lt;1,"0",'Entries June''25'!AC17-'Entries June''25'!AC16)</f>
        <v>0</v>
      </c>
      <c r="V16" s="31" t="str">
        <f>IF('Entries June''25'!AD17-'Entries June''25'!AD16&lt;1,"0",'Entries June''25'!AD17-'Entries June''25'!AD16)</f>
        <v>0</v>
      </c>
      <c r="W16" s="31" t="str">
        <f>IF('Entries June''25'!AE17-'Entries June''25'!AE16&lt;1,"0",'Entries June''25'!AE17-'Entries June''25'!AE16)</f>
        <v>0</v>
      </c>
      <c r="X16" s="82" t="str">
        <f>IF('Entries June''25'!AI17-'Entries June''25'!AI16&lt;1,"0",'Entries June''25'!AI17-'Entries June''25'!AI16)</f>
        <v>0</v>
      </c>
      <c r="Y16" s="82" t="str">
        <f>IF('Entries June''25'!AH17-'Entries June''25'!AH16&lt;1,"0",'Entries June''25'!AH17-'Entries June''25'!AH16)</f>
        <v>0</v>
      </c>
      <c r="Z16" s="577">
        <f t="shared" si="3"/>
        <v>307</v>
      </c>
      <c r="AA16" s="578">
        <v>418.11</v>
      </c>
      <c r="AB16" s="579">
        <f t="shared" si="4"/>
        <v>7.3425653536150772</v>
      </c>
    </row>
    <row r="17" spans="1:32" x14ac:dyDescent="0.2">
      <c r="B17" s="52">
        <v>11</v>
      </c>
      <c r="C17" s="53" t="str">
        <f>IF('Entries June''25'!W18-'Entries June''25'!W17&lt;1,"0",'Entries June''25'!W18-'Entries June''25'!W17)</f>
        <v>0</v>
      </c>
      <c r="D17" s="31">
        <f>IF('Entries June''25'!O18-'Entries June''25'!O17&lt;1,"0",'Entries June''25'!O18-'Entries June''25'!O17)</f>
        <v>304</v>
      </c>
      <c r="E17" s="31">
        <f>IF('Entries June''25'!P18-'Entries June''25'!P17&lt;1,"0",'Entries June''25'!P18-'Entries June''25'!P17)</f>
        <v>172</v>
      </c>
      <c r="F17" s="31">
        <f>IF('Entries June''25'!V18-'Entries June''25'!V17&lt;1,"0",'Entries June''25'!V18-'Entries June''25'!V17)</f>
        <v>174</v>
      </c>
      <c r="G17" s="31">
        <f t="shared" si="0"/>
        <v>302</v>
      </c>
      <c r="H17" s="31">
        <f>IF('Entries June''25'!Q18-'Entries June''25'!Q17&lt;1,0,'Entries June''25'!Q18-'Entries June''25'!Q17)</f>
        <v>287</v>
      </c>
      <c r="I17" s="31">
        <f>IF('Entries June''25'!AG18-'Entries June''25'!AG17&lt;1,0,'Entries June''25'!AG18-'Entries June''25'!AG17)</f>
        <v>0</v>
      </c>
      <c r="J17" s="31">
        <f>IF('Entries June''25'!S18-'Entries June''25'!S17&lt;1,"0",'Entries June''25'!S18-'Entries June''25'!S17)</f>
        <v>180</v>
      </c>
      <c r="K17" s="31" t="str">
        <f>IF('Entries June''25'!R18-'Entries June''25'!R17&lt;1,"0",'Entries June''25'!R18-'Entries June''25'!R17)</f>
        <v>0</v>
      </c>
      <c r="L17" s="31" t="str">
        <f>IF('Entries June''25'!T18-'Entries June''25'!T17&lt;1,"0",'Entries June''25'!T18-'Entries June''25'!T17)</f>
        <v>0</v>
      </c>
      <c r="M17" s="31" t="str">
        <f>IF('Entries June''25'!U18-'Entries June''25'!U17&lt;1,"0",'Entries June''25'!U18-'Entries June''25'!U17)</f>
        <v>0</v>
      </c>
      <c r="N17" s="31">
        <f>IF('Entries June''25'!X18-'Entries June''25'!X17&lt;1,"0",'Entries June''25'!X18-'Entries June''25'!X17)</f>
        <v>43</v>
      </c>
      <c r="O17" s="31">
        <f>IF('Entries June''25'!Y18-'Entries June''25'!Y17&lt;1,"0",'Entries June''25'!Y18-'Entries June''25'!Y17)</f>
        <v>158</v>
      </c>
      <c r="P17" s="31" t="str">
        <f>IF('Entries June''25'!AC18-'Entries June''25'!AC17&lt;1,"0",'Entries June''25'!AC18-'Entries June''25'!AC17)</f>
        <v>0</v>
      </c>
      <c r="Q17" s="31">
        <f>IF('Entries June''25'!Z18-'Entries June''25'!Z17&lt;1,"0",'Entries June''25'!Z18-'Entries June''25'!Z17)</f>
        <v>18</v>
      </c>
      <c r="R17" s="31" t="str">
        <f>IF(('Entries June''25'!AA18-'Entries June''25'!AA17)+('Entries June''25'!AB18-'Entries June''25'!AB17)&lt;1,"0",('Entries June''25'!AA18-'Entries June''25'!AA17)+('Entries June''25'!AB18-'Entries June''25'!AB17))</f>
        <v>0</v>
      </c>
      <c r="S17" s="53">
        <f t="shared" si="1"/>
        <v>3020</v>
      </c>
      <c r="T17" s="53">
        <f t="shared" si="2"/>
        <v>201</v>
      </c>
      <c r="U17" s="31" t="str">
        <f>IF('Entries June''25'!AC18-'Entries June''25'!AC17&lt;1,"0",'Entries June''25'!AC18-'Entries June''25'!AC17)</f>
        <v>0</v>
      </c>
      <c r="V17" s="31" t="str">
        <f>IF('Entries June''25'!AD18-'Entries June''25'!AD17&lt;1,"0",'Entries June''25'!AD18-'Entries June''25'!AD17)</f>
        <v>0</v>
      </c>
      <c r="W17" s="31" t="str">
        <f>IF('Entries June''25'!AE18-'Entries June''25'!AE17&lt;1,"0",'Entries June''25'!AE18-'Entries June''25'!AE17)</f>
        <v>0</v>
      </c>
      <c r="X17" s="82" t="str">
        <f>IF('Entries June''25'!AI18-'Entries June''25'!AI17&lt;1,"0",'Entries June''25'!AI18-'Entries June''25'!AI17)</f>
        <v>0</v>
      </c>
      <c r="Y17" s="82" t="str">
        <f>IF('Entries June''25'!AH18-'Entries June''25'!AH17&lt;1,"0",'Entries June''25'!AH18-'Entries June''25'!AH17)</f>
        <v>0</v>
      </c>
      <c r="Z17" s="577">
        <f t="shared" si="3"/>
        <v>476</v>
      </c>
      <c r="AA17" s="578">
        <v>475.99200000000002</v>
      </c>
      <c r="AB17" s="579">
        <f t="shared" si="4"/>
        <v>10.000168070051597</v>
      </c>
    </row>
    <row r="18" spans="1:32" x14ac:dyDescent="0.2">
      <c r="B18" s="52">
        <v>12</v>
      </c>
      <c r="C18" s="53" t="str">
        <f>IF('Entries June''25'!W19-'Entries June''25'!W18&lt;1,"0",'Entries June''25'!W19-'Entries June''25'!W18)</f>
        <v>0</v>
      </c>
      <c r="D18" s="31">
        <f>IF('Entries June''25'!O19-'Entries June''25'!O18&lt;1,"0",'Entries June''25'!O19-'Entries June''25'!O18)</f>
        <v>24</v>
      </c>
      <c r="E18" s="31">
        <f>IF('Entries June''25'!P19-'Entries June''25'!P18&lt;1,"0",'Entries June''25'!P19-'Entries June''25'!P18)</f>
        <v>269</v>
      </c>
      <c r="F18" s="31">
        <f>IF('Entries June''25'!V19-'Entries June''25'!V18&lt;1,"0",'Entries June''25'!V19-'Entries June''25'!V18)</f>
        <v>290</v>
      </c>
      <c r="G18" s="31">
        <f t="shared" si="0"/>
        <v>3</v>
      </c>
      <c r="H18" s="31">
        <f>IF('Entries June''25'!Q19-'Entries June''25'!Q18&lt;1,0,'Entries June''25'!Q19-'Entries June''25'!Q18)</f>
        <v>259</v>
      </c>
      <c r="I18" s="31">
        <f>IF('Entries June''25'!AG19-'Entries June''25'!AG18&lt;1,0,'Entries June''25'!AG19-'Entries June''25'!AG18)</f>
        <v>0</v>
      </c>
      <c r="J18" s="31">
        <f>IF('Entries June''25'!S19-'Entries June''25'!S18&lt;1,"0",'Entries June''25'!S19-'Entries June''25'!S18)</f>
        <v>129</v>
      </c>
      <c r="K18" s="31" t="str">
        <f>IF('Entries June''25'!R19-'Entries June''25'!R18&lt;1,"0",'Entries June''25'!R19-'Entries June''25'!R18)</f>
        <v>0</v>
      </c>
      <c r="L18" s="31" t="str">
        <f>IF('Entries June''25'!T19-'Entries June''25'!T18&lt;1,"0",'Entries June''25'!T19-'Entries June''25'!T18)</f>
        <v>0</v>
      </c>
      <c r="M18" s="31" t="str">
        <f>IF('Entries June''25'!U19-'Entries June''25'!U18&lt;1,"0",'Entries June''25'!U19-'Entries June''25'!U18)</f>
        <v>0</v>
      </c>
      <c r="N18" s="31">
        <f>IF('Entries June''25'!X19-'Entries June''25'!X18&lt;1,"0",'Entries June''25'!X19-'Entries June''25'!X18)</f>
        <v>64</v>
      </c>
      <c r="O18" s="31">
        <f>IF('Entries June''25'!Y19-'Entries June''25'!Y18&lt;1,"0",'Entries June''25'!Y19-'Entries June''25'!Y18)</f>
        <v>110</v>
      </c>
      <c r="P18" s="31">
        <f>IF('Entries June''25'!AC19-'Entries June''25'!AC18&lt;1,"0",'Entries June''25'!AC19-'Entries June''25'!AC18)</f>
        <v>65</v>
      </c>
      <c r="Q18" s="31">
        <f>IF('Entries June''25'!Z19-'Entries June''25'!Z18&lt;1,"0",'Entries June''25'!Z19-'Entries June''25'!Z18)</f>
        <v>27</v>
      </c>
      <c r="R18" s="31" t="str">
        <f>IF(('Entries June''25'!AA19-'Entries June''25'!AA18)+('Entries June''25'!AB19-'Entries June''25'!AB18)&lt;1,"0",('Entries June''25'!AA19-'Entries June''25'!AA18)+('Entries June''25'!AB19-'Entries June''25'!AB18))</f>
        <v>0</v>
      </c>
      <c r="S18" s="53">
        <f t="shared" si="1"/>
        <v>30</v>
      </c>
      <c r="T18" s="53">
        <f t="shared" si="2"/>
        <v>174</v>
      </c>
      <c r="U18" s="31">
        <f>IF('Entries June''25'!AC19-'Entries June''25'!AC18&lt;1,"0",'Entries June''25'!AC19-'Entries June''25'!AC18)</f>
        <v>65</v>
      </c>
      <c r="V18" s="31" t="str">
        <f>IF('Entries June''25'!AD19-'Entries June''25'!AD18&lt;1,"0",'Entries June''25'!AD19-'Entries June''25'!AD18)</f>
        <v>0</v>
      </c>
      <c r="W18" s="31" t="str">
        <f>IF('Entries June''25'!AE19-'Entries June''25'!AE18&lt;1,"0",'Entries June''25'!AE19-'Entries June''25'!AE18)</f>
        <v>0</v>
      </c>
      <c r="X18" s="82" t="str">
        <f>IF('Entries June''25'!AI19-'Entries June''25'!AI18&lt;1,"0",'Entries June''25'!AI19-'Entries June''25'!AI18)</f>
        <v>0</v>
      </c>
      <c r="Y18" s="82" t="str">
        <f>IF('Entries June''25'!AH19-'Entries June''25'!AH18&lt;1,"0",'Entries June''25'!AH19-'Entries June''25'!AH18)</f>
        <v>0</v>
      </c>
      <c r="Z18" s="577">
        <f t="shared" si="3"/>
        <v>293</v>
      </c>
      <c r="AA18" s="578">
        <v>339.834</v>
      </c>
      <c r="AB18" s="579">
        <f t="shared" si="4"/>
        <v>8.6218565534937639</v>
      </c>
    </row>
    <row r="19" spans="1:32" x14ac:dyDescent="0.2">
      <c r="A19" s="29"/>
      <c r="B19" s="52">
        <v>13</v>
      </c>
      <c r="C19" s="53" t="str">
        <f>IF('Entries June''25'!W20-'Entries June''25'!W19&lt;1,"0",'Entries June''25'!W20-'Entries June''25'!W19)</f>
        <v>0</v>
      </c>
      <c r="D19" s="31">
        <f>IF('Entries June''25'!O20-'Entries June''25'!O19&lt;1,"0",'Entries June''25'!O20-'Entries June''25'!O19)</f>
        <v>69</v>
      </c>
      <c r="E19" s="31">
        <f>IF('Entries June''25'!P20-'Entries June''25'!P19&lt;1,"0",'Entries June''25'!P20-'Entries June''25'!P19)</f>
        <v>277</v>
      </c>
      <c r="F19" s="31">
        <f>IF('Entries June''25'!V20-'Entries June''25'!V19&lt;1,"0",'Entries June''25'!V20-'Entries June''25'!V19)</f>
        <v>293</v>
      </c>
      <c r="G19" s="31">
        <f t="shared" si="0"/>
        <v>53</v>
      </c>
      <c r="H19" s="31">
        <f>IF('Entries June''25'!Q20-'Entries June''25'!Q19&lt;1,0,'Entries June''25'!Q20-'Entries June''25'!Q19)</f>
        <v>248</v>
      </c>
      <c r="I19" s="31">
        <f>IF('Entries June''25'!AG20-'Entries June''25'!AG19&lt;1,0,'Entries June''25'!AG20-'Entries June''25'!AG19)</f>
        <v>0</v>
      </c>
      <c r="J19" s="31">
        <f>IF('Entries June''25'!S20-'Entries June''25'!S19&lt;1,"0",'Entries June''25'!S20-'Entries June''25'!S19)</f>
        <v>135</v>
      </c>
      <c r="K19" s="31" t="str">
        <f>IF('Entries June''25'!R20-'Entries June''25'!R19&lt;1,"0",'Entries June''25'!R20-'Entries June''25'!R19)</f>
        <v>0</v>
      </c>
      <c r="L19" s="31" t="str">
        <f>IF('Entries June''25'!T20-'Entries June''25'!T19&lt;1,"0",'Entries June''25'!T20-'Entries June''25'!T19)</f>
        <v>0</v>
      </c>
      <c r="M19" s="31">
        <f>IF('Entries June''25'!U20-'Entries June''25'!U19&lt;1,"0",'Entries June''25'!U20-'Entries June''25'!U19)</f>
        <v>3</v>
      </c>
      <c r="N19" s="31">
        <f>IF('Entries June''25'!X20-'Entries June''25'!X19&lt;1,"0",'Entries June''25'!X20-'Entries June''25'!X19)</f>
        <v>31</v>
      </c>
      <c r="O19" s="31">
        <f>IF('Entries June''25'!Y20-'Entries June''25'!Y19&lt;1,"0",'Entries June''25'!Y20-'Entries June''25'!Y19)</f>
        <v>126</v>
      </c>
      <c r="P19" s="31">
        <f>IF('Entries June''25'!AC20-'Entries June''25'!AC19&lt;1,"0",'Entries June''25'!AC20-'Entries June''25'!AC19)</f>
        <v>20</v>
      </c>
      <c r="Q19" s="31">
        <f>IF('Entries June''25'!Z20-'Entries June''25'!Z19&lt;1,"0",'Entries June''25'!Z20-'Entries June''25'!Z19)</f>
        <v>27</v>
      </c>
      <c r="R19" s="31" t="str">
        <f>IF(('Entries June''25'!AA20-'Entries June''25'!AA19)+('Entries June''25'!AB20-'Entries June''25'!AB19)&lt;1,"0",('Entries June''25'!AA20-'Entries June''25'!AA19)+('Entries June''25'!AB20-'Entries June''25'!AB19))</f>
        <v>0</v>
      </c>
      <c r="S19" s="53">
        <f t="shared" si="1"/>
        <v>530</v>
      </c>
      <c r="T19" s="53">
        <f t="shared" si="2"/>
        <v>160</v>
      </c>
      <c r="U19" s="31">
        <f>IF('Entries June''25'!AC20-'Entries June''25'!AC19&lt;1,"0",'Entries June''25'!AC20-'Entries June''25'!AC19)</f>
        <v>20</v>
      </c>
      <c r="V19" s="31" t="str">
        <f>IF('Entries June''25'!AD20-'Entries June''25'!AD19&lt;1,"0",'Entries June''25'!AD20-'Entries June''25'!AD19)</f>
        <v>0</v>
      </c>
      <c r="W19" s="31" t="str">
        <f>IF('Entries June''25'!AE20-'Entries June''25'!AE19&lt;1,"0",'Entries June''25'!AE20-'Entries June''25'!AE19)</f>
        <v>0</v>
      </c>
      <c r="X19" s="82" t="str">
        <f>IF('Entries June''25'!AI20-'Entries June''25'!AI19&lt;1,"0",'Entries June''25'!AI20-'Entries June''25'!AI19)</f>
        <v>0</v>
      </c>
      <c r="Y19" s="82" t="str">
        <f>IF('Entries June''25'!AH20-'Entries June''25'!AH19&lt;1,"0",'Entries June''25'!AH20-'Entries June''25'!AH19)</f>
        <v>0</v>
      </c>
      <c r="Z19" s="577">
        <f t="shared" si="3"/>
        <v>346</v>
      </c>
      <c r="AA19" s="578">
        <v>411.57600000000002</v>
      </c>
      <c r="AB19" s="579">
        <f t="shared" si="4"/>
        <v>8.4067098178708175</v>
      </c>
    </row>
    <row r="20" spans="1:32" x14ac:dyDescent="0.2">
      <c r="A20" s="29"/>
      <c r="B20" s="52">
        <v>14</v>
      </c>
      <c r="C20" s="53" t="str">
        <f>IF('Entries June''25'!W21-'Entries June''25'!W20&lt;1,"0",'Entries June''25'!W21-'Entries June''25'!W20)</f>
        <v>0</v>
      </c>
      <c r="D20" s="31" t="str">
        <f>IF('Entries June''25'!O21-'Entries June''25'!O20&lt;1,"0",'Entries June''25'!O21-'Entries June''25'!O20)</f>
        <v>0</v>
      </c>
      <c r="E20" s="31">
        <f>IF('Entries June''25'!P21-'Entries June''25'!P20&lt;1,"0",'Entries June''25'!P21-'Entries June''25'!P20)</f>
        <v>149</v>
      </c>
      <c r="F20" s="31">
        <f>IF('Entries June''25'!V21-'Entries June''25'!V20&lt;1,"0",'Entries June''25'!V21-'Entries June''25'!V20)</f>
        <v>200</v>
      </c>
      <c r="G20" s="31">
        <f t="shared" si="0"/>
        <v>-51</v>
      </c>
      <c r="H20" s="31">
        <f>IF('Entries June''25'!Q21-'Entries June''25'!Q20&lt;1,0,'Entries June''25'!Q21-'Entries June''25'!Q20)</f>
        <v>152</v>
      </c>
      <c r="I20" s="31">
        <f>IF('Entries June''25'!AG21-'Entries June''25'!AG20&lt;1,0,'Entries June''25'!AG21-'Entries June''25'!AG20)</f>
        <v>0</v>
      </c>
      <c r="J20" s="31">
        <f>IF('Entries June''25'!S21-'Entries June''25'!S20&lt;1,"0",'Entries June''25'!S21-'Entries June''25'!S20)</f>
        <v>74</v>
      </c>
      <c r="K20" s="31" t="str">
        <f>IF('Entries June''25'!R21-'Entries June''25'!R20&lt;1,"0",'Entries June''25'!R21-'Entries June''25'!R20)</f>
        <v>0</v>
      </c>
      <c r="L20" s="31" t="str">
        <f>IF('Entries June''25'!T21-'Entries June''25'!T20&lt;1,"0",'Entries June''25'!T21-'Entries June''25'!T20)</f>
        <v>0</v>
      </c>
      <c r="M20" s="31">
        <f>IF('Entries June''25'!U21-'Entries June''25'!U20&lt;1,"0",'Entries June''25'!U21-'Entries June''25'!U20)</f>
        <v>15</v>
      </c>
      <c r="N20" s="31">
        <f>IF('Entries June''25'!X21-'Entries June''25'!X20&lt;1,"0",'Entries June''25'!X21-'Entries June''25'!X20)</f>
        <v>18</v>
      </c>
      <c r="O20" s="31">
        <f>IF('Entries June''25'!Y21-'Entries June''25'!Y20&lt;1,"0",'Entries June''25'!Y21-'Entries June''25'!Y20)</f>
        <v>27</v>
      </c>
      <c r="P20" s="31">
        <f>IF('Entries June''25'!AC21-'Entries June''25'!AC20&lt;1,"0",'Entries June''25'!AC21-'Entries June''25'!AC20)</f>
        <v>1</v>
      </c>
      <c r="Q20" s="31">
        <f>IF('Entries June''25'!Z21-'Entries June''25'!Z20&lt;1,"0",'Entries June''25'!Z21-'Entries June''25'!Z20)</f>
        <v>5</v>
      </c>
      <c r="R20" s="31" t="str">
        <f>IF(('Entries June''25'!AA21-'Entries June''25'!AA20)+('Entries June''25'!AB21-'Entries June''25'!AB20)&lt;1,"0",('Entries June''25'!AA21-'Entries June''25'!AA20)+('Entries June''25'!AB21-'Entries June''25'!AB20))</f>
        <v>0</v>
      </c>
      <c r="S20" s="53">
        <f t="shared" si="1"/>
        <v>-510</v>
      </c>
      <c r="T20" s="53">
        <f t="shared" si="2"/>
        <v>60</v>
      </c>
      <c r="U20" s="31">
        <f>IF('Entries June''25'!AC21-'Entries June''25'!AC20&lt;1,"0",'Entries June''25'!AC21-'Entries June''25'!AC20)</f>
        <v>1</v>
      </c>
      <c r="V20" s="31" t="str">
        <f>IF('Entries June''25'!AD21-'Entries June''25'!AD20&lt;1,"0",'Entries June''25'!AD21-'Entries June''25'!AD20)</f>
        <v>0</v>
      </c>
      <c r="W20" s="31" t="str">
        <f>IF('Entries June''25'!AE21-'Entries June''25'!AE20&lt;1,"0",'Entries June''25'!AE21-'Entries June''25'!AE20)</f>
        <v>0</v>
      </c>
      <c r="X20" s="82" t="str">
        <f>IF('Entries June''25'!AI21-'Entries June''25'!AI20&lt;1,"0",'Entries June''25'!AI21-'Entries June''25'!AI20)</f>
        <v>0</v>
      </c>
      <c r="Y20" s="82" t="str">
        <f>IF('Entries June''25'!AH21-'Entries June''25'!AH20&lt;1,"0",'Entries June''25'!AH21-'Entries June''25'!AH20)</f>
        <v>0</v>
      </c>
      <c r="Z20" s="577">
        <f t="shared" si="3"/>
        <v>149</v>
      </c>
      <c r="AA20" s="578" t="str">
        <v>0</v>
      </c>
      <c r="AB20" s="579" t="str">
        <f t="shared" si="4"/>
        <v>0</v>
      </c>
    </row>
    <row r="21" spans="1:32" ht="14.25" customHeight="1" x14ac:dyDescent="0.2">
      <c r="B21" s="52">
        <v>15</v>
      </c>
      <c r="C21" s="53" t="str">
        <f>IF('Entries June''25'!W22-'Entries June''25'!W21&lt;1,"0",'Entries June''25'!W22-'Entries June''25'!W21)</f>
        <v>0</v>
      </c>
      <c r="D21" s="31" t="str">
        <f>IF('Entries June''25'!O22-'Entries June''25'!O21&lt;1,"0",'Entries June''25'!O22-'Entries June''25'!O21)</f>
        <v>0</v>
      </c>
      <c r="E21" s="31">
        <f>IF('Entries June''25'!P22-'Entries June''25'!P21&lt;1,"0",'Entries June''25'!P22-'Entries June''25'!P21)</f>
        <v>88</v>
      </c>
      <c r="F21" s="31">
        <f>IF('Entries June''25'!V22-'Entries June''25'!V21&lt;1,"0",'Entries June''25'!V22-'Entries June''25'!V21)</f>
        <v>46</v>
      </c>
      <c r="G21" s="31">
        <f t="shared" si="0"/>
        <v>42</v>
      </c>
      <c r="H21" s="31">
        <f>IF('Entries June''25'!Q22-'Entries June''25'!Q21&lt;1,0,'Entries June''25'!Q22-'Entries June''25'!Q21)</f>
        <v>9</v>
      </c>
      <c r="I21" s="31">
        <f>IF('Entries June''25'!AG22-'Entries June''25'!AG21&lt;1,0,'Entries June''25'!AG22-'Entries June''25'!AG21)</f>
        <v>0</v>
      </c>
      <c r="J21" s="31" t="str">
        <f>IF('Entries June''25'!S22-'Entries June''25'!S21&lt;1,"0",'Entries June''25'!S22-'Entries June''25'!S21)</f>
        <v>0</v>
      </c>
      <c r="K21" s="31" t="str">
        <f>IF('Entries June''25'!R22-'Entries June''25'!R21&lt;1,"0",'Entries June''25'!R22-'Entries June''25'!R21)</f>
        <v>0</v>
      </c>
      <c r="L21" s="31" t="str">
        <f>IF('Entries June''25'!T22-'Entries June''25'!T21&lt;1,"0",'Entries June''25'!T22-'Entries June''25'!T21)</f>
        <v>0</v>
      </c>
      <c r="M21" s="31" t="str">
        <f>IF('Entries June''25'!U22-'Entries June''25'!U21&lt;1,"0",'Entries June''25'!U22-'Entries June''25'!U21)</f>
        <v>0</v>
      </c>
      <c r="N21" s="31" t="str">
        <f>IF('Entries June''25'!X22-'Entries June''25'!X21&lt;1,"0",'Entries June''25'!X22-'Entries June''25'!X21)</f>
        <v>0</v>
      </c>
      <c r="O21" s="31" t="str">
        <f>IF('Entries June''25'!Y22-'Entries June''25'!Y21&lt;1,"0",'Entries June''25'!Y22-'Entries June''25'!Y21)</f>
        <v>0</v>
      </c>
      <c r="P21" s="31" t="str">
        <f>IF('Entries June''25'!AC22-'Entries June''25'!AC21&lt;1,"0",'Entries June''25'!AC22-'Entries June''25'!AC21)</f>
        <v>0</v>
      </c>
      <c r="Q21" s="31">
        <f>IF('Entries June''25'!Z22-'Entries June''25'!Z21&lt;1,"0",'Entries June''25'!Z22-'Entries June''25'!Z21)</f>
        <v>7</v>
      </c>
      <c r="R21" s="31" t="str">
        <f>IF(('Entries June''25'!AA22-'Entries June''25'!AA21)+('Entries June''25'!AB22-'Entries June''25'!AB21)&lt;1,"0",('Entries June''25'!AA22-'Entries June''25'!AA21)+('Entries June''25'!AB22-'Entries June''25'!AB21))</f>
        <v>0</v>
      </c>
      <c r="S21" s="53">
        <f t="shared" si="1"/>
        <v>420</v>
      </c>
      <c r="T21" s="53">
        <f t="shared" si="2"/>
        <v>0</v>
      </c>
      <c r="U21" s="31" t="str">
        <f>IF('Entries June''25'!AC22-'Entries June''25'!AC21&lt;1,"0",'Entries June''25'!AC22-'Entries June''25'!AC21)</f>
        <v>0</v>
      </c>
      <c r="V21" s="31" t="str">
        <f>IF('Entries June''25'!AD22-'Entries June''25'!AD21&lt;1,"0",'Entries June''25'!AD22-'Entries June''25'!AD21)</f>
        <v>0</v>
      </c>
      <c r="W21" s="31" t="str">
        <f>IF('Entries June''25'!AE22-'Entries June''25'!AE21&lt;1,"0",'Entries June''25'!AE22-'Entries June''25'!AE21)</f>
        <v>0</v>
      </c>
      <c r="X21" s="82" t="str">
        <f>IF('Entries June''25'!AI22-'Entries June''25'!AI21&lt;1,"0",'Entries June''25'!AI22-'Entries June''25'!AI21)</f>
        <v>0</v>
      </c>
      <c r="Y21" s="82" t="str">
        <f>IF('Entries June''25'!AH22-'Entries June''25'!AH21&lt;1,"0",'Entries June''25'!AH22-'Entries June''25'!AH21)</f>
        <v>0</v>
      </c>
      <c r="Z21" s="577">
        <f t="shared" si="3"/>
        <v>88</v>
      </c>
      <c r="AA21" s="578" t="str">
        <v>0</v>
      </c>
      <c r="AB21" s="579" t="str">
        <f t="shared" si="4"/>
        <v>0</v>
      </c>
    </row>
    <row r="22" spans="1:32" x14ac:dyDescent="0.2">
      <c r="B22" s="52">
        <v>16</v>
      </c>
      <c r="C22" s="53" t="str">
        <f>IF('Entries June''25'!W23-'Entries June''25'!W22&lt;1,"0",'Entries June''25'!W23-'Entries June''25'!W22)</f>
        <v>0</v>
      </c>
      <c r="D22" s="31">
        <f>IF('Entries June''25'!O23-'Entries June''25'!O22&lt;1,"0",'Entries June''25'!O23-'Entries June''25'!O22)</f>
        <v>160</v>
      </c>
      <c r="E22" s="31">
        <f>IF('Entries June''25'!P23-'Entries June''25'!P22&lt;1,"0",'Entries June''25'!P23-'Entries June''25'!P22)</f>
        <v>200</v>
      </c>
      <c r="F22" s="31">
        <f>IF('Entries June''25'!V23-'Entries June''25'!V22&lt;1,"0",'Entries June''25'!V23-'Entries June''25'!V22)</f>
        <v>213</v>
      </c>
      <c r="G22" s="31">
        <f t="shared" si="0"/>
        <v>147</v>
      </c>
      <c r="H22" s="31">
        <f>IF('Entries June''25'!Q23-'Entries June''25'!Q22&lt;1,0,'Entries June''25'!Q23-'Entries June''25'!Q22)</f>
        <v>258</v>
      </c>
      <c r="I22" s="31">
        <f>IF('Entries June''25'!AG23-'Entries June''25'!AG22&lt;1,0,'Entries June''25'!AG23-'Entries June''25'!AG22)</f>
        <v>0</v>
      </c>
      <c r="J22" s="31">
        <f>IF('Entries June''25'!S23-'Entries June''25'!S22&lt;1,"0",'Entries June''25'!S23-'Entries June''25'!S22)</f>
        <v>107</v>
      </c>
      <c r="K22" s="31" t="str">
        <f>IF('Entries June''25'!R23-'Entries June''25'!R22&lt;1,"0",'Entries June''25'!R23-'Entries June''25'!R22)</f>
        <v>0</v>
      </c>
      <c r="L22" s="31" t="str">
        <f>IF('Entries June''25'!T23-'Entries June''25'!T22&lt;1,"0",'Entries June''25'!T23-'Entries June''25'!T22)</f>
        <v>0</v>
      </c>
      <c r="M22" s="31">
        <f>IF('Entries June''25'!U23-'Entries June''25'!U22&lt;1,"0",'Entries June''25'!U23-'Entries June''25'!U22)</f>
        <v>38</v>
      </c>
      <c r="N22" s="31">
        <f>IF('Entries June''25'!X23-'Entries June''25'!X22&lt;1,"0",'Entries June''25'!X23-'Entries June''25'!X22)</f>
        <v>47</v>
      </c>
      <c r="O22" s="31">
        <f>IF('Entries June''25'!Y23-'Entries June''25'!Y22&lt;1,"0",'Entries June''25'!Y23-'Entries June''25'!Y22)</f>
        <v>132</v>
      </c>
      <c r="P22" s="31">
        <f>IF('Entries June''25'!AC23-'Entries June''25'!AC22&lt;1,"0",'Entries June''25'!AC23-'Entries June''25'!AC22)</f>
        <v>20</v>
      </c>
      <c r="Q22" s="31">
        <f>IF('Entries June''25'!Z23-'Entries June''25'!Z22&lt;1,"0",'Entries June''25'!Z23-'Entries June''25'!Z22)</f>
        <v>33</v>
      </c>
      <c r="R22" s="31" t="str">
        <f>IF(('Entries June''25'!AA23-'Entries June''25'!AA22)+('Entries June''25'!AB23-'Entries June''25'!AB22)&lt;1,"0",('Entries June''25'!AA23-'Entries June''25'!AA22)+('Entries June''25'!AB23-'Entries June''25'!AB22))</f>
        <v>0</v>
      </c>
      <c r="S22" s="53">
        <f t="shared" si="1"/>
        <v>1470</v>
      </c>
      <c r="T22" s="53">
        <f t="shared" si="2"/>
        <v>217</v>
      </c>
      <c r="U22" s="31">
        <f>IF('Entries June''25'!AC23-'Entries June''25'!AC22&lt;1,"0",'Entries June''25'!AC23-'Entries June''25'!AC22)</f>
        <v>20</v>
      </c>
      <c r="V22" s="31">
        <f>IF('Entries June''25'!AD23-'Entries June''25'!AD22&lt;1,"0",'Entries June''25'!AD23-'Entries June''25'!AD22)</f>
        <v>54</v>
      </c>
      <c r="W22" s="31" t="str">
        <f>IF('Entries June''25'!AE23-'Entries June''25'!AE22&lt;1,"0",'Entries June''25'!AE23-'Entries June''25'!AE22)</f>
        <v>0</v>
      </c>
      <c r="X22" s="82" t="str">
        <f>IF('Entries June''25'!AI23-'Entries June''25'!AI22&lt;1,"0",'Entries June''25'!AI23-'Entries June''25'!AI22)</f>
        <v>0</v>
      </c>
      <c r="Y22" s="82" t="str">
        <f>IF('Entries June''25'!AH23-'Entries June''25'!AH22&lt;1,"0",'Entries June''25'!AH23-'Entries June''25'!AH22)</f>
        <v>0</v>
      </c>
      <c r="Z22" s="577">
        <f t="shared" si="3"/>
        <v>360</v>
      </c>
      <c r="AA22" s="578">
        <v>400.62</v>
      </c>
      <c r="AB22" s="579">
        <f t="shared" si="4"/>
        <v>8.9860715890369924</v>
      </c>
    </row>
    <row r="23" spans="1:32" x14ac:dyDescent="0.2">
      <c r="B23" s="52">
        <v>17</v>
      </c>
      <c r="C23" s="53" t="str">
        <f>IF('Entries June''25'!W24-'Entries June''25'!W23&lt;1,"0",'Entries June''25'!W24-'Entries June''25'!W23)</f>
        <v>0</v>
      </c>
      <c r="D23" s="31">
        <f>IF('Entries June''25'!O24-'Entries June''25'!O23&lt;1,"0",'Entries June''25'!O24-'Entries June''25'!O23)</f>
        <v>358</v>
      </c>
      <c r="E23" s="31">
        <f>IF('Entries June''25'!P24-'Entries June''25'!P23&lt;1,"0",'Entries June''25'!P24-'Entries June''25'!P23)</f>
        <v>146</v>
      </c>
      <c r="F23" s="31">
        <f>IF('Entries June''25'!V24-'Entries June''25'!V23&lt;1,"0",'Entries June''25'!V24-'Entries June''25'!V23)</f>
        <v>155</v>
      </c>
      <c r="G23" s="31">
        <f t="shared" si="0"/>
        <v>349</v>
      </c>
      <c r="H23" s="31">
        <f>IF('Entries June''25'!Q24-'Entries June''25'!Q23&lt;1,0,'Entries June''25'!Q24-'Entries June''25'!Q23)</f>
        <v>288</v>
      </c>
      <c r="I23" s="31">
        <f>IF('Entries June''25'!AG24-'Entries June''25'!AG23&lt;1,0,'Entries June''25'!AG24-'Entries June''25'!AG23)</f>
        <v>0</v>
      </c>
      <c r="J23" s="31">
        <f>IF('Entries June''25'!S24-'Entries June''25'!S23&lt;1,"0",'Entries June''25'!S24-'Entries June''25'!S23)</f>
        <v>177</v>
      </c>
      <c r="K23" s="31" t="str">
        <f>IF('Entries June''25'!R24-'Entries June''25'!R23&lt;1,"0",'Entries June''25'!R24-'Entries June''25'!R23)</f>
        <v>0</v>
      </c>
      <c r="L23" s="31" t="str">
        <f>IF('Entries June''25'!T24-'Entries June''25'!T23&lt;1,"0",'Entries June''25'!T24-'Entries June''25'!T23)</f>
        <v>0</v>
      </c>
      <c r="M23" s="31">
        <f>IF('Entries June''25'!U24-'Entries June''25'!U23&lt;1,"0",'Entries June''25'!U24-'Entries June''25'!U23)</f>
        <v>8</v>
      </c>
      <c r="N23" s="31">
        <f>IF('Entries June''25'!X24-'Entries June''25'!X23&lt;1,"0",'Entries June''25'!X24-'Entries June''25'!X23)</f>
        <v>47</v>
      </c>
      <c r="O23" s="31">
        <f>IF('Entries June''25'!Y24-'Entries June''25'!Y23&lt;1,"0",'Entries June''25'!Y24-'Entries June''25'!Y23)</f>
        <v>150</v>
      </c>
      <c r="P23" s="31">
        <f>IF('Entries June''25'!AC24-'Entries June''25'!AC23&lt;1,"0",'Entries June''25'!AC24-'Entries June''25'!AC23)</f>
        <v>24</v>
      </c>
      <c r="Q23" s="31">
        <f>IF('Entries June''25'!Z24-'Entries June''25'!Z23&lt;1,"0",'Entries June''25'!Z24-'Entries June''25'!Z23)</f>
        <v>32</v>
      </c>
      <c r="R23" s="31" t="str">
        <f>IF(('Entries June''25'!AA24-'Entries June''25'!AA23)+('Entries June''25'!AB24-'Entries June''25'!AB23)&lt;1,"0",('Entries June''25'!AA24-'Entries June''25'!AA23)+('Entries June''25'!AB24-'Entries June''25'!AB23))</f>
        <v>0</v>
      </c>
      <c r="S23" s="53">
        <f t="shared" si="1"/>
        <v>3490</v>
      </c>
      <c r="T23" s="53">
        <f t="shared" si="2"/>
        <v>205</v>
      </c>
      <c r="U23" s="31">
        <f>IF('Entries June''25'!AC24-'Entries June''25'!AC23&lt;1,"0",'Entries June''25'!AC24-'Entries June''25'!AC23)</f>
        <v>24</v>
      </c>
      <c r="V23" s="31" t="str">
        <f>IF('Entries June''25'!AD24-'Entries June''25'!AD23&lt;1,"0",'Entries June''25'!AD24-'Entries June''25'!AD23)</f>
        <v>0</v>
      </c>
      <c r="W23" s="31" t="str">
        <f>IF('Entries June''25'!AE24-'Entries June''25'!AE23&lt;1,"0",'Entries June''25'!AE24-'Entries June''25'!AE23)</f>
        <v>0</v>
      </c>
      <c r="X23" s="82" t="str">
        <f>IF('Entries June''25'!AI24-'Entries June''25'!AI23&lt;1,"0",'Entries June''25'!AI24-'Entries June''25'!AI23)</f>
        <v>0</v>
      </c>
      <c r="Y23" s="82" t="str">
        <f>IF('Entries June''25'!AH24-'Entries June''25'!AH23&lt;1,"0",'Entries June''25'!AH24-'Entries June''25'!AH23)</f>
        <v>0</v>
      </c>
      <c r="Z23" s="577">
        <f t="shared" si="3"/>
        <v>504</v>
      </c>
      <c r="AA23" s="578">
        <v>550.24200000000008</v>
      </c>
      <c r="AB23" s="579">
        <f t="shared" si="4"/>
        <v>9.1596061369361106</v>
      </c>
    </row>
    <row r="24" spans="1:32" x14ac:dyDescent="0.2">
      <c r="B24" s="52">
        <v>18</v>
      </c>
      <c r="C24" s="53" t="str">
        <f>IF('Entries June''25'!W25-'Entries June''25'!W24&lt;1,"0",'Entries June''25'!W25-'Entries June''25'!W24)</f>
        <v>0</v>
      </c>
      <c r="D24" s="31">
        <f>IF('Entries June''25'!O25-'Entries June''25'!O24&lt;1,"0",'Entries June''25'!O25-'Entries June''25'!O24)</f>
        <v>223</v>
      </c>
      <c r="E24" s="31">
        <f>IF('Entries June''25'!P25-'Entries June''25'!P24&lt;1,"0",'Entries June''25'!P25-'Entries June''25'!P24)</f>
        <v>143</v>
      </c>
      <c r="F24" s="31">
        <f>IF('Entries June''25'!V25-'Entries June''25'!V24&lt;1,"0",'Entries June''25'!V25-'Entries June''25'!V24)</f>
        <v>150</v>
      </c>
      <c r="G24" s="31">
        <f t="shared" si="0"/>
        <v>216</v>
      </c>
      <c r="H24" s="31">
        <f>IF('Entries June''25'!Q25-'Entries June''25'!Q24&lt;1,0,'Entries June''25'!Q25-'Entries June''25'!Q24)</f>
        <v>267</v>
      </c>
      <c r="I24" s="31">
        <f>IF('Entries June''25'!AG25-'Entries June''25'!AG24&lt;1,0,'Entries June''25'!AG25-'Entries June''25'!AG24)</f>
        <v>0</v>
      </c>
      <c r="J24" s="31">
        <f>IF('Entries June''25'!S25-'Entries June''25'!S24&lt;1,"0",'Entries June''25'!S25-'Entries June''25'!S24)</f>
        <v>105</v>
      </c>
      <c r="K24" s="31" t="str">
        <f>IF('Entries June''25'!R25-'Entries June''25'!R24&lt;1,"0",'Entries June''25'!R25-'Entries June''25'!R24)</f>
        <v>0</v>
      </c>
      <c r="L24" s="31" t="str">
        <f>IF('Entries June''25'!T25-'Entries June''25'!T24&lt;1,"0",'Entries June''25'!T25-'Entries June''25'!T24)</f>
        <v>0</v>
      </c>
      <c r="M24" s="31">
        <f>IF('Entries June''25'!U25-'Entries June''25'!U24&lt;1,"0",'Entries June''25'!U25-'Entries June''25'!U24)</f>
        <v>10</v>
      </c>
      <c r="N24" s="31">
        <f>IF('Entries June''25'!X25-'Entries June''25'!X24&lt;1,"0",'Entries June''25'!X25-'Entries June''25'!X24)</f>
        <v>38</v>
      </c>
      <c r="O24" s="31">
        <f>IF('Entries June''25'!Y25-'Entries June''25'!Y24&lt;1,"0",'Entries June''25'!Y25-'Entries June''25'!Y24)</f>
        <v>128</v>
      </c>
      <c r="P24" s="31">
        <f>IF('Entries June''25'!AC25-'Entries June''25'!AC24&lt;1,"0",'Entries June''25'!AC25-'Entries June''25'!AC24)</f>
        <v>19</v>
      </c>
      <c r="Q24" s="31">
        <f>IF('Entries June''25'!Z25-'Entries June''25'!Z24&lt;1,"0",'Entries June''25'!Z25-'Entries June''25'!Z24)</f>
        <v>21</v>
      </c>
      <c r="R24" s="31" t="str">
        <f>IF(('Entries June''25'!AA25-'Entries June''25'!AA24)+('Entries June''25'!AB25-'Entries June''25'!AB24)&lt;1,"0",('Entries June''25'!AA25-'Entries June''25'!AA24)+('Entries June''25'!AB25-'Entries June''25'!AB24))</f>
        <v>0</v>
      </c>
      <c r="S24" s="53">
        <f t="shared" si="1"/>
        <v>2160</v>
      </c>
      <c r="T24" s="53">
        <f t="shared" si="2"/>
        <v>176</v>
      </c>
      <c r="U24" s="31">
        <f>IF('Entries June''25'!AC25-'Entries June''25'!AC24&lt;1,"0",'Entries June''25'!AC25-'Entries June''25'!AC24)</f>
        <v>19</v>
      </c>
      <c r="V24" s="31" t="str">
        <f>IF('Entries June''25'!AD25-'Entries June''25'!AD24&lt;1,"0",'Entries June''25'!AD25-'Entries June''25'!AD24)</f>
        <v>0</v>
      </c>
      <c r="W24" s="31" t="str">
        <f>IF('Entries June''25'!AE25-'Entries June''25'!AE24&lt;1,"0",'Entries June''25'!AE25-'Entries June''25'!AE24)</f>
        <v>0</v>
      </c>
      <c r="X24" s="82" t="str">
        <f>IF('Entries June''25'!AI25-'Entries June''25'!AI24&lt;1,"0",'Entries June''25'!AI25-'Entries June''25'!AI24)</f>
        <v>0</v>
      </c>
      <c r="Y24" s="82" t="str">
        <f>IF('Entries June''25'!AH25-'Entries June''25'!AH24&lt;1,"0",'Entries June''25'!AH25-'Entries June''25'!AH24)</f>
        <v>0</v>
      </c>
      <c r="Z24" s="577">
        <f t="shared" si="3"/>
        <v>366</v>
      </c>
      <c r="AA24" s="578">
        <v>446.5428</v>
      </c>
      <c r="AB24" s="579">
        <f t="shared" si="4"/>
        <v>8.1963027956110821</v>
      </c>
    </row>
    <row r="25" spans="1:32" x14ac:dyDescent="0.2">
      <c r="B25" s="52">
        <v>19</v>
      </c>
      <c r="C25" s="53" t="str">
        <f>IF('Entries June''25'!W26-'Entries June''25'!W25&lt;1,"0",'Entries June''25'!W26-'Entries June''25'!W25)</f>
        <v>0</v>
      </c>
      <c r="D25" s="31" t="str">
        <f>IF('Entries June''25'!O26-'Entries June''25'!O25&lt;1,"0",'Entries June''25'!O26-'Entries June''25'!O25)</f>
        <v>0</v>
      </c>
      <c r="E25" s="31" t="str">
        <f>IF('Entries June''25'!P26-'Entries June''25'!P25&lt;1,"0",'Entries June''25'!P26-'Entries June''25'!P25)</f>
        <v>0</v>
      </c>
      <c r="F25" s="31" t="str">
        <f>IF('Entries June''25'!V26-'Entries June''25'!V25&lt;1,"0",'Entries June''25'!V26-'Entries June''25'!V25)</f>
        <v>0</v>
      </c>
      <c r="G25" s="31">
        <f t="shared" si="0"/>
        <v>0</v>
      </c>
      <c r="H25" s="31">
        <f>IF('Entries June''25'!Q26-'Entries June''25'!Q25&lt;1,0,'Entries June''25'!Q26-'Entries June''25'!Q25)</f>
        <v>11</v>
      </c>
      <c r="I25" s="31">
        <f>IF('Entries June''25'!AG26-'Entries June''25'!AG25&lt;1,0,'Entries June''25'!AG26-'Entries June''25'!AG25)</f>
        <v>0</v>
      </c>
      <c r="J25" s="31" t="str">
        <f>IF('Entries June''25'!S26-'Entries June''25'!S25&lt;1,"0",'Entries June''25'!S26-'Entries June''25'!S25)</f>
        <v>0</v>
      </c>
      <c r="K25" s="31" t="str">
        <f>IF('Entries June''25'!R26-'Entries June''25'!R25&lt;1,"0",'Entries June''25'!R26-'Entries June''25'!R25)</f>
        <v>0</v>
      </c>
      <c r="L25" s="31" t="str">
        <f>IF('Entries June''25'!T26-'Entries June''25'!T25&lt;1,"0",'Entries June''25'!T26-'Entries June''25'!T25)</f>
        <v>0</v>
      </c>
      <c r="M25" s="31" t="str">
        <f>IF('Entries June''25'!U26-'Entries June''25'!U25&lt;1,"0",'Entries June''25'!U26-'Entries June''25'!U25)</f>
        <v>0</v>
      </c>
      <c r="N25" s="31" t="str">
        <f>IF('Entries June''25'!X26-'Entries June''25'!X25&lt;1,"0",'Entries June''25'!X26-'Entries June''25'!X25)</f>
        <v>0</v>
      </c>
      <c r="O25" s="31" t="str">
        <f>IF('Entries June''25'!Y26-'Entries June''25'!Y25&lt;1,"0",'Entries June''25'!Y26-'Entries June''25'!Y25)</f>
        <v>0</v>
      </c>
      <c r="P25" s="31" t="str">
        <f>IF('Entries June''25'!AC26-'Entries June''25'!AC25&lt;1,"0",'Entries June''25'!AC26-'Entries June''25'!AC25)</f>
        <v>0</v>
      </c>
      <c r="Q25" s="31">
        <f>IF('Entries June''25'!Z26-'Entries June''25'!Z25&lt;1,"0",'Entries June''25'!Z26-'Entries June''25'!Z25)</f>
        <v>18</v>
      </c>
      <c r="R25" s="31" t="str">
        <f>IF(('Entries June''25'!AA26-'Entries June''25'!AA25)+('Entries June''25'!AB26-'Entries June''25'!AB25)&lt;1,"0",('Entries June''25'!AA26-'Entries June''25'!AA25)+('Entries June''25'!AB26-'Entries June''25'!AB25))</f>
        <v>0</v>
      </c>
      <c r="S25" s="53">
        <f t="shared" si="1"/>
        <v>0</v>
      </c>
      <c r="T25" s="53">
        <f t="shared" si="2"/>
        <v>0</v>
      </c>
      <c r="U25" s="31" t="str">
        <f>IF('Entries June''25'!AC26-'Entries June''25'!AC25&lt;1,"0",'Entries June''25'!AC26-'Entries June''25'!AC25)</f>
        <v>0</v>
      </c>
      <c r="V25" s="31" t="str">
        <f>IF('Entries June''25'!AD26-'Entries June''25'!AD25&lt;1,"0",'Entries June''25'!AD26-'Entries June''25'!AD25)</f>
        <v>0</v>
      </c>
      <c r="W25" s="31" t="str">
        <f>IF('Entries June''25'!AE26-'Entries June''25'!AE25&lt;1,"0",'Entries June''25'!AE26-'Entries June''25'!AE25)</f>
        <v>0</v>
      </c>
      <c r="X25" s="82" t="str">
        <f>IF('Entries June''25'!AI26-'Entries June''25'!AI25&lt;1,"0",'Entries June''25'!AI26-'Entries June''25'!AI25)</f>
        <v>0</v>
      </c>
      <c r="Y25" s="82" t="str">
        <f>IF('Entries June''25'!AH26-'Entries June''25'!AH25&lt;1,"0",'Entries June''25'!AH26-'Entries June''25'!AH25)</f>
        <v>0</v>
      </c>
      <c r="Z25" s="577">
        <f t="shared" si="3"/>
        <v>0</v>
      </c>
      <c r="AA25" s="578" t="str">
        <v>0</v>
      </c>
      <c r="AB25" s="579" t="str">
        <f t="shared" si="4"/>
        <v>0</v>
      </c>
    </row>
    <row r="26" spans="1:32" x14ac:dyDescent="0.2">
      <c r="A26" s="29"/>
      <c r="B26" s="52">
        <v>20</v>
      </c>
      <c r="C26" s="53" t="str">
        <f>IF('Entries June''25'!W27-'Entries June''25'!W26&lt;1,"0",'Entries June''25'!W27-'Entries June''25'!W26)</f>
        <v>0</v>
      </c>
      <c r="D26" s="31">
        <f>IF('Entries June''25'!O27-'Entries June''25'!O26&lt;1,"0",'Entries June''25'!O27-'Entries June''25'!O26)</f>
        <v>266</v>
      </c>
      <c r="E26" s="31">
        <f>IF('Entries June''25'!P27-'Entries June''25'!P26&lt;1,"0",'Entries June''25'!P27-'Entries June''25'!P26)</f>
        <v>208</v>
      </c>
      <c r="F26" s="31">
        <f>IF('Entries June''25'!V27-'Entries June''25'!V26&lt;1,"0",'Entries June''25'!V27-'Entries June''25'!V26)</f>
        <v>216</v>
      </c>
      <c r="G26" s="31">
        <f t="shared" si="0"/>
        <v>258</v>
      </c>
      <c r="H26" s="31">
        <f>IF('Entries June''25'!Q27-'Entries June''25'!Q26&lt;1,0,'Entries June''25'!Q27-'Entries June''25'!Q26)</f>
        <v>0</v>
      </c>
      <c r="I26" s="31">
        <f>IF('Entries June''25'!AG27-'Entries June''25'!AG26&lt;1,0,'Entries June''25'!AG27-'Entries June''25'!AG26)</f>
        <v>0</v>
      </c>
      <c r="J26" s="31">
        <f>IF('Entries June''25'!S27-'Entries June''25'!S26&lt;1,"0",'Entries June''25'!S27-'Entries June''25'!S26)</f>
        <v>12</v>
      </c>
      <c r="K26" s="31" t="str">
        <f>IF('Entries June''25'!R27-'Entries June''25'!R26&lt;1,"0",'Entries June''25'!R27-'Entries June''25'!R26)</f>
        <v>0</v>
      </c>
      <c r="L26" s="31" t="str">
        <f>IF('Entries June''25'!T27-'Entries June''25'!T26&lt;1,"0",'Entries June''25'!T27-'Entries June''25'!T26)</f>
        <v>0</v>
      </c>
      <c r="M26" s="31">
        <f>IF('Entries June''25'!U27-'Entries June''25'!U26&lt;1,"0",'Entries June''25'!U27-'Entries June''25'!U26)</f>
        <v>16</v>
      </c>
      <c r="N26" s="31">
        <f>IF('Entries June''25'!X27-'Entries June''25'!X26&lt;1,"0",'Entries June''25'!X27-'Entries June''25'!X26)</f>
        <v>21</v>
      </c>
      <c r="O26" s="31">
        <f>IF('Entries June''25'!Y27-'Entries June''25'!Y26&lt;1,"0",'Entries June''25'!Y27-'Entries June''25'!Y26)</f>
        <v>115</v>
      </c>
      <c r="P26" s="31">
        <f>IF('Entries June''25'!AC27-'Entries June''25'!AC26&lt;1,"0",'Entries June''25'!AC27-'Entries June''25'!AC26)</f>
        <v>16</v>
      </c>
      <c r="Q26" s="31">
        <f>IF('Entries June''25'!Z27-'Entries June''25'!Z26&lt;1,"0",'Entries June''25'!Z27-'Entries June''25'!Z26)</f>
        <v>77</v>
      </c>
      <c r="R26" s="31" t="str">
        <f>IF(('Entries June''25'!AA27-'Entries June''25'!AA26)+('Entries June''25'!AB27-'Entries June''25'!AB26)&lt;1,"0",('Entries June''25'!AA27-'Entries June''25'!AA26)+('Entries June''25'!AB27-'Entries June''25'!AB26))</f>
        <v>0</v>
      </c>
      <c r="S26" s="53">
        <f t="shared" si="1"/>
        <v>2580</v>
      </c>
      <c r="T26" s="53">
        <f t="shared" si="2"/>
        <v>152</v>
      </c>
      <c r="U26" s="31">
        <f>IF('Entries June''25'!AC27-'Entries June''25'!AC26&lt;1,"0",'Entries June''25'!AC27-'Entries June''25'!AC26)</f>
        <v>16</v>
      </c>
      <c r="V26" s="31" t="str">
        <f>IF('Entries June''25'!AD27-'Entries June''25'!AD26&lt;1,"0",'Entries June''25'!AD27-'Entries June''25'!AD26)</f>
        <v>0</v>
      </c>
      <c r="W26" s="31" t="str">
        <f>IF('Entries June''25'!AE27-'Entries June''25'!AE26&lt;1,"0",'Entries June''25'!AE27-'Entries June''25'!AE26)</f>
        <v>0</v>
      </c>
      <c r="X26" s="82" t="str">
        <f>IF('Entries June''25'!AI27-'Entries June''25'!AI26&lt;1,"0",'Entries June''25'!AI27-'Entries June''25'!AI26)</f>
        <v>0</v>
      </c>
      <c r="Y26" s="82" t="str">
        <f>IF('Entries June''25'!AH27-'Entries June''25'!AH26&lt;1,"0",'Entries June''25'!AH27-'Entries June''25'!AH26)</f>
        <v>0</v>
      </c>
      <c r="Z26" s="577">
        <f t="shared" si="3"/>
        <v>474</v>
      </c>
      <c r="AA26" s="578">
        <v>365.02080000000001</v>
      </c>
      <c r="AB26" s="579">
        <f t="shared" si="4"/>
        <v>12.985561370749283</v>
      </c>
    </row>
    <row r="27" spans="1:32" x14ac:dyDescent="0.2">
      <c r="A27" s="29"/>
      <c r="B27" s="52">
        <v>21</v>
      </c>
      <c r="C27" s="53" t="str">
        <f>IF('Entries June''25'!W28-'Entries June''25'!W27&lt;1,"0",'Entries June''25'!W28-'Entries June''25'!W27)</f>
        <v>0</v>
      </c>
      <c r="D27" s="31" t="str">
        <f>IF('Entries June''25'!O28-'Entries June''25'!O27&lt;1,"0",'Entries June''25'!O28-'Entries June''25'!O27)</f>
        <v>0</v>
      </c>
      <c r="E27" s="31">
        <f>IF('Entries June''25'!P28-'Entries June''25'!P27&lt;1,"0",'Entries June''25'!P28-'Entries June''25'!P27)</f>
        <v>18</v>
      </c>
      <c r="F27" s="31">
        <f>IF('Entries June''25'!V28-'Entries June''25'!V27&lt;1,"0",'Entries June''25'!V28-'Entries June''25'!V27)</f>
        <v>17</v>
      </c>
      <c r="G27" s="31">
        <f t="shared" si="0"/>
        <v>1</v>
      </c>
      <c r="H27" s="31">
        <f>IF('Entries June''25'!Q28-'Entries June''25'!Q27&lt;1,0,'Entries June''25'!Q28-'Entries June''25'!Q27)</f>
        <v>1057</v>
      </c>
      <c r="I27" s="31">
        <f>IF('Entries June''25'!AG28-'Entries June''25'!AG27&lt;1,0,'Entries June''25'!AG28-'Entries June''25'!AG27)</f>
        <v>0</v>
      </c>
      <c r="J27" s="31" t="str">
        <f>IF('Entries June''25'!S28-'Entries June''25'!S27&lt;1,"0",'Entries June''25'!S28-'Entries June''25'!S27)</f>
        <v>0</v>
      </c>
      <c r="K27" s="31" t="str">
        <f>IF('Entries June''25'!R28-'Entries June''25'!R27&lt;1,"0",'Entries June''25'!R28-'Entries June''25'!R27)</f>
        <v>0</v>
      </c>
      <c r="L27" s="31" t="str">
        <f>IF('Entries June''25'!T28-'Entries June''25'!T27&lt;1,"0",'Entries June''25'!T28-'Entries June''25'!T27)</f>
        <v>0</v>
      </c>
      <c r="M27" s="31" t="str">
        <f>IF('Entries June''25'!U28-'Entries June''25'!U27&lt;1,"0",'Entries June''25'!U28-'Entries June''25'!U27)</f>
        <v>0</v>
      </c>
      <c r="N27" s="31" t="str">
        <f>IF('Entries June''25'!X28-'Entries June''25'!X27&lt;1,"0",'Entries June''25'!X28-'Entries June''25'!X27)</f>
        <v>0</v>
      </c>
      <c r="O27" s="31">
        <f>IF('Entries June''25'!Y28-'Entries June''25'!Y27&lt;1,"0",'Entries June''25'!Y28-'Entries June''25'!Y27)</f>
        <v>31</v>
      </c>
      <c r="P27" s="31" t="str">
        <f>IF('Entries June''25'!AC28-'Entries June''25'!AC27&lt;1,"0",'Entries June''25'!AC28-'Entries June''25'!AC27)</f>
        <v>0</v>
      </c>
      <c r="Q27" s="31">
        <f>IF('Entries June''25'!Z28-'Entries June''25'!Z27&lt;1,"0",'Entries June''25'!Z28-'Entries June''25'!Z27)</f>
        <v>24</v>
      </c>
      <c r="R27" s="31" t="str">
        <f>IF(('Entries June''25'!AA28-'Entries June''25'!AA27)+('Entries June''25'!AB28-'Entries June''25'!AB27)&lt;1,"0",('Entries June''25'!AA28-'Entries June''25'!AA27)+('Entries June''25'!AB28-'Entries June''25'!AB27))</f>
        <v>0</v>
      </c>
      <c r="S27" s="53">
        <f t="shared" si="1"/>
        <v>10</v>
      </c>
      <c r="T27" s="53">
        <f t="shared" si="2"/>
        <v>31</v>
      </c>
      <c r="U27" s="31" t="str">
        <f>IF('Entries June''25'!AC28-'Entries June''25'!AC27&lt;1,"0",'Entries June''25'!AC28-'Entries June''25'!AC27)</f>
        <v>0</v>
      </c>
      <c r="V27" s="31" t="str">
        <f>IF('Entries June''25'!AD28-'Entries June''25'!AD27&lt;1,"0",'Entries June''25'!AD28-'Entries June''25'!AD27)</f>
        <v>0</v>
      </c>
      <c r="W27" s="31" t="str">
        <f>IF('Entries June''25'!AE28-'Entries June''25'!AE27&lt;1,"0",'Entries June''25'!AE28-'Entries June''25'!AE27)</f>
        <v>0</v>
      </c>
      <c r="X27" s="82" t="str">
        <f>IF('Entries June''25'!AI28-'Entries June''25'!AI27&lt;1,"0",'Entries June''25'!AI28-'Entries June''25'!AI27)</f>
        <v>0</v>
      </c>
      <c r="Y27" s="82" t="str">
        <f>IF('Entries June''25'!AH28-'Entries June''25'!AH27&lt;1,"0",'Entries June''25'!AH28-'Entries June''25'!AH27)</f>
        <v>0</v>
      </c>
      <c r="Z27" s="577">
        <f t="shared" si="3"/>
        <v>18</v>
      </c>
      <c r="AA27" s="578" t="str">
        <v>0</v>
      </c>
      <c r="AB27" s="579" t="str">
        <f t="shared" si="4"/>
        <v>0</v>
      </c>
    </row>
    <row r="28" spans="1:32" x14ac:dyDescent="0.2">
      <c r="B28" s="52">
        <v>22</v>
      </c>
      <c r="C28" s="53" t="str">
        <f>IF('Entries June''25'!W29-'Entries June''25'!W28&lt;1,"0",'Entries June''25'!W29-'Entries June''25'!W28)</f>
        <v>0</v>
      </c>
      <c r="D28" s="31" t="str">
        <f>IF('Entries June''25'!O29-'Entries June''25'!O28&lt;1,"0",'Entries June''25'!O29-'Entries June''25'!O28)</f>
        <v>0</v>
      </c>
      <c r="E28" s="31">
        <f>IF('Entries June''25'!P29-'Entries June''25'!P28&lt;1,"0",'Entries June''25'!P29-'Entries June''25'!P28)</f>
        <v>78</v>
      </c>
      <c r="F28" s="31">
        <f>IF('Entries June''25'!V29-'Entries June''25'!V28&lt;1,"0",'Entries June''25'!V29-'Entries June''25'!V28)</f>
        <v>81</v>
      </c>
      <c r="G28" s="31">
        <f t="shared" si="0"/>
        <v>-3</v>
      </c>
      <c r="H28" s="31">
        <f>IF('Entries June''25'!Q29-'Entries June''25'!Q28&lt;1,0,'Entries June''25'!Q29-'Entries June''25'!Q28)</f>
        <v>4</v>
      </c>
      <c r="I28" s="31">
        <f>IF('Entries June''25'!AG29-'Entries June''25'!AG28&lt;1,0,'Entries June''25'!AG29-'Entries June''25'!AG28)</f>
        <v>0</v>
      </c>
      <c r="J28" s="31" t="str">
        <f>IF('Entries June''25'!S29-'Entries June''25'!S28&lt;1,"0",'Entries June''25'!S29-'Entries June''25'!S28)</f>
        <v>0</v>
      </c>
      <c r="K28" s="31" t="str">
        <f>IF('Entries June''25'!R29-'Entries June''25'!R28&lt;1,"0",'Entries June''25'!R29-'Entries June''25'!R28)</f>
        <v>0</v>
      </c>
      <c r="L28" s="31" t="str">
        <f>IF('Entries June''25'!T29-'Entries June''25'!T28&lt;1,"0",'Entries June''25'!T29-'Entries June''25'!T28)</f>
        <v>0</v>
      </c>
      <c r="M28" s="31" t="str">
        <f>IF('Entries June''25'!U29-'Entries June''25'!U28&lt;1,"0",'Entries June''25'!U29-'Entries June''25'!U28)</f>
        <v>0</v>
      </c>
      <c r="N28" s="31" t="str">
        <f>IF('Entries June''25'!X29-'Entries June''25'!X28&lt;1,"0",'Entries June''25'!X29-'Entries June''25'!X28)</f>
        <v>0</v>
      </c>
      <c r="O28" s="31" t="str">
        <f>IF('Entries June''25'!Y29-'Entries June''25'!Y28&lt;1,"0",'Entries June''25'!Y29-'Entries June''25'!Y28)</f>
        <v>0</v>
      </c>
      <c r="P28" s="31" t="str">
        <f>IF('Entries June''25'!AC29-'Entries June''25'!AC28&lt;1,"0",'Entries June''25'!AC29-'Entries June''25'!AC28)</f>
        <v>0</v>
      </c>
      <c r="Q28" s="31" t="str">
        <f>IF('Entries June''25'!Z29-'Entries June''25'!Z28&lt;1,"0",'Entries June''25'!Z29-'Entries June''25'!Z28)</f>
        <v>0</v>
      </c>
      <c r="R28" s="31" t="str">
        <f>IF(('Entries June''25'!AA29-'Entries June''25'!AA28)+('Entries June''25'!AB29-'Entries June''25'!AB28)&lt;1,"0",('Entries June''25'!AA29-'Entries June''25'!AA28)+('Entries June''25'!AB29-'Entries June''25'!AB28))</f>
        <v>0</v>
      </c>
      <c r="S28" s="53">
        <f t="shared" si="1"/>
        <v>-30</v>
      </c>
      <c r="T28" s="53">
        <f t="shared" si="2"/>
        <v>0</v>
      </c>
      <c r="U28" s="31" t="str">
        <f>IF('Entries June''25'!AC29-'Entries June''25'!AC28&lt;1,"0",'Entries June''25'!AC29-'Entries June''25'!AC28)</f>
        <v>0</v>
      </c>
      <c r="V28" s="31" t="str">
        <f>IF('Entries June''25'!AD29-'Entries June''25'!AD28&lt;1,"0",'Entries June''25'!AD29-'Entries June''25'!AD28)</f>
        <v>0</v>
      </c>
      <c r="W28" s="31" t="str">
        <f>IF('Entries June''25'!AE29-'Entries June''25'!AE28&lt;1,"0",'Entries June''25'!AE29-'Entries June''25'!AE28)</f>
        <v>0</v>
      </c>
      <c r="X28" s="82" t="str">
        <f>IF('Entries June''25'!AI29-'Entries June''25'!AI28&lt;1,"0",'Entries June''25'!AI29-'Entries June''25'!AI28)</f>
        <v>0</v>
      </c>
      <c r="Y28" s="82" t="str">
        <f>IF('Entries June''25'!AH29-'Entries June''25'!AH28&lt;1,"0",'Entries June''25'!AH29-'Entries June''25'!AH28)</f>
        <v>0</v>
      </c>
      <c r="Z28" s="577">
        <f t="shared" si="3"/>
        <v>78</v>
      </c>
      <c r="AA28" s="578" t="str">
        <v>0</v>
      </c>
      <c r="AB28" s="579" t="str">
        <f t="shared" si="4"/>
        <v>0</v>
      </c>
    </row>
    <row r="29" spans="1:32" x14ac:dyDescent="0.2">
      <c r="B29" s="52">
        <v>23</v>
      </c>
      <c r="C29" s="53" t="str">
        <f>IF('Entries June''25'!W30-'Entries June''25'!W29&lt;1,"0",'Entries June''25'!W30-'Entries June''25'!W29)</f>
        <v>0</v>
      </c>
      <c r="D29" s="31">
        <f>IF('Entries June''25'!O30-'Entries June''25'!O29&lt;1,"0",'Entries June''25'!O30-'Entries June''25'!O29)</f>
        <v>126</v>
      </c>
      <c r="E29" s="31">
        <f>IF('Entries June''25'!P30-'Entries June''25'!P29&lt;1,"0",'Entries June''25'!P30-'Entries June''25'!P29)</f>
        <v>189</v>
      </c>
      <c r="F29" s="31">
        <f>IF('Entries June''25'!V30-'Entries June''25'!V29&lt;1,"0",'Entries June''25'!V30-'Entries June''25'!V29)</f>
        <v>198</v>
      </c>
      <c r="G29" s="31">
        <f t="shared" si="0"/>
        <v>117</v>
      </c>
      <c r="H29" s="31">
        <f>IF('Entries June''25'!Q30-'Entries June''25'!Q29&lt;1,0,'Entries June''25'!Q30-'Entries June''25'!Q29)</f>
        <v>295</v>
      </c>
      <c r="I29" s="31">
        <f>IF('Entries June''25'!AG30-'Entries June''25'!AG29&lt;1,0,'Entries June''25'!AG30-'Entries June''25'!AG29)</f>
        <v>0</v>
      </c>
      <c r="J29" s="31">
        <f>IF('Entries June''25'!S30-'Entries June''25'!S29&lt;1,"0",'Entries June''25'!S30-'Entries June''25'!S29)</f>
        <v>67</v>
      </c>
      <c r="K29" s="31" t="str">
        <f>IF('Entries June''25'!R30-'Entries June''25'!R29&lt;1,"0",'Entries June''25'!R30-'Entries June''25'!R29)</f>
        <v>0</v>
      </c>
      <c r="L29" s="31" t="str">
        <f>IF('Entries June''25'!T30-'Entries June''25'!T29&lt;1,"0",'Entries June''25'!T30-'Entries June''25'!T29)</f>
        <v>0</v>
      </c>
      <c r="M29" s="31">
        <f>IF('Entries June''25'!U30-'Entries June''25'!U29&lt;1,"0",'Entries June''25'!U30-'Entries June''25'!U29)</f>
        <v>10</v>
      </c>
      <c r="N29" s="31">
        <f>IF('Entries June''25'!X30-'Entries June''25'!X29&lt;1,"0",'Entries June''25'!X30-'Entries June''25'!X29)</f>
        <v>64</v>
      </c>
      <c r="O29" s="31">
        <f>IF('Entries June''25'!Y30-'Entries June''25'!Y29&lt;1,"0",'Entries June''25'!Y30-'Entries June''25'!Y29)</f>
        <v>145</v>
      </c>
      <c r="P29" s="31">
        <f>IF('Entries June''25'!AC30-'Entries June''25'!AC29&lt;1,"0",'Entries June''25'!AC30-'Entries June''25'!AC29)</f>
        <v>12</v>
      </c>
      <c r="Q29" s="31">
        <f>IF('Entries June''25'!Z30-'Entries June''25'!Z29&lt;1,"0",'Entries June''25'!Z30-'Entries June''25'!Z29)</f>
        <v>34</v>
      </c>
      <c r="R29" s="31" t="str">
        <f>IF(('Entries June''25'!AA30-'Entries June''25'!AA29)+('Entries June''25'!AB30-'Entries June''25'!AB29)&lt;1,"0",('Entries June''25'!AA30-'Entries June''25'!AA29)+('Entries June''25'!AB30-'Entries June''25'!AB29))</f>
        <v>0</v>
      </c>
      <c r="S29" s="53">
        <f t="shared" si="1"/>
        <v>1170</v>
      </c>
      <c r="T29" s="53">
        <f t="shared" si="2"/>
        <v>219</v>
      </c>
      <c r="U29" s="31">
        <f>IF('Entries June''25'!AC30-'Entries June''25'!AC29&lt;1,"0",'Entries June''25'!AC30-'Entries June''25'!AC29)</f>
        <v>12</v>
      </c>
      <c r="V29" s="31" t="str">
        <f>IF('Entries June''25'!AD30-'Entries June''25'!AD29&lt;1,"0",'Entries June''25'!AD30-'Entries June''25'!AD29)</f>
        <v>0</v>
      </c>
      <c r="W29" s="31" t="str">
        <f>IF('Entries June''25'!AE30-'Entries June''25'!AE29&lt;1,"0",'Entries June''25'!AE30-'Entries June''25'!AE29)</f>
        <v>0</v>
      </c>
      <c r="X29" s="82" t="str">
        <f>IF('Entries June''25'!AI30-'Entries June''25'!AI29&lt;1,"0",'Entries June''25'!AI30-'Entries June''25'!AI29)</f>
        <v>0</v>
      </c>
      <c r="Y29" s="82" t="str">
        <f>IF('Entries June''25'!AH30-'Entries June''25'!AH29&lt;1,"0",'Entries June''25'!AH30-'Entries June''25'!AH29)</f>
        <v>0</v>
      </c>
      <c r="Z29" s="577">
        <f t="shared" si="3"/>
        <v>315</v>
      </c>
      <c r="AA29" s="578">
        <v>475.86</v>
      </c>
      <c r="AB29" s="579">
        <f t="shared" si="4"/>
        <v>6.6195939982347749</v>
      </c>
    </row>
    <row r="30" spans="1:32" x14ac:dyDescent="0.2">
      <c r="B30" s="52">
        <v>24</v>
      </c>
      <c r="C30" s="53" t="str">
        <f>IF('Entries June''25'!W31-'Entries June''25'!W30&lt;1,"0",'Entries June''25'!W31-'Entries June''25'!W30)</f>
        <v>0</v>
      </c>
      <c r="D30" s="31">
        <f>IF('Entries June''25'!O31-'Entries June''25'!O30&lt;1,"0",'Entries June''25'!O31-'Entries June''25'!O30)</f>
        <v>263</v>
      </c>
      <c r="E30" s="31">
        <f>IF('Entries June''25'!P31-'Entries June''25'!P30&lt;1,"0",'Entries June''25'!P31-'Entries June''25'!P30)</f>
        <v>91</v>
      </c>
      <c r="F30" s="31">
        <f>IF('Entries June''25'!V31-'Entries June''25'!V30&lt;1,"0",'Entries June''25'!V31-'Entries June''25'!V30)</f>
        <v>96</v>
      </c>
      <c r="G30" s="31">
        <f t="shared" si="0"/>
        <v>258</v>
      </c>
      <c r="H30" s="31">
        <f>IF('Entries June''25'!Q31-'Entries June''25'!Q30&lt;1,0,'Entries June''25'!Q31-'Entries June''25'!Q30)</f>
        <v>233</v>
      </c>
      <c r="I30" s="31">
        <f>IF('Entries June''25'!AG31-'Entries June''25'!AG30&lt;1,0,'Entries June''25'!AG31-'Entries June''25'!AG30)</f>
        <v>0</v>
      </c>
      <c r="J30" s="31">
        <f>IF('Entries June''25'!S31-'Entries June''25'!S30&lt;1,"0",'Entries June''25'!S31-'Entries June''25'!S30)</f>
        <v>214</v>
      </c>
      <c r="K30" s="31" t="str">
        <f>IF('Entries June''25'!R31-'Entries June''25'!R30&lt;1,"0",'Entries June''25'!R31-'Entries June''25'!R30)</f>
        <v>0</v>
      </c>
      <c r="L30" s="31" t="str">
        <f>IF('Entries June''25'!T31-'Entries June''25'!T30&lt;1,"0",'Entries June''25'!T31-'Entries June''25'!T30)</f>
        <v>0</v>
      </c>
      <c r="M30" s="31" t="str">
        <f>IF('Entries June''25'!U31-'Entries June''25'!U30&lt;1,"0",'Entries June''25'!U31-'Entries June''25'!U30)</f>
        <v>0</v>
      </c>
      <c r="N30" s="31">
        <f>IF('Entries June''25'!X31-'Entries June''25'!X30&lt;1,"0",'Entries June''25'!X31-'Entries June''25'!X30)</f>
        <v>39</v>
      </c>
      <c r="O30" s="31">
        <f>IF('Entries June''25'!Y31-'Entries June''25'!Y30&lt;1,"0",'Entries June''25'!Y31-'Entries June''25'!Y30)</f>
        <v>103</v>
      </c>
      <c r="P30" s="31">
        <f>IF('Entries June''25'!AC31-'Entries June''25'!AC30&lt;1,"0",'Entries June''25'!AC31-'Entries June''25'!AC30)</f>
        <v>22</v>
      </c>
      <c r="Q30" s="31">
        <f>IF('Entries June''25'!Z31-'Entries June''25'!Z30&lt;1,"0",'Entries June''25'!Z31-'Entries June''25'!Z30)</f>
        <v>23</v>
      </c>
      <c r="R30" s="31" t="str">
        <f>IF(('Entries June''25'!AA31-'Entries June''25'!AA30)+('Entries June''25'!AB31-'Entries June''25'!AB30)&lt;1,"0",('Entries June''25'!AA31-'Entries June''25'!AA30)+('Entries June''25'!AB31-'Entries June''25'!AB30))</f>
        <v>0</v>
      </c>
      <c r="S30" s="53">
        <f t="shared" si="1"/>
        <v>2580</v>
      </c>
      <c r="T30" s="53">
        <f t="shared" si="2"/>
        <v>142</v>
      </c>
      <c r="U30" s="31">
        <f>IF('Entries June''25'!AC31-'Entries June''25'!AC30&lt;1,"0",'Entries June''25'!AC31-'Entries June''25'!AC30)</f>
        <v>22</v>
      </c>
      <c r="V30" s="31" t="str">
        <f>IF('Entries June''25'!AD31-'Entries June''25'!AD30&lt;1,"0",'Entries June''25'!AD31-'Entries June''25'!AD30)</f>
        <v>0</v>
      </c>
      <c r="W30" s="31" t="str">
        <f>IF('Entries June''25'!AE31-'Entries June''25'!AE30&lt;1,"0",'Entries June''25'!AE31-'Entries June''25'!AE30)</f>
        <v>0</v>
      </c>
      <c r="X30" s="82" t="str">
        <f>IF('Entries June''25'!AI31-'Entries June''25'!AI30&lt;1,"0",'Entries June''25'!AI31-'Entries June''25'!AI30)</f>
        <v>0</v>
      </c>
      <c r="Y30" s="82" t="str">
        <f>IF('Entries June''25'!AH31-'Entries June''25'!AH30&lt;1,"0",'Entries June''25'!AH31-'Entries June''25'!AH30)</f>
        <v>0</v>
      </c>
      <c r="Z30" s="577">
        <f t="shared" si="3"/>
        <v>354</v>
      </c>
      <c r="AA30" s="578">
        <v>367.75200000000001</v>
      </c>
      <c r="AB30" s="579">
        <f t="shared" si="4"/>
        <v>9.6260523396201787</v>
      </c>
    </row>
    <row r="31" spans="1:32" x14ac:dyDescent="0.2">
      <c r="B31" s="52">
        <v>25</v>
      </c>
      <c r="C31" s="53" t="str">
        <f>IF('Entries June''25'!W32-'Entries June''25'!W31&lt;1,"0",'Entries June''25'!W32-'Entries June''25'!W31)</f>
        <v>0</v>
      </c>
      <c r="D31" s="31">
        <f>IF('Entries June''25'!O32-'Entries June''25'!O31&lt;1,"0",'Entries June''25'!O32-'Entries June''25'!O31)</f>
        <v>386</v>
      </c>
      <c r="E31" s="31">
        <f>IF('Entries June''25'!P32-'Entries June''25'!P31&lt;1,"0",'Entries June''25'!P32-'Entries June''25'!P31)</f>
        <v>136</v>
      </c>
      <c r="F31" s="31">
        <f>IF('Entries June''25'!V32-'Entries June''25'!V31&lt;1,"0",'Entries June''25'!V32-'Entries June''25'!V31)</f>
        <v>141</v>
      </c>
      <c r="G31" s="31">
        <f t="shared" si="0"/>
        <v>381</v>
      </c>
      <c r="H31" s="31">
        <f>IF('Entries June''25'!Q32-'Entries June''25'!Q31&lt;1,0,'Entries June''25'!Q32-'Entries June''25'!Q31)</f>
        <v>312</v>
      </c>
      <c r="I31" s="31">
        <f>IF('Entries June''25'!AG32-'Entries June''25'!AG31&lt;1,0,'Entries June''25'!AG32-'Entries June''25'!AG31)</f>
        <v>0</v>
      </c>
      <c r="J31" s="31">
        <f>IF('Entries June''25'!S32-'Entries June''25'!S31&lt;1,"0",'Entries June''25'!S32-'Entries June''25'!S31)</f>
        <v>162</v>
      </c>
      <c r="K31" s="31" t="str">
        <f>IF('Entries June''25'!R32-'Entries June''25'!R31&lt;1,"0",'Entries June''25'!R32-'Entries June''25'!R31)</f>
        <v>0</v>
      </c>
      <c r="L31" s="31" t="str">
        <f>IF('Entries June''25'!T32-'Entries June''25'!T31&lt;1,"0",'Entries June''25'!T32-'Entries June''25'!T31)</f>
        <v>0</v>
      </c>
      <c r="M31" s="31" t="str">
        <f>IF('Entries June''25'!U32-'Entries June''25'!U31&lt;1,"0",'Entries June''25'!U32-'Entries June''25'!U31)</f>
        <v>0</v>
      </c>
      <c r="N31" s="31">
        <f>IF('Entries June''25'!X32-'Entries June''25'!X31&lt;1,"0",'Entries June''25'!X32-'Entries June''25'!X31)</f>
        <v>38</v>
      </c>
      <c r="O31" s="31">
        <f>IF('Entries June''25'!Y32-'Entries June''25'!Y31&lt;1,"0",'Entries June''25'!Y32-'Entries June''25'!Y31)</f>
        <v>177</v>
      </c>
      <c r="P31" s="31">
        <f>IF('Entries June''25'!AC32-'Entries June''25'!AC31&lt;1,"0",'Entries June''25'!AC32-'Entries June''25'!AC31)</f>
        <v>24</v>
      </c>
      <c r="Q31" s="31">
        <f>IF('Entries June''25'!Z32-'Entries June''25'!Z31&lt;1,"0",'Entries June''25'!Z32-'Entries June''25'!Z31)</f>
        <v>31</v>
      </c>
      <c r="R31" s="31" t="str">
        <f>IF(('Entries June''25'!AA32-'Entries June''25'!AA31)+('Entries June''25'!AB32-'Entries June''25'!AB31)&lt;1,"0",('Entries June''25'!AA32-'Entries June''25'!AA31)+('Entries June''25'!AB32-'Entries June''25'!AB31))</f>
        <v>0</v>
      </c>
      <c r="S31" s="53">
        <f t="shared" si="1"/>
        <v>3810</v>
      </c>
      <c r="T31" s="53">
        <f t="shared" si="2"/>
        <v>215</v>
      </c>
      <c r="U31" s="31">
        <f>IF('Entries June''25'!AC32-'Entries June''25'!AC31&lt;1,"0",'Entries June''25'!AC32-'Entries June''25'!AC31)</f>
        <v>24</v>
      </c>
      <c r="V31" s="31" t="str">
        <f>IF('Entries June''25'!AD32-'Entries June''25'!AD31&lt;1,"0",'Entries June''25'!AD32-'Entries June''25'!AD31)</f>
        <v>0</v>
      </c>
      <c r="W31" s="31" t="str">
        <f>IF('Entries June''25'!AE32-'Entries June''25'!AE31&lt;1,"0",'Entries June''25'!AE32-'Entries June''25'!AE31)</f>
        <v>0</v>
      </c>
      <c r="X31" s="82" t="str">
        <f>IF('Entries June''25'!AI32-'Entries June''25'!AI31&lt;1,"0",'Entries June''25'!AI32-'Entries June''25'!AI31)</f>
        <v>0</v>
      </c>
      <c r="Y31" s="82" t="str">
        <f>IF('Entries June''25'!AH32-'Entries June''25'!AH31&lt;1,"0",'Entries June''25'!AH32-'Entries June''25'!AH31)</f>
        <v>0</v>
      </c>
      <c r="Z31" s="577">
        <f t="shared" si="3"/>
        <v>522</v>
      </c>
      <c r="AA31" s="578">
        <v>663.30000000000007</v>
      </c>
      <c r="AB31" s="579">
        <f t="shared" si="4"/>
        <v>7.8697421981004059</v>
      </c>
      <c r="AF31" s="8" t="s">
        <v>61</v>
      </c>
    </row>
    <row r="32" spans="1:32" x14ac:dyDescent="0.2">
      <c r="B32" s="52">
        <v>26</v>
      </c>
      <c r="C32" s="53" t="str">
        <f>IF('Entries June''25'!W33-'Entries June''25'!W32&lt;1,"0",'Entries June''25'!W33-'Entries June''25'!W32)</f>
        <v>0</v>
      </c>
      <c r="D32" s="31">
        <f>IF('Entries June''25'!O33-'Entries June''25'!O32&lt;1,"0",'Entries June''25'!O33-'Entries June''25'!O32)</f>
        <v>205</v>
      </c>
      <c r="E32" s="31">
        <f>IF('Entries June''25'!P33-'Entries June''25'!P32&lt;1,"0",'Entries June''25'!P33-'Entries June''25'!P32)</f>
        <v>266</v>
      </c>
      <c r="F32" s="31">
        <f>IF('Entries June''25'!V33-'Entries June''25'!V32&lt;1,"0",'Entries June''25'!V33-'Entries June''25'!V32)</f>
        <v>281</v>
      </c>
      <c r="G32" s="31">
        <f t="shared" si="0"/>
        <v>190</v>
      </c>
      <c r="H32" s="31">
        <f>IF('Entries June''25'!Q33-'Entries June''25'!Q32&lt;1,0,'Entries June''25'!Q33-'Entries June''25'!Q32)</f>
        <v>257</v>
      </c>
      <c r="I32" s="31">
        <f>IF('Entries June''25'!AG33-'Entries June''25'!AG32&lt;1,0,'Entries June''25'!AG33-'Entries June''25'!AG32)</f>
        <v>0</v>
      </c>
      <c r="J32" s="31">
        <f>IF('Entries June''25'!S33-'Entries June''25'!S32&lt;1,"0",'Entries June''25'!S33-'Entries June''25'!S32)</f>
        <v>195</v>
      </c>
      <c r="K32" s="31" t="str">
        <f>IF('Entries June''25'!R33-'Entries June''25'!R32&lt;1,"0",'Entries June''25'!R33-'Entries June''25'!R32)</f>
        <v>0</v>
      </c>
      <c r="L32" s="31" t="str">
        <f>IF('Entries June''25'!T33-'Entries June''25'!T32&lt;1,"0",'Entries June''25'!T33-'Entries June''25'!T32)</f>
        <v>0</v>
      </c>
      <c r="M32" s="31" t="str">
        <f>IF('Entries June''25'!U33-'Entries June''25'!U32&lt;1,"0",'Entries June''25'!U33-'Entries June''25'!U32)</f>
        <v>0</v>
      </c>
      <c r="N32" s="31">
        <f>IF('Entries June''25'!X33-'Entries June''25'!X32&lt;1,"0",'Entries June''25'!X33-'Entries June''25'!X32)</f>
        <v>43</v>
      </c>
      <c r="O32" s="31">
        <f>IF('Entries June''25'!Y33-'Entries June''25'!Y32&lt;1,"0",'Entries June''25'!Y33-'Entries June''25'!Y32)</f>
        <v>141</v>
      </c>
      <c r="P32" s="31">
        <f>IF('Entries June''25'!AC33-'Entries June''25'!AC32&lt;1,"0",'Entries June''25'!AC33-'Entries June''25'!AC32)</f>
        <v>20</v>
      </c>
      <c r="Q32" s="31">
        <f>IF('Entries June''25'!Z33-'Entries June''25'!Z32&lt;1,"0",'Entries June''25'!Z33-'Entries June''25'!Z32)</f>
        <v>28</v>
      </c>
      <c r="R32" s="31" t="str">
        <f>IF(('Entries June''25'!AA33-'Entries June''25'!AA32)+('Entries June''25'!AB33-'Entries June''25'!AB32)&lt;1,"0",('Entries June''25'!AA33-'Entries June''25'!AA32)+('Entries June''25'!AB33-'Entries June''25'!AB32))</f>
        <v>0</v>
      </c>
      <c r="S32" s="53">
        <f t="shared" si="1"/>
        <v>1900</v>
      </c>
      <c r="T32" s="53">
        <f t="shared" si="2"/>
        <v>184</v>
      </c>
      <c r="U32" s="31">
        <f>IF('Entries June''25'!AC33-'Entries June''25'!AC32&lt;1,"0",'Entries June''25'!AC33-'Entries June''25'!AC32)</f>
        <v>20</v>
      </c>
      <c r="V32" s="31">
        <f>IF('Entries June''25'!AD33-'Entries June''25'!AD32&lt;1,"0",'Entries June''25'!AD33-'Entries June''25'!AD32)</f>
        <v>7</v>
      </c>
      <c r="W32" s="31" t="str">
        <f>IF('Entries June''25'!AE33-'Entries June''25'!AE32&lt;1,"0",'Entries June''25'!AE33-'Entries June''25'!AE32)</f>
        <v>0</v>
      </c>
      <c r="X32" s="82" t="str">
        <f>IF('Entries June''25'!AI33-'Entries June''25'!AI32&lt;1,"0",'Entries June''25'!AI33-'Entries June''25'!AI32)</f>
        <v>0</v>
      </c>
      <c r="Y32" s="82" t="str">
        <f>IF('Entries June''25'!AH33-'Entries June''25'!AH32&lt;1,"0",'Entries June''25'!AH33-'Entries June''25'!AH32)</f>
        <v>0</v>
      </c>
      <c r="Z32" s="577">
        <f t="shared" si="3"/>
        <v>471</v>
      </c>
      <c r="AA32" s="578">
        <v>526.28399999999999</v>
      </c>
      <c r="AB32" s="579">
        <f t="shared" si="4"/>
        <v>8.9495405522493563</v>
      </c>
    </row>
    <row r="33" spans="1:36" x14ac:dyDescent="0.2">
      <c r="A33" s="29"/>
      <c r="B33" s="52">
        <v>27</v>
      </c>
      <c r="C33" s="53" t="str">
        <f>IF('Entries June''25'!W34-'Entries June''25'!W33&lt;1,"0",'Entries June''25'!W34-'Entries June''25'!W33)</f>
        <v>0</v>
      </c>
      <c r="D33" s="31">
        <f>IF('Entries June''25'!O34-'Entries June''25'!O33&lt;1,"0",'Entries June''25'!O34-'Entries June''25'!O33)</f>
        <v>109</v>
      </c>
      <c r="E33" s="31">
        <f>IF('Entries June''25'!P34-'Entries June''25'!P33&lt;1,"0",'Entries June''25'!P34-'Entries June''25'!P33)</f>
        <v>272</v>
      </c>
      <c r="F33" s="31">
        <f>IF('Entries June''25'!V34-'Entries June''25'!V33&lt;1,"0",'Entries June''25'!V34-'Entries June''25'!V33)</f>
        <v>294</v>
      </c>
      <c r="G33" s="31">
        <f t="shared" si="0"/>
        <v>87</v>
      </c>
      <c r="H33" s="31">
        <f>IF('Entries June''25'!Q34-'Entries June''25'!Q33&lt;1,0,'Entries June''25'!Q34-'Entries June''25'!Q33)</f>
        <v>249</v>
      </c>
      <c r="I33" s="31">
        <f>IF('Entries June''25'!AG34-'Entries June''25'!AG33&lt;1,0,'Entries June''25'!AG34-'Entries June''25'!AG33)</f>
        <v>0</v>
      </c>
      <c r="J33" s="31">
        <f>IF('Entries June''25'!S34-'Entries June''25'!S33&lt;1,"0",'Entries June''25'!S34-'Entries June''25'!S33)</f>
        <v>148</v>
      </c>
      <c r="K33" s="31" t="str">
        <f>IF('Entries June''25'!R34-'Entries June''25'!R33&lt;1,"0",'Entries June''25'!R34-'Entries June''25'!R33)</f>
        <v>0</v>
      </c>
      <c r="L33" s="31" t="str">
        <f>IF('Entries June''25'!T34-'Entries June''25'!T33&lt;1,"0",'Entries June''25'!T34-'Entries June''25'!T33)</f>
        <v>0</v>
      </c>
      <c r="M33" s="31">
        <f>IF('Entries June''25'!U34-'Entries June''25'!U33&lt;1,"0",'Entries June''25'!U34-'Entries June''25'!U33)</f>
        <v>10</v>
      </c>
      <c r="N33" s="31">
        <f>IF('Entries June''25'!X34-'Entries June''25'!X33&lt;1,"0",'Entries June''25'!X34-'Entries June''25'!X33)</f>
        <v>64</v>
      </c>
      <c r="O33" s="31">
        <f>IF('Entries June''25'!Y34-'Entries June''25'!Y33&lt;1,"0",'Entries June''25'!Y34-'Entries June''25'!Y33)</f>
        <v>112</v>
      </c>
      <c r="P33" s="31">
        <f>IF('Entries June''25'!AC34-'Entries June''25'!AC33&lt;1,"0",'Entries June''25'!AC34-'Entries June''25'!AC33)</f>
        <v>56</v>
      </c>
      <c r="Q33" s="31">
        <f>IF('Entries June''25'!Z34-'Entries June''25'!Z33&lt;1,"0",'Entries June''25'!Z34-'Entries June''25'!Z33)</f>
        <v>29</v>
      </c>
      <c r="R33" s="31" t="str">
        <f>IF(('Entries June''25'!AA34-'Entries June''25'!AA33)+('Entries June''25'!AB34-'Entries June''25'!AB33)&lt;1,"0",('Entries June''25'!AA34-'Entries June''25'!AA33)+('Entries June''25'!AB34-'Entries June''25'!AB33))</f>
        <v>0</v>
      </c>
      <c r="S33" s="53">
        <f t="shared" si="1"/>
        <v>870</v>
      </c>
      <c r="T33" s="53">
        <f t="shared" si="2"/>
        <v>186</v>
      </c>
      <c r="U33" s="31">
        <f>IF('Entries June''25'!AC34-'Entries June''25'!AC33&lt;1,"0",'Entries June''25'!AC34-'Entries June''25'!AC33)</f>
        <v>56</v>
      </c>
      <c r="V33" s="31">
        <f>IF('Entries June''25'!AD34-'Entries June''25'!AD33&lt;1,"0",'Entries June''25'!AD34-'Entries June''25'!AD33)</f>
        <v>2</v>
      </c>
      <c r="W33" s="31" t="str">
        <f>IF('Entries June''25'!AE34-'Entries June''25'!AE33&lt;1,"0",'Entries June''25'!AE34-'Entries June''25'!AE33)</f>
        <v>0</v>
      </c>
      <c r="X33" s="82" t="str">
        <f>IF('Entries June''25'!AI34-'Entries June''25'!AI33&lt;1,"0",'Entries June''25'!AI34-'Entries June''25'!AI33)</f>
        <v>0</v>
      </c>
      <c r="Y33" s="82" t="str">
        <f>IF('Entries June''25'!AH34-'Entries June''25'!AH33&lt;1,"0",'Entries June''25'!AH34-'Entries June''25'!AH33)</f>
        <v>0</v>
      </c>
      <c r="Z33" s="577">
        <f t="shared" si="3"/>
        <v>381</v>
      </c>
      <c r="AA33" s="578">
        <v>402.20400000000001</v>
      </c>
      <c r="AB33" s="579">
        <f t="shared" si="4"/>
        <v>9.4728048453023845</v>
      </c>
    </row>
    <row r="34" spans="1:36" x14ac:dyDescent="0.2">
      <c r="A34" s="29"/>
      <c r="B34" s="52">
        <v>28</v>
      </c>
      <c r="C34" s="53" t="str">
        <f>IF('Entries June''25'!W35-'Entries June''25'!W34&lt;1,"0",'Entries June''25'!W35-'Entries June''25'!W34)</f>
        <v>0</v>
      </c>
      <c r="D34" s="31">
        <f>IF('Entries June''25'!O35-'Entries June''25'!O34&lt;1,"0",'Entries June''25'!O35-'Entries June''25'!O34)</f>
        <v>5</v>
      </c>
      <c r="E34" s="31">
        <f>IF('Entries June''25'!P35-'Entries June''25'!P34&lt;1,"0",'Entries June''25'!P35-'Entries June''25'!P34)</f>
        <v>168</v>
      </c>
      <c r="F34" s="31">
        <f>IF('Entries June''25'!V35-'Entries June''25'!V34&lt;1,"0",'Entries June''25'!V35-'Entries June''25'!V34)</f>
        <v>167</v>
      </c>
      <c r="G34" s="31">
        <f t="shared" si="0"/>
        <v>6</v>
      </c>
      <c r="H34" s="31">
        <f>IF('Entries June''25'!Q35-'Entries June''25'!Q34&lt;1,0,'Entries June''25'!Q35-'Entries June''25'!Q34)</f>
        <v>96</v>
      </c>
      <c r="I34" s="31">
        <f>IF('Entries June''25'!AG35-'Entries June''25'!AG34&lt;1,0,'Entries June''25'!AG35-'Entries June''25'!AG34)</f>
        <v>0</v>
      </c>
      <c r="J34" s="31">
        <f>IF('Entries June''25'!S35-'Entries June''25'!S34&lt;1,"0",'Entries June''25'!S35-'Entries June''25'!S34)</f>
        <v>209</v>
      </c>
      <c r="K34" s="31" t="str">
        <f>IF('Entries June''25'!R35-'Entries June''25'!R34&lt;1,"0",'Entries June''25'!R35-'Entries June''25'!R34)</f>
        <v>0</v>
      </c>
      <c r="L34" s="31" t="str">
        <f>IF('Entries June''25'!T35-'Entries June''25'!T34&lt;1,"0",'Entries June''25'!T35-'Entries June''25'!T34)</f>
        <v>0</v>
      </c>
      <c r="M34" s="31" t="str">
        <f>IF('Entries June''25'!U35-'Entries June''25'!U34&lt;1,"0",'Entries June''25'!U35-'Entries June''25'!U34)</f>
        <v>0</v>
      </c>
      <c r="N34" s="31">
        <f>IF('Entries June''25'!X35-'Entries June''25'!X34&lt;1,"0",'Entries June''25'!X35-'Entries June''25'!X34)</f>
        <v>19</v>
      </c>
      <c r="O34" s="31">
        <f>IF('Entries June''25'!Y35-'Entries June''25'!Y34&lt;1,"0",'Entries June''25'!Y35-'Entries June''25'!Y34)</f>
        <v>7</v>
      </c>
      <c r="P34" s="31" t="str">
        <f>IF('Entries June''25'!AC35-'Entries June''25'!AC34&lt;1,"0",'Entries June''25'!AC35-'Entries June''25'!AC34)</f>
        <v>0</v>
      </c>
      <c r="Q34" s="31">
        <f>IF('Entries June''25'!Z35-'Entries June''25'!Z34&lt;1,"0",'Entries June''25'!Z35-'Entries June''25'!Z34)</f>
        <v>7</v>
      </c>
      <c r="R34" s="31" t="str">
        <f>IF(('Entries June''25'!AA35-'Entries June''25'!AA34)+('Entries June''25'!AB35-'Entries June''25'!AB34)&lt;1,"0",('Entries June''25'!AA35-'Entries June''25'!AA34)+('Entries June''25'!AB35-'Entries June''25'!AB34))</f>
        <v>0</v>
      </c>
      <c r="S34" s="53">
        <f t="shared" si="1"/>
        <v>60</v>
      </c>
      <c r="T34" s="53">
        <f t="shared" si="2"/>
        <v>26</v>
      </c>
      <c r="U34" s="31" t="str">
        <f>IF('Entries June''25'!AC35-'Entries June''25'!AC34&lt;1,"0",'Entries June''25'!AC35-'Entries June''25'!AC34)</f>
        <v>0</v>
      </c>
      <c r="V34" s="31">
        <f>IF('Entries June''25'!AD35-'Entries June''25'!AD34&lt;1,"0",'Entries June''25'!AD35-'Entries June''25'!AD34)</f>
        <v>43</v>
      </c>
      <c r="W34" s="31" t="str">
        <f>IF('Entries June''25'!AE35-'Entries June''25'!AE34&lt;1,"0",'Entries June''25'!AE35-'Entries June''25'!AE34)</f>
        <v>0</v>
      </c>
      <c r="X34" s="82" t="str">
        <f>IF('Entries June''25'!AI35-'Entries June''25'!AI34&lt;1,"0",'Entries June''25'!AI35-'Entries June''25'!AI34)</f>
        <v>0</v>
      </c>
      <c r="Y34" s="82" t="str">
        <f>IF('Entries June''25'!AH35-'Entries June''25'!AH34&lt;1,"0",'Entries June''25'!AH35-'Entries June''25'!AH34)</f>
        <v>0</v>
      </c>
      <c r="Z34" s="577">
        <f t="shared" si="3"/>
        <v>173</v>
      </c>
      <c r="AA34" s="578" t="str">
        <v>0</v>
      </c>
      <c r="AB34" s="579" t="str">
        <f t="shared" si="4"/>
        <v>0</v>
      </c>
    </row>
    <row r="35" spans="1:36" x14ac:dyDescent="0.2">
      <c r="B35" s="52">
        <v>29</v>
      </c>
      <c r="C35" s="53" t="str">
        <f>IF('Entries June''25'!W36-'Entries June''25'!W35&lt;1,"0",'Entries June''25'!W36-'Entries June''25'!W35)</f>
        <v>0</v>
      </c>
      <c r="D35" s="31">
        <f>IF('Entries June''25'!O36-'Entries June''25'!O35&lt;1,"0",'Entries June''25'!O36-'Entries June''25'!O35)</f>
        <v>173</v>
      </c>
      <c r="E35" s="31">
        <f>IF('Entries June''25'!P36-'Entries June''25'!P35&lt;1,"0",'Entries June''25'!P36-'Entries June''25'!P35)</f>
        <v>1</v>
      </c>
      <c r="F35" s="31" t="str">
        <f>IF('Entries June''25'!V36-'Entries June''25'!V35&lt;1,"0",'Entries June''25'!V36-'Entries June''25'!V35)</f>
        <v>0</v>
      </c>
      <c r="G35" s="31">
        <f t="shared" si="0"/>
        <v>174</v>
      </c>
      <c r="H35" s="31">
        <f>IF('Entries June''25'!Q36-'Entries June''25'!Q35&lt;1,0,'Entries June''25'!Q36-'Entries June''25'!Q35)</f>
        <v>74</v>
      </c>
      <c r="I35" s="31">
        <f>IF('Entries June''25'!AG36-'Entries June''25'!AG35&lt;1,0,'Entries June''25'!AG36-'Entries June''25'!AG35)</f>
        <v>0</v>
      </c>
      <c r="J35" s="31">
        <f>IF('Entries June''25'!S36-'Entries June''25'!S35&lt;1,"0",'Entries June''25'!S36-'Entries June''25'!S35)</f>
        <v>77</v>
      </c>
      <c r="K35" s="31" t="str">
        <f>IF('Entries June''25'!R36-'Entries June''25'!R35&lt;1,"0",'Entries June''25'!R36-'Entries June''25'!R35)</f>
        <v>0</v>
      </c>
      <c r="L35" s="31" t="str">
        <f>IF('Entries June''25'!T36-'Entries June''25'!T35&lt;1,"0",'Entries June''25'!T36-'Entries June''25'!T35)</f>
        <v>0</v>
      </c>
      <c r="M35" s="31" t="str">
        <f>IF('Entries June''25'!U36-'Entries June''25'!U35&lt;1,"0",'Entries June''25'!U36-'Entries June''25'!U35)</f>
        <v>0</v>
      </c>
      <c r="N35" s="31">
        <f>IF('Entries June''25'!X36-'Entries June''25'!X35&lt;1,"0",'Entries June''25'!X36-'Entries June''25'!X35)</f>
        <v>18</v>
      </c>
      <c r="O35" s="31" t="str">
        <f>IF('Entries June''25'!Y36-'Entries June''25'!Y35&lt;1,"0",'Entries June''25'!Y36-'Entries June''25'!Y35)</f>
        <v>0</v>
      </c>
      <c r="P35" s="31" t="str">
        <f>IF('Entries June''25'!AC36-'Entries June''25'!AC35&lt;1,"0",'Entries June''25'!AC36-'Entries June''25'!AC35)</f>
        <v>0</v>
      </c>
      <c r="Q35" s="31">
        <f>IF('Entries June''25'!Z36-'Entries June''25'!Z35&lt;1,"0",'Entries June''25'!Z36-'Entries June''25'!Z35)</f>
        <v>10</v>
      </c>
      <c r="R35" s="31" t="str">
        <f>IF(('Entries June''25'!AA36-'Entries June''25'!AA35)+('Entries June''25'!AB36-'Entries June''25'!AB35)&lt;1,"0",('Entries June''25'!AA36-'Entries June''25'!AA35)+('Entries June''25'!AB36-'Entries June''25'!AB35))</f>
        <v>0</v>
      </c>
      <c r="S35" s="53">
        <f t="shared" si="1"/>
        <v>1740</v>
      </c>
      <c r="T35" s="53">
        <f t="shared" si="2"/>
        <v>18</v>
      </c>
      <c r="U35" s="31" t="str">
        <f>IF('Entries June''25'!AC36-'Entries June''25'!AC35&lt;1,"0",'Entries June''25'!AC36-'Entries June''25'!AC35)</f>
        <v>0</v>
      </c>
      <c r="V35" s="31" t="str">
        <f>IF('Entries June''25'!AD36-'Entries June''25'!AD35&lt;1,"0",'Entries June''25'!AD36-'Entries June''25'!AD35)</f>
        <v>0</v>
      </c>
      <c r="W35" s="31" t="str">
        <f>IF('Entries June''25'!AE36-'Entries June''25'!AE35&lt;1,"0",'Entries June''25'!AE36-'Entries June''25'!AE35)</f>
        <v>0</v>
      </c>
      <c r="X35" s="82" t="str">
        <f>IF('Entries June''25'!AI36-'Entries June''25'!AI35&lt;1,"0",'Entries June''25'!AI36-'Entries June''25'!AI35)</f>
        <v>0</v>
      </c>
      <c r="Y35" s="82" t="str">
        <f>IF('Entries June''25'!AH36-'Entries June''25'!AH35&lt;1,"0",'Entries June''25'!AH36-'Entries June''25'!AH35)</f>
        <v>0</v>
      </c>
      <c r="Z35" s="577">
        <f t="shared" si="3"/>
        <v>174</v>
      </c>
      <c r="AA35" s="578">
        <v>29.040000000000003</v>
      </c>
      <c r="AB35" s="579">
        <f t="shared" si="4"/>
        <v>59.917355371900818</v>
      </c>
    </row>
    <row r="36" spans="1:36" x14ac:dyDescent="0.2">
      <c r="B36" s="52">
        <v>30</v>
      </c>
      <c r="C36" s="53" t="str">
        <f>IF('Entries June''25'!W37-'Entries June''25'!W36&lt;1,"0",'Entries June''25'!W37-'Entries June''25'!W36)</f>
        <v>0</v>
      </c>
      <c r="D36" s="31">
        <f>IF('Entries June''25'!O37-'Entries June''25'!O36&lt;1,"0",'Entries June''25'!O37-'Entries June''25'!O36)</f>
        <v>149</v>
      </c>
      <c r="E36" s="31">
        <f>IF('Entries June''25'!P37-'Entries June''25'!P36&lt;1,"0",'Entries June''25'!P37-'Entries June''25'!P36)</f>
        <v>175</v>
      </c>
      <c r="F36" s="31">
        <f>IF('Entries June''25'!V37-'Entries June''25'!V36&lt;1,"0",'Entries June''25'!V37-'Entries June''25'!V36)</f>
        <v>260</v>
      </c>
      <c r="G36" s="31">
        <f t="shared" si="0"/>
        <v>64</v>
      </c>
      <c r="H36" s="31">
        <f>IF('Entries June''25'!Q37-'Entries June''25'!Q36&lt;1,0,'Entries June''25'!Q37-'Entries June''25'!Q36)</f>
        <v>235</v>
      </c>
      <c r="I36" s="31">
        <f>IF('Entries June''25'!AG37-'Entries June''25'!AG36&lt;1,0,'Entries June''25'!AG37-'Entries June''25'!AG36)</f>
        <v>0</v>
      </c>
      <c r="J36" s="31">
        <f>IF('Entries June''25'!S37-'Entries June''25'!S36&lt;1,"0",'Entries June''25'!S37-'Entries June''25'!S36)</f>
        <v>184</v>
      </c>
      <c r="K36" s="31" t="str">
        <f>IF('Entries June''25'!R37-'Entries June''25'!R36&lt;1,"0",'Entries June''25'!R37-'Entries June''25'!R36)</f>
        <v>0</v>
      </c>
      <c r="L36" s="31" t="str">
        <f>IF('Entries June''25'!T37-'Entries June''25'!T36&lt;1,"0",'Entries June''25'!T37-'Entries June''25'!T36)</f>
        <v>0</v>
      </c>
      <c r="M36" s="31">
        <f>IF('Entries June''25'!U37-'Entries June''25'!U36&lt;1,"0",'Entries June''25'!U37-'Entries June''25'!U36)</f>
        <v>12</v>
      </c>
      <c r="N36" s="31">
        <f>IF('Entries June''25'!X37-'Entries June''25'!X36&lt;1,"0",'Entries June''25'!X37-'Entries June''25'!X36)</f>
        <v>54</v>
      </c>
      <c r="O36" s="31">
        <f>IF('Entries June''25'!Y37-'Entries June''25'!Y36&lt;1,"0",'Entries June''25'!Y37-'Entries June''25'!Y36)</f>
        <v>136</v>
      </c>
      <c r="P36" s="31">
        <f>IF('Entries June''25'!AC37-'Entries June''25'!AC36&lt;1,"0",'Entries June''25'!AC37-'Entries June''25'!AC36)</f>
        <v>10</v>
      </c>
      <c r="Q36" s="31">
        <f>IF('Entries June''25'!Z37-'Entries June''25'!Z36&lt;1,"0",'Entries June''25'!Z37-'Entries June''25'!Z36)</f>
        <v>27</v>
      </c>
      <c r="R36" s="31" t="str">
        <f>IF(('Entries June''25'!AA37-'Entries June''25'!AA36)+('Entries June''25'!AB37-'Entries June''25'!AB36)&lt;1,"0",('Entries June''25'!AA37-'Entries June''25'!AA36)+('Entries June''25'!AB37-'Entries June''25'!AB36))</f>
        <v>0</v>
      </c>
      <c r="S36" s="53">
        <f t="shared" si="1"/>
        <v>640</v>
      </c>
      <c r="T36" s="53">
        <f t="shared" si="2"/>
        <v>202</v>
      </c>
      <c r="U36" s="31">
        <f>IF('Entries June''25'!AC37-'Entries June''25'!AC36&lt;1,"0",'Entries June''25'!AC37-'Entries June''25'!AC36)</f>
        <v>10</v>
      </c>
      <c r="V36" s="31">
        <f>IF('Entries June''25'!AD37-'Entries June''25'!AD36&lt;1,"0",'Entries June''25'!AD37-'Entries June''25'!AD36)</f>
        <v>414</v>
      </c>
      <c r="W36" s="31" t="str">
        <f>IF('Entries June''25'!AE37-'Entries June''25'!AE36&lt;1,"0",'Entries June''25'!AE37-'Entries June''25'!AE36)</f>
        <v>0</v>
      </c>
      <c r="X36" s="82" t="str">
        <f>IF('Entries June''25'!AI37-'Entries June''25'!AI36&lt;1,"0",'Entries June''25'!AI37-'Entries June''25'!AI36)</f>
        <v>0</v>
      </c>
      <c r="Y36" s="82" t="str">
        <f>IF('Entries June''25'!AH37-'Entries June''25'!AH36&lt;1,"0",'Entries June''25'!AH37-'Entries June''25'!AH36)</f>
        <v>0</v>
      </c>
      <c r="Z36" s="577">
        <f t="shared" si="3"/>
        <v>324</v>
      </c>
      <c r="AA36" s="578">
        <v>272.84399999999999</v>
      </c>
      <c r="AB36" s="579">
        <f t="shared" si="4"/>
        <v>11.874917535294895</v>
      </c>
    </row>
    <row r="37" spans="1:36" ht="15.75" x14ac:dyDescent="0.2">
      <c r="B37" s="52"/>
      <c r="C37" s="53" t="str">
        <f>IF('Entries June''25'!W38-'Entries June''25'!W37&lt;1,"0",'Entries June''25'!W38-'Entries June''25'!W37)</f>
        <v>0</v>
      </c>
      <c r="D37" s="31" t="str">
        <f>IF('Entries June''25'!O38-'Entries June''25'!O37&lt;1,"0",'Entries June''25'!O38-'Entries June''25'!O37)</f>
        <v>0</v>
      </c>
      <c r="E37" s="31" t="str">
        <f>IF('Entries June''25'!P38-'Entries June''25'!P37&lt;1,"0",'Entries June''25'!P38-'Entries June''25'!P37)</f>
        <v>0</v>
      </c>
      <c r="F37" s="31" t="str">
        <f>IF('Entries June''25'!V38-'Entries June''25'!V37&lt;1,"0",'Entries June''25'!V38-'Entries June''25'!V37)</f>
        <v>0</v>
      </c>
      <c r="G37" s="31">
        <f t="shared" si="0"/>
        <v>0</v>
      </c>
      <c r="H37" s="31"/>
      <c r="I37" s="31"/>
      <c r="J37" s="31" t="str">
        <f>IF('Entries June''25'!S38-'Entries June''25'!S37&lt;1,"0",'Entries June''25'!S38-'Entries June''25'!S37)</f>
        <v>0</v>
      </c>
      <c r="K37" s="31" t="str">
        <f>IF('Entries June''25'!R38-'Entries June''25'!R37&lt;1,"0",'Entries June''25'!R38-'Entries June''25'!R37)</f>
        <v>0</v>
      </c>
      <c r="L37" s="31" t="str">
        <f>IF('Entries June''25'!T38-'Entries June''25'!T37&lt;1,"0",'Entries June''25'!T38-'Entries June''25'!T37)</f>
        <v>0</v>
      </c>
      <c r="M37" s="31" t="str">
        <f>IF('Entries June''25'!U38-'Entries June''25'!U37&lt;1,"0",'Entries June''25'!U38-'Entries June''25'!U37)</f>
        <v>0</v>
      </c>
      <c r="N37" s="31" t="str">
        <f>IF('Entries June''25'!X38-'Entries June''25'!X37&lt;1,"0",'Entries June''25'!X38-'Entries June''25'!X37)</f>
        <v>0</v>
      </c>
      <c r="O37" s="31" t="str">
        <f>IF('Entries June''25'!Y38-'Entries June''25'!Y37&lt;1,"0",'Entries June''25'!Y38-'Entries June''25'!Y37)</f>
        <v>0</v>
      </c>
      <c r="P37" s="31" t="str">
        <f>IF('Entries June''25'!AC38-'Entries June''25'!AC37&lt;1,"0",'Entries June''25'!AC38-'Entries June''25'!AC37)</f>
        <v>0</v>
      </c>
      <c r="Q37" s="31" t="str">
        <f>IF('Entries June''25'!Z38-'Entries June''25'!Z37&lt;1,"0",'Entries June''25'!Z38-'Entries June''25'!Z37)</f>
        <v>0</v>
      </c>
      <c r="R37" s="31" t="str">
        <f>IF(('Entries June''25'!AA38-'Entries June''25'!AA37)+('Entries June''25'!AB38-'Entries June''25'!AB37)&lt;1,"0",('Entries June''25'!AA38-'Entries June''25'!AA37)+('Entries June''25'!AB38-'Entries June''25'!AB37))</f>
        <v>0</v>
      </c>
      <c r="S37" s="53">
        <f t="shared" si="1"/>
        <v>0</v>
      </c>
      <c r="T37" s="53"/>
      <c r="U37" s="31" t="str">
        <f>IF('Entries June''25'!AC38-'Entries June''25'!AC37&lt;1,"0",'Entries June''25'!AC38-'Entries June''25'!AC37)</f>
        <v>0</v>
      </c>
      <c r="V37" s="31" t="str">
        <f>IF('Entries June''25'!AD38-'Entries June''25'!AD37&lt;1,"0",'Entries June''25'!AD38-'Entries June''25'!AD37)</f>
        <v>0</v>
      </c>
      <c r="W37" s="31" t="str">
        <f>IF('Entries June''25'!AE38-'Entries June''25'!AE37&lt;1,"0",'Entries June''25'!AE38-'Entries June''25'!AE37)</f>
        <v>0</v>
      </c>
      <c r="X37" s="82" t="str">
        <f>IF('Entries June''25'!AI38-'Entries June''25'!AI37&lt;1,"0",'Entries June''25'!AI38-'Entries June''25'!AI37)</f>
        <v>0</v>
      </c>
      <c r="Y37" s="82" t="str">
        <f>IF('Entries June''25'!AH38-'Entries June''25'!AH37&lt;1,"0",'Entries June''25'!AH38-'Entries June''25'!AH37)</f>
        <v>0</v>
      </c>
      <c r="Z37" s="577">
        <f t="shared" si="3"/>
        <v>0</v>
      </c>
      <c r="AA37" s="578" t="str">
        <v>0</v>
      </c>
      <c r="AB37" s="579"/>
      <c r="AC37" s="568"/>
      <c r="AD37" s="258"/>
    </row>
    <row r="38" spans="1:36" s="542" customFormat="1" ht="18" x14ac:dyDescent="0.25">
      <c r="A38" s="542" t="s">
        <v>89</v>
      </c>
      <c r="B38" s="543" t="s">
        <v>55</v>
      </c>
      <c r="C38" s="544">
        <f t="shared" ref="C38:O38" si="5">SUM(C7:C37)</f>
        <v>0</v>
      </c>
      <c r="D38" s="544">
        <f>SUM(D7:D37)</f>
        <v>4108</v>
      </c>
      <c r="E38" s="544">
        <f>SUM(E7:E37)</f>
        <v>4381</v>
      </c>
      <c r="F38" s="544">
        <f>SUM(F7:F37)</f>
        <v>4678</v>
      </c>
      <c r="G38" s="545">
        <f>SUM(G7:G37)</f>
        <v>3811</v>
      </c>
      <c r="H38" s="544">
        <f t="shared" si="5"/>
        <v>6384</v>
      </c>
      <c r="I38" s="544"/>
      <c r="J38" s="544">
        <f t="shared" si="5"/>
        <v>3036</v>
      </c>
      <c r="K38" s="544"/>
      <c r="L38" s="544">
        <f t="shared" si="5"/>
        <v>0</v>
      </c>
      <c r="M38" s="544">
        <f>SUM(M7:M37)</f>
        <v>155</v>
      </c>
      <c r="N38" s="544">
        <f t="shared" si="5"/>
        <v>983</v>
      </c>
      <c r="O38" s="544">
        <f t="shared" si="5"/>
        <v>2657</v>
      </c>
      <c r="P38" s="544">
        <f t="shared" ref="P38" si="6">SUM(P7:P37)</f>
        <v>415</v>
      </c>
      <c r="Q38" s="544">
        <f>SUM(Q7:Q37)</f>
        <v>596</v>
      </c>
      <c r="R38" s="544">
        <f>SUM(R7:R34)</f>
        <v>0</v>
      </c>
      <c r="S38" s="545">
        <f>SUM(S7:S37)</f>
        <v>38110</v>
      </c>
      <c r="T38" s="545">
        <f>SUM(T7:T37)</f>
        <v>3795</v>
      </c>
      <c r="U38" s="544">
        <f>SUM(U7:U37)</f>
        <v>415</v>
      </c>
      <c r="V38" s="544">
        <f>SUM(V7:V37)</f>
        <v>536</v>
      </c>
      <c r="W38" s="544"/>
      <c r="X38" s="544"/>
      <c r="Y38" s="544"/>
      <c r="Z38" s="580">
        <f>SUM(Z7:Z37)</f>
        <v>8489</v>
      </c>
      <c r="AA38" s="580">
        <f>SUM(AA7:AA37)</f>
        <v>8404.5408000000007</v>
      </c>
      <c r="AB38" s="579">
        <f t="shared" ref="AB38" si="7">IF(AA38=0,"0",(Z38*10/AA38))</f>
        <v>10.100492343377047</v>
      </c>
      <c r="AC38" s="569">
        <v>10.199999999999999</v>
      </c>
      <c r="AD38" s="592">
        <f>AB38/AC38*100</f>
        <v>99.024434738990664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61</v>
      </c>
      <c r="B40" s="17" t="s">
        <v>86</v>
      </c>
      <c r="C40" s="15"/>
      <c r="D40" s="15">
        <f>D38*220</f>
        <v>903760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259"/>
      <c r="AA40" s="15"/>
    </row>
    <row r="41" spans="1:36" x14ac:dyDescent="0.2">
      <c r="A41" s="17"/>
      <c r="B41" s="17" t="s">
        <v>90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259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259"/>
      <c r="AA42" s="17"/>
    </row>
    <row r="43" spans="1:36" x14ac:dyDescent="0.2">
      <c r="A43" s="17"/>
      <c r="B43" s="17" t="s">
        <v>92</v>
      </c>
      <c r="C43" s="17"/>
      <c r="D43" s="17">
        <f>+D41*D40</f>
        <v>14288.445600000001</v>
      </c>
      <c r="E43" s="17"/>
      <c r="F43" s="36"/>
      <c r="G43" s="17"/>
      <c r="H43" s="17"/>
      <c r="I43" s="17"/>
    </row>
    <row r="44" spans="1:36" x14ac:dyDescent="0.2">
      <c r="A44" s="17"/>
      <c r="B44" s="17" t="s">
        <v>91</v>
      </c>
      <c r="C44" s="17"/>
      <c r="D44" s="26">
        <v>278.97000000000003</v>
      </c>
      <c r="E44" s="571"/>
      <c r="F44" s="36"/>
      <c r="G44" s="17"/>
      <c r="H44" s="17"/>
      <c r="I44" s="17"/>
      <c r="J44" s="17"/>
      <c r="K44" s="17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570"/>
      <c r="AA44" s="248"/>
      <c r="AB44" s="248"/>
      <c r="AC44" s="248"/>
      <c r="AD44" s="248"/>
      <c r="AE44" s="248"/>
      <c r="AF44" s="248"/>
      <c r="AG44" s="248"/>
      <c r="AH44" s="248"/>
      <c r="AI44" s="248"/>
      <c r="AJ44" s="248"/>
    </row>
    <row r="45" spans="1:36" x14ac:dyDescent="0.2">
      <c r="D45" s="17">
        <f>SUM(D43:D44)</f>
        <v>14567.4156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93</v>
      </c>
      <c r="D47" s="23">
        <f>+D45*2/3</f>
        <v>9711.6103999999996</v>
      </c>
      <c r="E47" s="572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94</v>
      </c>
      <c r="C49" s="24"/>
      <c r="D49" s="28">
        <f>SUM(D47,D45)</f>
        <v>24279.025999999998</v>
      </c>
      <c r="E49" s="573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3"/>
      <c r="H75" s="73"/>
      <c r="I75" s="73"/>
    </row>
    <row r="76" spans="6:17" x14ac:dyDescent="0.2">
      <c r="F76" s="36"/>
      <c r="G76" s="73"/>
      <c r="H76" s="73"/>
      <c r="I76" s="73"/>
    </row>
    <row r="77" spans="6:17" x14ac:dyDescent="0.2">
      <c r="F77" s="36"/>
      <c r="G77" s="73"/>
      <c r="H77" s="73"/>
      <c r="I77" s="73"/>
    </row>
    <row r="78" spans="6:17" x14ac:dyDescent="0.2">
      <c r="F78" s="36"/>
      <c r="G78" s="73"/>
      <c r="H78" s="73"/>
      <c r="I78" s="73"/>
    </row>
    <row r="79" spans="6:17" x14ac:dyDescent="0.2">
      <c r="F79" s="36"/>
      <c r="G79" s="73"/>
      <c r="H79" s="73"/>
      <c r="I79" s="73"/>
    </row>
    <row r="80" spans="6:17" x14ac:dyDescent="0.2">
      <c r="F80" s="36"/>
      <c r="G80" s="73"/>
      <c r="H80" s="73"/>
      <c r="I80" s="73"/>
    </row>
    <row r="81" spans="6:9" x14ac:dyDescent="0.2">
      <c r="F81" s="36"/>
      <c r="G81" s="73"/>
      <c r="H81" s="73"/>
      <c r="I81" s="73"/>
    </row>
    <row r="82" spans="6:9" x14ac:dyDescent="0.2">
      <c r="F82" s="36"/>
      <c r="G82" s="73"/>
      <c r="H82" s="73"/>
      <c r="I82" s="73"/>
    </row>
    <row r="83" spans="6:9" x14ac:dyDescent="0.2">
      <c r="F83" s="36"/>
      <c r="G83" s="73"/>
      <c r="H83" s="73"/>
      <c r="I83" s="73"/>
    </row>
    <row r="84" spans="6:9" x14ac:dyDescent="0.2">
      <c r="F84" s="36"/>
      <c r="G84" s="73"/>
      <c r="H84" s="73"/>
      <c r="I84" s="73"/>
    </row>
    <row r="85" spans="6:9" x14ac:dyDescent="0.2">
      <c r="F85" s="36"/>
      <c r="G85" s="73"/>
      <c r="H85" s="73"/>
      <c r="I85" s="73"/>
    </row>
    <row r="86" spans="6:9" x14ac:dyDescent="0.2">
      <c r="F86" s="36"/>
      <c r="G86" s="73"/>
      <c r="H86" s="73"/>
      <c r="I86" s="73"/>
    </row>
    <row r="87" spans="6:9" x14ac:dyDescent="0.2">
      <c r="F87" s="36"/>
      <c r="G87" s="73"/>
      <c r="H87" s="73"/>
      <c r="I87" s="73"/>
    </row>
    <row r="88" spans="6:9" x14ac:dyDescent="0.2">
      <c r="F88" s="36"/>
      <c r="G88" s="73"/>
      <c r="H88" s="73"/>
      <c r="I88" s="73"/>
    </row>
    <row r="89" spans="6:9" x14ac:dyDescent="0.2">
      <c r="F89" s="36"/>
      <c r="G89" s="73"/>
      <c r="H89" s="73"/>
      <c r="I89" s="73"/>
    </row>
    <row r="90" spans="6:9" x14ac:dyDescent="0.2">
      <c r="F90" s="36"/>
      <c r="G90" s="73"/>
      <c r="H90" s="73"/>
      <c r="I90" s="73"/>
    </row>
    <row r="91" spans="6:9" x14ac:dyDescent="0.2">
      <c r="F91" s="36"/>
      <c r="G91" s="73"/>
      <c r="H91" s="73"/>
      <c r="I91" s="73"/>
    </row>
    <row r="92" spans="6:9" x14ac:dyDescent="0.2">
      <c r="F92" s="36"/>
      <c r="G92" s="73"/>
      <c r="H92" s="73"/>
      <c r="I92" s="73"/>
    </row>
    <row r="93" spans="6:9" x14ac:dyDescent="0.2">
      <c r="F93" s="36"/>
      <c r="G93" s="73"/>
      <c r="H93" s="73"/>
      <c r="I93" s="73"/>
    </row>
    <row r="94" spans="6:9" x14ac:dyDescent="0.2">
      <c r="F94" s="36"/>
      <c r="G94" s="73"/>
      <c r="H94" s="73"/>
      <c r="I94" s="73"/>
    </row>
    <row r="95" spans="6:9" x14ac:dyDescent="0.2">
      <c r="F95" s="36"/>
      <c r="G95" s="73"/>
      <c r="H95" s="73"/>
      <c r="I95" s="73"/>
    </row>
    <row r="96" spans="6:9" x14ac:dyDescent="0.2">
      <c r="F96" s="36"/>
      <c r="G96" s="73"/>
      <c r="H96" s="73"/>
      <c r="I96" s="73"/>
    </row>
    <row r="97" spans="6:9" x14ac:dyDescent="0.2">
      <c r="F97" s="36"/>
      <c r="G97" s="73"/>
      <c r="H97" s="73"/>
      <c r="I97" s="73"/>
    </row>
    <row r="98" spans="6:9" x14ac:dyDescent="0.2">
      <c r="F98" s="36"/>
      <c r="G98" s="73"/>
      <c r="H98" s="73"/>
      <c r="I98" s="73"/>
    </row>
    <row r="99" spans="6:9" x14ac:dyDescent="0.2">
      <c r="F99" s="36"/>
      <c r="G99" s="73"/>
      <c r="H99" s="73"/>
      <c r="I99" s="73"/>
    </row>
    <row r="100" spans="6:9" x14ac:dyDescent="0.2">
      <c r="F100" s="36"/>
      <c r="G100" s="73"/>
      <c r="H100" s="73"/>
      <c r="I100" s="73"/>
    </row>
    <row r="101" spans="6:9" x14ac:dyDescent="0.2">
      <c r="F101" s="36"/>
      <c r="G101" s="73"/>
      <c r="H101" s="73"/>
      <c r="I101" s="73"/>
    </row>
    <row r="102" spans="6:9" x14ac:dyDescent="0.2">
      <c r="F102" s="36"/>
      <c r="G102" s="73"/>
      <c r="H102" s="73"/>
      <c r="I102" s="73"/>
    </row>
    <row r="103" spans="6:9" x14ac:dyDescent="0.2">
      <c r="F103" s="36"/>
      <c r="G103" s="73"/>
      <c r="H103" s="73"/>
      <c r="I103" s="73"/>
    </row>
    <row r="104" spans="6:9" x14ac:dyDescent="0.2">
      <c r="F104" s="36"/>
      <c r="G104" s="73"/>
      <c r="H104" s="73"/>
      <c r="I104" s="73"/>
    </row>
    <row r="105" spans="6:9" x14ac:dyDescent="0.2">
      <c r="F105" s="36"/>
      <c r="G105" s="73"/>
      <c r="H105" s="73"/>
      <c r="I105" s="73"/>
    </row>
  </sheetData>
  <mergeCells count="21"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</mergeCells>
  <phoneticPr fontId="0" type="noConversion"/>
  <conditionalFormatting sqref="AB6:AB38">
    <cfRule type="cellIs" dxfId="33" priority="1" operator="lessThan">
      <formula>10.2</formula>
    </cfRule>
    <cfRule type="cellIs" dxfId="32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I42"/>
  <sheetViews>
    <sheetView showZeros="0" defaultGridColor="0" topLeftCell="A9" colorId="22" workbookViewId="0">
      <selection activeCell="A37" sqref="A37"/>
    </sheetView>
  </sheetViews>
  <sheetFormatPr defaultColWidth="12.5703125" defaultRowHeight="15" x14ac:dyDescent="0.2"/>
  <cols>
    <col min="1" max="1" width="12.5703125" style="8"/>
    <col min="2" max="2" width="17.5703125" style="8" bestFit="1" customWidth="1"/>
    <col min="3" max="3" width="14.5703125" style="32" bestFit="1" customWidth="1"/>
    <col min="4" max="4" width="13.5703125" style="8" bestFit="1" customWidth="1"/>
    <col min="5" max="5" width="15.5703125" style="8" bestFit="1" customWidth="1"/>
    <col min="6" max="6" width="15.5703125" style="8" customWidth="1"/>
    <col min="7" max="7" width="12.5703125" style="582"/>
    <col min="8" max="16384" width="12.5703125" style="8"/>
  </cols>
  <sheetData>
    <row r="1" spans="1:9" ht="15.75" x14ac:dyDescent="0.25">
      <c r="A1" s="868" t="s">
        <v>282</v>
      </c>
      <c r="B1" s="869"/>
      <c r="C1" s="869"/>
      <c r="D1" s="869"/>
      <c r="E1" s="869"/>
      <c r="F1" s="870"/>
    </row>
    <row r="2" spans="1:9" x14ac:dyDescent="0.2">
      <c r="B2" s="9"/>
      <c r="C2" s="656"/>
    </row>
    <row r="3" spans="1:9" ht="15.75" thickBot="1" x14ac:dyDescent="0.25">
      <c r="B3" s="9"/>
      <c r="C3" s="656"/>
    </row>
    <row r="4" spans="1:9" ht="15.75" x14ac:dyDescent="0.25">
      <c r="A4" s="881" t="s">
        <v>7</v>
      </c>
      <c r="B4" s="39" t="s">
        <v>49</v>
      </c>
      <c r="C4" s="657" t="s">
        <v>50</v>
      </c>
      <c r="D4" s="871" t="s">
        <v>264</v>
      </c>
      <c r="E4" s="874" t="s">
        <v>262</v>
      </c>
      <c r="F4" s="877" t="s">
        <v>274</v>
      </c>
      <c r="G4" s="880"/>
    </row>
    <row r="5" spans="1:9" ht="15.75" x14ac:dyDescent="0.25">
      <c r="A5" s="882"/>
      <c r="B5" s="34" t="s">
        <v>51</v>
      </c>
      <c r="C5" s="658" t="s">
        <v>52</v>
      </c>
      <c r="D5" s="872"/>
      <c r="E5" s="875"/>
      <c r="F5" s="878"/>
      <c r="G5" s="880"/>
    </row>
    <row r="6" spans="1:9" ht="16.5" thickBot="1" x14ac:dyDescent="0.3">
      <c r="A6" s="883"/>
      <c r="B6" s="40"/>
      <c r="C6" s="659"/>
      <c r="D6" s="873"/>
      <c r="E6" s="876"/>
      <c r="F6" s="879"/>
      <c r="G6" s="880"/>
    </row>
    <row r="7" spans="1:9" ht="18" x14ac:dyDescent="0.2">
      <c r="A7" s="16">
        <v>1</v>
      </c>
      <c r="B7" s="550">
        <f>'Utility Analysis June 2025'!D10</f>
        <v>5785</v>
      </c>
      <c r="C7" s="249">
        <f>'Utility Analysis June 2025'!E10</f>
        <v>0</v>
      </c>
      <c r="D7" s="584">
        <f>B7+C7</f>
        <v>5785</v>
      </c>
      <c r="E7" s="706" t="str">
        <f>'PROD.FIG. '!H5</f>
        <v>0</v>
      </c>
      <c r="F7" s="585" t="str">
        <f>IF(E7=0,"0",(D7/E7))</f>
        <v>0</v>
      </c>
      <c r="G7" s="583"/>
      <c r="I7" s="30"/>
    </row>
    <row r="8" spans="1:9" x14ac:dyDescent="0.2">
      <c r="A8" s="16">
        <v>2</v>
      </c>
      <c r="B8" s="550">
        <f>'Utility Analysis June 2025'!D11</f>
        <v>9004</v>
      </c>
      <c r="C8" s="249">
        <f>'Utility Analysis June 2025'!E11</f>
        <v>0</v>
      </c>
      <c r="D8" s="584">
        <f t="shared" ref="D8:D36" si="0">B8+C8</f>
        <v>9004</v>
      </c>
      <c r="E8" s="706">
        <f>'PROD.FIG. '!H6</f>
        <v>455.60520000000002</v>
      </c>
      <c r="F8" s="585">
        <f t="shared" ref="F8:F36" si="1">IF(E8=0,"0",(D8/E8))</f>
        <v>19.762724393839225</v>
      </c>
      <c r="H8" s="30"/>
      <c r="I8" s="30"/>
    </row>
    <row r="9" spans="1:9" x14ac:dyDescent="0.2">
      <c r="A9" s="16">
        <v>3</v>
      </c>
      <c r="B9" s="550">
        <f>'Utility Analysis June 2025'!D12</f>
        <v>8987</v>
      </c>
      <c r="C9" s="249">
        <f>'Utility Analysis June 2025'!E12</f>
        <v>0</v>
      </c>
      <c r="D9" s="584">
        <f t="shared" si="0"/>
        <v>8987</v>
      </c>
      <c r="E9" s="706">
        <f>'PROD.FIG. '!H7</f>
        <v>644.75400000000002</v>
      </c>
      <c r="F9" s="585">
        <f>IF(E9=0,"0",(D9/E9))</f>
        <v>13.938649469410038</v>
      </c>
      <c r="I9" s="30"/>
    </row>
    <row r="10" spans="1:9" x14ac:dyDescent="0.2">
      <c r="A10" s="16">
        <v>4</v>
      </c>
      <c r="B10" s="550">
        <f>'Utility Analysis June 2025'!D13</f>
        <v>9013</v>
      </c>
      <c r="C10" s="249">
        <f>'Utility Analysis June 2025'!E13</f>
        <v>0</v>
      </c>
      <c r="D10" s="584">
        <f t="shared" si="0"/>
        <v>9013</v>
      </c>
      <c r="E10" s="706">
        <f>'PROD.FIG. '!H8</f>
        <v>398.44200000000001</v>
      </c>
      <c r="F10" s="585">
        <f t="shared" si="1"/>
        <v>22.620607265298336</v>
      </c>
      <c r="I10" s="30"/>
    </row>
    <row r="11" spans="1:9" x14ac:dyDescent="0.2">
      <c r="A11" s="16">
        <v>5</v>
      </c>
      <c r="B11" s="550">
        <f>'Utility Analysis June 2025'!D14</f>
        <v>9609</v>
      </c>
      <c r="C11" s="249">
        <f>'Utility Analysis June 2025'!E14</f>
        <v>0</v>
      </c>
      <c r="D11" s="584">
        <f t="shared" si="0"/>
        <v>9609</v>
      </c>
      <c r="E11" s="706">
        <f>'PROD.FIG. '!H9</f>
        <v>496.584</v>
      </c>
      <c r="F11" s="585">
        <f t="shared" si="1"/>
        <v>19.350200570296263</v>
      </c>
      <c r="I11" s="30"/>
    </row>
    <row r="12" spans="1:9" x14ac:dyDescent="0.2">
      <c r="A12" s="16">
        <v>6</v>
      </c>
      <c r="B12" s="550">
        <f>'Utility Analysis June 2025'!D15</f>
        <v>9086</v>
      </c>
      <c r="C12" s="249">
        <f>'Utility Analysis June 2025'!E15</f>
        <v>0</v>
      </c>
      <c r="D12" s="584">
        <f t="shared" si="0"/>
        <v>9086</v>
      </c>
      <c r="E12" s="706">
        <f>'PROD.FIG. '!H10</f>
        <v>263.93400000000003</v>
      </c>
      <c r="F12" s="585">
        <f t="shared" si="1"/>
        <v>34.425272984912894</v>
      </c>
      <c r="I12" s="30"/>
    </row>
    <row r="13" spans="1:9" x14ac:dyDescent="0.2">
      <c r="A13" s="16">
        <v>7</v>
      </c>
      <c r="B13" s="550">
        <f>'Utility Analysis June 2025'!D16</f>
        <v>4198</v>
      </c>
      <c r="C13" s="249">
        <f>'Utility Analysis June 2025'!E16</f>
        <v>0</v>
      </c>
      <c r="D13" s="584">
        <f t="shared" si="0"/>
        <v>4198</v>
      </c>
      <c r="E13" s="706" t="str">
        <f>'PROD.FIG. '!H11</f>
        <v>0</v>
      </c>
      <c r="F13" s="585" t="str">
        <f t="shared" si="1"/>
        <v>0</v>
      </c>
      <c r="I13" s="30"/>
    </row>
    <row r="14" spans="1:9" x14ac:dyDescent="0.2">
      <c r="A14" s="16">
        <v>8</v>
      </c>
      <c r="B14" s="550">
        <f>'Utility Analysis June 2025'!D17</f>
        <v>5365</v>
      </c>
      <c r="C14" s="249">
        <f>'Utility Analysis June 2025'!E17</f>
        <v>0</v>
      </c>
      <c r="D14" s="584">
        <f t="shared" si="0"/>
        <v>5365</v>
      </c>
      <c r="E14" s="706" t="str">
        <f>'PROD.FIG. '!H12</f>
        <v>0</v>
      </c>
      <c r="F14" s="585" t="str">
        <f t="shared" si="1"/>
        <v>0</v>
      </c>
      <c r="I14" s="30"/>
    </row>
    <row r="15" spans="1:9" x14ac:dyDescent="0.2">
      <c r="A15" s="16">
        <v>9</v>
      </c>
      <c r="B15" s="550">
        <f>'Utility Analysis June 2025'!D18</f>
        <v>4505</v>
      </c>
      <c r="C15" s="249">
        <f>'Utility Analysis June 2025'!E18</f>
        <v>0</v>
      </c>
      <c r="D15" s="584">
        <f t="shared" si="0"/>
        <v>4505</v>
      </c>
      <c r="E15" s="706" t="str">
        <f>'PROD.FIG. '!H13</f>
        <v>0</v>
      </c>
      <c r="F15" s="585" t="str">
        <f t="shared" si="1"/>
        <v>0</v>
      </c>
      <c r="I15" s="30"/>
    </row>
    <row r="16" spans="1:9" x14ac:dyDescent="0.2">
      <c r="A16" s="16">
        <v>10</v>
      </c>
      <c r="B16" s="550">
        <f>'Utility Analysis June 2025'!D19</f>
        <v>8188</v>
      </c>
      <c r="C16" s="249">
        <f>'Utility Analysis June 2025'!E19</f>
        <v>0</v>
      </c>
      <c r="D16" s="584">
        <f t="shared" si="0"/>
        <v>8188</v>
      </c>
      <c r="E16" s="706">
        <f>'PROD.FIG. '!H14</f>
        <v>418.11</v>
      </c>
      <c r="F16" s="585">
        <f t="shared" si="1"/>
        <v>19.583363229772068</v>
      </c>
      <c r="I16" s="30"/>
    </row>
    <row r="17" spans="1:9" x14ac:dyDescent="0.2">
      <c r="A17" s="16">
        <v>11</v>
      </c>
      <c r="B17" s="550">
        <f>'Utility Analysis June 2025'!D20</f>
        <v>8791</v>
      </c>
      <c r="C17" s="249">
        <f>'Utility Analysis June 2025'!E20</f>
        <v>0</v>
      </c>
      <c r="D17" s="584">
        <f t="shared" si="0"/>
        <v>8791</v>
      </c>
      <c r="E17" s="706">
        <f>'PROD.FIG. '!H15</f>
        <v>475.99200000000002</v>
      </c>
      <c r="F17" s="585">
        <f t="shared" si="1"/>
        <v>18.468797794920921</v>
      </c>
      <c r="I17" s="30"/>
    </row>
    <row r="18" spans="1:9" x14ac:dyDescent="0.2">
      <c r="A18" s="16">
        <v>12</v>
      </c>
      <c r="B18" s="550">
        <f>'Utility Analysis June 2025'!D21</f>
        <v>8463</v>
      </c>
      <c r="C18" s="249">
        <f>'Utility Analysis June 2025'!E21</f>
        <v>0</v>
      </c>
      <c r="D18" s="584">
        <f t="shared" si="0"/>
        <v>8463</v>
      </c>
      <c r="E18" s="706">
        <f>'PROD.FIG. '!H16</f>
        <v>339.834</v>
      </c>
      <c r="F18" s="585">
        <f t="shared" si="1"/>
        <v>24.903335157753492</v>
      </c>
      <c r="I18" s="30"/>
    </row>
    <row r="19" spans="1:9" x14ac:dyDescent="0.2">
      <c r="A19" s="16">
        <v>13</v>
      </c>
      <c r="B19" s="550">
        <f>'Utility Analysis June 2025'!D22</f>
        <v>8406</v>
      </c>
      <c r="C19" s="249">
        <f>'Utility Analysis June 2025'!E22</f>
        <v>0</v>
      </c>
      <c r="D19" s="584">
        <f t="shared" si="0"/>
        <v>8406</v>
      </c>
      <c r="E19" s="706">
        <f>'PROD.FIG. '!H17</f>
        <v>411.57600000000002</v>
      </c>
      <c r="F19" s="585">
        <f t="shared" si="1"/>
        <v>20.42393142457286</v>
      </c>
      <c r="I19" s="30"/>
    </row>
    <row r="20" spans="1:9" x14ac:dyDescent="0.2">
      <c r="A20" s="16">
        <v>14</v>
      </c>
      <c r="B20" s="550">
        <f>'Utility Analysis June 2025'!D23</f>
        <v>5577</v>
      </c>
      <c r="C20" s="249">
        <f>'Utility Analysis June 2025'!E23</f>
        <v>0</v>
      </c>
      <c r="D20" s="584">
        <f t="shared" si="0"/>
        <v>5577</v>
      </c>
      <c r="E20" s="706" t="str">
        <f>'PROD.FIG. '!H18</f>
        <v>0</v>
      </c>
      <c r="F20" s="585" t="str">
        <f t="shared" si="1"/>
        <v>0</v>
      </c>
      <c r="I20" s="30"/>
    </row>
    <row r="21" spans="1:9" x14ac:dyDescent="0.2">
      <c r="A21" s="16">
        <v>15</v>
      </c>
      <c r="B21" s="550">
        <f>'Utility Analysis June 2025'!D24</f>
        <v>5267</v>
      </c>
      <c r="C21" s="249">
        <f>'Utility Analysis June 2025'!E24</f>
        <v>0</v>
      </c>
      <c r="D21" s="584">
        <f t="shared" si="0"/>
        <v>5267</v>
      </c>
      <c r="E21" s="706" t="str">
        <f>'PROD.FIG. '!H19</f>
        <v>0</v>
      </c>
      <c r="F21" s="585" t="str">
        <f t="shared" si="1"/>
        <v>0</v>
      </c>
      <c r="I21" s="30"/>
    </row>
    <row r="22" spans="1:9" x14ac:dyDescent="0.2">
      <c r="A22" s="16">
        <v>16</v>
      </c>
      <c r="B22" s="550">
        <f>'Utility Analysis June 2025'!D25</f>
        <v>8328</v>
      </c>
      <c r="C22" s="249">
        <f>'Utility Analysis June 2025'!E25</f>
        <v>0</v>
      </c>
      <c r="D22" s="584">
        <f t="shared" si="0"/>
        <v>8328</v>
      </c>
      <c r="E22" s="706">
        <f>'PROD.FIG. '!H20</f>
        <v>400.62</v>
      </c>
      <c r="F22" s="585">
        <f t="shared" si="1"/>
        <v>20.787778942638909</v>
      </c>
      <c r="I22" s="30"/>
    </row>
    <row r="23" spans="1:9" x14ac:dyDescent="0.2">
      <c r="A23" s="16">
        <v>17</v>
      </c>
      <c r="B23" s="550">
        <f>'Utility Analysis June 2025'!D26</f>
        <v>9244</v>
      </c>
      <c r="C23" s="249">
        <f>'Utility Analysis June 2025'!E26</f>
        <v>0</v>
      </c>
      <c r="D23" s="584">
        <f t="shared" si="0"/>
        <v>9244</v>
      </c>
      <c r="E23" s="706">
        <f>'PROD.FIG. '!H21</f>
        <v>550.24200000000008</v>
      </c>
      <c r="F23" s="585">
        <f t="shared" si="1"/>
        <v>16.799880779729644</v>
      </c>
      <c r="I23" s="30"/>
    </row>
    <row r="24" spans="1:9" x14ac:dyDescent="0.2">
      <c r="A24" s="16">
        <v>18</v>
      </c>
      <c r="B24" s="550">
        <f>'Utility Analysis June 2025'!D27</f>
        <v>8232</v>
      </c>
      <c r="C24" s="249">
        <f>'Utility Analysis June 2025'!E27</f>
        <v>0</v>
      </c>
      <c r="D24" s="584">
        <f t="shared" si="0"/>
        <v>8232</v>
      </c>
      <c r="E24" s="706">
        <f>'PROD.FIG. '!H22</f>
        <v>446.5428</v>
      </c>
      <c r="F24" s="585">
        <f t="shared" si="1"/>
        <v>18.434963009144923</v>
      </c>
      <c r="I24" s="30"/>
    </row>
    <row r="25" spans="1:9" x14ac:dyDescent="0.2">
      <c r="A25" s="16">
        <v>19</v>
      </c>
      <c r="B25" s="550">
        <f>'Utility Analysis June 2025'!D28</f>
        <v>4708</v>
      </c>
      <c r="C25" s="249">
        <f>'Utility Analysis June 2025'!E28</f>
        <v>0</v>
      </c>
      <c r="D25" s="584">
        <f t="shared" si="0"/>
        <v>4708</v>
      </c>
      <c r="E25" s="706" t="str">
        <f>'PROD.FIG. '!H23</f>
        <v>0</v>
      </c>
      <c r="F25" s="585" t="str">
        <f t="shared" si="1"/>
        <v>0</v>
      </c>
      <c r="I25" s="30"/>
    </row>
    <row r="26" spans="1:9" x14ac:dyDescent="0.2">
      <c r="A26" s="16">
        <v>20</v>
      </c>
      <c r="B26" s="550">
        <f>'Utility Analysis June 2025'!D29</f>
        <v>7111</v>
      </c>
      <c r="C26" s="249">
        <f>'Utility Analysis June 2025'!E29</f>
        <v>0</v>
      </c>
      <c r="D26" s="584">
        <f t="shared" si="0"/>
        <v>7111</v>
      </c>
      <c r="E26" s="706">
        <f>'PROD.FIG. '!H24</f>
        <v>365.02080000000001</v>
      </c>
      <c r="F26" s="585">
        <f t="shared" si="1"/>
        <v>19.481081626033365</v>
      </c>
      <c r="I26" s="30"/>
    </row>
    <row r="27" spans="1:9" x14ac:dyDescent="0.2">
      <c r="A27" s="16">
        <v>21</v>
      </c>
      <c r="B27" s="550">
        <f>'Utility Analysis June 2025'!D30</f>
        <v>4606</v>
      </c>
      <c r="C27" s="249">
        <f>'Utility Analysis June 2025'!E30</f>
        <v>0</v>
      </c>
      <c r="D27" s="584">
        <f t="shared" si="0"/>
        <v>4606</v>
      </c>
      <c r="E27" s="706" t="str">
        <f>'PROD.FIG. '!H25</f>
        <v>0</v>
      </c>
      <c r="F27" s="585" t="str">
        <f t="shared" si="1"/>
        <v>0</v>
      </c>
      <c r="I27" s="30"/>
    </row>
    <row r="28" spans="1:9" x14ac:dyDescent="0.2">
      <c r="A28" s="16">
        <v>22</v>
      </c>
      <c r="B28" s="550">
        <f>'Utility Analysis June 2025'!D31</f>
        <v>4876</v>
      </c>
      <c r="C28" s="249">
        <f>'Utility Analysis June 2025'!E31</f>
        <v>0</v>
      </c>
      <c r="D28" s="584">
        <f t="shared" si="0"/>
        <v>4876</v>
      </c>
      <c r="E28" s="706" t="str">
        <f>'PROD.FIG. '!H26</f>
        <v>0</v>
      </c>
      <c r="F28" s="585" t="str">
        <f t="shared" si="1"/>
        <v>0</v>
      </c>
      <c r="I28" s="30"/>
    </row>
    <row r="29" spans="1:9" x14ac:dyDescent="0.2">
      <c r="A29" s="16">
        <v>23</v>
      </c>
      <c r="B29" s="550">
        <f>'Utility Analysis June 2025'!D32</f>
        <v>7892</v>
      </c>
      <c r="C29" s="249">
        <f>'Utility Analysis June 2025'!E32</f>
        <v>0</v>
      </c>
      <c r="D29" s="584">
        <f t="shared" si="0"/>
        <v>7892</v>
      </c>
      <c r="E29" s="706">
        <f>'PROD.FIG. '!H27</f>
        <v>475.86</v>
      </c>
      <c r="F29" s="585">
        <f t="shared" si="1"/>
        <v>16.584709788593283</v>
      </c>
      <c r="I29" s="30"/>
    </row>
    <row r="30" spans="1:9" x14ac:dyDescent="0.2">
      <c r="A30" s="16">
        <v>24</v>
      </c>
      <c r="B30" s="550">
        <f>'Utility Analysis June 2025'!D33</f>
        <v>8542</v>
      </c>
      <c r="C30" s="249">
        <f>'Utility Analysis June 2025'!E33</f>
        <v>0</v>
      </c>
      <c r="D30" s="584">
        <f t="shared" si="0"/>
        <v>8542</v>
      </c>
      <c r="E30" s="706">
        <f>'PROD.FIG. '!H28</f>
        <v>367.75200000000001</v>
      </c>
      <c r="F30" s="585">
        <f t="shared" si="1"/>
        <v>23.227609911026995</v>
      </c>
      <c r="I30" s="30"/>
    </row>
    <row r="31" spans="1:9" x14ac:dyDescent="0.2">
      <c r="A31" s="16">
        <v>25</v>
      </c>
      <c r="B31" s="550">
        <f>'Utility Analysis June 2025'!D34</f>
        <v>9522</v>
      </c>
      <c r="C31" s="249">
        <f>'Utility Analysis June 2025'!E34</f>
        <v>0</v>
      </c>
      <c r="D31" s="584">
        <f t="shared" si="0"/>
        <v>9522</v>
      </c>
      <c r="E31" s="706">
        <f>'PROD.FIG. '!H29</f>
        <v>663.30000000000007</v>
      </c>
      <c r="F31" s="585">
        <f t="shared" si="1"/>
        <v>14.355495251017638</v>
      </c>
      <c r="I31" s="30"/>
    </row>
    <row r="32" spans="1:9" x14ac:dyDescent="0.2">
      <c r="A32" s="16">
        <v>26</v>
      </c>
      <c r="B32" s="550">
        <f>'Utility Analysis June 2025'!D35</f>
        <v>9213</v>
      </c>
      <c r="C32" s="249">
        <f>'Utility Analysis June 2025'!E35</f>
        <v>0</v>
      </c>
      <c r="D32" s="584">
        <f t="shared" si="0"/>
        <v>9213</v>
      </c>
      <c r="E32" s="706">
        <f>'PROD.FIG. '!H30</f>
        <v>526.28399999999999</v>
      </c>
      <c r="F32" s="585">
        <f t="shared" si="1"/>
        <v>17.505757347743803</v>
      </c>
      <c r="I32" s="30"/>
    </row>
    <row r="33" spans="1:9" x14ac:dyDescent="0.2">
      <c r="A33" s="16">
        <v>27</v>
      </c>
      <c r="B33" s="550">
        <f>'Utility Analysis June 2025'!D36</f>
        <v>9215</v>
      </c>
      <c r="C33" s="249">
        <f>'Utility Analysis June 2025'!E36</f>
        <v>0</v>
      </c>
      <c r="D33" s="584">
        <f t="shared" si="0"/>
        <v>9215</v>
      </c>
      <c r="E33" s="706">
        <f>'PROD.FIG. '!H31</f>
        <v>402.20400000000001</v>
      </c>
      <c r="F33" s="585">
        <f t="shared" si="1"/>
        <v>22.911258963113244</v>
      </c>
      <c r="I33" s="30"/>
    </row>
    <row r="34" spans="1:9" x14ac:dyDescent="0.2">
      <c r="A34" s="16">
        <v>28</v>
      </c>
      <c r="B34" s="550">
        <f>'Utility Analysis June 2025'!D37</f>
        <v>5934</v>
      </c>
      <c r="C34" s="249">
        <f>'Utility Analysis June 2025'!E37</f>
        <v>0</v>
      </c>
      <c r="D34" s="584">
        <f t="shared" si="0"/>
        <v>5934</v>
      </c>
      <c r="E34" s="706" t="str">
        <f>'PROD.FIG. '!H32</f>
        <v>0</v>
      </c>
      <c r="F34" s="585" t="str">
        <f t="shared" si="1"/>
        <v>0</v>
      </c>
      <c r="I34" s="30"/>
    </row>
    <row r="35" spans="1:9" x14ac:dyDescent="0.2">
      <c r="A35" s="16">
        <v>29</v>
      </c>
      <c r="B35" s="550">
        <f>'Utility Analysis June 2025'!D38</f>
        <v>5694</v>
      </c>
      <c r="C35" s="249">
        <f>'Utility Analysis June 2025'!E38</f>
        <v>0</v>
      </c>
      <c r="D35" s="584">
        <f t="shared" si="0"/>
        <v>5694</v>
      </c>
      <c r="E35" s="706">
        <f>'PROD.FIG. '!H33</f>
        <v>29.040000000000003</v>
      </c>
      <c r="F35" s="585">
        <f t="shared" si="1"/>
        <v>196.07438016528923</v>
      </c>
    </row>
    <row r="36" spans="1:9" x14ac:dyDescent="0.2">
      <c r="A36" s="16">
        <v>30</v>
      </c>
      <c r="B36" s="550">
        <f>'Utility Analysis June 2025'!D39</f>
        <v>8694</v>
      </c>
      <c r="C36" s="249">
        <f>'Utility Analysis June 2025'!E39</f>
        <v>0</v>
      </c>
      <c r="D36" s="584">
        <f t="shared" si="0"/>
        <v>8694</v>
      </c>
      <c r="E36" s="706">
        <f>'PROD.FIG. '!H34</f>
        <v>272.84399999999999</v>
      </c>
      <c r="F36" s="585">
        <f t="shared" si="1"/>
        <v>31.864362053041297</v>
      </c>
    </row>
    <row r="37" spans="1:9" ht="15.75" thickBot="1" x14ac:dyDescent="0.25">
      <c r="A37" s="16"/>
      <c r="B37" s="550">
        <f>'Utility Analysis June 2025'!D40</f>
        <v>0</v>
      </c>
      <c r="C37" s="249"/>
      <c r="D37" s="584"/>
      <c r="E37" s="706"/>
      <c r="F37" s="585"/>
      <c r="H37" s="258" t="s">
        <v>267</v>
      </c>
    </row>
    <row r="38" spans="1:9" s="547" customFormat="1" ht="18.75" thickBot="1" x14ac:dyDescent="0.3">
      <c r="A38" s="548" t="s">
        <v>89</v>
      </c>
      <c r="B38" s="549">
        <f>SUM(B7:B37)</f>
        <v>222055</v>
      </c>
      <c r="C38" s="549">
        <f>SUM(C7:C37)</f>
        <v>0</v>
      </c>
      <c r="D38" s="586">
        <f>SUM(D7:D37)</f>
        <v>222055</v>
      </c>
      <c r="E38" s="643">
        <f>SUM(E7:E37)</f>
        <v>8404.5408000000007</v>
      </c>
      <c r="F38" s="587">
        <f>IF(E38=0,"0",(D38/E38))</f>
        <v>26.420836698181056</v>
      </c>
      <c r="G38" s="583">
        <v>22</v>
      </c>
      <c r="H38" s="592">
        <f>F38/G38*100</f>
        <v>120.09471226445933</v>
      </c>
    </row>
    <row r="39" spans="1:9" x14ac:dyDescent="0.2">
      <c r="B39" s="17"/>
      <c r="D39" s="17"/>
      <c r="E39" s="17"/>
      <c r="F39" s="17"/>
      <c r="G39" s="582" t="s">
        <v>263</v>
      </c>
    </row>
    <row r="40" spans="1:9" x14ac:dyDescent="0.2">
      <c r="B40" s="17"/>
      <c r="D40" s="17"/>
      <c r="E40" s="17"/>
      <c r="F40" s="17"/>
    </row>
    <row r="41" spans="1:9" x14ac:dyDescent="0.2">
      <c r="B41" s="17"/>
      <c r="D41" s="17"/>
      <c r="E41" s="17"/>
      <c r="F41" s="17"/>
    </row>
    <row r="42" spans="1:9" x14ac:dyDescent="0.2">
      <c r="B42" s="17"/>
      <c r="D42" s="17"/>
      <c r="E42" s="17"/>
      <c r="F42" s="17"/>
    </row>
  </sheetData>
  <mergeCells count="6">
    <mergeCell ref="A1:F1"/>
    <mergeCell ref="D4:D6"/>
    <mergeCell ref="E4:E6"/>
    <mergeCell ref="F4:F6"/>
    <mergeCell ref="G4:G6"/>
    <mergeCell ref="A4:A6"/>
  </mergeCells>
  <phoneticPr fontId="0" type="noConversion"/>
  <conditionalFormatting sqref="F1:F1048576">
    <cfRule type="cellIs" dxfId="31" priority="1" operator="lessThan">
      <formula>22</formula>
    </cfRule>
  </conditionalFormatting>
  <conditionalFormatting sqref="F7:F38">
    <cfRule type="cellIs" dxfId="30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33" sqref="K33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5703125" style="8" customWidth="1"/>
    <col min="5" max="5" width="17.42578125" style="8" customWidth="1"/>
    <col min="6" max="6" width="8.42578125" style="8" customWidth="1"/>
    <col min="7" max="7" width="13.5703125" style="8" customWidth="1"/>
    <col min="8" max="8" width="17.5703125" style="17" customWidth="1"/>
    <col min="9" max="16" width="12.5703125" style="32"/>
    <col min="17" max="16384" width="12.5703125" style="8"/>
  </cols>
  <sheetData>
    <row r="1" spans="1:10" ht="15.75" x14ac:dyDescent="0.25">
      <c r="A1" s="884" t="s">
        <v>283</v>
      </c>
      <c r="B1" s="847"/>
      <c r="C1" s="847"/>
      <c r="D1" s="847"/>
      <c r="E1" s="847"/>
      <c r="F1" s="847"/>
      <c r="G1" s="847"/>
      <c r="H1" s="847"/>
    </row>
    <row r="2" spans="1:10" ht="15.75" thickBot="1" x14ac:dyDescent="0.25">
      <c r="D2" s="12"/>
    </row>
    <row r="3" spans="1:10" ht="15.75" x14ac:dyDescent="0.25">
      <c r="A3" s="555"/>
      <c r="B3" s="556" t="s">
        <v>7</v>
      </c>
      <c r="C3" s="557"/>
      <c r="D3" s="558"/>
      <c r="E3" s="558"/>
      <c r="F3" s="558"/>
      <c r="G3" s="558"/>
      <c r="H3" s="559"/>
    </row>
    <row r="4" spans="1:10" ht="15.75" x14ac:dyDescent="0.25">
      <c r="A4" s="560"/>
      <c r="B4" s="71" t="s">
        <v>37</v>
      </c>
      <c r="C4" s="553" t="s">
        <v>85</v>
      </c>
      <c r="D4" s="554" t="s">
        <v>84</v>
      </c>
      <c r="E4" s="554" t="s">
        <v>72</v>
      </c>
      <c r="F4" s="554" t="s">
        <v>74</v>
      </c>
      <c r="G4" s="554" t="s">
        <v>73</v>
      </c>
      <c r="H4" s="561" t="s">
        <v>60</v>
      </c>
    </row>
    <row r="5" spans="1:10" x14ac:dyDescent="0.2">
      <c r="A5" s="560" t="s">
        <v>99</v>
      </c>
      <c r="B5" s="16">
        <v>1</v>
      </c>
      <c r="C5" s="528"/>
      <c r="D5" s="529"/>
      <c r="E5" s="16"/>
      <c r="F5" s="529"/>
      <c r="G5" s="16"/>
      <c r="H5" s="578" t="str" cm="1">
        <f t="array" ref="H5:H35">IF(TRANSPOSE('Daily KPIs'!B9:AF9)=0,"0",TRANSPOSE('Daily KPIs'!B9:AF9))</f>
        <v>0</v>
      </c>
      <c r="I5" s="532"/>
      <c r="J5" s="533"/>
    </row>
    <row r="6" spans="1:10" x14ac:dyDescent="0.2">
      <c r="A6" s="560" t="s">
        <v>100</v>
      </c>
      <c r="B6" s="16">
        <v>2</v>
      </c>
      <c r="C6" s="528"/>
      <c r="D6" s="529"/>
      <c r="E6" s="530"/>
      <c r="F6" s="529"/>
      <c r="G6" s="16"/>
      <c r="H6" s="562">
        <v>455.60520000000002</v>
      </c>
      <c r="I6" s="33"/>
      <c r="J6" s="533"/>
    </row>
    <row r="7" spans="1:10" x14ac:dyDescent="0.2">
      <c r="A7" s="560" t="s">
        <v>101</v>
      </c>
      <c r="B7" s="16">
        <v>3</v>
      </c>
      <c r="C7" s="528"/>
      <c r="D7" s="529"/>
      <c r="E7" s="16"/>
      <c r="F7" s="529"/>
      <c r="G7" s="16"/>
      <c r="H7" s="562">
        <v>644.75400000000002</v>
      </c>
      <c r="I7" s="534"/>
      <c r="J7" s="535"/>
    </row>
    <row r="8" spans="1:10" x14ac:dyDescent="0.2">
      <c r="A8" s="560" t="s">
        <v>102</v>
      </c>
      <c r="B8" s="16">
        <v>4</v>
      </c>
      <c r="C8" s="528"/>
      <c r="D8" s="529"/>
      <c r="E8" s="16"/>
      <c r="F8" s="531"/>
      <c r="G8" s="16"/>
      <c r="H8" s="562">
        <v>398.44200000000001</v>
      </c>
      <c r="I8" s="534"/>
      <c r="J8" s="535"/>
    </row>
    <row r="9" spans="1:10" x14ac:dyDescent="0.2">
      <c r="A9" s="560" t="s">
        <v>96</v>
      </c>
      <c r="B9" s="16">
        <v>5</v>
      </c>
      <c r="C9" s="528"/>
      <c r="D9" s="529"/>
      <c r="E9" s="16"/>
      <c r="F9" s="16"/>
      <c r="G9" s="16"/>
      <c r="H9" s="562">
        <v>496.584</v>
      </c>
      <c r="I9" s="534"/>
      <c r="J9" s="535"/>
    </row>
    <row r="10" spans="1:10" x14ac:dyDescent="0.2">
      <c r="A10" s="560" t="s">
        <v>97</v>
      </c>
      <c r="B10" s="16">
        <v>6</v>
      </c>
      <c r="C10" s="528"/>
      <c r="D10" s="529"/>
      <c r="E10" s="16"/>
      <c r="F10" s="16"/>
      <c r="G10" s="16"/>
      <c r="H10" s="562">
        <v>263.93400000000003</v>
      </c>
      <c r="I10" s="534"/>
      <c r="J10" s="535"/>
    </row>
    <row r="11" spans="1:10" x14ac:dyDescent="0.2">
      <c r="A11" s="560" t="s">
        <v>98</v>
      </c>
      <c r="B11" s="16">
        <v>7</v>
      </c>
      <c r="C11" s="528"/>
      <c r="D11" s="529"/>
      <c r="E11" s="16"/>
      <c r="F11" s="531"/>
      <c r="G11" s="16"/>
      <c r="H11" s="562" t="str">
        <v>0</v>
      </c>
      <c r="I11" s="534"/>
      <c r="J11" s="535"/>
    </row>
    <row r="12" spans="1:10" x14ac:dyDescent="0.2">
      <c r="A12" s="560" t="s">
        <v>99</v>
      </c>
      <c r="B12" s="16">
        <v>8</v>
      </c>
      <c r="C12" s="528"/>
      <c r="D12" s="529"/>
      <c r="E12" s="16"/>
      <c r="F12" s="16"/>
      <c r="G12" s="16"/>
      <c r="H12" s="562" t="str">
        <v>0</v>
      </c>
      <c r="I12" s="534"/>
      <c r="J12" s="535"/>
    </row>
    <row r="13" spans="1:10" x14ac:dyDescent="0.2">
      <c r="A13" s="560" t="s">
        <v>100</v>
      </c>
      <c r="B13" s="16">
        <v>9</v>
      </c>
      <c r="C13" s="528"/>
      <c r="D13" s="529"/>
      <c r="E13" s="531"/>
      <c r="F13" s="16"/>
      <c r="G13" s="16"/>
      <c r="H13" s="562" t="str">
        <v>0</v>
      </c>
      <c r="I13" s="534"/>
      <c r="J13" s="535"/>
    </row>
    <row r="14" spans="1:10" x14ac:dyDescent="0.2">
      <c r="A14" s="560" t="s">
        <v>101</v>
      </c>
      <c r="B14" s="16">
        <v>10</v>
      </c>
      <c r="C14" s="528"/>
      <c r="D14" s="529"/>
      <c r="E14" s="16"/>
      <c r="F14" s="16"/>
      <c r="G14" s="16"/>
      <c r="H14" s="562">
        <v>418.11</v>
      </c>
      <c r="I14" s="534"/>
      <c r="J14" s="535"/>
    </row>
    <row r="15" spans="1:10" x14ac:dyDescent="0.2">
      <c r="A15" s="560" t="s">
        <v>102</v>
      </c>
      <c r="B15" s="16">
        <v>11</v>
      </c>
      <c r="C15" s="528"/>
      <c r="D15" s="529"/>
      <c r="E15" s="531"/>
      <c r="F15" s="16"/>
      <c r="G15" s="531"/>
      <c r="H15" s="562">
        <v>475.99200000000002</v>
      </c>
      <c r="I15" s="534"/>
      <c r="J15" s="535"/>
    </row>
    <row r="16" spans="1:10" x14ac:dyDescent="0.2">
      <c r="A16" s="560" t="s">
        <v>96</v>
      </c>
      <c r="B16" s="16">
        <v>12</v>
      </c>
      <c r="C16" s="528"/>
      <c r="D16" s="529"/>
      <c r="E16" s="531"/>
      <c r="F16" s="16"/>
      <c r="G16" s="16"/>
      <c r="H16" s="562">
        <v>339.834</v>
      </c>
      <c r="I16" s="534"/>
      <c r="J16" s="535"/>
    </row>
    <row r="17" spans="1:13" x14ac:dyDescent="0.2">
      <c r="A17" s="560" t="s">
        <v>97</v>
      </c>
      <c r="B17" s="16">
        <v>13</v>
      </c>
      <c r="C17" s="528"/>
      <c r="D17" s="529"/>
      <c r="E17" s="16"/>
      <c r="F17" s="16"/>
      <c r="G17" s="16"/>
      <c r="H17" s="562">
        <v>411.57600000000002</v>
      </c>
      <c r="I17" s="534"/>
      <c r="J17" s="535"/>
    </row>
    <row r="18" spans="1:13" x14ac:dyDescent="0.2">
      <c r="A18" s="560" t="s">
        <v>98</v>
      </c>
      <c r="B18" s="16">
        <v>14</v>
      </c>
      <c r="C18" s="528"/>
      <c r="D18" s="529"/>
      <c r="E18" s="16"/>
      <c r="F18" s="16"/>
      <c r="G18" s="16"/>
      <c r="H18" s="562" t="str">
        <v>0</v>
      </c>
      <c r="I18" s="534"/>
      <c r="J18" s="535"/>
    </row>
    <row r="19" spans="1:13" x14ac:dyDescent="0.2">
      <c r="A19" s="560" t="s">
        <v>99</v>
      </c>
      <c r="B19" s="16">
        <v>15</v>
      </c>
      <c r="C19" s="528"/>
      <c r="D19" s="529"/>
      <c r="E19" s="531"/>
      <c r="F19" s="16"/>
      <c r="G19" s="16"/>
      <c r="H19" s="562" t="str">
        <v>0</v>
      </c>
      <c r="I19" s="534"/>
      <c r="J19" s="535"/>
    </row>
    <row r="20" spans="1:13" x14ac:dyDescent="0.2">
      <c r="A20" s="560" t="s">
        <v>100</v>
      </c>
      <c r="B20" s="16">
        <v>16</v>
      </c>
      <c r="C20" s="528"/>
      <c r="D20" s="529"/>
      <c r="E20" s="16"/>
      <c r="F20" s="16"/>
      <c r="G20" s="16"/>
      <c r="H20" s="562">
        <v>400.62</v>
      </c>
      <c r="I20" s="534"/>
      <c r="J20" s="535"/>
    </row>
    <row r="21" spans="1:13" x14ac:dyDescent="0.2">
      <c r="A21" s="560" t="s">
        <v>101</v>
      </c>
      <c r="B21" s="16">
        <v>17</v>
      </c>
      <c r="C21" s="528"/>
      <c r="D21" s="529"/>
      <c r="E21" s="16"/>
      <c r="F21" s="16"/>
      <c r="G21" s="16"/>
      <c r="H21" s="562">
        <v>550.24200000000008</v>
      </c>
      <c r="I21" s="534"/>
      <c r="J21" s="535"/>
    </row>
    <row r="22" spans="1:13" x14ac:dyDescent="0.2">
      <c r="A22" s="560" t="s">
        <v>102</v>
      </c>
      <c r="B22" s="16">
        <v>18</v>
      </c>
      <c r="C22" s="528"/>
      <c r="D22" s="529"/>
      <c r="E22" s="16"/>
      <c r="F22" s="16"/>
      <c r="G22" s="16"/>
      <c r="H22" s="562">
        <v>446.5428</v>
      </c>
      <c r="I22" s="534"/>
      <c r="J22" s="535"/>
    </row>
    <row r="23" spans="1:13" x14ac:dyDescent="0.2">
      <c r="A23" s="560" t="s">
        <v>96</v>
      </c>
      <c r="B23" s="16">
        <v>19</v>
      </c>
      <c r="C23" s="528"/>
      <c r="D23" s="529"/>
      <c r="E23" s="16"/>
      <c r="F23" s="16"/>
      <c r="G23" s="16"/>
      <c r="H23" s="562" t="str">
        <v>0</v>
      </c>
      <c r="I23" s="534"/>
      <c r="J23" s="535"/>
    </row>
    <row r="24" spans="1:13" x14ac:dyDescent="0.2">
      <c r="A24" s="560" t="s">
        <v>97</v>
      </c>
      <c r="B24" s="16">
        <v>20</v>
      </c>
      <c r="C24" s="528"/>
      <c r="D24" s="529"/>
      <c r="E24" s="16"/>
      <c r="F24" s="16"/>
      <c r="G24" s="16"/>
      <c r="H24" s="562">
        <v>365.02080000000001</v>
      </c>
      <c r="I24" s="534"/>
      <c r="J24" s="535"/>
    </row>
    <row r="25" spans="1:13" x14ac:dyDescent="0.2">
      <c r="A25" s="560" t="s">
        <v>98</v>
      </c>
      <c r="B25" s="16">
        <v>21</v>
      </c>
      <c r="C25" s="528"/>
      <c r="D25" s="529"/>
      <c r="E25" s="16"/>
      <c r="F25" s="16"/>
      <c r="G25" s="16"/>
      <c r="H25" s="562" t="str">
        <v>0</v>
      </c>
      <c r="I25" s="534"/>
      <c r="J25" s="535"/>
    </row>
    <row r="26" spans="1:13" x14ac:dyDescent="0.2">
      <c r="A26" s="560" t="s">
        <v>99</v>
      </c>
      <c r="B26" s="16">
        <v>22</v>
      </c>
      <c r="C26" s="528"/>
      <c r="D26" s="529"/>
      <c r="E26" s="16"/>
      <c r="F26" s="16"/>
      <c r="G26" s="16"/>
      <c r="H26" s="562" t="str">
        <v>0</v>
      </c>
      <c r="I26" s="534"/>
      <c r="J26" s="535"/>
      <c r="M26" s="32" t="s">
        <v>61</v>
      </c>
    </row>
    <row r="27" spans="1:13" x14ac:dyDescent="0.2">
      <c r="A27" s="560" t="s">
        <v>100</v>
      </c>
      <c r="B27" s="16">
        <v>23</v>
      </c>
      <c r="C27" s="528"/>
      <c r="D27" s="529"/>
      <c r="E27" s="531"/>
      <c r="F27" s="16"/>
      <c r="G27" s="16"/>
      <c r="H27" s="562">
        <v>475.86</v>
      </c>
      <c r="I27" s="534"/>
      <c r="J27" s="535"/>
    </row>
    <row r="28" spans="1:13" x14ac:dyDescent="0.2">
      <c r="A28" s="560" t="s">
        <v>101</v>
      </c>
      <c r="B28" s="16">
        <v>24</v>
      </c>
      <c r="C28" s="528"/>
      <c r="D28" s="529"/>
      <c r="E28" s="531"/>
      <c r="F28" s="16"/>
      <c r="G28" s="16"/>
      <c r="H28" s="562">
        <v>367.75200000000001</v>
      </c>
      <c r="I28" s="534"/>
      <c r="J28" s="535"/>
    </row>
    <row r="29" spans="1:13" x14ac:dyDescent="0.2">
      <c r="A29" s="560" t="s">
        <v>102</v>
      </c>
      <c r="B29" s="16">
        <v>25</v>
      </c>
      <c r="C29" s="528"/>
      <c r="D29" s="529"/>
      <c r="E29" s="16"/>
      <c r="F29" s="16"/>
      <c r="G29" s="16"/>
      <c r="H29" s="562">
        <v>663.30000000000007</v>
      </c>
      <c r="I29" s="534"/>
      <c r="J29" s="535"/>
    </row>
    <row r="30" spans="1:13" x14ac:dyDescent="0.2">
      <c r="A30" s="560" t="s">
        <v>96</v>
      </c>
      <c r="B30" s="16">
        <v>26</v>
      </c>
      <c r="C30" s="528"/>
      <c r="D30" s="529"/>
      <c r="E30" s="16"/>
      <c r="F30" s="16"/>
      <c r="G30" s="16"/>
      <c r="H30" s="562">
        <v>526.28399999999999</v>
      </c>
      <c r="I30" s="534"/>
      <c r="J30" s="535"/>
    </row>
    <row r="31" spans="1:13" x14ac:dyDescent="0.2">
      <c r="A31" s="560" t="s">
        <v>97</v>
      </c>
      <c r="B31" s="16">
        <v>27</v>
      </c>
      <c r="C31" s="528"/>
      <c r="D31" s="529"/>
      <c r="E31" s="16"/>
      <c r="F31" s="16"/>
      <c r="G31" s="16"/>
      <c r="H31" s="562">
        <v>402.20400000000001</v>
      </c>
      <c r="I31" s="534"/>
      <c r="J31" s="535"/>
    </row>
    <row r="32" spans="1:13" x14ac:dyDescent="0.2">
      <c r="A32" s="560" t="s">
        <v>98</v>
      </c>
      <c r="B32" s="16">
        <v>28</v>
      </c>
      <c r="C32" s="528"/>
      <c r="D32" s="529"/>
      <c r="E32" s="16"/>
      <c r="F32" s="16"/>
      <c r="G32" s="16"/>
      <c r="H32" s="562" t="str">
        <v>0</v>
      </c>
      <c r="I32" s="534"/>
      <c r="J32" s="535"/>
    </row>
    <row r="33" spans="1:10" x14ac:dyDescent="0.2">
      <c r="A33" s="560" t="s">
        <v>99</v>
      </c>
      <c r="B33" s="16">
        <v>29</v>
      </c>
      <c r="C33" s="528"/>
      <c r="D33" s="529"/>
      <c r="E33" s="16"/>
      <c r="F33" s="531"/>
      <c r="G33" s="16"/>
      <c r="H33" s="562">
        <v>29.040000000000003</v>
      </c>
      <c r="I33" s="534"/>
      <c r="J33" s="535"/>
    </row>
    <row r="34" spans="1:10" x14ac:dyDescent="0.2">
      <c r="A34" s="560" t="s">
        <v>100</v>
      </c>
      <c r="B34" s="16">
        <v>30</v>
      </c>
      <c r="C34" s="528"/>
      <c r="D34" s="529"/>
      <c r="E34" s="16"/>
      <c r="F34" s="16"/>
      <c r="G34" s="16"/>
      <c r="H34" s="562">
        <v>272.84399999999999</v>
      </c>
      <c r="I34" s="534"/>
      <c r="J34" s="535"/>
    </row>
    <row r="35" spans="1:10" x14ac:dyDescent="0.2">
      <c r="A35" s="560"/>
      <c r="B35" s="16"/>
      <c r="C35" s="528"/>
      <c r="D35" s="529"/>
      <c r="E35" s="16"/>
      <c r="F35" s="16"/>
      <c r="G35" s="16"/>
      <c r="H35" s="562" t="str">
        <v>0</v>
      </c>
      <c r="I35" s="534"/>
      <c r="J35" s="535"/>
    </row>
    <row r="36" spans="1:10" ht="18.75" thickBot="1" x14ac:dyDescent="0.3">
      <c r="A36" s="610"/>
      <c r="B36" s="611"/>
      <c r="C36" s="612"/>
      <c r="D36" s="613"/>
      <c r="E36" s="611"/>
      <c r="F36" s="611"/>
      <c r="G36" s="563" t="s">
        <v>260</v>
      </c>
      <c r="H36" s="564">
        <f>SUM(H5:H35)</f>
        <v>8404.5408000000007</v>
      </c>
      <c r="I36" s="534"/>
      <c r="J36" s="535"/>
    </row>
    <row r="37" spans="1:10" x14ac:dyDescent="0.2">
      <c r="B37" s="551"/>
      <c r="C37" s="37"/>
      <c r="D37" s="552"/>
      <c r="E37" s="551"/>
      <c r="F37" s="551"/>
      <c r="G37" s="551"/>
      <c r="H37" s="47"/>
      <c r="I37" s="534"/>
      <c r="J37" s="535"/>
    </row>
    <row r="38" spans="1:10" x14ac:dyDescent="0.2">
      <c r="B38" s="16"/>
      <c r="C38" s="38"/>
      <c r="D38" s="529"/>
      <c r="E38" s="16"/>
      <c r="F38" s="16"/>
      <c r="G38" s="16"/>
      <c r="H38" s="249"/>
      <c r="I38" s="534"/>
      <c r="J38" s="535"/>
    </row>
    <row r="39" spans="1:10" x14ac:dyDescent="0.2">
      <c r="C39" s="33">
        <f>SUM(C5:C36)</f>
        <v>0</v>
      </c>
      <c r="D39" s="10"/>
      <c r="E39" s="10"/>
      <c r="F39" s="10"/>
      <c r="G39" s="10"/>
      <c r="H39" s="546"/>
      <c r="I39" s="534"/>
      <c r="J39" s="535"/>
    </row>
    <row r="40" spans="1:10" x14ac:dyDescent="0.2">
      <c r="C40" s="33"/>
      <c r="D40" s="10"/>
      <c r="E40" s="10"/>
      <c r="F40" s="10"/>
      <c r="G40" s="10"/>
      <c r="I40" s="534"/>
      <c r="J40" s="535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CZ40"/>
  <sheetViews>
    <sheetView topLeftCell="A11" workbookViewId="0">
      <selection activeCell="A37" sqref="A37"/>
    </sheetView>
  </sheetViews>
  <sheetFormatPr defaultRowHeight="12.75" x14ac:dyDescent="0.2"/>
  <cols>
    <col min="2" max="2" width="13.42578125" customWidth="1"/>
    <col min="3" max="3" width="19.85546875" style="27" customWidth="1"/>
    <col min="4" max="4" width="19.42578125" customWidth="1"/>
    <col min="5" max="5" width="13.140625" customWidth="1"/>
    <col min="6" max="6" width="17.42578125" style="618" customWidth="1"/>
    <col min="7" max="7" width="15.5703125" style="603" customWidth="1"/>
    <col min="8" max="8" width="9.140625" style="27"/>
    <col min="10" max="10" width="9.140625" style="593"/>
    <col min="11" max="13" width="9.140625" style="261"/>
    <col min="14" max="14" width="10.5703125" style="261" customWidth="1"/>
    <col min="15" max="15" width="11" customWidth="1"/>
    <col min="17" max="17" width="13.5703125" style="84" customWidth="1"/>
  </cols>
  <sheetData>
    <row r="1" spans="1:104" ht="15" x14ac:dyDescent="0.2">
      <c r="A1" s="8"/>
      <c r="B1" s="8"/>
      <c r="C1" s="11"/>
      <c r="D1" s="8"/>
    </row>
    <row r="2" spans="1:104" ht="15" x14ac:dyDescent="0.2">
      <c r="A2" s="8"/>
      <c r="B2" s="8"/>
      <c r="C2" s="11"/>
      <c r="D2" s="8"/>
    </row>
    <row r="3" spans="1:104" ht="15.75" x14ac:dyDescent="0.25">
      <c r="A3" s="596" t="s">
        <v>284</v>
      </c>
      <c r="B3" s="1"/>
      <c r="C3" s="88"/>
      <c r="D3" s="1"/>
    </row>
    <row r="4" spans="1:104" ht="15.75" thickBot="1" x14ac:dyDescent="0.25">
      <c r="A4" s="8"/>
      <c r="B4" s="8"/>
      <c r="C4" s="11"/>
      <c r="D4" s="8"/>
      <c r="E4" s="337" t="s">
        <v>269</v>
      </c>
      <c r="F4" s="619"/>
      <c r="G4" s="604" t="s">
        <v>61</v>
      </c>
    </row>
    <row r="5" spans="1:104" x14ac:dyDescent="0.2">
      <c r="A5" s="842" t="s">
        <v>7</v>
      </c>
      <c r="B5" s="889" t="s">
        <v>271</v>
      </c>
      <c r="C5" s="893" t="s">
        <v>270</v>
      </c>
      <c r="D5" s="891" t="s">
        <v>262</v>
      </c>
      <c r="E5" s="887" t="s">
        <v>268</v>
      </c>
      <c r="F5" s="885" t="s">
        <v>272</v>
      </c>
      <c r="H5" s="261"/>
      <c r="I5" s="27"/>
      <c r="K5"/>
      <c r="L5" s="261" t="s">
        <v>196</v>
      </c>
      <c r="M5" s="261" t="s">
        <v>197</v>
      </c>
      <c r="N5" s="261" t="s">
        <v>198</v>
      </c>
      <c r="O5" s="261" t="s">
        <v>193</v>
      </c>
      <c r="S5">
        <v>4</v>
      </c>
      <c r="T5" t="s">
        <v>159</v>
      </c>
      <c r="U5" t="s">
        <v>158</v>
      </c>
      <c r="V5">
        <v>5</v>
      </c>
      <c r="W5" t="s">
        <v>159</v>
      </c>
      <c r="X5" t="s">
        <v>160</v>
      </c>
      <c r="Y5">
        <v>6</v>
      </c>
      <c r="Z5" t="s">
        <v>159</v>
      </c>
      <c r="AA5" t="s">
        <v>158</v>
      </c>
      <c r="AB5">
        <v>7</v>
      </c>
      <c r="AC5" t="s">
        <v>159</v>
      </c>
      <c r="AD5" t="s">
        <v>160</v>
      </c>
      <c r="AE5">
        <v>8</v>
      </c>
      <c r="AF5" t="s">
        <v>159</v>
      </c>
      <c r="AG5" t="s">
        <v>158</v>
      </c>
      <c r="AH5">
        <v>9</v>
      </c>
      <c r="AI5" t="s">
        <v>159</v>
      </c>
      <c r="AJ5" t="s">
        <v>160</v>
      </c>
      <c r="AK5">
        <v>10</v>
      </c>
      <c r="AL5" t="s">
        <v>159</v>
      </c>
      <c r="AM5" t="s">
        <v>158</v>
      </c>
      <c r="AN5">
        <v>11</v>
      </c>
      <c r="AO5" t="s">
        <v>159</v>
      </c>
      <c r="AP5" t="s">
        <v>160</v>
      </c>
      <c r="AQ5">
        <v>12</v>
      </c>
      <c r="AR5" t="s">
        <v>159</v>
      </c>
      <c r="AS5" t="s">
        <v>158</v>
      </c>
      <c r="AT5">
        <v>13</v>
      </c>
      <c r="AU5" t="s">
        <v>159</v>
      </c>
      <c r="AV5" t="s">
        <v>160</v>
      </c>
      <c r="AW5">
        <v>14</v>
      </c>
      <c r="AX5" t="s">
        <v>159</v>
      </c>
      <c r="AY5" t="s">
        <v>158</v>
      </c>
      <c r="AZ5">
        <v>15</v>
      </c>
      <c r="BA5" t="s">
        <v>159</v>
      </c>
      <c r="BB5" t="s">
        <v>160</v>
      </c>
      <c r="BC5">
        <v>16</v>
      </c>
      <c r="BD5" t="s">
        <v>159</v>
      </c>
      <c r="BE5" t="s">
        <v>158</v>
      </c>
      <c r="BF5">
        <v>17</v>
      </c>
      <c r="BG5" t="s">
        <v>159</v>
      </c>
      <c r="BH5" t="s">
        <v>160</v>
      </c>
      <c r="BI5">
        <v>18</v>
      </c>
      <c r="BJ5" t="s">
        <v>159</v>
      </c>
      <c r="BK5" t="s">
        <v>158</v>
      </c>
      <c r="BL5">
        <v>19</v>
      </c>
      <c r="BM5" t="s">
        <v>159</v>
      </c>
      <c r="BN5" t="s">
        <v>160</v>
      </c>
      <c r="BO5">
        <v>20</v>
      </c>
      <c r="BP5" t="s">
        <v>159</v>
      </c>
      <c r="BQ5" t="s">
        <v>158</v>
      </c>
      <c r="BR5">
        <v>21</v>
      </c>
      <c r="BS5" t="s">
        <v>159</v>
      </c>
      <c r="BT5" t="s">
        <v>160</v>
      </c>
      <c r="BU5">
        <v>22</v>
      </c>
      <c r="BV5" t="s">
        <v>159</v>
      </c>
      <c r="BW5" t="s">
        <v>158</v>
      </c>
      <c r="BX5">
        <v>23</v>
      </c>
      <c r="BY5" t="s">
        <v>159</v>
      </c>
      <c r="BZ5" t="s">
        <v>160</v>
      </c>
      <c r="CA5">
        <v>24</v>
      </c>
      <c r="CB5" t="s">
        <v>159</v>
      </c>
      <c r="CC5" t="s">
        <v>158</v>
      </c>
      <c r="CD5">
        <v>25</v>
      </c>
      <c r="CE5" t="s">
        <v>159</v>
      </c>
      <c r="CF5" t="s">
        <v>160</v>
      </c>
      <c r="CG5">
        <v>26</v>
      </c>
      <c r="CH5" t="s">
        <v>159</v>
      </c>
      <c r="CI5" t="s">
        <v>158</v>
      </c>
      <c r="CJ5">
        <v>27</v>
      </c>
      <c r="CK5" t="s">
        <v>159</v>
      </c>
      <c r="CL5" t="s">
        <v>160</v>
      </c>
      <c r="CM5">
        <v>28</v>
      </c>
      <c r="CN5" t="s">
        <v>159</v>
      </c>
      <c r="CO5" t="s">
        <v>158</v>
      </c>
      <c r="CP5">
        <v>29</v>
      </c>
      <c r="CQ5" t="s">
        <v>159</v>
      </c>
      <c r="CR5" t="s">
        <v>160</v>
      </c>
      <c r="CS5">
        <v>30</v>
      </c>
      <c r="CT5" t="s">
        <v>159</v>
      </c>
      <c r="CU5" t="s">
        <v>158</v>
      </c>
      <c r="CV5">
        <v>31</v>
      </c>
      <c r="CW5" t="s">
        <v>159</v>
      </c>
      <c r="CX5" t="s">
        <v>160</v>
      </c>
      <c r="CY5">
        <v>2</v>
      </c>
      <c r="CZ5" t="s">
        <v>159</v>
      </c>
    </row>
    <row r="6" spans="1:104" ht="15" customHeight="1" thickBot="1" x14ac:dyDescent="0.25">
      <c r="A6" s="843"/>
      <c r="B6" s="890"/>
      <c r="C6" s="894"/>
      <c r="D6" s="892"/>
      <c r="E6" s="888"/>
      <c r="F6" s="886"/>
      <c r="H6" s="261" t="s">
        <v>164</v>
      </c>
      <c r="I6" s="27"/>
      <c r="K6"/>
      <c r="O6" s="261"/>
      <c r="U6">
        <v>630</v>
      </c>
      <c r="AA6">
        <v>630</v>
      </c>
      <c r="AG6">
        <v>630</v>
      </c>
      <c r="AM6">
        <v>630</v>
      </c>
      <c r="AS6">
        <v>630</v>
      </c>
      <c r="AY6">
        <v>630</v>
      </c>
      <c r="BE6">
        <v>630</v>
      </c>
      <c r="BK6">
        <v>630</v>
      </c>
      <c r="BQ6">
        <v>630</v>
      </c>
      <c r="BW6">
        <v>630</v>
      </c>
      <c r="CC6">
        <v>630</v>
      </c>
      <c r="CI6">
        <v>630</v>
      </c>
      <c r="CO6">
        <v>630</v>
      </c>
      <c r="CU6">
        <v>630</v>
      </c>
    </row>
    <row r="7" spans="1:104" ht="15" x14ac:dyDescent="0.2">
      <c r="A7" s="36">
        <v>1</v>
      </c>
      <c r="B7" s="44" t="str">
        <f>IF('Entries June''25'!N8-'Entries June''25'!N7&lt;1,"0",'Entries June''25'!N8-'Entries June''25'!N7)</f>
        <v>0</v>
      </c>
      <c r="C7" s="598" cm="1">
        <f t="array" ref="C7:C37">TRANSPOSE('Daily KPIs'!B74:AF74)</f>
        <v>0</v>
      </c>
      <c r="D7" s="588" cm="1">
        <f t="array" ref="D7:D37">TRANSPOSE('Daily KPIs'!B9:AF9)</f>
        <v>0</v>
      </c>
      <c r="E7" s="585" t="str">
        <f t="shared" ref="E7:E36" si="0">IF(D7=0,"0",(B7/D7))</f>
        <v>0</v>
      </c>
      <c r="F7" s="620" t="str">
        <f>IF(D7=0,"0",(C7/D7))</f>
        <v>0</v>
      </c>
      <c r="H7" s="262">
        <f>'Entries June''25'!L8-'Entries June''25'!L7</f>
        <v>0</v>
      </c>
      <c r="I7" s="260" t="str">
        <f>+$B7</f>
        <v>0</v>
      </c>
      <c r="K7" s="597"/>
      <c r="L7" s="261">
        <f>IF((('Entries June''25'!AK7-'Entries June''25'!AK8)/10)*5455&lt;0,"0",(('Entries June''25'!AK7-'Entries June''25'!AK8)/10)*5455)</f>
        <v>0</v>
      </c>
      <c r="M7" s="261">
        <f>IF((('Entries June''25'!AL7-'Entries June''25'!AL8)/10)*5455&lt;0,"0",(('Entries June''25'!AL7-'Entries June''25'!AL8)/10)*5455)</f>
        <v>0</v>
      </c>
      <c r="N7" s="261">
        <f>IF(('Entries June''25'!AM7-'Entries June''25'!AM8)/2.2&lt;0,"0",('Entries June''25'!AM7-'Entries June''25'!AM8)/2.2)</f>
        <v>0</v>
      </c>
      <c r="O7" s="262">
        <f>IF(('Entries June''25'!AN7-'Entries June''25'!AN8)&lt;0,"0",('Entries June''25'!AN7-'Entries June''25'!AN8))</f>
        <v>0</v>
      </c>
      <c r="P7" s="27"/>
      <c r="T7">
        <f>S7-S6</f>
        <v>0</v>
      </c>
      <c r="U7">
        <v>730</v>
      </c>
      <c r="W7">
        <f t="shared" ref="W7:W30" si="1">V7-V6</f>
        <v>0</v>
      </c>
      <c r="Z7">
        <f>Y7-Y6</f>
        <v>0</v>
      </c>
      <c r="AA7">
        <v>730</v>
      </c>
      <c r="AC7">
        <f t="shared" ref="AC7:AC30" si="2">AB7-AB6</f>
        <v>0</v>
      </c>
      <c r="AF7">
        <f>AE7-AE6</f>
        <v>0</v>
      </c>
      <c r="AG7">
        <v>730</v>
      </c>
      <c r="AI7">
        <f t="shared" ref="AI7:AI30" si="3">AH7-AH6</f>
        <v>0</v>
      </c>
      <c r="AL7">
        <f>AK7-AK6</f>
        <v>0</v>
      </c>
      <c r="AM7">
        <v>730</v>
      </c>
      <c r="AO7">
        <f t="shared" ref="AO7:AO30" si="4">AN7-AN6</f>
        <v>0</v>
      </c>
      <c r="AR7">
        <f>AQ7-AQ6</f>
        <v>0</v>
      </c>
      <c r="AS7">
        <v>730</v>
      </c>
      <c r="AU7">
        <f t="shared" ref="AU7:AU30" si="5">AT7-AT6</f>
        <v>0</v>
      </c>
      <c r="AX7">
        <f>AW7-AW6</f>
        <v>0</v>
      </c>
      <c r="AY7">
        <v>730</v>
      </c>
      <c r="BA7">
        <f t="shared" ref="BA7:BA30" si="6">AZ7-AZ6</f>
        <v>0</v>
      </c>
      <c r="BD7">
        <f>BC7-BC6</f>
        <v>0</v>
      </c>
      <c r="BE7">
        <v>730</v>
      </c>
      <c r="BG7">
        <f t="shared" ref="BG7:BG30" si="7">BF7-BF6</f>
        <v>0</v>
      </c>
      <c r="BJ7">
        <f>BI7-BI6</f>
        <v>0</v>
      </c>
      <c r="BK7">
        <v>730</v>
      </c>
      <c r="BM7">
        <f t="shared" ref="BM7:BM30" si="8">BL7-BL6</f>
        <v>0</v>
      </c>
      <c r="BP7">
        <f>BO7-BO6</f>
        <v>0</v>
      </c>
      <c r="BQ7">
        <v>730</v>
      </c>
      <c r="BS7">
        <f t="shared" ref="BS7:BS30" si="9">BR7-BR6</f>
        <v>0</v>
      </c>
      <c r="BV7">
        <f>BU7-BU6</f>
        <v>0</v>
      </c>
      <c r="BW7">
        <v>730</v>
      </c>
      <c r="BY7">
        <f t="shared" ref="BY7:BY30" si="10">BX7-BX6</f>
        <v>0</v>
      </c>
      <c r="CB7">
        <f>CA7-CA6</f>
        <v>0</v>
      </c>
      <c r="CC7">
        <v>730</v>
      </c>
      <c r="CE7">
        <f t="shared" ref="CE7:CE30" si="11">CD7-CD6</f>
        <v>0</v>
      </c>
      <c r="CH7">
        <f>CG7-CG6</f>
        <v>0</v>
      </c>
      <c r="CI7">
        <v>730</v>
      </c>
      <c r="CK7">
        <f t="shared" ref="CK7:CK30" si="12">CJ7-CJ6</f>
        <v>0</v>
      </c>
      <c r="CN7">
        <f>CM7-CM6</f>
        <v>0</v>
      </c>
      <c r="CO7">
        <v>730</v>
      </c>
      <c r="CQ7">
        <f t="shared" ref="CQ7:CQ30" si="13">CP7-CP6</f>
        <v>0</v>
      </c>
      <c r="CT7">
        <f>CS7-CS6</f>
        <v>0</v>
      </c>
      <c r="CU7">
        <v>730</v>
      </c>
      <c r="CW7">
        <f t="shared" ref="CW7:CW30" si="14">CV7-CV6</f>
        <v>0</v>
      </c>
      <c r="CZ7">
        <f>CY7-CY6</f>
        <v>0</v>
      </c>
    </row>
    <row r="8" spans="1:104" ht="15" x14ac:dyDescent="0.2">
      <c r="A8" s="36">
        <v>2</v>
      </c>
      <c r="B8" s="44">
        <f>IF('Entries June''25'!N9-'Entries June''25'!N8&lt;1,"0",'Entries June''25'!N9-'Entries June''25'!N8)</f>
        <v>60.590000000000146</v>
      </c>
      <c r="C8" s="598">
        <v>2700</v>
      </c>
      <c r="D8" s="589">
        <v>455.60520000000002</v>
      </c>
      <c r="E8" s="585">
        <f t="shared" si="0"/>
        <v>0.13298794658182159</v>
      </c>
      <c r="F8" s="620">
        <f t="shared" ref="F8:F36" si="15">IF(D8=0,"0",(C8/D8))</f>
        <v>5.9261834588367295</v>
      </c>
      <c r="H8" s="262">
        <f>'Entries June''25'!L9-'Entries June''25'!L8</f>
        <v>0</v>
      </c>
      <c r="I8" s="260">
        <f t="shared" ref="I8:I34" si="16">+$B8</f>
        <v>60.590000000000146</v>
      </c>
      <c r="K8" s="597"/>
      <c r="L8" s="261">
        <f>IF((('Entries June''25'!AK8-'Entries June''25'!AK9)/10)*5455&lt;0,"0",(('Entries June''25'!AK8-'Entries June''25'!AK9)/10)*5455)</f>
        <v>0</v>
      </c>
      <c r="M8" s="261">
        <f>IF((('Entries June''25'!AL8-'Entries June''25'!AL9)/10)*5455&lt;0,"0",(('Entries June''25'!AL8-'Entries June''25'!AL9)/10)*5455)</f>
        <v>0</v>
      </c>
      <c r="N8" s="261">
        <f>IF(('Entries June''25'!AM8-'Entries June''25'!AM9)/2.2&lt;0,"0",('Entries June''25'!AM8-'Entries June''25'!AM9)/2.2)</f>
        <v>0</v>
      </c>
      <c r="O8" s="262">
        <f>IF(('Entries June''25'!AN8-'Entries June''25'!AN9)&lt;0,"0",('Entries June''25'!AN8-'Entries June''25'!AN9))</f>
        <v>0</v>
      </c>
      <c r="T8">
        <f>S8-S7</f>
        <v>0</v>
      </c>
      <c r="W8">
        <f t="shared" si="1"/>
        <v>0</v>
      </c>
      <c r="Z8">
        <f>Y8-Y7</f>
        <v>0</v>
      </c>
      <c r="AC8">
        <f t="shared" si="2"/>
        <v>0</v>
      </c>
      <c r="AF8">
        <f>AE8-AE7</f>
        <v>0</v>
      </c>
      <c r="AI8">
        <f t="shared" si="3"/>
        <v>0</v>
      </c>
      <c r="AL8">
        <f>AK8-AK7</f>
        <v>0</v>
      </c>
      <c r="AO8">
        <f t="shared" si="4"/>
        <v>0</v>
      </c>
      <c r="AR8">
        <f>AQ8-AQ7</f>
        <v>0</v>
      </c>
      <c r="AU8">
        <f t="shared" si="5"/>
        <v>0</v>
      </c>
      <c r="AX8">
        <f>AW8-AW7</f>
        <v>0</v>
      </c>
      <c r="BA8">
        <f t="shared" si="6"/>
        <v>0</v>
      </c>
      <c r="BD8">
        <f>BC8-BC7</f>
        <v>0</v>
      </c>
      <c r="BG8">
        <f t="shared" si="7"/>
        <v>0</v>
      </c>
      <c r="BJ8">
        <f>BI8-BI7</f>
        <v>0</v>
      </c>
      <c r="BM8">
        <f t="shared" si="8"/>
        <v>0</v>
      </c>
      <c r="BP8">
        <f>BO8-BO7</f>
        <v>0</v>
      </c>
      <c r="BS8">
        <f t="shared" si="9"/>
        <v>0</v>
      </c>
      <c r="BV8">
        <f>BU8-BU7</f>
        <v>0</v>
      </c>
      <c r="BY8">
        <f t="shared" si="10"/>
        <v>0</v>
      </c>
      <c r="CB8">
        <f>CA8-CA7</f>
        <v>0</v>
      </c>
      <c r="CE8">
        <f t="shared" si="11"/>
        <v>0</v>
      </c>
      <c r="CH8">
        <f>CG8-CG7</f>
        <v>0</v>
      </c>
      <c r="CK8">
        <f t="shared" si="12"/>
        <v>0</v>
      </c>
      <c r="CN8">
        <f>CM8-CM7</f>
        <v>0</v>
      </c>
      <c r="CQ8">
        <f t="shared" si="13"/>
        <v>0</v>
      </c>
      <c r="CT8">
        <f>CS8-CS7</f>
        <v>0</v>
      </c>
      <c r="CW8">
        <f t="shared" si="14"/>
        <v>0</v>
      </c>
      <c r="CZ8">
        <f>CY8-CY7</f>
        <v>0</v>
      </c>
    </row>
    <row r="9" spans="1:104" ht="15" x14ac:dyDescent="0.2">
      <c r="A9" s="36">
        <v>3</v>
      </c>
      <c r="B9" s="44">
        <f>IF('Entries June''25'!N10-'Entries June''25'!N9&lt;1,"0",'Entries June''25'!N10-'Entries June''25'!N9)</f>
        <v>52.799999999999727</v>
      </c>
      <c r="C9" s="598">
        <v>3100</v>
      </c>
      <c r="D9" s="589">
        <v>644.75400000000002</v>
      </c>
      <c r="E9" s="585">
        <f t="shared" si="0"/>
        <v>8.1891698229091606E-2</v>
      </c>
      <c r="F9" s="620">
        <f t="shared" si="15"/>
        <v>4.808035312692903</v>
      </c>
      <c r="H9" s="262">
        <f>'Entries June''25'!L10-'Entries June''25'!L9</f>
        <v>0</v>
      </c>
      <c r="I9" s="260">
        <f t="shared" si="16"/>
        <v>52.799999999999727</v>
      </c>
      <c r="K9" s="597"/>
      <c r="L9" s="261">
        <f>IF((('Entries June''25'!AK9-'Entries June''25'!AK10)/10)*5455&lt;0,"0",(('Entries June''25'!AK9-'Entries June''25'!AK10)/10)*5455)</f>
        <v>0</v>
      </c>
      <c r="M9" s="261">
        <f>IF((('Entries June''25'!AL9-'Entries June''25'!AL10)/10)*5455&lt;0,"0",(('Entries June''25'!AL9-'Entries June''25'!AL10)/10)*5455)</f>
        <v>0</v>
      </c>
      <c r="N9" s="261">
        <f>IF(('Entries June''25'!AM9-'Entries June''25'!AM10)/2.2&lt;0,"0",('Entries June''25'!AM9-'Entries June''25'!AM10)/2.2)</f>
        <v>0</v>
      </c>
      <c r="O9" s="262">
        <f>IF(('Entries June''25'!AN9-'Entries June''25'!AN10)&lt;0,"0",('Entries June''25'!AN9-'Entries June''25'!AN10))</f>
        <v>0</v>
      </c>
      <c r="T9">
        <f t="shared" ref="T9:T30" si="17">S9-S8</f>
        <v>0</v>
      </c>
      <c r="W9">
        <f t="shared" si="1"/>
        <v>0</v>
      </c>
      <c r="Z9">
        <f t="shared" ref="Z9:Z30" si="18">Y9-Y8</f>
        <v>0</v>
      </c>
      <c r="AC9">
        <f t="shared" si="2"/>
        <v>0</v>
      </c>
      <c r="AF9">
        <f t="shared" ref="AF9:AF30" si="19">AE9-AE8</f>
        <v>0</v>
      </c>
      <c r="AI9">
        <f t="shared" si="3"/>
        <v>0</v>
      </c>
      <c r="AL9">
        <f t="shared" ref="AL9:AL30" si="20">AK9-AK8</f>
        <v>0</v>
      </c>
      <c r="AO9">
        <f t="shared" si="4"/>
        <v>0</v>
      </c>
      <c r="AR9">
        <f t="shared" ref="AR9:AR30" si="21">AQ9-AQ8</f>
        <v>0</v>
      </c>
      <c r="AU9">
        <f t="shared" si="5"/>
        <v>0</v>
      </c>
      <c r="AX9">
        <f t="shared" ref="AX9:AX30" si="22">AW9-AW8</f>
        <v>0</v>
      </c>
      <c r="BA9">
        <f t="shared" si="6"/>
        <v>0</v>
      </c>
      <c r="BD9">
        <f t="shared" ref="BD9:BD30" si="23">BC9-BC8</f>
        <v>0</v>
      </c>
      <c r="BG9">
        <f t="shared" si="7"/>
        <v>0</v>
      </c>
      <c r="BJ9">
        <f t="shared" ref="BJ9:BJ30" si="24">BI9-BI8</f>
        <v>0</v>
      </c>
      <c r="BM9">
        <f t="shared" si="8"/>
        <v>0</v>
      </c>
      <c r="BP9">
        <f t="shared" ref="BP9:BP30" si="25">BO9-BO8</f>
        <v>0</v>
      </c>
      <c r="BS9">
        <f t="shared" si="9"/>
        <v>0</v>
      </c>
      <c r="BV9">
        <f t="shared" ref="BV9:BV30" si="26">BU9-BU8</f>
        <v>0</v>
      </c>
      <c r="BY9">
        <f t="shared" si="10"/>
        <v>0</v>
      </c>
      <c r="CB9">
        <f t="shared" ref="CB9:CB30" si="27">CA9-CA8</f>
        <v>0</v>
      </c>
      <c r="CE9">
        <f t="shared" si="11"/>
        <v>0</v>
      </c>
      <c r="CH9">
        <f t="shared" ref="CH9:CH30" si="28">CG9-CG8</f>
        <v>0</v>
      </c>
      <c r="CK9">
        <f t="shared" si="12"/>
        <v>0</v>
      </c>
      <c r="CN9">
        <f t="shared" ref="CN9:CN30" si="29">CM9-CM8</f>
        <v>0</v>
      </c>
      <c r="CQ9">
        <f t="shared" si="13"/>
        <v>0</v>
      </c>
      <c r="CT9">
        <f t="shared" ref="CT9:CT30" si="30">CS9-CS8</f>
        <v>0</v>
      </c>
      <c r="CW9">
        <f t="shared" si="14"/>
        <v>0</v>
      </c>
      <c r="CZ9">
        <f t="shared" ref="CZ9:CZ30" si="31">CY9-CY8</f>
        <v>0</v>
      </c>
    </row>
    <row r="10" spans="1:104" ht="15" x14ac:dyDescent="0.2">
      <c r="A10" s="36">
        <v>4</v>
      </c>
      <c r="B10" s="44">
        <f>IF('Entries June''25'!N11-'Entries June''25'!N10&lt;1,"0",'Entries June''25'!N11-'Entries June''25'!N10)</f>
        <v>49.700000000000273</v>
      </c>
      <c r="C10" s="598">
        <v>2500</v>
      </c>
      <c r="D10" s="589">
        <v>398.44200000000001</v>
      </c>
      <c r="E10" s="585">
        <f t="shared" si="0"/>
        <v>0.12473584612064058</v>
      </c>
      <c r="F10" s="620">
        <f t="shared" si="15"/>
        <v>6.2744389396700146</v>
      </c>
      <c r="H10" s="262">
        <f>'Entries June''25'!L11-'Entries June''25'!L10</f>
        <v>0</v>
      </c>
      <c r="I10" s="260">
        <f t="shared" si="16"/>
        <v>49.700000000000273</v>
      </c>
      <c r="K10" s="597"/>
      <c r="L10" s="261">
        <f>IF((('Entries June''25'!AK10-'Entries June''25'!AK11)/10)*5455&lt;0,"0",(('Entries June''25'!AK10-'Entries June''25'!AK11)/10)*5455)</f>
        <v>0</v>
      </c>
      <c r="M10" s="261">
        <f>IF((('Entries June''25'!AL10-'Entries June''25'!AL11)/10)*5455&lt;0,"0",(('Entries June''25'!AL10-'Entries June''25'!AL11)/10)*5455)</f>
        <v>0</v>
      </c>
      <c r="N10" s="261">
        <f>IF(('Entries June''25'!AM10-'Entries June''25'!AM11)/2.2&lt;0,"0",('Entries June''25'!AM10-'Entries June''25'!AM11)/2.2)</f>
        <v>0</v>
      </c>
      <c r="O10" s="262">
        <f>IF(('Entries June''25'!AN10-'Entries June''25'!AN11)&lt;0,"0",('Entries June''25'!AN10-'Entries June''25'!AN11))</f>
        <v>0</v>
      </c>
      <c r="T10">
        <f t="shared" si="17"/>
        <v>0</v>
      </c>
      <c r="W10">
        <f t="shared" si="1"/>
        <v>0</v>
      </c>
      <c r="Z10">
        <f t="shared" si="18"/>
        <v>0</v>
      </c>
      <c r="AC10">
        <f t="shared" si="2"/>
        <v>0</v>
      </c>
      <c r="AF10">
        <f t="shared" si="19"/>
        <v>0</v>
      </c>
      <c r="AI10">
        <f t="shared" si="3"/>
        <v>0</v>
      </c>
      <c r="AL10">
        <f t="shared" si="20"/>
        <v>0</v>
      </c>
      <c r="AO10">
        <f t="shared" si="4"/>
        <v>0</v>
      </c>
      <c r="AR10">
        <f t="shared" si="21"/>
        <v>0</v>
      </c>
      <c r="AU10">
        <f t="shared" si="5"/>
        <v>0</v>
      </c>
      <c r="AX10">
        <f t="shared" si="22"/>
        <v>0</v>
      </c>
      <c r="BA10">
        <f t="shared" si="6"/>
        <v>0</v>
      </c>
      <c r="BD10">
        <f t="shared" si="23"/>
        <v>0</v>
      </c>
      <c r="BG10">
        <f t="shared" si="7"/>
        <v>0</v>
      </c>
      <c r="BJ10">
        <f t="shared" si="24"/>
        <v>0</v>
      </c>
      <c r="BM10">
        <f t="shared" si="8"/>
        <v>0</v>
      </c>
      <c r="BP10">
        <f t="shared" si="25"/>
        <v>0</v>
      </c>
      <c r="BS10">
        <f t="shared" si="9"/>
        <v>0</v>
      </c>
      <c r="BV10">
        <f t="shared" si="26"/>
        <v>0</v>
      </c>
      <c r="BY10">
        <f t="shared" si="10"/>
        <v>0</v>
      </c>
      <c r="CB10">
        <f t="shared" si="27"/>
        <v>0</v>
      </c>
      <c r="CE10">
        <f t="shared" si="11"/>
        <v>0</v>
      </c>
      <c r="CH10">
        <f t="shared" si="28"/>
        <v>0</v>
      </c>
      <c r="CK10">
        <f t="shared" si="12"/>
        <v>0</v>
      </c>
      <c r="CN10">
        <f t="shared" si="29"/>
        <v>0</v>
      </c>
      <c r="CQ10">
        <f t="shared" si="13"/>
        <v>0</v>
      </c>
      <c r="CT10">
        <f t="shared" si="30"/>
        <v>0</v>
      </c>
      <c r="CW10">
        <f t="shared" si="14"/>
        <v>0</v>
      </c>
      <c r="CZ10">
        <f t="shared" si="31"/>
        <v>0</v>
      </c>
    </row>
    <row r="11" spans="1:104" ht="15" x14ac:dyDescent="0.2">
      <c r="A11" s="36">
        <v>5</v>
      </c>
      <c r="B11" s="44">
        <f>IF('Entries June''25'!N12-'Entries June''25'!N11&lt;1,"0",'Entries June''25'!N12-'Entries June''25'!N11)</f>
        <v>61.139999999999873</v>
      </c>
      <c r="C11" s="598">
        <v>3900</v>
      </c>
      <c r="D11" s="589">
        <v>496.584</v>
      </c>
      <c r="E11" s="585">
        <f t="shared" si="0"/>
        <v>0.12312116379101999</v>
      </c>
      <c r="F11" s="620">
        <f t="shared" si="15"/>
        <v>7.8536561790150303</v>
      </c>
      <c r="H11" s="262">
        <f>'Entries June''25'!L12-'Entries June''25'!L11</f>
        <v>0</v>
      </c>
      <c r="I11" s="260">
        <f t="shared" si="16"/>
        <v>61.139999999999873</v>
      </c>
      <c r="K11" s="597"/>
      <c r="L11" s="261">
        <f>IF((('Entries June''25'!AK11-'Entries June''25'!AK12)/10)*5455&lt;0,"0",(('Entries June''25'!AK11-'Entries June''25'!AK12)/10)*5455)</f>
        <v>0</v>
      </c>
      <c r="M11" s="261">
        <f>IF((('Entries June''25'!AL11-'Entries June''25'!AL12)/10)*5455&lt;0,"0",(('Entries June''25'!AL11-'Entries June''25'!AL12)/10)*5455)</f>
        <v>0</v>
      </c>
      <c r="N11" s="261">
        <f>IF(('Entries June''25'!AM11-'Entries June''25'!AM12)/2.2&lt;0,"0",('Entries June''25'!AM11-'Entries June''25'!AM12)/2.2)</f>
        <v>0</v>
      </c>
      <c r="O11" s="262">
        <f>IF(('Entries June''25'!AN11-'Entries June''25'!AN12)&lt;0,"0",('Entries June''25'!AN11-'Entries June''25'!AN12))</f>
        <v>0</v>
      </c>
      <c r="T11">
        <f t="shared" si="17"/>
        <v>0</v>
      </c>
      <c r="W11">
        <f t="shared" si="1"/>
        <v>0</v>
      </c>
      <c r="Z11">
        <f t="shared" si="18"/>
        <v>0</v>
      </c>
      <c r="AC11">
        <f t="shared" si="2"/>
        <v>0</v>
      </c>
      <c r="AF11">
        <f t="shared" si="19"/>
        <v>0</v>
      </c>
      <c r="AI11">
        <f t="shared" si="3"/>
        <v>0</v>
      </c>
      <c r="AL11">
        <f t="shared" si="20"/>
        <v>0</v>
      </c>
      <c r="AO11">
        <f t="shared" si="4"/>
        <v>0</v>
      </c>
      <c r="AR11">
        <f t="shared" si="21"/>
        <v>0</v>
      </c>
      <c r="AU11">
        <f t="shared" si="5"/>
        <v>0</v>
      </c>
      <c r="AX11">
        <f t="shared" si="22"/>
        <v>0</v>
      </c>
      <c r="BA11">
        <f t="shared" si="6"/>
        <v>0</v>
      </c>
      <c r="BD11">
        <f t="shared" si="23"/>
        <v>0</v>
      </c>
      <c r="BG11">
        <f t="shared" si="7"/>
        <v>0</v>
      </c>
      <c r="BJ11">
        <f t="shared" si="24"/>
        <v>0</v>
      </c>
      <c r="BM11">
        <f t="shared" si="8"/>
        <v>0</v>
      </c>
      <c r="BP11">
        <f t="shared" si="25"/>
        <v>0</v>
      </c>
      <c r="BS11">
        <f t="shared" si="9"/>
        <v>0</v>
      </c>
      <c r="BV11">
        <f t="shared" si="26"/>
        <v>0</v>
      </c>
      <c r="BY11">
        <f t="shared" si="10"/>
        <v>0</v>
      </c>
      <c r="CB11">
        <f t="shared" si="27"/>
        <v>0</v>
      </c>
      <c r="CE11">
        <f t="shared" si="11"/>
        <v>0</v>
      </c>
      <c r="CH11">
        <f t="shared" si="28"/>
        <v>0</v>
      </c>
      <c r="CK11">
        <f t="shared" si="12"/>
        <v>0</v>
      </c>
      <c r="CN11">
        <f t="shared" si="29"/>
        <v>0</v>
      </c>
      <c r="CQ11">
        <f t="shared" si="13"/>
        <v>0</v>
      </c>
      <c r="CT11">
        <f t="shared" si="30"/>
        <v>0</v>
      </c>
      <c r="CW11">
        <f t="shared" si="14"/>
        <v>0</v>
      </c>
      <c r="CZ11">
        <f t="shared" si="31"/>
        <v>0</v>
      </c>
    </row>
    <row r="12" spans="1:104" ht="15" x14ac:dyDescent="0.2">
      <c r="A12" s="36">
        <v>6</v>
      </c>
      <c r="B12" s="44">
        <f>IF('Entries June''25'!N13-'Entries June''25'!N12&lt;1,"0",'Entries June''25'!N13-'Entries June''25'!N12)</f>
        <v>48.2199999999998</v>
      </c>
      <c r="C12" s="598">
        <v>3200</v>
      </c>
      <c r="D12" s="589">
        <v>263.93400000000003</v>
      </c>
      <c r="E12" s="585">
        <f t="shared" si="0"/>
        <v>0.18269718944887658</v>
      </c>
      <c r="F12" s="620">
        <f t="shared" si="15"/>
        <v>12.124243182007621</v>
      </c>
      <c r="H12" s="262">
        <f>'Entries June''25'!L13-'Entries June''25'!L12</f>
        <v>0</v>
      </c>
      <c r="I12" s="260">
        <f t="shared" si="16"/>
        <v>48.2199999999998</v>
      </c>
      <c r="K12" s="597"/>
      <c r="L12" s="261">
        <f>IF((('Entries June''25'!AK12-'Entries June''25'!AK13)/10)*5455&lt;0,"0",(('Entries June''25'!AK12-'Entries June''25'!AK13)/10)*5455)</f>
        <v>0</v>
      </c>
      <c r="M12" s="261">
        <f>IF((('Entries June''25'!AL12-'Entries June''25'!AL13)/10)*5455&lt;0,"0",(('Entries June''25'!AL12-'Entries June''25'!AL13)/10)*5455)</f>
        <v>0</v>
      </c>
      <c r="N12" s="261">
        <f>IF(('Entries June''25'!AM12-'Entries June''25'!AM13)/2.2&lt;0,"0",('Entries June''25'!AM12-'Entries June''25'!AM13)/2.2)</f>
        <v>0</v>
      </c>
      <c r="O12" s="262">
        <f>IF(('Entries June''25'!AN12-'Entries June''25'!AN13)&lt;0,"0",('Entries June''25'!AN12-'Entries June''25'!AN13))</f>
        <v>0</v>
      </c>
      <c r="T12">
        <f t="shared" si="17"/>
        <v>0</v>
      </c>
      <c r="W12">
        <f t="shared" si="1"/>
        <v>0</v>
      </c>
      <c r="Z12">
        <f t="shared" si="18"/>
        <v>0</v>
      </c>
      <c r="AC12">
        <f t="shared" si="2"/>
        <v>0</v>
      </c>
      <c r="AF12">
        <f t="shared" si="19"/>
        <v>0</v>
      </c>
      <c r="AI12">
        <f t="shared" si="3"/>
        <v>0</v>
      </c>
      <c r="AL12">
        <f t="shared" si="20"/>
        <v>0</v>
      </c>
      <c r="AO12">
        <f t="shared" si="4"/>
        <v>0</v>
      </c>
      <c r="AR12">
        <f t="shared" si="21"/>
        <v>0</v>
      </c>
      <c r="AU12">
        <f t="shared" si="5"/>
        <v>0</v>
      </c>
      <c r="AX12">
        <f t="shared" si="22"/>
        <v>0</v>
      </c>
      <c r="BA12">
        <f t="shared" si="6"/>
        <v>0</v>
      </c>
      <c r="BD12">
        <f t="shared" si="23"/>
        <v>0</v>
      </c>
      <c r="BG12">
        <f t="shared" si="7"/>
        <v>0</v>
      </c>
      <c r="BJ12">
        <f t="shared" si="24"/>
        <v>0</v>
      </c>
      <c r="BM12">
        <f t="shared" si="8"/>
        <v>0</v>
      </c>
      <c r="BP12">
        <f t="shared" si="25"/>
        <v>0</v>
      </c>
      <c r="BS12">
        <f t="shared" si="9"/>
        <v>0</v>
      </c>
      <c r="BV12">
        <f t="shared" si="26"/>
        <v>0</v>
      </c>
      <c r="BY12">
        <f t="shared" si="10"/>
        <v>0</v>
      </c>
      <c r="CB12">
        <f t="shared" si="27"/>
        <v>0</v>
      </c>
      <c r="CE12">
        <f t="shared" si="11"/>
        <v>0</v>
      </c>
      <c r="CH12">
        <f t="shared" si="28"/>
        <v>0</v>
      </c>
      <c r="CK12">
        <f t="shared" si="12"/>
        <v>0</v>
      </c>
      <c r="CN12">
        <f t="shared" si="29"/>
        <v>0</v>
      </c>
      <c r="CQ12">
        <f t="shared" si="13"/>
        <v>0</v>
      </c>
      <c r="CT12">
        <f t="shared" si="30"/>
        <v>0</v>
      </c>
      <c r="CW12">
        <f t="shared" si="14"/>
        <v>0</v>
      </c>
      <c r="CZ12">
        <f t="shared" si="31"/>
        <v>0</v>
      </c>
    </row>
    <row r="13" spans="1:104" ht="15" x14ac:dyDescent="0.2">
      <c r="A13" s="36">
        <v>7</v>
      </c>
      <c r="B13" s="44" t="str">
        <f>IF('Entries June''25'!N14-'Entries June''25'!N13&lt;1,"0",'Entries June''25'!N14-'Entries June''25'!N13)</f>
        <v>0</v>
      </c>
      <c r="C13" s="598">
        <v>0</v>
      </c>
      <c r="D13" s="589">
        <v>0</v>
      </c>
      <c r="E13" s="585" t="str">
        <f t="shared" si="0"/>
        <v>0</v>
      </c>
      <c r="F13" s="620" t="str">
        <f t="shared" si="15"/>
        <v>0</v>
      </c>
      <c r="H13" s="262">
        <f>'Entries June''25'!L14-'Entries June''25'!L13</f>
        <v>0</v>
      </c>
      <c r="I13" s="260" t="str">
        <f t="shared" si="16"/>
        <v>0</v>
      </c>
      <c r="K13" s="597"/>
      <c r="L13" s="261">
        <f>IF((('Entries June''25'!AK13-'Entries June''25'!AK14)/10)*5455&lt;0,"0",(('Entries June''25'!AK13-'Entries June''25'!AK14)/10)*5455)</f>
        <v>0</v>
      </c>
      <c r="M13" s="261">
        <f>IF((('Entries June''25'!AL13-'Entries June''25'!AL14)/10)*5455&lt;0,"0",(('Entries June''25'!AL13-'Entries June''25'!AL14)/10)*5455)</f>
        <v>0</v>
      </c>
      <c r="N13" s="261">
        <f>IF(('Entries June''25'!AM13-'Entries June''25'!AM14)/2.2&lt;0,"0",('Entries June''25'!AM13-'Entries June''25'!AM14)/2.2)</f>
        <v>0</v>
      </c>
      <c r="O13" s="262">
        <f>IF(('Entries June''25'!AN13-'Entries June''25'!AN14)&lt;0,"0",('Entries June''25'!AN13-'Entries June''25'!AN14))</f>
        <v>0</v>
      </c>
      <c r="T13">
        <f t="shared" si="17"/>
        <v>0</v>
      </c>
      <c r="W13">
        <f t="shared" si="1"/>
        <v>0</v>
      </c>
      <c r="Z13">
        <f t="shared" si="18"/>
        <v>0</v>
      </c>
      <c r="AC13">
        <f t="shared" si="2"/>
        <v>0</v>
      </c>
      <c r="AF13">
        <f t="shared" si="19"/>
        <v>0</v>
      </c>
      <c r="AI13">
        <f t="shared" si="3"/>
        <v>0</v>
      </c>
      <c r="AL13">
        <f t="shared" si="20"/>
        <v>0</v>
      </c>
      <c r="AO13">
        <f t="shared" si="4"/>
        <v>0</v>
      </c>
      <c r="AR13">
        <f t="shared" si="21"/>
        <v>0</v>
      </c>
      <c r="AU13">
        <f t="shared" si="5"/>
        <v>0</v>
      </c>
      <c r="AX13">
        <f t="shared" si="22"/>
        <v>0</v>
      </c>
      <c r="BA13">
        <f t="shared" si="6"/>
        <v>0</v>
      </c>
      <c r="BD13">
        <f t="shared" si="23"/>
        <v>0</v>
      </c>
      <c r="BG13">
        <f t="shared" si="7"/>
        <v>0</v>
      </c>
      <c r="BJ13">
        <f t="shared" si="24"/>
        <v>0</v>
      </c>
      <c r="BM13">
        <f t="shared" si="8"/>
        <v>0</v>
      </c>
      <c r="BP13">
        <f t="shared" si="25"/>
        <v>0</v>
      </c>
      <c r="BS13">
        <f t="shared" si="9"/>
        <v>0</v>
      </c>
      <c r="BV13">
        <f t="shared" si="26"/>
        <v>0</v>
      </c>
      <c r="BY13">
        <f t="shared" si="10"/>
        <v>0</v>
      </c>
      <c r="CB13">
        <f t="shared" si="27"/>
        <v>0</v>
      </c>
      <c r="CE13">
        <f t="shared" si="11"/>
        <v>0</v>
      </c>
      <c r="CH13">
        <f t="shared" si="28"/>
        <v>0</v>
      </c>
      <c r="CK13">
        <f t="shared" si="12"/>
        <v>0</v>
      </c>
      <c r="CN13">
        <f t="shared" si="29"/>
        <v>0</v>
      </c>
      <c r="CQ13">
        <f t="shared" si="13"/>
        <v>0</v>
      </c>
      <c r="CT13">
        <f t="shared" si="30"/>
        <v>0</v>
      </c>
      <c r="CW13">
        <f t="shared" si="14"/>
        <v>0</v>
      </c>
      <c r="CZ13">
        <f t="shared" si="31"/>
        <v>0</v>
      </c>
    </row>
    <row r="14" spans="1:104" ht="15" x14ac:dyDescent="0.2">
      <c r="A14" s="36">
        <v>8</v>
      </c>
      <c r="B14" s="44" t="str">
        <f>IF('Entries June''25'!N15-'Entries June''25'!N14&lt;1,"0",'Entries June''25'!N15-'Entries June''25'!N14)</f>
        <v>0</v>
      </c>
      <c r="C14" s="598">
        <v>0</v>
      </c>
      <c r="D14" s="589">
        <v>0</v>
      </c>
      <c r="E14" s="585" t="str">
        <f t="shared" si="0"/>
        <v>0</v>
      </c>
      <c r="F14" s="620" t="str">
        <f t="shared" si="15"/>
        <v>0</v>
      </c>
      <c r="H14" s="262">
        <f>'Entries June''25'!L15-'Entries June''25'!L14</f>
        <v>0</v>
      </c>
      <c r="I14" s="260" t="str">
        <f t="shared" si="16"/>
        <v>0</v>
      </c>
      <c r="K14" s="597"/>
      <c r="L14" s="261">
        <f>IF((('Entries June''25'!AK14-'Entries June''25'!AK15)/10)*5455&lt;0,"0",(('Entries June''25'!AK14-'Entries June''25'!AK15)/10)*5455)</f>
        <v>0</v>
      </c>
      <c r="M14" s="261">
        <f>IF((('Entries June''25'!AL14-'Entries June''25'!AL15)/10)*5455&lt;0,"0",(('Entries June''25'!AL14-'Entries June''25'!AL15)/10)*5455)</f>
        <v>0</v>
      </c>
      <c r="N14" s="261">
        <f>IF(('Entries June''25'!AM14-'Entries June''25'!AM15)/2.2&lt;0,"0",('Entries June''25'!AM14-'Entries June''25'!AM15)/2.2)</f>
        <v>0</v>
      </c>
      <c r="O14" s="262">
        <f>IF(('Entries June''25'!AN14-'Entries June''25'!AN15)&lt;0,"0",('Entries June''25'!AN14-'Entries June''25'!AN15))</f>
        <v>0</v>
      </c>
      <c r="T14">
        <f t="shared" si="17"/>
        <v>0</v>
      </c>
      <c r="W14">
        <f t="shared" si="1"/>
        <v>0</v>
      </c>
      <c r="Z14">
        <f t="shared" si="18"/>
        <v>0</v>
      </c>
      <c r="AC14">
        <f t="shared" si="2"/>
        <v>0</v>
      </c>
      <c r="AF14">
        <f t="shared" si="19"/>
        <v>0</v>
      </c>
      <c r="AI14">
        <f t="shared" si="3"/>
        <v>0</v>
      </c>
      <c r="AL14">
        <f t="shared" si="20"/>
        <v>0</v>
      </c>
      <c r="AO14">
        <f t="shared" si="4"/>
        <v>0</v>
      </c>
      <c r="AR14">
        <f t="shared" si="21"/>
        <v>0</v>
      </c>
      <c r="AU14">
        <f t="shared" si="5"/>
        <v>0</v>
      </c>
      <c r="AX14">
        <f t="shared" si="22"/>
        <v>0</v>
      </c>
      <c r="BA14">
        <f t="shared" si="6"/>
        <v>0</v>
      </c>
      <c r="BD14">
        <f t="shared" si="23"/>
        <v>0</v>
      </c>
      <c r="BG14">
        <f t="shared" si="7"/>
        <v>0</v>
      </c>
      <c r="BJ14">
        <f t="shared" si="24"/>
        <v>0</v>
      </c>
      <c r="BM14">
        <f t="shared" si="8"/>
        <v>0</v>
      </c>
      <c r="BP14">
        <f t="shared" si="25"/>
        <v>0</v>
      </c>
      <c r="BS14">
        <f t="shared" si="9"/>
        <v>0</v>
      </c>
      <c r="BV14">
        <f t="shared" si="26"/>
        <v>0</v>
      </c>
      <c r="BY14">
        <f t="shared" si="10"/>
        <v>0</v>
      </c>
      <c r="CB14">
        <f t="shared" si="27"/>
        <v>0</v>
      </c>
      <c r="CE14">
        <f t="shared" si="11"/>
        <v>0</v>
      </c>
      <c r="CH14">
        <f t="shared" si="28"/>
        <v>0</v>
      </c>
      <c r="CK14">
        <f t="shared" si="12"/>
        <v>0</v>
      </c>
      <c r="CN14">
        <f t="shared" si="29"/>
        <v>0</v>
      </c>
      <c r="CQ14">
        <f t="shared" si="13"/>
        <v>0</v>
      </c>
      <c r="CT14">
        <f t="shared" si="30"/>
        <v>0</v>
      </c>
      <c r="CW14">
        <f t="shared" si="14"/>
        <v>0</v>
      </c>
      <c r="CZ14">
        <f t="shared" si="31"/>
        <v>0</v>
      </c>
    </row>
    <row r="15" spans="1:104" ht="15" x14ac:dyDescent="0.2">
      <c r="A15" s="36">
        <v>9</v>
      </c>
      <c r="B15" s="44" t="str">
        <f>IF('Entries June''25'!N16-'Entries June''25'!N15&lt;1,"0",'Entries June''25'!N16-'Entries June''25'!N15)</f>
        <v>0</v>
      </c>
      <c r="C15" s="598">
        <v>400</v>
      </c>
      <c r="D15" s="589">
        <v>0</v>
      </c>
      <c r="E15" s="585" t="str">
        <f t="shared" si="0"/>
        <v>0</v>
      </c>
      <c r="F15" s="620" t="str">
        <f t="shared" si="15"/>
        <v>0</v>
      </c>
      <c r="H15" s="262">
        <f>'Entries June''25'!L16-'Entries June''25'!L15</f>
        <v>0</v>
      </c>
      <c r="I15" s="260" t="str">
        <f t="shared" si="16"/>
        <v>0</v>
      </c>
      <c r="K15" s="597"/>
      <c r="L15" s="261">
        <f>IF((('Entries June''25'!AK15-'Entries June''25'!AK16)/10)*5455&lt;0,"0",(('Entries June''25'!AK15-'Entries June''25'!AK16)/10)*5455)</f>
        <v>0</v>
      </c>
      <c r="M15" s="261">
        <f>IF((('Entries June''25'!AL15-'Entries June''25'!AL16)/10)*5455&lt;0,"0",(('Entries June''25'!AL15-'Entries June''25'!AL16)/10)*5455)</f>
        <v>0</v>
      </c>
      <c r="N15" s="261">
        <f>IF(('Entries June''25'!AM15-'Entries June''25'!AM16)/2.2&lt;0,"0",('Entries June''25'!AM15-'Entries June''25'!AM16)/2.2)</f>
        <v>0</v>
      </c>
      <c r="O15" s="262">
        <f>IF(('Entries June''25'!AN15-'Entries June''25'!AN16)&lt;0,"0",('Entries June''25'!AN15-'Entries June''25'!AN16))</f>
        <v>0</v>
      </c>
      <c r="T15">
        <f t="shared" si="17"/>
        <v>0</v>
      </c>
      <c r="W15">
        <f t="shared" si="1"/>
        <v>0</v>
      </c>
      <c r="Z15">
        <f t="shared" si="18"/>
        <v>0</v>
      </c>
      <c r="AC15">
        <f t="shared" si="2"/>
        <v>0</v>
      </c>
      <c r="AF15">
        <f t="shared" si="19"/>
        <v>0</v>
      </c>
      <c r="AI15">
        <f t="shared" si="3"/>
        <v>0</v>
      </c>
      <c r="AL15">
        <f t="shared" si="20"/>
        <v>0</v>
      </c>
      <c r="AO15">
        <f t="shared" si="4"/>
        <v>0</v>
      </c>
      <c r="AR15">
        <f t="shared" si="21"/>
        <v>0</v>
      </c>
      <c r="AU15">
        <f t="shared" si="5"/>
        <v>0</v>
      </c>
      <c r="AX15">
        <f t="shared" si="22"/>
        <v>0</v>
      </c>
      <c r="BA15">
        <f t="shared" si="6"/>
        <v>0</v>
      </c>
      <c r="BD15">
        <f t="shared" si="23"/>
        <v>0</v>
      </c>
      <c r="BG15">
        <f t="shared" si="7"/>
        <v>0</v>
      </c>
      <c r="BJ15">
        <f t="shared" si="24"/>
        <v>0</v>
      </c>
      <c r="BM15">
        <f t="shared" si="8"/>
        <v>0</v>
      </c>
      <c r="BP15">
        <f t="shared" si="25"/>
        <v>0</v>
      </c>
      <c r="BS15">
        <f t="shared" si="9"/>
        <v>0</v>
      </c>
      <c r="BV15">
        <f t="shared" si="26"/>
        <v>0</v>
      </c>
      <c r="BY15">
        <f t="shared" si="10"/>
        <v>0</v>
      </c>
      <c r="CB15">
        <f t="shared" si="27"/>
        <v>0</v>
      </c>
      <c r="CE15">
        <f t="shared" si="11"/>
        <v>0</v>
      </c>
      <c r="CH15">
        <f t="shared" si="28"/>
        <v>0</v>
      </c>
      <c r="CK15">
        <f t="shared" si="12"/>
        <v>0</v>
      </c>
      <c r="CN15">
        <f t="shared" si="29"/>
        <v>0</v>
      </c>
      <c r="CQ15">
        <f t="shared" si="13"/>
        <v>0</v>
      </c>
      <c r="CT15">
        <f t="shared" si="30"/>
        <v>0</v>
      </c>
      <c r="CW15">
        <f t="shared" si="14"/>
        <v>0</v>
      </c>
      <c r="CZ15">
        <f t="shared" si="31"/>
        <v>0</v>
      </c>
    </row>
    <row r="16" spans="1:104" ht="15" x14ac:dyDescent="0.2">
      <c r="A16" s="36">
        <v>10</v>
      </c>
      <c r="B16" s="44">
        <f>IF('Entries June''25'!N17-'Entries June''25'!N16&lt;1,"0",'Entries June''25'!N17-'Entries June''25'!N16)</f>
        <v>59.210000000000036</v>
      </c>
      <c r="C16" s="598">
        <v>1700</v>
      </c>
      <c r="D16" s="589">
        <v>418.11</v>
      </c>
      <c r="E16" s="585">
        <f t="shared" si="0"/>
        <v>0.14161345100571629</v>
      </c>
      <c r="F16" s="620">
        <f t="shared" si="15"/>
        <v>4.065915668125613</v>
      </c>
      <c r="H16" s="262">
        <f>'Entries June''25'!L17-'Entries June''25'!L16</f>
        <v>0</v>
      </c>
      <c r="I16" s="260">
        <f t="shared" si="16"/>
        <v>59.210000000000036</v>
      </c>
      <c r="K16" s="597"/>
      <c r="L16" s="261">
        <f>IF((('Entries June''25'!AK16-'Entries June''25'!AK17)/10)*5455&lt;0,"0",(('Entries June''25'!AK16-'Entries June''25'!AK17)/10)*5455)</f>
        <v>0</v>
      </c>
      <c r="M16" s="261">
        <f>IF((('Entries June''25'!AL16-'Entries June''25'!AL17)/10)*5455&lt;0,"0",(('Entries June''25'!AL16-'Entries June''25'!AL17)/10)*5455)</f>
        <v>0</v>
      </c>
      <c r="N16" s="261">
        <f>IF(('Entries June''25'!AM16-'Entries June''25'!AM17)/2.2&lt;0,"0",('Entries June''25'!AM16-'Entries June''25'!AM17)/2.2)</f>
        <v>0</v>
      </c>
      <c r="O16" s="262">
        <f>IF(('Entries June''25'!AN16-'Entries June''25'!AN17)&lt;0,"0",('Entries June''25'!AN16-'Entries June''25'!AN17))</f>
        <v>0</v>
      </c>
      <c r="T16">
        <f t="shared" si="17"/>
        <v>0</v>
      </c>
      <c r="W16">
        <f t="shared" si="1"/>
        <v>0</v>
      </c>
      <c r="Z16">
        <f t="shared" si="18"/>
        <v>0</v>
      </c>
      <c r="AC16">
        <f t="shared" si="2"/>
        <v>0</v>
      </c>
      <c r="AF16">
        <f t="shared" si="19"/>
        <v>0</v>
      </c>
      <c r="AI16">
        <f t="shared" si="3"/>
        <v>0</v>
      </c>
      <c r="AL16">
        <f t="shared" si="20"/>
        <v>0</v>
      </c>
      <c r="AO16">
        <f t="shared" si="4"/>
        <v>0</v>
      </c>
      <c r="AR16">
        <f t="shared" si="21"/>
        <v>0</v>
      </c>
      <c r="AU16">
        <f t="shared" si="5"/>
        <v>0</v>
      </c>
      <c r="AX16">
        <f t="shared" si="22"/>
        <v>0</v>
      </c>
      <c r="BA16">
        <f t="shared" si="6"/>
        <v>0</v>
      </c>
      <c r="BD16">
        <f t="shared" si="23"/>
        <v>0</v>
      </c>
      <c r="BG16">
        <f t="shared" si="7"/>
        <v>0</v>
      </c>
      <c r="BJ16">
        <f t="shared" si="24"/>
        <v>0</v>
      </c>
      <c r="BM16">
        <f t="shared" si="8"/>
        <v>0</v>
      </c>
      <c r="BP16">
        <f t="shared" si="25"/>
        <v>0</v>
      </c>
      <c r="BS16">
        <f t="shared" si="9"/>
        <v>0</v>
      </c>
      <c r="BV16">
        <f t="shared" si="26"/>
        <v>0</v>
      </c>
      <c r="BY16">
        <f t="shared" si="10"/>
        <v>0</v>
      </c>
      <c r="CB16">
        <f t="shared" si="27"/>
        <v>0</v>
      </c>
      <c r="CE16">
        <f t="shared" si="11"/>
        <v>0</v>
      </c>
      <c r="CH16">
        <f t="shared" si="28"/>
        <v>0</v>
      </c>
      <c r="CK16">
        <f t="shared" si="12"/>
        <v>0</v>
      </c>
      <c r="CN16">
        <f t="shared" si="29"/>
        <v>0</v>
      </c>
      <c r="CQ16">
        <f t="shared" si="13"/>
        <v>0</v>
      </c>
      <c r="CT16">
        <f t="shared" si="30"/>
        <v>0</v>
      </c>
      <c r="CW16">
        <f t="shared" si="14"/>
        <v>0</v>
      </c>
      <c r="CZ16">
        <f t="shared" si="31"/>
        <v>0</v>
      </c>
    </row>
    <row r="17" spans="1:104" ht="15" x14ac:dyDescent="0.2">
      <c r="A17" s="36">
        <v>11</v>
      </c>
      <c r="B17" s="44">
        <f>IF('Entries June''25'!N18-'Entries June''25'!N17&lt;1,"0",'Entries June''25'!N18-'Entries June''25'!N17)</f>
        <v>74.789999999999964</v>
      </c>
      <c r="C17" s="598">
        <v>2300</v>
      </c>
      <c r="D17" s="589">
        <v>475.99200000000002</v>
      </c>
      <c r="E17" s="585">
        <f t="shared" si="0"/>
        <v>0.15712448948721819</v>
      </c>
      <c r="F17" s="620">
        <f t="shared" si="15"/>
        <v>4.8320139834282925</v>
      </c>
      <c r="H17" s="262">
        <f>'Entries June''25'!L18-'Entries June''25'!L17</f>
        <v>0</v>
      </c>
      <c r="I17" s="260">
        <f t="shared" si="16"/>
        <v>74.789999999999964</v>
      </c>
      <c r="K17" s="597"/>
      <c r="L17" s="261">
        <f>IF((('Entries June''25'!AK17-'Entries June''25'!AK18)/10)*5455&lt;0,"0",(('Entries June''25'!AK17-'Entries June''25'!AK18)/10)*5455)</f>
        <v>0</v>
      </c>
      <c r="M17" s="261">
        <f>IF((('Entries June''25'!AL17-'Entries June''25'!AL18)/10)*5455&lt;0,"0",(('Entries June''25'!AL17-'Entries June''25'!AL18)/10)*5455)</f>
        <v>0</v>
      </c>
      <c r="N17" s="261">
        <f>IF(('Entries June''25'!AM17-'Entries June''25'!AM18)/2.2&lt;0,"0",('Entries June''25'!AM17-'Entries June''25'!AM18)/2.2)</f>
        <v>0</v>
      </c>
      <c r="O17" s="262">
        <f>IF(('Entries June''25'!AN17-'Entries June''25'!AN18)&lt;0,"0",('Entries June''25'!AN17-'Entries June''25'!AN18))</f>
        <v>0</v>
      </c>
      <c r="T17">
        <f t="shared" si="17"/>
        <v>0</v>
      </c>
      <c r="W17">
        <f t="shared" si="1"/>
        <v>0</v>
      </c>
      <c r="Z17">
        <f t="shared" si="18"/>
        <v>0</v>
      </c>
      <c r="AC17">
        <f t="shared" si="2"/>
        <v>0</v>
      </c>
      <c r="AF17">
        <f t="shared" si="19"/>
        <v>0</v>
      </c>
      <c r="AI17">
        <f t="shared" si="3"/>
        <v>0</v>
      </c>
      <c r="AL17">
        <f t="shared" si="20"/>
        <v>0</v>
      </c>
      <c r="AO17">
        <f t="shared" si="4"/>
        <v>0</v>
      </c>
      <c r="AR17">
        <f t="shared" si="21"/>
        <v>0</v>
      </c>
      <c r="AU17">
        <f t="shared" si="5"/>
        <v>0</v>
      </c>
      <c r="AX17">
        <f t="shared" si="22"/>
        <v>0</v>
      </c>
      <c r="BA17">
        <f t="shared" si="6"/>
        <v>0</v>
      </c>
      <c r="BD17">
        <f t="shared" si="23"/>
        <v>0</v>
      </c>
      <c r="BG17">
        <f t="shared" si="7"/>
        <v>0</v>
      </c>
      <c r="BJ17">
        <f t="shared" si="24"/>
        <v>0</v>
      </c>
      <c r="BM17">
        <f t="shared" si="8"/>
        <v>0</v>
      </c>
      <c r="BP17">
        <f t="shared" si="25"/>
        <v>0</v>
      </c>
      <c r="BS17">
        <f t="shared" si="9"/>
        <v>0</v>
      </c>
      <c r="BV17">
        <f t="shared" si="26"/>
        <v>0</v>
      </c>
      <c r="BY17">
        <f t="shared" si="10"/>
        <v>0</v>
      </c>
      <c r="CB17">
        <f t="shared" si="27"/>
        <v>0</v>
      </c>
      <c r="CE17">
        <f t="shared" si="11"/>
        <v>0</v>
      </c>
      <c r="CH17">
        <f t="shared" si="28"/>
        <v>0</v>
      </c>
      <c r="CK17">
        <f t="shared" si="12"/>
        <v>0</v>
      </c>
      <c r="CN17">
        <f t="shared" si="29"/>
        <v>0</v>
      </c>
      <c r="CQ17">
        <f t="shared" si="13"/>
        <v>0</v>
      </c>
      <c r="CT17">
        <f t="shared" si="30"/>
        <v>0</v>
      </c>
      <c r="CW17">
        <f t="shared" si="14"/>
        <v>0</v>
      </c>
      <c r="CZ17">
        <f t="shared" si="31"/>
        <v>0</v>
      </c>
    </row>
    <row r="18" spans="1:104" ht="15" x14ac:dyDescent="0.2">
      <c r="A18" s="36">
        <v>12</v>
      </c>
      <c r="B18" s="44">
        <f>IF('Entries June''25'!N19-'Entries June''25'!N18&lt;1,"0",'Entries June''25'!N19-'Entries June''25'!N18)</f>
        <v>48.960000000000036</v>
      </c>
      <c r="C18" s="598">
        <v>2500</v>
      </c>
      <c r="D18" s="589">
        <v>339.834</v>
      </c>
      <c r="E18" s="585">
        <f t="shared" si="0"/>
        <v>0.14407034022493345</v>
      </c>
      <c r="F18" s="620">
        <f t="shared" si="15"/>
        <v>7.3565328954724949</v>
      </c>
      <c r="H18" s="262">
        <f>'Entries June''25'!L19-'Entries June''25'!L18</f>
        <v>0</v>
      </c>
      <c r="I18" s="260">
        <f t="shared" si="16"/>
        <v>48.960000000000036</v>
      </c>
      <c r="K18" s="597"/>
      <c r="L18" s="261">
        <f>IF((('Entries June''25'!AK18-'Entries June''25'!AK19)/10)*5455&lt;0,"0",(('Entries June''25'!AK18-'Entries June''25'!AK19)/10)*5455)</f>
        <v>0</v>
      </c>
      <c r="M18" s="261">
        <f>IF((('Entries June''25'!AL18-'Entries June''25'!AL19)/10)*5455&lt;0,"0",(('Entries June''25'!AL18-'Entries June''25'!AL19)/10)*5455)</f>
        <v>0</v>
      </c>
      <c r="N18" s="261">
        <f>IF(('Entries June''25'!AM18-'Entries June''25'!AM19)/2.2&lt;0,"0",('Entries June''25'!AM18-'Entries June''25'!AM19)/2.2)</f>
        <v>0</v>
      </c>
      <c r="O18" s="262">
        <f>IF(('Entries June''25'!AN18-'Entries June''25'!AN19)&lt;0,"0",('Entries June''25'!AN18-'Entries June''25'!AN19))</f>
        <v>0</v>
      </c>
      <c r="T18">
        <f t="shared" si="17"/>
        <v>0</v>
      </c>
      <c r="W18">
        <f t="shared" si="1"/>
        <v>0</v>
      </c>
      <c r="Z18">
        <f t="shared" si="18"/>
        <v>0</v>
      </c>
      <c r="AC18">
        <f t="shared" si="2"/>
        <v>0</v>
      </c>
      <c r="AF18">
        <f t="shared" si="19"/>
        <v>0</v>
      </c>
      <c r="AI18">
        <f t="shared" si="3"/>
        <v>0</v>
      </c>
      <c r="AL18">
        <f t="shared" si="20"/>
        <v>0</v>
      </c>
      <c r="AO18">
        <f t="shared" si="4"/>
        <v>0</v>
      </c>
      <c r="AR18">
        <f t="shared" si="21"/>
        <v>0</v>
      </c>
      <c r="AU18">
        <f t="shared" si="5"/>
        <v>0</v>
      </c>
      <c r="AX18">
        <f t="shared" si="22"/>
        <v>0</v>
      </c>
      <c r="BA18">
        <f t="shared" si="6"/>
        <v>0</v>
      </c>
      <c r="BD18">
        <f t="shared" si="23"/>
        <v>0</v>
      </c>
      <c r="BG18">
        <f t="shared" si="7"/>
        <v>0</v>
      </c>
      <c r="BJ18">
        <f t="shared" si="24"/>
        <v>0</v>
      </c>
      <c r="BM18">
        <f t="shared" si="8"/>
        <v>0</v>
      </c>
      <c r="BP18">
        <f t="shared" si="25"/>
        <v>0</v>
      </c>
      <c r="BS18">
        <f t="shared" si="9"/>
        <v>0</v>
      </c>
      <c r="BV18">
        <f t="shared" si="26"/>
        <v>0</v>
      </c>
      <c r="BY18">
        <f t="shared" si="10"/>
        <v>0</v>
      </c>
      <c r="CB18">
        <f t="shared" si="27"/>
        <v>0</v>
      </c>
      <c r="CE18">
        <f t="shared" si="11"/>
        <v>0</v>
      </c>
      <c r="CH18">
        <f t="shared" si="28"/>
        <v>0</v>
      </c>
      <c r="CK18">
        <f t="shared" si="12"/>
        <v>0</v>
      </c>
      <c r="CN18">
        <f t="shared" si="29"/>
        <v>0</v>
      </c>
      <c r="CQ18">
        <f t="shared" si="13"/>
        <v>0</v>
      </c>
      <c r="CT18">
        <f t="shared" si="30"/>
        <v>0</v>
      </c>
      <c r="CW18">
        <f t="shared" si="14"/>
        <v>0</v>
      </c>
      <c r="CZ18">
        <f t="shared" si="31"/>
        <v>0</v>
      </c>
    </row>
    <row r="19" spans="1:104" ht="15" x14ac:dyDescent="0.2">
      <c r="A19" s="36">
        <v>13</v>
      </c>
      <c r="B19" s="44">
        <f>IF('Entries June''25'!N20-'Entries June''25'!N19&lt;1,"0",'Entries June''25'!N20-'Entries June''25'!N19)</f>
        <v>62.450000000000273</v>
      </c>
      <c r="C19" s="598">
        <v>2500</v>
      </c>
      <c r="D19" s="589">
        <v>411.57600000000002</v>
      </c>
      <c r="E19" s="585">
        <f t="shared" si="0"/>
        <v>0.15173382315781356</v>
      </c>
      <c r="F19" s="620">
        <f t="shared" si="15"/>
        <v>6.0742122961494349</v>
      </c>
      <c r="H19" s="262">
        <f>'Entries June''25'!L20-'Entries June''25'!L19</f>
        <v>0</v>
      </c>
      <c r="I19" s="260">
        <f t="shared" si="16"/>
        <v>62.450000000000273</v>
      </c>
      <c r="K19" s="597"/>
      <c r="L19" s="261">
        <f>IF((('Entries June''25'!AK19-'Entries June''25'!AK20)/10)*5455&lt;0,"0",(('Entries June''25'!AK19-'Entries June''25'!AK20)/10)*5455)</f>
        <v>0</v>
      </c>
      <c r="M19" s="261">
        <f>IF((('Entries June''25'!AL19-'Entries June''25'!AL20)/10)*5455&lt;0,"0",(('Entries June''25'!AL19-'Entries June''25'!AL20)/10)*5455)</f>
        <v>0</v>
      </c>
      <c r="N19" s="261">
        <f>IF(('Entries June''25'!AM19-'Entries June''25'!AM20)/2.2&lt;0,"0",('Entries June''25'!AM19-'Entries June''25'!AM20)/2.2)</f>
        <v>0</v>
      </c>
      <c r="O19" s="262">
        <f>IF(('Entries June''25'!AN19-'Entries June''25'!AN20)&lt;0,"0",('Entries June''25'!AN19-'Entries June''25'!AN20))</f>
        <v>0</v>
      </c>
      <c r="T19">
        <f t="shared" si="17"/>
        <v>0</v>
      </c>
      <c r="W19">
        <f t="shared" si="1"/>
        <v>0</v>
      </c>
      <c r="Z19">
        <f t="shared" si="18"/>
        <v>0</v>
      </c>
      <c r="AC19">
        <f t="shared" si="2"/>
        <v>0</v>
      </c>
      <c r="AF19">
        <f t="shared" si="19"/>
        <v>0</v>
      </c>
      <c r="AI19">
        <f t="shared" si="3"/>
        <v>0</v>
      </c>
      <c r="AL19">
        <f t="shared" si="20"/>
        <v>0</v>
      </c>
      <c r="AO19">
        <f t="shared" si="4"/>
        <v>0</v>
      </c>
      <c r="AR19">
        <f t="shared" si="21"/>
        <v>0</v>
      </c>
      <c r="AU19">
        <f t="shared" si="5"/>
        <v>0</v>
      </c>
      <c r="AX19">
        <f t="shared" si="22"/>
        <v>0</v>
      </c>
      <c r="BA19">
        <f t="shared" si="6"/>
        <v>0</v>
      </c>
      <c r="BD19">
        <f t="shared" si="23"/>
        <v>0</v>
      </c>
      <c r="BG19">
        <f t="shared" si="7"/>
        <v>0</v>
      </c>
      <c r="BJ19">
        <f t="shared" si="24"/>
        <v>0</v>
      </c>
      <c r="BM19">
        <f t="shared" si="8"/>
        <v>0</v>
      </c>
      <c r="BP19">
        <f t="shared" si="25"/>
        <v>0</v>
      </c>
      <c r="BS19">
        <f t="shared" si="9"/>
        <v>0</v>
      </c>
      <c r="BV19">
        <f t="shared" si="26"/>
        <v>0</v>
      </c>
      <c r="BY19">
        <f t="shared" si="10"/>
        <v>0</v>
      </c>
      <c r="CB19">
        <f t="shared" si="27"/>
        <v>0</v>
      </c>
      <c r="CE19">
        <f t="shared" si="11"/>
        <v>0</v>
      </c>
      <c r="CH19">
        <f t="shared" si="28"/>
        <v>0</v>
      </c>
      <c r="CK19">
        <f t="shared" si="12"/>
        <v>0</v>
      </c>
      <c r="CN19">
        <f t="shared" si="29"/>
        <v>0</v>
      </c>
      <c r="CQ19">
        <f t="shared" si="13"/>
        <v>0</v>
      </c>
      <c r="CT19">
        <f t="shared" si="30"/>
        <v>0</v>
      </c>
      <c r="CW19">
        <f t="shared" si="14"/>
        <v>0</v>
      </c>
      <c r="CZ19">
        <f t="shared" si="31"/>
        <v>0</v>
      </c>
    </row>
    <row r="20" spans="1:104" ht="15" x14ac:dyDescent="0.2">
      <c r="A20" s="36">
        <v>14</v>
      </c>
      <c r="B20" s="44" t="str">
        <f>IF('Entries June''25'!N21-'Entries June''25'!N20&lt;1,"0",'Entries June''25'!N21-'Entries June''25'!N20)</f>
        <v>0</v>
      </c>
      <c r="C20" s="598">
        <v>0</v>
      </c>
      <c r="D20" s="589">
        <v>0</v>
      </c>
      <c r="E20" s="585" t="str">
        <f t="shared" si="0"/>
        <v>0</v>
      </c>
      <c r="F20" s="620" t="str">
        <f t="shared" si="15"/>
        <v>0</v>
      </c>
      <c r="H20" s="262">
        <f>'Entries June''25'!L21-'Entries June''25'!L20</f>
        <v>0</v>
      </c>
      <c r="I20" s="260" t="str">
        <f t="shared" si="16"/>
        <v>0</v>
      </c>
      <c r="K20" s="597"/>
      <c r="L20" s="261">
        <f>IF((('Entries June''25'!AK20-'Entries June''25'!AK21)/10)*5455&lt;0,"0",(('Entries June''25'!AK20-'Entries June''25'!AK21)/10)*5455)</f>
        <v>0</v>
      </c>
      <c r="M20" s="261">
        <f>IF((('Entries June''25'!AL20-'Entries June''25'!AL21)/10)*5455&lt;0,"0",(('Entries June''25'!AL20-'Entries June''25'!AL21)/10)*5455)</f>
        <v>0</v>
      </c>
      <c r="N20" s="261">
        <f>IF(('Entries June''25'!AM20-'Entries June''25'!AM21)/2.2&lt;0,"0",('Entries June''25'!AM20-'Entries June''25'!AM21)/2.2)</f>
        <v>0</v>
      </c>
      <c r="O20" s="262">
        <f>IF(('Entries June''25'!AN20-'Entries June''25'!AN21)&lt;0,"0",('Entries June''25'!AN20-'Entries June''25'!AN21))</f>
        <v>0</v>
      </c>
      <c r="T20">
        <f t="shared" si="17"/>
        <v>0</v>
      </c>
      <c r="W20">
        <f t="shared" si="1"/>
        <v>0</v>
      </c>
      <c r="Z20">
        <f t="shared" si="18"/>
        <v>0</v>
      </c>
      <c r="AC20">
        <f t="shared" si="2"/>
        <v>0</v>
      </c>
      <c r="AF20">
        <f t="shared" si="19"/>
        <v>0</v>
      </c>
      <c r="AI20">
        <f t="shared" si="3"/>
        <v>0</v>
      </c>
      <c r="AL20">
        <f t="shared" si="20"/>
        <v>0</v>
      </c>
      <c r="AO20">
        <f t="shared" si="4"/>
        <v>0</v>
      </c>
      <c r="AR20">
        <f t="shared" si="21"/>
        <v>0</v>
      </c>
      <c r="AU20">
        <f t="shared" si="5"/>
        <v>0</v>
      </c>
      <c r="AX20">
        <f t="shared" si="22"/>
        <v>0</v>
      </c>
      <c r="BA20">
        <f t="shared" si="6"/>
        <v>0</v>
      </c>
      <c r="BD20">
        <f t="shared" si="23"/>
        <v>0</v>
      </c>
      <c r="BG20">
        <f t="shared" si="7"/>
        <v>0</v>
      </c>
      <c r="BJ20">
        <f t="shared" si="24"/>
        <v>0</v>
      </c>
      <c r="BM20">
        <f t="shared" si="8"/>
        <v>0</v>
      </c>
      <c r="BP20">
        <f t="shared" si="25"/>
        <v>0</v>
      </c>
      <c r="BS20">
        <f t="shared" si="9"/>
        <v>0</v>
      </c>
      <c r="BV20">
        <f t="shared" si="26"/>
        <v>0</v>
      </c>
      <c r="BY20">
        <f t="shared" si="10"/>
        <v>0</v>
      </c>
      <c r="CB20">
        <f t="shared" si="27"/>
        <v>0</v>
      </c>
      <c r="CE20">
        <f t="shared" si="11"/>
        <v>0</v>
      </c>
      <c r="CH20">
        <f t="shared" si="28"/>
        <v>0</v>
      </c>
      <c r="CK20">
        <f t="shared" si="12"/>
        <v>0</v>
      </c>
      <c r="CN20">
        <f t="shared" si="29"/>
        <v>0</v>
      </c>
      <c r="CQ20">
        <f t="shared" si="13"/>
        <v>0</v>
      </c>
      <c r="CT20">
        <f t="shared" si="30"/>
        <v>0</v>
      </c>
      <c r="CW20">
        <f t="shared" si="14"/>
        <v>0</v>
      </c>
      <c r="CZ20">
        <f t="shared" si="31"/>
        <v>0</v>
      </c>
    </row>
    <row r="21" spans="1:104" ht="15" x14ac:dyDescent="0.2">
      <c r="A21" s="36">
        <v>15</v>
      </c>
      <c r="B21" s="44" t="str">
        <f>IF('Entries June''25'!N22-'Entries June''25'!N21&lt;1,"0",'Entries June''25'!N22-'Entries June''25'!N21)</f>
        <v>0</v>
      </c>
      <c r="C21" s="598">
        <v>0</v>
      </c>
      <c r="D21" s="589">
        <v>0</v>
      </c>
      <c r="E21" s="585" t="str">
        <f t="shared" si="0"/>
        <v>0</v>
      </c>
      <c r="F21" s="620" t="str">
        <f t="shared" si="15"/>
        <v>0</v>
      </c>
      <c r="H21" s="262">
        <f>'Entries June''25'!L22-'Entries June''25'!L21</f>
        <v>0</v>
      </c>
      <c r="I21" s="260" t="str">
        <f t="shared" si="16"/>
        <v>0</v>
      </c>
      <c r="K21" s="597"/>
      <c r="L21" s="261">
        <f>IF((('Entries June''25'!AK21-'Entries June''25'!AK22)/10)*5455&lt;0,"0",(('Entries June''25'!AK21-'Entries June''25'!AK22)/10)*5455)</f>
        <v>0</v>
      </c>
      <c r="M21" s="261">
        <f>IF((('Entries June''25'!AL21-'Entries June''25'!AL22)/10)*5455&lt;0,"0",(('Entries June''25'!AL21-'Entries June''25'!AL22)/10)*5455)</f>
        <v>0</v>
      </c>
      <c r="N21" s="261">
        <f>IF(('Entries June''25'!AM21-'Entries June''25'!AM22)/2.2&lt;0,"0",('Entries June''25'!AM21-'Entries June''25'!AM22)/2.2)</f>
        <v>0</v>
      </c>
      <c r="O21" s="262">
        <f>IF(('Entries June''25'!AN21-'Entries June''25'!AN22)&lt;0,"0",('Entries June''25'!AN21-'Entries June''25'!AN22))</f>
        <v>0</v>
      </c>
      <c r="T21">
        <f t="shared" si="17"/>
        <v>0</v>
      </c>
      <c r="W21">
        <f t="shared" si="1"/>
        <v>0</v>
      </c>
      <c r="Z21">
        <f t="shared" si="18"/>
        <v>0</v>
      </c>
      <c r="AC21">
        <f t="shared" si="2"/>
        <v>0</v>
      </c>
      <c r="AF21">
        <f t="shared" si="19"/>
        <v>0</v>
      </c>
      <c r="AI21">
        <f t="shared" si="3"/>
        <v>0</v>
      </c>
      <c r="AL21">
        <f t="shared" si="20"/>
        <v>0</v>
      </c>
      <c r="AO21">
        <f t="shared" si="4"/>
        <v>0</v>
      </c>
      <c r="AR21">
        <f t="shared" si="21"/>
        <v>0</v>
      </c>
      <c r="AU21">
        <f t="shared" si="5"/>
        <v>0</v>
      </c>
      <c r="AX21">
        <f t="shared" si="22"/>
        <v>0</v>
      </c>
      <c r="BA21">
        <f t="shared" si="6"/>
        <v>0</v>
      </c>
      <c r="BD21">
        <f t="shared" si="23"/>
        <v>0</v>
      </c>
      <c r="BG21">
        <f t="shared" si="7"/>
        <v>0</v>
      </c>
      <c r="BJ21">
        <f t="shared" si="24"/>
        <v>0</v>
      </c>
      <c r="BM21">
        <f t="shared" si="8"/>
        <v>0</v>
      </c>
      <c r="BP21">
        <f t="shared" si="25"/>
        <v>0</v>
      </c>
      <c r="BS21">
        <f t="shared" si="9"/>
        <v>0</v>
      </c>
      <c r="BV21">
        <f t="shared" si="26"/>
        <v>0</v>
      </c>
      <c r="BY21">
        <f t="shared" si="10"/>
        <v>0</v>
      </c>
      <c r="CB21">
        <f t="shared" si="27"/>
        <v>0</v>
      </c>
      <c r="CE21">
        <f t="shared" si="11"/>
        <v>0</v>
      </c>
      <c r="CH21">
        <f t="shared" si="28"/>
        <v>0</v>
      </c>
      <c r="CK21">
        <f t="shared" si="12"/>
        <v>0</v>
      </c>
      <c r="CN21">
        <f t="shared" si="29"/>
        <v>0</v>
      </c>
      <c r="CQ21">
        <f t="shared" si="13"/>
        <v>0</v>
      </c>
      <c r="CT21">
        <f t="shared" si="30"/>
        <v>0</v>
      </c>
      <c r="CW21">
        <f t="shared" si="14"/>
        <v>0</v>
      </c>
      <c r="CZ21">
        <f t="shared" si="31"/>
        <v>0</v>
      </c>
    </row>
    <row r="22" spans="1:104" ht="15" x14ac:dyDescent="0.2">
      <c r="A22" s="36">
        <v>16</v>
      </c>
      <c r="B22" s="44">
        <f>IF('Entries June''25'!N23-'Entries June''25'!N22&lt;1,"0",'Entries June''25'!N23-'Entries June''25'!N22)</f>
        <v>65.539999999999964</v>
      </c>
      <c r="C22" s="598">
        <v>2400</v>
      </c>
      <c r="D22" s="589">
        <v>400.62</v>
      </c>
      <c r="E22" s="585">
        <f t="shared" si="0"/>
        <v>0.16359642554041226</v>
      </c>
      <c r="F22" s="620">
        <f t="shared" si="15"/>
        <v>5.990714392691328</v>
      </c>
      <c r="H22" s="262">
        <f>'Entries June''25'!L23-'Entries June''25'!L22</f>
        <v>0</v>
      </c>
      <c r="I22" s="260">
        <f t="shared" si="16"/>
        <v>65.539999999999964</v>
      </c>
      <c r="K22" s="597"/>
      <c r="L22" s="261">
        <f>IF((('Entries June''25'!AK22-'Entries June''25'!AK23)/10)*5455&lt;0,"0",(('Entries June''25'!AK22-'Entries June''25'!AK23)/10)*5455)</f>
        <v>0</v>
      </c>
      <c r="M22" s="261">
        <f>IF((('Entries June''25'!AL22-'Entries June''25'!AL23)/10)*5455&lt;0,"0",(('Entries June''25'!AL22-'Entries June''25'!AL23)/10)*5455)</f>
        <v>0</v>
      </c>
      <c r="N22" s="261">
        <f>IF(('Entries June''25'!AM22-'Entries June''25'!AM23)/2.2&lt;0,"0",('Entries June''25'!AM22-'Entries June''25'!AM23)/2.2)</f>
        <v>0</v>
      </c>
      <c r="O22" s="262">
        <f>IF(('Entries June''25'!AN22-'Entries June''25'!AN23)&lt;0,"0",('Entries June''25'!AN22-'Entries June''25'!AN23))</f>
        <v>0</v>
      </c>
      <c r="T22">
        <f t="shared" si="17"/>
        <v>0</v>
      </c>
      <c r="W22">
        <f t="shared" si="1"/>
        <v>0</v>
      </c>
      <c r="Z22">
        <f t="shared" si="18"/>
        <v>0</v>
      </c>
      <c r="AC22">
        <f t="shared" si="2"/>
        <v>0</v>
      </c>
      <c r="AF22">
        <f t="shared" si="19"/>
        <v>0</v>
      </c>
      <c r="AI22">
        <f t="shared" si="3"/>
        <v>0</v>
      </c>
      <c r="AL22">
        <f t="shared" si="20"/>
        <v>0</v>
      </c>
      <c r="AO22">
        <f t="shared" si="4"/>
        <v>0</v>
      </c>
      <c r="AR22">
        <f t="shared" si="21"/>
        <v>0</v>
      </c>
      <c r="AU22">
        <f t="shared" si="5"/>
        <v>0</v>
      </c>
      <c r="AX22">
        <f t="shared" si="22"/>
        <v>0</v>
      </c>
      <c r="BA22">
        <f t="shared" si="6"/>
        <v>0</v>
      </c>
      <c r="BD22">
        <f t="shared" si="23"/>
        <v>0</v>
      </c>
      <c r="BG22">
        <f t="shared" si="7"/>
        <v>0</v>
      </c>
      <c r="BJ22">
        <f t="shared" si="24"/>
        <v>0</v>
      </c>
      <c r="BM22">
        <f t="shared" si="8"/>
        <v>0</v>
      </c>
      <c r="BP22">
        <f t="shared" si="25"/>
        <v>0</v>
      </c>
      <c r="BS22">
        <f t="shared" si="9"/>
        <v>0</v>
      </c>
      <c r="BV22">
        <f t="shared" si="26"/>
        <v>0</v>
      </c>
      <c r="BY22">
        <f t="shared" si="10"/>
        <v>0</v>
      </c>
      <c r="CB22">
        <f t="shared" si="27"/>
        <v>0</v>
      </c>
      <c r="CE22">
        <f t="shared" si="11"/>
        <v>0</v>
      </c>
      <c r="CH22">
        <f t="shared" si="28"/>
        <v>0</v>
      </c>
      <c r="CK22">
        <f t="shared" si="12"/>
        <v>0</v>
      </c>
      <c r="CN22">
        <f t="shared" si="29"/>
        <v>0</v>
      </c>
      <c r="CQ22">
        <f t="shared" si="13"/>
        <v>0</v>
      </c>
      <c r="CT22">
        <f t="shared" si="30"/>
        <v>0</v>
      </c>
      <c r="CW22">
        <f t="shared" si="14"/>
        <v>0</v>
      </c>
      <c r="CZ22">
        <f t="shared" si="31"/>
        <v>0</v>
      </c>
    </row>
    <row r="23" spans="1:104" ht="15" x14ac:dyDescent="0.2">
      <c r="A23" s="36">
        <v>17</v>
      </c>
      <c r="B23" s="44">
        <f>IF('Entries June''25'!N24-'Entries June''25'!N23&lt;1,"0",'Entries June''25'!N24-'Entries June''25'!N23)</f>
        <v>73.150000000000091</v>
      </c>
      <c r="C23" s="598">
        <v>2500</v>
      </c>
      <c r="D23" s="589">
        <v>550.24200000000008</v>
      </c>
      <c r="E23" s="585">
        <f t="shared" si="0"/>
        <v>0.13294150573747565</v>
      </c>
      <c r="F23" s="620">
        <f t="shared" si="15"/>
        <v>4.5434554250675152</v>
      </c>
      <c r="H23" s="262">
        <f>'Entries June''25'!L24-'Entries June''25'!L23</f>
        <v>0</v>
      </c>
      <c r="I23" s="260">
        <f t="shared" si="16"/>
        <v>73.150000000000091</v>
      </c>
      <c r="K23" s="597"/>
      <c r="L23" s="261">
        <f>IF((('Entries June''25'!AK23-'Entries June''25'!AK24)/10)*5455&lt;0,"0",(('Entries June''25'!AK23-'Entries June''25'!AK24)/10)*5455)</f>
        <v>0</v>
      </c>
      <c r="M23" s="261">
        <f>IF((('Entries June''25'!AL23-'Entries June''25'!AL24)/10)*5455&lt;0,"0",(('Entries June''25'!AL23-'Entries June''25'!AL24)/10)*5455)</f>
        <v>0</v>
      </c>
      <c r="N23" s="261">
        <f>IF(('Entries June''25'!AM23-'Entries June''25'!AM24)/2.2&lt;0,"0",('Entries June''25'!AM23-'Entries June''25'!AM24)/2.2)</f>
        <v>0</v>
      </c>
      <c r="O23" s="262">
        <f>IF(('Entries June''25'!AN23-'Entries June''25'!AN24)&lt;0,"0",('Entries June''25'!AN23-'Entries June''25'!AN24))</f>
        <v>0</v>
      </c>
      <c r="T23">
        <f t="shared" si="17"/>
        <v>0</v>
      </c>
      <c r="W23">
        <f t="shared" si="1"/>
        <v>0</v>
      </c>
      <c r="Z23">
        <f t="shared" si="18"/>
        <v>0</v>
      </c>
      <c r="AC23">
        <f t="shared" si="2"/>
        <v>0</v>
      </c>
      <c r="AF23">
        <f t="shared" si="19"/>
        <v>0</v>
      </c>
      <c r="AI23">
        <f t="shared" si="3"/>
        <v>0</v>
      </c>
      <c r="AL23">
        <f t="shared" si="20"/>
        <v>0</v>
      </c>
      <c r="AO23">
        <f t="shared" si="4"/>
        <v>0</v>
      </c>
      <c r="AR23">
        <f t="shared" si="21"/>
        <v>0</v>
      </c>
      <c r="AU23">
        <f t="shared" si="5"/>
        <v>0</v>
      </c>
      <c r="AX23">
        <f t="shared" si="22"/>
        <v>0</v>
      </c>
      <c r="BA23">
        <f t="shared" si="6"/>
        <v>0</v>
      </c>
      <c r="BD23">
        <f t="shared" si="23"/>
        <v>0</v>
      </c>
      <c r="BG23">
        <f t="shared" si="7"/>
        <v>0</v>
      </c>
      <c r="BJ23">
        <f t="shared" si="24"/>
        <v>0</v>
      </c>
      <c r="BM23">
        <f t="shared" si="8"/>
        <v>0</v>
      </c>
      <c r="BP23">
        <f t="shared" si="25"/>
        <v>0</v>
      </c>
      <c r="BS23">
        <f t="shared" si="9"/>
        <v>0</v>
      </c>
      <c r="BV23">
        <f t="shared" si="26"/>
        <v>0</v>
      </c>
      <c r="BY23">
        <f t="shared" si="10"/>
        <v>0</v>
      </c>
      <c r="CB23">
        <f t="shared" si="27"/>
        <v>0</v>
      </c>
      <c r="CE23">
        <f t="shared" si="11"/>
        <v>0</v>
      </c>
      <c r="CH23">
        <f t="shared" si="28"/>
        <v>0</v>
      </c>
      <c r="CK23">
        <f t="shared" si="12"/>
        <v>0</v>
      </c>
      <c r="CN23">
        <f t="shared" si="29"/>
        <v>0</v>
      </c>
      <c r="CQ23">
        <f t="shared" si="13"/>
        <v>0</v>
      </c>
      <c r="CT23">
        <f t="shared" si="30"/>
        <v>0</v>
      </c>
      <c r="CW23">
        <f t="shared" si="14"/>
        <v>0</v>
      </c>
      <c r="CZ23">
        <f t="shared" si="31"/>
        <v>0</v>
      </c>
    </row>
    <row r="24" spans="1:104" ht="15" x14ac:dyDescent="0.2">
      <c r="A24" s="36">
        <v>18</v>
      </c>
      <c r="B24" s="44">
        <f>IF('Entries June''25'!N25-'Entries June''25'!N24&lt;1,"0",'Entries June''25'!N25-'Entries June''25'!N24)</f>
        <v>97.059999999999945</v>
      </c>
      <c r="C24" s="598">
        <v>3200</v>
      </c>
      <c r="D24" s="589">
        <v>446.5428</v>
      </c>
      <c r="E24" s="585">
        <f t="shared" si="0"/>
        <v>0.21735878397322708</v>
      </c>
      <c r="F24" s="620">
        <f t="shared" si="15"/>
        <v>7.1661663786763556</v>
      </c>
      <c r="H24" s="262">
        <f>'Entries June''25'!L25-'Entries June''25'!L24</f>
        <v>0</v>
      </c>
      <c r="I24" s="260">
        <f t="shared" si="16"/>
        <v>97.059999999999945</v>
      </c>
      <c r="K24" s="597"/>
      <c r="L24" s="261">
        <f>IF((('Entries June''25'!AK24-'Entries June''25'!AK25)/10)*5455&lt;0,"0",(('Entries June''25'!AK24-'Entries June''25'!AK25)/10)*5455)</f>
        <v>0</v>
      </c>
      <c r="M24" s="261">
        <f>IF((('Entries June''25'!AL24-'Entries June''25'!AL25)/10)*5455&lt;0,"0",(('Entries June''25'!AL24-'Entries June''25'!AL25)/10)*5455)</f>
        <v>0</v>
      </c>
      <c r="N24" s="261">
        <f>IF(('Entries June''25'!AM24-'Entries June''25'!AM25)/2.2&lt;0,"0",('Entries June''25'!AM24-'Entries June''25'!AM25)/2.2)</f>
        <v>0</v>
      </c>
      <c r="O24" s="262">
        <f>IF(('Entries June''25'!AN24-'Entries June''25'!AN25)&lt;0,"0",('Entries June''25'!AN24-'Entries June''25'!AN25))</f>
        <v>0</v>
      </c>
      <c r="T24">
        <f t="shared" si="17"/>
        <v>0</v>
      </c>
      <c r="W24">
        <f t="shared" si="1"/>
        <v>0</v>
      </c>
      <c r="Z24">
        <f t="shared" si="18"/>
        <v>0</v>
      </c>
      <c r="AC24">
        <f t="shared" si="2"/>
        <v>0</v>
      </c>
      <c r="AF24">
        <f t="shared" si="19"/>
        <v>0</v>
      </c>
      <c r="AI24">
        <f t="shared" si="3"/>
        <v>0</v>
      </c>
      <c r="AL24">
        <f t="shared" si="20"/>
        <v>0</v>
      </c>
      <c r="AO24">
        <f t="shared" si="4"/>
        <v>0</v>
      </c>
      <c r="AR24">
        <f t="shared" si="21"/>
        <v>0</v>
      </c>
      <c r="AU24">
        <f t="shared" si="5"/>
        <v>0</v>
      </c>
      <c r="AX24">
        <f t="shared" si="22"/>
        <v>0</v>
      </c>
      <c r="BA24">
        <f t="shared" si="6"/>
        <v>0</v>
      </c>
      <c r="BD24">
        <f t="shared" si="23"/>
        <v>0</v>
      </c>
      <c r="BG24">
        <f t="shared" si="7"/>
        <v>0</v>
      </c>
      <c r="BJ24">
        <f t="shared" si="24"/>
        <v>0</v>
      </c>
      <c r="BM24">
        <f t="shared" si="8"/>
        <v>0</v>
      </c>
      <c r="BP24">
        <f t="shared" si="25"/>
        <v>0</v>
      </c>
      <c r="BS24">
        <f t="shared" si="9"/>
        <v>0</v>
      </c>
      <c r="BV24">
        <f t="shared" si="26"/>
        <v>0</v>
      </c>
      <c r="BY24">
        <f t="shared" si="10"/>
        <v>0</v>
      </c>
      <c r="CB24">
        <f t="shared" si="27"/>
        <v>0</v>
      </c>
      <c r="CE24">
        <f t="shared" si="11"/>
        <v>0</v>
      </c>
      <c r="CH24">
        <f t="shared" si="28"/>
        <v>0</v>
      </c>
      <c r="CK24">
        <f t="shared" si="12"/>
        <v>0</v>
      </c>
      <c r="CN24">
        <f t="shared" si="29"/>
        <v>0</v>
      </c>
      <c r="CQ24">
        <f t="shared" si="13"/>
        <v>0</v>
      </c>
      <c r="CT24">
        <f t="shared" si="30"/>
        <v>0</v>
      </c>
      <c r="CW24">
        <f t="shared" si="14"/>
        <v>0</v>
      </c>
      <c r="CZ24">
        <f t="shared" si="31"/>
        <v>0</v>
      </c>
    </row>
    <row r="25" spans="1:104" ht="15" x14ac:dyDescent="0.2">
      <c r="A25" s="36">
        <v>19</v>
      </c>
      <c r="B25" s="44" t="str">
        <f>IF('Entries June''25'!N26-'Entries June''25'!N25&lt;1,"0",'Entries June''25'!N26-'Entries June''25'!N25)</f>
        <v>0</v>
      </c>
      <c r="C25" s="598">
        <v>0</v>
      </c>
      <c r="D25" s="589">
        <v>0</v>
      </c>
      <c r="E25" s="585" t="str">
        <f t="shared" si="0"/>
        <v>0</v>
      </c>
      <c r="F25" s="620" t="str">
        <f t="shared" si="15"/>
        <v>0</v>
      </c>
      <c r="H25" s="262">
        <f>'Entries June''25'!L26-'Entries June''25'!L25</f>
        <v>0</v>
      </c>
      <c r="I25" s="260" t="str">
        <f t="shared" si="16"/>
        <v>0</v>
      </c>
      <c r="K25" s="597"/>
      <c r="L25" s="261">
        <f>IF((('Entries June''25'!AK25-'Entries June''25'!AK26)/10)*5455&lt;0,"0",(('Entries June''25'!AK25-'Entries June''25'!AK26)/10)*5455)</f>
        <v>0</v>
      </c>
      <c r="M25" s="261">
        <f>IF((('Entries June''25'!AL25-'Entries June''25'!AL26)/10)*5455&lt;0,"0",(('Entries June''25'!AL25-'Entries June''25'!AL26)/10)*5455)</f>
        <v>0</v>
      </c>
      <c r="N25" s="261">
        <f>IF(('Entries June''25'!AM25-'Entries June''25'!AM26)/2.2&lt;0,"0",('Entries June''25'!AM25-'Entries June''25'!AM26)/2.2)</f>
        <v>0</v>
      </c>
      <c r="O25" s="262">
        <f>IF(('Entries June''25'!AN25-'Entries June''25'!AN26)&lt;0,"0",('Entries June''25'!AN25-'Entries June''25'!AN26))</f>
        <v>0</v>
      </c>
      <c r="T25">
        <f t="shared" si="17"/>
        <v>0</v>
      </c>
      <c r="W25">
        <f t="shared" si="1"/>
        <v>0</v>
      </c>
      <c r="Z25">
        <f t="shared" si="18"/>
        <v>0</v>
      </c>
      <c r="AC25">
        <f t="shared" si="2"/>
        <v>0</v>
      </c>
      <c r="AF25">
        <f t="shared" si="19"/>
        <v>0</v>
      </c>
      <c r="AI25">
        <f t="shared" si="3"/>
        <v>0</v>
      </c>
      <c r="AL25">
        <f t="shared" si="20"/>
        <v>0</v>
      </c>
      <c r="AO25">
        <f t="shared" si="4"/>
        <v>0</v>
      </c>
      <c r="AR25">
        <f t="shared" si="21"/>
        <v>0</v>
      </c>
      <c r="AU25">
        <f t="shared" si="5"/>
        <v>0</v>
      </c>
      <c r="AX25">
        <f t="shared" si="22"/>
        <v>0</v>
      </c>
      <c r="BA25">
        <f t="shared" si="6"/>
        <v>0</v>
      </c>
      <c r="BD25">
        <f t="shared" si="23"/>
        <v>0</v>
      </c>
      <c r="BG25">
        <f t="shared" si="7"/>
        <v>0</v>
      </c>
      <c r="BJ25">
        <f t="shared" si="24"/>
        <v>0</v>
      </c>
      <c r="BM25">
        <f t="shared" si="8"/>
        <v>0</v>
      </c>
      <c r="BP25">
        <f t="shared" si="25"/>
        <v>0</v>
      </c>
      <c r="BS25">
        <f t="shared" si="9"/>
        <v>0</v>
      </c>
      <c r="BV25">
        <f t="shared" si="26"/>
        <v>0</v>
      </c>
      <c r="BY25">
        <f t="shared" si="10"/>
        <v>0</v>
      </c>
      <c r="CB25">
        <f t="shared" si="27"/>
        <v>0</v>
      </c>
      <c r="CE25">
        <f t="shared" si="11"/>
        <v>0</v>
      </c>
      <c r="CH25">
        <f t="shared" si="28"/>
        <v>0</v>
      </c>
      <c r="CK25">
        <f t="shared" si="12"/>
        <v>0</v>
      </c>
      <c r="CN25">
        <f t="shared" si="29"/>
        <v>0</v>
      </c>
      <c r="CQ25">
        <f t="shared" si="13"/>
        <v>0</v>
      </c>
      <c r="CT25">
        <f t="shared" si="30"/>
        <v>0</v>
      </c>
      <c r="CW25">
        <f t="shared" si="14"/>
        <v>0</v>
      </c>
      <c r="CZ25">
        <f t="shared" si="31"/>
        <v>0</v>
      </c>
    </row>
    <row r="26" spans="1:104" ht="15" x14ac:dyDescent="0.2">
      <c r="A26" s="36">
        <v>20</v>
      </c>
      <c r="B26" s="44">
        <f>IF('Entries June''25'!N27-'Entries June''25'!N26&lt;1,"0",'Entries June''25'!N27-'Entries June''25'!N26)</f>
        <v>44.130000000000109</v>
      </c>
      <c r="C26" s="598">
        <v>2500</v>
      </c>
      <c r="D26" s="589">
        <v>365.02080000000001</v>
      </c>
      <c r="E26" s="585">
        <f t="shared" si="0"/>
        <v>0.12089722010362179</v>
      </c>
      <c r="F26" s="620">
        <f t="shared" si="15"/>
        <v>6.8489247736019427</v>
      </c>
      <c r="H26" s="262">
        <f>'Entries June''25'!L27-'Entries June''25'!L26</f>
        <v>0</v>
      </c>
      <c r="I26" s="260">
        <f t="shared" si="16"/>
        <v>44.130000000000109</v>
      </c>
      <c r="K26" s="597"/>
      <c r="L26" s="261">
        <f>IF((('Entries June''25'!AK26-'Entries June''25'!AK27)/10)*5455&lt;0,"0",(('Entries June''25'!AK26-'Entries June''25'!AK27)/10)*5455)</f>
        <v>0</v>
      </c>
      <c r="M26" s="261">
        <f>IF((('Entries June''25'!AL26-'Entries June''25'!AL27)/10)*5455&lt;0,"0",(('Entries June''25'!AL26-'Entries June''25'!AL27)/10)*5455)</f>
        <v>0</v>
      </c>
      <c r="N26" s="261">
        <f>IF(('Entries June''25'!AM26-'Entries June''25'!AM27)/2.2&lt;0,"0",('Entries June''25'!AM26-'Entries June''25'!AM27)/2.2)</f>
        <v>0</v>
      </c>
      <c r="O26" s="262">
        <f>IF(('Entries June''25'!AN26-'Entries June''25'!AN27)&lt;0,"0",('Entries June''25'!AN26-'Entries June''25'!AN27))</f>
        <v>0</v>
      </c>
      <c r="T26">
        <f t="shared" si="17"/>
        <v>0</v>
      </c>
      <c r="W26">
        <f t="shared" si="1"/>
        <v>0</v>
      </c>
      <c r="Z26">
        <f t="shared" si="18"/>
        <v>0</v>
      </c>
      <c r="AC26">
        <f t="shared" si="2"/>
        <v>0</v>
      </c>
      <c r="AF26">
        <f t="shared" si="19"/>
        <v>0</v>
      </c>
      <c r="AI26">
        <f t="shared" si="3"/>
        <v>0</v>
      </c>
      <c r="AL26">
        <f t="shared" si="20"/>
        <v>0</v>
      </c>
      <c r="AO26">
        <f t="shared" si="4"/>
        <v>0</v>
      </c>
      <c r="AR26">
        <f t="shared" si="21"/>
        <v>0</v>
      </c>
      <c r="AU26">
        <f t="shared" si="5"/>
        <v>0</v>
      </c>
      <c r="AX26">
        <f t="shared" si="22"/>
        <v>0</v>
      </c>
      <c r="BA26">
        <f t="shared" si="6"/>
        <v>0</v>
      </c>
      <c r="BD26">
        <f t="shared" si="23"/>
        <v>0</v>
      </c>
      <c r="BG26">
        <f t="shared" si="7"/>
        <v>0</v>
      </c>
      <c r="BJ26">
        <f t="shared" si="24"/>
        <v>0</v>
      </c>
      <c r="BM26">
        <f t="shared" si="8"/>
        <v>0</v>
      </c>
      <c r="BP26">
        <f t="shared" si="25"/>
        <v>0</v>
      </c>
      <c r="BS26">
        <f t="shared" si="9"/>
        <v>0</v>
      </c>
      <c r="BV26">
        <f t="shared" si="26"/>
        <v>0</v>
      </c>
      <c r="BY26">
        <f t="shared" si="10"/>
        <v>0</v>
      </c>
      <c r="CB26">
        <f t="shared" si="27"/>
        <v>0</v>
      </c>
      <c r="CE26">
        <f t="shared" si="11"/>
        <v>0</v>
      </c>
      <c r="CH26">
        <f t="shared" si="28"/>
        <v>0</v>
      </c>
      <c r="CK26">
        <f t="shared" si="12"/>
        <v>0</v>
      </c>
      <c r="CN26">
        <f t="shared" si="29"/>
        <v>0</v>
      </c>
      <c r="CQ26">
        <f t="shared" si="13"/>
        <v>0</v>
      </c>
      <c r="CT26">
        <f t="shared" si="30"/>
        <v>0</v>
      </c>
      <c r="CW26">
        <f t="shared" si="14"/>
        <v>0</v>
      </c>
      <c r="CZ26">
        <f t="shared" si="31"/>
        <v>0</v>
      </c>
    </row>
    <row r="27" spans="1:104" ht="15" x14ac:dyDescent="0.2">
      <c r="A27" s="36">
        <v>21</v>
      </c>
      <c r="B27" s="44" t="str">
        <f>IF('Entries June''25'!N28-'Entries June''25'!N27&lt;1,"0",'Entries June''25'!N28-'Entries June''25'!N27)</f>
        <v>0</v>
      </c>
      <c r="C27" s="598">
        <v>0</v>
      </c>
      <c r="D27" s="589">
        <v>0</v>
      </c>
      <c r="E27" s="585" t="str">
        <f t="shared" si="0"/>
        <v>0</v>
      </c>
      <c r="F27" s="620" t="str">
        <f t="shared" si="15"/>
        <v>0</v>
      </c>
      <c r="H27" s="262">
        <f>'Entries June''25'!L28-'Entries June''25'!L27</f>
        <v>0</v>
      </c>
      <c r="I27" s="260" t="str">
        <f t="shared" si="16"/>
        <v>0</v>
      </c>
      <c r="K27" s="597"/>
      <c r="L27" s="261">
        <f>IF((('Entries June''25'!AK27-'Entries June''25'!AK28)/10)*5455&lt;0,"0",(('Entries June''25'!AK27-'Entries June''25'!AK28)/10)*5455)</f>
        <v>0</v>
      </c>
      <c r="M27" s="261">
        <f>IF((('Entries June''25'!AL27-'Entries June''25'!AL28)/10)*5455&lt;0,"0",(('Entries June''25'!AL27-'Entries June''25'!AL28)/10)*5455)</f>
        <v>0</v>
      </c>
      <c r="N27" s="261">
        <f>IF(('Entries June''25'!AM27-'Entries June''25'!AM28)/2.2&lt;0,"0",('Entries June''25'!AM27-'Entries June''25'!AM28)/2.2)</f>
        <v>0</v>
      </c>
      <c r="O27" s="262">
        <f>IF(('Entries June''25'!AN27-'Entries June''25'!AN28)&lt;0,"0",('Entries June''25'!AN27-'Entries June''25'!AN28))</f>
        <v>0</v>
      </c>
      <c r="T27">
        <f t="shared" si="17"/>
        <v>0</v>
      </c>
      <c r="W27">
        <f t="shared" si="1"/>
        <v>0</v>
      </c>
      <c r="Z27">
        <f t="shared" si="18"/>
        <v>0</v>
      </c>
      <c r="AC27">
        <f t="shared" si="2"/>
        <v>0</v>
      </c>
      <c r="AF27">
        <f t="shared" si="19"/>
        <v>0</v>
      </c>
      <c r="AI27">
        <f t="shared" si="3"/>
        <v>0</v>
      </c>
      <c r="AL27">
        <f t="shared" si="20"/>
        <v>0</v>
      </c>
      <c r="AO27">
        <f t="shared" si="4"/>
        <v>0</v>
      </c>
      <c r="AR27">
        <f t="shared" si="21"/>
        <v>0</v>
      </c>
      <c r="AU27">
        <f t="shared" si="5"/>
        <v>0</v>
      </c>
      <c r="AX27">
        <f t="shared" si="22"/>
        <v>0</v>
      </c>
      <c r="BA27">
        <f t="shared" si="6"/>
        <v>0</v>
      </c>
      <c r="BD27">
        <f t="shared" si="23"/>
        <v>0</v>
      </c>
      <c r="BG27">
        <f t="shared" si="7"/>
        <v>0</v>
      </c>
      <c r="BJ27">
        <f t="shared" si="24"/>
        <v>0</v>
      </c>
      <c r="BM27">
        <f t="shared" si="8"/>
        <v>0</v>
      </c>
      <c r="BP27">
        <f t="shared" si="25"/>
        <v>0</v>
      </c>
      <c r="BS27">
        <f t="shared" si="9"/>
        <v>0</v>
      </c>
      <c r="BV27">
        <f t="shared" si="26"/>
        <v>0</v>
      </c>
      <c r="BY27">
        <f t="shared" si="10"/>
        <v>0</v>
      </c>
      <c r="CB27">
        <f t="shared" si="27"/>
        <v>0</v>
      </c>
      <c r="CE27">
        <f t="shared" si="11"/>
        <v>0</v>
      </c>
      <c r="CH27">
        <f t="shared" si="28"/>
        <v>0</v>
      </c>
      <c r="CK27">
        <f t="shared" si="12"/>
        <v>0</v>
      </c>
      <c r="CN27">
        <f t="shared" si="29"/>
        <v>0</v>
      </c>
      <c r="CQ27">
        <f t="shared" si="13"/>
        <v>0</v>
      </c>
      <c r="CT27">
        <f t="shared" si="30"/>
        <v>0</v>
      </c>
      <c r="CW27">
        <f t="shared" si="14"/>
        <v>0</v>
      </c>
      <c r="CZ27">
        <f t="shared" si="31"/>
        <v>0</v>
      </c>
    </row>
    <row r="28" spans="1:104" ht="15" x14ac:dyDescent="0.2">
      <c r="A28" s="36">
        <v>22</v>
      </c>
      <c r="B28" s="44" t="str">
        <f>IF('Entries June''25'!N29-'Entries June''25'!N28&lt;1,"0",'Entries June''25'!N29-'Entries June''25'!N28)</f>
        <v>0</v>
      </c>
      <c r="C28" s="598">
        <v>0</v>
      </c>
      <c r="D28" s="589">
        <v>0</v>
      </c>
      <c r="E28" s="585" t="str">
        <f t="shared" si="0"/>
        <v>0</v>
      </c>
      <c r="F28" s="620" t="str">
        <f t="shared" si="15"/>
        <v>0</v>
      </c>
      <c r="H28" s="262">
        <f>'Entries June''25'!L29-'Entries June''25'!L28</f>
        <v>0</v>
      </c>
      <c r="I28" s="260" t="str">
        <f t="shared" si="16"/>
        <v>0</v>
      </c>
      <c r="K28" s="597"/>
      <c r="L28" s="261">
        <f>IF((('Entries June''25'!AK28-'Entries June''25'!AK29)/10)*5455&lt;0,"0",(('Entries June''25'!AK28-'Entries June''25'!AK29)/10)*5455)</f>
        <v>0</v>
      </c>
      <c r="M28" s="261">
        <f>IF((('Entries June''25'!AL28-'Entries June''25'!AL29)/10)*5455&lt;0,"0",(('Entries June''25'!AL28-'Entries June''25'!AL29)/10)*5455)</f>
        <v>0</v>
      </c>
      <c r="N28" s="261">
        <f>IF(('Entries June''25'!AM28-'Entries June''25'!AM29)/2.2&lt;0,"0",('Entries June''25'!AM28-'Entries June''25'!AM29)/2.2)</f>
        <v>0</v>
      </c>
      <c r="O28" s="262">
        <f>IF(('Entries June''25'!AN28-'Entries June''25'!AN29)&lt;0,"0",('Entries June''25'!AN28-'Entries June''25'!AN29))</f>
        <v>0</v>
      </c>
      <c r="T28">
        <f t="shared" si="17"/>
        <v>0</v>
      </c>
      <c r="W28">
        <f t="shared" si="1"/>
        <v>0</v>
      </c>
      <c r="Z28">
        <f t="shared" si="18"/>
        <v>0</v>
      </c>
      <c r="AC28">
        <f t="shared" si="2"/>
        <v>0</v>
      </c>
      <c r="AF28">
        <f t="shared" si="19"/>
        <v>0</v>
      </c>
      <c r="AI28">
        <f t="shared" si="3"/>
        <v>0</v>
      </c>
      <c r="AL28">
        <f t="shared" si="20"/>
        <v>0</v>
      </c>
      <c r="AO28">
        <f t="shared" si="4"/>
        <v>0</v>
      </c>
      <c r="AR28">
        <f t="shared" si="21"/>
        <v>0</v>
      </c>
      <c r="AU28">
        <f t="shared" si="5"/>
        <v>0</v>
      </c>
      <c r="AX28">
        <f t="shared" si="22"/>
        <v>0</v>
      </c>
      <c r="BA28">
        <f t="shared" si="6"/>
        <v>0</v>
      </c>
      <c r="BD28">
        <f t="shared" si="23"/>
        <v>0</v>
      </c>
      <c r="BG28">
        <f t="shared" si="7"/>
        <v>0</v>
      </c>
      <c r="BJ28">
        <f t="shared" si="24"/>
        <v>0</v>
      </c>
      <c r="BM28">
        <f t="shared" si="8"/>
        <v>0</v>
      </c>
      <c r="BP28">
        <f t="shared" si="25"/>
        <v>0</v>
      </c>
      <c r="BS28">
        <f t="shared" si="9"/>
        <v>0</v>
      </c>
      <c r="BV28">
        <f t="shared" si="26"/>
        <v>0</v>
      </c>
      <c r="BY28">
        <f t="shared" si="10"/>
        <v>0</v>
      </c>
      <c r="CB28">
        <f t="shared" si="27"/>
        <v>0</v>
      </c>
      <c r="CE28">
        <f t="shared" si="11"/>
        <v>0</v>
      </c>
      <c r="CH28">
        <f t="shared" si="28"/>
        <v>0</v>
      </c>
      <c r="CK28">
        <f t="shared" si="12"/>
        <v>0</v>
      </c>
      <c r="CN28">
        <f t="shared" si="29"/>
        <v>0</v>
      </c>
      <c r="CQ28">
        <f t="shared" si="13"/>
        <v>0</v>
      </c>
      <c r="CT28">
        <f t="shared" si="30"/>
        <v>0</v>
      </c>
      <c r="CW28">
        <f t="shared" si="14"/>
        <v>0</v>
      </c>
      <c r="CZ28">
        <f t="shared" si="31"/>
        <v>0</v>
      </c>
    </row>
    <row r="29" spans="1:104" ht="15" x14ac:dyDescent="0.2">
      <c r="A29" s="36">
        <v>23</v>
      </c>
      <c r="B29" s="44">
        <f>IF('Entries June''25'!N30-'Entries June''25'!N29&lt;1,"0",'Entries June''25'!N30-'Entries June''25'!N29)</f>
        <v>59.379999999999654</v>
      </c>
      <c r="C29" s="598">
        <v>3100</v>
      </c>
      <c r="D29" s="589">
        <v>475.86</v>
      </c>
      <c r="E29" s="585">
        <f t="shared" si="0"/>
        <v>0.12478460051275513</v>
      </c>
      <c r="F29" s="620">
        <f t="shared" si="15"/>
        <v>6.5145210776278732</v>
      </c>
      <c r="H29" s="262">
        <f>'Entries June''25'!L30-'Entries June''25'!L29</f>
        <v>0</v>
      </c>
      <c r="I29" s="260">
        <f>+$B29</f>
        <v>59.379999999999654</v>
      </c>
      <c r="K29" s="597"/>
      <c r="L29" s="261">
        <f>IF((('Entries June''25'!AK29-'Entries June''25'!AK30)/10)*5455&lt;0,"0",(('Entries June''25'!AK29-'Entries June''25'!AK30)/10)*5455)</f>
        <v>0</v>
      </c>
      <c r="M29" s="261">
        <f>IF((('Entries June''25'!AL29-'Entries June''25'!AL30)/10)*5455&lt;0,"0",(('Entries June''25'!AL29-'Entries June''25'!AL30)/10)*5455)</f>
        <v>0</v>
      </c>
      <c r="N29" s="261">
        <f>IF(('Entries June''25'!AM29-'Entries June''25'!AM30)/2.2&lt;0,"0",('Entries June''25'!AM29-'Entries June''25'!AM30)/2.2)</f>
        <v>0</v>
      </c>
      <c r="O29" s="262">
        <f>IF(('Entries June''25'!AN29-'Entries June''25'!AN30)&lt;0,"0",('Entries June''25'!AN29-'Entries June''25'!AN30))</f>
        <v>0</v>
      </c>
      <c r="T29">
        <f t="shared" si="17"/>
        <v>0</v>
      </c>
      <c r="W29">
        <f t="shared" si="1"/>
        <v>0</v>
      </c>
      <c r="Z29">
        <f t="shared" si="18"/>
        <v>0</v>
      </c>
      <c r="AC29">
        <f t="shared" si="2"/>
        <v>0</v>
      </c>
      <c r="AF29">
        <f t="shared" si="19"/>
        <v>0</v>
      </c>
      <c r="AI29">
        <f t="shared" si="3"/>
        <v>0</v>
      </c>
      <c r="AL29">
        <f t="shared" si="20"/>
        <v>0</v>
      </c>
      <c r="AO29">
        <f t="shared" si="4"/>
        <v>0</v>
      </c>
      <c r="AR29">
        <f t="shared" si="21"/>
        <v>0</v>
      </c>
      <c r="AU29">
        <f t="shared" si="5"/>
        <v>0</v>
      </c>
      <c r="AX29">
        <f t="shared" si="22"/>
        <v>0</v>
      </c>
      <c r="BA29">
        <f t="shared" si="6"/>
        <v>0</v>
      </c>
      <c r="BD29">
        <f t="shared" si="23"/>
        <v>0</v>
      </c>
      <c r="BG29">
        <f t="shared" si="7"/>
        <v>0</v>
      </c>
      <c r="BJ29">
        <f t="shared" si="24"/>
        <v>0</v>
      </c>
      <c r="BM29">
        <f t="shared" si="8"/>
        <v>0</v>
      </c>
      <c r="BP29">
        <f t="shared" si="25"/>
        <v>0</v>
      </c>
      <c r="BS29">
        <f t="shared" si="9"/>
        <v>0</v>
      </c>
      <c r="BV29">
        <f t="shared" si="26"/>
        <v>0</v>
      </c>
      <c r="BY29">
        <f t="shared" si="10"/>
        <v>0</v>
      </c>
      <c r="CB29">
        <f t="shared" si="27"/>
        <v>0</v>
      </c>
      <c r="CE29">
        <f t="shared" si="11"/>
        <v>0</v>
      </c>
      <c r="CH29">
        <f t="shared" si="28"/>
        <v>0</v>
      </c>
      <c r="CK29">
        <f t="shared" si="12"/>
        <v>0</v>
      </c>
      <c r="CN29">
        <f t="shared" si="29"/>
        <v>0</v>
      </c>
      <c r="CQ29">
        <f t="shared" si="13"/>
        <v>0</v>
      </c>
      <c r="CT29">
        <f t="shared" si="30"/>
        <v>0</v>
      </c>
      <c r="CW29">
        <f t="shared" si="14"/>
        <v>0</v>
      </c>
      <c r="CZ29">
        <f t="shared" si="31"/>
        <v>0</v>
      </c>
    </row>
    <row r="30" spans="1:104" ht="15.75" thickBot="1" x14ac:dyDescent="0.25">
      <c r="A30" s="36">
        <v>24</v>
      </c>
      <c r="B30" s="44">
        <f>IF('Entries June''25'!N31-'Entries June''25'!N30&lt;1,"0",'Entries June''25'!N31-'Entries June''25'!N30)</f>
        <v>45.610000000000127</v>
      </c>
      <c r="C30" s="598">
        <v>1800</v>
      </c>
      <c r="D30" s="589">
        <v>367.75200000000001</v>
      </c>
      <c r="E30" s="585">
        <f t="shared" si="0"/>
        <v>0.12402379864691457</v>
      </c>
      <c r="F30" s="620">
        <f t="shared" si="15"/>
        <v>4.8946028845526328</v>
      </c>
      <c r="H30" s="262">
        <f>'Entries June''25'!L31-'Entries June''25'!L30</f>
        <v>0</v>
      </c>
      <c r="I30" s="260">
        <f t="shared" si="16"/>
        <v>45.610000000000127</v>
      </c>
      <c r="K30" s="597"/>
      <c r="L30" s="261">
        <f>IF((('Entries June''25'!AK30-'Entries June''25'!AK31)/10)*5455&lt;0,"0",(('Entries June''25'!AK30-'Entries June''25'!AK31)/10)*5455)</f>
        <v>0</v>
      </c>
      <c r="M30" s="261">
        <f>IF((('Entries June''25'!AL30-'Entries June''25'!AL31)/10)*5455&lt;0,"0",(('Entries June''25'!AL30-'Entries June''25'!AL31)/10)*5455)</f>
        <v>0</v>
      </c>
      <c r="N30" s="261">
        <f>IF(('Entries June''25'!AM30-'Entries June''25'!AM31)/2.2&lt;0,"0",('Entries June''25'!AM30-'Entries June''25'!AM31)/2.2)</f>
        <v>0</v>
      </c>
      <c r="O30" s="262">
        <f>IF(('Entries June''25'!AN30-'Entries June''25'!AN31)&lt;0,"0",('Entries June''25'!AN30-'Entries June''25'!AN31))</f>
        <v>0</v>
      </c>
      <c r="T30">
        <f t="shared" si="17"/>
        <v>0</v>
      </c>
      <c r="W30">
        <f t="shared" si="1"/>
        <v>0</v>
      </c>
      <c r="Z30">
        <f t="shared" si="18"/>
        <v>0</v>
      </c>
      <c r="AC30">
        <f t="shared" si="2"/>
        <v>0</v>
      </c>
      <c r="AF30">
        <f t="shared" si="19"/>
        <v>0</v>
      </c>
      <c r="AI30">
        <f t="shared" si="3"/>
        <v>0</v>
      </c>
      <c r="AL30">
        <f t="shared" si="20"/>
        <v>0</v>
      </c>
      <c r="AO30">
        <f t="shared" si="4"/>
        <v>0</v>
      </c>
      <c r="AR30">
        <f t="shared" si="21"/>
        <v>0</v>
      </c>
      <c r="AU30">
        <f t="shared" si="5"/>
        <v>0</v>
      </c>
      <c r="AX30">
        <f t="shared" si="22"/>
        <v>0</v>
      </c>
      <c r="BA30">
        <f t="shared" si="6"/>
        <v>0</v>
      </c>
      <c r="BD30">
        <f t="shared" si="23"/>
        <v>0</v>
      </c>
      <c r="BG30">
        <f t="shared" si="7"/>
        <v>0</v>
      </c>
      <c r="BJ30">
        <f t="shared" si="24"/>
        <v>0</v>
      </c>
      <c r="BM30">
        <f t="shared" si="8"/>
        <v>0</v>
      </c>
      <c r="BP30">
        <f t="shared" si="25"/>
        <v>0</v>
      </c>
      <c r="BS30">
        <f t="shared" si="9"/>
        <v>0</v>
      </c>
      <c r="BV30">
        <f t="shared" si="26"/>
        <v>0</v>
      </c>
      <c r="BY30">
        <f t="shared" si="10"/>
        <v>0</v>
      </c>
      <c r="CB30">
        <f t="shared" si="27"/>
        <v>0</v>
      </c>
      <c r="CE30">
        <f t="shared" si="11"/>
        <v>0</v>
      </c>
      <c r="CH30">
        <f t="shared" si="28"/>
        <v>0</v>
      </c>
      <c r="CK30">
        <f t="shared" si="12"/>
        <v>0</v>
      </c>
      <c r="CN30">
        <f t="shared" si="29"/>
        <v>0</v>
      </c>
      <c r="CQ30">
        <f t="shared" si="13"/>
        <v>0</v>
      </c>
      <c r="CT30">
        <f t="shared" si="30"/>
        <v>0</v>
      </c>
      <c r="CW30">
        <f t="shared" si="14"/>
        <v>0</v>
      </c>
      <c r="CZ30">
        <f t="shared" si="31"/>
        <v>0</v>
      </c>
    </row>
    <row r="31" spans="1:104" ht="15.75" thickBot="1" x14ac:dyDescent="0.25">
      <c r="A31" s="36">
        <v>25</v>
      </c>
      <c r="B31" s="44">
        <f>IF('Entries June''25'!N32-'Entries June''25'!N31&lt;1,"0",'Entries June''25'!N32-'Entries June''25'!N31)</f>
        <v>71.489999999999782</v>
      </c>
      <c r="C31" s="598">
        <v>2500</v>
      </c>
      <c r="D31" s="589">
        <v>663.30000000000007</v>
      </c>
      <c r="E31" s="585">
        <f t="shared" si="0"/>
        <v>0.10777928539122535</v>
      </c>
      <c r="F31" s="620">
        <f t="shared" si="15"/>
        <v>3.7690336197798882</v>
      </c>
      <c r="H31" s="262">
        <f>'Entries June''25'!L32-'Entries June''25'!L31</f>
        <v>0</v>
      </c>
      <c r="I31" s="260">
        <f t="shared" si="16"/>
        <v>71.489999999999782</v>
      </c>
      <c r="K31" s="597"/>
      <c r="L31" s="261">
        <f>IF((('Entries June''25'!AK31-'Entries June''25'!AK32)/10)*5455&lt;0,"0",(('Entries June''25'!AK31-'Entries June''25'!AK32)/10)*5455)</f>
        <v>0</v>
      </c>
      <c r="M31" s="261">
        <f>IF((('Entries June''25'!AL31-'Entries June''25'!AL32)/10)*5455&lt;0,"0",(('Entries June''25'!AL31-'Entries June''25'!AL32)/10)*5455)</f>
        <v>0</v>
      </c>
      <c r="N31" s="261">
        <f>IF(('Entries June''25'!AM31-'Entries June''25'!AM32)/2.2&lt;0,"0",('Entries June''25'!AM31-'Entries June''25'!AM32)/2.2)</f>
        <v>0</v>
      </c>
      <c r="O31" s="262">
        <f>IF(('Entries June''25'!AN31-'Entries June''25'!AN32)&lt;0,"0",('Entries June''25'!AN31-'Entries June''25'!AN32))</f>
        <v>0</v>
      </c>
      <c r="T31" s="80">
        <f>SUM(T6:T29)</f>
        <v>0</v>
      </c>
      <c r="W31" s="80">
        <f>SUM(W6:W29)</f>
        <v>0</v>
      </c>
      <c r="Z31" s="80">
        <f>SUM(Z6:Z29)</f>
        <v>0</v>
      </c>
      <c r="AC31" s="80">
        <f>SUM(AC6:AC29)</f>
        <v>0</v>
      </c>
      <c r="AF31" s="80">
        <f>SUM(AF6:AF29)</f>
        <v>0</v>
      </c>
      <c r="AI31" s="80">
        <f>SUM(AI6:AI29)</f>
        <v>0</v>
      </c>
      <c r="AL31" s="80">
        <f>SUM(AL6:AL29)</f>
        <v>0</v>
      </c>
      <c r="AO31" s="80">
        <f>SUM(AO6:AO29)</f>
        <v>0</v>
      </c>
      <c r="AR31" s="80">
        <f>SUM(AR6:AR29)</f>
        <v>0</v>
      </c>
      <c r="AU31" s="80">
        <f>SUM(AU6:AU29)</f>
        <v>0</v>
      </c>
      <c r="AX31" s="80">
        <f>SUM(AX6:AX29)</f>
        <v>0</v>
      </c>
      <c r="BA31" s="80">
        <f>SUM(BA6:BA29)</f>
        <v>0</v>
      </c>
      <c r="BD31" s="80">
        <f>SUM(BD6:BD29)</f>
        <v>0</v>
      </c>
      <c r="BG31" s="80">
        <f>SUM(BG6:BG29)</f>
        <v>0</v>
      </c>
      <c r="BJ31" s="80">
        <f>SUM(BJ6:BJ29)</f>
        <v>0</v>
      </c>
      <c r="BM31" s="80">
        <f>SUM(BM6:BM29)</f>
        <v>0</v>
      </c>
      <c r="BP31" s="80">
        <f>SUM(BP6:BP29)</f>
        <v>0</v>
      </c>
      <c r="BS31" s="80">
        <f>SUM(BS6:BS29)</f>
        <v>0</v>
      </c>
      <c r="BV31" s="80">
        <f>SUM(BV6:BV29)</f>
        <v>0</v>
      </c>
      <c r="BY31" s="80">
        <f>SUM(BY6:BY29)</f>
        <v>0</v>
      </c>
      <c r="CB31" s="80">
        <f>SUM(CB6:CB29)</f>
        <v>0</v>
      </c>
      <c r="CE31" s="80">
        <f>SUM(CE6:CE29)</f>
        <v>0</v>
      </c>
      <c r="CH31" s="80">
        <f>SUM(CH6:CH29)</f>
        <v>0</v>
      </c>
      <c r="CK31" s="80">
        <f>SUM(CK6:CK29)</f>
        <v>0</v>
      </c>
      <c r="CN31" s="80">
        <f>SUM(CN6:CN29)</f>
        <v>0</v>
      </c>
      <c r="CQ31" s="80">
        <f>SUM(CQ6:CQ29)</f>
        <v>0</v>
      </c>
      <c r="CT31" s="80">
        <f>SUM(CT6:CT29)</f>
        <v>0</v>
      </c>
      <c r="CW31" s="80">
        <f>SUM(CW6:CW29)</f>
        <v>0</v>
      </c>
      <c r="CZ31" s="81">
        <f>SUM(CZ6:CZ29)</f>
        <v>0</v>
      </c>
    </row>
    <row r="32" spans="1:104" ht="15" x14ac:dyDescent="0.2">
      <c r="A32" s="36">
        <v>26</v>
      </c>
      <c r="B32" s="44">
        <f>IF('Entries June''25'!N33-'Entries June''25'!N32&lt;1,"0",'Entries June''25'!N33-'Entries June''25'!N32)</f>
        <v>67.770000000000437</v>
      </c>
      <c r="C32" s="598">
        <v>3800</v>
      </c>
      <c r="D32" s="589">
        <v>526.28399999999999</v>
      </c>
      <c r="E32" s="585">
        <f t="shared" si="0"/>
        <v>0.12877077775497722</v>
      </c>
      <c r="F32" s="620">
        <f t="shared" si="15"/>
        <v>7.2204361143413065</v>
      </c>
      <c r="H32" s="262">
        <f>'Entries June''25'!L33-'Entries June''25'!L32</f>
        <v>0</v>
      </c>
      <c r="I32" s="260">
        <f t="shared" si="16"/>
        <v>67.770000000000437</v>
      </c>
      <c r="K32" s="597"/>
      <c r="L32" s="261">
        <f>IF((('Entries June''25'!AK32-'Entries June''25'!AK33)/10)*5455&lt;0,"0",(('Entries June''25'!AK32-'Entries June''25'!AK33)/10)*5455)</f>
        <v>0</v>
      </c>
      <c r="M32" s="261">
        <f>IF((('Entries June''25'!AL32-'Entries June''25'!AL33)/10)*5455&lt;0,"0",(('Entries June''25'!AL32-'Entries June''25'!AL33)/10)*5455)</f>
        <v>0</v>
      </c>
      <c r="N32" s="261">
        <f>IF(('Entries June''25'!AM32-'Entries June''25'!AM33)/2.2&lt;0,"0",('Entries June''25'!AM32-'Entries June''25'!AM33)/2.2)</f>
        <v>0</v>
      </c>
      <c r="O32" s="262">
        <f>IF(('Entries June''25'!AN32-'Entries June''25'!AN33)&lt;0,"0",('Entries June''25'!AN32-'Entries June''25'!AN33))</f>
        <v>0</v>
      </c>
    </row>
    <row r="33" spans="1:16" ht="15" x14ac:dyDescent="0.2">
      <c r="A33" s="36">
        <v>27</v>
      </c>
      <c r="B33" s="44">
        <f>IF('Entries June''25'!N34-'Entries June''25'!N33&lt;1,"0",'Entries June''25'!N34-'Entries June''25'!N33)</f>
        <v>51.75</v>
      </c>
      <c r="C33" s="598">
        <v>2100</v>
      </c>
      <c r="D33" s="589">
        <v>402.20400000000001</v>
      </c>
      <c r="E33" s="585">
        <f t="shared" si="0"/>
        <v>0.12866605006414655</v>
      </c>
      <c r="F33" s="620">
        <f t="shared" si="15"/>
        <v>5.2212310170958016</v>
      </c>
      <c r="H33" s="262">
        <f>'Entries June''25'!L34-'Entries June''25'!L33</f>
        <v>0</v>
      </c>
      <c r="I33" s="260">
        <f t="shared" si="16"/>
        <v>51.75</v>
      </c>
      <c r="K33" s="597"/>
      <c r="L33" s="261">
        <f>IF((('Entries June''25'!AK33-'Entries June''25'!AK34)/10)*5455&lt;0,"0",(('Entries June''25'!AK33-'Entries June''25'!AK34)/10)*5455)</f>
        <v>0</v>
      </c>
      <c r="M33" s="261">
        <f>IF((('Entries June''25'!AL33-'Entries June''25'!AL34)/10)*5455&lt;0,"0",(('Entries June''25'!AL33-'Entries June''25'!AL34)/10)*5455)</f>
        <v>0</v>
      </c>
      <c r="N33" s="261">
        <f>IF(('Entries June''25'!AM33-'Entries June''25'!AM34)/2.2&lt;0,"0",('Entries June''25'!AM33-'Entries June''25'!AM34)/2.2)</f>
        <v>0</v>
      </c>
      <c r="O33" s="262">
        <f>IF(('Entries June''25'!AN33-'Entries June''25'!AN34)&lt;0,"0",('Entries June''25'!AN33-'Entries June''25'!AN34))</f>
        <v>0</v>
      </c>
    </row>
    <row r="34" spans="1:16" ht="15" x14ac:dyDescent="0.2">
      <c r="A34" s="36">
        <v>28</v>
      </c>
      <c r="B34" s="44" t="str">
        <f>IF('Entries June''25'!N35-'Entries June''25'!N34&lt;1,"0",'Entries June''25'!N35-'Entries June''25'!N34)</f>
        <v>0</v>
      </c>
      <c r="C34" s="598">
        <v>0</v>
      </c>
      <c r="D34" s="589">
        <v>0</v>
      </c>
      <c r="E34" s="585" t="str">
        <f t="shared" si="0"/>
        <v>0</v>
      </c>
      <c r="F34" s="620" t="str">
        <f t="shared" si="15"/>
        <v>0</v>
      </c>
      <c r="H34" s="262">
        <f>'Entries June''25'!L35-'Entries June''25'!L34</f>
        <v>0</v>
      </c>
      <c r="I34" s="260" t="str">
        <f t="shared" si="16"/>
        <v>0</v>
      </c>
      <c r="K34" s="597"/>
      <c r="L34" s="261">
        <f>IF((('Entries June''25'!AK34-'Entries June''25'!AK35)/10)*5455&lt;0,"0",(('Entries June''25'!AK34-'Entries June''25'!AK35)/10)*5455)</f>
        <v>0</v>
      </c>
      <c r="M34" s="261">
        <f>IF((('Entries June''25'!AL34-'Entries June''25'!AL35)/10)*5455&lt;0,"0",(('Entries June''25'!AL34-'Entries June''25'!AL35)/10)*5455)</f>
        <v>0</v>
      </c>
      <c r="N34" s="261">
        <f>IF(('Entries June''25'!AM34-'Entries June''25'!AM35)/2.2&lt;0,"0",('Entries June''25'!AM34-'Entries June''25'!AM35)/2.2)</f>
        <v>0</v>
      </c>
      <c r="O34" s="262">
        <f>IF(('Entries June''25'!AN34-'Entries June''25'!AN35)&lt;0,"0",('Entries June''25'!AN34-'Entries June''25'!AN35))</f>
        <v>0</v>
      </c>
    </row>
    <row r="35" spans="1:16" ht="15" x14ac:dyDescent="0.2">
      <c r="A35" s="36">
        <v>29</v>
      </c>
      <c r="B35" s="44" t="str">
        <f>IF('Entries June''25'!N36-'Entries June''25'!N35&lt;1,"0",'Entries June''25'!N36-'Entries June''25'!N35)</f>
        <v>0</v>
      </c>
      <c r="C35" s="85">
        <v>0</v>
      </c>
      <c r="D35" s="589">
        <v>29.040000000000003</v>
      </c>
      <c r="E35" s="585">
        <f t="shared" si="0"/>
        <v>0</v>
      </c>
      <c r="F35" s="620">
        <f t="shared" si="15"/>
        <v>0</v>
      </c>
      <c r="H35" s="262"/>
      <c r="I35" s="260"/>
      <c r="K35"/>
      <c r="O35" s="262"/>
    </row>
    <row r="36" spans="1:16" ht="15" x14ac:dyDescent="0.2">
      <c r="A36" s="36">
        <v>30</v>
      </c>
      <c r="B36" s="44">
        <f>IF('Entries June''25'!N37-'Entries June''25'!N36&lt;1,"0",'Entries June''25'!N37-'Entries June''25'!N36)</f>
        <v>39.729999999999563</v>
      </c>
      <c r="C36" s="85">
        <v>2000</v>
      </c>
      <c r="D36" s="589">
        <v>272.84399999999999</v>
      </c>
      <c r="E36" s="585">
        <f t="shared" si="0"/>
        <v>0.14561434372754967</v>
      </c>
      <c r="F36" s="620">
        <f t="shared" si="15"/>
        <v>7.330196009441293</v>
      </c>
      <c r="H36" s="262"/>
      <c r="I36" s="260"/>
      <c r="K36"/>
      <c r="O36" s="262"/>
    </row>
    <row r="37" spans="1:16" ht="15" x14ac:dyDescent="0.2">
      <c r="A37" s="36"/>
      <c r="B37" s="44" t="str">
        <f>IF('Entries June''25'!N38-'Entries June''25'!N37&lt;1,"0",'Entries June''25'!N38-'Entries June''25'!N37)</f>
        <v>0</v>
      </c>
      <c r="C37" s="85">
        <v>0</v>
      </c>
      <c r="D37" s="599">
        <v>0</v>
      </c>
      <c r="E37" s="585" t="str">
        <f t="shared" ref="E37" si="32">IF(D37=0,"0",(B37/D37))</f>
        <v>0</v>
      </c>
      <c r="F37" s="620" t="str">
        <f t="shared" ref="F37" si="33">IF(D37=0,"0",(C37/D37))</f>
        <v>0</v>
      </c>
      <c r="G37" s="604" t="s">
        <v>263</v>
      </c>
      <c r="H37" s="258" t="s">
        <v>267</v>
      </c>
      <c r="I37" s="260"/>
      <c r="K37"/>
      <c r="O37" s="262"/>
    </row>
    <row r="38" spans="1:16" ht="18" x14ac:dyDescent="0.25">
      <c r="A38" s="41" t="s">
        <v>89</v>
      </c>
      <c r="B38" s="600">
        <f>SUM(B7:B37)</f>
        <v>1133.4699999999998</v>
      </c>
      <c r="C38" s="600">
        <f t="shared" ref="C38" si="34">SUM(C7:C37)</f>
        <v>50700</v>
      </c>
      <c r="D38" s="642">
        <f>SUM(D7:D37)</f>
        <v>8404.5408000000007</v>
      </c>
      <c r="E38" s="601">
        <f>IF(D38=0,"0",(B38/D38))</f>
        <v>0.13486400113614769</v>
      </c>
      <c r="F38" s="621">
        <f>IF(D38=0,"0",(C38/D38))</f>
        <v>6.0324533138086496</v>
      </c>
      <c r="G38" s="605">
        <v>5</v>
      </c>
      <c r="H38" s="602">
        <f>F38/G38*100</f>
        <v>120.649066276173</v>
      </c>
      <c r="I38" s="48"/>
      <c r="J38" s="608"/>
      <c r="K38" s="48"/>
      <c r="L38" s="48"/>
      <c r="M38" s="48"/>
      <c r="N38" s="48"/>
      <c r="O38" s="48"/>
      <c r="P38" s="48"/>
    </row>
    <row r="39" spans="1:16" ht="15" x14ac:dyDescent="0.2">
      <c r="A39" s="8"/>
      <c r="B39" s="8"/>
      <c r="C39" s="11"/>
      <c r="D39" s="8"/>
    </row>
    <row r="40" spans="1:16" ht="15" x14ac:dyDescent="0.2">
      <c r="A40" s="8"/>
      <c r="B40" s="8"/>
      <c r="C40" s="11"/>
      <c r="D40" s="8"/>
    </row>
  </sheetData>
  <mergeCells count="6">
    <mergeCell ref="F5:F6"/>
    <mergeCell ref="A5:A6"/>
    <mergeCell ref="E5:E6"/>
    <mergeCell ref="B5:B6"/>
    <mergeCell ref="D5:D6"/>
    <mergeCell ref="C5:C6"/>
  </mergeCells>
  <phoneticPr fontId="0" type="noConversion"/>
  <conditionalFormatting sqref="E7:F38">
    <cfRule type="cellIs" dxfId="29" priority="2" operator="greaterThan">
      <formula>21</formula>
    </cfRule>
  </conditionalFormatting>
  <conditionalFormatting sqref="F7:F38">
    <cfRule type="cellIs" dxfId="28" priority="1" operator="greaterThan">
      <formula>4.5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R11" activePane="bottomRight" state="frozen"/>
      <selection activeCell="A4" sqref="A4"/>
      <selection pane="topRight" activeCell="B4" sqref="B4"/>
      <selection pane="bottomLeft" activeCell="A11" sqref="A11"/>
      <selection pane="bottomRight" activeCell="AF6" sqref="AF6:AF7"/>
    </sheetView>
  </sheetViews>
  <sheetFormatPr defaultColWidth="9.42578125" defaultRowHeight="12.75" x14ac:dyDescent="0.2"/>
  <cols>
    <col min="1" max="1" width="46" style="84" bestFit="1" customWidth="1"/>
    <col min="2" max="8" width="14.5703125" style="85" customWidth="1"/>
    <col min="9" max="9" width="18.5703125" style="85" customWidth="1"/>
    <col min="10" max="12" width="14.5703125" style="85" customWidth="1"/>
    <col min="13" max="13" width="20.42578125" style="165" customWidth="1"/>
    <col min="14" max="15" width="14.5703125" style="85" customWidth="1"/>
    <col min="16" max="16" width="23.5703125" style="85" bestFit="1" customWidth="1"/>
    <col min="17" max="18" width="15.85546875" style="85" customWidth="1"/>
    <col min="19" max="19" width="18.42578125" style="85" customWidth="1"/>
    <col min="20" max="20" width="14.5703125" style="85" customWidth="1"/>
    <col min="21" max="21" width="15.85546875" style="85" customWidth="1"/>
    <col min="22" max="22" width="14.5703125" style="85" customWidth="1"/>
    <col min="23" max="23" width="16.85546875" style="85" customWidth="1"/>
    <col min="24" max="25" width="15.85546875" style="85" customWidth="1"/>
    <col min="26" max="31" width="14.5703125" style="85" customWidth="1"/>
    <col min="32" max="32" width="14.5703125" style="274" customWidth="1"/>
    <col min="33" max="33" width="15.42578125" style="283" bestFit="1" customWidth="1"/>
    <col min="34" max="34" width="15.5703125" style="283" customWidth="1"/>
    <col min="35" max="35" width="15.42578125" style="337" bestFit="1" customWidth="1"/>
    <col min="36" max="37" width="9.42578125" style="337"/>
    <col min="38" max="16384" width="9.42578125" style="84"/>
  </cols>
  <sheetData>
    <row r="1" spans="1:37" x14ac:dyDescent="0.2">
      <c r="B1" s="88"/>
      <c r="C1" s="84"/>
      <c r="D1" s="84"/>
      <c r="E1" s="84"/>
      <c r="F1" s="84"/>
      <c r="G1" s="84"/>
      <c r="H1" s="84"/>
      <c r="I1" s="84"/>
      <c r="J1" s="84"/>
      <c r="K1" s="84"/>
      <c r="L1" s="84"/>
      <c r="M1" s="90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273"/>
      <c r="AG1" s="337"/>
      <c r="AH1" s="337"/>
    </row>
    <row r="2" spans="1:37" x14ac:dyDescent="0.2">
      <c r="B2" s="88"/>
      <c r="C2" s="84"/>
      <c r="D2" s="84"/>
      <c r="E2" s="84"/>
      <c r="F2" s="84"/>
      <c r="G2" s="84"/>
      <c r="H2" s="84"/>
      <c r="I2" s="84"/>
      <c r="J2" s="84"/>
      <c r="K2" s="84"/>
      <c r="L2" s="84"/>
      <c r="M2" s="90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273"/>
      <c r="AG2" s="337"/>
      <c r="AH2" s="337"/>
    </row>
    <row r="3" spans="1:37" x14ac:dyDescent="0.2">
      <c r="A3" s="1" t="s">
        <v>138</v>
      </c>
      <c r="B3" s="88"/>
      <c r="C3" s="1"/>
      <c r="D3" s="84"/>
      <c r="E3" s="84"/>
      <c r="F3" s="84"/>
      <c r="G3" s="84"/>
      <c r="H3" s="84"/>
      <c r="I3" s="84"/>
      <c r="J3" s="84"/>
      <c r="K3" s="84"/>
      <c r="L3" s="84"/>
      <c r="M3" s="90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273"/>
      <c r="AG3" s="337"/>
      <c r="AH3" s="337"/>
    </row>
    <row r="4" spans="1:37" x14ac:dyDescent="0.2">
      <c r="A4" s="1"/>
      <c r="M4" s="95" t="s">
        <v>244</v>
      </c>
      <c r="Y4" s="85">
        <v>1364</v>
      </c>
    </row>
    <row r="5" spans="1:37" ht="26.25" x14ac:dyDescent="0.4">
      <c r="A5" s="227">
        <v>45809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  <c r="AD5" s="227"/>
      <c r="AE5" s="227"/>
      <c r="AF5" s="227"/>
      <c r="AG5" s="227"/>
      <c r="AH5" s="227"/>
      <c r="AI5" s="227"/>
    </row>
    <row r="6" spans="1:37" ht="26.25" x14ac:dyDescent="0.25">
      <c r="A6" s="86"/>
      <c r="B6" s="98">
        <v>1</v>
      </c>
      <c r="C6" s="98">
        <v>2</v>
      </c>
      <c r="D6" s="98">
        <v>3</v>
      </c>
      <c r="E6" s="98">
        <v>4</v>
      </c>
      <c r="F6" s="98">
        <v>5</v>
      </c>
      <c r="G6" s="98">
        <v>6</v>
      </c>
      <c r="H6" s="98">
        <v>7</v>
      </c>
      <c r="I6" s="98">
        <v>8</v>
      </c>
      <c r="J6" s="98">
        <v>9</v>
      </c>
      <c r="K6" s="98">
        <v>10</v>
      </c>
      <c r="L6" s="98">
        <v>11</v>
      </c>
      <c r="M6" s="98">
        <v>12</v>
      </c>
      <c r="N6" s="98">
        <v>13</v>
      </c>
      <c r="O6" s="98">
        <v>14</v>
      </c>
      <c r="P6" s="98">
        <v>15</v>
      </c>
      <c r="Q6" s="98">
        <v>16</v>
      </c>
      <c r="R6" s="98">
        <v>17</v>
      </c>
      <c r="S6" s="98">
        <v>18</v>
      </c>
      <c r="T6" s="98">
        <v>19</v>
      </c>
      <c r="U6" s="98">
        <v>20</v>
      </c>
      <c r="V6" s="98">
        <v>21</v>
      </c>
      <c r="W6" s="98">
        <v>22</v>
      </c>
      <c r="X6" s="98">
        <v>23</v>
      </c>
      <c r="Y6" s="98">
        <v>24</v>
      </c>
      <c r="Z6" s="98">
        <v>25</v>
      </c>
      <c r="AA6" s="98">
        <v>26</v>
      </c>
      <c r="AB6" s="98">
        <v>27</v>
      </c>
      <c r="AC6" s="98">
        <v>28</v>
      </c>
      <c r="AD6" s="98">
        <v>29</v>
      </c>
      <c r="AE6" s="98">
        <v>30</v>
      </c>
      <c r="AF6" s="98"/>
      <c r="AG6" s="374"/>
      <c r="AH6" s="896" t="s">
        <v>232</v>
      </c>
      <c r="AI6" s="366"/>
    </row>
    <row r="7" spans="1:37" s="75" customFormat="1" ht="25.5" customHeight="1" x14ac:dyDescent="0.25">
      <c r="A7" s="100" t="s">
        <v>135</v>
      </c>
      <c r="B7" s="285" t="s">
        <v>151</v>
      </c>
      <c r="C7" s="285" t="s">
        <v>145</v>
      </c>
      <c r="D7" s="285" t="s">
        <v>146</v>
      </c>
      <c r="E7" s="285" t="s">
        <v>147</v>
      </c>
      <c r="F7" s="285" t="s">
        <v>148</v>
      </c>
      <c r="G7" s="285" t="s">
        <v>149</v>
      </c>
      <c r="H7" s="285" t="s">
        <v>150</v>
      </c>
      <c r="I7" s="285" t="s">
        <v>151</v>
      </c>
      <c r="J7" s="285" t="s">
        <v>145</v>
      </c>
      <c r="K7" s="285" t="s">
        <v>146</v>
      </c>
      <c r="L7" s="285" t="s">
        <v>147</v>
      </c>
      <c r="M7" s="285" t="s">
        <v>148</v>
      </c>
      <c r="N7" s="285" t="s">
        <v>149</v>
      </c>
      <c r="O7" s="285" t="s">
        <v>150</v>
      </c>
      <c r="P7" s="285" t="s">
        <v>151</v>
      </c>
      <c r="Q7" s="285" t="s">
        <v>145</v>
      </c>
      <c r="R7" s="285" t="s">
        <v>146</v>
      </c>
      <c r="S7" s="285" t="s">
        <v>147</v>
      </c>
      <c r="T7" s="285" t="s">
        <v>148</v>
      </c>
      <c r="U7" s="285" t="s">
        <v>149</v>
      </c>
      <c r="V7" s="285" t="s">
        <v>150</v>
      </c>
      <c r="W7" s="285" t="s">
        <v>151</v>
      </c>
      <c r="X7" s="285" t="s">
        <v>145</v>
      </c>
      <c r="Y7" s="285" t="s">
        <v>146</v>
      </c>
      <c r="Z7" s="285" t="s">
        <v>147</v>
      </c>
      <c r="AA7" s="285" t="s">
        <v>148</v>
      </c>
      <c r="AB7" s="285" t="s">
        <v>149</v>
      </c>
      <c r="AC7" s="285" t="s">
        <v>150</v>
      </c>
      <c r="AD7" s="285" t="s">
        <v>151</v>
      </c>
      <c r="AE7" s="285" t="s">
        <v>145</v>
      </c>
      <c r="AF7" s="285"/>
      <c r="AG7" s="285" t="s">
        <v>19</v>
      </c>
      <c r="AH7" s="896"/>
      <c r="AI7" s="372" t="s">
        <v>246</v>
      </c>
      <c r="AJ7" s="292"/>
      <c r="AK7" s="292"/>
    </row>
    <row r="8" spans="1:37" s="77" customFormat="1" ht="26.25" x14ac:dyDescent="0.3">
      <c r="A8" s="101" t="s">
        <v>140</v>
      </c>
      <c r="B8" s="102"/>
      <c r="C8" s="102">
        <f>'Daily KPIs'!C8</f>
        <v>6609</v>
      </c>
      <c r="D8" s="102">
        <f>'Daily KPIs'!D8</f>
        <v>9769</v>
      </c>
      <c r="E8" s="102">
        <f>'Daily KPIs'!E8</f>
        <v>6037</v>
      </c>
      <c r="F8" s="102">
        <f>'Daily KPIs'!F8</f>
        <v>7524</v>
      </c>
      <c r="G8" s="102">
        <f>'Daily KPIs'!G8</f>
        <v>3999</v>
      </c>
      <c r="H8" s="103">
        <f>'Daily KPIs'!H8</f>
        <v>0</v>
      </c>
      <c r="I8" s="103">
        <f>'Daily KPIs'!I8</f>
        <v>0</v>
      </c>
      <c r="J8" s="102">
        <f>'Daily KPIs'!J8</f>
        <v>0</v>
      </c>
      <c r="K8" s="102">
        <f>'Daily KPIs'!K8</f>
        <v>6335</v>
      </c>
      <c r="L8" s="102">
        <f>'Daily KPIs'!L8</f>
        <v>7212</v>
      </c>
      <c r="M8" s="102">
        <f>'Daily KPIs'!M8</f>
        <v>5149</v>
      </c>
      <c r="N8" s="102">
        <f>'Daily KPIs'!N8</f>
        <v>6236</v>
      </c>
      <c r="O8" s="102">
        <f>'Daily KPIs'!O8</f>
        <v>0</v>
      </c>
      <c r="P8" s="102">
        <f>'Daily KPIs'!P8</f>
        <v>0</v>
      </c>
      <c r="Q8" s="103">
        <f>'Daily KPIs'!Q8</f>
        <v>6070</v>
      </c>
      <c r="R8" s="179">
        <f>'Daily KPIs'!R8</f>
        <v>8337</v>
      </c>
      <c r="S8" s="102">
        <f>'Daily KPIs'!S8</f>
        <v>6685</v>
      </c>
      <c r="T8" s="103">
        <f>'Daily KPIs'!T8</f>
        <v>0</v>
      </c>
      <c r="U8" s="102">
        <f>'Daily KPIs'!U8</f>
        <v>5352</v>
      </c>
      <c r="V8" s="102">
        <f>'Daily KPIs'!V8</f>
        <v>0</v>
      </c>
      <c r="W8" s="104">
        <f>'Daily KPIs'!W8</f>
        <v>0</v>
      </c>
      <c r="X8" s="104">
        <f>'Daily KPIs'!X8</f>
        <v>7210</v>
      </c>
      <c r="Y8" s="102">
        <f>'Daily KPIs'!Y8</f>
        <v>5572</v>
      </c>
      <c r="Z8" s="102">
        <f>'Daily KPIs'!Z8</f>
        <v>10050</v>
      </c>
      <c r="AA8" s="102">
        <f>'Daily KPIs'!AA8</f>
        <v>7974</v>
      </c>
      <c r="AB8" s="105">
        <f>'Daily KPIs'!AB8</f>
        <v>6094</v>
      </c>
      <c r="AC8" s="105">
        <f>'Daily KPIs'!AC8</f>
        <v>0</v>
      </c>
      <c r="AD8" s="105"/>
      <c r="AE8" s="105"/>
      <c r="AF8" s="275">
        <f>'Daily KPIs'!AD8</f>
        <v>440</v>
      </c>
      <c r="AG8" s="286">
        <f>SUM($B8:AF8)</f>
        <v>122654</v>
      </c>
      <c r="AH8" s="374">
        <v>96325</v>
      </c>
      <c r="AI8" s="375">
        <f>AG8-AH8</f>
        <v>26329</v>
      </c>
      <c r="AJ8" s="339"/>
      <c r="AK8" s="339"/>
    </row>
    <row r="9" spans="1:37" ht="20.25" x14ac:dyDescent="0.3">
      <c r="A9" s="101" t="s">
        <v>142</v>
      </c>
      <c r="B9" s="102">
        <f>'Daily KPIs'!B9</f>
        <v>0</v>
      </c>
      <c r="C9" s="102">
        <f>'Daily KPIs'!C9</f>
        <v>455.60520000000002</v>
      </c>
      <c r="D9" s="102">
        <f>'Daily KPIs'!D9</f>
        <v>644.75400000000002</v>
      </c>
      <c r="E9" s="102">
        <f>'Daily KPIs'!E9</f>
        <v>398.44200000000001</v>
      </c>
      <c r="F9" s="102">
        <f>'Daily KPIs'!F9</f>
        <v>496.584</v>
      </c>
      <c r="G9" s="102">
        <f>'Daily KPIs'!G9</f>
        <v>263.93400000000003</v>
      </c>
      <c r="H9" s="102">
        <f>'Daily KPIs'!H9</f>
        <v>0</v>
      </c>
      <c r="I9" s="102">
        <f>'Daily KPIs'!I9</f>
        <v>0</v>
      </c>
      <c r="J9" s="102">
        <f>'Daily KPIs'!J9</f>
        <v>0</v>
      </c>
      <c r="K9" s="102">
        <f>'Daily KPIs'!K9</f>
        <v>418.11</v>
      </c>
      <c r="L9" s="102">
        <f>'Daily KPIs'!L9</f>
        <v>475.99200000000002</v>
      </c>
      <c r="M9" s="102">
        <f>'Daily KPIs'!M9</f>
        <v>339.834</v>
      </c>
      <c r="N9" s="102">
        <f>'Daily KPIs'!N9</f>
        <v>411.57600000000002</v>
      </c>
      <c r="O9" s="102">
        <f>'Daily KPIs'!O9</f>
        <v>0</v>
      </c>
      <c r="P9" s="102">
        <f>'Daily KPIs'!P9</f>
        <v>0</v>
      </c>
      <c r="Q9" s="102">
        <f>'Daily KPIs'!Q9</f>
        <v>400.62</v>
      </c>
      <c r="R9" s="102">
        <f>'Daily KPIs'!R9</f>
        <v>550.24200000000008</v>
      </c>
      <c r="S9" s="102">
        <f>'Daily KPIs'!S9</f>
        <v>446.5428</v>
      </c>
      <c r="T9" s="102">
        <f>'Daily KPIs'!T9</f>
        <v>0</v>
      </c>
      <c r="U9" s="102">
        <f>'Daily KPIs'!U9</f>
        <v>365.02080000000001</v>
      </c>
      <c r="V9" s="102">
        <f>'Daily KPIs'!V9</f>
        <v>0</v>
      </c>
      <c r="W9" s="102">
        <f>'Daily KPIs'!W9</f>
        <v>0</v>
      </c>
      <c r="X9" s="102">
        <f>'Daily KPIs'!X9</f>
        <v>475.86</v>
      </c>
      <c r="Y9" s="102">
        <f>'Daily KPIs'!Y9</f>
        <v>367.75200000000001</v>
      </c>
      <c r="Z9" s="102">
        <f>'Daily KPIs'!Z9</f>
        <v>663.30000000000007</v>
      </c>
      <c r="AA9" s="102">
        <f>'Daily KPIs'!AA9</f>
        <v>526.28399999999999</v>
      </c>
      <c r="AB9" s="102">
        <f>'Daily KPIs'!AB9</f>
        <v>402.20400000000001</v>
      </c>
      <c r="AC9" s="102">
        <f>'Daily KPIs'!AC9</f>
        <v>0</v>
      </c>
      <c r="AD9" s="102"/>
      <c r="AE9" s="102"/>
      <c r="AF9" s="276">
        <f>'Daily KPIs'!AD9</f>
        <v>29.040000000000003</v>
      </c>
      <c r="AG9" s="288">
        <f>SUM($B9:AF9)</f>
        <v>8131.6968000000006</v>
      </c>
      <c r="AH9" s="287"/>
      <c r="AI9" s="338"/>
    </row>
    <row r="10" spans="1:37" s="77" customFormat="1" ht="20.25" x14ac:dyDescent="0.3">
      <c r="A10" s="106" t="s">
        <v>139</v>
      </c>
      <c r="B10" s="166">
        <f>'Daily KPIs'!B10</f>
        <v>0</v>
      </c>
      <c r="C10" s="166" t="str">
        <f>'Daily KPIs'!C10</f>
        <v>VM/ST</v>
      </c>
      <c r="D10" s="166" t="str">
        <f>'Daily KPIs'!D10</f>
        <v>ST</v>
      </c>
      <c r="E10" s="166" t="str">
        <f>'Daily KPIs'!E10</f>
        <v>ST/CB</v>
      </c>
      <c r="F10" s="166" t="str">
        <f>'Daily KPIs'!F10</f>
        <v>CB/SM/GN</v>
      </c>
      <c r="G10" s="166" t="str">
        <f>'Daily KPIs'!G10</f>
        <v>GN/CR</v>
      </c>
      <c r="H10" s="166">
        <f>'Daily KPIs'!I10</f>
        <v>0</v>
      </c>
      <c r="I10" s="166">
        <f>'Daily KPIs'!J10</f>
        <v>0</v>
      </c>
      <c r="J10" s="166">
        <f>'Daily KPIs'!J10</f>
        <v>0</v>
      </c>
      <c r="K10" s="166" t="str">
        <f>'Daily KPIs'!K10</f>
        <v>CB</v>
      </c>
      <c r="L10" s="166" t="str">
        <f>'Daily KPIs'!L10</f>
        <v>CB/Cbex</v>
      </c>
      <c r="M10" s="166" t="str">
        <f>'Daily KPIs'!M10</f>
        <v>Cbex/Rose/CB</v>
      </c>
      <c r="N10" s="166" t="str">
        <f>'Daily KPIs'!N10</f>
        <v>CB/GN</v>
      </c>
      <c r="O10" s="166">
        <f>'Daily KPIs'!O10</f>
        <v>0</v>
      </c>
      <c r="P10" s="166">
        <f>'Daily KPIs'!P10</f>
        <v>0</v>
      </c>
      <c r="Q10" s="166" t="str">
        <f>'Daily KPIs'!Q10</f>
        <v>MK/ST</v>
      </c>
      <c r="R10" s="166" t="str">
        <f>'Daily KPIs'!R10</f>
        <v>ST</v>
      </c>
      <c r="S10" s="166" t="str">
        <f>'Daily KPIs'!S10</f>
        <v>CB/VM</v>
      </c>
      <c r="T10" s="166">
        <f>'Daily KPIs'!T10</f>
        <v>0</v>
      </c>
      <c r="U10" s="166" t="str">
        <f>'Daily KPIs'!U10</f>
        <v>VM// VMG/SM</v>
      </c>
      <c r="V10" s="166">
        <f>'Daily KPIs'!V10</f>
        <v>0</v>
      </c>
      <c r="W10" s="166">
        <f>'Daily KPIs'!W10</f>
        <v>0</v>
      </c>
      <c r="X10" s="166" t="str">
        <f>'Daily KPIs'!X10</f>
        <v>GN/CB</v>
      </c>
      <c r="Y10" s="895" t="str">
        <f>'Daily KPIs'!Y10</f>
        <v>CB</v>
      </c>
      <c r="Z10" s="895"/>
      <c r="AA10" s="166" t="str">
        <f>'Daily KPIs'!AA10</f>
        <v>ST/CB</v>
      </c>
      <c r="AB10" s="166" t="str">
        <f>'Daily KPIs'!AB10</f>
        <v>CB/GO</v>
      </c>
      <c r="AC10" s="166">
        <f>'Daily KPIs'!AC10</f>
        <v>0</v>
      </c>
      <c r="AD10" s="166"/>
      <c r="AE10" s="166"/>
      <c r="AF10" s="277" t="str">
        <f>'Daily KPIs'!AD10</f>
        <v>KEGS</v>
      </c>
      <c r="AG10" s="289"/>
      <c r="AH10" s="290"/>
      <c r="AI10" s="338"/>
      <c r="AJ10" s="339"/>
      <c r="AK10" s="339"/>
    </row>
    <row r="11" spans="1:37" ht="18" x14ac:dyDescent="0.25">
      <c r="A11" s="10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96"/>
      <c r="N11" s="87"/>
      <c r="O11" s="87"/>
      <c r="P11" s="87"/>
      <c r="Q11" s="87"/>
      <c r="R11" s="87"/>
      <c r="S11" s="87"/>
      <c r="U11" s="87"/>
      <c r="X11" s="84"/>
      <c r="AF11" s="85"/>
    </row>
    <row r="12" spans="1:37" ht="18" hidden="1" x14ac:dyDescent="0.25">
      <c r="A12" s="10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96"/>
      <c r="N12" s="87"/>
      <c r="O12" s="87"/>
      <c r="P12" s="87"/>
      <c r="Q12" s="87"/>
      <c r="R12" s="87"/>
      <c r="S12" s="87"/>
      <c r="U12" s="87"/>
      <c r="AF12" s="85"/>
    </row>
    <row r="13" spans="1:37" ht="18" x14ac:dyDescent="0.25">
      <c r="A13" s="108" t="s">
        <v>204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97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</row>
    <row r="14" spans="1:37" s="78" customFormat="1" ht="18" x14ac:dyDescent="0.25">
      <c r="A14" s="109" t="s">
        <v>127</v>
      </c>
      <c r="B14" s="110">
        <v>1</v>
      </c>
      <c r="C14" s="110">
        <v>2</v>
      </c>
      <c r="D14" s="110">
        <v>3</v>
      </c>
      <c r="E14" s="110">
        <v>4</v>
      </c>
      <c r="F14" s="110">
        <v>5</v>
      </c>
      <c r="G14" s="110">
        <v>6</v>
      </c>
      <c r="H14" s="110">
        <v>7</v>
      </c>
      <c r="I14" s="110">
        <v>8</v>
      </c>
      <c r="J14" s="110">
        <v>9</v>
      </c>
      <c r="K14" s="110">
        <v>10</v>
      </c>
      <c r="L14" s="110">
        <v>11</v>
      </c>
      <c r="M14" s="111">
        <v>12</v>
      </c>
      <c r="N14" s="110">
        <v>13</v>
      </c>
      <c r="O14" s="110">
        <v>14</v>
      </c>
      <c r="P14" s="110">
        <v>15</v>
      </c>
      <c r="Q14" s="110">
        <v>16</v>
      </c>
      <c r="R14" s="110">
        <v>17</v>
      </c>
      <c r="S14" s="110">
        <v>18</v>
      </c>
      <c r="T14" s="110">
        <v>19</v>
      </c>
      <c r="U14" s="110">
        <v>20</v>
      </c>
      <c r="V14" s="110">
        <v>21</v>
      </c>
      <c r="W14" s="110">
        <v>22</v>
      </c>
      <c r="X14" s="110">
        <v>23</v>
      </c>
      <c r="Y14" s="110">
        <v>24</v>
      </c>
      <c r="Z14" s="110">
        <v>25</v>
      </c>
      <c r="AA14" s="110">
        <v>26</v>
      </c>
      <c r="AB14" s="110">
        <v>27</v>
      </c>
      <c r="AC14" s="110">
        <v>28</v>
      </c>
      <c r="AD14" s="110">
        <v>29</v>
      </c>
      <c r="AE14" s="110">
        <v>30</v>
      </c>
      <c r="AF14" s="110">
        <v>31</v>
      </c>
      <c r="AG14" s="291" t="s">
        <v>89</v>
      </c>
      <c r="AH14" s="292"/>
      <c r="AI14" s="340"/>
      <c r="AJ14" s="340"/>
      <c r="AK14" s="340"/>
    </row>
    <row r="15" spans="1:37" ht="18" x14ac:dyDescent="0.25">
      <c r="A15" s="112" t="s">
        <v>143</v>
      </c>
      <c r="B15" s="113" t="str">
        <f>+'Water '!$C7</f>
        <v>0</v>
      </c>
      <c r="C15" s="113" t="str">
        <f>+'Water '!$C8</f>
        <v>0</v>
      </c>
      <c r="D15" s="113" t="str">
        <f>+'Water '!$C9</f>
        <v>0</v>
      </c>
      <c r="E15" s="113" t="str">
        <f>+'Water '!$C10</f>
        <v>0</v>
      </c>
      <c r="F15" s="113" t="str">
        <f>+'Water '!$C11</f>
        <v>0</v>
      </c>
      <c r="G15" s="113" t="str">
        <f>+'Water '!$C12</f>
        <v>0</v>
      </c>
      <c r="H15" s="113" t="str">
        <f>+'Water '!$C13</f>
        <v>0</v>
      </c>
      <c r="I15" s="113" t="str">
        <f>+'Water '!$C14</f>
        <v>0</v>
      </c>
      <c r="J15" s="113" t="str">
        <f>+'Water '!$C15</f>
        <v>0</v>
      </c>
      <c r="K15" s="113" t="str">
        <f>+'Water '!$C16</f>
        <v>0</v>
      </c>
      <c r="L15" s="113" t="str">
        <f>+'Water '!$C17</f>
        <v>0</v>
      </c>
      <c r="M15" s="114" t="str">
        <f>+'Water '!$C18</f>
        <v>0</v>
      </c>
      <c r="N15" s="114" t="str">
        <f>+'Water '!$C18</f>
        <v>0</v>
      </c>
      <c r="O15" s="113" t="str">
        <f>+'Water '!$C20</f>
        <v>0</v>
      </c>
      <c r="P15" s="113" t="str">
        <f>+'Water '!$C21</f>
        <v>0</v>
      </c>
      <c r="Q15" s="113" t="str">
        <f>+'Water '!$C22</f>
        <v>0</v>
      </c>
      <c r="R15" s="113" t="str">
        <f>+'Water '!$C23</f>
        <v>0</v>
      </c>
      <c r="S15" s="113" t="str">
        <f>+'Water '!$C24</f>
        <v>0</v>
      </c>
      <c r="T15" s="113" t="str">
        <f>+'Water '!$C25</f>
        <v>0</v>
      </c>
      <c r="U15" s="113" t="str">
        <f>+'Water '!$C26</f>
        <v>0</v>
      </c>
      <c r="V15" s="113" t="str">
        <f>+'Water '!$C27</f>
        <v>0</v>
      </c>
      <c r="W15" s="113" t="str">
        <f>+'Water '!$C28</f>
        <v>0</v>
      </c>
      <c r="X15" s="113" t="str">
        <f>+'Water '!$C29</f>
        <v>0</v>
      </c>
      <c r="Y15" s="113" t="str">
        <f>+'Water '!$C30</f>
        <v>0</v>
      </c>
      <c r="Z15" s="113" t="str">
        <f>+'Water '!$C31</f>
        <v>0</v>
      </c>
      <c r="AA15" s="113" t="str">
        <f>+'Water '!$C32</f>
        <v>0</v>
      </c>
      <c r="AB15" s="113" t="str">
        <f>+'Water '!$C33</f>
        <v>0</v>
      </c>
      <c r="AC15" s="113" t="str">
        <f>+'Water '!$C34</f>
        <v>0</v>
      </c>
      <c r="AD15" s="113" t="str">
        <f>+'Water '!$C31</f>
        <v>0</v>
      </c>
      <c r="AE15" s="113" t="str">
        <f>+'Water '!$C32</f>
        <v>0</v>
      </c>
      <c r="AF15" s="113" t="str">
        <f>+'Water '!$C33</f>
        <v>0</v>
      </c>
      <c r="AG15" s="293">
        <f>SUM($B15:AF15)</f>
        <v>0</v>
      </c>
      <c r="AH15" s="294"/>
    </row>
    <row r="16" spans="1:37" ht="18" x14ac:dyDescent="0.25">
      <c r="A16" s="112" t="s">
        <v>128</v>
      </c>
      <c r="B16" s="113" t="str">
        <f>+'Water '!$D7</f>
        <v>0</v>
      </c>
      <c r="C16" s="113">
        <f>+'Water '!$D8</f>
        <v>267</v>
      </c>
      <c r="D16" s="113">
        <f>+'Water '!$D9</f>
        <v>288</v>
      </c>
      <c r="E16" s="113">
        <f>+'Water '!$D10</f>
        <v>198</v>
      </c>
      <c r="F16" s="113">
        <f>+'Water '!$D11</f>
        <v>141</v>
      </c>
      <c r="G16" s="113">
        <f>+'Water '!$D12</f>
        <v>223</v>
      </c>
      <c r="H16" s="113" t="str">
        <f>+'Water '!$D13</f>
        <v>0</v>
      </c>
      <c r="I16" s="113" t="str">
        <f>+'Water '!$D14</f>
        <v>0</v>
      </c>
      <c r="J16" s="113" t="str">
        <f>+'Water '!$D15</f>
        <v>0</v>
      </c>
      <c r="K16" s="113">
        <f>+'Water '!$D16</f>
        <v>171</v>
      </c>
      <c r="L16" s="113">
        <f>+'Water '!$D17</f>
        <v>304</v>
      </c>
      <c r="M16" s="114">
        <f>+'Water '!$D18</f>
        <v>24</v>
      </c>
      <c r="N16" s="113">
        <f>+'Water '!$D19</f>
        <v>69</v>
      </c>
      <c r="O16" s="113" t="str">
        <f>+'Water '!$D20</f>
        <v>0</v>
      </c>
      <c r="P16" s="113" t="str">
        <f>+'Water '!$D21</f>
        <v>0</v>
      </c>
      <c r="Q16" s="113">
        <f>+'Water '!$D22</f>
        <v>160</v>
      </c>
      <c r="R16" s="113">
        <f>+'Water '!$D23</f>
        <v>358</v>
      </c>
      <c r="S16" s="113">
        <f>+'Water '!$D24</f>
        <v>223</v>
      </c>
      <c r="T16" s="113" t="str">
        <f>+'Water '!$D25</f>
        <v>0</v>
      </c>
      <c r="U16" s="113">
        <f>+'Water '!$D26</f>
        <v>266</v>
      </c>
      <c r="V16" s="113" t="str">
        <f>+'Water '!$D27</f>
        <v>0</v>
      </c>
      <c r="W16" s="113" t="str">
        <f>+'Water '!$D28</f>
        <v>0</v>
      </c>
      <c r="X16" s="113">
        <f>+'Water '!$D29</f>
        <v>126</v>
      </c>
      <c r="Y16" s="113">
        <f>+'Water '!$D30</f>
        <v>263</v>
      </c>
      <c r="Z16" s="113">
        <f>+'Water '!$D31</f>
        <v>386</v>
      </c>
      <c r="AA16" s="113">
        <f>+'Water '!$D32</f>
        <v>205</v>
      </c>
      <c r="AB16" s="113">
        <f>+'Water '!$D33</f>
        <v>109</v>
      </c>
      <c r="AC16" s="113">
        <f>+'Water '!$D34</f>
        <v>5</v>
      </c>
      <c r="AD16" s="113">
        <f>+'Water '!$D31</f>
        <v>386</v>
      </c>
      <c r="AE16" s="113">
        <f>+'Water '!$D32</f>
        <v>205</v>
      </c>
      <c r="AF16" s="113">
        <f>+'Water '!$D33</f>
        <v>109</v>
      </c>
      <c r="AG16" s="293">
        <f>SUM($B16:AF16)</f>
        <v>4486</v>
      </c>
      <c r="AH16" s="294"/>
    </row>
    <row r="17" spans="1:37" ht="18" x14ac:dyDescent="0.25">
      <c r="A17" s="112" t="s">
        <v>129</v>
      </c>
      <c r="B17" s="115">
        <f>+'Water '!$E7</f>
        <v>71</v>
      </c>
      <c r="C17" s="116">
        <f>+'Water '!$E8</f>
        <v>188</v>
      </c>
      <c r="D17" s="115">
        <f>+'Water '!$E9</f>
        <v>132</v>
      </c>
      <c r="E17" s="115">
        <f>+'Water '!$E10</f>
        <v>171</v>
      </c>
      <c r="F17" s="115">
        <f>+'Water '!$E11</f>
        <v>262</v>
      </c>
      <c r="G17" s="115">
        <f>+'Water '!$E12</f>
        <v>287</v>
      </c>
      <c r="H17" s="117" t="str">
        <f>+'Water '!$E13</f>
        <v>0</v>
      </c>
      <c r="I17" s="116">
        <f>+'Water '!$E14</f>
        <v>88</v>
      </c>
      <c r="J17" s="117" t="str">
        <f>+'Water '!$E15</f>
        <v>0</v>
      </c>
      <c r="K17" s="117">
        <f>+'Water '!$E16</f>
        <v>136</v>
      </c>
      <c r="L17" s="117">
        <f>+'Water '!$E17</f>
        <v>172</v>
      </c>
      <c r="M17" s="118">
        <f>+'Water '!$E18</f>
        <v>269</v>
      </c>
      <c r="N17" s="115">
        <f>+'Water '!$E19</f>
        <v>277</v>
      </c>
      <c r="O17" s="117">
        <f>+'Water '!$E20</f>
        <v>149</v>
      </c>
      <c r="P17" s="117">
        <f>+'Water '!$E21</f>
        <v>88</v>
      </c>
      <c r="Q17" s="117">
        <f>+'Water '!$E22</f>
        <v>200</v>
      </c>
      <c r="R17" s="117">
        <f>+'Water '!$E23</f>
        <v>146</v>
      </c>
      <c r="S17" s="117">
        <f>+'Water '!$E24</f>
        <v>143</v>
      </c>
      <c r="T17" s="117" t="str">
        <f>+'Water '!$E25</f>
        <v>0</v>
      </c>
      <c r="U17" s="117">
        <f>+'Water '!$E26</f>
        <v>208</v>
      </c>
      <c r="V17" s="117">
        <f>+'Water '!$E27</f>
        <v>18</v>
      </c>
      <c r="W17" s="117">
        <f>+'Water '!$E28</f>
        <v>78</v>
      </c>
      <c r="X17" s="117">
        <f>+'Water '!$E29</f>
        <v>189</v>
      </c>
      <c r="Y17" s="119">
        <f>+'Water '!$E30</f>
        <v>91</v>
      </c>
      <c r="Z17" s="119">
        <f>+'Water '!$E31</f>
        <v>136</v>
      </c>
      <c r="AA17" s="115">
        <f>+'Water '!$E32</f>
        <v>266</v>
      </c>
      <c r="AB17" s="117">
        <f>+'Water '!$E33</f>
        <v>272</v>
      </c>
      <c r="AC17" s="117">
        <f>+'Water '!$E34</f>
        <v>168</v>
      </c>
      <c r="AD17" s="119">
        <f>+'Water '!$E31</f>
        <v>136</v>
      </c>
      <c r="AE17" s="115">
        <f>+'Water '!$E32</f>
        <v>266</v>
      </c>
      <c r="AF17" s="117">
        <f>+'Water '!$E33</f>
        <v>272</v>
      </c>
      <c r="AG17" s="295">
        <f>SUM($B17:AF17)</f>
        <v>4879</v>
      </c>
      <c r="AH17" s="296"/>
      <c r="AI17" s="341"/>
    </row>
    <row r="18" spans="1:37" s="79" customFormat="1" ht="20.25" x14ac:dyDescent="0.3">
      <c r="A18" s="120" t="s">
        <v>175</v>
      </c>
      <c r="B18" s="121">
        <f>SUM(B15:B17)</f>
        <v>71</v>
      </c>
      <c r="C18" s="121">
        <f t="shared" ref="C18:AC18" si="0">SUM(C15:C17)</f>
        <v>455</v>
      </c>
      <c r="D18" s="121">
        <f t="shared" si="0"/>
        <v>420</v>
      </c>
      <c r="E18" s="121">
        <f t="shared" si="0"/>
        <v>369</v>
      </c>
      <c r="F18" s="121">
        <f t="shared" si="0"/>
        <v>403</v>
      </c>
      <c r="G18" s="121">
        <f t="shared" si="0"/>
        <v>510</v>
      </c>
      <c r="H18" s="121">
        <f t="shared" si="0"/>
        <v>0</v>
      </c>
      <c r="I18" s="121">
        <f t="shared" si="0"/>
        <v>88</v>
      </c>
      <c r="J18" s="121">
        <f t="shared" si="0"/>
        <v>0</v>
      </c>
      <c r="K18" s="121">
        <f t="shared" si="0"/>
        <v>307</v>
      </c>
      <c r="L18" s="121">
        <f t="shared" si="0"/>
        <v>476</v>
      </c>
      <c r="M18" s="121">
        <f t="shared" si="0"/>
        <v>293</v>
      </c>
      <c r="N18" s="178">
        <f t="shared" si="0"/>
        <v>346</v>
      </c>
      <c r="O18" s="178">
        <f t="shared" si="0"/>
        <v>149</v>
      </c>
      <c r="P18" s="178">
        <f t="shared" si="0"/>
        <v>88</v>
      </c>
      <c r="Q18" s="178">
        <f t="shared" si="0"/>
        <v>360</v>
      </c>
      <c r="R18" s="178">
        <f t="shared" si="0"/>
        <v>504</v>
      </c>
      <c r="S18" s="178">
        <f t="shared" si="0"/>
        <v>366</v>
      </c>
      <c r="T18" s="178">
        <f t="shared" si="0"/>
        <v>0</v>
      </c>
      <c r="U18" s="178">
        <f t="shared" si="0"/>
        <v>474</v>
      </c>
      <c r="V18" s="178">
        <f t="shared" si="0"/>
        <v>18</v>
      </c>
      <c r="W18" s="178">
        <f t="shared" si="0"/>
        <v>78</v>
      </c>
      <c r="X18" s="178">
        <f t="shared" si="0"/>
        <v>315</v>
      </c>
      <c r="Y18" s="178">
        <f t="shared" si="0"/>
        <v>354</v>
      </c>
      <c r="Z18" s="178">
        <f t="shared" si="0"/>
        <v>522</v>
      </c>
      <c r="AA18" s="178">
        <f t="shared" si="0"/>
        <v>471</v>
      </c>
      <c r="AB18" s="178">
        <f t="shared" si="0"/>
        <v>381</v>
      </c>
      <c r="AC18" s="178">
        <f t="shared" si="0"/>
        <v>173</v>
      </c>
      <c r="AD18" s="178">
        <f t="shared" ref="AD18:AF18" si="1">SUM(AD15:AD17)</f>
        <v>522</v>
      </c>
      <c r="AE18" s="178">
        <f t="shared" si="1"/>
        <v>471</v>
      </c>
      <c r="AF18" s="178">
        <f t="shared" si="1"/>
        <v>381</v>
      </c>
      <c r="AG18" s="297">
        <f>SUM($B18:AF18)</f>
        <v>9365</v>
      </c>
      <c r="AH18" s="297"/>
      <c r="AI18" s="342"/>
      <c r="AJ18" s="343"/>
      <c r="AK18" s="343"/>
    </row>
    <row r="19" spans="1:37" ht="18" x14ac:dyDescent="0.25">
      <c r="A19" s="107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3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293"/>
      <c r="AH19" s="293"/>
      <c r="AI19" s="344"/>
    </row>
    <row r="20" spans="1:37" ht="18" hidden="1" x14ac:dyDescent="0.25">
      <c r="A20" s="11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3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293">
        <f>SUM($B20:AF20)</f>
        <v>0</v>
      </c>
      <c r="AH20" s="293"/>
      <c r="AI20" s="344"/>
    </row>
    <row r="21" spans="1:37" ht="18" x14ac:dyDescent="0.25">
      <c r="A21" s="124" t="s">
        <v>155</v>
      </c>
      <c r="B21" s="122">
        <f>0.73*(B96+B15)</f>
        <v>52.56</v>
      </c>
      <c r="C21" s="122">
        <f t="shared" ref="C21:AC21" si="2">0.73*(C96+C15)</f>
        <v>146</v>
      </c>
      <c r="D21" s="122">
        <f t="shared" si="2"/>
        <v>101.47</v>
      </c>
      <c r="E21" s="122">
        <f>0.73*(E96+E15)</f>
        <v>132.13</v>
      </c>
      <c r="F21" s="122">
        <f t="shared" si="2"/>
        <v>201.48</v>
      </c>
      <c r="G21" s="122">
        <f t="shared" si="2"/>
        <v>220.46</v>
      </c>
      <c r="H21" s="122">
        <f t="shared" si="2"/>
        <v>0</v>
      </c>
      <c r="I21" s="122">
        <f t="shared" si="2"/>
        <v>67.89</v>
      </c>
      <c r="J21" s="122">
        <f t="shared" si="2"/>
        <v>0</v>
      </c>
      <c r="K21" s="122">
        <f t="shared" si="2"/>
        <v>104.39</v>
      </c>
      <c r="L21" s="122">
        <f t="shared" si="2"/>
        <v>127.02</v>
      </c>
      <c r="M21" s="122">
        <f t="shared" si="2"/>
        <v>211.7</v>
      </c>
      <c r="N21" s="122">
        <f>0.73*(N96+N15)</f>
        <v>213.89</v>
      </c>
      <c r="O21" s="122">
        <f>0.73*(O96+O15)</f>
        <v>213.89</v>
      </c>
      <c r="P21" s="122">
        <f t="shared" si="2"/>
        <v>213.89</v>
      </c>
      <c r="Q21" s="122">
        <f>0.73*(Q96+Q15)</f>
        <v>213.89</v>
      </c>
      <c r="R21" s="122">
        <f t="shared" si="2"/>
        <v>213.89</v>
      </c>
      <c r="S21" s="122">
        <f t="shared" si="2"/>
        <v>213.89</v>
      </c>
      <c r="T21" s="122">
        <f t="shared" si="2"/>
        <v>0</v>
      </c>
      <c r="U21" s="122">
        <f t="shared" si="2"/>
        <v>157.68</v>
      </c>
      <c r="V21" s="122">
        <f t="shared" si="2"/>
        <v>12.41</v>
      </c>
      <c r="W21" s="122">
        <f>0.73*(W96+W15)</f>
        <v>59.129999999999995</v>
      </c>
      <c r="X21" s="122">
        <f t="shared" si="2"/>
        <v>144.54</v>
      </c>
      <c r="Y21" s="122">
        <f>0.73*(Y96+Y15)</f>
        <v>70.08</v>
      </c>
      <c r="Z21" s="122">
        <f t="shared" si="2"/>
        <v>102.92999999999999</v>
      </c>
      <c r="AA21" s="122">
        <f t="shared" si="2"/>
        <v>102.92999999999999</v>
      </c>
      <c r="AB21" s="122">
        <f t="shared" si="2"/>
        <v>102.92999999999999</v>
      </c>
      <c r="AC21" s="122">
        <f t="shared" si="2"/>
        <v>102.92999999999999</v>
      </c>
      <c r="AD21" s="122">
        <f t="shared" ref="AD21:AF21" si="3">0.73*(AD96+AD15)</f>
        <v>102.92999999999999</v>
      </c>
      <c r="AE21" s="122">
        <f t="shared" si="3"/>
        <v>102.92999999999999</v>
      </c>
      <c r="AF21" s="122">
        <f t="shared" si="3"/>
        <v>0</v>
      </c>
      <c r="AG21" s="293">
        <f>SUM($B21:AF21)</f>
        <v>3709.8599999999983</v>
      </c>
      <c r="AH21" s="298">
        <f>AG24+AG37+AG28</f>
        <v>10025</v>
      </c>
      <c r="AI21" s="344"/>
      <c r="AJ21" s="345">
        <f>(AH21*10)/AG9</f>
        <v>12.328300287831684</v>
      </c>
    </row>
    <row r="22" spans="1:37" ht="18" x14ac:dyDescent="0.25">
      <c r="A22" s="107"/>
      <c r="B22" s="98"/>
      <c r="C22" s="98"/>
      <c r="D22" s="98"/>
      <c r="E22" s="122">
        <f>0.73*(E97+E16)</f>
        <v>144.54</v>
      </c>
      <c r="F22" s="98"/>
      <c r="G22" s="98"/>
      <c r="H22" s="98"/>
      <c r="I22" s="98"/>
      <c r="J22" s="98"/>
      <c r="K22" s="98"/>
      <c r="L22" s="98"/>
      <c r="M22" s="99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284"/>
      <c r="AH22" s="284"/>
      <c r="AI22" s="344"/>
    </row>
    <row r="23" spans="1:37" ht="18" x14ac:dyDescent="0.25">
      <c r="A23" s="124" t="s">
        <v>134</v>
      </c>
      <c r="B23" s="122" t="str">
        <f>'Water '!R7</f>
        <v>0</v>
      </c>
      <c r="C23" s="122" t="str">
        <f>'Water '!R8</f>
        <v>0</v>
      </c>
      <c r="D23" s="122" t="str">
        <f>'Water '!R9</f>
        <v>0</v>
      </c>
      <c r="E23" s="122" t="str">
        <f>'Water '!R10</f>
        <v>0</v>
      </c>
      <c r="F23" s="122" t="str">
        <f>'Water '!R11</f>
        <v>0</v>
      </c>
      <c r="G23" s="122" t="str">
        <f>'Water '!R12</f>
        <v>0</v>
      </c>
      <c r="H23" s="122" t="str">
        <f>'Water '!R13</f>
        <v>0</v>
      </c>
      <c r="I23" s="122" t="str">
        <f>'Water '!R14</f>
        <v>0</v>
      </c>
      <c r="J23" s="122" t="str">
        <f>'Water '!R15</f>
        <v>0</v>
      </c>
      <c r="K23" s="122" t="str">
        <f>'Water '!R16</f>
        <v>0</v>
      </c>
      <c r="L23" s="122" t="str">
        <f>'Water '!R17</f>
        <v>0</v>
      </c>
      <c r="M23" s="123" t="str">
        <f>'Water '!R18</f>
        <v>0</v>
      </c>
      <c r="N23" s="122" t="str">
        <f>'Water '!R19</f>
        <v>0</v>
      </c>
      <c r="O23" s="122" t="str">
        <f>'Water '!R20</f>
        <v>0</v>
      </c>
      <c r="P23" s="122" t="str">
        <f>'Water '!R21</f>
        <v>0</v>
      </c>
      <c r="Q23" s="122" t="str">
        <f>'Water '!R22</f>
        <v>0</v>
      </c>
      <c r="R23" s="122" t="str">
        <f>'Water '!R23</f>
        <v>0</v>
      </c>
      <c r="S23" s="122" t="str">
        <f>'Water '!R24</f>
        <v>0</v>
      </c>
      <c r="T23" s="122" t="str">
        <f>'Water '!R25</f>
        <v>0</v>
      </c>
      <c r="U23" s="122" t="str">
        <f>'Water '!R26</f>
        <v>0</v>
      </c>
      <c r="V23" s="122" t="str">
        <f>'Water '!R27</f>
        <v>0</v>
      </c>
      <c r="W23" s="122" t="str">
        <f>'Water '!R28</f>
        <v>0</v>
      </c>
      <c r="X23" s="122" t="str">
        <f>'Water '!R29</f>
        <v>0</v>
      </c>
      <c r="Y23" s="122" t="str">
        <f>'Water '!R30</f>
        <v>0</v>
      </c>
      <c r="Z23" s="122" t="str">
        <f>'Water '!R31</f>
        <v>0</v>
      </c>
      <c r="AA23" s="122" t="str">
        <f>'Water '!R32</f>
        <v>0</v>
      </c>
      <c r="AB23" s="122" t="str">
        <f>'Water '!R33</f>
        <v>0</v>
      </c>
      <c r="AC23" s="122" t="str">
        <f>'Water '!R34</f>
        <v>0</v>
      </c>
      <c r="AD23" s="122" t="str">
        <f>'Water '!V31</f>
        <v>0</v>
      </c>
      <c r="AE23" s="122">
        <f>'Water '!V32</f>
        <v>7</v>
      </c>
      <c r="AF23" s="122">
        <f>'Water '!V33</f>
        <v>2</v>
      </c>
      <c r="AG23" s="293">
        <f>SUM($B23:AF23)</f>
        <v>9</v>
      </c>
      <c r="AH23" s="293"/>
      <c r="AI23" s="344"/>
    </row>
    <row r="24" spans="1:37" ht="18" x14ac:dyDescent="0.25">
      <c r="A24" s="125" t="s">
        <v>173</v>
      </c>
      <c r="B24" s="115">
        <f>'Water '!H7</f>
        <v>12</v>
      </c>
      <c r="C24" s="115">
        <f>'Water '!H8</f>
        <v>335</v>
      </c>
      <c r="D24" s="115">
        <f>'Water '!H9</f>
        <v>294</v>
      </c>
      <c r="E24" s="115">
        <f>'Water '!H10</f>
        <v>228</v>
      </c>
      <c r="F24" s="115">
        <f>'Water '!H11</f>
        <v>305</v>
      </c>
      <c r="G24" s="115">
        <f>'Water '!H12</f>
        <v>225</v>
      </c>
      <c r="H24" s="115">
        <f>'Water '!H13</f>
        <v>47</v>
      </c>
      <c r="I24" s="115">
        <f>'Water '!H14</f>
        <v>71</v>
      </c>
      <c r="J24" s="115">
        <f>'Water '!H15</f>
        <v>6</v>
      </c>
      <c r="K24" s="115">
        <f>'Water '!H16</f>
        <v>270</v>
      </c>
      <c r="L24" s="115">
        <f>'Water '!H17</f>
        <v>287</v>
      </c>
      <c r="M24" s="126">
        <f>'Water '!H18</f>
        <v>259</v>
      </c>
      <c r="N24" s="115">
        <f>'Water '!H19</f>
        <v>248</v>
      </c>
      <c r="O24" s="115">
        <f>'Water '!H20</f>
        <v>152</v>
      </c>
      <c r="P24" s="115">
        <f>'Water '!H21</f>
        <v>9</v>
      </c>
      <c r="Q24" s="115">
        <f>'Water '!H22</f>
        <v>258</v>
      </c>
      <c r="R24" s="115">
        <f>'Water '!H23</f>
        <v>288</v>
      </c>
      <c r="S24" s="115">
        <f>'Water '!H24</f>
        <v>267</v>
      </c>
      <c r="T24" s="115">
        <f>'Water '!H25</f>
        <v>11</v>
      </c>
      <c r="U24" s="115">
        <f>'Water '!H26</f>
        <v>0</v>
      </c>
      <c r="V24" s="115">
        <f>'Water '!H27</f>
        <v>1057</v>
      </c>
      <c r="W24" s="115">
        <f>'Water '!H28</f>
        <v>4</v>
      </c>
      <c r="X24" s="115">
        <f>'Water '!H29</f>
        <v>295</v>
      </c>
      <c r="Y24" s="115">
        <f>'Water '!H30</f>
        <v>233</v>
      </c>
      <c r="Z24" s="115">
        <f>'Water '!H31</f>
        <v>312</v>
      </c>
      <c r="AA24" s="115">
        <f>'Water '!H32</f>
        <v>257</v>
      </c>
      <c r="AB24" s="115">
        <f>'Water '!H33</f>
        <v>249</v>
      </c>
      <c r="AC24" s="115">
        <f>'Water '!H34</f>
        <v>96</v>
      </c>
      <c r="AD24" s="115" t="str">
        <f>'Water '!L31</f>
        <v>0</v>
      </c>
      <c r="AE24" s="115" t="str">
        <f>'Water '!L32</f>
        <v>0</v>
      </c>
      <c r="AF24" s="115" t="str">
        <f>'Water '!L33</f>
        <v>0</v>
      </c>
      <c r="AG24" s="295">
        <f>SUM($B24:AF24)</f>
        <v>6075</v>
      </c>
      <c r="AH24" s="295"/>
      <c r="AI24" s="295"/>
    </row>
    <row r="25" spans="1:37" s="79" customFormat="1" ht="20.25" x14ac:dyDescent="0.3">
      <c r="A25" s="127" t="s">
        <v>156</v>
      </c>
      <c r="B25" s="121">
        <f>SUM(B23:B24)</f>
        <v>12</v>
      </c>
      <c r="C25" s="121">
        <f t="shared" ref="C25:AC25" si="4">SUM(C23:C24)</f>
        <v>335</v>
      </c>
      <c r="D25" s="121">
        <f t="shared" si="4"/>
        <v>294</v>
      </c>
      <c r="E25" s="121">
        <f t="shared" si="4"/>
        <v>228</v>
      </c>
      <c r="F25" s="121">
        <f t="shared" si="4"/>
        <v>305</v>
      </c>
      <c r="G25" s="121">
        <f t="shared" si="4"/>
        <v>225</v>
      </c>
      <c r="H25" s="121">
        <f t="shared" si="4"/>
        <v>47</v>
      </c>
      <c r="I25" s="121">
        <f t="shared" si="4"/>
        <v>71</v>
      </c>
      <c r="J25" s="121">
        <f t="shared" si="4"/>
        <v>6</v>
      </c>
      <c r="K25" s="121">
        <f t="shared" si="4"/>
        <v>270</v>
      </c>
      <c r="L25" s="121">
        <f t="shared" si="4"/>
        <v>287</v>
      </c>
      <c r="M25" s="121">
        <f t="shared" si="4"/>
        <v>259</v>
      </c>
      <c r="N25" s="121">
        <f t="shared" si="4"/>
        <v>248</v>
      </c>
      <c r="O25" s="121">
        <f t="shared" si="4"/>
        <v>152</v>
      </c>
      <c r="P25" s="121">
        <f t="shared" si="4"/>
        <v>9</v>
      </c>
      <c r="Q25" s="121">
        <f t="shared" si="4"/>
        <v>258</v>
      </c>
      <c r="R25" s="121">
        <f t="shared" si="4"/>
        <v>288</v>
      </c>
      <c r="S25" s="121">
        <f t="shared" si="4"/>
        <v>267</v>
      </c>
      <c r="T25" s="121">
        <f t="shared" si="4"/>
        <v>11</v>
      </c>
      <c r="U25" s="121">
        <f t="shared" si="4"/>
        <v>0</v>
      </c>
      <c r="V25" s="121">
        <f t="shared" si="4"/>
        <v>1057</v>
      </c>
      <c r="W25" s="121">
        <f t="shared" si="4"/>
        <v>4</v>
      </c>
      <c r="X25" s="121">
        <f t="shared" si="4"/>
        <v>295</v>
      </c>
      <c r="Y25" s="121">
        <f t="shared" si="4"/>
        <v>233</v>
      </c>
      <c r="Z25" s="121">
        <f t="shared" si="4"/>
        <v>312</v>
      </c>
      <c r="AA25" s="121">
        <f t="shared" si="4"/>
        <v>257</v>
      </c>
      <c r="AB25" s="121">
        <f t="shared" si="4"/>
        <v>249</v>
      </c>
      <c r="AC25" s="121">
        <f t="shared" si="4"/>
        <v>96</v>
      </c>
      <c r="AD25" s="121">
        <f t="shared" ref="AD25:AF25" si="5">SUM(AD23:AD24)</f>
        <v>0</v>
      </c>
      <c r="AE25" s="121">
        <f t="shared" si="5"/>
        <v>7</v>
      </c>
      <c r="AF25" s="121">
        <f t="shared" si="5"/>
        <v>2</v>
      </c>
      <c r="AG25" s="297">
        <f>SUM($B25:AF25)</f>
        <v>6084</v>
      </c>
      <c r="AH25" s="297"/>
      <c r="AI25" s="342"/>
      <c r="AJ25" s="343"/>
      <c r="AK25" s="343"/>
    </row>
    <row r="26" spans="1:37" ht="18" x14ac:dyDescent="0.25">
      <c r="A26" s="112"/>
      <c r="B26" s="128" t="str">
        <f>IF(B$9=0,"",+(B25*10)/B$9)</f>
        <v/>
      </c>
      <c r="C26" s="128">
        <f t="shared" ref="C26:AC26" si="6">IF(C$9=0,"",+(C25*10)/C$9)</f>
        <v>7.3528572544826085</v>
      </c>
      <c r="D26" s="128">
        <f t="shared" si="6"/>
        <v>4.5598786513926237</v>
      </c>
      <c r="E26" s="128">
        <f>IF(E$9=0,"",+(E25*10)/E$9)</f>
        <v>5.7222883129790532</v>
      </c>
      <c r="F26" s="128">
        <f t="shared" si="6"/>
        <v>6.141961883588678</v>
      </c>
      <c r="G26" s="128">
        <f t="shared" si="6"/>
        <v>8.5248584873491087</v>
      </c>
      <c r="H26" s="128" t="str">
        <f t="shared" si="6"/>
        <v/>
      </c>
      <c r="I26" s="128" t="str">
        <f t="shared" si="6"/>
        <v/>
      </c>
      <c r="J26" s="128" t="str">
        <f t="shared" si="6"/>
        <v/>
      </c>
      <c r="K26" s="128">
        <f t="shared" si="6"/>
        <v>6.4576307670230317</v>
      </c>
      <c r="L26" s="128">
        <f>IF(L$9=0,"",+(L25*10)/L$9)</f>
        <v>6.0295131010605214</v>
      </c>
      <c r="M26" s="128">
        <f t="shared" si="6"/>
        <v>7.6213680797095051</v>
      </c>
      <c r="N26" s="128">
        <f t="shared" si="6"/>
        <v>6.0256185977802392</v>
      </c>
      <c r="O26" s="128" t="str">
        <f>IF(O$9=0,"",+(O25*10)/O$9)</f>
        <v/>
      </c>
      <c r="P26" s="128" t="str">
        <f t="shared" si="6"/>
        <v/>
      </c>
      <c r="Q26" s="128">
        <f t="shared" si="6"/>
        <v>6.4400179721431776</v>
      </c>
      <c r="R26" s="128">
        <f t="shared" si="6"/>
        <v>5.2340606496777777</v>
      </c>
      <c r="S26" s="128">
        <f t="shared" si="6"/>
        <v>5.9792700722080836</v>
      </c>
      <c r="T26" s="128" t="str">
        <f t="shared" si="6"/>
        <v/>
      </c>
      <c r="U26" s="128">
        <f t="shared" si="6"/>
        <v>0</v>
      </c>
      <c r="V26" s="128" t="str">
        <f t="shared" si="6"/>
        <v/>
      </c>
      <c r="W26" s="128" t="str">
        <f t="shared" si="6"/>
        <v/>
      </c>
      <c r="X26" s="128">
        <f t="shared" si="6"/>
        <v>6.1993023158071701</v>
      </c>
      <c r="Y26" s="128">
        <f t="shared" si="6"/>
        <v>6.3357915116709087</v>
      </c>
      <c r="Z26" s="128">
        <f t="shared" si="6"/>
        <v>4.7037539574853007</v>
      </c>
      <c r="AA26" s="128">
        <f t="shared" si="6"/>
        <v>4.8832949510150412</v>
      </c>
      <c r="AB26" s="128">
        <f t="shared" si="6"/>
        <v>6.1908882059850221</v>
      </c>
      <c r="AC26" s="128" t="str">
        <f t="shared" si="6"/>
        <v/>
      </c>
      <c r="AD26" s="128" t="str">
        <f t="shared" ref="AD26:AF26" si="7">IF(AD$9=0,"",+(AD25*10)/AD$9)</f>
        <v/>
      </c>
      <c r="AE26" s="128" t="str">
        <f t="shared" si="7"/>
        <v/>
      </c>
      <c r="AF26" s="128">
        <f t="shared" si="7"/>
        <v>0.68870523415977958</v>
      </c>
      <c r="AG26" s="299"/>
      <c r="AH26" s="299"/>
      <c r="AI26" s="344"/>
    </row>
    <row r="27" spans="1:37" ht="18" x14ac:dyDescent="0.25">
      <c r="A27" s="129" t="s">
        <v>176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3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293">
        <f>SUM($B27:AF27)</f>
        <v>0</v>
      </c>
      <c r="AH27" s="293"/>
      <c r="AI27" s="344"/>
    </row>
    <row r="28" spans="1:37" ht="18" x14ac:dyDescent="0.25">
      <c r="A28" s="112" t="s">
        <v>130</v>
      </c>
      <c r="B28" s="130" t="str">
        <f>+'Water '!$J7</f>
        <v>0</v>
      </c>
      <c r="C28" s="130">
        <f>+'Water '!$J8</f>
        <v>113</v>
      </c>
      <c r="D28" s="130">
        <f>+'Water '!$J9</f>
        <v>130</v>
      </c>
      <c r="E28" s="130">
        <f>+'Water '!$J10</f>
        <v>173</v>
      </c>
      <c r="F28" s="130">
        <f>+'Water '!$J11</f>
        <v>222</v>
      </c>
      <c r="G28" s="130">
        <f>+'Water '!$J12</f>
        <v>122</v>
      </c>
      <c r="H28" s="114">
        <f>+'Water '!$J13</f>
        <v>1</v>
      </c>
      <c r="I28" s="130" t="str">
        <f>+'Water '!$J14</f>
        <v>0</v>
      </c>
      <c r="J28" s="130" t="str">
        <f>+'Water '!$J15</f>
        <v>0</v>
      </c>
      <c r="K28" s="130">
        <f>+'Water '!$J16</f>
        <v>100</v>
      </c>
      <c r="L28" s="131">
        <f>+'Water '!$J17</f>
        <v>180</v>
      </c>
      <c r="M28" s="114">
        <f>+'Water '!$J18</f>
        <v>129</v>
      </c>
      <c r="N28" s="130">
        <f>+'Water '!$J19</f>
        <v>135</v>
      </c>
      <c r="O28" s="130">
        <f>+'Water '!$J20</f>
        <v>74</v>
      </c>
      <c r="P28" s="130" t="str">
        <f>+'Water '!$J21</f>
        <v>0</v>
      </c>
      <c r="Q28" s="130">
        <f>+'Water '!$J22</f>
        <v>107</v>
      </c>
      <c r="R28" s="113">
        <f>+'Water '!$J23</f>
        <v>177</v>
      </c>
      <c r="S28" s="131">
        <f>+'Water '!$J24</f>
        <v>105</v>
      </c>
      <c r="T28" s="130" t="str">
        <f>+'Water '!$J25</f>
        <v>0</v>
      </c>
      <c r="U28" s="130">
        <f>+'Water '!$J26</f>
        <v>12</v>
      </c>
      <c r="V28" s="130" t="str">
        <f>+'Water '!$J27</f>
        <v>0</v>
      </c>
      <c r="W28" s="130" t="str">
        <f>+'Water '!$J28</f>
        <v>0</v>
      </c>
      <c r="X28" s="130">
        <f>+'Water '!$J29</f>
        <v>67</v>
      </c>
      <c r="Y28" s="130">
        <f>+'Water '!$J30</f>
        <v>214</v>
      </c>
      <c r="Z28" s="130">
        <f>+'Water '!$J31</f>
        <v>162</v>
      </c>
      <c r="AA28" s="130">
        <f>+'Water '!$J32</f>
        <v>195</v>
      </c>
      <c r="AB28" s="131">
        <f>+'Water '!$J33</f>
        <v>148</v>
      </c>
      <c r="AC28" s="130">
        <f>+'Water '!$J34</f>
        <v>209</v>
      </c>
      <c r="AD28" s="130">
        <f>+'Water '!$J31</f>
        <v>162</v>
      </c>
      <c r="AE28" s="130">
        <f>+'Water '!$J32</f>
        <v>195</v>
      </c>
      <c r="AF28" s="131">
        <f>+'Water '!$J33</f>
        <v>148</v>
      </c>
      <c r="AG28" s="293">
        <f>SUM($B28:AF28)</f>
        <v>3280</v>
      </c>
      <c r="AH28" s="293"/>
      <c r="AI28" s="344"/>
    </row>
    <row r="29" spans="1:37" ht="17.25" customHeight="1" x14ac:dyDescent="0.25">
      <c r="A29" s="124" t="s">
        <v>180</v>
      </c>
      <c r="B29" s="122" t="str">
        <f>'Water '!X7</f>
        <v>0</v>
      </c>
      <c r="C29" s="122" t="str">
        <f>'Water '!X8</f>
        <v>0</v>
      </c>
      <c r="D29" s="122" t="str">
        <f>'Water '!X9</f>
        <v>0</v>
      </c>
      <c r="E29" s="122" t="str">
        <f>'Water '!X10</f>
        <v>0</v>
      </c>
      <c r="F29" s="122" t="str">
        <f>'Water '!X11</f>
        <v>0</v>
      </c>
      <c r="G29" s="122" t="str">
        <f>'Water '!X12</f>
        <v>0</v>
      </c>
      <c r="H29" s="122" t="str">
        <f>'Water '!X13</f>
        <v>0</v>
      </c>
      <c r="I29" s="122" t="str">
        <f>'Water '!X14</f>
        <v>0</v>
      </c>
      <c r="J29" s="122" t="str">
        <f>'Water '!X15</f>
        <v>0</v>
      </c>
      <c r="K29" s="122" t="str">
        <f>'Water '!X16</f>
        <v>0</v>
      </c>
      <c r="L29" s="122" t="str">
        <f>'Water '!X17</f>
        <v>0</v>
      </c>
      <c r="M29" s="122" t="str">
        <f>'Water '!X18</f>
        <v>0</v>
      </c>
      <c r="N29" s="122" t="str">
        <f>'Water '!X19</f>
        <v>0</v>
      </c>
      <c r="O29" s="122" t="str">
        <f>'Water '!X20</f>
        <v>0</v>
      </c>
      <c r="P29" s="122" t="str">
        <f>'Water '!X21</f>
        <v>0</v>
      </c>
      <c r="Q29" s="122" t="str">
        <f>'Water '!X22</f>
        <v>0</v>
      </c>
      <c r="R29" s="122" t="str">
        <f>'Water '!X23</f>
        <v>0</v>
      </c>
      <c r="S29" s="122" t="str">
        <f>'Water '!X24</f>
        <v>0</v>
      </c>
      <c r="T29" s="122" t="str">
        <f>'Water '!X25</f>
        <v>0</v>
      </c>
      <c r="U29" s="122" t="str">
        <f>'Water '!X26</f>
        <v>0</v>
      </c>
      <c r="V29" s="122" t="str">
        <f>'Water '!X27</f>
        <v>0</v>
      </c>
      <c r="W29" s="122" t="str">
        <f>'Water '!X28</f>
        <v>0</v>
      </c>
      <c r="X29" s="122" t="str">
        <f>'Water '!X29</f>
        <v>0</v>
      </c>
      <c r="Y29" s="122" t="str">
        <f>'Water '!X30</f>
        <v>0</v>
      </c>
      <c r="Z29" s="122" t="str">
        <f>'Water '!X31</f>
        <v>0</v>
      </c>
      <c r="AA29" s="122" t="str">
        <f>'Water '!X32</f>
        <v>0</v>
      </c>
      <c r="AB29" s="122" t="str">
        <f>'Water '!X33</f>
        <v>0</v>
      </c>
      <c r="AC29" s="122" t="str">
        <f>'Water '!X34</f>
        <v>0</v>
      </c>
      <c r="AD29" s="122">
        <f>'Water '!AB31</f>
        <v>7.8697421981004059</v>
      </c>
      <c r="AE29" s="122">
        <f>'Water '!AB32</f>
        <v>8.9495405522493563</v>
      </c>
      <c r="AF29" s="122">
        <f>'Water '!AB33</f>
        <v>9.4728048453023845</v>
      </c>
      <c r="AG29" s="293">
        <f>SUM($B29:AF29)</f>
        <v>26.292087595652148</v>
      </c>
      <c r="AH29" s="293"/>
      <c r="AI29" s="344"/>
    </row>
    <row r="30" spans="1:37" ht="17.25" customHeight="1" x14ac:dyDescent="0.25">
      <c r="A30" s="132" t="s">
        <v>201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293"/>
      <c r="AH30" s="293"/>
      <c r="AI30" s="344"/>
    </row>
    <row r="31" spans="1:37" ht="18" x14ac:dyDescent="0.25">
      <c r="A31" s="133" t="s">
        <v>179</v>
      </c>
      <c r="B31" s="134" t="str">
        <f>+'Water '!$K7</f>
        <v>0</v>
      </c>
      <c r="C31" s="134" t="str">
        <f>+'Water '!$K8</f>
        <v>0</v>
      </c>
      <c r="D31" s="134" t="str">
        <f>+'Water '!$K9</f>
        <v>0</v>
      </c>
      <c r="E31" s="134" t="str">
        <f>+'Water '!$K10</f>
        <v>0</v>
      </c>
      <c r="F31" s="134" t="str">
        <f>+'Water '!$K11</f>
        <v>0</v>
      </c>
      <c r="G31" s="134" t="str">
        <f>+'Water '!$K12</f>
        <v>0</v>
      </c>
      <c r="H31" s="134" t="str">
        <f>+'Water '!$K13</f>
        <v>0</v>
      </c>
      <c r="I31" s="134" t="str">
        <f>+'Water '!$K14</f>
        <v>0</v>
      </c>
      <c r="J31" s="134" t="str">
        <f>+'Water '!$K15</f>
        <v>0</v>
      </c>
      <c r="K31" s="134" t="str">
        <f>+'Water '!$K16</f>
        <v>0</v>
      </c>
      <c r="L31" s="134" t="str">
        <f>+'Water '!$K17</f>
        <v>0</v>
      </c>
      <c r="M31" s="134" t="str">
        <f>+'Water '!$K18</f>
        <v>0</v>
      </c>
      <c r="N31" s="134" t="str">
        <f>+'Water '!$K19</f>
        <v>0</v>
      </c>
      <c r="O31" s="134" t="str">
        <f>+'Water '!$K19</f>
        <v>0</v>
      </c>
      <c r="P31" s="134" t="str">
        <f>+'Water '!$K19</f>
        <v>0</v>
      </c>
      <c r="Q31" s="134" t="str">
        <f>+'Water '!$K22</f>
        <v>0</v>
      </c>
      <c r="R31" s="134" t="str">
        <f>+'Water '!$K22</f>
        <v>0</v>
      </c>
      <c r="S31" s="134" t="str">
        <f>+'Water '!$K22</f>
        <v>0</v>
      </c>
      <c r="T31" s="134" t="str">
        <f>+'Water '!$K25</f>
        <v>0</v>
      </c>
      <c r="U31" s="134" t="str">
        <f>+'Water '!$K26</f>
        <v>0</v>
      </c>
      <c r="V31" s="134" t="str">
        <f>+'Water '!$K27</f>
        <v>0</v>
      </c>
      <c r="W31" s="134" t="str">
        <f>+'Water '!$K28</f>
        <v>0</v>
      </c>
      <c r="X31" s="134" t="str">
        <f>+'Water '!$K29</f>
        <v>0</v>
      </c>
      <c r="Y31" s="134" t="str">
        <f>+'Water '!$K30</f>
        <v>0</v>
      </c>
      <c r="Z31" s="134" t="str">
        <f>+'Water '!$K31</f>
        <v>0</v>
      </c>
      <c r="AA31" s="134" t="str">
        <f>+'Water '!$K32</f>
        <v>0</v>
      </c>
      <c r="AB31" s="134" t="str">
        <f>+'Water '!$K33</f>
        <v>0</v>
      </c>
      <c r="AC31" s="134" t="str">
        <f>+'Water '!$K34</f>
        <v>0</v>
      </c>
      <c r="AD31" s="134" t="str">
        <f>+'Water '!$K31</f>
        <v>0</v>
      </c>
      <c r="AE31" s="134" t="str">
        <f>+'Water '!$K32</f>
        <v>0</v>
      </c>
      <c r="AF31" s="134" t="str">
        <f>+'Water '!$K33</f>
        <v>0</v>
      </c>
      <c r="AG31" s="300">
        <f>SUM($B31:AF31)</f>
        <v>0</v>
      </c>
      <c r="AH31" s="300"/>
      <c r="AI31" s="300"/>
    </row>
    <row r="32" spans="1:37" ht="17.25" customHeight="1" x14ac:dyDescent="0.25">
      <c r="A32" s="135" t="s">
        <v>181</v>
      </c>
      <c r="B32" s="136" t="str">
        <f>'Water '!L7</f>
        <v>0</v>
      </c>
      <c r="C32" s="136" t="str">
        <f>'Water '!L8</f>
        <v>0</v>
      </c>
      <c r="D32" s="136" t="str">
        <f>'Water '!L9</f>
        <v>0</v>
      </c>
      <c r="E32" s="136" t="str">
        <f>'Water '!L10</f>
        <v>0</v>
      </c>
      <c r="F32" s="136" t="str">
        <f>'Water '!L11</f>
        <v>0</v>
      </c>
      <c r="G32" s="136" t="str">
        <f>'Water '!L12</f>
        <v>0</v>
      </c>
      <c r="H32" s="136" t="str">
        <f>'Water '!L13</f>
        <v>0</v>
      </c>
      <c r="I32" s="136" t="str">
        <f>'Water '!L14</f>
        <v>0</v>
      </c>
      <c r="J32" s="136" t="str">
        <f>'Water '!L15</f>
        <v>0</v>
      </c>
      <c r="K32" s="136" t="str">
        <f>'Water '!L16</f>
        <v>0</v>
      </c>
      <c r="L32" s="136" t="str">
        <f>'Water '!L17</f>
        <v>0</v>
      </c>
      <c r="M32" s="136" t="str">
        <f>'Water '!L18</f>
        <v>0</v>
      </c>
      <c r="N32" s="136" t="str">
        <f>'Water '!L19</f>
        <v>0</v>
      </c>
      <c r="O32" s="136">
        <f>'Water '!M19</f>
        <v>3</v>
      </c>
      <c r="P32" s="136">
        <f>'Water '!N19</f>
        <v>31</v>
      </c>
      <c r="Q32" s="136" t="str">
        <f>'Water '!L22</f>
        <v>0</v>
      </c>
      <c r="R32" s="136">
        <f>'Water '!M22</f>
        <v>38</v>
      </c>
      <c r="S32" s="136">
        <f>'Water '!N22</f>
        <v>47</v>
      </c>
      <c r="T32" s="136" t="str">
        <f>'Water '!L25</f>
        <v>0</v>
      </c>
      <c r="U32" s="136" t="str">
        <f>'Water '!L26</f>
        <v>0</v>
      </c>
      <c r="V32" s="136" t="str">
        <f>'Water '!L27</f>
        <v>0</v>
      </c>
      <c r="W32" s="136" t="str">
        <f>'Water '!L28</f>
        <v>0</v>
      </c>
      <c r="X32" s="136" t="str">
        <f>'Water '!L29</f>
        <v>0</v>
      </c>
      <c r="Y32" s="136" t="str">
        <f>'Water '!L30</f>
        <v>0</v>
      </c>
      <c r="Z32" s="136" t="str">
        <f>'Water '!L31</f>
        <v>0</v>
      </c>
      <c r="AA32" s="136" t="str">
        <f>'Water '!L32</f>
        <v>0</v>
      </c>
      <c r="AB32" s="136" t="str">
        <f>'Water '!L33</f>
        <v>0</v>
      </c>
      <c r="AC32" s="136" t="str">
        <f>'Water '!L34</f>
        <v>0</v>
      </c>
      <c r="AD32" s="136">
        <f>'Water '!P31</f>
        <v>24</v>
      </c>
      <c r="AE32" s="136">
        <f>'Water '!P32</f>
        <v>20</v>
      </c>
      <c r="AF32" s="136">
        <f>'Water '!P33</f>
        <v>56</v>
      </c>
      <c r="AG32" s="300">
        <f>SUM($B32:AF32)</f>
        <v>219</v>
      </c>
      <c r="AH32" s="300"/>
      <c r="AI32" s="300"/>
    </row>
    <row r="33" spans="1:37" ht="18" x14ac:dyDescent="0.25">
      <c r="A33" s="135" t="s">
        <v>103</v>
      </c>
      <c r="B33" s="134" t="str">
        <f>+'Water '!$N7</f>
        <v>0</v>
      </c>
      <c r="C33" s="134">
        <f>+'Water '!$N8</f>
        <v>85</v>
      </c>
      <c r="D33" s="134">
        <f>+'Water '!$N9</f>
        <v>51</v>
      </c>
      <c r="E33" s="134">
        <f>+'Water '!$N10</f>
        <v>31</v>
      </c>
      <c r="F33" s="134">
        <f>+'Water '!$N11</f>
        <v>56</v>
      </c>
      <c r="G33" s="134">
        <f>+'Water '!$N12</f>
        <v>60</v>
      </c>
      <c r="H33" s="134">
        <f>+'Water '!$N13</f>
        <v>5</v>
      </c>
      <c r="I33" s="134" t="str">
        <f>+'Water '!$N14</f>
        <v>0</v>
      </c>
      <c r="J33" s="134" t="str">
        <f>+'Water '!$N15</f>
        <v>0</v>
      </c>
      <c r="K33" s="134">
        <f>+'Water '!$N16</f>
        <v>47</v>
      </c>
      <c r="L33" s="134">
        <f>+'Water '!$N17</f>
        <v>43</v>
      </c>
      <c r="M33" s="134">
        <f>+'Water '!$N18</f>
        <v>64</v>
      </c>
      <c r="N33" s="134">
        <f>+'Water '!$N19</f>
        <v>31</v>
      </c>
      <c r="O33" s="134">
        <f>+'Water '!$N19</f>
        <v>31</v>
      </c>
      <c r="P33" s="134">
        <f>+'Water '!$N19</f>
        <v>31</v>
      </c>
      <c r="Q33" s="134">
        <f>+'Water '!$N22</f>
        <v>47</v>
      </c>
      <c r="R33" s="134">
        <f>+'Water '!$N22</f>
        <v>47</v>
      </c>
      <c r="S33" s="134">
        <f>+'Water '!$N22</f>
        <v>47</v>
      </c>
      <c r="T33" s="134" t="str">
        <f>+'Water '!$N25</f>
        <v>0</v>
      </c>
      <c r="U33" s="134">
        <f>+'Water '!$N26</f>
        <v>21</v>
      </c>
      <c r="V33" s="134" t="str">
        <f>+'Water '!$N27</f>
        <v>0</v>
      </c>
      <c r="W33" s="134" t="str">
        <f>+'Water '!$N28</f>
        <v>0</v>
      </c>
      <c r="X33" s="134">
        <f>+'Water '!$N29</f>
        <v>64</v>
      </c>
      <c r="Y33" s="134">
        <f>+'Water '!$N30</f>
        <v>39</v>
      </c>
      <c r="Z33" s="134">
        <f>+'Water '!$N31</f>
        <v>38</v>
      </c>
      <c r="AA33" s="134">
        <f>+'Water '!$N32</f>
        <v>43</v>
      </c>
      <c r="AB33" s="134">
        <f>+'Water '!$N33</f>
        <v>64</v>
      </c>
      <c r="AC33" s="134">
        <f>+'Water '!$N34</f>
        <v>19</v>
      </c>
      <c r="AD33" s="134">
        <f>+'Water '!$N31</f>
        <v>38</v>
      </c>
      <c r="AE33" s="134">
        <f>+'Water '!$N32</f>
        <v>43</v>
      </c>
      <c r="AF33" s="134">
        <f>+'Water '!$N33</f>
        <v>64</v>
      </c>
      <c r="AG33" s="300">
        <f>SUM($B33:AF33)</f>
        <v>1109</v>
      </c>
      <c r="AH33" s="300"/>
      <c r="AI33" s="300"/>
      <c r="AJ33" s="337">
        <f>34294/2.2</f>
        <v>15588.181818181816</v>
      </c>
    </row>
    <row r="34" spans="1:37" ht="18" x14ac:dyDescent="0.25">
      <c r="A34" s="124" t="s">
        <v>132</v>
      </c>
      <c r="B34" s="137">
        <f>+'Water '!$O7</f>
        <v>27</v>
      </c>
      <c r="C34" s="137">
        <f>+'Water '!$O8</f>
        <v>113</v>
      </c>
      <c r="D34" s="137">
        <f>+'Water '!$O9</f>
        <v>158</v>
      </c>
      <c r="E34" s="137">
        <f>+'Water '!$O10</f>
        <v>113</v>
      </c>
      <c r="F34" s="137">
        <f>+'Water '!$O11</f>
        <v>150</v>
      </c>
      <c r="G34" s="137">
        <f>+'Water '!$O12</f>
        <v>94</v>
      </c>
      <c r="H34" s="137">
        <f>+'Water '!$O13</f>
        <v>5</v>
      </c>
      <c r="I34" s="137">
        <f>+'Water '!$O14</f>
        <v>59</v>
      </c>
      <c r="J34" s="137" t="str">
        <f>+'Water '!$O15</f>
        <v>0</v>
      </c>
      <c r="K34" s="137">
        <f>+'Water '!$O16</f>
        <v>140</v>
      </c>
      <c r="L34" s="137">
        <f>+'Water '!$O17</f>
        <v>158</v>
      </c>
      <c r="M34" s="137">
        <f>+'Water '!$O18</f>
        <v>110</v>
      </c>
      <c r="N34" s="137">
        <f>+'Water '!$O19</f>
        <v>126</v>
      </c>
      <c r="O34" s="137">
        <f>+'Water '!$O19</f>
        <v>126</v>
      </c>
      <c r="P34" s="137">
        <f>+'Water '!$O19</f>
        <v>126</v>
      </c>
      <c r="Q34" s="137">
        <f>+'Water '!$O19</f>
        <v>126</v>
      </c>
      <c r="R34" s="137">
        <f>+'Water '!$O19</f>
        <v>126</v>
      </c>
      <c r="S34" s="137">
        <f>+'Water '!$O19</f>
        <v>126</v>
      </c>
      <c r="T34" s="137" t="str">
        <f>+'Water '!$O25</f>
        <v>0</v>
      </c>
      <c r="U34" s="137">
        <f>+'Water '!$O26</f>
        <v>115</v>
      </c>
      <c r="V34" s="137">
        <f>+'Water '!$O27</f>
        <v>31</v>
      </c>
      <c r="W34" s="137" t="str">
        <f>+'Water '!$O28</f>
        <v>0</v>
      </c>
      <c r="X34" s="137">
        <f>+'Water '!$O29</f>
        <v>145</v>
      </c>
      <c r="Y34" s="137">
        <f>+'Water '!$O30</f>
        <v>103</v>
      </c>
      <c r="Z34" s="137">
        <f>+'Water '!$O31</f>
        <v>177</v>
      </c>
      <c r="AA34" s="137">
        <f>+'Water '!$O32</f>
        <v>141</v>
      </c>
      <c r="AB34" s="137">
        <f>+'Water '!$O33</f>
        <v>112</v>
      </c>
      <c r="AC34" s="137">
        <f>+'Water '!$O34</f>
        <v>7</v>
      </c>
      <c r="AD34" s="137">
        <f>+'Water '!$O31</f>
        <v>177</v>
      </c>
      <c r="AE34" s="137">
        <f>+'Water '!$O32</f>
        <v>141</v>
      </c>
      <c r="AF34" s="137">
        <f>+'Water '!$O33</f>
        <v>112</v>
      </c>
      <c r="AG34" s="301">
        <f>SUM($B34:AF34)</f>
        <v>3144</v>
      </c>
      <c r="AH34" s="301"/>
      <c r="AI34" s="301"/>
    </row>
    <row r="35" spans="1:37" ht="17.25" customHeight="1" x14ac:dyDescent="0.25">
      <c r="A35" s="124" t="s">
        <v>177</v>
      </c>
      <c r="B35" s="122">
        <f>IF('Entries June''25'!AC8-'Entries June''25'!AC7&lt;1,0,'Entries June''25'!AC8-'Entries June''25'!AC7)</f>
        <v>0</v>
      </c>
      <c r="C35" s="122">
        <f>IF('Entries June''25'!AC9-'Entries June''25'!AC8&lt;1,0,'Entries June''25'!AC9-'Entries June''25'!AC8)</f>
        <v>0</v>
      </c>
      <c r="D35" s="122">
        <f>IF('Entries June''25'!AC10-'Entries June''25'!AC9&lt;1,0,'Entries June''25'!AC10-'Entries June''25'!AC9)</f>
        <v>42</v>
      </c>
      <c r="E35" s="122">
        <f>IF('Entries June''25'!AC11-'Entries June''25'!AC10&lt;1,0,'Entries June''25'!AC11-'Entries June''25'!AC10)</f>
        <v>22</v>
      </c>
      <c r="F35" s="122">
        <f>IF('Entries June''25'!AC12-'Entries June''25'!AC11&lt;1,0,'Entries June''25'!AC12-'Entries June''25'!AC11)</f>
        <v>23</v>
      </c>
      <c r="G35" s="122">
        <f>IF('Entries June''25'!AC13-'Entries June''25'!AC12&lt;1,0,'Entries June''25'!AC13-'Entries June''25'!AC12)</f>
        <v>17</v>
      </c>
      <c r="H35" s="122">
        <f>IF('Entries June''25'!AC14-'Entries June''25'!AC13&lt;1,0,'Entries June''25'!AC14-'Entries June''25'!AC13)</f>
        <v>2</v>
      </c>
      <c r="I35" s="122">
        <f>IF('Entries June''25'!AC15-'Entries June''25'!AC14&lt;1,0,'Entries June''25'!AC15-'Entries June''25'!AC14)</f>
        <v>0</v>
      </c>
      <c r="J35" s="122">
        <f>IF('Entries June''25'!AC16-'Entries June''25'!AC15&lt;1,0,'Entries June''25'!AC16-'Entries June''25'!AC15)</f>
        <v>0</v>
      </c>
      <c r="K35" s="122">
        <f>IF('Entries June''25'!AC17-'Entries June''25'!AC16&lt;1,0,'Entries June''25'!AC17-'Entries June''25'!AC16)</f>
        <v>0</v>
      </c>
      <c r="L35" s="122">
        <f>IF('Entries June''25'!AC18-'Entries June''25'!AC17&lt;1,0,'Entries June''25'!AC18-'Entries June''25'!AC17)</f>
        <v>0</v>
      </c>
      <c r="M35" s="122">
        <f>IF('Entries June''25'!AC19-'Entries June''25'!AC18&lt;1,0,'Entries June''25'!AC19-'Entries June''25'!AC18)</f>
        <v>65</v>
      </c>
      <c r="N35" s="98">
        <f>IF('Entries June''25'!AC20-'Entries June''25'!AC19&lt;1,0,'Entries June''25'!AC20-'Entries June''25'!AC19)</f>
        <v>20</v>
      </c>
      <c r="O35" s="98">
        <f>IF('Entries June''25'!AC21-'Entries June''25'!AC20&lt;1,0,'Entries June''25'!AC21-'Entries June''25'!AC20)</f>
        <v>1</v>
      </c>
      <c r="P35" s="98">
        <f>IF('Entries June''25'!AC22-'Entries June''25'!AC21&lt;1,0,'Entries June''25'!AC22-'Entries June''25'!AC21)</f>
        <v>0</v>
      </c>
      <c r="Q35" s="98">
        <f>IF('Entries June''25'!AC23-'Entries June''25'!AC22&lt;1,0,'Entries June''25'!AC23-'Entries June''25'!AC22)</f>
        <v>20</v>
      </c>
      <c r="R35" s="98">
        <f>IF('Entries June''25'!AC24-'Entries June''25'!AC23&lt;1,0,'Entries June''25'!AC24-'Entries June''25'!AC23)</f>
        <v>24</v>
      </c>
      <c r="S35" s="98">
        <f>IF('Entries June''25'!AC25-'Entries June''25'!AC24&lt;1,0,'Entries June''25'!AC25-'Entries June''25'!AC24)</f>
        <v>19</v>
      </c>
      <c r="T35" s="98">
        <f>IF('Entries June''25'!AC26-'Entries June''25'!AC25&lt;1,0,'Entries June''25'!AC26-'Entries June''25'!AC25)</f>
        <v>0</v>
      </c>
      <c r="U35" s="98">
        <f>IF('Entries June''25'!AC27-'Entries June''25'!AC26&lt;1,0,'Entries June''25'!AC27-'Entries June''25'!AC26)</f>
        <v>16</v>
      </c>
      <c r="V35" s="98">
        <f>IF('Entries June''25'!AC28-'Entries June''25'!AC27&lt;1,0,'Entries June''25'!AC28-'Entries June''25'!AC27)</f>
        <v>0</v>
      </c>
      <c r="W35" s="98">
        <f>IF('Entries June''25'!$AC29-'Entries June''25'!$AC28&lt;1,0,'Entries June''25'!$AC29-'Entries June''25'!$AC28)</f>
        <v>0</v>
      </c>
      <c r="X35" s="98">
        <f>IF('Entries June''25'!$AC30-'Entries June''25'!$AC29&lt;1,0,'Entries June''25'!$AC30-'Entries June''25'!$AC29)</f>
        <v>12</v>
      </c>
      <c r="Y35" s="98">
        <f>IF('Entries June''25'!$AC31-'Entries June''25'!$AC30&lt;1,0,'Entries June''25'!$AC31-'Entries June''25'!$AC30)</f>
        <v>22</v>
      </c>
      <c r="Z35" s="98">
        <f>IF('Entries June''25'!$AC32-'Entries June''25'!$AC31&lt;1,0,'Entries June''25'!$AC32-'Entries June''25'!$AC31)</f>
        <v>24</v>
      </c>
      <c r="AA35" s="98">
        <f>IF('Entries June''25'!$AC33-'Entries June''25'!$AC32&lt;1,0,'Entries June''25'!$AC33-'Entries June''25'!$AC32)</f>
        <v>20</v>
      </c>
      <c r="AB35" s="98">
        <f>IF('Entries June''25'!$AC34-'Entries June''25'!$AC33&lt;1,0,'Entries June''25'!$AC34-'Entries June''25'!$AC33)</f>
        <v>56</v>
      </c>
      <c r="AC35" s="98">
        <f>IF('Entries June''25'!$AC35-'Entries June''25'!$AC34&lt;1,0,'Entries June''25'!$AC35-'Entries June''25'!$AC34)</f>
        <v>0</v>
      </c>
      <c r="AD35" s="98">
        <f>IF('Entries June''25'!$AC32-'Entries June''25'!$AC31&lt;1,0,'Entries June''25'!$AC32-'Entries June''25'!$AC31)</f>
        <v>24</v>
      </c>
      <c r="AE35" s="98">
        <f>IF('Entries June''25'!$AC33-'Entries June''25'!$AC32&lt;1,0,'Entries June''25'!$AC33-'Entries June''25'!$AC32)</f>
        <v>20</v>
      </c>
      <c r="AF35" s="98">
        <f>IF('Entries June''25'!$AC34-'Entries June''25'!$AC33&lt;1,0,'Entries June''25'!$AC34-'Entries June''25'!$AC33)</f>
        <v>56</v>
      </c>
      <c r="AG35" s="293">
        <f>SUM($B35:AF35)</f>
        <v>505</v>
      </c>
      <c r="AH35" s="293"/>
      <c r="AI35" s="344"/>
    </row>
    <row r="36" spans="1:37" ht="18" x14ac:dyDescent="0.25">
      <c r="A36" s="112" t="s">
        <v>131</v>
      </c>
      <c r="B36" s="113" t="str">
        <f>+'Water '!$M7</f>
        <v>0</v>
      </c>
      <c r="C36" s="113">
        <f>+'Water '!$M8</f>
        <v>19</v>
      </c>
      <c r="D36" s="113" t="str">
        <f>+'Water '!$M9</f>
        <v>0</v>
      </c>
      <c r="E36" s="113" t="str">
        <f>+'Water '!$M10</f>
        <v>0</v>
      </c>
      <c r="F36" s="113">
        <f>+'Water '!$M11</f>
        <v>8</v>
      </c>
      <c r="G36" s="113" t="str">
        <f>+'Water '!$M12</f>
        <v>0</v>
      </c>
      <c r="H36" s="113" t="str">
        <f>+'Water '!$M13</f>
        <v>0</v>
      </c>
      <c r="I36" s="113" t="str">
        <f>+'Water '!$M14</f>
        <v>0</v>
      </c>
      <c r="J36" s="113" t="str">
        <f>+'Water '!$M15</f>
        <v>0</v>
      </c>
      <c r="K36" s="113">
        <f>+'Water '!$M16</f>
        <v>6</v>
      </c>
      <c r="L36" s="113" t="str">
        <f>+'Water '!$M17</f>
        <v>0</v>
      </c>
      <c r="M36" s="113" t="str">
        <f>+'Water '!$M18</f>
        <v>0</v>
      </c>
      <c r="N36" s="113">
        <f>+'Water '!$M19</f>
        <v>3</v>
      </c>
      <c r="O36" s="113">
        <f>+'Water '!$M20</f>
        <v>15</v>
      </c>
      <c r="P36" s="113" t="str">
        <f>+'Water '!$M21</f>
        <v>0</v>
      </c>
      <c r="Q36" s="113">
        <f>+'Water '!$M22</f>
        <v>38</v>
      </c>
      <c r="R36" s="113">
        <f>+'Water '!$M23</f>
        <v>8</v>
      </c>
      <c r="S36" s="113">
        <f>+'Water '!$M24</f>
        <v>10</v>
      </c>
      <c r="T36" s="113" t="str">
        <f>+'Water '!$M25</f>
        <v>0</v>
      </c>
      <c r="U36" s="113">
        <f>+'Water '!$M26</f>
        <v>16</v>
      </c>
      <c r="V36" s="113" t="str">
        <f>+'Water '!$M27</f>
        <v>0</v>
      </c>
      <c r="W36" s="113" t="str">
        <f>+'Water '!$M28</f>
        <v>0</v>
      </c>
      <c r="X36" s="113">
        <f>+'Water '!$M29</f>
        <v>10</v>
      </c>
      <c r="Y36" s="113" t="str">
        <f>+'Water '!$M30</f>
        <v>0</v>
      </c>
      <c r="Z36" s="113" t="str">
        <f>+'Water '!$M31</f>
        <v>0</v>
      </c>
      <c r="AA36" s="113" t="str">
        <f>+'Water '!$M32</f>
        <v>0</v>
      </c>
      <c r="AB36" s="113">
        <f>+'Water '!$M33</f>
        <v>10</v>
      </c>
      <c r="AC36" s="113" t="str">
        <f>+'Water '!$M34</f>
        <v>0</v>
      </c>
      <c r="AD36" s="113" t="str">
        <f>+'Water '!$M31</f>
        <v>0</v>
      </c>
      <c r="AE36" s="113" t="str">
        <f>+'Water '!$M32</f>
        <v>0</v>
      </c>
      <c r="AF36" s="113">
        <f>+'Water '!$M33</f>
        <v>10</v>
      </c>
      <c r="AG36" s="293">
        <f>SUM($B36:AF36)</f>
        <v>153</v>
      </c>
      <c r="AH36" s="293"/>
      <c r="AI36" s="344"/>
    </row>
    <row r="37" spans="1:37" ht="18" x14ac:dyDescent="0.25">
      <c r="A37" s="135" t="s">
        <v>133</v>
      </c>
      <c r="B37" s="134">
        <f>+'Water '!$Q7</f>
        <v>1</v>
      </c>
      <c r="C37" s="134">
        <f>+'Water '!$Q8</f>
        <v>25</v>
      </c>
      <c r="D37" s="134">
        <f>+'Water '!$Q9</f>
        <v>20</v>
      </c>
      <c r="E37" s="134">
        <f>+'Water '!$Q10</f>
        <v>16</v>
      </c>
      <c r="F37" s="134">
        <f>+'Water '!$Q11</f>
        <v>20</v>
      </c>
      <c r="G37" s="134">
        <f>+'Water '!$Q12</f>
        <v>15</v>
      </c>
      <c r="H37" s="134" t="str">
        <f>+'Water '!$Q13</f>
        <v>0</v>
      </c>
      <c r="I37" s="134">
        <f>+'Water '!$Q14</f>
        <v>1</v>
      </c>
      <c r="J37" s="134">
        <f>+'Water '!$Q15</f>
        <v>3</v>
      </c>
      <c r="K37" s="134">
        <f>+'Water '!$Q16</f>
        <v>17</v>
      </c>
      <c r="L37" s="134">
        <f>+'Water '!$Q17</f>
        <v>18</v>
      </c>
      <c r="M37" s="134">
        <f>+'Water '!$Q18</f>
        <v>27</v>
      </c>
      <c r="N37" s="134">
        <f>+'Water '!$Q19</f>
        <v>27</v>
      </c>
      <c r="O37" s="134">
        <f>+'Water '!$Q19</f>
        <v>27</v>
      </c>
      <c r="P37" s="134">
        <f>+'Water '!$Q21</f>
        <v>7</v>
      </c>
      <c r="Q37" s="134">
        <f>+'Water '!$Q22</f>
        <v>33</v>
      </c>
      <c r="R37" s="134">
        <f>+'Water '!$Q22</f>
        <v>33</v>
      </c>
      <c r="S37" s="134">
        <f>+'Water '!$Q24</f>
        <v>21</v>
      </c>
      <c r="T37" s="134">
        <f>+'Water '!$Q25</f>
        <v>18</v>
      </c>
      <c r="U37" s="134">
        <f>+'Water '!$Q26</f>
        <v>77</v>
      </c>
      <c r="V37" s="134">
        <f>+'Water '!$Q27</f>
        <v>24</v>
      </c>
      <c r="W37" s="134" t="str">
        <f>+'Water '!$Q28</f>
        <v>0</v>
      </c>
      <c r="X37" s="134">
        <f>+'Water '!$Q29</f>
        <v>34</v>
      </c>
      <c r="Y37" s="134">
        <f>+'Water '!$Q30</f>
        <v>23</v>
      </c>
      <c r="Z37" s="134">
        <f>+'Water '!$Q31</f>
        <v>31</v>
      </c>
      <c r="AA37" s="134">
        <f>+'Water '!$Q32</f>
        <v>28</v>
      </c>
      <c r="AB37" s="134">
        <f>+'Water '!$Q33</f>
        <v>29</v>
      </c>
      <c r="AC37" s="134">
        <f>+'Water '!$Q34</f>
        <v>7</v>
      </c>
      <c r="AD37" s="134">
        <f>+'Water '!$Q31</f>
        <v>31</v>
      </c>
      <c r="AE37" s="134">
        <f>+'Water '!$Q32</f>
        <v>28</v>
      </c>
      <c r="AF37" s="134">
        <f>+'Water '!$Q33</f>
        <v>29</v>
      </c>
      <c r="AG37" s="300">
        <f>SUM($B37:AF37)</f>
        <v>670</v>
      </c>
      <c r="AH37" s="300"/>
      <c r="AI37" s="300"/>
    </row>
    <row r="38" spans="1:37" s="90" customFormat="1" ht="18" hidden="1" x14ac:dyDescent="0.25">
      <c r="A38" s="138" t="s">
        <v>174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13"/>
      <c r="P38" s="139"/>
      <c r="Q38" s="139"/>
      <c r="R38" s="113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302">
        <f>SUM($B38:AF38)</f>
        <v>0</v>
      </c>
      <c r="AH38" s="302"/>
      <c r="AI38" s="346"/>
      <c r="AJ38" s="347"/>
      <c r="AK38" s="347"/>
    </row>
    <row r="39" spans="1:37" ht="17.25" customHeight="1" x14ac:dyDescent="0.25">
      <c r="A39" s="124" t="s">
        <v>214</v>
      </c>
      <c r="B39" s="122" t="str">
        <f>'Water '!Y7</f>
        <v>0</v>
      </c>
      <c r="C39" s="122" t="str">
        <f>'Water '!Y8</f>
        <v>0</v>
      </c>
      <c r="D39" s="122" t="str">
        <f>'Water '!Y9</f>
        <v>0</v>
      </c>
      <c r="E39" s="122" t="str">
        <f>'Water '!Y10</f>
        <v>0</v>
      </c>
      <c r="F39" s="122" t="str">
        <f>'Water '!Y11</f>
        <v>0</v>
      </c>
      <c r="G39" s="122" t="str">
        <f>'Water '!Y12</f>
        <v>0</v>
      </c>
      <c r="H39" s="122" t="str">
        <f>'Water '!Y13</f>
        <v>0</v>
      </c>
      <c r="I39" s="122" t="str">
        <f>'Water '!Y14</f>
        <v>0</v>
      </c>
      <c r="J39" s="122" t="str">
        <f>'Water '!Y15</f>
        <v>0</v>
      </c>
      <c r="K39" s="122" t="str">
        <f>'Water '!Y16</f>
        <v>0</v>
      </c>
      <c r="L39" s="122" t="str">
        <f>'Water '!Y17</f>
        <v>0</v>
      </c>
      <c r="M39" s="122" t="str">
        <f>'Water '!Y18</f>
        <v>0</v>
      </c>
      <c r="N39" s="122" t="str">
        <f>'Water '!Y19</f>
        <v>0</v>
      </c>
      <c r="O39" s="122" t="str">
        <f>'Water '!Y20</f>
        <v>0</v>
      </c>
      <c r="P39" s="122" t="str">
        <f>'Water '!Y21</f>
        <v>0</v>
      </c>
      <c r="Q39" s="122" t="str">
        <f>'Water '!Y22</f>
        <v>0</v>
      </c>
      <c r="R39" s="122" t="str">
        <f>'Water '!Y23</f>
        <v>0</v>
      </c>
      <c r="S39" s="122" t="str">
        <f>'Water '!Y24</f>
        <v>0</v>
      </c>
      <c r="T39" s="122" t="str">
        <f>'Water '!Y25</f>
        <v>0</v>
      </c>
      <c r="U39" s="122" t="str">
        <f>'Water '!Y26</f>
        <v>0</v>
      </c>
      <c r="V39" s="122" t="str">
        <f>'Water '!Y27</f>
        <v>0</v>
      </c>
      <c r="W39" s="122" t="str">
        <f>'Water '!Y28</f>
        <v>0</v>
      </c>
      <c r="X39" s="122" t="str">
        <f>'Water '!Y29</f>
        <v>0</v>
      </c>
      <c r="Y39" s="122" t="str">
        <f>'Water '!Y30</f>
        <v>0</v>
      </c>
      <c r="Z39" s="122" t="str">
        <f>'Water '!Y31</f>
        <v>0</v>
      </c>
      <c r="AA39" s="122" t="str">
        <f>'Water '!Y32</f>
        <v>0</v>
      </c>
      <c r="AB39" s="122" t="str">
        <f>'Water '!Y33</f>
        <v>0</v>
      </c>
      <c r="AC39" s="122" t="str">
        <f>'Water '!Y34</f>
        <v>0</v>
      </c>
      <c r="AD39" s="122">
        <f>'Water '!AC31</f>
        <v>0</v>
      </c>
      <c r="AE39" s="122">
        <f>'Water '!AC32</f>
        <v>0</v>
      </c>
      <c r="AF39" s="122">
        <f>'Water '!AC33</f>
        <v>0</v>
      </c>
      <c r="AG39" s="293">
        <f>SUM($B39:AF39)</f>
        <v>0</v>
      </c>
      <c r="AH39" s="293"/>
      <c r="AI39" s="344"/>
    </row>
    <row r="40" spans="1:37" ht="17.25" customHeight="1" x14ac:dyDescent="0.25">
      <c r="A40" s="124" t="s">
        <v>200</v>
      </c>
      <c r="B40" s="122">
        <f>'Water '!I7</f>
        <v>0</v>
      </c>
      <c r="C40" s="122">
        <f>'Water '!I8</f>
        <v>0</v>
      </c>
      <c r="D40" s="122">
        <f>'Water '!I9</f>
        <v>0</v>
      </c>
      <c r="E40" s="122">
        <f>'Water '!I10</f>
        <v>0</v>
      </c>
      <c r="F40" s="122">
        <f>'Water '!I11</f>
        <v>0</v>
      </c>
      <c r="G40" s="122">
        <f>'Water '!I12</f>
        <v>0</v>
      </c>
      <c r="H40" s="122">
        <f>'Water '!I13</f>
        <v>0</v>
      </c>
      <c r="I40" s="122">
        <f>'Water '!I14</f>
        <v>0</v>
      </c>
      <c r="J40" s="122">
        <f>'Water '!I15</f>
        <v>0</v>
      </c>
      <c r="K40" s="122">
        <f>'Water '!I16</f>
        <v>0</v>
      </c>
      <c r="L40" s="122">
        <f>'Water '!J16</f>
        <v>100</v>
      </c>
      <c r="M40" s="122" t="str">
        <f>'Water '!K16</f>
        <v>0</v>
      </c>
      <c r="N40" s="122">
        <f>'Water '!I19</f>
        <v>0</v>
      </c>
      <c r="O40" s="122">
        <f>'Water '!I20</f>
        <v>0</v>
      </c>
      <c r="P40" s="122">
        <f>'Water '!I21</f>
        <v>0</v>
      </c>
      <c r="Q40" s="122">
        <f>'Water '!I22</f>
        <v>0</v>
      </c>
      <c r="R40" s="122">
        <f>'Water '!I23</f>
        <v>0</v>
      </c>
      <c r="S40" s="122">
        <f>'Water '!I24</f>
        <v>0</v>
      </c>
      <c r="T40" s="122">
        <f>'Water '!I25</f>
        <v>0</v>
      </c>
      <c r="U40" s="122">
        <f>'Water '!I26</f>
        <v>0</v>
      </c>
      <c r="V40" s="122">
        <f>'Water '!I27</f>
        <v>0</v>
      </c>
      <c r="W40" s="122">
        <f>'Water '!I28</f>
        <v>0</v>
      </c>
      <c r="X40" s="122">
        <f>'Water '!I29</f>
        <v>0</v>
      </c>
      <c r="Y40" s="122">
        <f>'Water '!I30</f>
        <v>0</v>
      </c>
      <c r="Z40" s="122">
        <f>'Water '!I31</f>
        <v>0</v>
      </c>
      <c r="AA40" s="122">
        <f>'Water '!I32</f>
        <v>0</v>
      </c>
      <c r="AB40" s="122">
        <f>'Water '!I33</f>
        <v>0</v>
      </c>
      <c r="AC40" s="122">
        <f>'Water '!I34</f>
        <v>0</v>
      </c>
      <c r="AD40" s="122" t="str">
        <f>'Water '!M31</f>
        <v>0</v>
      </c>
      <c r="AE40" s="122" t="str">
        <f>'Water '!M32</f>
        <v>0</v>
      </c>
      <c r="AF40" s="122">
        <f>'Water '!M33</f>
        <v>10</v>
      </c>
      <c r="AG40" s="293">
        <f>SUM($B40:AF40)</f>
        <v>110</v>
      </c>
      <c r="AH40" s="293"/>
      <c r="AI40" s="344"/>
    </row>
    <row r="41" spans="1:37" ht="17.25" customHeight="1" x14ac:dyDescent="0.25">
      <c r="A41" s="132" t="s">
        <v>213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293"/>
      <c r="AH41" s="293"/>
      <c r="AI41" s="348"/>
    </row>
    <row r="42" spans="1:37" s="91" customFormat="1" ht="20.25" x14ac:dyDescent="0.3">
      <c r="A42" s="140" t="s">
        <v>205</v>
      </c>
      <c r="B42" s="141">
        <f t="shared" ref="B42:AF42" si="8">SUM(B28:B41)</f>
        <v>28</v>
      </c>
      <c r="C42" s="141">
        <f>SUM(C28:C41)</f>
        <v>355</v>
      </c>
      <c r="D42" s="141">
        <f t="shared" si="8"/>
        <v>401</v>
      </c>
      <c r="E42" s="141">
        <f>SUM(E28:E41)</f>
        <v>355</v>
      </c>
      <c r="F42" s="141">
        <f t="shared" si="8"/>
        <v>479</v>
      </c>
      <c r="G42" s="141">
        <f>SUM(G28:G41)</f>
        <v>308</v>
      </c>
      <c r="H42" s="141">
        <f t="shared" si="8"/>
        <v>13</v>
      </c>
      <c r="I42" s="141">
        <f t="shared" si="8"/>
        <v>60</v>
      </c>
      <c r="J42" s="141">
        <f t="shared" si="8"/>
        <v>3</v>
      </c>
      <c r="K42" s="141">
        <f t="shared" si="8"/>
        <v>310</v>
      </c>
      <c r="L42" s="141">
        <f t="shared" si="8"/>
        <v>499</v>
      </c>
      <c r="M42" s="141">
        <f t="shared" si="8"/>
        <v>395</v>
      </c>
      <c r="N42" s="141">
        <f>SUM(N28:N41)</f>
        <v>342</v>
      </c>
      <c r="O42" s="141">
        <f>SUM(O28:O41)</f>
        <v>277</v>
      </c>
      <c r="P42" s="141">
        <f t="shared" si="8"/>
        <v>195</v>
      </c>
      <c r="Q42" s="141">
        <f t="shared" si="8"/>
        <v>371</v>
      </c>
      <c r="R42" s="141">
        <f t="shared" si="8"/>
        <v>453</v>
      </c>
      <c r="S42" s="141">
        <f t="shared" si="8"/>
        <v>375</v>
      </c>
      <c r="T42" s="141">
        <f t="shared" si="8"/>
        <v>18</v>
      </c>
      <c r="U42" s="141">
        <f t="shared" si="8"/>
        <v>257</v>
      </c>
      <c r="V42" s="141">
        <f t="shared" si="8"/>
        <v>55</v>
      </c>
      <c r="W42" s="141">
        <f t="shared" si="8"/>
        <v>0</v>
      </c>
      <c r="X42" s="141">
        <f t="shared" si="8"/>
        <v>332</v>
      </c>
      <c r="Y42" s="141">
        <f t="shared" si="8"/>
        <v>401</v>
      </c>
      <c r="Z42" s="141">
        <f t="shared" si="8"/>
        <v>432</v>
      </c>
      <c r="AA42" s="141">
        <f>SUM(AA28:AA41)</f>
        <v>427</v>
      </c>
      <c r="AB42" s="141">
        <f t="shared" si="8"/>
        <v>419</v>
      </c>
      <c r="AC42" s="141">
        <f t="shared" si="8"/>
        <v>242</v>
      </c>
      <c r="AD42" s="141">
        <f t="shared" si="8"/>
        <v>463.86974219810043</v>
      </c>
      <c r="AE42" s="141">
        <f t="shared" si="8"/>
        <v>455.94954055224935</v>
      </c>
      <c r="AF42" s="141">
        <f t="shared" si="8"/>
        <v>494.47280484530239</v>
      </c>
      <c r="AG42" s="303">
        <f>SUM($B42:AF42)</f>
        <v>9216.2920875956497</v>
      </c>
      <c r="AH42" s="303"/>
      <c r="AI42" s="349"/>
      <c r="AJ42" s="350"/>
      <c r="AK42" s="350"/>
    </row>
    <row r="43" spans="1:37" ht="18" x14ac:dyDescent="0.2">
      <c r="A43" s="142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294"/>
      <c r="AH43" s="294"/>
    </row>
    <row r="44" spans="1:37" ht="18" x14ac:dyDescent="0.2">
      <c r="A44" s="142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294"/>
      <c r="AH44" s="294"/>
    </row>
    <row r="45" spans="1:37" ht="20.25" x14ac:dyDescent="0.3">
      <c r="A45" s="108" t="s">
        <v>206</v>
      </c>
      <c r="B45" s="223"/>
      <c r="C45" s="223"/>
      <c r="D45" s="223"/>
      <c r="E45" s="223"/>
      <c r="F45" s="223"/>
      <c r="G45" s="223"/>
      <c r="H45" s="223"/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  <c r="AA45" s="223"/>
      <c r="AB45" s="223"/>
      <c r="AC45" s="223"/>
      <c r="AD45" s="223"/>
      <c r="AE45" s="223"/>
      <c r="AF45" s="223"/>
      <c r="AG45" s="304"/>
      <c r="AH45" s="304"/>
    </row>
    <row r="46" spans="1:37" ht="20.25" x14ac:dyDescent="0.3">
      <c r="A46" s="108"/>
      <c r="B46" s="87"/>
      <c r="C46" s="87"/>
      <c r="D46" s="224"/>
      <c r="E46" s="224"/>
      <c r="F46" s="224"/>
      <c r="G46" s="224"/>
      <c r="H46" s="224"/>
      <c r="I46" s="224"/>
      <c r="J46" s="224"/>
      <c r="K46" s="224"/>
      <c r="L46" s="224"/>
      <c r="M46" s="224"/>
      <c r="N46" s="224"/>
      <c r="O46" s="224"/>
      <c r="P46" s="224"/>
      <c r="Q46" s="224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4"/>
      <c r="AE46" s="224"/>
      <c r="AF46" s="224"/>
      <c r="AG46" s="304"/>
      <c r="AH46" s="304"/>
    </row>
    <row r="47" spans="1:37" s="226" customFormat="1" ht="26.25" x14ac:dyDescent="0.4">
      <c r="A47" s="225" t="s">
        <v>207</v>
      </c>
      <c r="B47" s="208">
        <f>IF('Entries June''25'!M8-'Entries June''25'!M7&lt;1,0,'Entries June''25'!M8-'Entries June''25'!M7)</f>
        <v>0</v>
      </c>
      <c r="C47" s="208">
        <f>IF('Entries June''25'!M9-'Entries June''25'!M8&lt;1,0,'Entries June''25'!M9-'Entries June''25'!M8)</f>
        <v>0</v>
      </c>
      <c r="D47" s="208">
        <f>IF('Entries June''25'!M10-'Entries June''25'!M9&lt;1,0,'Entries June''25'!M10-'Entries June''25'!M9)</f>
        <v>0</v>
      </c>
      <c r="E47" s="208">
        <f>IF('Entries June''25'!M11-'Entries June''25'!M10&lt;1,0,'Entries June''25'!M11-'Entries June''25'!M10)</f>
        <v>0</v>
      </c>
      <c r="F47" s="208">
        <f>IF('Entries June''25'!M12-'Entries June''25'!M11&lt;1,0,'Entries June''25'!M12-'Entries June''25'!M11)</f>
        <v>0</v>
      </c>
      <c r="G47" s="208">
        <f>IF('Entries June''25'!M13-'Entries June''25'!M12&lt;1,0,'Entries June''25'!M13-'Entries June''25'!M12)</f>
        <v>0</v>
      </c>
      <c r="H47" s="208">
        <f>IF('Entries June''25'!M14-'Entries June''25'!M13&lt;1,0,'Entries June''25'!M14-'Entries June''25'!M13)</f>
        <v>0</v>
      </c>
      <c r="I47" s="208">
        <f>IF('Entries June''25'!M15-'Entries June''25'!M14&lt;1,0,'Entries June''25'!M15-'Entries June''25'!M14)</f>
        <v>0</v>
      </c>
      <c r="J47" s="208">
        <f>IF('Entries June''25'!M16-'Entries June''25'!M15&lt;1,0,'Entries June''25'!M16-'Entries June''25'!M15)</f>
        <v>0</v>
      </c>
      <c r="K47" s="208">
        <f>IF('Entries June''25'!M17-'Entries June''25'!M16&lt;1,0,'Entries June''25'!M17-'Entries June''25'!M16)</f>
        <v>0</v>
      </c>
      <c r="L47" s="207">
        <f>IF('Entries June''25'!M18-'Entries June''25'!M17&lt;1,0,'Entries June''25'!M18-'Entries June''25'!M17)</f>
        <v>0</v>
      </c>
      <c r="M47" s="208">
        <f>IF('Entries June''25'!M19-'Entries June''25'!M18&lt;1,0,'Entries June''25'!M19-'Entries June''25'!M18)</f>
        <v>0</v>
      </c>
      <c r="N47" s="208">
        <f>IF('Entries June''25'!M20-'Entries June''25'!M19&lt;1,0,'Entries June''25'!M20-'Entries June''25'!M19)</f>
        <v>0</v>
      </c>
      <c r="O47" s="208">
        <f>IF('Entries June''25'!M21-'Entries June''25'!M20&lt;1,0,'Entries June''25'!M21-'Entries June''25'!M20)</f>
        <v>0</v>
      </c>
      <c r="P47" s="208">
        <f>IF('Entries June''25'!M22-'Entries June''25'!M21&lt;1,0,'Entries June''25'!M22-'Entries June''25'!M21)</f>
        <v>0</v>
      </c>
      <c r="Q47" s="208">
        <f>IF('Entries June''25'!M23-'Entries June''25'!M22&lt;1,0,'Entries June''25'!M23-'Entries June''25'!M22)</f>
        <v>0</v>
      </c>
      <c r="R47" s="208">
        <f>IF('Entries June''25'!M24-'Entries June''25'!M23&lt;1,0,'Entries June''25'!M24-'Entries June''25'!M23)</f>
        <v>0</v>
      </c>
      <c r="S47" s="208">
        <f>IF('Entries June''25'!N24-'Entries June''25'!N23&lt;1,0,'Entries June''25'!N24-'Entries June''25'!N23)</f>
        <v>73.150000000000091</v>
      </c>
      <c r="T47" s="208">
        <f>IF('Entries June''25'!O24-'Entries June''25'!O23&lt;1,0,'Entries June''25'!O24-'Entries June''25'!O23)</f>
        <v>358</v>
      </c>
      <c r="U47" s="208">
        <f>IF('Entries June''25'!P24-'Entries June''25'!P23&lt;1,0,'Entries June''25'!P24-'Entries June''25'!P23)</f>
        <v>146</v>
      </c>
      <c r="V47" s="208">
        <f>IF('Entries June''25'!O25-'Entries June''25'!O24&lt;1,0,'Entries June''25'!O25-'Entries June''25'!O24)</f>
        <v>223</v>
      </c>
      <c r="W47" s="208">
        <f>IF('Entries June''25'!P25-'Entries June''25'!P24&lt;1,0,'Entries June''25'!P25-'Entries June''25'!P24)</f>
        <v>143</v>
      </c>
      <c r="X47" s="208">
        <f>IF('Entries June''25'!Q25-'Entries June''25'!Q24&lt;1,0,'Entries June''25'!Q25-'Entries June''25'!Q24)</f>
        <v>267</v>
      </c>
      <c r="Y47" s="208">
        <f>IF('Entries June''25'!R25-'Entries June''25'!R24&lt;1,0,'Entries June''25'!R25-'Entries June''25'!R24)</f>
        <v>0</v>
      </c>
      <c r="Z47" s="208">
        <f>IF('Entries June''25'!S25-'Entries June''25'!S24&lt;1,0,'Entries June''25'!S25-'Entries June''25'!S24)</f>
        <v>105</v>
      </c>
      <c r="AA47" s="208">
        <f>IF('Entries June''25'!T25-'Entries June''25'!T24&lt;1,0,'Entries June''25'!T25-'Entries June''25'!T24)</f>
        <v>0</v>
      </c>
      <c r="AB47" s="208">
        <f>IF('Entries June''25'!U25-'Entries June''25'!U24&lt;1,0,'Entries June''25'!U25-'Entries June''25'!U24)</f>
        <v>10</v>
      </c>
      <c r="AC47" s="208">
        <f>IF('Entries June''25'!V25-'Entries June''25'!V24&lt;1,0,'Entries June''25'!V25-'Entries June''25'!V24)</f>
        <v>150</v>
      </c>
      <c r="AD47" s="208">
        <f>IF('Entries June''25'!W25-'Entries June''25'!W24&lt;1,0,'Entries June''25'!W25-'Entries June''25'!W24)</f>
        <v>0</v>
      </c>
      <c r="AE47" s="208">
        <f>IF('Entries June''25'!X25-'Entries June''25'!X24&lt;1,0,'Entries June''25'!X25-'Entries June''25'!X24)</f>
        <v>38</v>
      </c>
      <c r="AF47" s="208">
        <f>IF('Entries June''25'!Y25-'Entries June''25'!Y24&lt;1,0,'Entries June''25'!Y25-'Entries June''25'!Y24)</f>
        <v>128</v>
      </c>
      <c r="AG47" s="305">
        <f>SUM($B47:AF47)</f>
        <v>1641.15</v>
      </c>
      <c r="AH47" s="306"/>
      <c r="AI47" s="306"/>
      <c r="AJ47" s="351"/>
      <c r="AK47" s="351"/>
    </row>
    <row r="48" spans="1:37" ht="20.25" hidden="1" x14ac:dyDescent="0.3">
      <c r="A48" s="108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307"/>
      <c r="AH48" s="288"/>
      <c r="AI48" s="352"/>
    </row>
    <row r="49" spans="1:37" s="254" customFormat="1" ht="20.25" x14ac:dyDescent="0.3">
      <c r="A49" s="252" t="s">
        <v>208</v>
      </c>
      <c r="B49" s="253" t="str">
        <f>'Daily KPIs'!B76</f>
        <v>0</v>
      </c>
      <c r="C49" s="253">
        <f>'Daily KPIs'!C76</f>
        <v>60.590000000000146</v>
      </c>
      <c r="D49" s="253">
        <f>'Daily KPIs'!D76</f>
        <v>52.799999999999727</v>
      </c>
      <c r="E49" s="253">
        <f>'Daily KPIs'!E76</f>
        <v>49.700000000000273</v>
      </c>
      <c r="F49" s="253">
        <f>'Daily KPIs'!F76</f>
        <v>61.139999999999873</v>
      </c>
      <c r="G49" s="253">
        <f>'Daily KPIs'!G76</f>
        <v>48.2199999999998</v>
      </c>
      <c r="H49" s="253" t="str">
        <f>'Daily KPIs'!H76</f>
        <v>0</v>
      </c>
      <c r="I49" s="253" t="str">
        <f>'Daily KPIs'!I76</f>
        <v>0</v>
      </c>
      <c r="J49" s="253" t="str">
        <f>'Daily KPIs'!J76</f>
        <v>0</v>
      </c>
      <c r="K49" s="253">
        <f>'Daily KPIs'!K76</f>
        <v>59.210000000000036</v>
      </c>
      <c r="L49" s="253">
        <f>'Daily KPIs'!L76</f>
        <v>74.789999999999964</v>
      </c>
      <c r="M49" s="253">
        <f>'Daily KPIs'!M76</f>
        <v>48.960000000000036</v>
      </c>
      <c r="N49" s="253">
        <f>'Daily KPIs'!N76</f>
        <v>62.450000000000273</v>
      </c>
      <c r="O49" s="253" t="str">
        <f>'Daily KPIs'!O76</f>
        <v>0</v>
      </c>
      <c r="P49" s="253" t="str">
        <f>'Daily KPIs'!P76</f>
        <v>0</v>
      </c>
      <c r="Q49" s="253">
        <f>'Daily KPIs'!Q76</f>
        <v>65.539999999999964</v>
      </c>
      <c r="R49" s="253">
        <f>'Daily KPIs'!R76</f>
        <v>73.150000000000091</v>
      </c>
      <c r="S49" s="253">
        <f>'Daily KPIs'!S76</f>
        <v>97.059999999999945</v>
      </c>
      <c r="T49" s="253" t="str">
        <f>'Daily KPIs'!T76</f>
        <v>0</v>
      </c>
      <c r="U49" s="253">
        <f>'Daily KPIs'!U76</f>
        <v>44.130000000000109</v>
      </c>
      <c r="V49" s="253" t="str">
        <f>'Daily KPIs'!V76</f>
        <v>0</v>
      </c>
      <c r="W49" s="253" t="str">
        <f>'Daily KPIs'!W76</f>
        <v>0</v>
      </c>
      <c r="X49" s="253">
        <f>'Daily KPIs'!X76</f>
        <v>59.379999999999654</v>
      </c>
      <c r="Y49" s="253">
        <f>'Daily KPIs'!Y76</f>
        <v>45.610000000000127</v>
      </c>
      <c r="Z49" s="253">
        <f>'Daily KPIs'!Z76</f>
        <v>71.489999999999782</v>
      </c>
      <c r="AA49" s="253">
        <f>'Daily KPIs'!AA76</f>
        <v>67.770000000000437</v>
      </c>
      <c r="AB49" s="253">
        <f>'Daily KPIs'!AB76</f>
        <v>51.75</v>
      </c>
      <c r="AC49" s="253" t="str">
        <f>'Daily KPIs'!AC76</f>
        <v>0</v>
      </c>
      <c r="AD49" s="253" t="str">
        <f>'Daily KPIs'!AD76</f>
        <v>0</v>
      </c>
      <c r="AE49" s="253">
        <f>'Daily KPIs'!AE76</f>
        <v>39.729999999999563</v>
      </c>
      <c r="AF49" s="253" t="str">
        <f>'Daily KPIs'!AF76</f>
        <v>0</v>
      </c>
      <c r="AG49" s="308">
        <f>SUM($B49:AF49)</f>
        <v>1133.4699999999998</v>
      </c>
      <c r="AH49" s="309"/>
      <c r="AI49" s="353"/>
      <c r="AJ49" s="354"/>
      <c r="AK49" s="354"/>
    </row>
    <row r="50" spans="1:37" ht="18" hidden="1" x14ac:dyDescent="0.25">
      <c r="A50" s="108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294"/>
      <c r="AH50" s="294"/>
    </row>
    <row r="51" spans="1:37" ht="18" x14ac:dyDescent="0.25">
      <c r="A51" s="107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294"/>
      <c r="AH51" s="294"/>
    </row>
    <row r="52" spans="1:37" s="91" customFormat="1" ht="20.25" x14ac:dyDescent="0.3">
      <c r="A52" s="140" t="s">
        <v>136</v>
      </c>
      <c r="B52" s="144">
        <f>'Elec.June''25'!$B$7</f>
        <v>5785</v>
      </c>
      <c r="C52" s="144">
        <f>'Elec.June''25'!$B$8</f>
        <v>9004</v>
      </c>
      <c r="D52" s="144">
        <f>'Elec.June''25'!$B$9</f>
        <v>8987</v>
      </c>
      <c r="E52" s="144">
        <f>'Elec.June''25'!$B$10</f>
        <v>9013</v>
      </c>
      <c r="F52" s="144">
        <f>'Elec.June''25'!$B$11</f>
        <v>9609</v>
      </c>
      <c r="G52" s="144">
        <f>'Elec.June''25'!$B$12</f>
        <v>9086</v>
      </c>
      <c r="H52" s="144">
        <f>'Elec.June''25'!$B$13</f>
        <v>4198</v>
      </c>
      <c r="I52" s="144">
        <f>'Elec.June''25'!$B$14</f>
        <v>5365</v>
      </c>
      <c r="J52" s="144">
        <f>'Elec.June''25'!$B$15</f>
        <v>4505</v>
      </c>
      <c r="K52" s="144">
        <f>'Elec.June''25'!$B$16</f>
        <v>8188</v>
      </c>
      <c r="L52" s="144">
        <f>'Elec.June''25'!$B$17</f>
        <v>8791</v>
      </c>
      <c r="M52" s="144">
        <f>'Elec.June''25'!$B$18</f>
        <v>8463</v>
      </c>
      <c r="N52" s="144">
        <f>'Elec.June''25'!$B$19</f>
        <v>8406</v>
      </c>
      <c r="O52" s="144">
        <f>'Elec.June''25'!$B$20</f>
        <v>5577</v>
      </c>
      <c r="P52" s="144">
        <f>'Elec.June''25'!$B$21</f>
        <v>5267</v>
      </c>
      <c r="Q52" s="144">
        <f>'Elec.June''25'!$B$22</f>
        <v>8328</v>
      </c>
      <c r="R52" s="144">
        <f>'Elec.June''25'!$B$23</f>
        <v>9244</v>
      </c>
      <c r="S52" s="144">
        <f>'Elec.June''25'!$B$24</f>
        <v>8232</v>
      </c>
      <c r="T52" s="144">
        <f>'Elec.June''25'!$B$24</f>
        <v>8232</v>
      </c>
      <c r="U52" s="144">
        <f>'Elec.June''25'!$B$24</f>
        <v>8232</v>
      </c>
      <c r="V52" s="144">
        <f>'Elec.June''25'!$B$24</f>
        <v>8232</v>
      </c>
      <c r="W52" s="144">
        <f>'Elec.June''25'!$B$24</f>
        <v>8232</v>
      </c>
      <c r="X52" s="144">
        <f>'Elec.June''25'!$B$24</f>
        <v>8232</v>
      </c>
      <c r="Y52" s="144">
        <f>'Elec.June''25'!$B$24</f>
        <v>8232</v>
      </c>
      <c r="Z52" s="144">
        <f>'Elec.June''25'!$B$24</f>
        <v>8232</v>
      </c>
      <c r="AA52" s="144">
        <f>'Elec.June''25'!$B$24</f>
        <v>8232</v>
      </c>
      <c r="AB52" s="144">
        <f>'Elec.June''25'!$B$24</f>
        <v>8232</v>
      </c>
      <c r="AC52" s="144">
        <f>'Elec.June''25'!$B$24</f>
        <v>8232</v>
      </c>
      <c r="AD52" s="144">
        <f>'Elec.June''25'!$B$24</f>
        <v>8232</v>
      </c>
      <c r="AE52" s="144">
        <f>'Elec.June''25'!$B$24</f>
        <v>8232</v>
      </c>
      <c r="AF52" s="144">
        <f>'Elec.June''25'!$B$24</f>
        <v>8232</v>
      </c>
      <c r="AG52" s="297">
        <f>SUM(B52:AC52)</f>
        <v>218368</v>
      </c>
      <c r="AH52" s="297"/>
      <c r="AI52" s="349"/>
      <c r="AJ52" s="350"/>
      <c r="AK52" s="350"/>
    </row>
    <row r="53" spans="1:37" ht="20.25" x14ac:dyDescent="0.3">
      <c r="A53" s="108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288"/>
      <c r="AH53" s="288"/>
      <c r="AI53" s="352"/>
    </row>
    <row r="54" spans="1:37" s="91" customFormat="1" ht="20.25" x14ac:dyDescent="0.3">
      <c r="A54" s="140" t="s">
        <v>137</v>
      </c>
      <c r="B54" s="146">
        <f>+'Fuel '!$K7</f>
        <v>730</v>
      </c>
      <c r="C54" s="146">
        <f>+'Fuel '!$K8</f>
        <v>3280</v>
      </c>
      <c r="D54" s="146">
        <f>+'Fuel '!$K9</f>
        <v>3380</v>
      </c>
      <c r="E54" s="146">
        <f>+'Fuel '!$K10</f>
        <v>3130</v>
      </c>
      <c r="F54" s="146">
        <f>+'Fuel '!$K11</f>
        <v>3510</v>
      </c>
      <c r="G54" s="146">
        <f>+'Fuel '!$K12</f>
        <v>2660</v>
      </c>
      <c r="H54" s="146">
        <f>+'Fuel '!$K13</f>
        <v>300</v>
      </c>
      <c r="I54" s="146">
        <f>+'Fuel '!$K14</f>
        <v>0</v>
      </c>
      <c r="J54" s="146">
        <f>+'Fuel '!$K15</f>
        <v>830</v>
      </c>
      <c r="K54" s="146">
        <f>+'Fuel '!$K16</f>
        <v>2900</v>
      </c>
      <c r="L54" s="146">
        <f>+'Fuel '!$K17</f>
        <v>3400</v>
      </c>
      <c r="M54" s="146">
        <f>+'Fuel '!$K18</f>
        <v>2940</v>
      </c>
      <c r="N54" s="146">
        <f>+'Fuel '!$K19</f>
        <v>3020</v>
      </c>
      <c r="O54" s="146">
        <f>+'Fuel '!$K20</f>
        <v>1020</v>
      </c>
      <c r="P54" s="146">
        <f>+'Fuel '!$K21</f>
        <v>690</v>
      </c>
      <c r="Q54" s="146">
        <f>+'Fuel '!$K22</f>
        <v>3680</v>
      </c>
      <c r="R54" s="146">
        <f>+'Fuel '!$K23</f>
        <v>3620</v>
      </c>
      <c r="S54" s="146">
        <f>+'Fuel '!$K24</f>
        <v>3050</v>
      </c>
      <c r="T54" s="146">
        <f>+'Fuel '!$K24</f>
        <v>3050</v>
      </c>
      <c r="U54" s="146">
        <f>+'Fuel '!$K24</f>
        <v>3050</v>
      </c>
      <c r="V54" s="146">
        <f>+'Fuel '!$K24</f>
        <v>3050</v>
      </c>
      <c r="W54" s="146">
        <f>+'Fuel '!$K24</f>
        <v>3050</v>
      </c>
      <c r="X54" s="146">
        <f>+'Fuel '!$K24</f>
        <v>3050</v>
      </c>
      <c r="Y54" s="146">
        <f>+'Fuel '!$K24</f>
        <v>3050</v>
      </c>
      <c r="Z54" s="146">
        <f>+'Fuel '!$K24</f>
        <v>3050</v>
      </c>
      <c r="AA54" s="146">
        <f>+'Fuel '!$K24</f>
        <v>3050</v>
      </c>
      <c r="AB54" s="146">
        <f>+'Fuel '!$K24</f>
        <v>3050</v>
      </c>
      <c r="AC54" s="146">
        <f>+'Fuel '!$K24</f>
        <v>3050</v>
      </c>
      <c r="AD54" s="146">
        <f>+'Fuel '!$K24</f>
        <v>3050</v>
      </c>
      <c r="AE54" s="146">
        <f>+'Fuel '!$K24</f>
        <v>3050</v>
      </c>
      <c r="AF54" s="146">
        <f>+'Fuel '!$K24</f>
        <v>3050</v>
      </c>
      <c r="AG54" s="310">
        <f>SUM($B54:AF54)</f>
        <v>81790</v>
      </c>
      <c r="AH54" s="297"/>
      <c r="AI54" s="349"/>
      <c r="AJ54" s="350"/>
      <c r="AK54" s="350"/>
    </row>
    <row r="55" spans="1:37" ht="18" hidden="1" x14ac:dyDescent="0.25">
      <c r="A55" s="10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294"/>
      <c r="AH55" s="294"/>
    </row>
    <row r="56" spans="1:37" ht="18" x14ac:dyDescent="0.25">
      <c r="A56" s="107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294"/>
      <c r="AH56" s="294"/>
    </row>
    <row r="57" spans="1:37" ht="18" x14ac:dyDescent="0.25">
      <c r="A57" s="108" t="s">
        <v>204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</row>
    <row r="58" spans="1:37" s="78" customFormat="1" ht="18" x14ac:dyDescent="0.25">
      <c r="A58" s="109" t="s">
        <v>127</v>
      </c>
      <c r="B58" s="110">
        <v>1</v>
      </c>
      <c r="C58" s="110">
        <v>2</v>
      </c>
      <c r="D58" s="110">
        <v>3</v>
      </c>
      <c r="E58" s="110">
        <v>4</v>
      </c>
      <c r="F58" s="110">
        <v>5</v>
      </c>
      <c r="G58" s="110">
        <v>6</v>
      </c>
      <c r="H58" s="110">
        <v>7</v>
      </c>
      <c r="I58" s="110">
        <v>8</v>
      </c>
      <c r="J58" s="110">
        <v>9</v>
      </c>
      <c r="K58" s="110">
        <v>10</v>
      </c>
      <c r="L58" s="110">
        <v>11</v>
      </c>
      <c r="M58" s="110">
        <v>12</v>
      </c>
      <c r="N58" s="110">
        <v>13</v>
      </c>
      <c r="O58" s="110">
        <v>14</v>
      </c>
      <c r="P58" s="110">
        <v>15</v>
      </c>
      <c r="Q58" s="110">
        <v>16</v>
      </c>
      <c r="R58" s="110">
        <v>17</v>
      </c>
      <c r="S58" s="110">
        <v>18</v>
      </c>
      <c r="T58" s="110">
        <v>19</v>
      </c>
      <c r="U58" s="110">
        <v>20</v>
      </c>
      <c r="V58" s="110">
        <v>21</v>
      </c>
      <c r="W58" s="110">
        <v>22</v>
      </c>
      <c r="X58" s="110">
        <v>9</v>
      </c>
      <c r="Y58" s="110">
        <v>24</v>
      </c>
      <c r="Z58" s="110">
        <v>25</v>
      </c>
      <c r="AA58" s="110">
        <v>26</v>
      </c>
      <c r="AB58" s="110">
        <v>27</v>
      </c>
      <c r="AC58" s="110">
        <v>28</v>
      </c>
      <c r="AD58" s="110">
        <v>29</v>
      </c>
      <c r="AE58" s="110">
        <v>30</v>
      </c>
      <c r="AF58" s="110">
        <v>31</v>
      </c>
      <c r="AG58" s="291" t="s">
        <v>89</v>
      </c>
      <c r="AH58" s="291" t="s">
        <v>157</v>
      </c>
      <c r="AI58" s="291" t="s">
        <v>215</v>
      </c>
      <c r="AJ58" s="340"/>
      <c r="AK58" s="340"/>
    </row>
    <row r="59" spans="1:37" s="79" customFormat="1" ht="20.25" x14ac:dyDescent="0.3">
      <c r="A59" s="127" t="s">
        <v>141</v>
      </c>
      <c r="B59" s="147" t="str">
        <f>IF(B$9=0,"",+(B18*10)/B$9)</f>
        <v/>
      </c>
      <c r="C59" s="147">
        <f>IF(C$9=0,"",+(C18*10)/C$9)</f>
        <v>9.9867165695211551</v>
      </c>
      <c r="D59" s="147">
        <f t="shared" ref="D59:Y59" si="9">IF(D$9=0,"",+(D18*10)/D$9)</f>
        <v>6.5141123591323202</v>
      </c>
      <c r="E59" s="147">
        <f t="shared" si="9"/>
        <v>9.2610718749529415</v>
      </c>
      <c r="F59" s="147">
        <f t="shared" si="9"/>
        <v>8.1154447183155316</v>
      </c>
      <c r="G59" s="147">
        <f t="shared" si="9"/>
        <v>19.323012571324647</v>
      </c>
      <c r="H59" s="147" t="str">
        <f t="shared" si="9"/>
        <v/>
      </c>
      <c r="I59" s="147" t="str">
        <f t="shared" si="9"/>
        <v/>
      </c>
      <c r="J59" s="147" t="str">
        <f t="shared" si="9"/>
        <v/>
      </c>
      <c r="K59" s="147">
        <f>IF(K$9=0,"",+(K18*10)/K$9)</f>
        <v>7.3425653536150772</v>
      </c>
      <c r="L59" s="147">
        <f>IF(L$9=0,"",+(L18*10)/L$9)</f>
        <v>10.000168070051597</v>
      </c>
      <c r="M59" s="147">
        <f>IF(M$9=0,"",+(M18*10)/M$9)</f>
        <v>8.6218565534937639</v>
      </c>
      <c r="N59" s="147">
        <f>IF(N$9=0,"",+(N18*10)/N$9)</f>
        <v>8.4067098178708175</v>
      </c>
      <c r="O59" s="147" t="str">
        <f t="shared" ref="O59:S59" si="10">IF(O$9=0,"",+(O18*10)/O$9)</f>
        <v/>
      </c>
      <c r="P59" s="147" t="str">
        <f t="shared" si="10"/>
        <v/>
      </c>
      <c r="Q59" s="147">
        <f t="shared" si="10"/>
        <v>8.9860715890369924</v>
      </c>
      <c r="R59" s="147">
        <f t="shared" si="10"/>
        <v>9.1596061369361106</v>
      </c>
      <c r="S59" s="147">
        <f t="shared" si="10"/>
        <v>8.1963027956110821</v>
      </c>
      <c r="T59" s="147" t="str">
        <f t="shared" si="9"/>
        <v/>
      </c>
      <c r="U59" s="147">
        <f t="shared" si="9"/>
        <v>12.985561370749283</v>
      </c>
      <c r="V59" s="147" t="str">
        <f t="shared" si="9"/>
        <v/>
      </c>
      <c r="W59" s="147" t="str">
        <f t="shared" si="9"/>
        <v/>
      </c>
      <c r="X59" s="147">
        <f t="shared" si="9"/>
        <v>6.6195939982347749</v>
      </c>
      <c r="Y59" s="147">
        <f t="shared" si="9"/>
        <v>9.6260523396201787</v>
      </c>
      <c r="Z59" s="147">
        <f>IF(Z$9=0,"",+(Z18*10)/Z$9)</f>
        <v>7.8697421981004059</v>
      </c>
      <c r="AA59" s="147">
        <f t="shared" ref="AA59:AF59" si="11">IF(AA$9=0,"",+(AA18*10)/AA$9)</f>
        <v>8.9495405522493563</v>
      </c>
      <c r="AB59" s="147">
        <f t="shared" si="11"/>
        <v>9.4728048453023845</v>
      </c>
      <c r="AC59" s="147" t="str">
        <f t="shared" si="11"/>
        <v/>
      </c>
      <c r="AD59" s="147" t="str">
        <f t="shared" si="11"/>
        <v/>
      </c>
      <c r="AE59" s="147" t="str">
        <f t="shared" si="11"/>
        <v/>
      </c>
      <c r="AF59" s="147">
        <f t="shared" si="11"/>
        <v>131.198347107438</v>
      </c>
      <c r="AG59" s="311">
        <f>IF(AG$9=0,"",+(AG18*10)/AG$9)</f>
        <v>11.516661565640272</v>
      </c>
      <c r="AH59" s="312">
        <f>'Daily KPIs'!AH88</f>
        <v>10.199999999999999</v>
      </c>
      <c r="AI59" s="355">
        <f>+AH59-AG59</f>
        <v>-1.3166615656402723</v>
      </c>
      <c r="AJ59" s="343"/>
      <c r="AK59" s="343"/>
    </row>
    <row r="60" spans="1:37" ht="18" hidden="1" x14ac:dyDescent="0.2">
      <c r="A60" s="112"/>
      <c r="M60" s="85"/>
      <c r="AG60" s="313"/>
      <c r="AH60" s="313"/>
    </row>
    <row r="61" spans="1:37" ht="18" x14ac:dyDescent="0.2">
      <c r="A61" s="129" t="s">
        <v>144</v>
      </c>
      <c r="M61" s="85"/>
      <c r="AF61" s="85"/>
      <c r="AG61" s="291" t="s">
        <v>89</v>
      </c>
      <c r="AH61" s="291" t="s">
        <v>157</v>
      </c>
      <c r="AI61" s="291" t="s">
        <v>215</v>
      </c>
    </row>
    <row r="62" spans="1:37" ht="18" x14ac:dyDescent="0.25">
      <c r="A62" s="112" t="s">
        <v>130</v>
      </c>
      <c r="B62" s="148" t="str">
        <f>IF(B$9=0,"",+(B28*10)/B$9)</f>
        <v/>
      </c>
      <c r="C62" s="148">
        <f>IF(C$9=0,"",+(C28*10)/C$9)</f>
        <v>2.4802175216612978</v>
      </c>
      <c r="D62" s="148">
        <f t="shared" ref="D62:W62" si="12">IF(D$9=0,"",+(D28*10)/D$9)</f>
        <v>2.0162728730647657</v>
      </c>
      <c r="E62" s="148">
        <f t="shared" si="12"/>
        <v>4.3419117462516503</v>
      </c>
      <c r="F62" s="148">
        <f t="shared" si="12"/>
        <v>4.4705427480547097</v>
      </c>
      <c r="G62" s="148">
        <f t="shared" si="12"/>
        <v>4.622367713140406</v>
      </c>
      <c r="H62" s="148" t="str">
        <f t="shared" si="12"/>
        <v/>
      </c>
      <c r="I62" s="148" t="str">
        <f t="shared" si="12"/>
        <v/>
      </c>
      <c r="J62" s="148" t="str">
        <f t="shared" si="12"/>
        <v/>
      </c>
      <c r="K62" s="148">
        <f t="shared" si="12"/>
        <v>2.3917150988974192</v>
      </c>
      <c r="L62" s="148">
        <f t="shared" si="12"/>
        <v>3.7815761609438812</v>
      </c>
      <c r="M62" s="148">
        <f>IF(M$9=0,"",+(M28*10)/M$9)</f>
        <v>3.7959709740638075</v>
      </c>
      <c r="N62" s="148">
        <f>IF(N$9=0,"",+(N28*10)/N$9)</f>
        <v>3.280074639920695</v>
      </c>
      <c r="O62" s="148" t="str">
        <f t="shared" ref="O62:S62" si="13">IF(O$9=0,"",+(O28*10)/O$9)</f>
        <v/>
      </c>
      <c r="P62" s="148" t="str">
        <f t="shared" si="13"/>
        <v/>
      </c>
      <c r="Q62" s="148">
        <f t="shared" si="13"/>
        <v>2.6708601667415506</v>
      </c>
      <c r="R62" s="148">
        <f t="shared" si="13"/>
        <v>3.2167664409478007</v>
      </c>
      <c r="S62" s="148">
        <f t="shared" si="13"/>
        <v>2.3513983430031793</v>
      </c>
      <c r="T62" s="148" t="str">
        <f t="shared" si="12"/>
        <v/>
      </c>
      <c r="U62" s="148">
        <f t="shared" si="12"/>
        <v>0.32874838913289323</v>
      </c>
      <c r="V62" s="148" t="str">
        <f t="shared" si="12"/>
        <v/>
      </c>
      <c r="W62" s="148" t="str">
        <f t="shared" si="12"/>
        <v/>
      </c>
      <c r="X62" s="148">
        <f t="shared" ref="X62" si="14">IF(X$9=0,"",+(X28*10)/X$9)</f>
        <v>1.407977136132476</v>
      </c>
      <c r="Y62" s="148">
        <f t="shared" ref="Y62:AF62" si="15">IF(Y$9=0,"",+(Y28*10)/Y$9)</f>
        <v>5.8191389849681308</v>
      </c>
      <c r="Z62" s="148">
        <f t="shared" si="15"/>
        <v>2.4423337856173672</v>
      </c>
      <c r="AA62" s="148">
        <f t="shared" si="15"/>
        <v>3.7052237955172491</v>
      </c>
      <c r="AB62" s="148">
        <f t="shared" si="15"/>
        <v>3.6797247168103748</v>
      </c>
      <c r="AC62" s="148" t="str">
        <f t="shared" si="15"/>
        <v/>
      </c>
      <c r="AD62" s="148" t="str">
        <f t="shared" si="15"/>
        <v/>
      </c>
      <c r="AE62" s="148" t="str">
        <f t="shared" si="15"/>
        <v/>
      </c>
      <c r="AF62" s="148">
        <f t="shared" si="15"/>
        <v>50.964187327823687</v>
      </c>
      <c r="AG62" s="314">
        <f>IF(+(AG28*10)/AG$9&lt;1,0,+(AG28*10)/AG$9)</f>
        <v>4.0335984981633839</v>
      </c>
      <c r="AH62" s="314">
        <v>2.5</v>
      </c>
      <c r="AI62" s="315">
        <f t="shared" ref="AI62:AI78" si="16">AH62-AG62</f>
        <v>-1.5335984981633839</v>
      </c>
    </row>
    <row r="63" spans="1:37" ht="18.75" x14ac:dyDescent="0.3">
      <c r="A63" s="170" t="s">
        <v>228</v>
      </c>
      <c r="B63" s="171" t="str">
        <f>IF(B$93=0,"",+(B28*10)/B$93)</f>
        <v/>
      </c>
      <c r="C63" s="171">
        <f t="shared" ref="C63:X63" si="17">IF(C$93=0,"",+(C28*10)/C$93)</f>
        <v>5.517578125</v>
      </c>
      <c r="D63" s="171">
        <f t="shared" si="17"/>
        <v>3.5852178709321563</v>
      </c>
      <c r="E63" s="171">
        <f t="shared" si="17"/>
        <v>3.46</v>
      </c>
      <c r="F63" s="171">
        <f t="shared" si="17"/>
        <v>4.9104180491041802</v>
      </c>
      <c r="G63" s="171">
        <f t="shared" si="17"/>
        <v>5.9223300970873787</v>
      </c>
      <c r="H63" s="171" t="str">
        <f t="shared" si="17"/>
        <v/>
      </c>
      <c r="I63" s="171" t="str">
        <f>IF(I$93=0,"",+(I28*10)/I$93)</f>
        <v/>
      </c>
      <c r="J63" s="171" t="str">
        <f t="shared" si="17"/>
        <v/>
      </c>
      <c r="K63" s="171">
        <f t="shared" si="17"/>
        <v>2.818489289740699</v>
      </c>
      <c r="L63" s="171">
        <f t="shared" si="17"/>
        <v>3.9241334205362985</v>
      </c>
      <c r="M63" s="171">
        <f t="shared" si="17"/>
        <v>3.6533559898045875</v>
      </c>
      <c r="N63" s="171">
        <f t="shared" si="17"/>
        <v>5.283757338551859</v>
      </c>
      <c r="O63" s="171">
        <f t="shared" ref="O63:S63" si="18">IF(O$93=0,"",+(O28*10)/O$93)</f>
        <v>3.4117104656523742</v>
      </c>
      <c r="P63" s="171" t="str">
        <f t="shared" si="18"/>
        <v/>
      </c>
      <c r="Q63" s="171">
        <f t="shared" si="18"/>
        <v>2.9379461834157059</v>
      </c>
      <c r="R63" s="171">
        <f t="shared" si="18"/>
        <v>5.0528118755352551</v>
      </c>
      <c r="S63" s="171">
        <f t="shared" si="18"/>
        <v>4.9528301886792452</v>
      </c>
      <c r="T63" s="171" t="str">
        <f t="shared" si="17"/>
        <v/>
      </c>
      <c r="U63" s="171" t="str">
        <f t="shared" si="17"/>
        <v/>
      </c>
      <c r="V63" s="171" t="str">
        <f t="shared" si="17"/>
        <v/>
      </c>
      <c r="W63" s="171" t="str">
        <f t="shared" si="17"/>
        <v/>
      </c>
      <c r="X63" s="171">
        <f t="shared" si="17"/>
        <v>3.3736153071500499</v>
      </c>
      <c r="Y63" s="171">
        <f t="shared" ref="Y63:AF63" si="19">IF(Y$93=0,"",+(Y28*10)/Y$93)</f>
        <v>6.0264714165023934</v>
      </c>
      <c r="Z63" s="171">
        <f t="shared" si="19"/>
        <v>3.2130107100357002</v>
      </c>
      <c r="AA63" s="171">
        <f t="shared" si="19"/>
        <v>3.49901309886955</v>
      </c>
      <c r="AB63" s="171">
        <f t="shared" si="19"/>
        <v>4.1701887855734014</v>
      </c>
      <c r="AC63" s="171">
        <f t="shared" si="19"/>
        <v>4.5723036534675128</v>
      </c>
      <c r="AD63" s="171">
        <f t="shared" si="19"/>
        <v>7.8564500484966056</v>
      </c>
      <c r="AE63" s="171">
        <f t="shared" si="19"/>
        <v>3.8056206088992974</v>
      </c>
      <c r="AF63" s="171">
        <f t="shared" si="19"/>
        <v>7.1774975751697383</v>
      </c>
      <c r="AG63" s="316">
        <f>IF(+(AG28*10)/AG$93&lt;1,0,+(AG28*10)/AG$93)</f>
        <v>4.2915085699332725</v>
      </c>
      <c r="AH63" s="316">
        <v>2.5</v>
      </c>
      <c r="AI63" s="317">
        <f t="shared" si="16"/>
        <v>-1.7915085699332725</v>
      </c>
    </row>
    <row r="64" spans="1:37" s="93" customFormat="1" ht="18" x14ac:dyDescent="0.25">
      <c r="A64" s="149" t="s">
        <v>180</v>
      </c>
      <c r="B64" s="150" t="str">
        <f>IF(B$9=0,"",+(B29*10)/B$9)</f>
        <v/>
      </c>
      <c r="C64" s="150">
        <f t="shared" ref="C64:X64" si="20">IF(C$9=0,"",+(C29*10)/C$9)</f>
        <v>0</v>
      </c>
      <c r="D64" s="150">
        <f t="shared" si="20"/>
        <v>0</v>
      </c>
      <c r="E64" s="150">
        <f t="shared" si="20"/>
        <v>0</v>
      </c>
      <c r="F64" s="150">
        <f t="shared" si="20"/>
        <v>0</v>
      </c>
      <c r="G64" s="150">
        <f t="shared" si="20"/>
        <v>0</v>
      </c>
      <c r="H64" s="150" t="str">
        <f t="shared" si="20"/>
        <v/>
      </c>
      <c r="I64" s="150" t="str">
        <f t="shared" si="20"/>
        <v/>
      </c>
      <c r="J64" s="150" t="str">
        <f t="shared" si="20"/>
        <v/>
      </c>
      <c r="K64" s="150">
        <f t="shared" si="20"/>
        <v>0</v>
      </c>
      <c r="L64" s="150">
        <f t="shared" si="20"/>
        <v>0</v>
      </c>
      <c r="M64" s="150">
        <f>IF(M$9=0,"",+(M29*10)/M$9)</f>
        <v>0</v>
      </c>
      <c r="N64" s="150">
        <f t="shared" si="20"/>
        <v>0</v>
      </c>
      <c r="O64" s="150" t="str">
        <f t="shared" ref="O64:S64" si="21">IF(O$9=0,"",+(O29*10)/O$9)</f>
        <v/>
      </c>
      <c r="P64" s="150" t="str">
        <f t="shared" si="21"/>
        <v/>
      </c>
      <c r="Q64" s="150">
        <f t="shared" si="21"/>
        <v>0</v>
      </c>
      <c r="R64" s="150">
        <f t="shared" si="21"/>
        <v>0</v>
      </c>
      <c r="S64" s="150">
        <f t="shared" si="21"/>
        <v>0</v>
      </c>
      <c r="T64" s="150" t="str">
        <f t="shared" si="20"/>
        <v/>
      </c>
      <c r="U64" s="150">
        <f t="shared" si="20"/>
        <v>0</v>
      </c>
      <c r="V64" s="150" t="str">
        <f t="shared" si="20"/>
        <v/>
      </c>
      <c r="W64" s="150" t="str">
        <f t="shared" si="20"/>
        <v/>
      </c>
      <c r="X64" s="150">
        <f t="shared" si="20"/>
        <v>0</v>
      </c>
      <c r="Y64" s="150">
        <f t="shared" ref="Y64:AF64" si="22">IF(Y$9=0,"",+(Y29*10)/Y$9)</f>
        <v>0</v>
      </c>
      <c r="Z64" s="150">
        <f t="shared" si="22"/>
        <v>0</v>
      </c>
      <c r="AA64" s="150">
        <f t="shared" si="22"/>
        <v>0</v>
      </c>
      <c r="AB64" s="150">
        <f t="shared" si="22"/>
        <v>0</v>
      </c>
      <c r="AC64" s="150" t="str">
        <f t="shared" si="22"/>
        <v/>
      </c>
      <c r="AD64" s="150" t="str">
        <f t="shared" si="22"/>
        <v/>
      </c>
      <c r="AE64" s="150" t="str">
        <f t="shared" si="22"/>
        <v/>
      </c>
      <c r="AF64" s="150">
        <f t="shared" si="22"/>
        <v>3.2619851395669364</v>
      </c>
      <c r="AG64" s="318">
        <f>+(AG29*10)/AG$9</f>
        <v>3.2332842999817882E-2</v>
      </c>
      <c r="AH64" s="318">
        <v>0.1</v>
      </c>
      <c r="AI64" s="319">
        <f>AH64-AG64</f>
        <v>6.7667157000182124E-2</v>
      </c>
      <c r="AJ64" s="356"/>
      <c r="AK64" s="356"/>
    </row>
    <row r="65" spans="1:37" s="90" customFormat="1" ht="18" x14ac:dyDescent="0.25">
      <c r="A65" s="138" t="s">
        <v>201</v>
      </c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320"/>
      <c r="AH65" s="320">
        <v>0.1</v>
      </c>
      <c r="AI65" s="321">
        <f>AH65-AG65</f>
        <v>0.1</v>
      </c>
      <c r="AJ65" s="347"/>
      <c r="AK65" s="347"/>
    </row>
    <row r="66" spans="1:37" ht="18" x14ac:dyDescent="0.25">
      <c r="A66" s="112" t="s">
        <v>179</v>
      </c>
      <c r="B66" s="148" t="str">
        <f t="shared" ref="B66:V66" si="23">IF(B$9=0,"",+(B31*10)/B$9)</f>
        <v/>
      </c>
      <c r="C66" s="148">
        <f t="shared" si="23"/>
        <v>0</v>
      </c>
      <c r="D66" s="148">
        <f t="shared" si="23"/>
        <v>0</v>
      </c>
      <c r="E66" s="148">
        <f t="shared" si="23"/>
        <v>0</v>
      </c>
      <c r="F66" s="148">
        <f t="shared" si="23"/>
        <v>0</v>
      </c>
      <c r="G66" s="148">
        <f t="shared" si="23"/>
        <v>0</v>
      </c>
      <c r="H66" s="148" t="str">
        <f t="shared" si="23"/>
        <v/>
      </c>
      <c r="I66" s="148" t="str">
        <f t="shared" si="23"/>
        <v/>
      </c>
      <c r="J66" s="148" t="str">
        <f t="shared" si="23"/>
        <v/>
      </c>
      <c r="K66" s="148">
        <f t="shared" si="23"/>
        <v>0</v>
      </c>
      <c r="L66" s="148">
        <f t="shared" si="23"/>
        <v>0</v>
      </c>
      <c r="M66" s="148">
        <f t="shared" si="23"/>
        <v>0</v>
      </c>
      <c r="N66" s="148">
        <f t="shared" si="23"/>
        <v>0</v>
      </c>
      <c r="O66" s="148" t="str">
        <f t="shared" ref="O66:S66" si="24">IF(O$9=0,"",+(O31*10)/O$9)</f>
        <v/>
      </c>
      <c r="P66" s="148" t="str">
        <f t="shared" si="24"/>
        <v/>
      </c>
      <c r="Q66" s="148">
        <f t="shared" si="24"/>
        <v>0</v>
      </c>
      <c r="R66" s="148">
        <f t="shared" si="24"/>
        <v>0</v>
      </c>
      <c r="S66" s="148">
        <f t="shared" si="24"/>
        <v>0</v>
      </c>
      <c r="T66" s="148" t="str">
        <f t="shared" si="23"/>
        <v/>
      </c>
      <c r="U66" s="148">
        <f t="shared" si="23"/>
        <v>0</v>
      </c>
      <c r="V66" s="148" t="str">
        <f t="shared" si="23"/>
        <v/>
      </c>
      <c r="W66" s="148" t="s">
        <v>224</v>
      </c>
      <c r="X66" s="148"/>
      <c r="Y66" s="148"/>
      <c r="Z66" s="148"/>
      <c r="AA66" s="148"/>
      <c r="AB66" s="148"/>
      <c r="AC66" s="148"/>
      <c r="AD66" s="148"/>
      <c r="AE66" s="148"/>
      <c r="AF66" s="148"/>
      <c r="AG66" s="314">
        <f>+(AG31*10)/AG$9</f>
        <v>0</v>
      </c>
      <c r="AH66" s="314">
        <v>0.7</v>
      </c>
      <c r="AI66" s="315">
        <f t="shared" si="16"/>
        <v>0.7</v>
      </c>
    </row>
    <row r="67" spans="1:37" s="94" customFormat="1" ht="18" x14ac:dyDescent="0.25">
      <c r="A67" s="152" t="s">
        <v>181</v>
      </c>
      <c r="B67" s="153" t="str">
        <f t="shared" ref="B67:X67" si="25">IF(B$9=0,"",+(B32*10)/B$9)</f>
        <v/>
      </c>
      <c r="C67" s="153">
        <f t="shared" si="25"/>
        <v>0</v>
      </c>
      <c r="D67" s="153">
        <f t="shared" si="25"/>
        <v>0</v>
      </c>
      <c r="E67" s="153">
        <f t="shared" si="25"/>
        <v>0</v>
      </c>
      <c r="F67" s="153">
        <f t="shared" si="25"/>
        <v>0</v>
      </c>
      <c r="G67" s="153">
        <f t="shared" si="25"/>
        <v>0</v>
      </c>
      <c r="H67" s="153" t="str">
        <f t="shared" si="25"/>
        <v/>
      </c>
      <c r="I67" s="153" t="str">
        <f t="shared" si="25"/>
        <v/>
      </c>
      <c r="J67" s="153" t="str">
        <f t="shared" si="25"/>
        <v/>
      </c>
      <c r="K67" s="153">
        <f t="shared" si="25"/>
        <v>0</v>
      </c>
      <c r="L67" s="153">
        <f t="shared" si="25"/>
        <v>0</v>
      </c>
      <c r="M67" s="153">
        <f t="shared" si="25"/>
        <v>0</v>
      </c>
      <c r="N67" s="153">
        <f t="shared" si="25"/>
        <v>0</v>
      </c>
      <c r="O67" s="153" t="str">
        <f t="shared" ref="O67:S67" si="26">IF(O$9=0,"",+(O32*10)/O$9)</f>
        <v/>
      </c>
      <c r="P67" s="153" t="str">
        <f t="shared" si="26"/>
        <v/>
      </c>
      <c r="Q67" s="153">
        <f t="shared" si="26"/>
        <v>0</v>
      </c>
      <c r="R67" s="153">
        <f t="shared" si="26"/>
        <v>0.6906052246102623</v>
      </c>
      <c r="S67" s="153">
        <f t="shared" si="26"/>
        <v>1.0525306868680897</v>
      </c>
      <c r="T67" s="153" t="str">
        <f t="shared" si="25"/>
        <v/>
      </c>
      <c r="U67" s="153">
        <f t="shared" si="25"/>
        <v>0</v>
      </c>
      <c r="V67" s="153" t="str">
        <f t="shared" si="25"/>
        <v/>
      </c>
      <c r="W67" s="153" t="str">
        <f t="shared" si="25"/>
        <v/>
      </c>
      <c r="X67" s="153">
        <f t="shared" si="25"/>
        <v>0</v>
      </c>
      <c r="Y67" s="153">
        <f t="shared" ref="Y67:AF67" si="27">IF(Y$9=0,"",+(Y32*10)/Y$9)</f>
        <v>0</v>
      </c>
      <c r="Z67" s="153">
        <f t="shared" si="27"/>
        <v>0</v>
      </c>
      <c r="AA67" s="153">
        <f t="shared" si="27"/>
        <v>0</v>
      </c>
      <c r="AB67" s="153">
        <f t="shared" si="27"/>
        <v>0</v>
      </c>
      <c r="AC67" s="153" t="str">
        <f t="shared" si="27"/>
        <v/>
      </c>
      <c r="AD67" s="153" t="str">
        <f t="shared" si="27"/>
        <v/>
      </c>
      <c r="AE67" s="153" t="str">
        <f t="shared" si="27"/>
        <v/>
      </c>
      <c r="AF67" s="153">
        <f t="shared" si="27"/>
        <v>19.283746556473826</v>
      </c>
      <c r="AG67" s="322">
        <f>+(AG32*10)/AG$9</f>
        <v>0.26931648509078693</v>
      </c>
      <c r="AH67" s="322">
        <v>1</v>
      </c>
      <c r="AI67" s="323">
        <f>AH67-AG67</f>
        <v>0.73068351490921302</v>
      </c>
      <c r="AJ67" s="357"/>
      <c r="AK67" s="357"/>
    </row>
    <row r="68" spans="1:37" ht="18" x14ac:dyDescent="0.25">
      <c r="A68" s="124" t="s">
        <v>103</v>
      </c>
      <c r="B68" s="148" t="str">
        <f t="shared" ref="B68:X68" si="28">IF(B$9=0,"",+(B33*10)/B$9)</f>
        <v/>
      </c>
      <c r="C68" s="148">
        <f t="shared" si="28"/>
        <v>1.8656503481523037</v>
      </c>
      <c r="D68" s="148">
        <f t="shared" si="28"/>
        <v>0.79099935789463882</v>
      </c>
      <c r="E68" s="148">
        <f t="shared" si="28"/>
        <v>0.77803042851908177</v>
      </c>
      <c r="F68" s="148">
        <f t="shared" si="28"/>
        <v>1.1277044769867737</v>
      </c>
      <c r="G68" s="148">
        <f t="shared" si="28"/>
        <v>2.2732955966264292</v>
      </c>
      <c r="H68" s="148" t="str">
        <f t="shared" si="28"/>
        <v/>
      </c>
      <c r="I68" s="148" t="str">
        <f t="shared" si="28"/>
        <v/>
      </c>
      <c r="J68" s="148" t="str">
        <f t="shared" si="28"/>
        <v/>
      </c>
      <c r="K68" s="148">
        <f t="shared" si="28"/>
        <v>1.1241060964817871</v>
      </c>
      <c r="L68" s="148">
        <f t="shared" si="28"/>
        <v>0.9033765273365939</v>
      </c>
      <c r="M68" s="148">
        <f t="shared" si="28"/>
        <v>1.8832724212409588</v>
      </c>
      <c r="N68" s="148">
        <f t="shared" si="28"/>
        <v>0.7532023247225299</v>
      </c>
      <c r="O68" s="148" t="str">
        <f t="shared" ref="O68:S68" si="29">IF(O$9=0,"",+(O33*10)/O$9)</f>
        <v/>
      </c>
      <c r="P68" s="148" t="str">
        <f t="shared" si="29"/>
        <v/>
      </c>
      <c r="Q68" s="148">
        <f t="shared" si="29"/>
        <v>1.1731815685687186</v>
      </c>
      <c r="R68" s="148">
        <f t="shared" si="29"/>
        <v>0.8541696199126928</v>
      </c>
      <c r="S68" s="148">
        <f t="shared" si="29"/>
        <v>1.0525306868680897</v>
      </c>
      <c r="T68" s="148" t="str">
        <f t="shared" si="28"/>
        <v/>
      </c>
      <c r="U68" s="148">
        <f t="shared" si="28"/>
        <v>0.57530968098256319</v>
      </c>
      <c r="V68" s="148" t="str">
        <f t="shared" si="28"/>
        <v/>
      </c>
      <c r="W68" s="148" t="str">
        <f t="shared" si="28"/>
        <v/>
      </c>
      <c r="X68" s="148">
        <f t="shared" si="28"/>
        <v>1.3449333837683353</v>
      </c>
      <c r="Y68" s="148">
        <f t="shared" ref="Y68:AF68" si="30">IF(Y$9=0,"",+(Y33*10)/Y$9)</f>
        <v>1.0604972916530706</v>
      </c>
      <c r="Z68" s="148">
        <f t="shared" si="30"/>
        <v>0.57289311020654299</v>
      </c>
      <c r="AA68" s="148">
        <f t="shared" si="30"/>
        <v>0.81704934978072674</v>
      </c>
      <c r="AB68" s="148">
        <f t="shared" si="30"/>
        <v>1.591232309972054</v>
      </c>
      <c r="AC68" s="148" t="str">
        <f t="shared" si="30"/>
        <v/>
      </c>
      <c r="AD68" s="148" t="str">
        <f t="shared" si="30"/>
        <v/>
      </c>
      <c r="AE68" s="148" t="str">
        <f t="shared" si="30"/>
        <v/>
      </c>
      <c r="AF68" s="148">
        <f t="shared" si="30"/>
        <v>22.038567493112946</v>
      </c>
      <c r="AG68" s="314">
        <f>+(AG33*10)/AG$9</f>
        <v>1.3637990044095101</v>
      </c>
      <c r="AH68" s="314">
        <v>0.7</v>
      </c>
      <c r="AI68" s="315">
        <f t="shared" si="16"/>
        <v>-0.66379900440951012</v>
      </c>
    </row>
    <row r="69" spans="1:37" ht="18" x14ac:dyDescent="0.25">
      <c r="A69" s="124" t="s">
        <v>132</v>
      </c>
      <c r="B69" s="148" t="str">
        <f t="shared" ref="B69:X69" si="31">IF(B$9=0,"",+(B34*10)/B$9)</f>
        <v/>
      </c>
      <c r="C69" s="148">
        <f t="shared" si="31"/>
        <v>2.4802175216612978</v>
      </c>
      <c r="D69" s="148">
        <f t="shared" si="31"/>
        <v>2.4505470303402537</v>
      </c>
      <c r="E69" s="148">
        <f t="shared" si="31"/>
        <v>2.8360464007308468</v>
      </c>
      <c r="F69" s="148">
        <f t="shared" si="31"/>
        <v>3.0206369919288578</v>
      </c>
      <c r="G69" s="148">
        <f t="shared" si="31"/>
        <v>3.5614964347147389</v>
      </c>
      <c r="H69" s="148" t="str">
        <f t="shared" si="31"/>
        <v/>
      </c>
      <c r="I69" s="148" t="str">
        <f t="shared" si="31"/>
        <v/>
      </c>
      <c r="J69" s="148" t="str">
        <f t="shared" si="31"/>
        <v/>
      </c>
      <c r="K69" s="148">
        <f t="shared" si="31"/>
        <v>3.3484011384563868</v>
      </c>
      <c r="L69" s="148">
        <f t="shared" si="31"/>
        <v>3.3193835190507404</v>
      </c>
      <c r="M69" s="148">
        <f t="shared" si="31"/>
        <v>3.2368744740078981</v>
      </c>
      <c r="N69" s="148">
        <f t="shared" si="31"/>
        <v>3.0614029972593153</v>
      </c>
      <c r="O69" s="148" t="str">
        <f t="shared" ref="O69:S69" si="32">IF(O$9=0,"",+(O34*10)/O$9)</f>
        <v/>
      </c>
      <c r="P69" s="148" t="str">
        <f t="shared" si="32"/>
        <v/>
      </c>
      <c r="Q69" s="148">
        <f t="shared" si="32"/>
        <v>3.1451250561629474</v>
      </c>
      <c r="R69" s="148">
        <f t="shared" si="32"/>
        <v>2.2899015342340276</v>
      </c>
      <c r="S69" s="148">
        <f t="shared" si="32"/>
        <v>2.8216780116038147</v>
      </c>
      <c r="T69" s="148" t="str">
        <f t="shared" si="31"/>
        <v/>
      </c>
      <c r="U69" s="148">
        <f t="shared" si="31"/>
        <v>3.1505053958568934</v>
      </c>
      <c r="V69" s="148" t="str">
        <f t="shared" si="31"/>
        <v/>
      </c>
      <c r="W69" s="148" t="str">
        <f t="shared" si="31"/>
        <v/>
      </c>
      <c r="X69" s="148">
        <f t="shared" si="31"/>
        <v>3.0471146976001342</v>
      </c>
      <c r="Y69" s="148">
        <f t="shared" ref="Y69:AF69" si="33">IF(Y$9=0,"",+(Y34*10)/Y$9)</f>
        <v>2.800800539494007</v>
      </c>
      <c r="Z69" s="148">
        <f t="shared" si="33"/>
        <v>2.6684758028041609</v>
      </c>
      <c r="AA69" s="148">
        <f t="shared" si="33"/>
        <v>2.6791618213740112</v>
      </c>
      <c r="AB69" s="148">
        <f t="shared" si="33"/>
        <v>2.7846565424510943</v>
      </c>
      <c r="AC69" s="148" t="str">
        <f t="shared" si="33"/>
        <v/>
      </c>
      <c r="AD69" s="148" t="str">
        <f t="shared" si="33"/>
        <v/>
      </c>
      <c r="AE69" s="148" t="str">
        <f t="shared" si="33"/>
        <v/>
      </c>
      <c r="AF69" s="148">
        <f t="shared" si="33"/>
        <v>38.567493112947652</v>
      </c>
      <c r="AG69" s="314">
        <f>+(AG34*10)/AG$9</f>
        <v>3.866351731166366</v>
      </c>
      <c r="AH69" s="314">
        <v>2.6</v>
      </c>
      <c r="AI69" s="315">
        <f t="shared" si="16"/>
        <v>-1.2663517311663659</v>
      </c>
    </row>
    <row r="70" spans="1:37" ht="18.75" x14ac:dyDescent="0.3">
      <c r="A70" s="172" t="s">
        <v>104</v>
      </c>
      <c r="B70" s="173" t="str">
        <f>IF(B$86=0,"",+(B34*10)/B$86)</f>
        <v/>
      </c>
      <c r="C70" s="173" t="str">
        <f t="shared" ref="C70:X70" si="34">IF(C$86=0,"",+(C34*10)/C$86)</f>
        <v/>
      </c>
      <c r="D70" s="173" t="str">
        <f t="shared" si="34"/>
        <v/>
      </c>
      <c r="E70" s="173" t="str">
        <f t="shared" si="34"/>
        <v/>
      </c>
      <c r="F70" s="173" t="str">
        <f t="shared" si="34"/>
        <v/>
      </c>
      <c r="G70" s="173" t="str">
        <f t="shared" si="34"/>
        <v/>
      </c>
      <c r="H70" s="173" t="str">
        <f t="shared" si="34"/>
        <v/>
      </c>
      <c r="I70" s="173" t="str">
        <f t="shared" si="34"/>
        <v/>
      </c>
      <c r="J70" s="173" t="str">
        <f t="shared" si="34"/>
        <v/>
      </c>
      <c r="K70" s="173" t="str">
        <f t="shared" si="34"/>
        <v/>
      </c>
      <c r="L70" s="173" t="str">
        <f t="shared" si="34"/>
        <v/>
      </c>
      <c r="M70" s="173" t="str">
        <f t="shared" si="34"/>
        <v/>
      </c>
      <c r="N70" s="173" t="str">
        <f t="shared" si="34"/>
        <v/>
      </c>
      <c r="O70" s="173" t="str">
        <f t="shared" ref="O70:S70" si="35">IF(O$86=0,"",+(O34*10)/O$86)</f>
        <v/>
      </c>
      <c r="P70" s="173" t="str">
        <f t="shared" si="35"/>
        <v/>
      </c>
      <c r="Q70" s="173" t="str">
        <f t="shared" si="35"/>
        <v/>
      </c>
      <c r="R70" s="173" t="str">
        <f t="shared" si="35"/>
        <v/>
      </c>
      <c r="S70" s="173" t="str">
        <f t="shared" si="35"/>
        <v/>
      </c>
      <c r="T70" s="173" t="str">
        <f t="shared" si="34"/>
        <v/>
      </c>
      <c r="U70" s="173" t="str">
        <f t="shared" si="34"/>
        <v/>
      </c>
      <c r="V70" s="173" t="str">
        <f t="shared" si="34"/>
        <v/>
      </c>
      <c r="W70" s="173" t="str">
        <f t="shared" si="34"/>
        <v/>
      </c>
      <c r="X70" s="173" t="str">
        <f t="shared" si="34"/>
        <v/>
      </c>
      <c r="Y70" s="173" t="str">
        <f t="shared" ref="Y70:AF70" si="36">IF(Y$86=0,"",+(Y34*10)/Y$86)</f>
        <v/>
      </c>
      <c r="Z70" s="173" t="str">
        <f t="shared" si="36"/>
        <v/>
      </c>
      <c r="AA70" s="173" t="str">
        <f t="shared" si="36"/>
        <v/>
      </c>
      <c r="AB70" s="173" t="str">
        <f t="shared" si="36"/>
        <v/>
      </c>
      <c r="AC70" s="173" t="str">
        <f t="shared" si="36"/>
        <v/>
      </c>
      <c r="AD70" s="173" t="str">
        <f t="shared" si="36"/>
        <v/>
      </c>
      <c r="AE70" s="173" t="str">
        <f t="shared" si="36"/>
        <v/>
      </c>
      <c r="AF70" s="173" t="str">
        <f t="shared" si="36"/>
        <v/>
      </c>
      <c r="AG70" s="324"/>
      <c r="AH70" s="324">
        <v>2.6</v>
      </c>
      <c r="AI70" s="325">
        <f t="shared" si="16"/>
        <v>2.6</v>
      </c>
    </row>
    <row r="71" spans="1:37" ht="18" x14ac:dyDescent="0.25">
      <c r="A71" s="124" t="s">
        <v>177</v>
      </c>
      <c r="B71" s="148" t="str">
        <f t="shared" ref="B71:X71" si="37">IF(B$9=0,"",+(B35*10)/B$9)</f>
        <v/>
      </c>
      <c r="C71" s="148">
        <f t="shared" si="37"/>
        <v>0</v>
      </c>
      <c r="D71" s="148">
        <f t="shared" si="37"/>
        <v>0.65141123591323202</v>
      </c>
      <c r="E71" s="148">
        <f t="shared" si="37"/>
        <v>0.55215062669096127</v>
      </c>
      <c r="F71" s="148">
        <f t="shared" si="37"/>
        <v>0.46316433876242491</v>
      </c>
      <c r="G71" s="148">
        <f t="shared" si="37"/>
        <v>0.64410041904415494</v>
      </c>
      <c r="H71" s="148" t="str">
        <f t="shared" si="37"/>
        <v/>
      </c>
      <c r="I71" s="148" t="str">
        <f t="shared" si="37"/>
        <v/>
      </c>
      <c r="J71" s="148" t="str">
        <f t="shared" si="37"/>
        <v/>
      </c>
      <c r="K71" s="148">
        <f t="shared" si="37"/>
        <v>0</v>
      </c>
      <c r="L71" s="148">
        <f t="shared" si="37"/>
        <v>0</v>
      </c>
      <c r="M71" s="148">
        <f t="shared" si="37"/>
        <v>1.9126985528228488</v>
      </c>
      <c r="N71" s="148">
        <f t="shared" si="37"/>
        <v>0.48593698369195482</v>
      </c>
      <c r="O71" s="148" t="str">
        <f t="shared" ref="O71:S71" si="38">IF(O$9=0,"",+(O35*10)/O$9)</f>
        <v/>
      </c>
      <c r="P71" s="148" t="str">
        <f t="shared" si="38"/>
        <v/>
      </c>
      <c r="Q71" s="148">
        <f t="shared" si="38"/>
        <v>0.49922619939094404</v>
      </c>
      <c r="R71" s="148">
        <f t="shared" si="38"/>
        <v>0.43617172080648148</v>
      </c>
      <c r="S71" s="148">
        <f t="shared" si="38"/>
        <v>0.4254911287339086</v>
      </c>
      <c r="T71" s="148" t="str">
        <f t="shared" si="37"/>
        <v/>
      </c>
      <c r="U71" s="148">
        <f t="shared" si="37"/>
        <v>0.4383311855105243</v>
      </c>
      <c r="V71" s="148" t="str">
        <f t="shared" si="37"/>
        <v/>
      </c>
      <c r="W71" s="148" t="str">
        <f t="shared" si="37"/>
        <v/>
      </c>
      <c r="X71" s="148">
        <f t="shared" si="37"/>
        <v>0.25217500945656285</v>
      </c>
      <c r="Y71" s="148">
        <f t="shared" ref="Y71:AF71" si="39">IF(Y$9=0,"",+(Y35*10)/Y$9)</f>
        <v>0.59822924144532186</v>
      </c>
      <c r="Z71" s="148">
        <f t="shared" si="39"/>
        <v>0.36182722749886925</v>
      </c>
      <c r="AA71" s="148">
        <f t="shared" si="39"/>
        <v>0.38002295338638453</v>
      </c>
      <c r="AB71" s="148">
        <f t="shared" si="39"/>
        <v>1.3923282712255471</v>
      </c>
      <c r="AC71" s="148" t="str">
        <f t="shared" si="39"/>
        <v/>
      </c>
      <c r="AD71" s="148" t="str">
        <f t="shared" si="39"/>
        <v/>
      </c>
      <c r="AE71" s="148" t="str">
        <f t="shared" si="39"/>
        <v/>
      </c>
      <c r="AF71" s="148">
        <f t="shared" si="39"/>
        <v>19.283746556473826</v>
      </c>
      <c r="AG71" s="314">
        <f>+(AG35*10)/AG$9</f>
        <v>0.62102659804039906</v>
      </c>
      <c r="AH71" s="314">
        <v>0.7</v>
      </c>
      <c r="AI71" s="315">
        <f>AH71-AG71</f>
        <v>7.8973401959600897E-2</v>
      </c>
    </row>
    <row r="72" spans="1:37" ht="18" x14ac:dyDescent="0.25">
      <c r="A72" s="112" t="s">
        <v>131</v>
      </c>
      <c r="B72" s="148" t="str">
        <f t="shared" ref="B72:X72" si="40">IF(B$9=0,"",+(B36*10)/B$9)</f>
        <v/>
      </c>
      <c r="C72" s="148">
        <f t="shared" si="40"/>
        <v>0.41702772488110318</v>
      </c>
      <c r="D72" s="148">
        <f t="shared" si="40"/>
        <v>0</v>
      </c>
      <c r="E72" s="148">
        <f t="shared" si="40"/>
        <v>0</v>
      </c>
      <c r="F72" s="148">
        <f t="shared" si="40"/>
        <v>0.1611006395695391</v>
      </c>
      <c r="G72" s="148">
        <f t="shared" si="40"/>
        <v>0</v>
      </c>
      <c r="H72" s="148" t="str">
        <f t="shared" si="40"/>
        <v/>
      </c>
      <c r="I72" s="148" t="str">
        <f t="shared" si="40"/>
        <v/>
      </c>
      <c r="J72" s="148" t="str">
        <f t="shared" si="40"/>
        <v/>
      </c>
      <c r="K72" s="148">
        <f t="shared" si="40"/>
        <v>0.14350290593384515</v>
      </c>
      <c r="L72" s="148">
        <f t="shared" si="40"/>
        <v>0</v>
      </c>
      <c r="M72" s="148">
        <f t="shared" si="40"/>
        <v>0</v>
      </c>
      <c r="N72" s="148">
        <f t="shared" si="40"/>
        <v>7.289054755379322E-2</v>
      </c>
      <c r="O72" s="148" t="str">
        <f t="shared" ref="O72:S72" si="41">IF(O$9=0,"",+(O36*10)/O$9)</f>
        <v/>
      </c>
      <c r="P72" s="148" t="str">
        <f t="shared" si="41"/>
        <v/>
      </c>
      <c r="Q72" s="148">
        <f t="shared" si="41"/>
        <v>0.94852977884279366</v>
      </c>
      <c r="R72" s="148">
        <f t="shared" si="41"/>
        <v>0.14539057360216048</v>
      </c>
      <c r="S72" s="148">
        <f t="shared" si="41"/>
        <v>0.22394269933363611</v>
      </c>
      <c r="T72" s="148" t="str">
        <f t="shared" si="40"/>
        <v/>
      </c>
      <c r="U72" s="148">
        <f t="shared" si="40"/>
        <v>0.4383311855105243</v>
      </c>
      <c r="V72" s="148" t="str">
        <f t="shared" si="40"/>
        <v/>
      </c>
      <c r="W72" s="148" t="str">
        <f t="shared" si="40"/>
        <v/>
      </c>
      <c r="X72" s="148">
        <f t="shared" si="40"/>
        <v>0.21014584121380236</v>
      </c>
      <c r="Y72" s="148">
        <f t="shared" ref="Y72:AF72" si="42">IF(Y$9=0,"",+(Y36*10)/Y$9)</f>
        <v>0</v>
      </c>
      <c r="Z72" s="148">
        <f t="shared" si="42"/>
        <v>0</v>
      </c>
      <c r="AA72" s="148">
        <f t="shared" si="42"/>
        <v>0</v>
      </c>
      <c r="AB72" s="148">
        <f t="shared" si="42"/>
        <v>0.24863004843313344</v>
      </c>
      <c r="AC72" s="148" t="str">
        <f t="shared" si="42"/>
        <v/>
      </c>
      <c r="AD72" s="148" t="str">
        <f t="shared" si="42"/>
        <v/>
      </c>
      <c r="AE72" s="148" t="str">
        <f t="shared" si="42"/>
        <v/>
      </c>
      <c r="AF72" s="148">
        <f t="shared" si="42"/>
        <v>3.4435261707988976</v>
      </c>
      <c r="AG72" s="314">
        <f>+(AG36*10)/AG$9</f>
        <v>0.18815261287164567</v>
      </c>
      <c r="AH72" s="314">
        <v>0.1</v>
      </c>
      <c r="AI72" s="315">
        <f>AH72-AG72</f>
        <v>-8.8152612871645664E-2</v>
      </c>
    </row>
    <row r="73" spans="1:37" ht="18" x14ac:dyDescent="0.25">
      <c r="A73" s="124" t="s">
        <v>133</v>
      </c>
      <c r="B73" s="148" t="str">
        <f t="shared" ref="B73:X73" si="43">IF(B$9=0,"",+(B37*10)/B$9)</f>
        <v/>
      </c>
      <c r="C73" s="148">
        <f t="shared" si="43"/>
        <v>0.54872069063303053</v>
      </c>
      <c r="D73" s="148">
        <f t="shared" si="43"/>
        <v>0.31019582662534856</v>
      </c>
      <c r="E73" s="148">
        <f t="shared" si="43"/>
        <v>0.40156409213888095</v>
      </c>
      <c r="F73" s="148">
        <f t="shared" si="43"/>
        <v>0.40275159892384771</v>
      </c>
      <c r="G73" s="148">
        <f t="shared" si="43"/>
        <v>0.5683238991566073</v>
      </c>
      <c r="H73" s="148" t="str">
        <f t="shared" si="43"/>
        <v/>
      </c>
      <c r="I73" s="148" t="str">
        <f t="shared" si="43"/>
        <v/>
      </c>
      <c r="J73" s="148" t="str">
        <f t="shared" si="43"/>
        <v/>
      </c>
      <c r="K73" s="148">
        <f t="shared" si="43"/>
        <v>0.40659156681256126</v>
      </c>
      <c r="L73" s="148">
        <f t="shared" si="43"/>
        <v>0.37815761609438814</v>
      </c>
      <c r="M73" s="148">
        <f t="shared" si="43"/>
        <v>0.79450555271102952</v>
      </c>
      <c r="N73" s="148">
        <f t="shared" si="43"/>
        <v>0.65601492798413896</v>
      </c>
      <c r="O73" s="148" t="str">
        <f t="shared" ref="O73:S73" si="44">IF(O$9=0,"",+(O37*10)/O$9)</f>
        <v/>
      </c>
      <c r="P73" s="148" t="str">
        <f t="shared" si="44"/>
        <v/>
      </c>
      <c r="Q73" s="148">
        <f t="shared" si="44"/>
        <v>0.82372322899505768</v>
      </c>
      <c r="R73" s="148">
        <f t="shared" si="44"/>
        <v>0.59973611610891198</v>
      </c>
      <c r="S73" s="148">
        <f t="shared" si="44"/>
        <v>0.4702796686006358</v>
      </c>
      <c r="T73" s="148" t="str">
        <f t="shared" si="43"/>
        <v/>
      </c>
      <c r="U73" s="148">
        <f t="shared" si="43"/>
        <v>2.1094688302693982</v>
      </c>
      <c r="V73" s="148" t="str">
        <f t="shared" si="43"/>
        <v/>
      </c>
      <c r="W73" s="148" t="str">
        <f t="shared" si="43"/>
        <v/>
      </c>
      <c r="X73" s="148">
        <f t="shared" si="43"/>
        <v>0.71449586012692812</v>
      </c>
      <c r="Y73" s="148">
        <f t="shared" ref="Y73:AF73" si="45">IF(Y$9=0,"",+(Y37*10)/Y$9)</f>
        <v>0.62542147969283646</v>
      </c>
      <c r="Z73" s="148">
        <f t="shared" si="45"/>
        <v>0.46736016885270609</v>
      </c>
      <c r="AA73" s="148">
        <f t="shared" si="45"/>
        <v>0.53203213474093836</v>
      </c>
      <c r="AB73" s="148">
        <f t="shared" si="45"/>
        <v>0.72102714045608696</v>
      </c>
      <c r="AC73" s="148" t="str">
        <f t="shared" si="45"/>
        <v/>
      </c>
      <c r="AD73" s="148" t="str">
        <f t="shared" si="45"/>
        <v/>
      </c>
      <c r="AE73" s="148" t="str">
        <f t="shared" si="45"/>
        <v/>
      </c>
      <c r="AF73" s="148">
        <f t="shared" si="45"/>
        <v>9.986225895316803</v>
      </c>
      <c r="AG73" s="314">
        <f>+(AG37*10)/AG$9</f>
        <v>0.82393627858825225</v>
      </c>
      <c r="AH73" s="314">
        <v>0.6</v>
      </c>
      <c r="AI73" s="315">
        <f t="shared" si="16"/>
        <v>-0.22393627858825227</v>
      </c>
    </row>
    <row r="74" spans="1:37" s="94" customFormat="1" ht="18" x14ac:dyDescent="0.25">
      <c r="A74" s="152" t="s">
        <v>174</v>
      </c>
      <c r="B74" s="153" t="str">
        <f t="shared" ref="B74:X74" si="46">IF(B$9=0,"",+(B38*10)/B$9)</f>
        <v/>
      </c>
      <c r="C74" s="153">
        <f t="shared" si="46"/>
        <v>0</v>
      </c>
      <c r="D74" s="153">
        <f t="shared" si="46"/>
        <v>0</v>
      </c>
      <c r="E74" s="153">
        <f t="shared" si="46"/>
        <v>0</v>
      </c>
      <c r="F74" s="153">
        <f t="shared" si="46"/>
        <v>0</v>
      </c>
      <c r="G74" s="153">
        <f t="shared" si="46"/>
        <v>0</v>
      </c>
      <c r="H74" s="153" t="str">
        <f t="shared" si="46"/>
        <v/>
      </c>
      <c r="I74" s="153" t="str">
        <f t="shared" si="46"/>
        <v/>
      </c>
      <c r="J74" s="153" t="str">
        <f t="shared" si="46"/>
        <v/>
      </c>
      <c r="K74" s="153">
        <f t="shared" si="46"/>
        <v>0</v>
      </c>
      <c r="L74" s="153">
        <f t="shared" si="46"/>
        <v>0</v>
      </c>
      <c r="M74" s="153">
        <f t="shared" si="46"/>
        <v>0</v>
      </c>
      <c r="N74" s="153">
        <f t="shared" si="46"/>
        <v>0</v>
      </c>
      <c r="O74" s="153" t="str">
        <f t="shared" ref="O74:S74" si="47">IF(O$9=0,"",+(O38*10)/O$9)</f>
        <v/>
      </c>
      <c r="P74" s="153" t="str">
        <f t="shared" si="47"/>
        <v/>
      </c>
      <c r="Q74" s="153">
        <f t="shared" si="47"/>
        <v>0</v>
      </c>
      <c r="R74" s="153">
        <f t="shared" si="47"/>
        <v>0</v>
      </c>
      <c r="S74" s="153">
        <f t="shared" si="47"/>
        <v>0</v>
      </c>
      <c r="T74" s="153" t="str">
        <f t="shared" si="46"/>
        <v/>
      </c>
      <c r="U74" s="153">
        <f t="shared" si="46"/>
        <v>0</v>
      </c>
      <c r="V74" s="153" t="str">
        <f t="shared" si="46"/>
        <v/>
      </c>
      <c r="W74" s="153" t="str">
        <f t="shared" si="46"/>
        <v/>
      </c>
      <c r="X74" s="153">
        <f t="shared" si="46"/>
        <v>0</v>
      </c>
      <c r="Y74" s="153">
        <f t="shared" ref="Y74:AF74" si="48">IF(Y$9=0,"",+(Y38*10)/Y$9)</f>
        <v>0</v>
      </c>
      <c r="Z74" s="153">
        <f t="shared" si="48"/>
        <v>0</v>
      </c>
      <c r="AA74" s="153">
        <f t="shared" si="48"/>
        <v>0</v>
      </c>
      <c r="AB74" s="153">
        <f t="shared" si="48"/>
        <v>0</v>
      </c>
      <c r="AC74" s="153" t="str">
        <f t="shared" si="48"/>
        <v/>
      </c>
      <c r="AD74" s="153" t="str">
        <f t="shared" si="48"/>
        <v/>
      </c>
      <c r="AE74" s="153" t="str">
        <f t="shared" si="48"/>
        <v/>
      </c>
      <c r="AF74" s="153">
        <f t="shared" si="48"/>
        <v>0</v>
      </c>
      <c r="AG74" s="322">
        <f>+(AG38*10)/AG$9</f>
        <v>0</v>
      </c>
      <c r="AH74" s="322">
        <v>0.5</v>
      </c>
      <c r="AI74" s="323">
        <f t="shared" si="16"/>
        <v>0.5</v>
      </c>
      <c r="AJ74" s="357"/>
      <c r="AK74" s="357"/>
    </row>
    <row r="75" spans="1:37" ht="18" x14ac:dyDescent="0.25">
      <c r="A75" s="124" t="s">
        <v>214</v>
      </c>
      <c r="B75" s="148" t="str">
        <f t="shared" ref="B75:X75" si="49">IF(B$9=0,"",+(B39*10)/B$9)</f>
        <v/>
      </c>
      <c r="C75" s="148">
        <f t="shared" si="49"/>
        <v>0</v>
      </c>
      <c r="D75" s="148">
        <f t="shared" si="49"/>
        <v>0</v>
      </c>
      <c r="E75" s="148">
        <f t="shared" si="49"/>
        <v>0</v>
      </c>
      <c r="F75" s="148">
        <f t="shared" si="49"/>
        <v>0</v>
      </c>
      <c r="G75" s="148">
        <f t="shared" si="49"/>
        <v>0</v>
      </c>
      <c r="H75" s="148" t="str">
        <f t="shared" si="49"/>
        <v/>
      </c>
      <c r="I75" s="148" t="str">
        <f t="shared" si="49"/>
        <v/>
      </c>
      <c r="J75" s="148" t="str">
        <f t="shared" si="49"/>
        <v/>
      </c>
      <c r="K75" s="148">
        <f t="shared" si="49"/>
        <v>0</v>
      </c>
      <c r="L75" s="148">
        <f t="shared" si="49"/>
        <v>0</v>
      </c>
      <c r="M75" s="148">
        <f t="shared" si="49"/>
        <v>0</v>
      </c>
      <c r="N75" s="148">
        <f t="shared" si="49"/>
        <v>0</v>
      </c>
      <c r="O75" s="148" t="str">
        <f t="shared" ref="O75:S75" si="50">IF(O$9=0,"",+(O39*10)/O$9)</f>
        <v/>
      </c>
      <c r="P75" s="148" t="str">
        <f t="shared" si="50"/>
        <v/>
      </c>
      <c r="Q75" s="148">
        <f t="shared" si="50"/>
        <v>0</v>
      </c>
      <c r="R75" s="148">
        <f t="shared" si="50"/>
        <v>0</v>
      </c>
      <c r="S75" s="148">
        <f t="shared" si="50"/>
        <v>0</v>
      </c>
      <c r="T75" s="148" t="str">
        <f t="shared" si="49"/>
        <v/>
      </c>
      <c r="U75" s="148">
        <f t="shared" si="49"/>
        <v>0</v>
      </c>
      <c r="V75" s="148" t="str">
        <f t="shared" si="49"/>
        <v/>
      </c>
      <c r="W75" s="148" t="str">
        <f t="shared" si="49"/>
        <v/>
      </c>
      <c r="X75" s="148">
        <f t="shared" si="49"/>
        <v>0</v>
      </c>
      <c r="Y75" s="148">
        <f t="shared" ref="Y75:AF75" si="51">IF(Y$9=0,"",+(Y39*10)/Y$9)</f>
        <v>0</v>
      </c>
      <c r="Z75" s="148">
        <f t="shared" si="51"/>
        <v>0</v>
      </c>
      <c r="AA75" s="148">
        <f t="shared" si="51"/>
        <v>0</v>
      </c>
      <c r="AB75" s="148">
        <f t="shared" si="51"/>
        <v>0</v>
      </c>
      <c r="AC75" s="148" t="str">
        <f t="shared" si="51"/>
        <v/>
      </c>
      <c r="AD75" s="148" t="str">
        <f t="shared" si="51"/>
        <v/>
      </c>
      <c r="AE75" s="148" t="str">
        <f t="shared" si="51"/>
        <v/>
      </c>
      <c r="AF75" s="148">
        <f t="shared" si="51"/>
        <v>0</v>
      </c>
      <c r="AG75" s="314">
        <f>+(AG39*10)/AG$9</f>
        <v>0</v>
      </c>
      <c r="AH75" s="314">
        <v>0.3</v>
      </c>
      <c r="AI75" s="315">
        <f t="shared" si="16"/>
        <v>0.3</v>
      </c>
    </row>
    <row r="76" spans="1:37" s="94" customFormat="1" ht="18" x14ac:dyDescent="0.25">
      <c r="A76" s="152" t="s">
        <v>200</v>
      </c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322"/>
      <c r="AH76" s="322">
        <v>0.4</v>
      </c>
      <c r="AI76" s="323">
        <f t="shared" si="16"/>
        <v>0.4</v>
      </c>
      <c r="AJ76" s="357"/>
      <c r="AK76" s="357"/>
    </row>
    <row r="77" spans="1:37" s="94" customFormat="1" ht="18" x14ac:dyDescent="0.25">
      <c r="A77" s="152" t="s">
        <v>213</v>
      </c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153"/>
      <c r="AF77" s="153"/>
      <c r="AG77" s="322"/>
      <c r="AH77" s="322">
        <v>0.2</v>
      </c>
      <c r="AI77" s="323">
        <f t="shared" si="16"/>
        <v>0.2</v>
      </c>
      <c r="AJ77" s="357"/>
      <c r="AK77" s="357"/>
    </row>
    <row r="78" spans="1:37" s="1" customFormat="1" ht="18" x14ac:dyDescent="0.25">
      <c r="A78" s="154" t="s">
        <v>209</v>
      </c>
      <c r="B78" s="155">
        <f t="shared" ref="B78:AH78" si="52">SUM(B62:B77)</f>
        <v>0</v>
      </c>
      <c r="C78" s="155">
        <f t="shared" si="52"/>
        <v>13.309411931989032</v>
      </c>
      <c r="D78" s="155">
        <f t="shared" si="52"/>
        <v>9.8046441947703933</v>
      </c>
      <c r="E78" s="155">
        <f t="shared" si="52"/>
        <v>12.369703294331421</v>
      </c>
      <c r="F78" s="155">
        <f t="shared" si="52"/>
        <v>14.556318843330333</v>
      </c>
      <c r="G78" s="155">
        <f t="shared" si="52"/>
        <v>17.591914159769715</v>
      </c>
      <c r="H78" s="155">
        <f t="shared" si="52"/>
        <v>0</v>
      </c>
      <c r="I78" s="155">
        <f t="shared" si="52"/>
        <v>0</v>
      </c>
      <c r="J78" s="155">
        <f t="shared" si="52"/>
        <v>0</v>
      </c>
      <c r="K78" s="155">
        <f t="shared" si="52"/>
        <v>10.232806096322699</v>
      </c>
      <c r="L78" s="155">
        <f t="shared" si="52"/>
        <v>12.306627243961902</v>
      </c>
      <c r="M78" s="155">
        <f t="shared" si="52"/>
        <v>15.276677964651132</v>
      </c>
      <c r="N78" s="155">
        <f>SUM(N62:N77)</f>
        <v>13.593279759684284</v>
      </c>
      <c r="O78" s="155">
        <f t="shared" si="52"/>
        <v>3.4117104656523742</v>
      </c>
      <c r="P78" s="155">
        <f t="shared" si="52"/>
        <v>0</v>
      </c>
      <c r="Q78" s="155">
        <f t="shared" si="52"/>
        <v>12.198592182117718</v>
      </c>
      <c r="R78" s="155">
        <f t="shared" si="52"/>
        <v>13.285553105757593</v>
      </c>
      <c r="S78" s="155">
        <f t="shared" si="52"/>
        <v>13.3506814136906</v>
      </c>
      <c r="T78" s="155">
        <f t="shared" si="52"/>
        <v>0</v>
      </c>
      <c r="U78" s="155">
        <f t="shared" si="52"/>
        <v>7.0406946672627964</v>
      </c>
      <c r="V78" s="155">
        <f t="shared" si="52"/>
        <v>0</v>
      </c>
      <c r="W78" s="155">
        <f>SUM(W62:W77)</f>
        <v>0</v>
      </c>
      <c r="X78" s="155">
        <f>SUM(X62:X77)</f>
        <v>10.350457235448287</v>
      </c>
      <c r="Y78" s="155">
        <f t="shared" si="52"/>
        <v>16.93055895375576</v>
      </c>
      <c r="Z78" s="155">
        <f t="shared" si="52"/>
        <v>9.7259008050153462</v>
      </c>
      <c r="AA78" s="155">
        <f t="shared" si="52"/>
        <v>11.612503153668859</v>
      </c>
      <c r="AB78" s="155">
        <f t="shared" si="52"/>
        <v>14.587787814921693</v>
      </c>
      <c r="AC78" s="155">
        <f t="shared" si="52"/>
        <v>4.5723036534675128</v>
      </c>
      <c r="AD78" s="155">
        <f t="shared" ref="AD78:AF78" si="53">SUM(AD62:AD77)</f>
        <v>7.8564500484966056</v>
      </c>
      <c r="AE78" s="155">
        <f t="shared" si="53"/>
        <v>3.8056206088992974</v>
      </c>
      <c r="AF78" s="155">
        <f t="shared" si="53"/>
        <v>174.00697582768433</v>
      </c>
      <c r="AG78" s="326">
        <f>SUM(AG62:AG77)</f>
        <v>15.490022621263433</v>
      </c>
      <c r="AH78" s="326">
        <f t="shared" si="52"/>
        <v>15.599999999999998</v>
      </c>
      <c r="AI78" s="326">
        <f t="shared" si="16"/>
        <v>0.10997737873656455</v>
      </c>
      <c r="AJ78" s="283"/>
      <c r="AK78" s="283"/>
    </row>
    <row r="79" spans="1:37" s="92" customFormat="1" ht="19.5" thickBot="1" x14ac:dyDescent="0.35">
      <c r="A79" s="156" t="s">
        <v>216</v>
      </c>
      <c r="B79" s="157">
        <f>SUM(B69:B72)</f>
        <v>0</v>
      </c>
      <c r="C79" s="157">
        <f t="shared" ref="C79:AI79" si="54">SUM(C69:C72)</f>
        <v>2.897245246542401</v>
      </c>
      <c r="D79" s="157">
        <f>SUM(D69:D72)</f>
        <v>3.1019582662534857</v>
      </c>
      <c r="E79" s="157">
        <f t="shared" si="54"/>
        <v>3.3881970274218078</v>
      </c>
      <c r="F79" s="157">
        <f t="shared" si="54"/>
        <v>3.6449019702608219</v>
      </c>
      <c r="G79" s="157">
        <f t="shared" si="54"/>
        <v>4.2055968537588937</v>
      </c>
      <c r="H79" s="157">
        <f t="shared" si="54"/>
        <v>0</v>
      </c>
      <c r="I79" s="157">
        <f t="shared" si="54"/>
        <v>0</v>
      </c>
      <c r="J79" s="157">
        <f t="shared" si="54"/>
        <v>0</v>
      </c>
      <c r="K79" s="157">
        <f t="shared" si="54"/>
        <v>3.4919040443902318</v>
      </c>
      <c r="L79" s="157">
        <f t="shared" si="54"/>
        <v>3.3193835190507404</v>
      </c>
      <c r="M79" s="157">
        <f>SUM(M69:M72)</f>
        <v>5.1495730268307467</v>
      </c>
      <c r="N79" s="157">
        <f t="shared" si="54"/>
        <v>3.6202305285050631</v>
      </c>
      <c r="O79" s="157">
        <f t="shared" si="54"/>
        <v>0</v>
      </c>
      <c r="P79" s="157">
        <f t="shared" si="54"/>
        <v>0</v>
      </c>
      <c r="Q79" s="157">
        <f t="shared" si="54"/>
        <v>4.5928810343966848</v>
      </c>
      <c r="R79" s="157">
        <f t="shared" si="54"/>
        <v>2.8714638286426695</v>
      </c>
      <c r="S79" s="157">
        <f t="shared" si="54"/>
        <v>3.4711118396713592</v>
      </c>
      <c r="T79" s="157">
        <f t="shared" si="54"/>
        <v>0</v>
      </c>
      <c r="U79" s="157">
        <f t="shared" si="54"/>
        <v>4.027167766877942</v>
      </c>
      <c r="V79" s="157">
        <f t="shared" si="54"/>
        <v>0</v>
      </c>
      <c r="W79" s="157">
        <f t="shared" si="54"/>
        <v>0</v>
      </c>
      <c r="X79" s="157">
        <f t="shared" si="54"/>
        <v>3.5094355482704995</v>
      </c>
      <c r="Y79" s="157">
        <f t="shared" si="54"/>
        <v>3.3990297809393288</v>
      </c>
      <c r="Z79" s="157">
        <f t="shared" si="54"/>
        <v>3.0303030303030303</v>
      </c>
      <c r="AA79" s="157">
        <f t="shared" si="54"/>
        <v>3.0591847747603955</v>
      </c>
      <c r="AB79" s="157">
        <f t="shared" si="54"/>
        <v>4.4256148621097751</v>
      </c>
      <c r="AC79" s="157">
        <f t="shared" si="54"/>
        <v>0</v>
      </c>
      <c r="AD79" s="157">
        <f t="shared" ref="AD79:AF79" si="55">SUM(AD69:AD72)</f>
        <v>0</v>
      </c>
      <c r="AE79" s="157">
        <f t="shared" si="55"/>
        <v>0</v>
      </c>
      <c r="AF79" s="157">
        <f t="shared" si="55"/>
        <v>61.294765840220371</v>
      </c>
      <c r="AG79" s="327">
        <f t="shared" si="54"/>
        <v>4.6755309420784101</v>
      </c>
      <c r="AH79" s="327">
        <f t="shared" si="54"/>
        <v>6</v>
      </c>
      <c r="AI79" s="327">
        <f t="shared" si="54"/>
        <v>1.3244690579215894</v>
      </c>
      <c r="AJ79" s="358"/>
      <c r="AK79" s="358"/>
    </row>
    <row r="80" spans="1:37" s="79" customFormat="1" ht="20.25" x14ac:dyDescent="0.3">
      <c r="A80" s="140" t="s">
        <v>210</v>
      </c>
      <c r="B80" s="158" t="str">
        <f t="shared" ref="B80:W80" si="56">IF(B$9=0,"",+B47/B$9)</f>
        <v/>
      </c>
      <c r="C80" s="158">
        <f>IF(C$9=0,"",+C47/C$9)</f>
        <v>0</v>
      </c>
      <c r="D80" s="158">
        <f t="shared" si="56"/>
        <v>0</v>
      </c>
      <c r="E80" s="158">
        <f t="shared" si="56"/>
        <v>0</v>
      </c>
      <c r="F80" s="158">
        <f t="shared" si="56"/>
        <v>0</v>
      </c>
      <c r="G80" s="158">
        <f t="shared" si="56"/>
        <v>0</v>
      </c>
      <c r="H80" s="158" t="str">
        <f t="shared" si="56"/>
        <v/>
      </c>
      <c r="I80" s="158" t="str">
        <f t="shared" si="56"/>
        <v/>
      </c>
      <c r="J80" s="158" t="str">
        <f t="shared" si="56"/>
        <v/>
      </c>
      <c r="K80" s="158">
        <f t="shared" si="56"/>
        <v>0</v>
      </c>
      <c r="L80" s="158">
        <f t="shared" si="56"/>
        <v>0</v>
      </c>
      <c r="M80" s="158">
        <f t="shared" si="56"/>
        <v>0</v>
      </c>
      <c r="N80" s="158">
        <f t="shared" si="56"/>
        <v>0</v>
      </c>
      <c r="O80" s="158" t="str">
        <f t="shared" si="56"/>
        <v/>
      </c>
      <c r="P80" s="158" t="str">
        <f t="shared" si="56"/>
        <v/>
      </c>
      <c r="Q80" s="158">
        <f t="shared" si="56"/>
        <v>0</v>
      </c>
      <c r="R80" s="158">
        <f t="shared" si="56"/>
        <v>0</v>
      </c>
      <c r="S80" s="158">
        <f t="shared" si="56"/>
        <v>0.163814084562555</v>
      </c>
      <c r="T80" s="158" t="str">
        <f t="shared" si="56"/>
        <v/>
      </c>
      <c r="U80" s="158">
        <f t="shared" si="56"/>
        <v>0.39997720677835347</v>
      </c>
      <c r="V80" s="158" t="str">
        <f t="shared" si="56"/>
        <v/>
      </c>
      <c r="W80" s="158" t="str">
        <f t="shared" si="56"/>
        <v/>
      </c>
      <c r="X80" s="158">
        <f>IF(X$9=0,"",+X47/X$9)</f>
        <v>0.56108939604085228</v>
      </c>
      <c r="Y80" s="158">
        <f>IF(Y$9=0,"",+Y47/Y$9)</f>
        <v>0</v>
      </c>
      <c r="Z80" s="158">
        <f>IF(Z$9=0,"",+Z47/Z$9)</f>
        <v>0.15829941203075529</v>
      </c>
      <c r="AA80" s="158">
        <f t="shared" ref="AA80:AF80" si="57">IF(AA$9=0,"",+AA47/AA$9)</f>
        <v>0</v>
      </c>
      <c r="AB80" s="158">
        <f t="shared" si="57"/>
        <v>2.4863004843313344E-2</v>
      </c>
      <c r="AC80" s="158" t="str">
        <f t="shared" si="57"/>
        <v/>
      </c>
      <c r="AD80" s="158" t="str">
        <f t="shared" si="57"/>
        <v/>
      </c>
      <c r="AE80" s="158" t="str">
        <f t="shared" si="57"/>
        <v/>
      </c>
      <c r="AF80" s="158">
        <f t="shared" si="57"/>
        <v>4.4077134986225888</v>
      </c>
      <c r="AG80" s="328">
        <f>+(AG47)/AG$9</f>
        <v>0.20182134680673289</v>
      </c>
      <c r="AH80" s="329">
        <f>'Daily KPIs'!AH90</f>
        <v>5</v>
      </c>
      <c r="AI80" s="359">
        <f>AH80-AG80</f>
        <v>4.7981786531932675</v>
      </c>
      <c r="AJ80" s="343"/>
      <c r="AK80" s="343"/>
    </row>
    <row r="81" spans="1:37" s="1" customFormat="1" ht="20.25" x14ac:dyDescent="0.3">
      <c r="A81" s="159" t="s">
        <v>211</v>
      </c>
      <c r="B81" s="160" t="str">
        <f t="shared" ref="B81:Z81" si="58">IF(B$9=0,"",+B49/B$9)</f>
        <v/>
      </c>
      <c r="C81" s="160">
        <f>IF(C$9=0,"",+C49/C$9)</f>
        <v>0.13298794658182159</v>
      </c>
      <c r="D81" s="160">
        <f>IF(D$9=0,"",+D49/D$9)</f>
        <v>8.1891698229091606E-2</v>
      </c>
      <c r="E81" s="160">
        <f t="shared" si="58"/>
        <v>0.12473584612064058</v>
      </c>
      <c r="F81" s="160">
        <f t="shared" si="58"/>
        <v>0.12312116379101999</v>
      </c>
      <c r="G81" s="160">
        <f t="shared" si="58"/>
        <v>0.18269718944887658</v>
      </c>
      <c r="H81" s="160" t="str">
        <f t="shared" si="58"/>
        <v/>
      </c>
      <c r="I81" s="160" t="str">
        <f t="shared" si="58"/>
        <v/>
      </c>
      <c r="J81" s="160" t="str">
        <f t="shared" si="58"/>
        <v/>
      </c>
      <c r="K81" s="160">
        <f t="shared" si="58"/>
        <v>0.14161345100571629</v>
      </c>
      <c r="L81" s="160">
        <f t="shared" si="58"/>
        <v>0.15712448948721819</v>
      </c>
      <c r="M81" s="160">
        <f t="shared" si="58"/>
        <v>0.14407034022493345</v>
      </c>
      <c r="N81" s="160">
        <f t="shared" si="58"/>
        <v>0.15173382315781356</v>
      </c>
      <c r="O81" s="160" t="str">
        <f t="shared" ref="O81:S81" si="59">IF(O$9=0,"",+O49/O$9)</f>
        <v/>
      </c>
      <c r="P81" s="160" t="str">
        <f t="shared" si="59"/>
        <v/>
      </c>
      <c r="Q81" s="160">
        <f t="shared" si="59"/>
        <v>0.16359642554041226</v>
      </c>
      <c r="R81" s="160">
        <f t="shared" si="59"/>
        <v>0.13294150573747565</v>
      </c>
      <c r="S81" s="160">
        <f t="shared" si="59"/>
        <v>0.21735878397322708</v>
      </c>
      <c r="T81" s="160" t="str">
        <f t="shared" si="58"/>
        <v/>
      </c>
      <c r="U81" s="160">
        <f t="shared" si="58"/>
        <v>0.12089722010362179</v>
      </c>
      <c r="V81" s="160" t="str">
        <f>IF(V$9=0,"",+V49/V$9)</f>
        <v/>
      </c>
      <c r="W81" s="160" t="str">
        <f t="shared" si="58"/>
        <v/>
      </c>
      <c r="X81" s="160">
        <f t="shared" si="58"/>
        <v>0.12478460051275513</v>
      </c>
      <c r="Y81" s="160">
        <f t="shared" si="58"/>
        <v>0.12402379864691457</v>
      </c>
      <c r="Z81" s="160">
        <f t="shared" si="58"/>
        <v>0.10777928539122535</v>
      </c>
      <c r="AA81" s="160">
        <f t="shared" ref="AA81:AF81" si="60">IF(AA$9=0,"",+AA49/AA$9)</f>
        <v>0.12877077775497722</v>
      </c>
      <c r="AB81" s="160">
        <f t="shared" si="60"/>
        <v>0.12866605006414655</v>
      </c>
      <c r="AC81" s="160" t="str">
        <f t="shared" si="60"/>
        <v/>
      </c>
      <c r="AD81" s="160" t="str">
        <f t="shared" si="60"/>
        <v/>
      </c>
      <c r="AE81" s="160" t="str">
        <f t="shared" si="60"/>
        <v/>
      </c>
      <c r="AF81" s="160">
        <f t="shared" si="60"/>
        <v>0</v>
      </c>
      <c r="AG81" s="360">
        <f>IF(AG$9=0,"",+AG49/AG$9)</f>
        <v>0.13938911249125763</v>
      </c>
      <c r="AH81" s="360">
        <f>'Daily KPIs'!AH91</f>
        <v>1.7</v>
      </c>
      <c r="AI81" s="359">
        <f>AH81-AG81</f>
        <v>1.5606108875087423</v>
      </c>
      <c r="AJ81" s="283"/>
      <c r="AK81" s="283"/>
    </row>
    <row r="82" spans="1:37" s="79" customFormat="1" ht="20.25" x14ac:dyDescent="0.3">
      <c r="A82" s="140" t="s">
        <v>202</v>
      </c>
      <c r="B82" s="147" t="str">
        <f>IF(B$9=0,"",B52/B$9)</f>
        <v/>
      </c>
      <c r="C82" s="147">
        <f t="shared" ref="C82:Y82" si="61">IF(C$9=0,"",C52/C$9)</f>
        <v>19.762724393839225</v>
      </c>
      <c r="D82" s="147">
        <f t="shared" si="61"/>
        <v>13.938649469410038</v>
      </c>
      <c r="E82" s="147">
        <f t="shared" si="61"/>
        <v>22.620607265298336</v>
      </c>
      <c r="F82" s="147">
        <f t="shared" si="61"/>
        <v>19.350200570296263</v>
      </c>
      <c r="G82" s="147">
        <f t="shared" si="61"/>
        <v>34.425272984912894</v>
      </c>
      <c r="H82" s="147" t="str">
        <f t="shared" si="61"/>
        <v/>
      </c>
      <c r="I82" s="147" t="str">
        <f t="shared" si="61"/>
        <v/>
      </c>
      <c r="J82" s="147" t="str">
        <f t="shared" si="61"/>
        <v/>
      </c>
      <c r="K82" s="147">
        <f t="shared" si="61"/>
        <v>19.583363229772068</v>
      </c>
      <c r="L82" s="147">
        <f t="shared" si="61"/>
        <v>18.468797794920921</v>
      </c>
      <c r="M82" s="147">
        <f t="shared" si="61"/>
        <v>24.903335157753492</v>
      </c>
      <c r="N82" s="147">
        <f>IF(N$9=0,"",N52/N$9)</f>
        <v>20.42393142457286</v>
      </c>
      <c r="O82" s="147" t="str">
        <f t="shared" ref="O82:S82" si="62">IF(O$9=0,"",O52/O$9)</f>
        <v/>
      </c>
      <c r="P82" s="147" t="str">
        <f t="shared" si="62"/>
        <v/>
      </c>
      <c r="Q82" s="147">
        <f t="shared" si="62"/>
        <v>20.787778942638909</v>
      </c>
      <c r="R82" s="147">
        <f t="shared" si="62"/>
        <v>16.799880779729644</v>
      </c>
      <c r="S82" s="147">
        <f t="shared" si="62"/>
        <v>18.434963009144923</v>
      </c>
      <c r="T82" s="147" t="str">
        <f t="shared" si="61"/>
        <v/>
      </c>
      <c r="U82" s="147">
        <f t="shared" si="61"/>
        <v>22.552139494516478</v>
      </c>
      <c r="V82" s="147" t="str">
        <f t="shared" si="61"/>
        <v/>
      </c>
      <c r="W82" s="147" t="str">
        <f t="shared" si="61"/>
        <v/>
      </c>
      <c r="X82" s="147">
        <f t="shared" si="61"/>
        <v>17.299205648720211</v>
      </c>
      <c r="Y82" s="147">
        <f t="shared" si="61"/>
        <v>22.384650525354044</v>
      </c>
      <c r="Z82" s="147">
        <f>IF(Z$9=0,"",Z52/Z$9)</f>
        <v>12.410673903211215</v>
      </c>
      <c r="AA82" s="147">
        <f t="shared" ref="AA82:AF82" si="63">IF(AA$9=0,"",AA52/AA$9)</f>
        <v>15.641744761383588</v>
      </c>
      <c r="AB82" s="147">
        <f t="shared" si="63"/>
        <v>20.467225587015545</v>
      </c>
      <c r="AC82" s="147" t="str">
        <f t="shared" si="63"/>
        <v/>
      </c>
      <c r="AD82" s="147" t="str">
        <f t="shared" si="63"/>
        <v/>
      </c>
      <c r="AE82" s="147" t="str">
        <f t="shared" si="63"/>
        <v/>
      </c>
      <c r="AF82" s="147">
        <f t="shared" si="63"/>
        <v>283.47107438016525</v>
      </c>
      <c r="AG82" s="311">
        <f>+(AG52)/AG$9</f>
        <v>26.853927952650668</v>
      </c>
      <c r="AH82" s="312">
        <f>'Daily KPIs'!AH92</f>
        <v>22</v>
      </c>
      <c r="AI82" s="359">
        <f>AH82-AG82</f>
        <v>-4.8539279526506682</v>
      </c>
      <c r="AJ82" s="343"/>
      <c r="AK82" s="343"/>
    </row>
    <row r="83" spans="1:37" s="1" customFormat="1" ht="20.25" x14ac:dyDescent="0.3">
      <c r="A83" s="108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330"/>
      <c r="AH83" s="330">
        <f>SUM(AH62:AH78)</f>
        <v>31.199999999999996</v>
      </c>
      <c r="AI83" s="359">
        <f>AH83-AG83</f>
        <v>31.199999999999996</v>
      </c>
      <c r="AJ83" s="283"/>
      <c r="AK83" s="283"/>
    </row>
    <row r="84" spans="1:37" s="79" customFormat="1" ht="20.25" x14ac:dyDescent="0.3">
      <c r="A84" s="140" t="s">
        <v>203</v>
      </c>
      <c r="B84" s="147" t="str">
        <f>IF(B$9=0,"",B54/B$9)</f>
        <v/>
      </c>
      <c r="C84" s="147">
        <f t="shared" ref="C84:Z84" si="64">IF(C$9=0,"",C54/C$9)</f>
        <v>7.1992154611053598</v>
      </c>
      <c r="D84" s="147">
        <f t="shared" si="64"/>
        <v>5.242309469968391</v>
      </c>
      <c r="E84" s="147">
        <f t="shared" si="64"/>
        <v>7.8555975524668584</v>
      </c>
      <c r="F84" s="147">
        <f t="shared" si="64"/>
        <v>7.0682905611135274</v>
      </c>
      <c r="G84" s="147">
        <f>IF(G$9=0,"",G54/G$9)</f>
        <v>10.078277145043836</v>
      </c>
      <c r="H84" s="147" t="str">
        <f t="shared" si="64"/>
        <v/>
      </c>
      <c r="I84" s="147" t="str">
        <f t="shared" si="64"/>
        <v/>
      </c>
      <c r="J84" s="147" t="str">
        <f t="shared" si="64"/>
        <v/>
      </c>
      <c r="K84" s="147">
        <f t="shared" si="64"/>
        <v>6.9359737868025162</v>
      </c>
      <c r="L84" s="147">
        <f t="shared" si="64"/>
        <v>7.1429771928939978</v>
      </c>
      <c r="M84" s="147">
        <f t="shared" si="64"/>
        <v>8.651282685075655</v>
      </c>
      <c r="N84" s="147">
        <f>IF(N$9=0,"",N54/N$9)</f>
        <v>7.3376484537485176</v>
      </c>
      <c r="O84" s="147" t="str">
        <f t="shared" ref="O84:S84" si="65">IF(O$9=0,"",O54/O$9)</f>
        <v/>
      </c>
      <c r="P84" s="147" t="str">
        <f t="shared" si="65"/>
        <v/>
      </c>
      <c r="Q84" s="147">
        <f t="shared" si="65"/>
        <v>9.1857620687933697</v>
      </c>
      <c r="R84" s="147">
        <f t="shared" si="65"/>
        <v>6.5789234554977618</v>
      </c>
      <c r="S84" s="147">
        <f t="shared" si="65"/>
        <v>6.8302523296759015</v>
      </c>
      <c r="T84" s="147" t="str">
        <f t="shared" si="64"/>
        <v/>
      </c>
      <c r="U84" s="147">
        <f t="shared" si="64"/>
        <v>8.3556882237943704</v>
      </c>
      <c r="V84" s="147" t="str">
        <f t="shared" si="64"/>
        <v/>
      </c>
      <c r="W84" s="147" t="str">
        <f t="shared" si="64"/>
        <v/>
      </c>
      <c r="X84" s="147">
        <f t="shared" si="64"/>
        <v>6.4094481570209725</v>
      </c>
      <c r="Y84" s="147">
        <f t="shared" si="64"/>
        <v>8.2936326654919625</v>
      </c>
      <c r="Z84" s="147">
        <f t="shared" si="64"/>
        <v>4.5982210161314638</v>
      </c>
      <c r="AA84" s="147">
        <f t="shared" ref="AA84:AF84" si="66">IF(AA$9=0,"",AA54/AA$9)</f>
        <v>5.795350039142364</v>
      </c>
      <c r="AB84" s="147">
        <f t="shared" si="66"/>
        <v>7.5832164772105699</v>
      </c>
      <c r="AC84" s="147" t="str">
        <f t="shared" si="66"/>
        <v/>
      </c>
      <c r="AD84" s="147" t="str">
        <f t="shared" si="66"/>
        <v/>
      </c>
      <c r="AE84" s="147" t="str">
        <f t="shared" si="66"/>
        <v/>
      </c>
      <c r="AF84" s="147">
        <f t="shared" si="66"/>
        <v>105.02754820936639</v>
      </c>
      <c r="AG84" s="328">
        <f>+(AG54)/AG$9</f>
        <v>10.058171376975098</v>
      </c>
      <c r="AH84" s="329">
        <f>'Daily KPIs'!AH94</f>
        <v>7.2</v>
      </c>
      <c r="AI84" s="359">
        <f>AH84-AG84</f>
        <v>-2.8581713769750978</v>
      </c>
      <c r="AJ84" s="343"/>
      <c r="AK84" s="343"/>
    </row>
    <row r="85" spans="1:37" s="1" customFormat="1" ht="18" x14ac:dyDescent="0.25">
      <c r="A85" s="10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283"/>
      <c r="AH85" s="283"/>
      <c r="AI85" s="283"/>
      <c r="AJ85" s="283"/>
      <c r="AK85" s="283"/>
    </row>
    <row r="86" spans="1:37" ht="18.75" x14ac:dyDescent="0.3">
      <c r="A86" s="174" t="s">
        <v>230</v>
      </c>
      <c r="B86" s="175">
        <f>'Daily KPIs'!B97</f>
        <v>0</v>
      </c>
      <c r="C86" s="175">
        <f>'Daily KPIs'!C97</f>
        <v>0</v>
      </c>
      <c r="D86" s="175">
        <f>'Daily KPIs'!D97</f>
        <v>0</v>
      </c>
      <c r="E86" s="175">
        <f>'Daily KPIs'!E97</f>
        <v>0</v>
      </c>
      <c r="F86" s="175">
        <f>'Daily KPIs'!F97</f>
        <v>0</v>
      </c>
      <c r="G86" s="175">
        <f>'Daily KPIs'!G97</f>
        <v>0</v>
      </c>
      <c r="H86" s="175">
        <f>'Daily KPIs'!H97</f>
        <v>0</v>
      </c>
      <c r="I86" s="175">
        <f>'Daily KPIs'!I97</f>
        <v>0</v>
      </c>
      <c r="J86" s="175">
        <f>'Daily KPIs'!J97</f>
        <v>0</v>
      </c>
      <c r="K86" s="175">
        <f>'Daily KPIs'!K97</f>
        <v>0</v>
      </c>
      <c r="L86" s="175">
        <f>'Daily KPIs'!L97</f>
        <v>0</v>
      </c>
      <c r="M86" s="175">
        <f>'Daily KPIs'!M97</f>
        <v>0</v>
      </c>
      <c r="N86" s="175">
        <f>'Daily KPIs'!N97</f>
        <v>0</v>
      </c>
      <c r="O86" s="175">
        <f>'Daily KPIs'!O97</f>
        <v>0</v>
      </c>
      <c r="P86" s="175">
        <f>'Daily KPIs'!P97</f>
        <v>0</v>
      </c>
      <c r="Q86" s="175">
        <f>'Daily KPIs'!Q97</f>
        <v>0</v>
      </c>
      <c r="R86" s="175">
        <f>'Daily KPIs'!R97</f>
        <v>0</v>
      </c>
      <c r="S86" s="175">
        <f>'Daily KPIs'!S97</f>
        <v>0</v>
      </c>
      <c r="T86" s="175">
        <f>'Daily KPIs'!T97</f>
        <v>0</v>
      </c>
      <c r="U86" s="175">
        <f>'Daily KPIs'!U97</f>
        <v>0</v>
      </c>
      <c r="V86" s="175">
        <f>'Daily KPIs'!V97</f>
        <v>0</v>
      </c>
      <c r="W86" s="175">
        <f>'Daily KPIs'!W97</f>
        <v>0</v>
      </c>
      <c r="X86" s="175">
        <f>'Daily KPIs'!X97</f>
        <v>0</v>
      </c>
      <c r="Y86" s="175">
        <f>'Daily KPIs'!Y97</f>
        <v>0</v>
      </c>
      <c r="Z86" s="175">
        <f>'Daily KPIs'!Z97</f>
        <v>0</v>
      </c>
      <c r="AA86" s="175">
        <f>'Daily KPIs'!AA97</f>
        <v>0</v>
      </c>
      <c r="AB86" s="175">
        <f>'Daily KPIs'!AB97</f>
        <v>0</v>
      </c>
      <c r="AC86" s="175">
        <f>'Daily KPIs'!AC97</f>
        <v>0</v>
      </c>
      <c r="AD86" s="175">
        <f>'Daily KPIs'!AD97</f>
        <v>0</v>
      </c>
      <c r="AE86" s="175">
        <f>'Daily KPIs'!AE97</f>
        <v>0</v>
      </c>
      <c r="AF86" s="175">
        <f>'Daily KPIs'!AF97</f>
        <v>0</v>
      </c>
      <c r="AG86" s="331">
        <f>SUM($B86:AF86)</f>
        <v>0</v>
      </c>
      <c r="AH86" s="331"/>
      <c r="AI86" s="361" t="s">
        <v>199</v>
      </c>
    </row>
    <row r="87" spans="1:37" ht="18" x14ac:dyDescent="0.25">
      <c r="A87" s="108" t="s">
        <v>217</v>
      </c>
      <c r="B87" s="162">
        <f>IF('Entries June''25'!L8-'Entries June''25'!L7&lt;1,0,'Entries June''25'!L8-'Entries June''25'!L7)</f>
        <v>0</v>
      </c>
      <c r="C87" s="162">
        <f>IF('Entries June''25'!L9-'Entries June''25'!L8&lt;1,0,'Entries June''25'!L9-'Entries June''25'!L8)</f>
        <v>0</v>
      </c>
      <c r="D87" s="162">
        <f>IF('Entries June''25'!L10-'Entries June''25'!L9&lt;1,0,'Entries June''25'!L10-'Entries June''25'!L9)</f>
        <v>0</v>
      </c>
      <c r="E87" s="162">
        <f>IF('Entries June''25'!L11-'Entries June''25'!L10&lt;1,0,'Entries June''25'!L11-'Entries June''25'!L10)</f>
        <v>0</v>
      </c>
      <c r="F87" s="162">
        <f>IF('Entries June''25'!L12-'Entries June''25'!L11&lt;1,0,'Entries June''25'!L12-'Entries June''25'!L11)</f>
        <v>0</v>
      </c>
      <c r="G87" s="162">
        <f>IF('Entries June''25'!L13-'Entries June''25'!L12&lt;1,0,'Entries June''25'!L13-'Entries June''25'!L12)</f>
        <v>0</v>
      </c>
      <c r="H87" s="162">
        <f>IF('Entries June''25'!L14-'Entries June''25'!L13&lt;1,0,'Entries June''25'!L14-'Entries June''25'!L13)</f>
        <v>0</v>
      </c>
      <c r="I87" s="162">
        <f>IF('Entries June''25'!L15-'Entries June''25'!L14&lt;1,0,'Entries June''25'!L15-'Entries June''25'!L14)</f>
        <v>0</v>
      </c>
      <c r="J87" s="162">
        <f>IF('Entries June''25'!L16-'Entries June''25'!L15&lt;1,0,'Entries June''25'!L16-'Entries June''25'!L15)</f>
        <v>0</v>
      </c>
      <c r="K87" s="162">
        <f>IF('Entries June''25'!L17-'Entries June''25'!L16&lt;1,0,'Entries June''25'!L17-'Entries June''25'!L16)</f>
        <v>0</v>
      </c>
      <c r="L87" s="162">
        <f>IF('Entries June''25'!L18-'Entries June''25'!L17&lt;1,0,'Entries June''25'!L18-'Entries June''25'!L17)</f>
        <v>0</v>
      </c>
      <c r="M87" s="162">
        <f>IF('Entries June''25'!L19-'Entries June''25'!L18&lt;1,0,'Entries June''25'!L19-'Entries June''25'!L18)</f>
        <v>0</v>
      </c>
      <c r="N87" s="122">
        <f>IF('Entries June''25'!L20-'Entries June''25'!L19&lt;1,0,'Entries June''25'!L20-'Entries June''25'!L19)</f>
        <v>0</v>
      </c>
      <c r="O87" s="122">
        <f>IF('Entries June''25'!L21-'Entries June''25'!L20&lt;1,0,'Entries June''25'!L21-'Entries June''25'!L20)</f>
        <v>0</v>
      </c>
      <c r="P87" s="122">
        <f>IF('Entries June''25'!L22-'Entries June''25'!L21&lt;1,0,'Entries June''25'!L22-'Entries June''25'!L21)</f>
        <v>0</v>
      </c>
      <c r="Q87" s="122">
        <f>IF('Entries June''25'!L23-'Entries June''25'!L22&lt;1,0,'Entries June''25'!L23-'Entries June''25'!L22)</f>
        <v>0</v>
      </c>
      <c r="R87" s="122">
        <f>IF('Entries June''25'!L24-'Entries June''25'!L23&lt;1,0,'Entries June''25'!L24-'Entries June''25'!L23)</f>
        <v>0</v>
      </c>
      <c r="S87" s="122">
        <f>IF('Entries June''25'!L25-'Entries June''25'!L24&lt;1,0,'Entries June''25'!L25-'Entries June''25'!L24)</f>
        <v>0</v>
      </c>
      <c r="T87" s="122">
        <f>IF('Entries June''25'!L26-'Entries June''25'!L25&lt;1,0,'Entries June''25'!L26-'Entries June''25'!L25)</f>
        <v>0</v>
      </c>
      <c r="U87" s="122">
        <f>IF('Entries June''25'!L27-'Entries June''25'!L26&lt;1,0,'Entries June''25'!L27-'Entries June''25'!L26)</f>
        <v>0</v>
      </c>
      <c r="V87" s="122">
        <f>IF('Entries June''25'!L28-'Entries June''25'!L27&lt;1,0,'Entries June''25'!L28-'Entries June''25'!L27)</f>
        <v>0</v>
      </c>
      <c r="W87" s="122">
        <f>IF('Entries June''25'!L29-'Entries June''25'!L28&lt;1,0,'Entries June''25'!L29-'Entries June''25'!L28)</f>
        <v>0</v>
      </c>
      <c r="X87" s="122">
        <f>IF('Entries June''25'!L30-'Entries June''25'!L29&lt;1,0,'Entries June''25'!L30-'Entries June''25'!L29)</f>
        <v>0</v>
      </c>
      <c r="Y87" s="122">
        <f>IF('Entries June''25'!L31-'Entries June''25'!L30&lt;1,0,'Entries June''25'!L31-'Entries June''25'!L30)</f>
        <v>0</v>
      </c>
      <c r="Z87" s="122">
        <f>IF('Entries June''25'!L32-'Entries June''25'!L31&lt;1,0,'Entries June''25'!L32-'Entries June''25'!L31)</f>
        <v>0</v>
      </c>
      <c r="AA87" s="122">
        <f>IF('Entries June''25'!L33-'Entries June''25'!L32&lt;1,0,'Entries June''25'!L33-'Entries June''25'!L32)</f>
        <v>0</v>
      </c>
      <c r="AB87" s="122">
        <f>IF('Entries June''25'!L34-'Entries June''25'!L33&lt;1,0,'Entries June''25'!L34-'Entries June''25'!L33)</f>
        <v>0</v>
      </c>
      <c r="AC87" s="122">
        <f>IF('Entries June''25'!L35-'Entries June''25'!L34&lt;1,0,'Entries June''25'!L35-'Entries June''25'!L34)</f>
        <v>0</v>
      </c>
      <c r="AD87" s="122">
        <f>IF('Entries June''25'!L36-'Entries June''25'!L35&lt;1,0,'Entries June''25'!L36-'Entries June''25'!L35)</f>
        <v>0</v>
      </c>
      <c r="AE87" s="122">
        <f>IF('Entries June''25'!L37-'Entries June''25'!L36&lt;1,0,'Entries June''25'!L37-'Entries June''25'!L36)</f>
        <v>0</v>
      </c>
      <c r="AF87" s="122">
        <f>IF('Entries June''25'!L38-'Entries June''25'!L37&lt;1,0,'Entries June''25'!L38-'Entries June''25'!L37)</f>
        <v>0</v>
      </c>
      <c r="AG87" s="293">
        <f>SUM($B87:AF87)</f>
        <v>0</v>
      </c>
      <c r="AH87" s="293"/>
      <c r="AI87" s="344"/>
    </row>
    <row r="88" spans="1:37" ht="18" x14ac:dyDescent="0.25">
      <c r="A88" s="108" t="s">
        <v>218</v>
      </c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284">
        <f>SUM(B88:AF88)</f>
        <v>0</v>
      </c>
      <c r="AH88" s="284"/>
      <c r="AI88" s="344"/>
    </row>
    <row r="89" spans="1:37" ht="18" x14ac:dyDescent="0.25">
      <c r="A89" s="108" t="s">
        <v>219</v>
      </c>
      <c r="B89" s="163" t="str">
        <f t="shared" ref="B89:AD89" si="67">IF(B87=0,"",B88/B87)</f>
        <v/>
      </c>
      <c r="C89" s="163" t="str">
        <f t="shared" si="67"/>
        <v/>
      </c>
      <c r="D89" s="163" t="str">
        <f t="shared" si="67"/>
        <v/>
      </c>
      <c r="E89" s="163" t="str">
        <f t="shared" si="67"/>
        <v/>
      </c>
      <c r="F89" s="163" t="str">
        <f t="shared" si="67"/>
        <v/>
      </c>
      <c r="G89" s="163" t="str">
        <f t="shared" si="67"/>
        <v/>
      </c>
      <c r="H89" s="163" t="str">
        <f t="shared" si="67"/>
        <v/>
      </c>
      <c r="I89" s="163" t="str">
        <f>IF(I87=0,"",I88/I87)</f>
        <v/>
      </c>
      <c r="J89" s="163" t="str">
        <f t="shared" si="67"/>
        <v/>
      </c>
      <c r="K89" s="163" t="str">
        <f t="shared" si="67"/>
        <v/>
      </c>
      <c r="L89" s="163" t="str">
        <f t="shared" si="67"/>
        <v/>
      </c>
      <c r="M89" s="163" t="str">
        <f t="shared" si="67"/>
        <v/>
      </c>
      <c r="N89" s="163" t="str">
        <f t="shared" si="67"/>
        <v/>
      </c>
      <c r="O89" s="163" t="str">
        <f t="shared" ref="O89:S89" si="68">IF(O87=0,"",O88/O87)</f>
        <v/>
      </c>
      <c r="P89" s="163" t="str">
        <f t="shared" si="68"/>
        <v/>
      </c>
      <c r="Q89" s="163" t="str">
        <f t="shared" si="68"/>
        <v/>
      </c>
      <c r="R89" s="163" t="str">
        <f t="shared" si="68"/>
        <v/>
      </c>
      <c r="S89" s="163" t="str">
        <f t="shared" si="68"/>
        <v/>
      </c>
      <c r="T89" s="163" t="str">
        <f t="shared" si="67"/>
        <v/>
      </c>
      <c r="U89" s="163" t="str">
        <f>IF(U87=0,"",U88/U87)</f>
        <v/>
      </c>
      <c r="V89" s="163" t="str">
        <f t="shared" si="67"/>
        <v/>
      </c>
      <c r="W89" s="163" t="str">
        <f t="shared" si="67"/>
        <v/>
      </c>
      <c r="X89" s="163" t="str">
        <f t="shared" si="67"/>
        <v/>
      </c>
      <c r="Y89" s="163" t="str">
        <f t="shared" si="67"/>
        <v/>
      </c>
      <c r="Z89" s="163" t="str">
        <f t="shared" si="67"/>
        <v/>
      </c>
      <c r="AA89" s="163" t="str">
        <f t="shared" si="67"/>
        <v/>
      </c>
      <c r="AB89" s="163" t="str">
        <f t="shared" si="67"/>
        <v/>
      </c>
      <c r="AC89" s="163" t="str">
        <f t="shared" si="67"/>
        <v/>
      </c>
      <c r="AD89" s="163" t="str">
        <f t="shared" si="67"/>
        <v/>
      </c>
      <c r="AE89" s="163" t="str">
        <f t="shared" ref="AE89" si="69">IF(AE87=0,"",AE88/AE87)</f>
        <v/>
      </c>
      <c r="AF89" s="163" t="str">
        <f>IF(AF87=0,"",AF88/AF87)</f>
        <v/>
      </c>
      <c r="AG89" s="332" t="str">
        <f>IF(AG87=0,"",AG88/AG87)</f>
        <v/>
      </c>
      <c r="AH89" s="284"/>
      <c r="AI89" s="344"/>
    </row>
    <row r="90" spans="1:37" ht="18" x14ac:dyDescent="0.25">
      <c r="A90" s="108" t="s">
        <v>212</v>
      </c>
      <c r="B90" s="162">
        <f>IF('Entries June''25'!$AF8-'Entries June''25'!$AF7&lt;1,0,'Entries June''25'!$AF8-'Entries June''25'!$AF7)</f>
        <v>0</v>
      </c>
      <c r="C90" s="162">
        <f>IF('Entries June''25'!$AF9-'Entries June''25'!$AF8&lt;1,0,'Entries June''25'!$AF9-'Entries June''25'!$AF8)</f>
        <v>0</v>
      </c>
      <c r="D90" s="162">
        <f>IF('Entries June''25'!$AF10-'Entries June''25'!$AF9&lt;1,0,'Entries June''25'!$AF10-'Entries June''25'!$AF9)</f>
        <v>0</v>
      </c>
      <c r="E90" s="162">
        <f>IF('Entries June''25'!$AF11-'Entries June''25'!$AF10&lt;1,0,'Entries June''25'!$AF11-'Entries June''25'!$AF10)</f>
        <v>0</v>
      </c>
      <c r="F90" s="162">
        <f>IF('Entries June''25'!$AF12-'Entries June''25'!$AF11&lt;1,0,'Entries June''25'!$AF12-'Entries June''25'!$AF11)</f>
        <v>0</v>
      </c>
      <c r="G90" s="162">
        <f>IF('Entries June''25'!$AF13-'Entries June''25'!$AF12&lt;1,0,'Entries June''25'!$AF13-'Entries June''25'!$AF12)</f>
        <v>0</v>
      </c>
      <c r="H90" s="162">
        <f>IF('Entries June''25'!$AF14-'Entries June''25'!$AF13&lt;1,0,'Entries June''25'!$AF14-'Entries June''25'!$AF13)</f>
        <v>0</v>
      </c>
      <c r="I90" s="162">
        <f>IF('Entries June''25'!AF15-'Entries June''25'!AF14&lt;1,0,'Entries June''25'!AF15-'Entries June''25'!AF14)</f>
        <v>0</v>
      </c>
      <c r="J90" s="162">
        <f>IF('Entries June''25'!AF16-'Entries June''25'!AF15&lt;1,0,'Entries June''25'!AF16-'Entries June''25'!AF15)</f>
        <v>0</v>
      </c>
      <c r="K90" s="162">
        <f>IF('Entries June''25'!AF17-'Entries June''25'!AF16&lt;1,0,'Entries June''25'!AF17-'Entries June''25'!AF16)</f>
        <v>0</v>
      </c>
      <c r="L90" s="162">
        <f>IF('Entries June''25'!$AF18-'Entries June''25'!$AF17&lt;1,0,'Entries June''25'!$AF18-'Entries June''25'!$AF17)</f>
        <v>0</v>
      </c>
      <c r="M90" s="162">
        <f>IF('Entries June''25'!$AF19-'Entries June''25'!$AF18&lt;1,0,'Entries June''25'!$AF19-'Entries June''25'!$AF18)</f>
        <v>0</v>
      </c>
      <c r="N90" s="162">
        <f>IF('Entries June''25'!$AF20-'Entries June''25'!$AF19&lt;1,0,'Entries June''25'!$AF20-'Entries June''25'!$AF19)</f>
        <v>0</v>
      </c>
      <c r="O90" s="162">
        <f>IF('Entries June''25'!$AF21-'Entries June''25'!$AF20&lt;1,0,'Entries June''25'!$AF21-'Entries June''25'!$AF20)</f>
        <v>0</v>
      </c>
      <c r="P90" s="162">
        <f>IF('Entries June''25'!$AF22-'Entries June''25'!$AF21&lt;1,0,'Entries June''25'!$AF22-'Entries June''25'!$AF21)</f>
        <v>0</v>
      </c>
      <c r="Q90" s="162">
        <f>IF('Entries June''25'!$AF23-'Entries June''25'!$AF22&lt;1,0,'Entries June''25'!$AF23-'Entries June''25'!$AF22)</f>
        <v>0</v>
      </c>
      <c r="R90" s="162">
        <f>IF('Entries June''25'!$AF24-'Entries June''25'!$AF23&lt;1,0,'Entries June''25'!$AF24-'Entries June''25'!$AF23)</f>
        <v>0</v>
      </c>
      <c r="S90" s="162">
        <f>IF('Entries June''25'!$AF25-'Entries June''25'!$AF24&lt;1,0,'Entries June''25'!$AF25-'Entries June''25'!$AF24)</f>
        <v>0</v>
      </c>
      <c r="T90" s="162">
        <f>IF('Entries June''25'!$AF26-'Entries June''25'!$AF25&lt;1,0,'Entries June''25'!$AF26-'Entries June''25'!$AF25)</f>
        <v>0</v>
      </c>
      <c r="U90" s="162">
        <f>IF('Entries June''25'!$AF27-'Entries June''25'!$AF26&lt;1,0,'Entries June''25'!$AF27-'Entries June''25'!$AF26)</f>
        <v>0</v>
      </c>
      <c r="V90" s="162">
        <f>IF('Entries June''25'!$AF28-'Entries June''25'!$AF27&lt;1,0,'Entries June''25'!$AF28-'Entries June''25'!$AF27)</f>
        <v>0</v>
      </c>
      <c r="W90" s="162">
        <f>IF('Entries June''25'!$AF29-'Entries June''25'!$AF28&lt;1,0,'Entries June''25'!$AF29-'Entries June''25'!$AF28)</f>
        <v>0</v>
      </c>
      <c r="X90" s="162">
        <f>IF('Entries June''25'!$AF30-'Entries June''25'!$AF29&lt;1,0,'Entries June''25'!$AF30-'Entries June''25'!$AF29)</f>
        <v>0</v>
      </c>
      <c r="Y90" s="162">
        <f>IF('Entries June''25'!$AF31-'Entries June''25'!$AF30&lt;1,0,'Entries June''25'!$AF31-'Entries June''25'!$AF30)</f>
        <v>0</v>
      </c>
      <c r="Z90" s="162">
        <f>IF('Entries June''25'!$AF32-'Entries June''25'!$AF31&lt;1,0,'Entries June''25'!$AF32-'Entries June''25'!$AF31)</f>
        <v>0</v>
      </c>
      <c r="AA90" s="162">
        <f>IF('Entries June''25'!$AF33-'Entries June''25'!$AF32&lt;1,0,'Entries June''25'!$AF33-'Entries June''25'!$AF32)</f>
        <v>0</v>
      </c>
      <c r="AB90" s="162">
        <f>IF('Entries June''25'!$AF34-'Entries June''25'!$AF33&lt;1,0,'Entries June''25'!$AF34-'Entries June''25'!$AF33)</f>
        <v>0</v>
      </c>
      <c r="AC90" s="162">
        <f>IF('Entries June''25'!$AF35-'Entries June''25'!$AF34&lt;1,0,'Entries June''25'!$AF35-'Entries June''25'!$AF34)</f>
        <v>0</v>
      </c>
      <c r="AD90" s="162">
        <f>IF('Entries June''25'!$AF36-'Entries June''25'!$AF35&lt;1,0,'Entries June''25'!$AF36-'Entries June''25'!$AF35)</f>
        <v>0</v>
      </c>
      <c r="AE90" s="162">
        <f>IF('Entries June''25'!$AF37-'Entries June''25'!$AF36&lt;1,0,'Entries June''25'!$AF37-'Entries June''25'!$AF36)</f>
        <v>0</v>
      </c>
      <c r="AF90" s="162">
        <f>IF('Entries June''25'!$AF27-'Entries June''25'!$AF26&lt;1,0,'Entries June''25'!$AF27-'Entries June''25'!$AF26)</f>
        <v>0</v>
      </c>
      <c r="AG90" s="293">
        <f>SUM(B90:AF90)</f>
        <v>0</v>
      </c>
      <c r="AH90" s="293"/>
      <c r="AI90" s="344"/>
    </row>
    <row r="91" spans="1:37" ht="18" x14ac:dyDescent="0.25">
      <c r="A91" s="107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284"/>
      <c r="AH91" s="284"/>
      <c r="AI91" s="344"/>
    </row>
    <row r="92" spans="1:37" ht="18" x14ac:dyDescent="0.25">
      <c r="A92" s="107" t="s">
        <v>169</v>
      </c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284"/>
      <c r="AH92" s="284"/>
      <c r="AI92" s="344"/>
    </row>
    <row r="93" spans="1:37" ht="18" x14ac:dyDescent="0.25">
      <c r="A93" s="167" t="s">
        <v>226</v>
      </c>
      <c r="B93" s="168">
        <f>'Daily KPIs'!B12</f>
        <v>0</v>
      </c>
      <c r="C93" s="168">
        <f>'Daily KPIs'!C12</f>
        <v>204.8</v>
      </c>
      <c r="D93" s="168">
        <f>'Daily KPIs'!D12</f>
        <v>362.6</v>
      </c>
      <c r="E93" s="168">
        <f>'Daily KPIs'!E12</f>
        <v>500</v>
      </c>
      <c r="F93" s="168">
        <f>'Daily KPIs'!F12</f>
        <v>452.1</v>
      </c>
      <c r="G93" s="168">
        <f>'Daily KPIs'!G12</f>
        <v>206</v>
      </c>
      <c r="H93" s="168">
        <f>'Daily KPIs'!H12</f>
        <v>0</v>
      </c>
      <c r="I93" s="168">
        <f>'Daily KPIs'!I12</f>
        <v>0</v>
      </c>
      <c r="J93" s="168">
        <f>'Daily KPIs'!J12</f>
        <v>0</v>
      </c>
      <c r="K93" s="168">
        <f>'Daily KPIs'!K12</f>
        <v>354.8</v>
      </c>
      <c r="L93" s="168">
        <f>'Daily KPIs'!L12</f>
        <v>458.7</v>
      </c>
      <c r="M93" s="168">
        <f>'Daily KPIs'!M12</f>
        <v>353.1</v>
      </c>
      <c r="N93" s="168">
        <f>'Daily KPIs'!N12</f>
        <v>255.5</v>
      </c>
      <c r="O93" s="168">
        <f>'Daily KPIs'!O12</f>
        <v>216.9</v>
      </c>
      <c r="P93" s="168">
        <f>'Daily KPIs'!P12</f>
        <v>0</v>
      </c>
      <c r="Q93" s="168">
        <f>'Daily KPIs'!Q12</f>
        <v>364.2</v>
      </c>
      <c r="R93" s="168">
        <f>'Daily KPIs'!R12</f>
        <v>350.3</v>
      </c>
      <c r="S93" s="168">
        <f>'Daily KPIs'!S12</f>
        <v>212</v>
      </c>
      <c r="T93" s="168">
        <f>'Daily KPIs'!T12</f>
        <v>0</v>
      </c>
      <c r="U93" s="168">
        <f>'Daily KPIs'!U12</f>
        <v>0</v>
      </c>
      <c r="V93" s="168">
        <f>'Daily KPIs'!V12</f>
        <v>0</v>
      </c>
      <c r="W93" s="168">
        <f>'Daily KPIs'!W12</f>
        <v>0</v>
      </c>
      <c r="X93" s="168">
        <f>'Daily KPIs'!X12</f>
        <v>198.60000000000002</v>
      </c>
      <c r="Y93" s="168">
        <f>'Daily KPIs'!Y12</f>
        <v>355.1</v>
      </c>
      <c r="Z93" s="168">
        <f>'Daily KPIs'!Z12</f>
        <v>504.2</v>
      </c>
      <c r="AA93" s="168">
        <f>'Daily KPIs'!AA12</f>
        <v>557.29999999999995</v>
      </c>
      <c r="AB93" s="168">
        <f>'Daily KPIs'!AB12</f>
        <v>354.9</v>
      </c>
      <c r="AC93" s="168">
        <f>'Daily KPIs'!AC12</f>
        <v>457.1</v>
      </c>
      <c r="AD93" s="168">
        <f>'Daily KPIs'!AD12</f>
        <v>206.2</v>
      </c>
      <c r="AE93" s="168">
        <f>'Daily KPIs'!AE12</f>
        <v>512.4</v>
      </c>
      <c r="AF93" s="281">
        <f>'Daily KPIs'!AD12</f>
        <v>206.2</v>
      </c>
      <c r="AG93" s="333">
        <f>SUM(B93:AF93)</f>
        <v>7643</v>
      </c>
      <c r="AH93" s="334"/>
      <c r="AI93" s="362"/>
    </row>
    <row r="94" spans="1:37" ht="18" x14ac:dyDescent="0.25">
      <c r="A94" s="167" t="s">
        <v>227</v>
      </c>
      <c r="B94" s="169">
        <f>'Daily KPIs'!B13</f>
        <v>0</v>
      </c>
      <c r="C94" s="169" t="str">
        <f>'Daily KPIs'!C13</f>
        <v xml:space="preserve">Smalt </v>
      </c>
      <c r="D94" s="169" t="str">
        <f>'Daily KPIs'!D13</f>
        <v>SM/CB</v>
      </c>
      <c r="E94" s="169" t="str">
        <f>'Daily KPIs'!E13</f>
        <v>CB</v>
      </c>
      <c r="F94" s="169" t="str">
        <f>'Daily KPIs'!F13</f>
        <v>CB/ST</v>
      </c>
      <c r="G94" s="169" t="str">
        <f>'Daily KPIs'!G10</f>
        <v>GN/CR</v>
      </c>
      <c r="H94" s="169">
        <f>'Daily KPIs'!H13</f>
        <v>0</v>
      </c>
      <c r="I94" s="169">
        <f>'Daily KPIs'!I13</f>
        <v>0</v>
      </c>
      <c r="J94" s="169">
        <f>'Daily KPIs'!J13</f>
        <v>0</v>
      </c>
      <c r="K94" s="169" t="str">
        <f>'Daily KPIs'!K13</f>
        <v>CB</v>
      </c>
      <c r="L94" s="169" t="str">
        <f>'Daily KPIs'!L13</f>
        <v>CB</v>
      </c>
      <c r="M94" s="169" t="str">
        <f>'Daily KPIs'!M13</f>
        <v>Stag</v>
      </c>
      <c r="N94" s="169" t="str">
        <f>'Daily KPIs'!N13</f>
        <v>Stag</v>
      </c>
      <c r="O94" s="169" t="str">
        <f>'Daily KPIs'!O13</f>
        <v>HP</v>
      </c>
      <c r="P94" s="169">
        <f>'Daily KPIs'!P13</f>
        <v>0</v>
      </c>
      <c r="Q94" s="169" t="str">
        <f>'Daily KPIs'!Q13</f>
        <v>SM/VM</v>
      </c>
      <c r="R94" s="169" t="str">
        <f>'Daily KPIs'!R13</f>
        <v>CB/VM</v>
      </c>
      <c r="S94" s="169" t="str">
        <f>'Daily KPIs'!S13</f>
        <v>CB</v>
      </c>
      <c r="T94" s="169">
        <f>'Daily KPIs'!T13</f>
        <v>0</v>
      </c>
      <c r="U94" s="169">
        <f>'Daily KPIs'!U13</f>
        <v>0</v>
      </c>
      <c r="V94" s="169">
        <f>'Daily KPIs'!V13</f>
        <v>0</v>
      </c>
      <c r="W94" s="169">
        <f>'Daily KPIs'!W13</f>
        <v>0</v>
      </c>
      <c r="X94" s="169" t="str">
        <f>'Daily KPIs'!X13</f>
        <v>CB</v>
      </c>
      <c r="Y94" s="169" t="str">
        <f>'Daily KPIs'!Y13</f>
        <v>Carib</v>
      </c>
      <c r="Z94" s="169" t="str">
        <f>'Daily KPIs'!Z13</f>
        <v>Carib/Stag</v>
      </c>
      <c r="AA94" s="169" t="str">
        <f>'Daily KPIs'!AA13</f>
        <v>Stag/Carib</v>
      </c>
      <c r="AB94" s="169" t="str">
        <f>'Daily KPIs'!AB13</f>
        <v>CB/APA/IPA/ST</v>
      </c>
      <c r="AC94" s="169" t="str">
        <f>'Daily KPIs'!AC13</f>
        <v>ST/CB</v>
      </c>
      <c r="AD94" s="169" t="str">
        <f>'Daily KPIs'!AD13</f>
        <v>CB</v>
      </c>
      <c r="AE94" s="169" t="str">
        <f>'Daily KPIs'!AE13</f>
        <v>CB</v>
      </c>
      <c r="AF94" s="282" t="str">
        <f>'Daily KPIs'!AD13</f>
        <v>CB</v>
      </c>
      <c r="AG94" s="334"/>
      <c r="AH94" s="334"/>
      <c r="AI94" s="362"/>
    </row>
    <row r="95" spans="1:37" ht="18" x14ac:dyDescent="0.25">
      <c r="A95" s="176" t="s">
        <v>229</v>
      </c>
      <c r="B95" s="177">
        <f>'Daily KPIs'!B14</f>
        <v>0</v>
      </c>
      <c r="C95" s="177">
        <f>'Daily KPIs'!C14</f>
        <v>4</v>
      </c>
      <c r="D95" s="177">
        <f>'Daily KPIs'!D14</f>
        <v>7</v>
      </c>
      <c r="E95" s="177">
        <f>'Daily KPIs'!E14</f>
        <v>10</v>
      </c>
      <c r="F95" s="177">
        <f>'Daily KPIs'!F14</f>
        <v>9</v>
      </c>
      <c r="G95" s="177">
        <f>'Daily KPIs'!G14</f>
        <v>4</v>
      </c>
      <c r="H95" s="177">
        <f>'Daily KPIs'!H14</f>
        <v>0</v>
      </c>
      <c r="I95" s="177">
        <f>'Daily KPIs'!I14</f>
        <v>0</v>
      </c>
      <c r="J95" s="177">
        <f>'Daily KPIs'!J14</f>
        <v>0</v>
      </c>
      <c r="K95" s="177">
        <f>'Daily KPIs'!K14</f>
        <v>7</v>
      </c>
      <c r="L95" s="177">
        <f>'Daily KPIs'!L14</f>
        <v>9</v>
      </c>
      <c r="M95" s="177">
        <f>'Daily KPIs'!M14</f>
        <v>7</v>
      </c>
      <c r="N95" s="177">
        <f>'Daily KPIs'!N14</f>
        <v>5</v>
      </c>
      <c r="O95" s="177">
        <f>'Daily KPIs'!O14</f>
        <v>4</v>
      </c>
      <c r="P95" s="177">
        <f>'Daily KPIs'!P14</f>
        <v>0</v>
      </c>
      <c r="Q95" s="177">
        <f>'Daily KPIs'!Q14</f>
        <v>7</v>
      </c>
      <c r="R95" s="177">
        <f>'Daily KPIs'!R14</f>
        <v>7</v>
      </c>
      <c r="S95" s="177">
        <f>'Daily KPIs'!S14</f>
        <v>4</v>
      </c>
      <c r="T95" s="177">
        <f>'Daily KPIs'!T14</f>
        <v>0</v>
      </c>
      <c r="U95" s="177">
        <f>'Daily KPIs'!U14</f>
        <v>0</v>
      </c>
      <c r="V95" s="177">
        <f>'Daily KPIs'!V14</f>
        <v>0</v>
      </c>
      <c r="W95" s="177">
        <f>'Daily KPIs'!W14</f>
        <v>0</v>
      </c>
      <c r="X95" s="177">
        <f>'Daily KPIs'!X14</f>
        <v>4</v>
      </c>
      <c r="Y95" s="177">
        <f>'Daily KPIs'!Y14</f>
        <v>7</v>
      </c>
      <c r="Z95" s="177">
        <f>'Daily KPIs'!Z14</f>
        <v>10</v>
      </c>
      <c r="AA95" s="177">
        <f>'Daily KPIs'!AA14</f>
        <v>11</v>
      </c>
      <c r="AB95" s="177">
        <f>'Daily KPIs'!AB14</f>
        <v>5</v>
      </c>
      <c r="AC95" s="177">
        <f>'Daily KPIs'!AC14</f>
        <v>9</v>
      </c>
      <c r="AD95" s="177">
        <f>'Daily KPIs'!AD14</f>
        <v>4</v>
      </c>
      <c r="AE95" s="177">
        <f>'Daily KPIs'!AE14</f>
        <v>10</v>
      </c>
      <c r="AF95" s="279">
        <f>'Daily KPIs'!AD14</f>
        <v>4</v>
      </c>
      <c r="AG95" s="335">
        <f>SUM($B95:AF95)</f>
        <v>148</v>
      </c>
      <c r="AH95" s="335"/>
      <c r="AI95" s="363"/>
    </row>
    <row r="96" spans="1:37" ht="18" x14ac:dyDescent="0.25">
      <c r="A96" s="112" t="s">
        <v>152</v>
      </c>
      <c r="B96" s="113">
        <f>+'Water '!$F7</f>
        <v>72</v>
      </c>
      <c r="C96" s="113">
        <f>+'Water '!$F8</f>
        <v>200</v>
      </c>
      <c r="D96" s="113">
        <f>+'Water '!$F9</f>
        <v>139</v>
      </c>
      <c r="E96" s="113">
        <f>+'Water '!$F10</f>
        <v>181</v>
      </c>
      <c r="F96" s="113">
        <f>+'Water '!$F11</f>
        <v>276</v>
      </c>
      <c r="G96" s="113">
        <f>+'Water '!$F12</f>
        <v>302</v>
      </c>
      <c r="H96" s="113" t="str">
        <f>+'Water '!$F13</f>
        <v>0</v>
      </c>
      <c r="I96" s="113">
        <f>+'Water '!$F14</f>
        <v>93</v>
      </c>
      <c r="J96" s="113" t="str">
        <f>+'Water '!$F15</f>
        <v>0</v>
      </c>
      <c r="K96" s="113">
        <f>+'Water '!$F16</f>
        <v>143</v>
      </c>
      <c r="L96" s="113">
        <f>+'Water '!$F17</f>
        <v>174</v>
      </c>
      <c r="M96" s="113">
        <f>+'Water '!$F18</f>
        <v>290</v>
      </c>
      <c r="N96" s="113">
        <f>+'Water '!$F19</f>
        <v>293</v>
      </c>
      <c r="O96" s="113">
        <f>+'Water '!$F19</f>
        <v>293</v>
      </c>
      <c r="P96" s="113">
        <f>+'Water '!$F19</f>
        <v>293</v>
      </c>
      <c r="Q96" s="113">
        <f>+'Water '!$F19</f>
        <v>293</v>
      </c>
      <c r="R96" s="113">
        <f>+'Water '!$F19</f>
        <v>293</v>
      </c>
      <c r="S96" s="113">
        <f>+'Water '!$F19</f>
        <v>293</v>
      </c>
      <c r="T96" s="113" t="str">
        <f>+'Water '!$F25</f>
        <v>0</v>
      </c>
      <c r="U96" s="113">
        <f>+'Water '!$F26</f>
        <v>216</v>
      </c>
      <c r="V96" s="113">
        <f>+'Water '!$F27</f>
        <v>17</v>
      </c>
      <c r="W96" s="113">
        <f>+'Water '!$F28</f>
        <v>81</v>
      </c>
      <c r="X96" s="113">
        <f>+'Water '!$F29</f>
        <v>198</v>
      </c>
      <c r="Y96" s="113">
        <f>+'Water '!$F30</f>
        <v>96</v>
      </c>
      <c r="Z96" s="113">
        <f>+'Water '!$F31</f>
        <v>141</v>
      </c>
      <c r="AA96" s="113">
        <f>+'Water '!$F31</f>
        <v>141</v>
      </c>
      <c r="AB96" s="113">
        <f>+'Water '!$F31</f>
        <v>141</v>
      </c>
      <c r="AC96" s="113">
        <f>+'Water '!$F31</f>
        <v>141</v>
      </c>
      <c r="AD96" s="113">
        <f>+'Water '!$F31</f>
        <v>141</v>
      </c>
      <c r="AE96" s="113">
        <f>+'Water '!$F31</f>
        <v>141</v>
      </c>
      <c r="AF96" s="278" t="str">
        <f>+'Water '!$F35</f>
        <v>0</v>
      </c>
      <c r="AG96" s="293">
        <f>SUM($B96:AF96)</f>
        <v>5082</v>
      </c>
      <c r="AH96" s="293"/>
      <c r="AI96" s="344"/>
    </row>
    <row r="97" spans="1:35" ht="18" x14ac:dyDescent="0.25">
      <c r="A97" s="107" t="s">
        <v>153</v>
      </c>
      <c r="B97" s="164" t="s">
        <v>154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279"/>
      <c r="AG97" s="293">
        <f>SUM($B97:AC97)</f>
        <v>0</v>
      </c>
      <c r="AH97" s="293"/>
      <c r="AI97" s="344"/>
    </row>
    <row r="98" spans="1:35" ht="18" x14ac:dyDescent="0.25">
      <c r="A98" s="107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279"/>
      <c r="AG98" s="284"/>
      <c r="AH98" s="284"/>
      <c r="AI98" s="344"/>
    </row>
    <row r="99" spans="1:35" ht="18" x14ac:dyDescent="0.25">
      <c r="A99" s="107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279"/>
      <c r="AG99" s="284"/>
      <c r="AH99" s="284"/>
      <c r="AI99" s="344"/>
    </row>
    <row r="100" spans="1:35" ht="18" x14ac:dyDescent="0.25">
      <c r="A100" s="107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279"/>
      <c r="AG100" s="284"/>
      <c r="AH100" s="284"/>
      <c r="AI100" s="344"/>
    </row>
    <row r="101" spans="1:35" ht="18" x14ac:dyDescent="0.25">
      <c r="A101" s="107"/>
      <c r="B101" s="162">
        <f>'Daily KPIs CO2'!B52</f>
        <v>5785</v>
      </c>
      <c r="C101" s="162">
        <f>'Daily KPIs CO2'!C52</f>
        <v>9004</v>
      </c>
      <c r="D101" s="162">
        <f>'Daily KPIs CO2'!D52</f>
        <v>8987</v>
      </c>
      <c r="E101" s="162">
        <f>'Daily KPIs CO2'!E52</f>
        <v>9013</v>
      </c>
      <c r="F101" s="162">
        <f>'Daily KPIs CO2'!F52</f>
        <v>9609</v>
      </c>
      <c r="G101" s="162">
        <f>'Daily KPIs CO2'!G52</f>
        <v>9086</v>
      </c>
      <c r="H101" s="162">
        <f>'Daily KPIs CO2'!H52</f>
        <v>4198</v>
      </c>
      <c r="I101" s="162">
        <f>'Daily KPIs CO2'!I52</f>
        <v>5365</v>
      </c>
      <c r="J101" s="162">
        <f>'Daily KPIs CO2'!J52</f>
        <v>4505</v>
      </c>
      <c r="K101" s="162">
        <f>'Daily KPIs CO2'!K52</f>
        <v>8188</v>
      </c>
      <c r="L101" s="162">
        <f>'Daily KPIs CO2'!L52</f>
        <v>8791</v>
      </c>
      <c r="M101" s="162">
        <f>'Daily KPIs CO2'!M52</f>
        <v>8463</v>
      </c>
      <c r="N101" s="162">
        <f>'Daily KPIs CO2'!N52</f>
        <v>8406</v>
      </c>
      <c r="O101" s="162">
        <f>'Daily KPIs CO2'!O52</f>
        <v>5577</v>
      </c>
      <c r="P101" s="162">
        <f>'Daily KPIs CO2'!P52</f>
        <v>5267</v>
      </c>
      <c r="Q101" s="162">
        <f>'Daily KPIs CO2'!Q52</f>
        <v>8328</v>
      </c>
      <c r="R101" s="162">
        <f>'Daily KPIs CO2'!R52</f>
        <v>9244</v>
      </c>
      <c r="S101" s="162">
        <f>'Daily KPIs CO2'!S52</f>
        <v>8232</v>
      </c>
      <c r="T101" s="162">
        <f>'Daily KPIs CO2'!T52</f>
        <v>8232</v>
      </c>
      <c r="U101" s="162">
        <f>'Daily KPIs CO2'!U52</f>
        <v>8232</v>
      </c>
      <c r="V101" s="162">
        <f>'Daily KPIs CO2'!V52</f>
        <v>8232</v>
      </c>
      <c r="W101" s="162">
        <f>'Daily KPIs CO2'!W52</f>
        <v>8232</v>
      </c>
      <c r="X101" s="162">
        <f>'Daily KPIs CO2'!X52</f>
        <v>8232</v>
      </c>
      <c r="Y101" s="162">
        <f>'Daily KPIs CO2'!Y52</f>
        <v>8232</v>
      </c>
      <c r="Z101" s="162">
        <f>'Daily KPIs CO2'!Z52</f>
        <v>8232</v>
      </c>
      <c r="AA101" s="162">
        <f>'Daily KPIs CO2'!AA52</f>
        <v>8232</v>
      </c>
      <c r="AB101" s="162">
        <f>'Daily KPIs CO2'!AB52</f>
        <v>8232</v>
      </c>
      <c r="AC101" s="162">
        <f>'Daily KPIs CO2'!AC52</f>
        <v>8232</v>
      </c>
      <c r="AD101" s="162">
        <f>'Daily KPIs CO2'!AD52</f>
        <v>8232</v>
      </c>
      <c r="AE101" s="162">
        <f>'Daily KPIs CO2'!AE52</f>
        <v>8232</v>
      </c>
      <c r="AF101" s="280">
        <f>'Daily KPIs CO2'!AF52</f>
        <v>8232</v>
      </c>
      <c r="AG101" s="336">
        <f>'Daily KPIs CO2'!AG52</f>
        <v>218368</v>
      </c>
      <c r="AH101" s="284"/>
      <c r="AI101" s="344"/>
    </row>
    <row r="102" spans="1:35" x14ac:dyDescent="0.2">
      <c r="M102" s="85"/>
    </row>
    <row r="103" spans="1:35" x14ac:dyDescent="0.2">
      <c r="M103" s="85"/>
    </row>
    <row r="104" spans="1:35" x14ac:dyDescent="0.2">
      <c r="M104" s="85"/>
    </row>
    <row r="105" spans="1:35" x14ac:dyDescent="0.2">
      <c r="M105" s="85"/>
    </row>
    <row r="106" spans="1:35" x14ac:dyDescent="0.2">
      <c r="M106" s="85"/>
    </row>
    <row r="107" spans="1:35" x14ac:dyDescent="0.2">
      <c r="M107" s="85"/>
    </row>
    <row r="108" spans="1:35" x14ac:dyDescent="0.2">
      <c r="H108" s="85" t="s">
        <v>224</v>
      </c>
      <c r="M108" s="85"/>
    </row>
    <row r="109" spans="1:35" x14ac:dyDescent="0.2">
      <c r="M109" s="85"/>
    </row>
    <row r="110" spans="1:35" x14ac:dyDescent="0.2">
      <c r="M110" s="85"/>
    </row>
    <row r="111" spans="1:35" x14ac:dyDescent="0.2">
      <c r="M111" s="85"/>
    </row>
    <row r="112" spans="1:35" x14ac:dyDescent="0.2">
      <c r="M112" s="85"/>
    </row>
    <row r="113" spans="13:13" x14ac:dyDescent="0.2">
      <c r="M113" s="85"/>
    </row>
    <row r="114" spans="13:13" x14ac:dyDescent="0.2">
      <c r="M114" s="85"/>
    </row>
    <row r="115" spans="13:13" x14ac:dyDescent="0.2">
      <c r="M115" s="85"/>
    </row>
    <row r="116" spans="13:13" x14ac:dyDescent="0.2">
      <c r="M116" s="85"/>
    </row>
    <row r="117" spans="13:13" x14ac:dyDescent="0.2">
      <c r="M117" s="85"/>
    </row>
    <row r="118" spans="13:13" x14ac:dyDescent="0.2">
      <c r="M118" s="85"/>
    </row>
    <row r="119" spans="13:13" x14ac:dyDescent="0.2">
      <c r="M119" s="85"/>
    </row>
    <row r="120" spans="13:13" x14ac:dyDescent="0.2">
      <c r="M120" s="85"/>
    </row>
    <row r="121" spans="13:13" x14ac:dyDescent="0.2">
      <c r="M121" s="85"/>
    </row>
    <row r="122" spans="13:13" x14ac:dyDescent="0.2">
      <c r="M122" s="85"/>
    </row>
    <row r="123" spans="13:13" x14ac:dyDescent="0.2">
      <c r="M123" s="85"/>
    </row>
    <row r="124" spans="13:13" x14ac:dyDescent="0.2">
      <c r="M124" s="85"/>
    </row>
    <row r="125" spans="13:13" x14ac:dyDescent="0.2">
      <c r="M125" s="85"/>
    </row>
    <row r="126" spans="13:13" x14ac:dyDescent="0.2">
      <c r="M126" s="85"/>
    </row>
    <row r="127" spans="13:13" x14ac:dyDescent="0.2">
      <c r="M127" s="85"/>
    </row>
    <row r="128" spans="13:13" x14ac:dyDescent="0.2">
      <c r="M128" s="85"/>
    </row>
    <row r="129" spans="13:13" x14ac:dyDescent="0.2">
      <c r="M129" s="85"/>
    </row>
    <row r="130" spans="13:13" x14ac:dyDescent="0.2">
      <c r="M130" s="85"/>
    </row>
    <row r="131" spans="13:13" x14ac:dyDescent="0.2">
      <c r="M131" s="85"/>
    </row>
    <row r="132" spans="13:13" x14ac:dyDescent="0.2">
      <c r="M132" s="85"/>
    </row>
    <row r="133" spans="13:13" x14ac:dyDescent="0.2">
      <c r="M133" s="85"/>
    </row>
    <row r="134" spans="13:13" x14ac:dyDescent="0.2">
      <c r="M134" s="85"/>
    </row>
    <row r="135" spans="13:13" x14ac:dyDescent="0.2">
      <c r="M135" s="85"/>
    </row>
    <row r="136" spans="13:13" x14ac:dyDescent="0.2">
      <c r="M136" s="85"/>
    </row>
    <row r="137" spans="13:13" x14ac:dyDescent="0.2">
      <c r="M137" s="85"/>
    </row>
    <row r="138" spans="13:13" x14ac:dyDescent="0.2">
      <c r="M138" s="85"/>
    </row>
    <row r="139" spans="13:13" x14ac:dyDescent="0.2">
      <c r="M139" s="85"/>
    </row>
    <row r="140" spans="13:13" x14ac:dyDescent="0.2">
      <c r="M140" s="85"/>
    </row>
    <row r="141" spans="13:13" x14ac:dyDescent="0.2">
      <c r="M141" s="85"/>
    </row>
    <row r="142" spans="13:13" x14ac:dyDescent="0.2">
      <c r="M142" s="85"/>
    </row>
    <row r="143" spans="13:13" x14ac:dyDescent="0.2">
      <c r="M143" s="85"/>
    </row>
  </sheetData>
  <mergeCells count="2">
    <mergeCell ref="Y10:Z10"/>
    <mergeCell ref="AH6:AH7"/>
  </mergeCells>
  <phoneticPr fontId="2" type="noConversion"/>
  <conditionalFormatting sqref="B82:AF82">
    <cfRule type="cellIs" dxfId="27" priority="3" operator="greaterThan">
      <formula>26</formula>
    </cfRule>
  </conditionalFormatting>
  <conditionalFormatting sqref="B84:AF84">
    <cfRule type="cellIs" dxfId="26" priority="4" operator="greaterThan">
      <formula>6.8</formula>
    </cfRule>
  </conditionalFormatting>
  <conditionalFormatting sqref="D64:D65 D67 T69:AI70 D71 D73:D77">
    <cfRule type="cellIs" dxfId="25" priority="5" stopIfTrue="1" operator="greaterThan">
      <formula>3.8</formula>
    </cfRule>
  </conditionalFormatting>
  <conditionalFormatting sqref="D69:S69 B70:S70">
    <cfRule type="cellIs" dxfId="24" priority="13" stopIfTrue="1" operator="greaterThan">
      <formula>3.8</formula>
    </cfRule>
  </conditionalFormatting>
  <conditionalFormatting sqref="AI8">
    <cfRule type="cellIs" dxfId="23" priority="1" operator="greaterThan">
      <formula>0</formula>
    </cfRule>
    <cfRule type="cellIs" dxfId="22" priority="2" operator="lessThan">
      <formula>0</formula>
    </cfRule>
  </conditionalFormatting>
  <pageMargins left="0.5" right="0.25" top="0.28000000000000003" bottom="0" header="0" footer="0"/>
  <pageSetup paperSize="5" scale="30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R172"/>
  <sheetViews>
    <sheetView showGridLines="0" tabSelected="1" topLeftCell="A5" zoomScale="60" zoomScaleNormal="60" zoomScaleSheetLayoutView="50" workbookViewId="0">
      <pane xSplit="1" ySplit="10" topLeftCell="AC15" activePane="bottomRight" state="frozen"/>
      <selection activeCell="A5" sqref="A5"/>
      <selection pane="topRight" activeCell="B5" sqref="B5"/>
      <selection pane="bottomLeft" activeCell="A15" sqref="A15"/>
      <selection pane="bottomRight" activeCell="AK20" sqref="AK20"/>
    </sheetView>
  </sheetViews>
  <sheetFormatPr defaultColWidth="9.42578125" defaultRowHeight="26.25" outlineLevelRow="1" x14ac:dyDescent="0.35"/>
  <cols>
    <col min="1" max="1" width="57.5703125" style="180" customWidth="1"/>
    <col min="2" max="2" width="26.42578125" style="366" customWidth="1"/>
    <col min="3" max="3" width="19.140625" style="366" customWidth="1"/>
    <col min="4" max="4" width="27.42578125" style="366" customWidth="1"/>
    <col min="5" max="5" width="23.42578125" style="366" customWidth="1"/>
    <col min="6" max="6" width="27" style="366" customWidth="1"/>
    <col min="7" max="7" width="19.140625" style="366" customWidth="1"/>
    <col min="8" max="8" width="26.140625" style="366" customWidth="1"/>
    <col min="9" max="9" width="19.140625" style="366" customWidth="1"/>
    <col min="10" max="10" width="22.140625" style="367" customWidth="1"/>
    <col min="11" max="11" width="29.5703125" style="367" customWidth="1"/>
    <col min="12" max="12" width="23" style="367" customWidth="1"/>
    <col min="13" max="13" width="29.5703125" style="368" customWidth="1"/>
    <col min="14" max="32" width="29.5703125" style="367" customWidth="1"/>
    <col min="33" max="33" width="29.5703125" style="365" customWidth="1"/>
    <col min="34" max="34" width="24.5703125" style="365" customWidth="1"/>
    <col min="35" max="35" width="24.5703125" style="366" customWidth="1"/>
    <col min="36" max="36" width="11.5703125" style="366" customWidth="1"/>
    <col min="37" max="37" width="20.5703125" style="366" customWidth="1"/>
    <col min="38" max="58" width="9.42578125" style="366"/>
    <col min="59" max="16384" width="9.42578125" style="180"/>
  </cols>
  <sheetData>
    <row r="1" spans="1:148" x14ac:dyDescent="0.35">
      <c r="B1" s="365"/>
      <c r="AG1" s="366"/>
      <c r="AH1" s="366"/>
    </row>
    <row r="2" spans="1:148" x14ac:dyDescent="0.35">
      <c r="B2" s="365"/>
      <c r="AG2" s="366"/>
      <c r="AH2" s="366"/>
    </row>
    <row r="3" spans="1:148" x14ac:dyDescent="0.4">
      <c r="A3" s="181" t="s">
        <v>138</v>
      </c>
      <c r="B3" s="365"/>
      <c r="C3" s="365"/>
      <c r="AG3" s="366"/>
      <c r="AH3" s="366"/>
    </row>
    <row r="4" spans="1:148" hidden="1" x14ac:dyDescent="0.4">
      <c r="A4" s="181"/>
      <c r="M4" s="369"/>
    </row>
    <row r="5" spans="1:148" hidden="1" x14ac:dyDescent="0.35"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>
        <v>1800</v>
      </c>
      <c r="Z5" s="370"/>
      <c r="AA5" s="370"/>
      <c r="AB5" s="370"/>
      <c r="AC5" s="370"/>
      <c r="AD5" s="370"/>
      <c r="AE5" s="370"/>
      <c r="AF5" s="370"/>
      <c r="AG5" s="370"/>
      <c r="AH5" s="370"/>
      <c r="AI5" s="370"/>
    </row>
    <row r="6" spans="1:148" x14ac:dyDescent="0.4">
      <c r="A6" s="227">
        <v>45810</v>
      </c>
      <c r="B6" s="366">
        <v>1</v>
      </c>
      <c r="C6" s="366">
        <v>2</v>
      </c>
      <c r="D6" s="366">
        <v>3</v>
      </c>
      <c r="E6" s="366">
        <v>4</v>
      </c>
      <c r="F6" s="366">
        <v>5</v>
      </c>
      <c r="G6" s="366">
        <v>6</v>
      </c>
      <c r="H6" s="366">
        <v>7</v>
      </c>
      <c r="I6" s="366">
        <v>8</v>
      </c>
      <c r="J6" s="775">
        <v>9</v>
      </c>
      <c r="K6" s="366">
        <v>10</v>
      </c>
      <c r="L6" s="366">
        <v>11</v>
      </c>
      <c r="M6" s="366">
        <v>12</v>
      </c>
      <c r="N6" s="366">
        <v>13</v>
      </c>
      <c r="O6" s="366">
        <v>14</v>
      </c>
      <c r="P6" s="366">
        <v>15</v>
      </c>
      <c r="Q6" s="366">
        <v>16</v>
      </c>
      <c r="R6" s="366">
        <v>17</v>
      </c>
      <c r="S6" s="758">
        <v>18</v>
      </c>
      <c r="T6" s="455">
        <v>19</v>
      </c>
      <c r="U6" s="366">
        <v>20</v>
      </c>
      <c r="V6" s="366">
        <v>21</v>
      </c>
      <c r="W6" s="366">
        <v>22</v>
      </c>
      <c r="X6" s="366">
        <v>23</v>
      </c>
      <c r="Y6" s="366">
        <v>24</v>
      </c>
      <c r="Z6" s="366">
        <v>25</v>
      </c>
      <c r="AA6" s="366">
        <v>26</v>
      </c>
      <c r="AB6" s="366">
        <v>27</v>
      </c>
      <c r="AC6" s="366">
        <v>28</v>
      </c>
      <c r="AD6" s="775">
        <v>29</v>
      </c>
      <c r="AE6" s="366">
        <v>30</v>
      </c>
      <c r="AF6" s="366">
        <v>1</v>
      </c>
      <c r="AH6" s="896" t="s">
        <v>232</v>
      </c>
    </row>
    <row r="7" spans="1:148" s="183" customFormat="1" x14ac:dyDescent="0.4">
      <c r="A7" s="182"/>
      <c r="B7" s="371" t="s">
        <v>151</v>
      </c>
      <c r="C7" s="371" t="s">
        <v>145</v>
      </c>
      <c r="D7" s="371" t="s">
        <v>146</v>
      </c>
      <c r="E7" s="371" t="s">
        <v>147</v>
      </c>
      <c r="F7" s="371" t="s">
        <v>148</v>
      </c>
      <c r="G7" s="371" t="s">
        <v>149</v>
      </c>
      <c r="H7" s="371" t="s">
        <v>150</v>
      </c>
      <c r="I7" s="371" t="s">
        <v>151</v>
      </c>
      <c r="J7" s="776" t="s">
        <v>145</v>
      </c>
      <c r="K7" s="371" t="s">
        <v>146</v>
      </c>
      <c r="L7" s="371" t="s">
        <v>147</v>
      </c>
      <c r="M7" s="371" t="s">
        <v>148</v>
      </c>
      <c r="N7" s="371" t="s">
        <v>149</v>
      </c>
      <c r="O7" s="371" t="s">
        <v>150</v>
      </c>
      <c r="P7" s="371" t="s">
        <v>151</v>
      </c>
      <c r="Q7" s="371" t="s">
        <v>145</v>
      </c>
      <c r="R7" s="371" t="s">
        <v>146</v>
      </c>
      <c r="S7" s="371" t="s">
        <v>147</v>
      </c>
      <c r="T7" s="784" t="s">
        <v>148</v>
      </c>
      <c r="U7" s="371" t="s">
        <v>149</v>
      </c>
      <c r="V7" s="371" t="s">
        <v>150</v>
      </c>
      <c r="W7" s="371" t="s">
        <v>151</v>
      </c>
      <c r="X7" s="371" t="s">
        <v>145</v>
      </c>
      <c r="Y7" s="371" t="s">
        <v>146</v>
      </c>
      <c r="Z7" s="371" t="s">
        <v>147</v>
      </c>
      <c r="AA7" s="371" t="s">
        <v>148</v>
      </c>
      <c r="AB7" s="371" t="s">
        <v>149</v>
      </c>
      <c r="AC7" s="371" t="s">
        <v>150</v>
      </c>
      <c r="AD7" s="776" t="s">
        <v>151</v>
      </c>
      <c r="AE7" s="371" t="s">
        <v>145</v>
      </c>
      <c r="AF7" s="371" t="s">
        <v>146</v>
      </c>
      <c r="AG7" s="371" t="s">
        <v>19</v>
      </c>
      <c r="AH7" s="896"/>
      <c r="AI7" s="372" t="s">
        <v>246</v>
      </c>
      <c r="AJ7" s="372"/>
      <c r="AK7" s="372"/>
      <c r="AL7" s="372"/>
      <c r="AM7" s="372"/>
      <c r="AN7" s="372"/>
      <c r="AO7" s="372"/>
      <c r="AP7" s="372"/>
      <c r="AQ7" s="372"/>
      <c r="AR7" s="372"/>
      <c r="AS7" s="372"/>
      <c r="AT7" s="372"/>
      <c r="AU7" s="372"/>
      <c r="AV7" s="372"/>
      <c r="AW7" s="372"/>
      <c r="AX7" s="372"/>
      <c r="AY7" s="372"/>
      <c r="AZ7" s="372"/>
      <c r="BA7" s="372"/>
      <c r="BB7" s="372"/>
      <c r="BC7" s="372"/>
      <c r="BD7" s="372"/>
      <c r="BE7" s="372"/>
      <c r="BF7" s="372"/>
    </row>
    <row r="8" spans="1:148" s="229" customFormat="1" x14ac:dyDescent="0.35">
      <c r="A8" s="228" t="s">
        <v>140</v>
      </c>
      <c r="B8" s="709"/>
      <c r="C8" s="709">
        <f>4044+2565</f>
        <v>6609</v>
      </c>
      <c r="D8" s="709">
        <v>9769</v>
      </c>
      <c r="E8" s="709">
        <f>1037+3568+1432</f>
        <v>6037</v>
      </c>
      <c r="F8" s="709">
        <f>388+1405+4326+1405</f>
        <v>7524</v>
      </c>
      <c r="G8" s="709">
        <f>968+3031</f>
        <v>3999</v>
      </c>
      <c r="H8" s="709"/>
      <c r="I8" s="709"/>
      <c r="J8" s="777"/>
      <c r="K8" s="709">
        <v>6335</v>
      </c>
      <c r="L8" s="709">
        <f>3490+3722</f>
        <v>7212</v>
      </c>
      <c r="M8" s="709">
        <f>688+694+3767</f>
        <v>5149</v>
      </c>
      <c r="N8" s="709">
        <f>3266+2970</f>
        <v>6236</v>
      </c>
      <c r="O8" s="709"/>
      <c r="P8" s="709"/>
      <c r="Q8" s="709">
        <f>2914+3156</f>
        <v>6070</v>
      </c>
      <c r="R8" s="709">
        <v>8337</v>
      </c>
      <c r="S8" s="709">
        <f>5574+1111</f>
        <v>6685</v>
      </c>
      <c r="T8" s="785"/>
      <c r="U8" s="709">
        <f>1330+1126+2896</f>
        <v>5352</v>
      </c>
      <c r="V8" s="709"/>
      <c r="W8" s="709"/>
      <c r="X8" s="698">
        <f>5652+1558</f>
        <v>7210</v>
      </c>
      <c r="Y8" s="709">
        <v>5572</v>
      </c>
      <c r="Z8" s="709">
        <f>2152+7898</f>
        <v>10050</v>
      </c>
      <c r="AA8" s="709">
        <f>560+6248+879+287</f>
        <v>7974</v>
      </c>
      <c r="AB8" s="709">
        <f>4006+37+2051</f>
        <v>6094</v>
      </c>
      <c r="AC8" s="759"/>
      <c r="AD8" s="804">
        <f>160*2.75</f>
        <v>440</v>
      </c>
      <c r="AE8" s="760">
        <f>952+3182</f>
        <v>4134</v>
      </c>
      <c r="AF8" s="708"/>
      <c r="AG8" s="373">
        <f>SUM(B8:AF8)</f>
        <v>126788</v>
      </c>
      <c r="AH8" s="374">
        <v>108850</v>
      </c>
      <c r="AI8" s="375">
        <f>AG8-AH8</f>
        <v>17938</v>
      </c>
      <c r="AJ8" s="376"/>
      <c r="AK8" s="376"/>
      <c r="AL8" s="376"/>
      <c r="AM8" s="376"/>
      <c r="AN8" s="376"/>
      <c r="AO8" s="376"/>
      <c r="AP8" s="376"/>
      <c r="AQ8" s="376"/>
      <c r="AR8" s="376"/>
      <c r="AS8" s="376"/>
      <c r="AT8" s="376"/>
      <c r="AU8" s="376"/>
      <c r="AV8" s="376"/>
      <c r="AW8" s="376"/>
      <c r="AX8" s="376"/>
      <c r="AY8" s="376"/>
      <c r="AZ8" s="376"/>
      <c r="BA8" s="376"/>
      <c r="BB8" s="376"/>
      <c r="BC8" s="376"/>
      <c r="BD8" s="376"/>
      <c r="BE8" s="376"/>
      <c r="BF8" s="376"/>
    </row>
    <row r="9" spans="1:148" x14ac:dyDescent="0.35">
      <c r="A9" s="184" t="s">
        <v>142</v>
      </c>
      <c r="B9" s="698"/>
      <c r="C9" s="698">
        <f>(2565*0.066)+(4044*0.0708)</f>
        <v>455.60520000000002</v>
      </c>
      <c r="D9" s="698">
        <f t="shared" ref="D9:AF9" si="0">D8*0.066</f>
        <v>644.75400000000002</v>
      </c>
      <c r="E9" s="698">
        <f t="shared" si="0"/>
        <v>398.44200000000001</v>
      </c>
      <c r="F9" s="698">
        <f t="shared" si="0"/>
        <v>496.584</v>
      </c>
      <c r="G9" s="698">
        <f t="shared" si="0"/>
        <v>263.93400000000003</v>
      </c>
      <c r="H9" s="698">
        <f t="shared" si="0"/>
        <v>0</v>
      </c>
      <c r="I9" s="698">
        <f t="shared" si="0"/>
        <v>0</v>
      </c>
      <c r="J9" s="777">
        <f t="shared" si="0"/>
        <v>0</v>
      </c>
      <c r="K9" s="698">
        <f t="shared" si="0"/>
        <v>418.11</v>
      </c>
      <c r="L9" s="698">
        <f t="shared" si="0"/>
        <v>475.99200000000002</v>
      </c>
      <c r="M9" s="698">
        <f t="shared" si="0"/>
        <v>339.834</v>
      </c>
      <c r="N9" s="698">
        <f t="shared" si="0"/>
        <v>411.57600000000002</v>
      </c>
      <c r="O9" s="698">
        <f t="shared" si="0"/>
        <v>0</v>
      </c>
      <c r="P9" s="698">
        <f t="shared" si="0"/>
        <v>0</v>
      </c>
      <c r="Q9" s="698">
        <f t="shared" si="0"/>
        <v>400.62</v>
      </c>
      <c r="R9" s="698">
        <f t="shared" si="0"/>
        <v>550.24200000000008</v>
      </c>
      <c r="S9" s="698">
        <f>(5574*0.066)+(1111*0.0708)</f>
        <v>446.5428</v>
      </c>
      <c r="T9" s="785">
        <f t="shared" si="0"/>
        <v>0</v>
      </c>
      <c r="U9" s="698">
        <f>((1330+1126)*0.0708)+(2896*0.066)</f>
        <v>365.02080000000001</v>
      </c>
      <c r="V9" s="698">
        <f t="shared" si="0"/>
        <v>0</v>
      </c>
      <c r="W9" s="698">
        <f t="shared" si="0"/>
        <v>0</v>
      </c>
      <c r="X9" s="698">
        <f t="shared" si="0"/>
        <v>475.86</v>
      </c>
      <c r="Y9" s="698">
        <f t="shared" si="0"/>
        <v>367.75200000000001</v>
      </c>
      <c r="Z9" s="698">
        <f t="shared" si="0"/>
        <v>663.30000000000007</v>
      </c>
      <c r="AA9" s="698">
        <f t="shared" si="0"/>
        <v>526.28399999999999</v>
      </c>
      <c r="AB9" s="698">
        <f t="shared" si="0"/>
        <v>402.20400000000001</v>
      </c>
      <c r="AC9" s="698">
        <f t="shared" si="0"/>
        <v>0</v>
      </c>
      <c r="AD9" s="777">
        <f>AD8*0.066</f>
        <v>29.040000000000003</v>
      </c>
      <c r="AE9" s="698">
        <f t="shared" si="0"/>
        <v>272.84399999999999</v>
      </c>
      <c r="AF9" s="698">
        <f t="shared" si="0"/>
        <v>0</v>
      </c>
      <c r="AG9" s="377">
        <f>SUM($B9:AF9)</f>
        <v>8404.5408000000007</v>
      </c>
      <c r="AH9" s="377"/>
    </row>
    <row r="10" spans="1:148" s="185" customFormat="1" x14ac:dyDescent="0.35">
      <c r="A10" s="185" t="s">
        <v>139</v>
      </c>
      <c r="B10" s="710"/>
      <c r="C10" s="766" t="s">
        <v>285</v>
      </c>
      <c r="D10" s="767" t="s">
        <v>287</v>
      </c>
      <c r="E10" s="767" t="s">
        <v>289</v>
      </c>
      <c r="F10" s="712" t="s">
        <v>292</v>
      </c>
      <c r="G10" s="712" t="s">
        <v>293</v>
      </c>
      <c r="H10" s="711"/>
      <c r="I10" s="723"/>
      <c r="J10" s="778"/>
      <c r="K10" s="724" t="s">
        <v>291</v>
      </c>
      <c r="L10" s="724" t="s">
        <v>295</v>
      </c>
      <c r="M10" s="724" t="s">
        <v>296</v>
      </c>
      <c r="N10" s="710" t="s">
        <v>298</v>
      </c>
      <c r="O10" s="727"/>
      <c r="P10" s="727"/>
      <c r="Q10" s="712" t="s">
        <v>299</v>
      </c>
      <c r="R10" s="773" t="s">
        <v>287</v>
      </c>
      <c r="S10" s="710" t="s">
        <v>301</v>
      </c>
      <c r="T10" s="786"/>
      <c r="U10" s="712" t="s">
        <v>302</v>
      </c>
      <c r="V10" s="710"/>
      <c r="W10" s="710"/>
      <c r="X10" s="712" t="s">
        <v>304</v>
      </c>
      <c r="Y10" s="710" t="s">
        <v>291</v>
      </c>
      <c r="Z10" s="710" t="s">
        <v>290</v>
      </c>
      <c r="AA10" s="711" t="s">
        <v>289</v>
      </c>
      <c r="AB10" s="710" t="s">
        <v>309</v>
      </c>
      <c r="AC10" s="761"/>
      <c r="AD10" s="778" t="s">
        <v>8</v>
      </c>
      <c r="AE10" s="791" t="s">
        <v>310</v>
      </c>
      <c r="AF10" s="711"/>
      <c r="AG10" s="380"/>
      <c r="AH10" s="380"/>
      <c r="AI10" s="366"/>
      <c r="AJ10" s="376"/>
      <c r="AK10" s="376" t="s">
        <v>61</v>
      </c>
      <c r="AL10" s="376"/>
      <c r="AM10" s="376"/>
      <c r="AN10" s="376"/>
      <c r="AO10" s="376"/>
      <c r="AP10" s="376"/>
      <c r="AQ10" s="376"/>
      <c r="AR10" s="376"/>
      <c r="AS10" s="376"/>
      <c r="AT10" s="376"/>
      <c r="AU10" s="376"/>
      <c r="AV10" s="376"/>
      <c r="AW10" s="376"/>
      <c r="AX10" s="376"/>
      <c r="AY10" s="376"/>
      <c r="AZ10" s="376"/>
      <c r="BA10" s="376"/>
      <c r="BB10" s="376"/>
      <c r="BC10" s="376"/>
      <c r="BD10" s="376"/>
      <c r="BE10" s="376"/>
      <c r="BF10" s="376"/>
    </row>
    <row r="11" spans="1:148" s="187" customFormat="1" ht="1.5" customHeight="1" x14ac:dyDescent="0.35">
      <c r="A11" s="186"/>
      <c r="B11" s="381"/>
      <c r="C11" s="381"/>
      <c r="D11" s="381"/>
      <c r="E11" s="382"/>
      <c r="F11" s="381"/>
      <c r="G11" s="381"/>
      <c r="H11" s="614"/>
      <c r="I11" s="381"/>
      <c r="J11" s="779"/>
      <c r="K11" s="381"/>
      <c r="L11" s="381"/>
      <c r="M11" s="381"/>
      <c r="N11" s="381"/>
      <c r="O11" s="381"/>
      <c r="P11" s="381"/>
      <c r="Q11" s="381"/>
      <c r="R11" s="381"/>
      <c r="S11" s="381"/>
      <c r="T11" s="787"/>
      <c r="U11" s="381"/>
      <c r="V11" s="381"/>
      <c r="W11" s="381"/>
      <c r="X11" s="381"/>
      <c r="Y11" s="381"/>
      <c r="Z11" s="381"/>
      <c r="AA11" s="381"/>
      <c r="AB11" s="381"/>
      <c r="AC11" s="762"/>
      <c r="AD11" s="762"/>
      <c r="AE11" s="762"/>
      <c r="AF11" s="381"/>
      <c r="AG11" s="383"/>
      <c r="AH11" s="383"/>
      <c r="AI11" s="384"/>
      <c r="AJ11" s="376"/>
      <c r="AK11" s="376"/>
      <c r="AL11" s="376"/>
      <c r="AM11" s="376"/>
      <c r="AN11" s="376"/>
      <c r="AO11" s="376"/>
      <c r="AP11" s="376"/>
      <c r="AQ11" s="376"/>
      <c r="AR11" s="376"/>
      <c r="AS11" s="376"/>
      <c r="AT11" s="376"/>
      <c r="AU11" s="376"/>
      <c r="AV11" s="376"/>
      <c r="AW11" s="376"/>
      <c r="AX11" s="376"/>
      <c r="AY11" s="376"/>
      <c r="AZ11" s="376"/>
      <c r="BA11" s="376"/>
      <c r="BB11" s="376"/>
      <c r="BC11" s="376"/>
      <c r="BD11" s="376"/>
      <c r="BE11" s="376"/>
      <c r="BF11" s="376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/>
      <c r="BY11" s="185"/>
      <c r="BZ11" s="185"/>
      <c r="CA11" s="185"/>
      <c r="CB11" s="185"/>
      <c r="CC11" s="185"/>
      <c r="CD11" s="185"/>
      <c r="CE11" s="185"/>
      <c r="CF11" s="185"/>
      <c r="CG11" s="185"/>
      <c r="CH11" s="185"/>
      <c r="CI11" s="185"/>
      <c r="CJ11" s="185"/>
      <c r="CK11" s="185"/>
      <c r="CL11" s="185"/>
      <c r="CM11" s="185"/>
      <c r="CN11" s="185"/>
      <c r="CO11" s="185"/>
      <c r="CP11" s="185"/>
      <c r="CQ11" s="185"/>
      <c r="CR11" s="185"/>
      <c r="CS11" s="185"/>
      <c r="CT11" s="185"/>
      <c r="CU11" s="185"/>
      <c r="CV11" s="185"/>
      <c r="CW11" s="185"/>
      <c r="CX11" s="185"/>
      <c r="CY11" s="185"/>
      <c r="CZ11" s="185"/>
      <c r="DA11" s="185"/>
      <c r="DB11" s="185"/>
      <c r="DC11" s="185"/>
      <c r="DD11" s="185"/>
      <c r="DE11" s="185"/>
      <c r="DF11" s="185"/>
      <c r="DG11" s="185"/>
      <c r="DH11" s="185"/>
      <c r="DI11" s="185"/>
      <c r="DJ11" s="185"/>
      <c r="DK11" s="185"/>
      <c r="DL11" s="185"/>
      <c r="DM11" s="185"/>
      <c r="DN11" s="185"/>
      <c r="DO11" s="185"/>
      <c r="DP11" s="185"/>
      <c r="DQ11" s="185"/>
      <c r="DR11" s="185"/>
      <c r="DS11" s="185"/>
      <c r="DT11" s="185"/>
      <c r="DU11" s="185"/>
      <c r="DV11" s="185"/>
      <c r="DW11" s="185"/>
      <c r="DX11" s="185"/>
      <c r="DY11" s="185"/>
      <c r="DZ11" s="185"/>
      <c r="EA11" s="185"/>
      <c r="EB11" s="185"/>
      <c r="EC11" s="185"/>
      <c r="ED11" s="185"/>
      <c r="EE11" s="185"/>
      <c r="EF11" s="185"/>
      <c r="EG11" s="185"/>
      <c r="EH11" s="185"/>
      <c r="EI11" s="185"/>
      <c r="EJ11" s="185"/>
      <c r="EK11" s="185"/>
      <c r="EL11" s="185"/>
      <c r="EM11" s="185"/>
      <c r="EN11" s="185"/>
      <c r="EO11" s="185"/>
      <c r="EP11" s="185"/>
      <c r="EQ11" s="185"/>
      <c r="ER11" s="185"/>
    </row>
    <row r="12" spans="1:148" ht="27.75" customHeight="1" x14ac:dyDescent="0.4">
      <c r="A12" s="188" t="s">
        <v>226</v>
      </c>
      <c r="B12" s="385"/>
      <c r="C12" s="385">
        <v>204.8</v>
      </c>
      <c r="D12" s="385">
        <v>362.6</v>
      </c>
      <c r="E12" s="385">
        <f>50*10</f>
        <v>500</v>
      </c>
      <c r="F12" s="385">
        <v>452.1</v>
      </c>
      <c r="G12" s="385">
        <f>51.5*4</f>
        <v>206</v>
      </c>
      <c r="H12" s="385"/>
      <c r="I12" s="385"/>
      <c r="J12" s="780"/>
      <c r="K12" s="385">
        <v>354.8</v>
      </c>
      <c r="L12" s="385">
        <v>458.7</v>
      </c>
      <c r="M12" s="385">
        <v>353.1</v>
      </c>
      <c r="N12" s="385">
        <v>255.5</v>
      </c>
      <c r="O12" s="385">
        <v>216.9</v>
      </c>
      <c r="P12" s="385"/>
      <c r="Q12" s="385">
        <v>364.2</v>
      </c>
      <c r="R12" s="385">
        <v>350.3</v>
      </c>
      <c r="S12" s="780">
        <v>212</v>
      </c>
      <c r="T12" s="788"/>
      <c r="U12" s="780"/>
      <c r="V12" s="385"/>
      <c r="W12" s="385"/>
      <c r="X12" s="385">
        <f>(50.2*3)+48</f>
        <v>198.60000000000002</v>
      </c>
      <c r="Y12" s="385">
        <v>355.1</v>
      </c>
      <c r="Z12" s="385">
        <f>454.2+50</f>
        <v>504.2</v>
      </c>
      <c r="AA12" s="385">
        <v>557.29999999999995</v>
      </c>
      <c r="AB12" s="385">
        <v>354.9</v>
      </c>
      <c r="AC12" s="763">
        <v>457.1</v>
      </c>
      <c r="AD12" s="763">
        <v>206.2</v>
      </c>
      <c r="AE12" s="763">
        <v>512.4</v>
      </c>
      <c r="AF12" s="385"/>
      <c r="AG12" s="386">
        <f>SUM(B12:AF12)</f>
        <v>7436.8</v>
      </c>
      <c r="AH12" s="387"/>
      <c r="AI12" s="367"/>
    </row>
    <row r="13" spans="1:148" x14ac:dyDescent="0.35">
      <c r="A13" s="189" t="s">
        <v>227</v>
      </c>
      <c r="B13" s="722"/>
      <c r="C13" s="615" t="s">
        <v>286</v>
      </c>
      <c r="D13" s="615" t="s">
        <v>288</v>
      </c>
      <c r="E13" s="616" t="s">
        <v>291</v>
      </c>
      <c r="F13" s="616" t="s">
        <v>290</v>
      </c>
      <c r="G13" s="723" t="s">
        <v>294</v>
      </c>
      <c r="H13" s="723"/>
      <c r="I13" s="615"/>
      <c r="J13" s="781"/>
      <c r="K13" s="615" t="s">
        <v>291</v>
      </c>
      <c r="L13" s="378" t="s">
        <v>291</v>
      </c>
      <c r="M13" s="615" t="s">
        <v>297</v>
      </c>
      <c r="N13" s="615" t="s">
        <v>297</v>
      </c>
      <c r="O13" s="711" t="s">
        <v>303</v>
      </c>
      <c r="P13" s="615"/>
      <c r="Q13" s="616" t="s">
        <v>300</v>
      </c>
      <c r="R13" s="378" t="s">
        <v>301</v>
      </c>
      <c r="S13" s="783" t="s">
        <v>291</v>
      </c>
      <c r="T13" s="789"/>
      <c r="U13" s="783"/>
      <c r="V13" s="378"/>
      <c r="W13" s="378"/>
      <c r="X13" s="616" t="s">
        <v>291</v>
      </c>
      <c r="Y13" s="616" t="s">
        <v>305</v>
      </c>
      <c r="Z13" s="378" t="s">
        <v>306</v>
      </c>
      <c r="AA13" s="378" t="s">
        <v>308</v>
      </c>
      <c r="AB13" s="723" t="s">
        <v>311</v>
      </c>
      <c r="AC13" s="761" t="s">
        <v>289</v>
      </c>
      <c r="AD13" s="378" t="s">
        <v>291</v>
      </c>
      <c r="AE13" s="764" t="s">
        <v>291</v>
      </c>
      <c r="AF13" s="379"/>
      <c r="AG13" s="387"/>
      <c r="AH13" s="387"/>
      <c r="AI13" s="367"/>
    </row>
    <row r="14" spans="1:148" ht="24.75" customHeight="1" x14ac:dyDescent="0.35">
      <c r="A14" s="180" t="s">
        <v>229</v>
      </c>
      <c r="B14" s="367"/>
      <c r="C14" s="367">
        <v>4</v>
      </c>
      <c r="D14" s="367">
        <f>2+5</f>
        <v>7</v>
      </c>
      <c r="E14" s="367">
        <v>10</v>
      </c>
      <c r="F14" s="367">
        <f>1+8</f>
        <v>9</v>
      </c>
      <c r="G14" s="367">
        <v>4</v>
      </c>
      <c r="H14" s="367"/>
      <c r="I14" s="367"/>
      <c r="J14" s="782"/>
      <c r="K14" s="367">
        <v>7</v>
      </c>
      <c r="L14" s="367">
        <v>9</v>
      </c>
      <c r="M14" s="367">
        <v>7</v>
      </c>
      <c r="N14" s="367">
        <v>5</v>
      </c>
      <c r="O14" s="367">
        <v>4</v>
      </c>
      <c r="Q14" s="367">
        <f>4+3</f>
        <v>7</v>
      </c>
      <c r="R14" s="367">
        <f>4+3</f>
        <v>7</v>
      </c>
      <c r="S14" s="782">
        <v>4</v>
      </c>
      <c r="T14" s="790"/>
      <c r="U14" s="782"/>
      <c r="X14" s="367">
        <v>4</v>
      </c>
      <c r="Y14" s="367">
        <v>7</v>
      </c>
      <c r="Z14" s="367">
        <f>1+5+4</f>
        <v>10</v>
      </c>
      <c r="AA14" s="367">
        <f>4+7</f>
        <v>11</v>
      </c>
      <c r="AB14" s="367">
        <f>2+2+1</f>
        <v>5</v>
      </c>
      <c r="AC14" s="765">
        <f>3+6</f>
        <v>9</v>
      </c>
      <c r="AD14" s="765">
        <v>4</v>
      </c>
      <c r="AE14" s="765">
        <v>10</v>
      </c>
      <c r="AF14" s="367" t="s">
        <v>61</v>
      </c>
      <c r="AG14" s="365">
        <f>SUM($B14:AF14)</f>
        <v>144</v>
      </c>
    </row>
    <row r="15" spans="1:148" s="191" customFormat="1" ht="26.25" customHeight="1" x14ac:dyDescent="0.35">
      <c r="A15" s="190" t="s">
        <v>228</v>
      </c>
      <c r="B15" s="388" t="str">
        <f>IF(B$12=0,"",+(B36*10)/B$12)</f>
        <v/>
      </c>
      <c r="C15" s="388">
        <f>IF(C$12=0,"",+(C36*10)/C$12)</f>
        <v>5.517578125</v>
      </c>
      <c r="D15" s="388">
        <f>IF(D$12=0,"",+(D36*10)/D$12)</f>
        <v>3.5852178709321563</v>
      </c>
      <c r="E15" s="388">
        <f t="shared" ref="E15:AB15" si="1">IF(E$12=0,"",+(E36*10)/E$12)</f>
        <v>3.46</v>
      </c>
      <c r="F15" s="388">
        <f>IF(F$12=0,"",+(F36*10)/F$12)</f>
        <v>4.9104180491041802</v>
      </c>
      <c r="G15" s="388">
        <f t="shared" ref="G15:K15" si="2">IF(G$12=0,"",+(G36*10)/G$12)</f>
        <v>5.9223300970873787</v>
      </c>
      <c r="H15" s="388" t="str">
        <f t="shared" si="2"/>
        <v/>
      </c>
      <c r="I15" s="388" t="str">
        <f>IF(I$12=0,"",+(I36*10)/I$12)</f>
        <v/>
      </c>
      <c r="J15" s="388" t="str">
        <f>IF(J$12=0,"",+(J36*10)/J$12)</f>
        <v/>
      </c>
      <c r="K15" s="388">
        <f t="shared" si="2"/>
        <v>2.818489289740699</v>
      </c>
      <c r="L15" s="388">
        <f>IF(L$12=0,"",+(L36*10)/L$12)</f>
        <v>3.9241334205362985</v>
      </c>
      <c r="M15" s="389">
        <f t="shared" ref="M15:O15" si="3">IF(M$12=0,"",+(M36*10)/M$12)</f>
        <v>3.6533559898045875</v>
      </c>
      <c r="N15" s="389">
        <f t="shared" si="3"/>
        <v>5.283757338551859</v>
      </c>
      <c r="O15" s="389">
        <f t="shared" si="3"/>
        <v>3.4117104656523742</v>
      </c>
      <c r="P15" s="389" t="str">
        <f>IF(P$12=0,"",+(P36*10)/P$12)</f>
        <v/>
      </c>
      <c r="Q15" s="389">
        <f>IF(Q$12=0,"",+(Q36*10)/Q$12)</f>
        <v>2.9379461834157059</v>
      </c>
      <c r="R15" s="389">
        <f>IF(R$12=0,"",+(R36*10)/R$12)</f>
        <v>5.0528118755352551</v>
      </c>
      <c r="S15" s="389">
        <f t="shared" si="1"/>
        <v>4.9528301886792452</v>
      </c>
      <c r="T15" s="389" t="str">
        <f>IF(T$12=0,"",+(T36*10)/T$12)</f>
        <v/>
      </c>
      <c r="U15" s="389" t="str">
        <f t="shared" si="1"/>
        <v/>
      </c>
      <c r="V15" s="389" t="str">
        <f t="shared" si="1"/>
        <v/>
      </c>
      <c r="W15" s="389" t="str">
        <f t="shared" si="1"/>
        <v/>
      </c>
      <c r="X15" s="389">
        <f>IF(X$12=0,"",+(X36*10)/X$12)</f>
        <v>3.3736153071500499</v>
      </c>
      <c r="Y15" s="389">
        <f>IF(Y$12=0,"",+(Y36*10)/Y$12)</f>
        <v>6.0264714165023934</v>
      </c>
      <c r="Z15" s="389">
        <f>IF(Z$12=0,"",+(Z36*10)/Z$12)</f>
        <v>3.2130107100357002</v>
      </c>
      <c r="AA15" s="389">
        <f>IF(AA$12=0,"",+(AA36*10)/AA$12)</f>
        <v>3.49901309886955</v>
      </c>
      <c r="AB15" s="389">
        <f t="shared" si="1"/>
        <v>4.1701887855734014</v>
      </c>
      <c r="AC15" s="389">
        <f>IF(AC$12=0,"",+(AC36*10)/AC$12)</f>
        <v>4.5723036534675128</v>
      </c>
      <c r="AD15" s="389">
        <f>IF(AD$12=0,"",+(AD36*10)/AD$12)</f>
        <v>3.7342386032977695</v>
      </c>
      <c r="AE15" s="389">
        <f>IF(AE$12=0,"",+(AE36*10)/AE$12)</f>
        <v>3.5909445745511319</v>
      </c>
      <c r="AF15" s="389" t="str">
        <f>IF(AF$12=0,"",+(AF36*10)/AF$12)</f>
        <v/>
      </c>
      <c r="AG15" s="388">
        <f>IF(AG12=0,"",+(AG36*10)/AG12)</f>
        <v>4.0824010327022373</v>
      </c>
      <c r="AH15" s="390"/>
      <c r="AI15" s="391">
        <f>AH15-AG15</f>
        <v>-4.0824010327022373</v>
      </c>
      <c r="AJ15" s="366"/>
      <c r="AK15" s="366"/>
      <c r="AL15" s="366"/>
      <c r="AM15" s="366"/>
      <c r="AN15" s="366"/>
      <c r="AO15" s="366"/>
      <c r="AP15" s="366"/>
      <c r="AQ15" s="366"/>
      <c r="AR15" s="366"/>
      <c r="AS15" s="366"/>
      <c r="AT15" s="366"/>
      <c r="AU15" s="366"/>
      <c r="AV15" s="366"/>
      <c r="AW15" s="366"/>
      <c r="AX15" s="366"/>
      <c r="AY15" s="366"/>
      <c r="AZ15" s="366"/>
      <c r="BA15" s="366"/>
      <c r="BB15" s="366"/>
      <c r="BC15" s="366"/>
      <c r="BD15" s="366"/>
      <c r="BE15" s="366"/>
      <c r="BF15" s="366"/>
      <c r="BG15" s="180"/>
      <c r="BH15" s="180"/>
      <c r="BI15" s="180"/>
      <c r="BJ15" s="180"/>
      <c r="BK15" s="180"/>
      <c r="BL15" s="180"/>
      <c r="BM15" s="180"/>
      <c r="BN15" s="180"/>
      <c r="BO15" s="180"/>
      <c r="BP15" s="180"/>
      <c r="BQ15" s="180"/>
      <c r="BR15" s="180"/>
      <c r="BS15" s="180"/>
      <c r="BT15" s="180"/>
      <c r="BU15" s="180"/>
      <c r="BV15" s="180"/>
      <c r="BW15" s="180"/>
      <c r="BX15" s="180"/>
      <c r="BY15" s="180"/>
      <c r="BZ15" s="180"/>
      <c r="CA15" s="180"/>
      <c r="CB15" s="180"/>
      <c r="CC15" s="180"/>
      <c r="CD15" s="180"/>
      <c r="CE15" s="180"/>
      <c r="CF15" s="180"/>
      <c r="CG15" s="180"/>
      <c r="CH15" s="180"/>
      <c r="CI15" s="180"/>
      <c r="CJ15" s="180"/>
      <c r="CK15" s="180"/>
      <c r="CL15" s="180"/>
      <c r="CM15" s="180"/>
      <c r="CN15" s="180"/>
      <c r="CO15" s="180"/>
      <c r="CP15" s="180"/>
      <c r="CQ15" s="180"/>
      <c r="CR15" s="180"/>
      <c r="CS15" s="180"/>
      <c r="CT15" s="180"/>
      <c r="CU15" s="180"/>
      <c r="CV15" s="180"/>
      <c r="CW15" s="180"/>
      <c r="CX15" s="180"/>
      <c r="CY15" s="180"/>
      <c r="CZ15" s="180"/>
      <c r="DA15" s="180"/>
      <c r="DB15" s="180"/>
      <c r="DC15" s="180"/>
      <c r="DD15" s="180"/>
      <c r="DE15" s="180"/>
      <c r="DF15" s="180"/>
      <c r="DG15" s="180"/>
      <c r="DH15" s="180"/>
      <c r="DI15" s="180"/>
      <c r="DJ15" s="180"/>
      <c r="DK15" s="180"/>
      <c r="DL15" s="180"/>
      <c r="DM15" s="180"/>
      <c r="DN15" s="180"/>
      <c r="DO15" s="180"/>
      <c r="DP15" s="180"/>
      <c r="DQ15" s="180"/>
      <c r="DR15" s="180"/>
      <c r="DS15" s="180"/>
      <c r="DT15" s="180"/>
      <c r="DU15" s="180"/>
      <c r="DV15" s="180"/>
      <c r="DW15" s="180"/>
      <c r="DX15" s="180"/>
      <c r="DY15" s="180"/>
      <c r="DZ15" s="180"/>
      <c r="EA15" s="180"/>
      <c r="EB15" s="180"/>
      <c r="EC15" s="180"/>
      <c r="ED15" s="180"/>
      <c r="EE15" s="180"/>
      <c r="EF15" s="180"/>
      <c r="EG15" s="180"/>
      <c r="EH15" s="180"/>
      <c r="EI15" s="180"/>
      <c r="EJ15" s="180"/>
      <c r="EK15" s="180"/>
      <c r="EL15" s="180"/>
      <c r="EM15" s="180"/>
      <c r="EN15" s="180"/>
      <c r="EO15" s="180"/>
      <c r="EP15" s="180"/>
      <c r="EQ15" s="180"/>
      <c r="ER15" s="180"/>
    </row>
    <row r="16" spans="1:148" ht="19.5" customHeight="1" x14ac:dyDescent="0.35">
      <c r="M16" s="367"/>
    </row>
    <row r="17" spans="1:148" ht="30" x14ac:dyDescent="0.4">
      <c r="A17" s="181" t="s">
        <v>234</v>
      </c>
      <c r="M17" s="367"/>
      <c r="AL17" s="366" t="s">
        <v>61</v>
      </c>
    </row>
    <row r="18" spans="1:148" s="193" customFormat="1" outlineLevel="1" x14ac:dyDescent="0.4">
      <c r="A18" s="192"/>
      <c r="B18" s="392"/>
      <c r="C18" s="392"/>
      <c r="D18" s="392"/>
      <c r="E18" s="392"/>
      <c r="F18" s="392"/>
      <c r="G18" s="392"/>
      <c r="H18" s="392"/>
      <c r="I18" s="392"/>
      <c r="J18" s="392"/>
      <c r="K18" s="392"/>
      <c r="L18" s="392"/>
      <c r="M18" s="392"/>
      <c r="N18" s="392"/>
      <c r="O18" s="392"/>
      <c r="P18" s="392"/>
      <c r="Q18" s="392"/>
      <c r="R18" s="392"/>
      <c r="S18" s="392"/>
      <c r="T18" s="392"/>
      <c r="U18" s="392"/>
      <c r="V18" s="392"/>
      <c r="W18" s="392"/>
      <c r="X18" s="392"/>
      <c r="Y18" s="392"/>
      <c r="Z18" s="392"/>
      <c r="AA18" s="392"/>
      <c r="AB18" s="392"/>
      <c r="AC18" s="392"/>
      <c r="AD18" s="392"/>
      <c r="AE18" s="392"/>
      <c r="AF18" s="392"/>
      <c r="AG18" s="372" t="s">
        <v>89</v>
      </c>
      <c r="AH18" s="372"/>
      <c r="AI18" s="392"/>
      <c r="AJ18" s="392"/>
      <c r="AK18" s="392"/>
      <c r="AL18" s="392"/>
      <c r="AM18" s="392"/>
      <c r="AN18" s="392"/>
      <c r="AO18" s="392"/>
      <c r="AP18" s="392"/>
      <c r="AQ18" s="392"/>
      <c r="AR18" s="392"/>
      <c r="AS18" s="392"/>
      <c r="AT18" s="392"/>
      <c r="AU18" s="392"/>
      <c r="AV18" s="392"/>
      <c r="AW18" s="392"/>
      <c r="AX18" s="392"/>
      <c r="AY18" s="392"/>
      <c r="AZ18" s="392"/>
      <c r="BA18" s="392"/>
      <c r="BB18" s="392"/>
      <c r="BC18" s="392"/>
      <c r="BD18" s="392"/>
      <c r="BE18" s="392"/>
      <c r="BF18" s="392"/>
    </row>
    <row r="19" spans="1:148" ht="45.75" customHeight="1" outlineLevel="1" x14ac:dyDescent="0.35">
      <c r="A19" s="194" t="s">
        <v>143</v>
      </c>
      <c r="B19" s="393" t="str">
        <f>+'Water '!$C7</f>
        <v>0</v>
      </c>
      <c r="C19" s="393" t="str">
        <f>+'Water '!$C8</f>
        <v>0</v>
      </c>
      <c r="D19" s="393" t="str">
        <f>+'Water '!$C9</f>
        <v>0</v>
      </c>
      <c r="E19" s="393" t="str">
        <f>+'Water '!$C10</f>
        <v>0</v>
      </c>
      <c r="F19" s="393" t="str">
        <f>+'Water '!$C11</f>
        <v>0</v>
      </c>
      <c r="G19" s="393" t="str">
        <f>+'Water '!$C12</f>
        <v>0</v>
      </c>
      <c r="H19" s="393" t="str">
        <f>+'Water '!$C13</f>
        <v>0</v>
      </c>
      <c r="I19" s="393" t="str">
        <f>+'Water '!$C14</f>
        <v>0</v>
      </c>
      <c r="J19" s="394" t="str">
        <f>+'Water '!$C15</f>
        <v>0</v>
      </c>
      <c r="K19" s="394" t="str">
        <f>+'Water '!$C16</f>
        <v>0</v>
      </c>
      <c r="L19" s="394" t="str">
        <f>+'Water '!$C17</f>
        <v>0</v>
      </c>
      <c r="M19" s="394" t="str">
        <f>+'Water '!$C18</f>
        <v>0</v>
      </c>
      <c r="N19" s="394" t="str">
        <f>+'Water '!$C18</f>
        <v>0</v>
      </c>
      <c r="O19" s="394" t="str">
        <f>+'Water '!$C20</f>
        <v>0</v>
      </c>
      <c r="P19" s="394" t="str">
        <f>+'Water '!$C21</f>
        <v>0</v>
      </c>
      <c r="Q19" s="394" t="str">
        <f>+'Water '!$C22</f>
        <v>0</v>
      </c>
      <c r="R19" s="394" t="str">
        <f>+'Water '!$C23</f>
        <v>0</v>
      </c>
      <c r="S19" s="394" t="str">
        <f>+'Water '!$C24</f>
        <v>0</v>
      </c>
      <c r="T19" s="394" t="str">
        <f>+'Water '!$C25</f>
        <v>0</v>
      </c>
      <c r="U19" s="394" t="str">
        <f>+'Water '!$C26</f>
        <v>0</v>
      </c>
      <c r="V19" s="394" t="str">
        <f>+'Water '!$C27</f>
        <v>0</v>
      </c>
      <c r="W19" s="394" t="str">
        <f>+'Water '!$C28</f>
        <v>0</v>
      </c>
      <c r="X19" s="394" t="str">
        <f>+'Water '!$C29</f>
        <v>0</v>
      </c>
      <c r="Y19" s="394" t="str">
        <f>+'Water '!$C30</f>
        <v>0</v>
      </c>
      <c r="Z19" s="394" t="str">
        <f>+'Water '!$C31</f>
        <v>0</v>
      </c>
      <c r="AA19" s="394" t="str">
        <f>+'Water '!$C32</f>
        <v>0</v>
      </c>
      <c r="AB19" s="394" t="str">
        <f>+'Water '!$C33</f>
        <v>0</v>
      </c>
      <c r="AC19" s="394" t="str">
        <f>+'Water '!$C34</f>
        <v>0</v>
      </c>
      <c r="AD19" s="394" t="str">
        <f>+'Water '!$C35</f>
        <v>0</v>
      </c>
      <c r="AE19" s="394" t="str">
        <f>+'Water '!$C36</f>
        <v>0</v>
      </c>
      <c r="AF19" s="394" t="str">
        <f>+'Water '!$C37</f>
        <v>0</v>
      </c>
      <c r="AG19" s="377">
        <f>SUM($B19:AF19)</f>
        <v>0</v>
      </c>
      <c r="AH19" s="377"/>
      <c r="AM19" s="366" t="s">
        <v>61</v>
      </c>
    </row>
    <row r="20" spans="1:148" outlineLevel="1" x14ac:dyDescent="0.35">
      <c r="A20" s="194" t="s">
        <v>128</v>
      </c>
      <c r="B20" s="393" t="str">
        <f>+'Water '!$D7</f>
        <v>0</v>
      </c>
      <c r="C20" s="393">
        <f>+'Water '!$D8</f>
        <v>267</v>
      </c>
      <c r="D20" s="393">
        <f>+'Water '!$D9</f>
        <v>288</v>
      </c>
      <c r="E20" s="393">
        <f>+'Water '!$D10</f>
        <v>198</v>
      </c>
      <c r="F20" s="393">
        <f>+'Water '!$D11</f>
        <v>141</v>
      </c>
      <c r="G20" s="393">
        <f>+'Water '!$D12</f>
        <v>223</v>
      </c>
      <c r="H20" s="393" t="str">
        <f>+'Water '!$D13</f>
        <v>0</v>
      </c>
      <c r="I20" s="393" t="str">
        <f>+'Water '!$D14</f>
        <v>0</v>
      </c>
      <c r="J20" s="394" t="str">
        <f>+'Water '!$D15</f>
        <v>0</v>
      </c>
      <c r="K20" s="394">
        <f>+'Water '!$D16</f>
        <v>171</v>
      </c>
      <c r="L20" s="394">
        <f>+'Water '!$D17</f>
        <v>304</v>
      </c>
      <c r="M20" s="394">
        <f>+'Water '!$D18</f>
        <v>24</v>
      </c>
      <c r="N20" s="394">
        <f>+'Water '!$D19</f>
        <v>69</v>
      </c>
      <c r="O20" s="394" t="str">
        <f>+'Water '!$D20</f>
        <v>0</v>
      </c>
      <c r="P20" s="394" t="str">
        <f>+'Water '!$D21</f>
        <v>0</v>
      </c>
      <c r="Q20" s="394">
        <f>+'Water '!$D22</f>
        <v>160</v>
      </c>
      <c r="R20" s="394">
        <f>+'Water '!$D23</f>
        <v>358</v>
      </c>
      <c r="S20" s="394">
        <f>+'Water '!$D24</f>
        <v>223</v>
      </c>
      <c r="T20" s="394" t="str">
        <f>+'Water '!$D25</f>
        <v>0</v>
      </c>
      <c r="U20" s="394">
        <f>+'Water '!$D26</f>
        <v>266</v>
      </c>
      <c r="V20" s="394" t="str">
        <f>+'Water '!$D27</f>
        <v>0</v>
      </c>
      <c r="W20" s="394" t="str">
        <f>+'Water '!$D28</f>
        <v>0</v>
      </c>
      <c r="X20" s="394">
        <f>+'Water '!$D29</f>
        <v>126</v>
      </c>
      <c r="Y20" s="394">
        <f>+'Water '!$D30</f>
        <v>263</v>
      </c>
      <c r="Z20" s="394">
        <f>+'Water '!$D31</f>
        <v>386</v>
      </c>
      <c r="AA20" s="394">
        <f>+'Water '!$D32</f>
        <v>205</v>
      </c>
      <c r="AB20" s="394">
        <f>+'Water '!$D33</f>
        <v>109</v>
      </c>
      <c r="AC20" s="394">
        <f>+'Water '!$D34</f>
        <v>5</v>
      </c>
      <c r="AD20" s="394">
        <f>+'Water '!$D35</f>
        <v>173</v>
      </c>
      <c r="AE20" s="394">
        <f>+'Water '!$D36</f>
        <v>149</v>
      </c>
      <c r="AF20" s="394" t="str">
        <f>+'Water '!$D37</f>
        <v>0</v>
      </c>
      <c r="AG20" s="377">
        <f>SUM($B20:AF20)</f>
        <v>4108</v>
      </c>
      <c r="AH20" s="377"/>
    </row>
    <row r="21" spans="1:148" outlineLevel="1" x14ac:dyDescent="0.35">
      <c r="A21" s="194" t="s">
        <v>129</v>
      </c>
      <c r="B21" s="395">
        <f>+'Water '!$E7</f>
        <v>71</v>
      </c>
      <c r="C21" s="396">
        <f>+'Water '!$E8</f>
        <v>188</v>
      </c>
      <c r="D21" s="396">
        <f>+'Water '!$E9</f>
        <v>132</v>
      </c>
      <c r="E21" s="396">
        <f>+'Water '!$E10</f>
        <v>171</v>
      </c>
      <c r="F21" s="396">
        <f>+'Water '!$E11</f>
        <v>262</v>
      </c>
      <c r="G21" s="396">
        <f>+'Water '!$E12</f>
        <v>287</v>
      </c>
      <c r="H21" s="396" t="str">
        <f>+'Water '!$E13</f>
        <v>0</v>
      </c>
      <c r="I21" s="396">
        <f>+'Water '!$E14</f>
        <v>88</v>
      </c>
      <c r="J21" s="396" t="str">
        <f>+'Water '!$E15</f>
        <v>0</v>
      </c>
      <c r="K21" s="396">
        <f>+'Water '!$E16</f>
        <v>136</v>
      </c>
      <c r="L21" s="396">
        <f>+'Water '!$E17</f>
        <v>172</v>
      </c>
      <c r="M21" s="396">
        <f>+'Water '!$E18</f>
        <v>269</v>
      </c>
      <c r="N21" s="396">
        <f>+'Water '!$E19</f>
        <v>277</v>
      </c>
      <c r="O21" s="396">
        <f>+'Water '!$E20</f>
        <v>149</v>
      </c>
      <c r="P21" s="396">
        <f>+'Water '!$E21</f>
        <v>88</v>
      </c>
      <c r="Q21" s="396">
        <f>+'Water '!$E22</f>
        <v>200</v>
      </c>
      <c r="R21" s="396">
        <f>+'Water '!$E23</f>
        <v>146</v>
      </c>
      <c r="S21" s="396">
        <f>+'Water '!$E24</f>
        <v>143</v>
      </c>
      <c r="T21" s="396" t="str">
        <f>+'Water '!$E25</f>
        <v>0</v>
      </c>
      <c r="U21" s="396">
        <f>+'Water '!$E26</f>
        <v>208</v>
      </c>
      <c r="V21" s="396">
        <f>+'Water '!$E27</f>
        <v>18</v>
      </c>
      <c r="W21" s="396">
        <f>+'Water '!$E28</f>
        <v>78</v>
      </c>
      <c r="X21" s="396">
        <f>+'Water '!$E29</f>
        <v>189</v>
      </c>
      <c r="Y21" s="397">
        <f>+'Water '!$E30</f>
        <v>91</v>
      </c>
      <c r="Z21" s="396">
        <f>+'Water '!$E31</f>
        <v>136</v>
      </c>
      <c r="AA21" s="398">
        <f>+'Water '!$E32</f>
        <v>266</v>
      </c>
      <c r="AB21" s="398">
        <f>+'Water '!$E33</f>
        <v>272</v>
      </c>
      <c r="AC21" s="398">
        <f>+'Water '!$E34</f>
        <v>168</v>
      </c>
      <c r="AD21" s="398">
        <f>+'Water '!$E35</f>
        <v>1</v>
      </c>
      <c r="AE21" s="398">
        <f>+'Water '!$E36</f>
        <v>175</v>
      </c>
      <c r="AF21" s="398" t="str">
        <f>+'Water '!$E37</f>
        <v>0</v>
      </c>
      <c r="AG21" s="399">
        <f>SUM($B21:AF21)</f>
        <v>4381</v>
      </c>
      <c r="AH21" s="399"/>
      <c r="AI21" s="400"/>
    </row>
    <row r="22" spans="1:148" s="196" customFormat="1" x14ac:dyDescent="0.4">
      <c r="A22" s="195" t="s">
        <v>175</v>
      </c>
      <c r="B22" s="401">
        <f>SUM(B19:B21)</f>
        <v>71</v>
      </c>
      <c r="C22" s="401">
        <f>SUM(C19:C21)</f>
        <v>455</v>
      </c>
      <c r="D22" s="401">
        <f>SUM(D19:D21)</f>
        <v>420</v>
      </c>
      <c r="E22" s="401">
        <f>SUM(E19:E21)</f>
        <v>369</v>
      </c>
      <c r="F22" s="401">
        <f t="shared" ref="F22:AF22" si="4">SUM(F19:F21)</f>
        <v>403</v>
      </c>
      <c r="G22" s="401">
        <f t="shared" si="4"/>
        <v>510</v>
      </c>
      <c r="H22" s="401">
        <f t="shared" si="4"/>
        <v>0</v>
      </c>
      <c r="I22" s="401">
        <f>SUM(I19:I21)</f>
        <v>88</v>
      </c>
      <c r="J22" s="401">
        <f>SUM(J19:J21)</f>
        <v>0</v>
      </c>
      <c r="K22" s="401">
        <f t="shared" si="4"/>
        <v>307</v>
      </c>
      <c r="L22" s="401">
        <f>SUM(L19:L21)</f>
        <v>476</v>
      </c>
      <c r="M22" s="401">
        <f t="shared" si="4"/>
        <v>293</v>
      </c>
      <c r="N22" s="401">
        <f>SUM(N19:N21)</f>
        <v>346</v>
      </c>
      <c r="O22" s="401">
        <f t="shared" si="4"/>
        <v>149</v>
      </c>
      <c r="P22" s="401">
        <f>SUM(P19:P21)</f>
        <v>88</v>
      </c>
      <c r="Q22" s="401">
        <f t="shared" si="4"/>
        <v>360</v>
      </c>
      <c r="R22" s="401">
        <f t="shared" si="4"/>
        <v>504</v>
      </c>
      <c r="S22" s="401">
        <f>SUM(S19:S21)</f>
        <v>366</v>
      </c>
      <c r="T22" s="401">
        <f t="shared" si="4"/>
        <v>0</v>
      </c>
      <c r="U22" s="401">
        <f t="shared" si="4"/>
        <v>474</v>
      </c>
      <c r="V22" s="401">
        <f>SUM(V19:V21)</f>
        <v>18</v>
      </c>
      <c r="W22" s="401">
        <f t="shared" si="4"/>
        <v>78</v>
      </c>
      <c r="X22" s="401">
        <f t="shared" si="4"/>
        <v>315</v>
      </c>
      <c r="Y22" s="401">
        <f>SUM(Y19:Y21)</f>
        <v>354</v>
      </c>
      <c r="Z22" s="401">
        <f t="shared" si="4"/>
        <v>522</v>
      </c>
      <c r="AA22" s="402">
        <f>SUM(AA19:AA21)</f>
        <v>471</v>
      </c>
      <c r="AB22" s="402">
        <f>SUM(AB19:AB21)</f>
        <v>381</v>
      </c>
      <c r="AC22" s="402">
        <f>SUM(AC19:AC21)</f>
        <v>173</v>
      </c>
      <c r="AD22" s="402">
        <f>SUM(AD19:AD21)</f>
        <v>174</v>
      </c>
      <c r="AE22" s="402">
        <f t="shared" si="4"/>
        <v>324</v>
      </c>
      <c r="AF22" s="402">
        <f t="shared" si="4"/>
        <v>0</v>
      </c>
      <c r="AG22" s="403">
        <f>SUM($B22:AF22)</f>
        <v>8489</v>
      </c>
      <c r="AH22" s="401"/>
      <c r="AI22" s="404"/>
      <c r="AJ22" s="365"/>
      <c r="AK22" s="365"/>
      <c r="AL22" s="365"/>
      <c r="AM22" s="365"/>
      <c r="AN22" s="365"/>
      <c r="AO22" s="365"/>
      <c r="AP22" s="365"/>
      <c r="AQ22" s="365"/>
      <c r="AR22" s="365"/>
      <c r="AS22" s="365"/>
      <c r="AT22" s="365"/>
      <c r="AU22" s="365"/>
      <c r="AV22" s="365"/>
      <c r="AW22" s="365"/>
      <c r="AX22" s="365"/>
      <c r="AY22" s="365"/>
      <c r="AZ22" s="365"/>
      <c r="BA22" s="365"/>
      <c r="BB22" s="365"/>
      <c r="BC22" s="365"/>
      <c r="BD22" s="365"/>
      <c r="BE22" s="365"/>
      <c r="BF22" s="365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1"/>
      <c r="BV22" s="181"/>
      <c r="BW22" s="181"/>
      <c r="BX22" s="181"/>
      <c r="BY22" s="181"/>
      <c r="BZ22" s="181"/>
      <c r="CA22" s="181"/>
      <c r="CB22" s="181"/>
      <c r="CC22" s="181"/>
      <c r="CD22" s="181"/>
      <c r="CE22" s="181"/>
      <c r="CF22" s="181"/>
      <c r="CG22" s="181"/>
      <c r="CH22" s="181"/>
      <c r="CI22" s="181"/>
      <c r="CJ22" s="181"/>
      <c r="CK22" s="181"/>
      <c r="CL22" s="181"/>
      <c r="CM22" s="181"/>
      <c r="CN22" s="181"/>
      <c r="CO22" s="181"/>
      <c r="CP22" s="181"/>
      <c r="CQ22" s="181"/>
      <c r="CR22" s="181"/>
      <c r="CS22" s="181"/>
      <c r="CT22" s="181"/>
      <c r="CU22" s="181"/>
      <c r="CV22" s="181"/>
      <c r="CW22" s="181"/>
      <c r="CX22" s="181"/>
      <c r="CY22" s="181"/>
      <c r="CZ22" s="181"/>
      <c r="DA22" s="181"/>
      <c r="DB22" s="181"/>
      <c r="DC22" s="181"/>
      <c r="DD22" s="181"/>
      <c r="DE22" s="181"/>
      <c r="DF22" s="181"/>
      <c r="DG22" s="181"/>
      <c r="DH22" s="181"/>
      <c r="DI22" s="181"/>
      <c r="DJ22" s="181"/>
      <c r="DK22" s="181"/>
      <c r="DL22" s="181"/>
      <c r="DM22" s="181"/>
      <c r="DN22" s="181"/>
      <c r="DO22" s="181"/>
      <c r="DP22" s="181"/>
      <c r="DQ22" s="181"/>
      <c r="DR22" s="181"/>
      <c r="DS22" s="181"/>
      <c r="DT22" s="181"/>
      <c r="DU22" s="181"/>
      <c r="DV22" s="181"/>
      <c r="DW22" s="181"/>
      <c r="DX22" s="181"/>
      <c r="DY22" s="181"/>
      <c r="DZ22" s="181"/>
      <c r="EA22" s="181"/>
      <c r="EB22" s="181"/>
      <c r="EC22" s="181"/>
      <c r="ED22" s="181"/>
      <c r="EE22" s="181"/>
      <c r="EF22" s="181"/>
      <c r="EG22" s="181"/>
      <c r="EH22" s="181"/>
      <c r="EI22" s="181"/>
      <c r="EJ22" s="181"/>
      <c r="EK22" s="181"/>
      <c r="EL22" s="181"/>
      <c r="EM22" s="181"/>
      <c r="EN22" s="181"/>
      <c r="EO22" s="181"/>
      <c r="EP22" s="181"/>
      <c r="EQ22" s="181"/>
      <c r="ER22" s="181"/>
    </row>
    <row r="23" spans="1:148" s="181" customFormat="1" hidden="1" x14ac:dyDescent="0.4">
      <c r="A23" s="197"/>
      <c r="B23" s="377"/>
      <c r="C23" s="377"/>
      <c r="D23" s="377"/>
      <c r="E23" s="377"/>
      <c r="F23" s="377"/>
      <c r="G23" s="377"/>
      <c r="H23" s="377"/>
      <c r="I23" s="377"/>
      <c r="J23" s="405"/>
      <c r="K23" s="405"/>
      <c r="L23" s="405"/>
      <c r="M23" s="405"/>
      <c r="N23" s="405"/>
      <c r="O23" s="405"/>
      <c r="P23" s="405"/>
      <c r="Q23" s="405"/>
      <c r="R23" s="405"/>
      <c r="S23" s="405"/>
      <c r="T23" s="405"/>
      <c r="U23" s="405"/>
      <c r="V23" s="405"/>
      <c r="W23" s="405"/>
      <c r="X23" s="405"/>
      <c r="Y23" s="405"/>
      <c r="Z23" s="405"/>
      <c r="AA23" s="405"/>
      <c r="AB23" s="405"/>
      <c r="AC23" s="405"/>
      <c r="AD23" s="405"/>
      <c r="AE23" s="405"/>
      <c r="AF23" s="405"/>
      <c r="AG23" s="377"/>
      <c r="AH23" s="377"/>
      <c r="AI23" s="365"/>
      <c r="AJ23" s="365"/>
      <c r="AK23" s="365"/>
      <c r="AL23" s="365"/>
      <c r="AM23" s="365"/>
      <c r="AN23" s="365"/>
      <c r="AO23" s="365"/>
      <c r="AP23" s="365"/>
      <c r="AQ23" s="365"/>
      <c r="AR23" s="365"/>
      <c r="AS23" s="365"/>
      <c r="AT23" s="365"/>
      <c r="AU23" s="365"/>
      <c r="AV23" s="365"/>
      <c r="AW23" s="365"/>
      <c r="AX23" s="365"/>
      <c r="AY23" s="365"/>
      <c r="AZ23" s="365"/>
      <c r="BA23" s="365"/>
      <c r="BB23" s="365"/>
      <c r="BC23" s="365"/>
      <c r="BD23" s="365"/>
      <c r="BE23" s="365"/>
      <c r="BF23" s="365"/>
    </row>
    <row r="24" spans="1:148" hidden="1" x14ac:dyDescent="0.35">
      <c r="B24" s="406"/>
      <c r="C24" s="406"/>
      <c r="D24" s="406"/>
      <c r="E24" s="406"/>
      <c r="F24" s="406"/>
      <c r="G24" s="406"/>
      <c r="H24" s="406"/>
      <c r="I24" s="406"/>
      <c r="J24" s="407"/>
      <c r="K24" s="407"/>
      <c r="L24" s="407"/>
      <c r="M24" s="407"/>
      <c r="N24" s="407"/>
      <c r="O24" s="407"/>
      <c r="P24" s="407"/>
      <c r="Q24" s="407"/>
      <c r="R24" s="407"/>
      <c r="S24" s="407"/>
      <c r="T24" s="407"/>
      <c r="U24" s="407"/>
      <c r="V24" s="407"/>
      <c r="W24" s="407"/>
      <c r="X24" s="407"/>
      <c r="Y24" s="407"/>
      <c r="Z24" s="407"/>
      <c r="AA24" s="407"/>
      <c r="AB24" s="407"/>
      <c r="AC24" s="407"/>
      <c r="AD24" s="407"/>
      <c r="AE24" s="407"/>
      <c r="AG24" s="377"/>
      <c r="AH24" s="377"/>
    </row>
    <row r="25" spans="1:148" x14ac:dyDescent="0.35">
      <c r="A25" s="194"/>
      <c r="B25" s="406"/>
      <c r="C25" s="406"/>
      <c r="D25" s="406"/>
      <c r="E25" s="406"/>
      <c r="F25" s="406"/>
      <c r="G25" s="406"/>
      <c r="H25" s="406"/>
      <c r="I25" s="406"/>
      <c r="J25" s="407"/>
      <c r="K25" s="407"/>
      <c r="L25" s="407"/>
      <c r="M25" s="407"/>
      <c r="AG25" s="377">
        <f>SUM($B25:AF25)</f>
        <v>0</v>
      </c>
      <c r="AH25" s="377"/>
    </row>
    <row r="26" spans="1:148" outlineLevel="1" x14ac:dyDescent="0.35">
      <c r="A26" s="198" t="s">
        <v>155</v>
      </c>
      <c r="B26" s="406">
        <f>0.73*(B71+B19)</f>
        <v>52.56</v>
      </c>
      <c r="C26" s="406">
        <f>0.73*(C110+C19)</f>
        <v>146</v>
      </c>
      <c r="D26" s="406">
        <f t="shared" ref="D26:AF26" si="5">0.73*(D71+D19)</f>
        <v>101.47</v>
      </c>
      <c r="E26" s="406">
        <f t="shared" si="5"/>
        <v>132.13</v>
      </c>
      <c r="F26" s="406">
        <f t="shared" si="5"/>
        <v>201.48</v>
      </c>
      <c r="G26" s="406">
        <f t="shared" si="5"/>
        <v>220.46</v>
      </c>
      <c r="H26" s="406">
        <f t="shared" si="5"/>
        <v>0</v>
      </c>
      <c r="I26" s="406">
        <f t="shared" si="5"/>
        <v>67.89</v>
      </c>
      <c r="J26" s="407">
        <f t="shared" si="5"/>
        <v>0</v>
      </c>
      <c r="K26" s="407">
        <f>0.73*(K71+K19)</f>
        <v>104.39</v>
      </c>
      <c r="L26" s="407">
        <f t="shared" si="5"/>
        <v>127.02</v>
      </c>
      <c r="M26" s="407">
        <f t="shared" si="5"/>
        <v>211.7</v>
      </c>
      <c r="N26" s="407">
        <f t="shared" si="5"/>
        <v>213.89</v>
      </c>
      <c r="O26" s="407">
        <f t="shared" si="5"/>
        <v>146</v>
      </c>
      <c r="P26" s="407">
        <f t="shared" si="5"/>
        <v>33.58</v>
      </c>
      <c r="Q26" s="407">
        <f t="shared" si="5"/>
        <v>155.49</v>
      </c>
      <c r="R26" s="407">
        <f t="shared" si="5"/>
        <v>113.14999999999999</v>
      </c>
      <c r="S26" s="407">
        <f t="shared" si="5"/>
        <v>109.5</v>
      </c>
      <c r="T26" s="407">
        <f t="shared" si="5"/>
        <v>0</v>
      </c>
      <c r="U26" s="407">
        <f t="shared" si="5"/>
        <v>157.68</v>
      </c>
      <c r="V26" s="407">
        <f t="shared" si="5"/>
        <v>12.41</v>
      </c>
      <c r="W26" s="407">
        <f t="shared" si="5"/>
        <v>59.129999999999995</v>
      </c>
      <c r="X26" s="407">
        <f t="shared" si="5"/>
        <v>144.54</v>
      </c>
      <c r="Y26" s="407">
        <f t="shared" si="5"/>
        <v>70.08</v>
      </c>
      <c r="Z26" s="407">
        <f t="shared" si="5"/>
        <v>102.92999999999999</v>
      </c>
      <c r="AA26" s="407">
        <f t="shared" si="5"/>
        <v>205.13</v>
      </c>
      <c r="AB26" s="407">
        <f t="shared" si="5"/>
        <v>214.62</v>
      </c>
      <c r="AC26" s="407">
        <f t="shared" si="5"/>
        <v>121.91</v>
      </c>
      <c r="AD26" s="407">
        <f t="shared" si="5"/>
        <v>0</v>
      </c>
      <c r="AE26" s="407">
        <f t="shared" si="5"/>
        <v>189.79999999999998</v>
      </c>
      <c r="AF26" s="407">
        <f t="shared" si="5"/>
        <v>0</v>
      </c>
      <c r="AG26" s="377">
        <f>SUM($B26:AF26)</f>
        <v>3414.9399999999996</v>
      </c>
      <c r="AH26" s="408">
        <f>AG29+AG45+AG36</f>
        <v>10016</v>
      </c>
      <c r="AJ26" s="409">
        <f>(AH26*10)/AG9</f>
        <v>11.917367335524148</v>
      </c>
    </row>
    <row r="27" spans="1:148" outlineLevel="1" x14ac:dyDescent="0.35">
      <c r="E27" s="406">
        <f>0.73*(E110+E20)</f>
        <v>144.54</v>
      </c>
      <c r="M27" s="367"/>
      <c r="AH27" s="377"/>
    </row>
    <row r="28" spans="1:148" outlineLevel="1" x14ac:dyDescent="0.35">
      <c r="A28" s="198" t="s">
        <v>134</v>
      </c>
      <c r="B28" s="406" t="str">
        <f>'Water '!R7</f>
        <v>0</v>
      </c>
      <c r="C28" s="406" t="str">
        <f>'Water '!R8</f>
        <v>0</v>
      </c>
      <c r="D28" s="406" t="str">
        <f>'Water '!R9</f>
        <v>0</v>
      </c>
      <c r="E28" s="406" t="str">
        <f>'Water '!R10</f>
        <v>0</v>
      </c>
      <c r="F28" s="406" t="str">
        <f>'Water '!R11</f>
        <v>0</v>
      </c>
      <c r="G28" s="406" t="str">
        <f>'Water '!R12</f>
        <v>0</v>
      </c>
      <c r="H28" s="406" t="str">
        <f>'Water '!R13</f>
        <v>0</v>
      </c>
      <c r="I28" s="406" t="str">
        <f>'Water '!R14</f>
        <v>0</v>
      </c>
      <c r="J28" s="407" t="str">
        <f>'Water '!R15</f>
        <v>0</v>
      </c>
      <c r="K28" s="407" t="str">
        <f>'Water '!R16</f>
        <v>0</v>
      </c>
      <c r="L28" s="407" t="str">
        <f>'Water '!R17</f>
        <v>0</v>
      </c>
      <c r="M28" s="407" t="str">
        <f>'Water '!R18</f>
        <v>0</v>
      </c>
      <c r="N28" s="407" t="str">
        <f>'Water '!R19</f>
        <v>0</v>
      </c>
      <c r="O28" s="407" t="str">
        <f>'Water '!R20</f>
        <v>0</v>
      </c>
      <c r="P28" s="407" t="str">
        <f>'Water '!R21</f>
        <v>0</v>
      </c>
      <c r="Q28" s="407" t="str">
        <f>'Water '!R22</f>
        <v>0</v>
      </c>
      <c r="R28" s="407" t="str">
        <f>'Water '!R23</f>
        <v>0</v>
      </c>
      <c r="S28" s="407" t="str">
        <f>'Water '!R24</f>
        <v>0</v>
      </c>
      <c r="T28" s="407" t="str">
        <f>'Water '!R25</f>
        <v>0</v>
      </c>
      <c r="U28" s="407" t="str">
        <f>'Water '!R26</f>
        <v>0</v>
      </c>
      <c r="V28" s="407" t="str">
        <f>'Water '!R27</f>
        <v>0</v>
      </c>
      <c r="W28" s="407" t="str">
        <f>'Water '!R28</f>
        <v>0</v>
      </c>
      <c r="X28" s="407" t="str">
        <f>'Water '!R29</f>
        <v>0</v>
      </c>
      <c r="Y28" s="407" t="str">
        <f>'Water '!R30</f>
        <v>0</v>
      </c>
      <c r="Z28" s="407" t="str">
        <f>'Water '!R31</f>
        <v>0</v>
      </c>
      <c r="AA28" s="407" t="str">
        <f>'Water '!R32</f>
        <v>0</v>
      </c>
      <c r="AB28" s="407" t="str">
        <f>'Water '!R33</f>
        <v>0</v>
      </c>
      <c r="AC28" s="407" t="str">
        <f>'Water '!R32</f>
        <v>0</v>
      </c>
      <c r="AD28" s="407" t="str">
        <f>'Water '!R35</f>
        <v>0</v>
      </c>
      <c r="AE28" s="407" t="str">
        <f>'Water '!R36</f>
        <v>0</v>
      </c>
      <c r="AF28" s="407" t="str">
        <f>'Water '!R37</f>
        <v>0</v>
      </c>
      <c r="AG28" s="377">
        <f>SUM($B28:AF28)</f>
        <v>0</v>
      </c>
      <c r="AH28" s="377"/>
      <c r="AQ28" s="366" t="s">
        <v>61</v>
      </c>
    </row>
    <row r="29" spans="1:148" outlineLevel="1" x14ac:dyDescent="0.35">
      <c r="A29" s="194" t="s">
        <v>173</v>
      </c>
      <c r="B29" s="393">
        <f>'Water '!H7</f>
        <v>12</v>
      </c>
      <c r="C29" s="393">
        <f>'Water '!H8</f>
        <v>335</v>
      </c>
      <c r="D29" s="393">
        <f>'Water '!H9</f>
        <v>294</v>
      </c>
      <c r="E29" s="393">
        <f>'Water '!H10</f>
        <v>228</v>
      </c>
      <c r="F29" s="393">
        <f>'Water '!H11</f>
        <v>305</v>
      </c>
      <c r="G29" s="393">
        <f>'Water '!H12</f>
        <v>225</v>
      </c>
      <c r="H29" s="393">
        <f>'Water '!H13</f>
        <v>47</v>
      </c>
      <c r="I29" s="393">
        <f>'Water '!H14</f>
        <v>71</v>
      </c>
      <c r="J29" s="394">
        <f>'Water '!H15</f>
        <v>6</v>
      </c>
      <c r="K29" s="394">
        <f>'Water '!H16</f>
        <v>270</v>
      </c>
      <c r="L29" s="394">
        <f>'Water '!H17</f>
        <v>287</v>
      </c>
      <c r="M29" s="394">
        <f>'Water '!H18</f>
        <v>259</v>
      </c>
      <c r="N29" s="394">
        <f>'Water '!H19</f>
        <v>248</v>
      </c>
      <c r="O29" s="394">
        <f>'Water '!$H20</f>
        <v>152</v>
      </c>
      <c r="P29" s="394">
        <f>'Water '!$H21</f>
        <v>9</v>
      </c>
      <c r="Q29" s="394">
        <f>'Water '!$H22</f>
        <v>258</v>
      </c>
      <c r="R29" s="394">
        <f>'Water '!$H23</f>
        <v>288</v>
      </c>
      <c r="S29" s="394">
        <f>'Water '!$H24</f>
        <v>267</v>
      </c>
      <c r="T29" s="394">
        <f>'Water '!$H25</f>
        <v>11</v>
      </c>
      <c r="U29" s="394">
        <f>'Water '!$H26</f>
        <v>0</v>
      </c>
      <c r="V29" s="394">
        <f>'Water '!$H27</f>
        <v>1057</v>
      </c>
      <c r="W29" s="394">
        <f>'Water '!$H28</f>
        <v>4</v>
      </c>
      <c r="X29" s="394">
        <f>'Water '!$H29</f>
        <v>295</v>
      </c>
      <c r="Y29" s="394">
        <f>'Water '!$H30</f>
        <v>233</v>
      </c>
      <c r="Z29" s="394">
        <f>'Water '!$H31</f>
        <v>312</v>
      </c>
      <c r="AA29" s="394">
        <f>'Water '!$H32</f>
        <v>257</v>
      </c>
      <c r="AB29" s="394">
        <f>'Water '!$H33</f>
        <v>249</v>
      </c>
      <c r="AC29" s="394">
        <f>'Water '!$H34</f>
        <v>96</v>
      </c>
      <c r="AD29" s="394">
        <f>'Water '!$H35</f>
        <v>74</v>
      </c>
      <c r="AE29" s="394">
        <f>'Water '!$H36</f>
        <v>235</v>
      </c>
      <c r="AF29" s="394">
        <f>'Water '!$H37</f>
        <v>0</v>
      </c>
      <c r="AG29" s="377">
        <f>SUM($B29:AF29)</f>
        <v>6384</v>
      </c>
      <c r="AH29" s="377"/>
      <c r="AI29" s="377"/>
    </row>
    <row r="30" spans="1:148" outlineLevel="1" x14ac:dyDescent="0.35">
      <c r="A30" s="199" t="str">
        <f t="shared" ref="A30:AF30" si="6">A36</f>
        <v>Brewhouse</v>
      </c>
      <c r="B30" s="410" t="str">
        <f t="shared" si="6"/>
        <v>0</v>
      </c>
      <c r="C30" s="410">
        <f t="shared" si="6"/>
        <v>113</v>
      </c>
      <c r="D30" s="410">
        <f t="shared" si="6"/>
        <v>130</v>
      </c>
      <c r="E30" s="410">
        <f t="shared" si="6"/>
        <v>173</v>
      </c>
      <c r="F30" s="410">
        <f t="shared" si="6"/>
        <v>222</v>
      </c>
      <c r="G30" s="410">
        <f t="shared" si="6"/>
        <v>122</v>
      </c>
      <c r="H30" s="410">
        <f>H36</f>
        <v>1</v>
      </c>
      <c r="I30" s="410" t="str">
        <f t="shared" si="6"/>
        <v>0</v>
      </c>
      <c r="J30" s="411" t="str">
        <f t="shared" si="6"/>
        <v>0</v>
      </c>
      <c r="K30" s="411">
        <f t="shared" si="6"/>
        <v>100</v>
      </c>
      <c r="L30" s="411">
        <f t="shared" si="6"/>
        <v>180</v>
      </c>
      <c r="M30" s="411">
        <f t="shared" si="6"/>
        <v>129</v>
      </c>
      <c r="N30" s="411">
        <f t="shared" si="6"/>
        <v>135</v>
      </c>
      <c r="O30" s="411">
        <f t="shared" si="6"/>
        <v>74</v>
      </c>
      <c r="P30" s="411" t="str">
        <f t="shared" si="6"/>
        <v>0</v>
      </c>
      <c r="Q30" s="411">
        <f t="shared" si="6"/>
        <v>107</v>
      </c>
      <c r="R30" s="411">
        <f t="shared" si="6"/>
        <v>177</v>
      </c>
      <c r="S30" s="411">
        <f t="shared" si="6"/>
        <v>105</v>
      </c>
      <c r="T30" s="411" t="str">
        <f t="shared" si="6"/>
        <v>0</v>
      </c>
      <c r="U30" s="411">
        <f t="shared" si="6"/>
        <v>12</v>
      </c>
      <c r="V30" s="411" t="str">
        <f t="shared" si="6"/>
        <v>0</v>
      </c>
      <c r="W30" s="411" t="str">
        <f t="shared" si="6"/>
        <v>0</v>
      </c>
      <c r="X30" s="411">
        <f t="shared" si="6"/>
        <v>67</v>
      </c>
      <c r="Y30" s="411">
        <f>Y36</f>
        <v>214</v>
      </c>
      <c r="Z30" s="411">
        <f t="shared" si="6"/>
        <v>162</v>
      </c>
      <c r="AA30" s="411">
        <f t="shared" si="6"/>
        <v>195</v>
      </c>
      <c r="AB30" s="411">
        <f t="shared" si="6"/>
        <v>148</v>
      </c>
      <c r="AC30" s="411">
        <f>AC36</f>
        <v>209</v>
      </c>
      <c r="AD30" s="411">
        <f t="shared" si="6"/>
        <v>77</v>
      </c>
      <c r="AE30" s="411">
        <f t="shared" si="6"/>
        <v>184</v>
      </c>
      <c r="AF30" s="411" t="str">
        <f t="shared" si="6"/>
        <v>0</v>
      </c>
      <c r="AG30" s="412">
        <f>AG36</f>
        <v>3036</v>
      </c>
      <c r="AH30" s="412"/>
      <c r="AI30" s="412"/>
    </row>
    <row r="31" spans="1:148" outlineLevel="1" x14ac:dyDescent="0.35">
      <c r="A31" s="194" t="str">
        <f t="shared" ref="A31:AF31" si="7">A45</f>
        <v>Boiler Supply</v>
      </c>
      <c r="B31" s="393">
        <f t="shared" si="7"/>
        <v>1</v>
      </c>
      <c r="C31" s="393">
        <f t="shared" si="7"/>
        <v>25</v>
      </c>
      <c r="D31" s="393">
        <f t="shared" si="7"/>
        <v>20</v>
      </c>
      <c r="E31" s="393">
        <f t="shared" si="7"/>
        <v>16</v>
      </c>
      <c r="F31" s="393">
        <f t="shared" si="7"/>
        <v>20</v>
      </c>
      <c r="G31" s="393">
        <f t="shared" si="7"/>
        <v>15</v>
      </c>
      <c r="H31" s="393" t="str">
        <f t="shared" si="7"/>
        <v>0</v>
      </c>
      <c r="I31" s="393">
        <f t="shared" si="7"/>
        <v>1</v>
      </c>
      <c r="J31" s="394">
        <f>J45</f>
        <v>3</v>
      </c>
      <c r="K31" s="394">
        <f>K45</f>
        <v>17</v>
      </c>
      <c r="L31" s="394">
        <f t="shared" si="7"/>
        <v>18</v>
      </c>
      <c r="M31" s="394">
        <f>M45</f>
        <v>27</v>
      </c>
      <c r="N31" s="394">
        <f t="shared" si="7"/>
        <v>27</v>
      </c>
      <c r="O31" s="394">
        <f t="shared" si="7"/>
        <v>5</v>
      </c>
      <c r="P31" s="394">
        <f t="shared" si="7"/>
        <v>7</v>
      </c>
      <c r="Q31" s="394">
        <f t="shared" si="7"/>
        <v>33</v>
      </c>
      <c r="R31" s="394">
        <f t="shared" si="7"/>
        <v>32</v>
      </c>
      <c r="S31" s="394">
        <f t="shared" si="7"/>
        <v>21</v>
      </c>
      <c r="T31" s="394">
        <f t="shared" si="7"/>
        <v>18</v>
      </c>
      <c r="U31" s="394">
        <f t="shared" si="7"/>
        <v>77</v>
      </c>
      <c r="V31" s="394">
        <f>V45</f>
        <v>24</v>
      </c>
      <c r="W31" s="394" t="str">
        <f t="shared" si="7"/>
        <v>0</v>
      </c>
      <c r="X31" s="394">
        <f t="shared" si="7"/>
        <v>34</v>
      </c>
      <c r="Y31" s="394">
        <f t="shared" si="7"/>
        <v>23</v>
      </c>
      <c r="Z31" s="394">
        <f t="shared" si="7"/>
        <v>31</v>
      </c>
      <c r="AA31" s="394">
        <f t="shared" si="7"/>
        <v>28</v>
      </c>
      <c r="AB31" s="394">
        <f t="shared" si="7"/>
        <v>29</v>
      </c>
      <c r="AC31" s="394">
        <f t="shared" si="7"/>
        <v>7</v>
      </c>
      <c r="AD31" s="394">
        <f t="shared" si="7"/>
        <v>10</v>
      </c>
      <c r="AE31" s="394">
        <f t="shared" si="7"/>
        <v>27</v>
      </c>
      <c r="AF31" s="394" t="str">
        <f t="shared" si="7"/>
        <v>0</v>
      </c>
      <c r="AG31" s="377">
        <f>AG45</f>
        <v>596</v>
      </c>
      <c r="AH31" s="377"/>
      <c r="AI31" s="377"/>
    </row>
    <row r="32" spans="1:148" s="231" customFormat="1" x14ac:dyDescent="0.4">
      <c r="A32" s="230" t="s">
        <v>156</v>
      </c>
      <c r="B32" s="413">
        <f>SUM(B28:B31)</f>
        <v>13</v>
      </c>
      <c r="C32" s="413">
        <f>SUM(C28:C31)</f>
        <v>473</v>
      </c>
      <c r="D32" s="413">
        <f t="shared" ref="D32:AF32" si="8">SUM(D28:D31)</f>
        <v>444</v>
      </c>
      <c r="E32" s="413">
        <f t="shared" si="8"/>
        <v>417</v>
      </c>
      <c r="F32" s="413">
        <f t="shared" si="8"/>
        <v>547</v>
      </c>
      <c r="G32" s="413">
        <f t="shared" si="8"/>
        <v>362</v>
      </c>
      <c r="H32" s="413">
        <f t="shared" si="8"/>
        <v>48</v>
      </c>
      <c r="I32" s="413">
        <f t="shared" si="8"/>
        <v>72</v>
      </c>
      <c r="J32" s="414">
        <f t="shared" si="8"/>
        <v>9</v>
      </c>
      <c r="K32" s="414">
        <f>SUM(K28:K31)</f>
        <v>387</v>
      </c>
      <c r="L32" s="414">
        <f t="shared" si="8"/>
        <v>485</v>
      </c>
      <c r="M32" s="414">
        <f t="shared" si="8"/>
        <v>415</v>
      </c>
      <c r="N32" s="414">
        <f t="shared" si="8"/>
        <v>410</v>
      </c>
      <c r="O32" s="414">
        <f t="shared" si="8"/>
        <v>231</v>
      </c>
      <c r="P32" s="414">
        <f t="shared" si="8"/>
        <v>16</v>
      </c>
      <c r="Q32" s="414">
        <f t="shared" si="8"/>
        <v>398</v>
      </c>
      <c r="R32" s="414">
        <f t="shared" si="8"/>
        <v>497</v>
      </c>
      <c r="S32" s="414">
        <f t="shared" si="8"/>
        <v>393</v>
      </c>
      <c r="T32" s="414">
        <f t="shared" si="8"/>
        <v>29</v>
      </c>
      <c r="U32" s="414">
        <f t="shared" si="8"/>
        <v>89</v>
      </c>
      <c r="V32" s="414">
        <f t="shared" si="8"/>
        <v>1081</v>
      </c>
      <c r="W32" s="413">
        <f t="shared" si="8"/>
        <v>4</v>
      </c>
      <c r="X32" s="414">
        <f t="shared" si="8"/>
        <v>396</v>
      </c>
      <c r="Y32" s="414">
        <f t="shared" si="8"/>
        <v>470</v>
      </c>
      <c r="Z32" s="414">
        <f t="shared" si="8"/>
        <v>505</v>
      </c>
      <c r="AA32" s="414">
        <f t="shared" si="8"/>
        <v>480</v>
      </c>
      <c r="AB32" s="414">
        <f t="shared" si="8"/>
        <v>426</v>
      </c>
      <c r="AC32" s="414">
        <f>SUM(AC28:AC31)</f>
        <v>312</v>
      </c>
      <c r="AD32" s="716">
        <f t="shared" si="8"/>
        <v>161</v>
      </c>
      <c r="AE32" s="414">
        <f t="shared" si="8"/>
        <v>446</v>
      </c>
      <c r="AF32" s="414">
        <f t="shared" si="8"/>
        <v>0</v>
      </c>
      <c r="AG32" s="413">
        <f>SUM($B32:AF32)</f>
        <v>10016</v>
      </c>
      <c r="AH32" s="413"/>
      <c r="AI32" s="415"/>
      <c r="AJ32" s="416"/>
      <c r="AK32" s="416"/>
      <c r="AL32" s="416"/>
      <c r="AM32" s="416"/>
      <c r="AN32" s="416"/>
      <c r="AO32" s="416"/>
      <c r="AP32" s="416"/>
      <c r="AQ32" s="416"/>
      <c r="AR32" s="416"/>
      <c r="AS32" s="416"/>
      <c r="AT32" s="416"/>
      <c r="AU32" s="416"/>
      <c r="AV32" s="416"/>
      <c r="AW32" s="416"/>
      <c r="AX32" s="416"/>
      <c r="AY32" s="416"/>
      <c r="AZ32" s="416"/>
      <c r="BA32" s="416"/>
      <c r="BB32" s="416"/>
      <c r="BC32" s="416"/>
      <c r="BD32" s="416"/>
      <c r="BE32" s="416"/>
      <c r="BF32" s="416"/>
    </row>
    <row r="33" spans="1:148" s="181" customFormat="1" x14ac:dyDescent="0.4">
      <c r="A33" s="200"/>
      <c r="B33" s="377"/>
      <c r="C33" s="377"/>
      <c r="D33" s="377"/>
      <c r="E33" s="377"/>
      <c r="F33" s="377"/>
      <c r="G33" s="377"/>
      <c r="H33" s="377"/>
      <c r="I33" s="377"/>
      <c r="J33" s="405"/>
      <c r="K33" s="405"/>
      <c r="L33" s="405"/>
      <c r="M33" s="405"/>
      <c r="N33" s="405"/>
      <c r="O33" s="405"/>
      <c r="P33" s="405"/>
      <c r="Q33" s="405"/>
      <c r="R33" s="405"/>
      <c r="S33" s="405"/>
      <c r="T33" s="405"/>
      <c r="U33" s="405"/>
      <c r="V33" s="405"/>
      <c r="W33" s="405"/>
      <c r="X33" s="405"/>
      <c r="Y33" s="405"/>
      <c r="Z33" s="405"/>
      <c r="AA33" s="405"/>
      <c r="AB33" s="405"/>
      <c r="AC33" s="405"/>
      <c r="AD33" s="405"/>
      <c r="AE33" s="405"/>
      <c r="AF33" s="405"/>
      <c r="AG33" s="377"/>
      <c r="AH33" s="377"/>
      <c r="AI33" s="365"/>
      <c r="AJ33" s="365"/>
      <c r="AK33" s="365"/>
      <c r="AL33" s="365"/>
      <c r="AM33" s="365"/>
      <c r="AN33" s="365"/>
      <c r="AO33" s="365"/>
      <c r="AP33" s="365"/>
      <c r="AQ33" s="365"/>
      <c r="AR33" s="365"/>
      <c r="AS33" s="365"/>
      <c r="AT33" s="365"/>
      <c r="AU33" s="365"/>
      <c r="AV33" s="365"/>
      <c r="AW33" s="365"/>
      <c r="AX33" s="365"/>
      <c r="AY33" s="365"/>
      <c r="AZ33" s="365"/>
      <c r="BA33" s="365"/>
      <c r="BB33" s="365"/>
      <c r="BC33" s="365"/>
      <c r="BD33" s="365"/>
      <c r="BE33" s="365"/>
      <c r="BF33" s="365"/>
    </row>
    <row r="34" spans="1:148" x14ac:dyDescent="0.35">
      <c r="A34" s="194"/>
      <c r="B34" s="417"/>
      <c r="C34" s="417"/>
      <c r="D34" s="417"/>
      <c r="E34" s="417"/>
      <c r="F34" s="417"/>
      <c r="G34" s="417"/>
      <c r="H34" s="417"/>
      <c r="I34" s="417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85"/>
      <c r="AF34" s="385"/>
      <c r="AG34" s="418"/>
      <c r="AH34" s="419"/>
    </row>
    <row r="35" spans="1:148" x14ac:dyDescent="0.35">
      <c r="A35" s="201" t="s">
        <v>176</v>
      </c>
      <c r="B35" s="406"/>
      <c r="C35" s="406"/>
      <c r="D35" s="406"/>
      <c r="E35" s="406"/>
      <c r="F35" s="406"/>
      <c r="G35" s="406"/>
      <c r="H35" s="406"/>
      <c r="I35" s="406"/>
      <c r="J35" s="407"/>
      <c r="K35" s="407"/>
      <c r="L35" s="407"/>
      <c r="M35" s="407"/>
      <c r="AG35" s="377"/>
      <c r="AH35" s="377"/>
    </row>
    <row r="36" spans="1:148" x14ac:dyDescent="0.35">
      <c r="A36" s="245" t="s">
        <v>77</v>
      </c>
      <c r="B36" s="420" t="str">
        <f>+'Water '!$J7</f>
        <v>0</v>
      </c>
      <c r="C36" s="420">
        <f>+'Water '!$J8</f>
        <v>113</v>
      </c>
      <c r="D36" s="420">
        <f>+'Water '!$J9</f>
        <v>130</v>
      </c>
      <c r="E36" s="420">
        <f>+'Water '!$J10</f>
        <v>173</v>
      </c>
      <c r="F36" s="420">
        <f>+'Water '!$J11</f>
        <v>222</v>
      </c>
      <c r="G36" s="420">
        <f>+'Water '!$J12</f>
        <v>122</v>
      </c>
      <c r="H36" s="421">
        <f>+'Water '!$J13</f>
        <v>1</v>
      </c>
      <c r="I36" s="420" t="str">
        <f>+'Water '!$J14</f>
        <v>0</v>
      </c>
      <c r="J36" s="422" t="str">
        <f>+'Water '!$J15</f>
        <v>0</v>
      </c>
      <c r="K36" s="422">
        <f>+'Water '!$J16</f>
        <v>100</v>
      </c>
      <c r="L36" s="423">
        <f>+'Water '!$J17</f>
        <v>180</v>
      </c>
      <c r="M36" s="422">
        <f>+'Water '!$J18</f>
        <v>129</v>
      </c>
      <c r="N36" s="422">
        <f>+'Water '!$J19</f>
        <v>135</v>
      </c>
      <c r="O36" s="422">
        <f>+'Water '!$J20</f>
        <v>74</v>
      </c>
      <c r="P36" s="423" t="str">
        <f>+'Water '!$J21</f>
        <v>0</v>
      </c>
      <c r="Q36" s="422">
        <f>+'Water '!$J22</f>
        <v>107</v>
      </c>
      <c r="R36" s="423">
        <f>+'Water '!$J23</f>
        <v>177</v>
      </c>
      <c r="S36" s="422">
        <f>+'Water '!$J24</f>
        <v>105</v>
      </c>
      <c r="T36" s="423" t="str">
        <f>+'Water '!$J25</f>
        <v>0</v>
      </c>
      <c r="U36" s="422">
        <f>+'Water '!$J26</f>
        <v>12</v>
      </c>
      <c r="V36" s="422" t="str">
        <f>+'Water '!$J27</f>
        <v>0</v>
      </c>
      <c r="W36" s="422" t="str">
        <f>+'Water '!$J28</f>
        <v>0</v>
      </c>
      <c r="X36" s="422">
        <f>+'Water '!$J29</f>
        <v>67</v>
      </c>
      <c r="Y36" s="422">
        <f>+'Water '!$J30</f>
        <v>214</v>
      </c>
      <c r="Z36" s="422">
        <f>+'Water '!$J31</f>
        <v>162</v>
      </c>
      <c r="AA36" s="422">
        <f>+'Water '!$J32</f>
        <v>195</v>
      </c>
      <c r="AB36" s="422">
        <f>+'Water '!$J33</f>
        <v>148</v>
      </c>
      <c r="AC36" s="423">
        <f>+'Water '!$J34</f>
        <v>209</v>
      </c>
      <c r="AD36" s="423">
        <f>+'Water '!$J35</f>
        <v>77</v>
      </c>
      <c r="AE36" s="423">
        <f>+'Water '!$J36</f>
        <v>184</v>
      </c>
      <c r="AF36" s="423" t="str">
        <f>+'Water '!$J37</f>
        <v>0</v>
      </c>
      <c r="AG36" s="424">
        <f>SUM($B36:AF36)</f>
        <v>3036</v>
      </c>
      <c r="AH36" s="424"/>
      <c r="AI36" s="425"/>
    </row>
    <row r="37" spans="1:148" s="191" customFormat="1" x14ac:dyDescent="0.35">
      <c r="A37" s="222" t="s">
        <v>243</v>
      </c>
      <c r="B37" s="426" t="str">
        <f>'Water '!X7</f>
        <v>0</v>
      </c>
      <c r="C37" s="426" t="str">
        <f>'Water '!X8</f>
        <v>0</v>
      </c>
      <c r="D37" s="426" t="str">
        <f>'Water '!X9</f>
        <v>0</v>
      </c>
      <c r="E37" s="426" t="str">
        <f>'Water '!X10</f>
        <v>0</v>
      </c>
      <c r="F37" s="426" t="str">
        <f>'Water '!X11</f>
        <v>0</v>
      </c>
      <c r="G37" s="426" t="str">
        <f>'Water '!X12</f>
        <v>0</v>
      </c>
      <c r="H37" s="426" t="str">
        <f>'Water '!X13</f>
        <v>0</v>
      </c>
      <c r="I37" s="426" t="str">
        <f>'Water '!X14</f>
        <v>0</v>
      </c>
      <c r="J37" s="427" t="str">
        <f>'Water '!X15</f>
        <v>0</v>
      </c>
      <c r="K37" s="427" t="str">
        <f>'Water '!X16</f>
        <v>0</v>
      </c>
      <c r="L37" s="427" t="str">
        <f>'Water '!X17</f>
        <v>0</v>
      </c>
      <c r="M37" s="427" t="str">
        <f>'Water '!X18</f>
        <v>0</v>
      </c>
      <c r="N37" s="427" t="str">
        <f>'Water '!X19</f>
        <v>0</v>
      </c>
      <c r="O37" s="427" t="str">
        <f>'Water '!X20</f>
        <v>0</v>
      </c>
      <c r="P37" s="427" t="str">
        <f>'Water '!X21</f>
        <v>0</v>
      </c>
      <c r="Q37" s="427" t="str">
        <f>'Water '!X22</f>
        <v>0</v>
      </c>
      <c r="R37" s="427" t="str">
        <f>'Water '!X23</f>
        <v>0</v>
      </c>
      <c r="S37" s="427" t="str">
        <f>'Water '!X24</f>
        <v>0</v>
      </c>
      <c r="T37" s="427" t="str">
        <f>'Water '!X25</f>
        <v>0</v>
      </c>
      <c r="U37" s="427" t="str">
        <f>'Water '!X26</f>
        <v>0</v>
      </c>
      <c r="V37" s="427" t="str">
        <f>'Water '!X27</f>
        <v>0</v>
      </c>
      <c r="W37" s="427" t="str">
        <f>'Water '!X28</f>
        <v>0</v>
      </c>
      <c r="X37" s="427" t="str">
        <f>'Water '!X29</f>
        <v>0</v>
      </c>
      <c r="Y37" s="427" t="str">
        <f>'Water '!X30</f>
        <v>0</v>
      </c>
      <c r="Z37" s="427" t="str">
        <f>'Water '!X31</f>
        <v>0</v>
      </c>
      <c r="AA37" s="427" t="str">
        <f>'Water '!X32</f>
        <v>0</v>
      </c>
      <c r="AB37" s="427" t="str">
        <f>'Water '!X33</f>
        <v>0</v>
      </c>
      <c r="AC37" s="427" t="str">
        <f>'Water '!X34</f>
        <v>0</v>
      </c>
      <c r="AD37" s="427" t="str">
        <f>'Water '!X35</f>
        <v>0</v>
      </c>
      <c r="AE37" s="427" t="str">
        <f>'Water '!Y35</f>
        <v>0</v>
      </c>
      <c r="AF37" s="427">
        <f>'Water '!Z35</f>
        <v>174</v>
      </c>
      <c r="AG37" s="428">
        <f>SUM($B37:AF37)</f>
        <v>174</v>
      </c>
      <c r="AH37" s="428"/>
      <c r="AI37" s="429"/>
      <c r="AJ37" s="366"/>
      <c r="AK37" s="366"/>
      <c r="AL37" s="366"/>
      <c r="AM37" s="366"/>
      <c r="AN37" s="366"/>
      <c r="AO37" s="366"/>
      <c r="AP37" s="366"/>
      <c r="AQ37" s="366"/>
      <c r="AR37" s="366"/>
      <c r="AS37" s="366"/>
      <c r="AT37" s="366"/>
      <c r="AU37" s="366"/>
      <c r="AV37" s="366"/>
      <c r="AW37" s="366"/>
      <c r="AX37" s="366"/>
      <c r="AY37" s="366"/>
      <c r="AZ37" s="366"/>
      <c r="BA37" s="366"/>
      <c r="BB37" s="366"/>
      <c r="BC37" s="366"/>
      <c r="BD37" s="366"/>
      <c r="BE37" s="366"/>
      <c r="BF37" s="366"/>
      <c r="BG37" s="180"/>
      <c r="BH37" s="180"/>
      <c r="BI37" s="180"/>
      <c r="BJ37" s="180"/>
      <c r="BK37" s="180"/>
      <c r="BL37" s="180"/>
      <c r="BM37" s="180"/>
      <c r="BN37" s="180"/>
      <c r="BO37" s="180"/>
      <c r="BP37" s="180"/>
      <c r="BQ37" s="180"/>
      <c r="BR37" s="180"/>
      <c r="BS37" s="180"/>
      <c r="BT37" s="180"/>
      <c r="BU37" s="180"/>
      <c r="BV37" s="180"/>
      <c r="BW37" s="180"/>
      <c r="BX37" s="180"/>
      <c r="BY37" s="180"/>
      <c r="BZ37" s="180"/>
      <c r="CA37" s="180"/>
      <c r="CB37" s="180"/>
      <c r="CC37" s="180"/>
      <c r="CD37" s="180"/>
      <c r="CE37" s="180"/>
      <c r="CF37" s="180"/>
      <c r="CG37" s="180"/>
      <c r="CH37" s="180"/>
      <c r="CI37" s="180"/>
      <c r="CJ37" s="180"/>
      <c r="CK37" s="180"/>
      <c r="CL37" s="180"/>
      <c r="CM37" s="180"/>
      <c r="CN37" s="180"/>
      <c r="CO37" s="180"/>
      <c r="CP37" s="180"/>
      <c r="CQ37" s="180"/>
      <c r="CR37" s="180"/>
      <c r="CS37" s="180"/>
      <c r="CT37" s="180"/>
      <c r="CU37" s="180"/>
      <c r="CV37" s="180"/>
      <c r="CW37" s="180"/>
      <c r="CX37" s="180"/>
      <c r="CY37" s="180"/>
      <c r="CZ37" s="180"/>
      <c r="DA37" s="180"/>
      <c r="DB37" s="180"/>
      <c r="DC37" s="180"/>
      <c r="DD37" s="180"/>
      <c r="DE37" s="180"/>
      <c r="DF37" s="180"/>
      <c r="DG37" s="180"/>
      <c r="DH37" s="180"/>
      <c r="DI37" s="180"/>
      <c r="DJ37" s="180"/>
      <c r="DK37" s="180"/>
      <c r="DL37" s="180"/>
      <c r="DM37" s="180"/>
      <c r="DN37" s="180"/>
      <c r="DO37" s="180"/>
      <c r="DP37" s="180"/>
      <c r="DQ37" s="180"/>
      <c r="DR37" s="180"/>
      <c r="DS37" s="180"/>
      <c r="DT37" s="180"/>
      <c r="DU37" s="180"/>
      <c r="DV37" s="180"/>
      <c r="DW37" s="180"/>
      <c r="DX37" s="180"/>
      <c r="DY37" s="180"/>
      <c r="DZ37" s="180"/>
      <c r="EA37" s="180"/>
      <c r="EB37" s="180"/>
      <c r="EC37" s="180"/>
      <c r="ED37" s="180"/>
      <c r="EE37" s="180"/>
      <c r="EF37" s="180"/>
      <c r="EG37" s="180"/>
      <c r="EH37" s="180"/>
      <c r="EI37" s="180"/>
      <c r="EJ37" s="180"/>
      <c r="EK37" s="180"/>
      <c r="EL37" s="180"/>
      <c r="EM37" s="180"/>
      <c r="EN37" s="180"/>
      <c r="EO37" s="180"/>
      <c r="EP37" s="180"/>
      <c r="EQ37" s="180"/>
      <c r="ER37" s="180"/>
    </row>
    <row r="38" spans="1:148" ht="32.25" customHeight="1" x14ac:dyDescent="0.35">
      <c r="A38" s="203" t="s">
        <v>201</v>
      </c>
      <c r="B38" s="430"/>
      <c r="C38" s="430"/>
      <c r="D38" s="430"/>
      <c r="E38" s="430"/>
      <c r="F38" s="430"/>
      <c r="G38" s="430"/>
      <c r="H38" s="430"/>
      <c r="I38" s="430"/>
      <c r="J38" s="431"/>
      <c r="K38" s="431"/>
      <c r="L38" s="431"/>
      <c r="M38" s="431"/>
      <c r="N38" s="431"/>
      <c r="O38" s="431"/>
      <c r="P38" s="431"/>
      <c r="Q38" s="431"/>
      <c r="R38" s="431"/>
      <c r="S38" s="431"/>
      <c r="T38" s="431"/>
      <c r="U38" s="431"/>
      <c r="V38" s="431"/>
      <c r="W38" s="431"/>
      <c r="X38" s="431"/>
      <c r="Y38" s="431"/>
      <c r="Z38" s="431"/>
      <c r="AA38" s="431"/>
      <c r="AB38" s="431"/>
      <c r="AC38" s="431"/>
      <c r="AD38" s="431"/>
      <c r="AE38" s="431"/>
      <c r="AF38" s="431"/>
      <c r="AG38" s="432"/>
      <c r="AH38" s="432"/>
      <c r="AI38" s="433"/>
    </row>
    <row r="39" spans="1:148" x14ac:dyDescent="0.35">
      <c r="A39" s="204" t="s">
        <v>233</v>
      </c>
      <c r="B39" s="434" t="str">
        <f>+'Water '!$K7</f>
        <v>0</v>
      </c>
      <c r="C39" s="434" t="str">
        <f>+'Water '!$K8</f>
        <v>0</v>
      </c>
      <c r="D39" s="434" t="str">
        <f>+'Water '!$K9</f>
        <v>0</v>
      </c>
      <c r="E39" s="434" t="str">
        <f>+'Water '!$K10</f>
        <v>0</v>
      </c>
      <c r="F39" s="434" t="str">
        <f>+'Water '!$K9</f>
        <v>0</v>
      </c>
      <c r="G39" s="434" t="str">
        <f>+'Water '!$K12</f>
        <v>0</v>
      </c>
      <c r="H39" s="434" t="str">
        <f>+'Water '!$K13</f>
        <v>0</v>
      </c>
      <c r="I39" s="434" t="str">
        <f>+'Water '!$K14</f>
        <v>0</v>
      </c>
      <c r="J39" s="435" t="str">
        <f>+'Water '!$K15</f>
        <v>0</v>
      </c>
      <c r="K39" s="435" t="str">
        <f>+'Water '!$K16</f>
        <v>0</v>
      </c>
      <c r="L39" s="435" t="str">
        <f>+'Water '!$K17</f>
        <v>0</v>
      </c>
      <c r="M39" s="435" t="str">
        <f>+'Water '!$K18</f>
        <v>0</v>
      </c>
      <c r="N39" s="435" t="str">
        <f>+'Water '!$K19</f>
        <v>0</v>
      </c>
      <c r="O39" s="435" t="str">
        <f>+'Water '!$K20</f>
        <v>0</v>
      </c>
      <c r="P39" s="435" t="str">
        <f>+'Water '!$K21</f>
        <v>0</v>
      </c>
      <c r="Q39" s="435" t="str">
        <f>+'Water '!$K22</f>
        <v>0</v>
      </c>
      <c r="R39" s="435" t="str">
        <f>+'Water '!$K23</f>
        <v>0</v>
      </c>
      <c r="S39" s="435" t="str">
        <f>+'Water '!$K24</f>
        <v>0</v>
      </c>
      <c r="T39" s="435" t="str">
        <f>+'Water '!$K25</f>
        <v>0</v>
      </c>
      <c r="U39" s="435" t="str">
        <f>+'Water '!$K26</f>
        <v>0</v>
      </c>
      <c r="V39" s="435" t="str">
        <f>+'Water '!$K27</f>
        <v>0</v>
      </c>
      <c r="W39" s="435" t="str">
        <f>+'Water '!$K28</f>
        <v>0</v>
      </c>
      <c r="X39" s="435" t="str">
        <f>+'Water '!$K29</f>
        <v>0</v>
      </c>
      <c r="Y39" s="435" t="str">
        <f>+'Water '!$K30</f>
        <v>0</v>
      </c>
      <c r="Z39" s="435" t="str">
        <f>+'Water '!$K31</f>
        <v>0</v>
      </c>
      <c r="AA39" s="435" t="str">
        <f>+'Water '!$K32</f>
        <v>0</v>
      </c>
      <c r="AB39" s="435" t="str">
        <f>+'Water '!$K33</f>
        <v>0</v>
      </c>
      <c r="AC39" s="435" t="str">
        <f>+'Water '!$K34</f>
        <v>0</v>
      </c>
      <c r="AD39" s="435" t="str">
        <f>+'Water '!$K35</f>
        <v>0</v>
      </c>
      <c r="AE39" s="435" t="str">
        <f>+'Water '!$K36</f>
        <v>0</v>
      </c>
      <c r="AF39" s="435" t="str">
        <f>+'Water '!$K37</f>
        <v>0</v>
      </c>
      <c r="AG39" s="432">
        <f>SUM($B39:AF39)</f>
        <v>0</v>
      </c>
      <c r="AH39" s="432"/>
      <c r="AI39" s="432"/>
    </row>
    <row r="40" spans="1:148" s="191" customFormat="1" ht="27" customHeight="1" x14ac:dyDescent="0.35">
      <c r="A40" s="202" t="s">
        <v>181</v>
      </c>
      <c r="B40" s="426" t="str">
        <f>'Water '!L7</f>
        <v>0</v>
      </c>
      <c r="C40" s="426" t="str">
        <f>'Water '!L8</f>
        <v>0</v>
      </c>
      <c r="D40" s="426" t="str">
        <f>'Water '!L9</f>
        <v>0</v>
      </c>
      <c r="E40" s="426" t="str">
        <f>'Water '!L10</f>
        <v>0</v>
      </c>
      <c r="F40" s="426" t="str">
        <f>'Water '!L11</f>
        <v>0</v>
      </c>
      <c r="G40" s="426" t="str">
        <f>'Water '!L12</f>
        <v>0</v>
      </c>
      <c r="H40" s="426" t="str">
        <f>'Water '!L13</f>
        <v>0</v>
      </c>
      <c r="I40" s="426" t="str">
        <f>'Water '!L14</f>
        <v>0</v>
      </c>
      <c r="J40" s="427" t="str">
        <f>'Water '!L15</f>
        <v>0</v>
      </c>
      <c r="K40" s="427" t="str">
        <f>'Water '!L16</f>
        <v>0</v>
      </c>
      <c r="L40" s="427" t="str">
        <f>'Water '!L17</f>
        <v>0</v>
      </c>
      <c r="M40" s="427" t="str">
        <f>'Water '!L18</f>
        <v>0</v>
      </c>
      <c r="N40" s="427" t="str">
        <f>'Water '!L19</f>
        <v>0</v>
      </c>
      <c r="O40" s="427" t="str">
        <f>'Water '!L20</f>
        <v>0</v>
      </c>
      <c r="P40" s="427" t="str">
        <f>'Water '!L21</f>
        <v>0</v>
      </c>
      <c r="Q40" s="427" t="str">
        <f>'Water '!L22</f>
        <v>0</v>
      </c>
      <c r="R40" s="427" t="str">
        <f>'Water '!L23</f>
        <v>0</v>
      </c>
      <c r="S40" s="427" t="str">
        <f>'Water '!L24</f>
        <v>0</v>
      </c>
      <c r="T40" s="427" t="str">
        <f>'Water '!L25</f>
        <v>0</v>
      </c>
      <c r="U40" s="427" t="str">
        <f>'Water '!L26</f>
        <v>0</v>
      </c>
      <c r="V40" s="427" t="str">
        <f>'Water '!L27</f>
        <v>0</v>
      </c>
      <c r="W40" s="427" t="str">
        <f>'Water '!L28</f>
        <v>0</v>
      </c>
      <c r="X40" s="427" t="str">
        <f>'Water '!L29</f>
        <v>0</v>
      </c>
      <c r="Y40" s="427" t="str">
        <f>'Water '!L30</f>
        <v>0</v>
      </c>
      <c r="Z40" s="427" t="str">
        <f>'Water '!L31</f>
        <v>0</v>
      </c>
      <c r="AA40" s="427" t="str">
        <f>'Water '!L32</f>
        <v>0</v>
      </c>
      <c r="AB40" s="427" t="str">
        <f>'Water '!L33</f>
        <v>0</v>
      </c>
      <c r="AC40" s="427" t="str">
        <f>'Water '!L34</f>
        <v>0</v>
      </c>
      <c r="AD40" s="427" t="str">
        <f>'Water '!L35</f>
        <v>0</v>
      </c>
      <c r="AE40" s="427" t="str">
        <f>'Water '!L36</f>
        <v>0</v>
      </c>
      <c r="AF40" s="427" t="str">
        <f>'Water '!L37</f>
        <v>0</v>
      </c>
      <c r="AG40" s="428">
        <f>SUM($B40:AF40)</f>
        <v>0</v>
      </c>
      <c r="AH40" s="428"/>
      <c r="AI40" s="428"/>
      <c r="AJ40" s="366"/>
      <c r="AK40" s="366"/>
      <c r="AL40" s="366"/>
      <c r="AM40" s="366"/>
      <c r="AN40" s="366"/>
      <c r="AO40" s="366"/>
      <c r="AP40" s="366"/>
      <c r="AQ40" s="366"/>
      <c r="AR40" s="366"/>
      <c r="AS40" s="366"/>
      <c r="AT40" s="366"/>
      <c r="AU40" s="366"/>
      <c r="AV40" s="366"/>
      <c r="AW40" s="366"/>
      <c r="AX40" s="366"/>
      <c r="AY40" s="366"/>
      <c r="AZ40" s="366"/>
      <c r="BA40" s="366"/>
      <c r="BB40" s="366"/>
      <c r="BC40" s="366"/>
      <c r="BD40" s="366"/>
      <c r="BE40" s="366"/>
      <c r="BF40" s="366"/>
      <c r="BG40" s="180"/>
      <c r="BH40" s="180"/>
      <c r="BI40" s="180"/>
      <c r="BJ40" s="180"/>
      <c r="BK40" s="180"/>
      <c r="BL40" s="180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80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  <c r="CH40" s="180"/>
      <c r="CI40" s="180"/>
      <c r="CJ40" s="180"/>
      <c r="CK40" s="180"/>
      <c r="CL40" s="180"/>
      <c r="CM40" s="180"/>
      <c r="CN40" s="180"/>
      <c r="CO40" s="180"/>
      <c r="CP40" s="180"/>
      <c r="CQ40" s="180"/>
      <c r="CR40" s="180"/>
      <c r="CS40" s="180"/>
      <c r="CT40" s="180"/>
      <c r="CU40" s="180"/>
      <c r="CV40" s="180"/>
      <c r="CW40" s="180"/>
      <c r="CX40" s="180"/>
      <c r="CY40" s="180"/>
      <c r="CZ40" s="180"/>
      <c r="DA40" s="180"/>
      <c r="DB40" s="180"/>
      <c r="DC40" s="180"/>
      <c r="DD40" s="180"/>
      <c r="DE40" s="180"/>
      <c r="DF40" s="180"/>
      <c r="DG40" s="180"/>
      <c r="DH40" s="180"/>
      <c r="DI40" s="180"/>
      <c r="DJ40" s="180"/>
      <c r="DK40" s="180"/>
      <c r="DL40" s="180"/>
      <c r="DM40" s="180"/>
      <c r="DN40" s="180"/>
      <c r="DO40" s="180"/>
      <c r="DP40" s="180"/>
      <c r="DQ40" s="180"/>
      <c r="DR40" s="180"/>
      <c r="DS40" s="180"/>
      <c r="DT40" s="180"/>
      <c r="DU40" s="180"/>
      <c r="DV40" s="180"/>
      <c r="DW40" s="180"/>
      <c r="DX40" s="180"/>
      <c r="DY40" s="180"/>
      <c r="DZ40" s="180"/>
      <c r="EA40" s="180"/>
      <c r="EB40" s="180"/>
      <c r="EC40" s="180"/>
      <c r="ED40" s="180"/>
      <c r="EE40" s="180"/>
      <c r="EF40" s="180"/>
      <c r="EG40" s="180"/>
      <c r="EH40" s="180"/>
      <c r="EI40" s="180"/>
      <c r="EJ40" s="180"/>
      <c r="EK40" s="180"/>
      <c r="EL40" s="180"/>
      <c r="EM40" s="180"/>
      <c r="EN40" s="180"/>
      <c r="EO40" s="180"/>
      <c r="EP40" s="180"/>
      <c r="EQ40" s="180"/>
      <c r="ER40" s="180"/>
    </row>
    <row r="41" spans="1:148" s="191" customFormat="1" x14ac:dyDescent="0.35">
      <c r="A41" s="202" t="s">
        <v>103</v>
      </c>
      <c r="B41" s="436" t="str">
        <f>+'Water '!$N7</f>
        <v>0</v>
      </c>
      <c r="C41" s="436">
        <f>+'Water '!$N8</f>
        <v>85</v>
      </c>
      <c r="D41" s="436">
        <f>+'Water '!$N9</f>
        <v>51</v>
      </c>
      <c r="E41" s="436">
        <f>+'Water '!$N10</f>
        <v>31</v>
      </c>
      <c r="F41" s="436">
        <f>+'Water '!$N11</f>
        <v>56</v>
      </c>
      <c r="G41" s="436">
        <f>+'Water '!$N12</f>
        <v>60</v>
      </c>
      <c r="H41" s="436">
        <f>+'Water '!$N13</f>
        <v>5</v>
      </c>
      <c r="I41" s="436" t="str">
        <f>+'Water '!$N14</f>
        <v>0</v>
      </c>
      <c r="J41" s="437" t="str">
        <f>+'Water '!$N15</f>
        <v>0</v>
      </c>
      <c r="K41" s="437">
        <f>+'Water '!$N16</f>
        <v>47</v>
      </c>
      <c r="L41" s="437">
        <f>+'Water '!$N17</f>
        <v>43</v>
      </c>
      <c r="M41" s="441">
        <f>+'Water '!$N18</f>
        <v>64</v>
      </c>
      <c r="N41" s="437">
        <f>+'Water '!$N19</f>
        <v>31</v>
      </c>
      <c r="O41" s="437">
        <f>+'Water '!$N20</f>
        <v>18</v>
      </c>
      <c r="P41" s="437" t="str">
        <f>+'Water '!$N21</f>
        <v>0</v>
      </c>
      <c r="Q41" s="437">
        <f>+'Water '!$N22</f>
        <v>47</v>
      </c>
      <c r="R41" s="437">
        <f>+'Water '!$N23</f>
        <v>47</v>
      </c>
      <c r="S41" s="437">
        <f>+'Water '!$N24</f>
        <v>38</v>
      </c>
      <c r="T41" s="437" t="str">
        <f>+'Water '!$N25</f>
        <v>0</v>
      </c>
      <c r="U41" s="437">
        <f>+'Water '!$N26</f>
        <v>21</v>
      </c>
      <c r="V41" s="437" t="str">
        <f>+'Water '!$N27</f>
        <v>0</v>
      </c>
      <c r="W41" s="437" t="str">
        <f>+'Water '!$N28</f>
        <v>0</v>
      </c>
      <c r="X41" s="437">
        <f>+'Water '!$N29</f>
        <v>64</v>
      </c>
      <c r="Y41" s="437">
        <f>+'Water '!$N30</f>
        <v>39</v>
      </c>
      <c r="Z41" s="437">
        <f>+'Water '!$N31</f>
        <v>38</v>
      </c>
      <c r="AA41" s="437">
        <f>+'Water '!$N32</f>
        <v>43</v>
      </c>
      <c r="AB41" s="437">
        <f>+'Water '!$N33</f>
        <v>64</v>
      </c>
      <c r="AC41" s="437">
        <f>+'Water '!$N34</f>
        <v>19</v>
      </c>
      <c r="AD41" s="437">
        <f>+'Water '!$N35</f>
        <v>18</v>
      </c>
      <c r="AE41" s="437">
        <f>+'Water '!$N36</f>
        <v>54</v>
      </c>
      <c r="AF41" s="437" t="str">
        <f>+'Water '!$N37</f>
        <v>0</v>
      </c>
      <c r="AG41" s="428">
        <f>SUM($B41:AF41)</f>
        <v>983</v>
      </c>
      <c r="AH41" s="428"/>
      <c r="AI41" s="428"/>
      <c r="AJ41" s="366"/>
      <c r="AK41" s="366"/>
      <c r="AL41" s="366"/>
      <c r="AM41" s="366"/>
      <c r="AN41" s="366"/>
      <c r="AO41" s="366"/>
      <c r="AP41" s="366"/>
      <c r="AQ41" s="366"/>
      <c r="AR41" s="366"/>
      <c r="AS41" s="366"/>
      <c r="AT41" s="366"/>
      <c r="AU41" s="366"/>
      <c r="AV41" s="366"/>
      <c r="AW41" s="366"/>
      <c r="AX41" s="366"/>
      <c r="AY41" s="366"/>
      <c r="AZ41" s="366"/>
      <c r="BA41" s="366"/>
      <c r="BB41" s="366"/>
      <c r="BC41" s="366"/>
      <c r="BD41" s="366"/>
      <c r="BE41" s="366"/>
      <c r="BF41" s="366"/>
      <c r="BG41" s="180"/>
      <c r="BH41" s="180"/>
      <c r="BI41" s="180"/>
      <c r="BJ41" s="180"/>
      <c r="BK41" s="180"/>
      <c r="BL41" s="180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80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  <c r="CH41" s="180"/>
      <c r="CI41" s="180"/>
      <c r="CJ41" s="180"/>
      <c r="CK41" s="180"/>
      <c r="CL41" s="180"/>
      <c r="CM41" s="180"/>
      <c r="CN41" s="180"/>
      <c r="CO41" s="180"/>
      <c r="CP41" s="180"/>
      <c r="CQ41" s="180"/>
      <c r="CR41" s="180"/>
      <c r="CS41" s="180"/>
      <c r="CT41" s="180"/>
      <c r="CU41" s="180"/>
      <c r="CV41" s="180"/>
      <c r="CW41" s="180"/>
      <c r="CX41" s="180"/>
      <c r="CY41" s="180"/>
      <c r="CZ41" s="180"/>
      <c r="DA41" s="180"/>
      <c r="DB41" s="180"/>
      <c r="DC41" s="180"/>
      <c r="DD41" s="180"/>
      <c r="DE41" s="180"/>
      <c r="DF41" s="180"/>
      <c r="DG41" s="180"/>
      <c r="DH41" s="180"/>
      <c r="DI41" s="180"/>
      <c r="DJ41" s="180"/>
      <c r="DK41" s="180"/>
      <c r="DL41" s="180"/>
      <c r="DM41" s="180"/>
      <c r="DN41" s="180"/>
      <c r="DO41" s="180"/>
      <c r="DP41" s="180"/>
      <c r="DQ41" s="180"/>
      <c r="DR41" s="180"/>
      <c r="DS41" s="180"/>
      <c r="DT41" s="180"/>
      <c r="DU41" s="180"/>
      <c r="DV41" s="180"/>
      <c r="DW41" s="180"/>
      <c r="DX41" s="180"/>
      <c r="DY41" s="180"/>
      <c r="DZ41" s="180"/>
      <c r="EA41" s="180"/>
      <c r="EB41" s="180"/>
      <c r="EC41" s="180"/>
      <c r="ED41" s="180"/>
      <c r="EE41" s="180"/>
      <c r="EF41" s="180"/>
      <c r="EG41" s="180"/>
      <c r="EH41" s="180"/>
      <c r="EI41" s="180"/>
      <c r="EJ41" s="180"/>
      <c r="EK41" s="180"/>
      <c r="EL41" s="180"/>
      <c r="EM41" s="180"/>
      <c r="EN41" s="180"/>
      <c r="EO41" s="180"/>
      <c r="EP41" s="180"/>
      <c r="EQ41" s="180"/>
      <c r="ER41" s="180"/>
    </row>
    <row r="42" spans="1:148" s="191" customFormat="1" x14ac:dyDescent="0.35">
      <c r="A42" s="203" t="s">
        <v>132</v>
      </c>
      <c r="B42" s="434">
        <f>+'Water '!$O7</f>
        <v>27</v>
      </c>
      <c r="C42" s="434">
        <f>+'Water '!$O8</f>
        <v>113</v>
      </c>
      <c r="D42" s="434">
        <f>+'Water '!$O9</f>
        <v>158</v>
      </c>
      <c r="E42" s="434">
        <f>+'Water '!$O10</f>
        <v>113</v>
      </c>
      <c r="F42" s="434">
        <f>+'Water '!$O11</f>
        <v>150</v>
      </c>
      <c r="G42" s="434">
        <f>+'Water '!$O12</f>
        <v>94</v>
      </c>
      <c r="H42" s="434">
        <f>+'Water '!$O13</f>
        <v>5</v>
      </c>
      <c r="I42" s="434">
        <f>+'Water '!$O14</f>
        <v>59</v>
      </c>
      <c r="J42" s="435" t="str">
        <f>+'Water '!$O15</f>
        <v>0</v>
      </c>
      <c r="K42" s="435">
        <f>+'Water '!$O16</f>
        <v>140</v>
      </c>
      <c r="L42" s="435">
        <f>+'Water '!$O17</f>
        <v>158</v>
      </c>
      <c r="M42" s="434">
        <f>+'Water '!$O18</f>
        <v>110</v>
      </c>
      <c r="N42" s="435">
        <f>+'Water '!$O19</f>
        <v>126</v>
      </c>
      <c r="O42" s="435">
        <f>+'Water '!$O20</f>
        <v>27</v>
      </c>
      <c r="P42" s="435" t="str">
        <f>+'Water '!$O21</f>
        <v>0</v>
      </c>
      <c r="Q42" s="435">
        <f>+'Water '!$O22</f>
        <v>132</v>
      </c>
      <c r="R42" s="435">
        <f>+'Water '!$O23</f>
        <v>150</v>
      </c>
      <c r="S42" s="435">
        <f>+'Water '!$O24</f>
        <v>128</v>
      </c>
      <c r="T42" s="435" t="str">
        <f>+'Water '!$O25</f>
        <v>0</v>
      </c>
      <c r="U42" s="435">
        <f>+'Water '!$O26</f>
        <v>115</v>
      </c>
      <c r="V42" s="435">
        <f>+'Water '!$O27</f>
        <v>31</v>
      </c>
      <c r="W42" s="435" t="str">
        <f>+'Water '!$O28</f>
        <v>0</v>
      </c>
      <c r="X42" s="435">
        <f>+'Water '!$O29</f>
        <v>145</v>
      </c>
      <c r="Y42" s="435">
        <f>+'Water '!$O30</f>
        <v>103</v>
      </c>
      <c r="Z42" s="435">
        <f>+'Water '!$O31</f>
        <v>177</v>
      </c>
      <c r="AA42" s="435">
        <f>+'Water '!$O32</f>
        <v>141</v>
      </c>
      <c r="AB42" s="435">
        <f>+'Water '!$O33</f>
        <v>112</v>
      </c>
      <c r="AC42" s="435">
        <f>+'Water '!$O34</f>
        <v>7</v>
      </c>
      <c r="AD42" s="435" t="str">
        <f>+'Water '!$O35</f>
        <v>0</v>
      </c>
      <c r="AE42" s="435">
        <f>+'Water '!$O36</f>
        <v>136</v>
      </c>
      <c r="AF42" s="435" t="str">
        <f>+'Water '!$O37</f>
        <v>0</v>
      </c>
      <c r="AG42" s="438">
        <f>SUM($B42:AF42)</f>
        <v>2657</v>
      </c>
      <c r="AH42" s="434"/>
      <c r="AI42" s="434"/>
      <c r="AJ42" s="366"/>
      <c r="AK42" s="366"/>
      <c r="AL42" s="366"/>
      <c r="AM42" s="366"/>
      <c r="AN42" s="366"/>
      <c r="AO42" s="366"/>
      <c r="AP42" s="366"/>
      <c r="AQ42" s="366"/>
      <c r="AR42" s="366"/>
      <c r="AS42" s="366"/>
      <c r="AT42" s="366"/>
      <c r="AU42" s="366"/>
      <c r="AV42" s="366"/>
      <c r="AW42" s="366"/>
      <c r="AX42" s="366"/>
      <c r="AY42" s="366"/>
      <c r="AZ42" s="366"/>
      <c r="BA42" s="366"/>
      <c r="BB42" s="366"/>
      <c r="BC42" s="366"/>
      <c r="BD42" s="366"/>
      <c r="BE42" s="366"/>
      <c r="BF42" s="366"/>
      <c r="BG42" s="180"/>
      <c r="BH42" s="180"/>
      <c r="BI42" s="180"/>
      <c r="BJ42" s="180"/>
      <c r="BK42" s="180"/>
      <c r="BL42" s="180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80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  <c r="CH42" s="180"/>
      <c r="CI42" s="180"/>
      <c r="CJ42" s="180"/>
      <c r="CK42" s="180"/>
      <c r="CL42" s="180"/>
      <c r="CM42" s="180"/>
      <c r="CN42" s="180"/>
      <c r="CO42" s="180"/>
      <c r="CP42" s="180"/>
      <c r="CQ42" s="180"/>
      <c r="CR42" s="180"/>
      <c r="CS42" s="180"/>
      <c r="CT42" s="180"/>
      <c r="CU42" s="180"/>
      <c r="CV42" s="180"/>
      <c r="CW42" s="180"/>
      <c r="CX42" s="180"/>
      <c r="CY42" s="180"/>
      <c r="CZ42" s="180"/>
      <c r="DA42" s="180"/>
      <c r="DB42" s="180"/>
      <c r="DC42" s="180"/>
      <c r="DD42" s="180"/>
      <c r="DE42" s="180"/>
      <c r="DF42" s="180"/>
      <c r="DG42" s="180"/>
      <c r="DH42" s="180"/>
      <c r="DI42" s="180"/>
      <c r="DJ42" s="180"/>
      <c r="DK42" s="180"/>
      <c r="DL42" s="180"/>
      <c r="DM42" s="180"/>
      <c r="DN42" s="180"/>
      <c r="DO42" s="180"/>
      <c r="DP42" s="180"/>
      <c r="DQ42" s="180"/>
      <c r="DR42" s="180"/>
      <c r="DS42" s="180"/>
      <c r="DT42" s="180"/>
      <c r="DU42" s="180"/>
      <c r="DV42" s="180"/>
      <c r="DW42" s="180"/>
      <c r="DX42" s="180"/>
      <c r="DY42" s="180"/>
      <c r="DZ42" s="180"/>
      <c r="EA42" s="180"/>
      <c r="EB42" s="180"/>
      <c r="EC42" s="180"/>
      <c r="ED42" s="180"/>
      <c r="EE42" s="180"/>
      <c r="EF42" s="180"/>
      <c r="EG42" s="180"/>
      <c r="EH42" s="180"/>
      <c r="EI42" s="180"/>
      <c r="EJ42" s="180"/>
      <c r="EK42" s="180"/>
      <c r="EL42" s="180"/>
      <c r="EM42" s="180"/>
      <c r="EN42" s="180"/>
      <c r="EO42" s="180"/>
      <c r="EP42" s="180"/>
      <c r="EQ42" s="180"/>
      <c r="ER42" s="180"/>
    </row>
    <row r="43" spans="1:148" s="191" customFormat="1" x14ac:dyDescent="0.35">
      <c r="A43" s="202" t="s">
        <v>177</v>
      </c>
      <c r="B43" s="536" t="str" cm="1">
        <f t="array" ref="B43:AF43">TRANSPOSE('Water '!P7:P37)</f>
        <v>0</v>
      </c>
      <c r="C43" s="536" t="str">
        <v>0</v>
      </c>
      <c r="D43" s="536">
        <v>42</v>
      </c>
      <c r="E43" s="536">
        <v>22</v>
      </c>
      <c r="F43" s="537">
        <v>23</v>
      </c>
      <c r="G43" s="537">
        <v>17</v>
      </c>
      <c r="H43" s="537">
        <v>2</v>
      </c>
      <c r="I43" s="537" t="str">
        <v>0</v>
      </c>
      <c r="J43" s="538" t="str">
        <v>0</v>
      </c>
      <c r="K43" s="538" t="str">
        <v>0</v>
      </c>
      <c r="L43" s="538" t="str">
        <v>0</v>
      </c>
      <c r="M43" s="538">
        <v>65</v>
      </c>
      <c r="N43" s="538">
        <v>20</v>
      </c>
      <c r="O43" s="538">
        <v>1</v>
      </c>
      <c r="P43" s="538" t="str">
        <v>0</v>
      </c>
      <c r="Q43" s="538">
        <v>20</v>
      </c>
      <c r="R43" s="538">
        <v>24</v>
      </c>
      <c r="S43" s="538">
        <v>19</v>
      </c>
      <c r="T43" s="538" t="str">
        <v>0</v>
      </c>
      <c r="U43" s="538">
        <v>16</v>
      </c>
      <c r="V43" s="538" t="str">
        <v>0</v>
      </c>
      <c r="W43" s="538" t="str">
        <v>0</v>
      </c>
      <c r="X43" s="538">
        <v>12</v>
      </c>
      <c r="Y43" s="538">
        <v>22</v>
      </c>
      <c r="Z43" s="538">
        <v>24</v>
      </c>
      <c r="AA43" s="538">
        <v>20</v>
      </c>
      <c r="AB43" s="538">
        <v>56</v>
      </c>
      <c r="AC43" s="538" t="str">
        <v>0</v>
      </c>
      <c r="AD43" s="538" t="str">
        <v>0</v>
      </c>
      <c r="AE43" s="538">
        <v>10</v>
      </c>
      <c r="AF43" s="538" t="str">
        <v>0</v>
      </c>
      <c r="AG43" s="539">
        <f>SUM($B43:AF43)</f>
        <v>415</v>
      </c>
      <c r="AH43" s="540"/>
      <c r="AI43" s="429"/>
      <c r="AJ43" s="366"/>
      <c r="AK43" s="406"/>
      <c r="AL43" s="366"/>
      <c r="AM43" s="366"/>
      <c r="AN43" s="366"/>
      <c r="AO43" s="366"/>
      <c r="AP43" s="366"/>
      <c r="AQ43" s="366"/>
      <c r="AR43" s="366"/>
      <c r="AS43" s="366"/>
      <c r="AT43" s="366"/>
      <c r="AU43" s="366"/>
      <c r="AV43" s="366"/>
      <c r="AW43" s="366"/>
      <c r="AX43" s="366"/>
      <c r="AY43" s="366"/>
      <c r="AZ43" s="366"/>
      <c r="BA43" s="366"/>
      <c r="BB43" s="366"/>
      <c r="BC43" s="366"/>
      <c r="BD43" s="366"/>
      <c r="BE43" s="366"/>
      <c r="BF43" s="366"/>
      <c r="BG43" s="180"/>
      <c r="BH43" s="180"/>
      <c r="BI43" s="180"/>
      <c r="BJ43" s="180"/>
      <c r="BK43" s="180"/>
      <c r="BL43" s="180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80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  <c r="CH43" s="180"/>
      <c r="CI43" s="180"/>
      <c r="CJ43" s="180"/>
      <c r="CK43" s="180"/>
      <c r="CL43" s="180"/>
      <c r="CM43" s="180"/>
      <c r="CN43" s="180"/>
      <c r="CO43" s="180"/>
      <c r="CP43" s="180"/>
      <c r="CQ43" s="180"/>
      <c r="CR43" s="180"/>
      <c r="CS43" s="180"/>
      <c r="CT43" s="180"/>
      <c r="CU43" s="180"/>
      <c r="CV43" s="180"/>
      <c r="CW43" s="180"/>
      <c r="CX43" s="180"/>
      <c r="CY43" s="180"/>
      <c r="CZ43" s="180"/>
      <c r="DA43" s="180"/>
      <c r="DB43" s="180"/>
      <c r="DC43" s="180"/>
      <c r="DD43" s="180"/>
      <c r="DE43" s="180"/>
      <c r="DF43" s="180"/>
      <c r="DG43" s="180"/>
      <c r="DH43" s="180"/>
      <c r="DI43" s="180"/>
      <c r="DJ43" s="180"/>
      <c r="DK43" s="180"/>
      <c r="DL43" s="180"/>
      <c r="DM43" s="180"/>
      <c r="DN43" s="180"/>
      <c r="DO43" s="180"/>
      <c r="DP43" s="180"/>
      <c r="DQ43" s="180"/>
      <c r="DR43" s="180"/>
      <c r="DS43" s="180"/>
      <c r="DT43" s="180"/>
      <c r="DU43" s="180"/>
      <c r="DV43" s="180"/>
      <c r="DW43" s="180"/>
      <c r="DX43" s="180"/>
      <c r="DY43" s="180"/>
      <c r="DZ43" s="180"/>
      <c r="EA43" s="180"/>
      <c r="EB43" s="180"/>
      <c r="EC43" s="180"/>
      <c r="ED43" s="180"/>
      <c r="EE43" s="180"/>
      <c r="EF43" s="180"/>
      <c r="EG43" s="180"/>
      <c r="EH43" s="180"/>
      <c r="EI43" s="180"/>
      <c r="EJ43" s="180"/>
      <c r="EK43" s="180"/>
      <c r="EL43" s="180"/>
      <c r="EM43" s="180"/>
      <c r="EN43" s="180"/>
      <c r="EO43" s="180"/>
      <c r="EP43" s="180"/>
      <c r="EQ43" s="180"/>
      <c r="ER43" s="180"/>
    </row>
    <row r="44" spans="1:148" s="191" customFormat="1" x14ac:dyDescent="0.35">
      <c r="A44" s="204" t="s">
        <v>131</v>
      </c>
      <c r="B44" s="439" t="str">
        <f>+'Water '!$M7</f>
        <v>0</v>
      </c>
      <c r="C44" s="434">
        <f>+'Water '!$M8</f>
        <v>19</v>
      </c>
      <c r="D44" s="435" t="str">
        <f>+'Water '!$M9</f>
        <v>0</v>
      </c>
      <c r="E44" s="435" t="str">
        <f>+'Water '!$M10</f>
        <v>0</v>
      </c>
      <c r="F44" s="435">
        <f>+'Water '!$M11</f>
        <v>8</v>
      </c>
      <c r="G44" s="435" t="str">
        <f>+'Water '!$M12</f>
        <v>0</v>
      </c>
      <c r="H44" s="440" t="str">
        <f>+'Water '!$M13</f>
        <v>0</v>
      </c>
      <c r="I44" s="435" t="str">
        <f>+'Water '!$M14</f>
        <v>0</v>
      </c>
      <c r="J44" s="435" t="str">
        <f>+'Water '!$M15</f>
        <v>0</v>
      </c>
      <c r="K44" s="435">
        <f>+'Water '!$M16</f>
        <v>6</v>
      </c>
      <c r="L44" s="435" t="str">
        <f>+'Water '!$M17</f>
        <v>0</v>
      </c>
      <c r="M44" s="435" t="str">
        <f>+'Water '!$M18</f>
        <v>0</v>
      </c>
      <c r="N44" s="435">
        <f>+'Water '!$M19</f>
        <v>3</v>
      </c>
      <c r="O44" s="441">
        <f>+'Water '!$M20</f>
        <v>15</v>
      </c>
      <c r="P44" s="435" t="str">
        <f>+'Water '!$M21</f>
        <v>0</v>
      </c>
      <c r="Q44" s="435">
        <f>+'Water '!$M22</f>
        <v>38</v>
      </c>
      <c r="R44" s="435">
        <f>+'Water '!$M23</f>
        <v>8</v>
      </c>
      <c r="S44" s="435">
        <f>+'Water '!$M24</f>
        <v>10</v>
      </c>
      <c r="T44" s="435" t="str">
        <f>+'Water '!$M25</f>
        <v>0</v>
      </c>
      <c r="U44" s="435">
        <f>+'Water '!$M26</f>
        <v>16</v>
      </c>
      <c r="V44" s="435" t="str">
        <f>+'Water '!$M27</f>
        <v>0</v>
      </c>
      <c r="W44" s="435" t="str">
        <f>+'Water '!$M28</f>
        <v>0</v>
      </c>
      <c r="X44" s="435">
        <f>+'Water '!$M29</f>
        <v>10</v>
      </c>
      <c r="Y44" s="435" t="str">
        <f>+'Water '!$M30</f>
        <v>0</v>
      </c>
      <c r="Z44" s="435" t="str">
        <f>+'Water '!$M31</f>
        <v>0</v>
      </c>
      <c r="AA44" s="435" t="str">
        <f>+'Water '!$M32</f>
        <v>0</v>
      </c>
      <c r="AB44" s="435">
        <f>+'Water '!$M33</f>
        <v>10</v>
      </c>
      <c r="AC44" s="435" t="str">
        <f>+'Water '!$M34</f>
        <v>0</v>
      </c>
      <c r="AD44" s="435" t="str">
        <f>+'Water '!$M35</f>
        <v>0</v>
      </c>
      <c r="AE44" s="435">
        <f>+'Water '!$M36</f>
        <v>12</v>
      </c>
      <c r="AF44" s="435" t="str">
        <f>+'Water '!$M37</f>
        <v>0</v>
      </c>
      <c r="AG44" s="432">
        <f>SUM($B44:AF44)</f>
        <v>155</v>
      </c>
      <c r="AH44" s="432"/>
      <c r="AI44" s="433"/>
      <c r="AJ44" s="366"/>
      <c r="AK44" s="366"/>
      <c r="AL44" s="366"/>
      <c r="AM44" s="366"/>
      <c r="AN44" s="366"/>
      <c r="AO44" s="366"/>
      <c r="AP44" s="366"/>
      <c r="AQ44" s="366"/>
      <c r="AR44" s="366"/>
      <c r="AS44" s="366"/>
      <c r="AT44" s="366"/>
      <c r="AU44" s="366"/>
      <c r="AV44" s="366"/>
      <c r="AW44" s="366"/>
      <c r="AX44" s="366"/>
      <c r="AY44" s="366"/>
      <c r="AZ44" s="366"/>
      <c r="BA44" s="366"/>
      <c r="BB44" s="366"/>
      <c r="BC44" s="366"/>
      <c r="BD44" s="366"/>
      <c r="BE44" s="366"/>
      <c r="BF44" s="366"/>
      <c r="BG44" s="180"/>
      <c r="BH44" s="180"/>
      <c r="BI44" s="180"/>
      <c r="BJ44" s="180"/>
      <c r="BK44" s="180"/>
      <c r="BL44" s="180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80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80"/>
      <c r="CI44" s="180"/>
      <c r="CJ44" s="180"/>
      <c r="CK44" s="180"/>
      <c r="CL44" s="180"/>
      <c r="CM44" s="180"/>
      <c r="CN44" s="180"/>
      <c r="CO44" s="180"/>
      <c r="CP44" s="180"/>
      <c r="CQ44" s="180"/>
      <c r="CR44" s="180"/>
      <c r="CS44" s="180"/>
      <c r="CT44" s="180"/>
      <c r="CU44" s="180"/>
      <c r="CV44" s="180"/>
      <c r="CW44" s="180"/>
      <c r="CX44" s="180"/>
      <c r="CY44" s="180"/>
      <c r="CZ44" s="180"/>
      <c r="DA44" s="180"/>
      <c r="DB44" s="180"/>
      <c r="DC44" s="180"/>
      <c r="DD44" s="180"/>
      <c r="DE44" s="180"/>
      <c r="DF44" s="180"/>
      <c r="DG44" s="180"/>
      <c r="DH44" s="180"/>
      <c r="DI44" s="180"/>
      <c r="DJ44" s="180"/>
      <c r="DK44" s="180"/>
      <c r="DL44" s="180"/>
      <c r="DM44" s="180"/>
      <c r="DN44" s="180"/>
      <c r="DO44" s="180"/>
      <c r="DP44" s="180"/>
      <c r="DQ44" s="180"/>
      <c r="DR44" s="180"/>
      <c r="DS44" s="180"/>
      <c r="DT44" s="180"/>
      <c r="DU44" s="180"/>
      <c r="DV44" s="180"/>
      <c r="DW44" s="180"/>
      <c r="DX44" s="180"/>
      <c r="DY44" s="180"/>
      <c r="DZ44" s="180"/>
      <c r="EA44" s="180"/>
      <c r="EB44" s="180"/>
      <c r="EC44" s="180"/>
      <c r="ED44" s="180"/>
      <c r="EE44" s="180"/>
      <c r="EF44" s="180"/>
      <c r="EG44" s="180"/>
      <c r="EH44" s="180"/>
      <c r="EI44" s="180"/>
      <c r="EJ44" s="180"/>
      <c r="EK44" s="180"/>
      <c r="EL44" s="180"/>
      <c r="EM44" s="180"/>
      <c r="EN44" s="180"/>
      <c r="EO44" s="180"/>
      <c r="EP44" s="180"/>
      <c r="EQ44" s="180"/>
      <c r="ER44" s="180"/>
    </row>
    <row r="45" spans="1:148" s="191" customFormat="1" ht="35.25" customHeight="1" x14ac:dyDescent="0.35">
      <c r="A45" s="202" t="s">
        <v>133</v>
      </c>
      <c r="B45" s="436">
        <f>+'Water '!$Q7</f>
        <v>1</v>
      </c>
      <c r="C45" s="436">
        <f>+'Water '!$Q8</f>
        <v>25</v>
      </c>
      <c r="D45" s="436">
        <f>+'Water '!$Q9</f>
        <v>20</v>
      </c>
      <c r="E45" s="436">
        <f>+'Water '!$Q10</f>
        <v>16</v>
      </c>
      <c r="F45" s="436">
        <f>+'Water '!$Q11</f>
        <v>20</v>
      </c>
      <c r="G45" s="436">
        <f>+'Water '!$Q12</f>
        <v>15</v>
      </c>
      <c r="H45" s="436" t="str">
        <f>+'Water '!$Q13</f>
        <v>0</v>
      </c>
      <c r="I45" s="436">
        <f>+'Water '!$Q14</f>
        <v>1</v>
      </c>
      <c r="J45" s="437">
        <f>+'Water '!$Q15</f>
        <v>3</v>
      </c>
      <c r="K45" s="437">
        <f>+'Water '!$Q16</f>
        <v>17</v>
      </c>
      <c r="L45" s="437">
        <f>+'Water '!$Q17</f>
        <v>18</v>
      </c>
      <c r="M45" s="437">
        <f>+'Water '!$Q18</f>
        <v>27</v>
      </c>
      <c r="N45" s="437">
        <f>+'Water '!$Q19</f>
        <v>27</v>
      </c>
      <c r="O45" s="437">
        <f>'Water '!$Q20</f>
        <v>5</v>
      </c>
      <c r="P45" s="437">
        <f>'Water '!$Q21</f>
        <v>7</v>
      </c>
      <c r="Q45" s="437">
        <f>+'Water '!$Q22</f>
        <v>33</v>
      </c>
      <c r="R45" s="437">
        <f>'Water '!$Q23</f>
        <v>32</v>
      </c>
      <c r="S45" s="437">
        <f>+'Water '!$Q24</f>
        <v>21</v>
      </c>
      <c r="T45" s="437">
        <f>+'Water '!$Q25</f>
        <v>18</v>
      </c>
      <c r="U45" s="437">
        <f>+'Water '!$Q26</f>
        <v>77</v>
      </c>
      <c r="V45" s="437">
        <f>+'Water '!$Q27</f>
        <v>24</v>
      </c>
      <c r="W45" s="437" t="str">
        <f>+'Water '!$Q28</f>
        <v>0</v>
      </c>
      <c r="X45" s="437">
        <f>+'Water '!$Q29</f>
        <v>34</v>
      </c>
      <c r="Y45" s="437">
        <f>+'Water '!$Q30</f>
        <v>23</v>
      </c>
      <c r="Z45" s="437">
        <f>+'Water '!$Q31</f>
        <v>31</v>
      </c>
      <c r="AA45" s="437">
        <f>+'Water '!$Q32</f>
        <v>28</v>
      </c>
      <c r="AB45" s="437">
        <f>+'Water '!$Q33</f>
        <v>29</v>
      </c>
      <c r="AC45" s="437">
        <f>+'Water '!$Q34</f>
        <v>7</v>
      </c>
      <c r="AD45" s="437">
        <f>+'Water '!$Q35</f>
        <v>10</v>
      </c>
      <c r="AE45" s="437">
        <f>+'Water '!$Q36</f>
        <v>27</v>
      </c>
      <c r="AF45" s="437" t="str">
        <f>+'Water '!$Q37</f>
        <v>0</v>
      </c>
      <c r="AG45" s="428">
        <f>SUM($B45:AF45)</f>
        <v>596</v>
      </c>
      <c r="AH45" s="428"/>
      <c r="AI45" s="428"/>
      <c r="AJ45" s="366"/>
      <c r="AK45" s="366"/>
      <c r="AL45" s="366"/>
      <c r="AM45" s="366"/>
      <c r="AN45" s="366"/>
      <c r="AO45" s="366"/>
      <c r="AP45" s="366"/>
      <c r="AQ45" s="366"/>
      <c r="AR45" s="366"/>
      <c r="AS45" s="366"/>
      <c r="AT45" s="366"/>
      <c r="AU45" s="366"/>
      <c r="AV45" s="366"/>
      <c r="AW45" s="366"/>
      <c r="AX45" s="366"/>
      <c r="AY45" s="366"/>
      <c r="AZ45" s="366"/>
      <c r="BA45" s="366"/>
      <c r="BB45" s="366"/>
      <c r="BC45" s="366"/>
      <c r="BD45" s="366"/>
      <c r="BE45" s="366"/>
      <c r="BF45" s="366"/>
      <c r="BG45" s="180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80"/>
      <c r="CI45" s="180"/>
      <c r="CJ45" s="180"/>
      <c r="CK45" s="180"/>
      <c r="CL45" s="180"/>
      <c r="CM45" s="180"/>
      <c r="CN45" s="180"/>
      <c r="CO45" s="180"/>
      <c r="CP45" s="180"/>
      <c r="CQ45" s="180"/>
      <c r="CR45" s="180"/>
      <c r="CS45" s="180"/>
      <c r="CT45" s="180"/>
      <c r="CU45" s="180"/>
      <c r="CV45" s="180"/>
      <c r="CW45" s="180"/>
      <c r="CX45" s="180"/>
      <c r="CY45" s="180"/>
      <c r="CZ45" s="180"/>
      <c r="DA45" s="180"/>
      <c r="DB45" s="180"/>
      <c r="DC45" s="180"/>
      <c r="DD45" s="180"/>
      <c r="DE45" s="180"/>
      <c r="DF45" s="180"/>
      <c r="DG45" s="180"/>
      <c r="DH45" s="180"/>
      <c r="DI45" s="180"/>
      <c r="DJ45" s="180"/>
      <c r="DK45" s="180"/>
      <c r="DL45" s="180"/>
      <c r="DM45" s="180"/>
      <c r="DN45" s="180"/>
      <c r="DO45" s="180"/>
      <c r="DP45" s="180"/>
      <c r="DQ45" s="180"/>
      <c r="DR45" s="180"/>
      <c r="DS45" s="180"/>
      <c r="DT45" s="180"/>
      <c r="DU45" s="180"/>
      <c r="DV45" s="180"/>
      <c r="DW45" s="180"/>
      <c r="DX45" s="180"/>
      <c r="DY45" s="180"/>
      <c r="DZ45" s="180"/>
      <c r="EA45" s="180"/>
      <c r="EB45" s="180"/>
      <c r="EC45" s="180"/>
      <c r="ED45" s="180"/>
      <c r="EE45" s="180"/>
      <c r="EF45" s="180"/>
      <c r="EG45" s="180"/>
      <c r="EH45" s="180"/>
      <c r="EI45" s="180"/>
      <c r="EJ45" s="180"/>
      <c r="EK45" s="180"/>
      <c r="EL45" s="180"/>
      <c r="EM45" s="180"/>
      <c r="EN45" s="180"/>
      <c r="EO45" s="180"/>
      <c r="EP45" s="180"/>
      <c r="EQ45" s="180"/>
      <c r="ER45" s="180"/>
    </row>
    <row r="46" spans="1:148" s="191" customFormat="1" x14ac:dyDescent="0.35">
      <c r="A46" s="203" t="s">
        <v>214</v>
      </c>
      <c r="B46" s="430" t="str">
        <f>'Water '!Y7</f>
        <v>0</v>
      </c>
      <c r="C46" s="430" t="str">
        <f>'Water '!Y8</f>
        <v>0</v>
      </c>
      <c r="D46" s="430" t="str">
        <f>'Water '!Y9</f>
        <v>0</v>
      </c>
      <c r="E46" s="430" t="str">
        <f>'Water '!Y10</f>
        <v>0</v>
      </c>
      <c r="F46" s="430" t="str">
        <f>'Water '!Y11</f>
        <v>0</v>
      </c>
      <c r="G46" s="430" t="str">
        <f>'Water '!Y12</f>
        <v>0</v>
      </c>
      <c r="H46" s="430" t="str">
        <f>'Water '!Y13</f>
        <v>0</v>
      </c>
      <c r="I46" s="430" t="str">
        <f>'Water '!Y14</f>
        <v>0</v>
      </c>
      <c r="J46" s="431" t="str">
        <f>'Water '!Y15</f>
        <v>0</v>
      </c>
      <c r="K46" s="431" t="str">
        <f>'Water '!Y16</f>
        <v>0</v>
      </c>
      <c r="L46" s="431" t="str">
        <f>'Water '!Y17</f>
        <v>0</v>
      </c>
      <c r="M46" s="431" t="str">
        <f>'Water '!Y18</f>
        <v>0</v>
      </c>
      <c r="N46" s="431" t="str">
        <f>'Water '!Y19</f>
        <v>0</v>
      </c>
      <c r="O46" s="431" t="str">
        <f>'Water '!Y20</f>
        <v>0</v>
      </c>
      <c r="P46" s="431" t="str">
        <f>'Water '!Y21</f>
        <v>0</v>
      </c>
      <c r="Q46" s="431" t="str">
        <f>'Water '!Y22</f>
        <v>0</v>
      </c>
      <c r="R46" s="431" t="str">
        <f>'Water '!Y23</f>
        <v>0</v>
      </c>
      <c r="S46" s="431" t="str">
        <f>'Water '!Y24</f>
        <v>0</v>
      </c>
      <c r="T46" s="431" t="str">
        <f>'Water '!Y25</f>
        <v>0</v>
      </c>
      <c r="U46" s="431" t="str">
        <f>'Water '!Y26</f>
        <v>0</v>
      </c>
      <c r="V46" s="431" t="str">
        <f>'Water '!Y27</f>
        <v>0</v>
      </c>
      <c r="W46" s="431" t="str">
        <f>'Water '!Y28</f>
        <v>0</v>
      </c>
      <c r="X46" s="431" t="str">
        <f>'Water '!Y29</f>
        <v>0</v>
      </c>
      <c r="Y46" s="431" t="str">
        <f>'Water '!Y30</f>
        <v>0</v>
      </c>
      <c r="Z46" s="431" t="str">
        <f>'Water '!Y31</f>
        <v>0</v>
      </c>
      <c r="AA46" s="431" t="str">
        <f>'Water '!Y32</f>
        <v>0</v>
      </c>
      <c r="AB46" s="431" t="str">
        <f>'Water '!Y33</f>
        <v>0</v>
      </c>
      <c r="AC46" s="431" t="str">
        <f>'Water '!Y34</f>
        <v>0</v>
      </c>
      <c r="AD46" s="431" t="str">
        <f>'Water '!Y35</f>
        <v>0</v>
      </c>
      <c r="AE46" s="431" t="str">
        <f>'Water '!Y36</f>
        <v>0</v>
      </c>
      <c r="AF46" s="431" t="str">
        <f>'Water '!Y37</f>
        <v>0</v>
      </c>
      <c r="AG46" s="432">
        <f>SUM($B46:AF46)</f>
        <v>0</v>
      </c>
      <c r="AH46" s="432"/>
      <c r="AI46" s="433"/>
      <c r="AJ46" s="366"/>
      <c r="AK46" s="366"/>
      <c r="AL46" s="366"/>
      <c r="AM46" s="366"/>
      <c r="AN46" s="366"/>
      <c r="AO46" s="366"/>
      <c r="AP46" s="366"/>
      <c r="AQ46" s="366"/>
      <c r="AR46" s="366"/>
      <c r="AS46" s="366"/>
      <c r="AT46" s="366"/>
      <c r="AU46" s="366"/>
      <c r="AV46" s="366"/>
      <c r="AW46" s="366"/>
      <c r="AX46" s="366"/>
      <c r="AY46" s="366"/>
      <c r="AZ46" s="366"/>
      <c r="BA46" s="366"/>
      <c r="BB46" s="366"/>
      <c r="BC46" s="366"/>
      <c r="BD46" s="366"/>
      <c r="BE46" s="366"/>
      <c r="BF46" s="366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80"/>
      <c r="CI46" s="180"/>
      <c r="CJ46" s="180"/>
      <c r="CK46" s="180"/>
      <c r="CL46" s="180"/>
      <c r="CM46" s="180"/>
      <c r="CN46" s="180"/>
      <c r="CO46" s="180"/>
      <c r="CP46" s="180"/>
      <c r="CQ46" s="180"/>
      <c r="CR46" s="180"/>
      <c r="CS46" s="180"/>
      <c r="CT46" s="180"/>
      <c r="CU46" s="180"/>
      <c r="CV46" s="180"/>
      <c r="CW46" s="180"/>
      <c r="CX46" s="180"/>
      <c r="CY46" s="180"/>
      <c r="CZ46" s="180"/>
      <c r="DA46" s="180"/>
      <c r="DB46" s="180"/>
      <c r="DC46" s="180"/>
      <c r="DD46" s="180"/>
      <c r="DE46" s="180"/>
      <c r="DF46" s="180"/>
      <c r="DG46" s="180"/>
      <c r="DH46" s="180"/>
      <c r="DI46" s="180"/>
      <c r="DJ46" s="180"/>
      <c r="DK46" s="180"/>
      <c r="DL46" s="180"/>
      <c r="DM46" s="180"/>
      <c r="DN46" s="180"/>
      <c r="DO46" s="180"/>
      <c r="DP46" s="180"/>
      <c r="DQ46" s="180"/>
      <c r="DR46" s="180"/>
      <c r="DS46" s="180"/>
      <c r="DT46" s="180"/>
      <c r="DU46" s="180"/>
      <c r="DV46" s="180"/>
      <c r="DW46" s="180"/>
      <c r="DX46" s="180"/>
      <c r="DY46" s="180"/>
      <c r="DZ46" s="180"/>
      <c r="EA46" s="180"/>
      <c r="EB46" s="180"/>
      <c r="EC46" s="180"/>
      <c r="ED46" s="180"/>
      <c r="EE46" s="180"/>
      <c r="EF46" s="180"/>
      <c r="EG46" s="180"/>
      <c r="EH46" s="180"/>
      <c r="EI46" s="180"/>
      <c r="EJ46" s="180"/>
      <c r="EK46" s="180"/>
      <c r="EL46" s="180"/>
      <c r="EM46" s="180"/>
      <c r="EN46" s="180"/>
      <c r="EO46" s="180"/>
      <c r="EP46" s="180"/>
      <c r="EQ46" s="180"/>
      <c r="ER46" s="180"/>
    </row>
    <row r="47" spans="1:148" x14ac:dyDescent="0.35">
      <c r="A47" s="205" t="s">
        <v>200</v>
      </c>
      <c r="B47" s="442">
        <f>'Water '!I7</f>
        <v>0</v>
      </c>
      <c r="C47" s="442">
        <f>'Water '!I8</f>
        <v>0</v>
      </c>
      <c r="D47" s="442">
        <f>'Water '!I9</f>
        <v>0</v>
      </c>
      <c r="E47" s="442">
        <f>'Water '!I10</f>
        <v>0</v>
      </c>
      <c r="F47" s="442">
        <f>'Water '!I11</f>
        <v>0</v>
      </c>
      <c r="G47" s="442">
        <f>'Water '!I12</f>
        <v>0</v>
      </c>
      <c r="H47" s="442">
        <f>'Water '!I13</f>
        <v>0</v>
      </c>
      <c r="I47" s="442">
        <f>'Water '!I14</f>
        <v>0</v>
      </c>
      <c r="J47" s="443">
        <f>'Water '!I15</f>
        <v>0</v>
      </c>
      <c r="K47" s="443">
        <f>'Water '!I16</f>
        <v>0</v>
      </c>
      <c r="L47" s="443">
        <f>'Water '!I17</f>
        <v>0</v>
      </c>
      <c r="M47" s="443">
        <f>'Water '!I18</f>
        <v>0</v>
      </c>
      <c r="N47" s="443">
        <f>'Water '!I19</f>
        <v>0</v>
      </c>
      <c r="O47" s="443">
        <f>'Water '!I20</f>
        <v>0</v>
      </c>
      <c r="P47" s="443">
        <f>'Water '!I21</f>
        <v>0</v>
      </c>
      <c r="Q47" s="443">
        <f>'Water '!I22</f>
        <v>0</v>
      </c>
      <c r="R47" s="443">
        <f>'Water '!I23</f>
        <v>0</v>
      </c>
      <c r="S47" s="443">
        <f>'Water '!I24</f>
        <v>0</v>
      </c>
      <c r="T47" s="443">
        <f>'Water '!I25</f>
        <v>0</v>
      </c>
      <c r="U47" s="443">
        <f>'Water '!I26</f>
        <v>0</v>
      </c>
      <c r="V47" s="443">
        <f>'Water '!I27</f>
        <v>0</v>
      </c>
      <c r="W47" s="443">
        <f>'Water '!I28</f>
        <v>0</v>
      </c>
      <c r="X47" s="443">
        <f>'Water '!I29</f>
        <v>0</v>
      </c>
      <c r="Y47" s="443">
        <f>'Water '!I30</f>
        <v>0</v>
      </c>
      <c r="Z47" s="443">
        <f>'Water '!I31</f>
        <v>0</v>
      </c>
      <c r="AA47" s="443">
        <f>'Water '!I32</f>
        <v>0</v>
      </c>
      <c r="AB47" s="443">
        <f>'Water '!I33</f>
        <v>0</v>
      </c>
      <c r="AC47" s="443">
        <f>'Water '!I34</f>
        <v>0</v>
      </c>
      <c r="AD47" s="443">
        <f>'Water '!I35</f>
        <v>0</v>
      </c>
      <c r="AE47" s="443">
        <f>'Water '!I36</f>
        <v>0</v>
      </c>
      <c r="AF47" s="443">
        <f>'Water '!I37</f>
        <v>0</v>
      </c>
      <c r="AG47" s="444">
        <f>SUM($B47:AF47)</f>
        <v>0</v>
      </c>
      <c r="AH47" s="444"/>
      <c r="AI47" s="445"/>
    </row>
    <row r="48" spans="1:148" ht="24" customHeight="1" x14ac:dyDescent="0.35">
      <c r="A48" s="198" t="s">
        <v>213</v>
      </c>
      <c r="B48" s="406"/>
      <c r="C48" s="406"/>
      <c r="D48" s="406"/>
      <c r="E48" s="406"/>
      <c r="F48" s="406"/>
      <c r="G48" s="406"/>
      <c r="H48" s="406"/>
      <c r="I48" s="406"/>
      <c r="J48" s="407"/>
      <c r="K48" s="407"/>
      <c r="L48" s="407"/>
      <c r="M48" s="407"/>
      <c r="N48" s="407"/>
      <c r="O48" s="407"/>
      <c r="P48" s="407"/>
      <c r="Q48" s="407"/>
      <c r="R48" s="407"/>
      <c r="S48" s="407"/>
      <c r="T48" s="407"/>
      <c r="U48" s="407"/>
      <c r="V48" s="407"/>
      <c r="W48" s="407"/>
      <c r="X48" s="407"/>
      <c r="Y48" s="407"/>
      <c r="Z48" s="407"/>
      <c r="AA48" s="407"/>
      <c r="AB48" s="407"/>
      <c r="AC48" s="407"/>
      <c r="AD48" s="407"/>
      <c r="AE48" s="407"/>
      <c r="AF48" s="407"/>
      <c r="AG48" s="377"/>
      <c r="AH48" s="377"/>
    </row>
    <row r="49" spans="1:58" x14ac:dyDescent="0.35">
      <c r="A49" s="198" t="s">
        <v>174</v>
      </c>
      <c r="B49" s="393"/>
      <c r="C49" s="393"/>
      <c r="D49" s="393"/>
      <c r="E49" s="393"/>
      <c r="F49" s="393"/>
      <c r="G49" s="393"/>
      <c r="H49" s="393"/>
      <c r="I49" s="393"/>
      <c r="J49" s="394"/>
      <c r="K49" s="394"/>
      <c r="L49" s="394"/>
      <c r="M49" s="394"/>
      <c r="N49" s="394"/>
      <c r="O49" s="394"/>
      <c r="P49" s="394"/>
      <c r="Q49" s="394"/>
      <c r="R49" s="394"/>
      <c r="S49" s="394"/>
      <c r="T49" s="394"/>
      <c r="U49" s="394"/>
      <c r="V49" s="394"/>
      <c r="W49" s="394"/>
      <c r="X49" s="394"/>
      <c r="Y49" s="394"/>
      <c r="Z49" s="394"/>
      <c r="AA49" s="394"/>
      <c r="AB49" s="394"/>
      <c r="AC49" s="394"/>
      <c r="AD49" s="394"/>
      <c r="AE49" s="394"/>
      <c r="AF49" s="394"/>
      <c r="AG49" s="377">
        <f>SUM($B49:AF49)</f>
        <v>0</v>
      </c>
      <c r="AH49" s="377"/>
      <c r="AI49" s="399"/>
    </row>
    <row r="50" spans="1:58" ht="30" x14ac:dyDescent="0.4">
      <c r="A50" s="181" t="s">
        <v>235</v>
      </c>
      <c r="B50" s="446">
        <f>SUM(B36:B48)</f>
        <v>28</v>
      </c>
      <c r="C50" s="446">
        <f t="shared" ref="C50:AF50" si="9">SUM(C36:C48)</f>
        <v>355</v>
      </c>
      <c r="D50" s="446">
        <f t="shared" si="9"/>
        <v>401</v>
      </c>
      <c r="E50" s="446">
        <f t="shared" si="9"/>
        <v>355</v>
      </c>
      <c r="F50" s="446">
        <f t="shared" si="9"/>
        <v>479</v>
      </c>
      <c r="G50" s="446">
        <f t="shared" si="9"/>
        <v>308</v>
      </c>
      <c r="H50" s="446">
        <f t="shared" si="9"/>
        <v>13</v>
      </c>
      <c r="I50" s="446">
        <f t="shared" si="9"/>
        <v>60</v>
      </c>
      <c r="J50" s="446">
        <f t="shared" si="9"/>
        <v>3</v>
      </c>
      <c r="K50" s="446">
        <f t="shared" si="9"/>
        <v>310</v>
      </c>
      <c r="L50" s="446">
        <f t="shared" si="9"/>
        <v>399</v>
      </c>
      <c r="M50" s="446">
        <f t="shared" si="9"/>
        <v>395</v>
      </c>
      <c r="N50" s="446">
        <f t="shared" si="9"/>
        <v>342</v>
      </c>
      <c r="O50" s="446">
        <f t="shared" si="9"/>
        <v>140</v>
      </c>
      <c r="P50" s="446">
        <f t="shared" si="9"/>
        <v>7</v>
      </c>
      <c r="Q50" s="446">
        <f t="shared" si="9"/>
        <v>377</v>
      </c>
      <c r="R50" s="446">
        <f t="shared" si="9"/>
        <v>438</v>
      </c>
      <c r="S50" s="446">
        <f t="shared" si="9"/>
        <v>321</v>
      </c>
      <c r="T50" s="446">
        <f t="shared" si="9"/>
        <v>18</v>
      </c>
      <c r="U50" s="446">
        <f t="shared" si="9"/>
        <v>257</v>
      </c>
      <c r="V50" s="446">
        <f t="shared" si="9"/>
        <v>55</v>
      </c>
      <c r="W50" s="446">
        <f t="shared" si="9"/>
        <v>0</v>
      </c>
      <c r="X50" s="446">
        <f t="shared" si="9"/>
        <v>332</v>
      </c>
      <c r="Y50" s="446">
        <f t="shared" si="9"/>
        <v>401</v>
      </c>
      <c r="Z50" s="446">
        <f t="shared" si="9"/>
        <v>432</v>
      </c>
      <c r="AA50" s="446">
        <f t="shared" si="9"/>
        <v>427</v>
      </c>
      <c r="AB50" s="446">
        <f t="shared" si="9"/>
        <v>419</v>
      </c>
      <c r="AC50" s="446">
        <f t="shared" si="9"/>
        <v>242</v>
      </c>
      <c r="AD50" s="446">
        <f t="shared" si="9"/>
        <v>105</v>
      </c>
      <c r="AE50" s="446">
        <f t="shared" si="9"/>
        <v>423</v>
      </c>
      <c r="AF50" s="446">
        <f t="shared" si="9"/>
        <v>174</v>
      </c>
      <c r="AG50" s="446">
        <f>SUM($B50:AF50)</f>
        <v>8016</v>
      </c>
      <c r="AH50" s="446"/>
    </row>
    <row r="51" spans="1:58" x14ac:dyDescent="0.35">
      <c r="A51" s="200"/>
      <c r="B51" s="377"/>
      <c r="C51" s="377"/>
      <c r="D51" s="377"/>
      <c r="E51" s="377"/>
      <c r="F51" s="377"/>
      <c r="G51" s="377"/>
      <c r="H51" s="377"/>
      <c r="I51" s="377"/>
      <c r="J51" s="405"/>
      <c r="K51" s="405"/>
      <c r="L51" s="405"/>
      <c r="M51" s="405"/>
      <c r="N51" s="405"/>
      <c r="O51" s="405"/>
      <c r="P51" s="405"/>
      <c r="Q51" s="405"/>
      <c r="R51" s="405"/>
      <c r="S51" s="405"/>
      <c r="T51" s="405"/>
      <c r="U51" s="405"/>
      <c r="V51" s="405"/>
      <c r="W51" s="405"/>
      <c r="X51" s="405"/>
      <c r="Y51" s="405"/>
      <c r="Z51" s="405"/>
      <c r="AA51" s="405"/>
      <c r="AB51" s="405"/>
      <c r="AC51" s="405"/>
      <c r="AD51" s="405"/>
      <c r="AE51" s="405"/>
      <c r="AG51" s="377"/>
      <c r="AH51" s="377"/>
    </row>
    <row r="52" spans="1:58" x14ac:dyDescent="0.35">
      <c r="A52" s="200"/>
      <c r="B52" s="377"/>
      <c r="C52" s="377"/>
      <c r="D52" s="377"/>
      <c r="E52" s="377"/>
      <c r="F52" s="377"/>
      <c r="G52" s="377"/>
      <c r="H52" s="377"/>
      <c r="I52" s="377"/>
      <c r="J52" s="405"/>
      <c r="K52" s="405"/>
      <c r="L52" s="405"/>
      <c r="M52" s="405"/>
      <c r="N52" s="405"/>
      <c r="O52" s="405"/>
      <c r="P52" s="405"/>
      <c r="Q52" s="405"/>
      <c r="R52" s="405"/>
      <c r="S52" s="405"/>
      <c r="T52" s="405"/>
      <c r="U52" s="405"/>
      <c r="V52" s="405"/>
      <c r="W52" s="405"/>
      <c r="X52" s="405"/>
      <c r="Y52" s="405"/>
      <c r="Z52" s="405"/>
      <c r="AA52" s="405"/>
      <c r="AB52" s="405"/>
      <c r="AC52" s="405"/>
      <c r="AD52" s="405"/>
      <c r="AE52" s="405"/>
      <c r="AG52" s="377"/>
      <c r="AH52" s="377"/>
    </row>
    <row r="53" spans="1:58" x14ac:dyDescent="0.35">
      <c r="A53" s="201" t="s">
        <v>144</v>
      </c>
      <c r="M53" s="367"/>
      <c r="O53" s="367" t="s">
        <v>61</v>
      </c>
      <c r="AG53" s="372" t="s">
        <v>89</v>
      </c>
      <c r="AH53" s="372" t="s">
        <v>157</v>
      </c>
      <c r="AI53" s="372" t="s">
        <v>215</v>
      </c>
    </row>
    <row r="54" spans="1:58" x14ac:dyDescent="0.35">
      <c r="A54" s="209" t="s">
        <v>242</v>
      </c>
      <c r="B54" s="447" t="str">
        <f>IF(B$9=0,"",+(B36*10)/B$9)</f>
        <v/>
      </c>
      <c r="C54" s="447">
        <f>IF(C$9=0,"",+(C36*10)/C$9)</f>
        <v>2.4802175216612978</v>
      </c>
      <c r="D54" s="447">
        <f>IF(D$9=0,"",+(D36*10)/D$9)</f>
        <v>2.0162728730647657</v>
      </c>
      <c r="E54" s="447">
        <f t="shared" ref="E54:F54" si="10">IF(E$9=0,"",+(E36*10)/E$9)</f>
        <v>4.3419117462516503</v>
      </c>
      <c r="F54" s="447">
        <f t="shared" si="10"/>
        <v>4.4705427480547097</v>
      </c>
      <c r="G54" s="447">
        <f t="shared" ref="G54:AF54" si="11">IF(G$9=0,"",+(G36*10)/G$9)</f>
        <v>4.622367713140406</v>
      </c>
      <c r="H54" s="447" t="str">
        <f t="shared" si="11"/>
        <v/>
      </c>
      <c r="I54" s="447" t="str">
        <f t="shared" si="11"/>
        <v/>
      </c>
      <c r="J54" s="447" t="str">
        <f t="shared" si="11"/>
        <v/>
      </c>
      <c r="K54" s="447">
        <f t="shared" si="11"/>
        <v>2.3917150988974192</v>
      </c>
      <c r="L54" s="447">
        <f t="shared" si="11"/>
        <v>3.7815761609438812</v>
      </c>
      <c r="M54" s="447">
        <f t="shared" si="11"/>
        <v>3.7959709740638075</v>
      </c>
      <c r="N54" s="447">
        <f t="shared" si="11"/>
        <v>3.280074639920695</v>
      </c>
      <c r="O54" s="447" t="str">
        <f t="shared" si="11"/>
        <v/>
      </c>
      <c r="P54" s="447" t="str">
        <f t="shared" si="11"/>
        <v/>
      </c>
      <c r="Q54" s="447">
        <f t="shared" si="11"/>
        <v>2.6708601667415506</v>
      </c>
      <c r="R54" s="447">
        <f t="shared" si="11"/>
        <v>3.2167664409478007</v>
      </c>
      <c r="S54" s="447">
        <f t="shared" si="11"/>
        <v>2.3513983430031793</v>
      </c>
      <c r="T54" s="447" t="str">
        <f t="shared" si="11"/>
        <v/>
      </c>
      <c r="U54" s="447">
        <f t="shared" si="11"/>
        <v>0.32874838913289323</v>
      </c>
      <c r="V54" s="447" t="str">
        <f t="shared" si="11"/>
        <v/>
      </c>
      <c r="W54" s="447" t="str">
        <f t="shared" si="11"/>
        <v/>
      </c>
      <c r="X54" s="447">
        <f t="shared" si="11"/>
        <v>1.407977136132476</v>
      </c>
      <c r="Y54" s="447">
        <f>IF(Y$9=0,"",+(Y36*10)/Y$9)</f>
        <v>5.8191389849681308</v>
      </c>
      <c r="Z54" s="447">
        <f t="shared" si="11"/>
        <v>2.4423337856173672</v>
      </c>
      <c r="AA54" s="447">
        <f t="shared" si="11"/>
        <v>3.7052237955172491</v>
      </c>
      <c r="AB54" s="447">
        <f t="shared" si="11"/>
        <v>3.6797247168103748</v>
      </c>
      <c r="AC54" s="447" t="str">
        <f>IF(AC$9=0,"",+(AC36*10)/AC$9)</f>
        <v/>
      </c>
      <c r="AD54" s="447">
        <f t="shared" si="11"/>
        <v>26.515151515151512</v>
      </c>
      <c r="AE54" s="447">
        <f t="shared" si="11"/>
        <v>6.7437803286859896</v>
      </c>
      <c r="AF54" s="447" t="str">
        <f t="shared" si="11"/>
        <v/>
      </c>
      <c r="AG54" s="448">
        <f>+(AG36*10)/AG$9</f>
        <v>3.6123329902806822</v>
      </c>
      <c r="AH54" s="448">
        <v>3.2</v>
      </c>
      <c r="AI54" s="449">
        <f t="shared" ref="AI54" si="12">AH54-AG54</f>
        <v>-0.41233299028068204</v>
      </c>
    </row>
    <row r="55" spans="1:58" s="212" customFormat="1" ht="25.5" customHeight="1" x14ac:dyDescent="0.35">
      <c r="A55" s="221" t="s">
        <v>180</v>
      </c>
      <c r="B55" s="450"/>
      <c r="C55" s="450"/>
      <c r="D55" s="450"/>
      <c r="E55" s="450"/>
      <c r="F55" s="450"/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  <c r="AA55" s="450"/>
      <c r="AB55" s="450"/>
      <c r="AC55" s="450"/>
      <c r="AD55" s="450"/>
      <c r="AE55" s="450"/>
      <c r="AF55" s="450"/>
      <c r="AG55" s="451">
        <f t="shared" ref="AG55:AG62" si="13">+(AG37*10)/AG$9</f>
        <v>0.20703094213071105</v>
      </c>
      <c r="AH55" s="452">
        <v>0.1</v>
      </c>
      <c r="AI55" s="453">
        <f>AH55-AG55</f>
        <v>-0.10703094213071104</v>
      </c>
      <c r="AJ55" s="454"/>
      <c r="AK55" s="455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</row>
    <row r="56" spans="1:58" s="232" customFormat="1" x14ac:dyDescent="0.35">
      <c r="A56" s="233" t="s">
        <v>201</v>
      </c>
      <c r="B56" s="447" t="str">
        <f t="shared" ref="B56:C56" si="14">IF(B$9=0,"",+(B38*10)/B$9)</f>
        <v/>
      </c>
      <c r="C56" s="447">
        <f t="shared" si="14"/>
        <v>0</v>
      </c>
      <c r="D56" s="447">
        <f t="shared" ref="D56:F62" si="15">IF(D$9=0,"",+(D38*10)/D$9)</f>
        <v>0</v>
      </c>
      <c r="E56" s="447">
        <f t="shared" si="15"/>
        <v>0</v>
      </c>
      <c r="F56" s="447">
        <f t="shared" si="15"/>
        <v>0</v>
      </c>
      <c r="G56" s="447">
        <f t="shared" ref="G56:AF56" si="16">IF(G$9=0,"",+(G38*10)/G$9)</f>
        <v>0</v>
      </c>
      <c r="H56" s="447" t="str">
        <f t="shared" si="16"/>
        <v/>
      </c>
      <c r="I56" s="447" t="str">
        <f t="shared" si="16"/>
        <v/>
      </c>
      <c r="J56" s="447" t="str">
        <f t="shared" si="16"/>
        <v/>
      </c>
      <c r="K56" s="447">
        <f t="shared" si="16"/>
        <v>0</v>
      </c>
      <c r="L56" s="447">
        <f t="shared" si="16"/>
        <v>0</v>
      </c>
      <c r="M56" s="447">
        <f t="shared" si="16"/>
        <v>0</v>
      </c>
      <c r="N56" s="447">
        <f t="shared" si="16"/>
        <v>0</v>
      </c>
      <c r="O56" s="447" t="str">
        <f t="shared" si="16"/>
        <v/>
      </c>
      <c r="P56" s="447" t="str">
        <f t="shared" si="16"/>
        <v/>
      </c>
      <c r="Q56" s="447">
        <f t="shared" si="16"/>
        <v>0</v>
      </c>
      <c r="R56" s="447">
        <f t="shared" si="16"/>
        <v>0</v>
      </c>
      <c r="S56" s="447">
        <f t="shared" si="16"/>
        <v>0</v>
      </c>
      <c r="T56" s="447" t="str">
        <f t="shared" si="16"/>
        <v/>
      </c>
      <c r="U56" s="447">
        <f t="shared" si="16"/>
        <v>0</v>
      </c>
      <c r="V56" s="447" t="str">
        <f t="shared" si="16"/>
        <v/>
      </c>
      <c r="W56" s="447" t="str">
        <f t="shared" si="16"/>
        <v/>
      </c>
      <c r="X56" s="447">
        <f t="shared" si="16"/>
        <v>0</v>
      </c>
      <c r="Y56" s="447">
        <f t="shared" ref="Y56:Y63" si="17">IF(Y$9=0,"",+(Y38*10)/Y$9)</f>
        <v>0</v>
      </c>
      <c r="Z56" s="447">
        <f t="shared" si="16"/>
        <v>0</v>
      </c>
      <c r="AA56" s="447">
        <f t="shared" si="16"/>
        <v>0</v>
      </c>
      <c r="AB56" s="447">
        <f t="shared" si="16"/>
        <v>0</v>
      </c>
      <c r="AC56" s="447" t="str">
        <f t="shared" ref="AC56:AC63" si="18">IF(AC$9=0,"",+(AC38*10)/AC$9)</f>
        <v/>
      </c>
      <c r="AD56" s="447">
        <f t="shared" si="16"/>
        <v>0</v>
      </c>
      <c r="AE56" s="447">
        <f t="shared" si="16"/>
        <v>0</v>
      </c>
      <c r="AF56" s="447" t="str">
        <f t="shared" si="16"/>
        <v/>
      </c>
      <c r="AG56" s="456">
        <f t="shared" si="13"/>
        <v>0</v>
      </c>
      <c r="AH56" s="457">
        <v>0.1</v>
      </c>
      <c r="AI56" s="458">
        <f>AH56-AG56</f>
        <v>0.1</v>
      </c>
      <c r="AJ56" s="459"/>
      <c r="AK56" s="459"/>
      <c r="AL56" s="459"/>
      <c r="AM56" s="459"/>
      <c r="AN56" s="459"/>
      <c r="AO56" s="459"/>
      <c r="AP56" s="459"/>
      <c r="AQ56" s="459"/>
      <c r="AR56" s="459"/>
      <c r="AS56" s="459"/>
      <c r="AT56" s="459"/>
      <c r="AU56" s="459"/>
      <c r="AV56" s="459"/>
      <c r="AW56" s="459"/>
      <c r="AX56" s="459"/>
      <c r="AY56" s="459"/>
      <c r="AZ56" s="459"/>
      <c r="BA56" s="459"/>
      <c r="BB56" s="459"/>
      <c r="BC56" s="459"/>
      <c r="BD56" s="459"/>
      <c r="BE56" s="459"/>
      <c r="BF56" s="459"/>
    </row>
    <row r="57" spans="1:58" s="191" customFormat="1" x14ac:dyDescent="0.35">
      <c r="A57" s="234" t="s">
        <v>233</v>
      </c>
      <c r="B57" s="450" t="str">
        <f t="shared" ref="B57:C57" si="19">IF(B$9=0,"",+(B39*10)/B$9)</f>
        <v/>
      </c>
      <c r="C57" s="450">
        <f t="shared" si="19"/>
        <v>0</v>
      </c>
      <c r="D57" s="450">
        <f t="shared" si="15"/>
        <v>0</v>
      </c>
      <c r="E57" s="450">
        <f t="shared" si="15"/>
        <v>0</v>
      </c>
      <c r="F57" s="450">
        <f t="shared" si="15"/>
        <v>0</v>
      </c>
      <c r="G57" s="450">
        <f t="shared" ref="G57:AF57" si="20">IF(G$9=0,"",+(G39*10)/G$9)</f>
        <v>0</v>
      </c>
      <c r="H57" s="450" t="str">
        <f t="shared" si="20"/>
        <v/>
      </c>
      <c r="I57" s="450" t="str">
        <f t="shared" si="20"/>
        <v/>
      </c>
      <c r="J57" s="450" t="str">
        <f t="shared" si="20"/>
        <v/>
      </c>
      <c r="K57" s="450">
        <f t="shared" si="20"/>
        <v>0</v>
      </c>
      <c r="L57" s="450">
        <f t="shared" si="20"/>
        <v>0</v>
      </c>
      <c r="M57" s="450">
        <f t="shared" si="20"/>
        <v>0</v>
      </c>
      <c r="N57" s="450">
        <f t="shared" si="20"/>
        <v>0</v>
      </c>
      <c r="O57" s="450" t="str">
        <f t="shared" si="20"/>
        <v/>
      </c>
      <c r="P57" s="450" t="str">
        <f t="shared" si="20"/>
        <v/>
      </c>
      <c r="Q57" s="450">
        <f t="shared" si="20"/>
        <v>0</v>
      </c>
      <c r="R57" s="450">
        <f t="shared" si="20"/>
        <v>0</v>
      </c>
      <c r="S57" s="450">
        <f t="shared" si="20"/>
        <v>0</v>
      </c>
      <c r="T57" s="450" t="str">
        <f t="shared" si="20"/>
        <v/>
      </c>
      <c r="U57" s="450">
        <f t="shared" si="20"/>
        <v>0</v>
      </c>
      <c r="V57" s="450" t="str">
        <f t="shared" si="20"/>
        <v/>
      </c>
      <c r="W57" s="450" t="str">
        <f t="shared" si="20"/>
        <v/>
      </c>
      <c r="X57" s="450">
        <f t="shared" si="20"/>
        <v>0</v>
      </c>
      <c r="Y57" s="450">
        <f t="shared" si="17"/>
        <v>0</v>
      </c>
      <c r="Z57" s="450">
        <f t="shared" si="20"/>
        <v>0</v>
      </c>
      <c r="AA57" s="450">
        <f t="shared" si="20"/>
        <v>0</v>
      </c>
      <c r="AB57" s="450">
        <f t="shared" si="20"/>
        <v>0</v>
      </c>
      <c r="AC57" s="450" t="str">
        <f t="shared" si="18"/>
        <v/>
      </c>
      <c r="AD57" s="450">
        <f t="shared" si="20"/>
        <v>0</v>
      </c>
      <c r="AE57" s="450">
        <f t="shared" si="20"/>
        <v>0</v>
      </c>
      <c r="AF57" s="450" t="str">
        <f t="shared" si="20"/>
        <v/>
      </c>
      <c r="AG57" s="451">
        <f t="shared" si="13"/>
        <v>0</v>
      </c>
      <c r="AH57" s="452">
        <v>0.7</v>
      </c>
      <c r="AI57" s="453">
        <f t="shared" ref="AI57" si="21">AH57-AG57</f>
        <v>0.7</v>
      </c>
      <c r="AJ57" s="455"/>
      <c r="AK57" s="455"/>
      <c r="AL57" s="455"/>
      <c r="AM57" s="455"/>
      <c r="AN57" s="455"/>
      <c r="AO57" s="455"/>
      <c r="AP57" s="455"/>
      <c r="AQ57" s="455"/>
      <c r="AR57" s="455"/>
      <c r="AS57" s="455"/>
      <c r="AT57" s="455"/>
      <c r="AU57" s="455"/>
      <c r="AV57" s="455"/>
      <c r="AW57" s="455"/>
      <c r="AX57" s="455"/>
      <c r="AY57" s="455"/>
      <c r="AZ57" s="455"/>
      <c r="BA57" s="455"/>
      <c r="BB57" s="455"/>
      <c r="BC57" s="455"/>
      <c r="BD57" s="455"/>
      <c r="BE57" s="455"/>
      <c r="BF57" s="455"/>
    </row>
    <row r="58" spans="1:58" s="240" customFormat="1" x14ac:dyDescent="0.35">
      <c r="A58" s="239" t="s">
        <v>181</v>
      </c>
      <c r="B58" s="447" t="str">
        <f t="shared" ref="B58:C58" si="22">IF(B$9=0,"",+(B40*10)/B$9)</f>
        <v/>
      </c>
      <c r="C58" s="447">
        <f t="shared" si="22"/>
        <v>0</v>
      </c>
      <c r="D58" s="447">
        <f t="shared" si="15"/>
        <v>0</v>
      </c>
      <c r="E58" s="447">
        <f t="shared" si="15"/>
        <v>0</v>
      </c>
      <c r="F58" s="447">
        <f t="shared" si="15"/>
        <v>0</v>
      </c>
      <c r="G58" s="447">
        <f t="shared" ref="G58:AF58" si="23">IF(G$9=0,"",+(G40*10)/G$9)</f>
        <v>0</v>
      </c>
      <c r="H58" s="447" t="str">
        <f t="shared" si="23"/>
        <v/>
      </c>
      <c r="I58" s="447" t="str">
        <f t="shared" si="23"/>
        <v/>
      </c>
      <c r="J58" s="447" t="str">
        <f t="shared" si="23"/>
        <v/>
      </c>
      <c r="K58" s="447">
        <f t="shared" si="23"/>
        <v>0</v>
      </c>
      <c r="L58" s="447">
        <f t="shared" si="23"/>
        <v>0</v>
      </c>
      <c r="M58" s="447">
        <f t="shared" si="23"/>
        <v>0</v>
      </c>
      <c r="N58" s="447">
        <f t="shared" si="23"/>
        <v>0</v>
      </c>
      <c r="O58" s="447" t="str">
        <f t="shared" si="23"/>
        <v/>
      </c>
      <c r="P58" s="447" t="str">
        <f t="shared" si="23"/>
        <v/>
      </c>
      <c r="Q58" s="447">
        <f t="shared" si="23"/>
        <v>0</v>
      </c>
      <c r="R58" s="447">
        <f t="shared" si="23"/>
        <v>0</v>
      </c>
      <c r="S58" s="447">
        <f t="shared" si="23"/>
        <v>0</v>
      </c>
      <c r="T58" s="447" t="str">
        <f t="shared" si="23"/>
        <v/>
      </c>
      <c r="U58" s="447">
        <f t="shared" si="23"/>
        <v>0</v>
      </c>
      <c r="V58" s="447" t="str">
        <f t="shared" si="23"/>
        <v/>
      </c>
      <c r="W58" s="447" t="str">
        <f t="shared" si="23"/>
        <v/>
      </c>
      <c r="X58" s="447">
        <f t="shared" si="23"/>
        <v>0</v>
      </c>
      <c r="Y58" s="447">
        <f t="shared" si="17"/>
        <v>0</v>
      </c>
      <c r="Z58" s="447">
        <f t="shared" si="23"/>
        <v>0</v>
      </c>
      <c r="AA58" s="447">
        <f t="shared" si="23"/>
        <v>0</v>
      </c>
      <c r="AB58" s="447">
        <f t="shared" si="23"/>
        <v>0</v>
      </c>
      <c r="AC58" s="447" t="str">
        <f t="shared" si="18"/>
        <v/>
      </c>
      <c r="AD58" s="447">
        <f t="shared" si="23"/>
        <v>0</v>
      </c>
      <c r="AE58" s="447">
        <f t="shared" si="23"/>
        <v>0</v>
      </c>
      <c r="AF58" s="447" t="str">
        <f t="shared" si="23"/>
        <v/>
      </c>
      <c r="AG58" s="456">
        <f t="shared" si="13"/>
        <v>0</v>
      </c>
      <c r="AH58" s="460">
        <v>1</v>
      </c>
      <c r="AI58" s="461">
        <f>AH58-AG58</f>
        <v>1</v>
      </c>
      <c r="AJ58" s="462"/>
      <c r="AK58" s="462"/>
      <c r="AL58" s="462"/>
      <c r="AM58" s="462"/>
      <c r="AN58" s="462"/>
      <c r="AO58" s="462"/>
      <c r="AP58" s="462"/>
      <c r="AQ58" s="462"/>
      <c r="AR58" s="462"/>
      <c r="AS58" s="462"/>
      <c r="AT58" s="462"/>
      <c r="AU58" s="462"/>
      <c r="AV58" s="462"/>
      <c r="AW58" s="462"/>
      <c r="AX58" s="462"/>
      <c r="AY58" s="462"/>
      <c r="AZ58" s="462"/>
      <c r="BA58" s="462"/>
      <c r="BB58" s="462"/>
      <c r="BC58" s="462"/>
      <c r="BD58" s="462"/>
      <c r="BE58" s="462"/>
      <c r="BF58" s="462"/>
    </row>
    <row r="59" spans="1:58" s="191" customFormat="1" x14ac:dyDescent="0.35">
      <c r="A59" s="210" t="s">
        <v>103</v>
      </c>
      <c r="B59" s="450" t="str">
        <f t="shared" ref="B59:C59" si="24">IF(B$9=0,"",+(B41*10)/B$9)</f>
        <v/>
      </c>
      <c r="C59" s="450">
        <f t="shared" si="24"/>
        <v>1.8656503481523037</v>
      </c>
      <c r="D59" s="450">
        <f t="shared" si="15"/>
        <v>0.79099935789463882</v>
      </c>
      <c r="E59" s="450">
        <f t="shared" si="15"/>
        <v>0.77803042851908177</v>
      </c>
      <c r="F59" s="450">
        <f t="shared" si="15"/>
        <v>1.1277044769867737</v>
      </c>
      <c r="G59" s="450">
        <f t="shared" ref="G59:AF59" si="25">IF(G$9=0,"",+(G41*10)/G$9)</f>
        <v>2.2732955966264292</v>
      </c>
      <c r="H59" s="450" t="str">
        <f t="shared" si="25"/>
        <v/>
      </c>
      <c r="I59" s="450" t="str">
        <f t="shared" si="25"/>
        <v/>
      </c>
      <c r="J59" s="450" t="str">
        <f t="shared" si="25"/>
        <v/>
      </c>
      <c r="K59" s="450">
        <f t="shared" si="25"/>
        <v>1.1241060964817871</v>
      </c>
      <c r="L59" s="450">
        <f t="shared" si="25"/>
        <v>0.9033765273365939</v>
      </c>
      <c r="M59" s="450">
        <f t="shared" si="25"/>
        <v>1.8832724212409588</v>
      </c>
      <c r="N59" s="450">
        <f t="shared" si="25"/>
        <v>0.7532023247225299</v>
      </c>
      <c r="O59" s="450" t="str">
        <f t="shared" si="25"/>
        <v/>
      </c>
      <c r="P59" s="450" t="str">
        <f t="shared" si="25"/>
        <v/>
      </c>
      <c r="Q59" s="450">
        <f t="shared" si="25"/>
        <v>1.1731815685687186</v>
      </c>
      <c r="R59" s="450">
        <f t="shared" si="25"/>
        <v>0.8541696199126928</v>
      </c>
      <c r="S59" s="450">
        <f t="shared" si="25"/>
        <v>0.85098225746781719</v>
      </c>
      <c r="T59" s="450" t="str">
        <f t="shared" si="25"/>
        <v/>
      </c>
      <c r="U59" s="450">
        <f t="shared" si="25"/>
        <v>0.57530968098256319</v>
      </c>
      <c r="V59" s="450" t="str">
        <f t="shared" si="25"/>
        <v/>
      </c>
      <c r="W59" s="450" t="str">
        <f t="shared" si="25"/>
        <v/>
      </c>
      <c r="X59" s="450">
        <f t="shared" si="25"/>
        <v>1.3449333837683353</v>
      </c>
      <c r="Y59" s="450">
        <f t="shared" si="17"/>
        <v>1.0604972916530706</v>
      </c>
      <c r="Z59" s="450">
        <f t="shared" si="25"/>
        <v>0.57289311020654299</v>
      </c>
      <c r="AA59" s="450">
        <f t="shared" si="25"/>
        <v>0.81704934978072674</v>
      </c>
      <c r="AB59" s="450">
        <f t="shared" si="25"/>
        <v>1.591232309972054</v>
      </c>
      <c r="AC59" s="450" t="str">
        <f t="shared" si="18"/>
        <v/>
      </c>
      <c r="AD59" s="450">
        <f t="shared" si="25"/>
        <v>6.1983471074380159</v>
      </c>
      <c r="AE59" s="450">
        <f t="shared" si="25"/>
        <v>1.9791529225491491</v>
      </c>
      <c r="AF59" s="450" t="str">
        <f t="shared" si="25"/>
        <v/>
      </c>
      <c r="AG59" s="450">
        <f t="shared" si="13"/>
        <v>1.1696058397384423</v>
      </c>
      <c r="AH59" s="452">
        <v>0.7</v>
      </c>
      <c r="AI59" s="453">
        <f t="shared" ref="AI59:AI60" si="26">AH59-AG59</f>
        <v>-0.46960583973844239</v>
      </c>
      <c r="AJ59" s="455"/>
      <c r="AK59" s="455"/>
      <c r="AL59" s="455"/>
      <c r="AM59" s="455"/>
      <c r="AN59" s="455"/>
      <c r="AO59" s="455"/>
      <c r="AP59" s="455"/>
      <c r="AQ59" s="455"/>
      <c r="AR59" s="455"/>
      <c r="AS59" s="455"/>
      <c r="AT59" s="455"/>
      <c r="AU59" s="455"/>
      <c r="AV59" s="455"/>
      <c r="AW59" s="455"/>
      <c r="AX59" s="455"/>
      <c r="AY59" s="455"/>
      <c r="AZ59" s="455"/>
      <c r="BA59" s="455"/>
      <c r="BB59" s="455"/>
      <c r="BC59" s="455"/>
      <c r="BD59" s="455"/>
      <c r="BE59" s="455"/>
      <c r="BF59" s="455"/>
    </row>
    <row r="60" spans="1:58" x14ac:dyDescent="0.35">
      <c r="A60" s="246" t="s">
        <v>132</v>
      </c>
      <c r="B60" s="447" t="str">
        <f t="shared" ref="B60:C60" si="27">IF(B$9=0,"",+(B42*10)/B$9)</f>
        <v/>
      </c>
      <c r="C60" s="447">
        <f t="shared" si="27"/>
        <v>2.4802175216612978</v>
      </c>
      <c r="D60" s="447">
        <f>IF(D$9=0,"",+(D42*10)/D$9)</f>
        <v>2.4505470303402537</v>
      </c>
      <c r="E60" s="447">
        <f t="shared" si="15"/>
        <v>2.8360464007308468</v>
      </c>
      <c r="F60" s="463">
        <f t="shared" si="15"/>
        <v>3.0206369919288578</v>
      </c>
      <c r="G60" s="447">
        <f t="shared" ref="G60:AF60" si="28">IF(G$9=0,"",+(G42*10)/G$9)</f>
        <v>3.5614964347147389</v>
      </c>
      <c r="H60" s="447" t="str">
        <f t="shared" si="28"/>
        <v/>
      </c>
      <c r="I60" s="447" t="str">
        <f t="shared" si="28"/>
        <v/>
      </c>
      <c r="J60" s="447" t="str">
        <f t="shared" si="28"/>
        <v/>
      </c>
      <c r="K60" s="447">
        <f t="shared" si="28"/>
        <v>3.3484011384563868</v>
      </c>
      <c r="L60" s="447">
        <f>IF(L$9=0,"",+(L42*10)/L$9)</f>
        <v>3.3193835190507404</v>
      </c>
      <c r="M60" s="447">
        <f t="shared" si="28"/>
        <v>3.2368744740078981</v>
      </c>
      <c r="N60" s="447">
        <f t="shared" si="28"/>
        <v>3.0614029972593153</v>
      </c>
      <c r="O60" s="447" t="str">
        <f t="shared" si="28"/>
        <v/>
      </c>
      <c r="P60" s="447" t="str">
        <f t="shared" si="28"/>
        <v/>
      </c>
      <c r="Q60" s="447">
        <f t="shared" si="28"/>
        <v>3.2948929159802307</v>
      </c>
      <c r="R60" s="447">
        <f t="shared" si="28"/>
        <v>2.7260732550405091</v>
      </c>
      <c r="S60" s="447">
        <f t="shared" si="28"/>
        <v>2.8664665514705421</v>
      </c>
      <c r="T60" s="447" t="str">
        <f t="shared" si="28"/>
        <v/>
      </c>
      <c r="U60" s="447">
        <f t="shared" si="28"/>
        <v>3.1505053958568934</v>
      </c>
      <c r="V60" s="447" t="str">
        <f t="shared" si="28"/>
        <v/>
      </c>
      <c r="W60" s="447" t="str">
        <f t="shared" si="28"/>
        <v/>
      </c>
      <c r="X60" s="447">
        <f t="shared" si="28"/>
        <v>3.0471146976001342</v>
      </c>
      <c r="Y60" s="447">
        <f t="shared" si="17"/>
        <v>2.800800539494007</v>
      </c>
      <c r="Z60" s="447">
        <f t="shared" si="28"/>
        <v>2.6684758028041609</v>
      </c>
      <c r="AA60" s="447">
        <f t="shared" si="28"/>
        <v>2.6791618213740112</v>
      </c>
      <c r="AB60" s="447">
        <f t="shared" si="28"/>
        <v>2.7846565424510943</v>
      </c>
      <c r="AC60" s="447" t="str">
        <f t="shared" si="18"/>
        <v/>
      </c>
      <c r="AD60" s="447">
        <f t="shared" si="28"/>
        <v>0</v>
      </c>
      <c r="AE60" s="447">
        <f t="shared" si="28"/>
        <v>4.9845332864200786</v>
      </c>
      <c r="AF60" s="447" t="str">
        <f t="shared" si="28"/>
        <v/>
      </c>
      <c r="AG60" s="464">
        <f>+(AG42*10)/AG$9</f>
        <v>3.1613862829959727</v>
      </c>
      <c r="AH60" s="465">
        <v>2.1</v>
      </c>
      <c r="AI60" s="466">
        <f t="shared" si="26"/>
        <v>-1.0613862829959726</v>
      </c>
    </row>
    <row r="61" spans="1:58" s="191" customFormat="1" x14ac:dyDescent="0.35">
      <c r="A61" s="210" t="s">
        <v>177</v>
      </c>
      <c r="B61" s="450" t="str">
        <f t="shared" ref="B61:C61" si="29">IF(B$9=0,"",+(B43*10)/B$9)</f>
        <v/>
      </c>
      <c r="C61" s="450">
        <f t="shared" si="29"/>
        <v>0</v>
      </c>
      <c r="D61" s="450">
        <f t="shared" si="15"/>
        <v>0.65141123591323202</v>
      </c>
      <c r="E61" s="450">
        <f t="shared" si="15"/>
        <v>0.55215062669096127</v>
      </c>
      <c r="F61" s="450">
        <f t="shared" si="15"/>
        <v>0.46316433876242491</v>
      </c>
      <c r="G61" s="450">
        <f t="shared" ref="G61:AF61" si="30">IF(G$9=0,"",+(G43*10)/G$9)</f>
        <v>0.64410041904415494</v>
      </c>
      <c r="H61" s="450" t="str">
        <f t="shared" si="30"/>
        <v/>
      </c>
      <c r="I61" s="450" t="str">
        <f t="shared" si="30"/>
        <v/>
      </c>
      <c r="J61" s="450" t="str">
        <f t="shared" si="30"/>
        <v/>
      </c>
      <c r="K61" s="450">
        <f t="shared" si="30"/>
        <v>0</v>
      </c>
      <c r="L61" s="450">
        <f t="shared" si="30"/>
        <v>0</v>
      </c>
      <c r="M61" s="450">
        <f t="shared" si="30"/>
        <v>1.9126985528228488</v>
      </c>
      <c r="N61" s="450">
        <f t="shared" si="30"/>
        <v>0.48593698369195482</v>
      </c>
      <c r="O61" s="450" t="str">
        <f t="shared" si="30"/>
        <v/>
      </c>
      <c r="P61" s="450" t="str">
        <f t="shared" si="30"/>
        <v/>
      </c>
      <c r="Q61" s="450">
        <f t="shared" si="30"/>
        <v>0.49922619939094404</v>
      </c>
      <c r="R61" s="450">
        <f t="shared" si="30"/>
        <v>0.43617172080648148</v>
      </c>
      <c r="S61" s="450">
        <f t="shared" si="30"/>
        <v>0.4254911287339086</v>
      </c>
      <c r="T61" s="450" t="str">
        <f t="shared" si="30"/>
        <v/>
      </c>
      <c r="U61" s="450">
        <f t="shared" si="30"/>
        <v>0.4383311855105243</v>
      </c>
      <c r="V61" s="450" t="str">
        <f t="shared" si="30"/>
        <v/>
      </c>
      <c r="W61" s="450" t="str">
        <f t="shared" si="30"/>
        <v/>
      </c>
      <c r="X61" s="450">
        <f t="shared" si="30"/>
        <v>0.25217500945656285</v>
      </c>
      <c r="Y61" s="450">
        <f t="shared" si="17"/>
        <v>0.59822924144532186</v>
      </c>
      <c r="Z61" s="450">
        <f t="shared" si="30"/>
        <v>0.36182722749886925</v>
      </c>
      <c r="AA61" s="450">
        <f t="shared" si="30"/>
        <v>0.38002295338638453</v>
      </c>
      <c r="AB61" s="450">
        <f t="shared" si="30"/>
        <v>1.3923282712255471</v>
      </c>
      <c r="AC61" s="450" t="str">
        <f t="shared" si="18"/>
        <v/>
      </c>
      <c r="AD61" s="450">
        <f t="shared" si="30"/>
        <v>0</v>
      </c>
      <c r="AE61" s="450">
        <f t="shared" si="30"/>
        <v>0.36650980047206461</v>
      </c>
      <c r="AF61" s="450" t="str">
        <f t="shared" si="30"/>
        <v/>
      </c>
      <c r="AG61" s="451">
        <f t="shared" si="13"/>
        <v>0.49378069531175334</v>
      </c>
      <c r="AH61" s="452">
        <v>0.7</v>
      </c>
      <c r="AI61" s="453">
        <f>AH61-AG61</f>
        <v>0.20621930468824662</v>
      </c>
      <c r="AJ61" s="455"/>
      <c r="AK61" s="455"/>
      <c r="AL61" s="455"/>
      <c r="AM61" s="455"/>
      <c r="AN61" s="455"/>
      <c r="AO61" s="455"/>
      <c r="AP61" s="455"/>
      <c r="AQ61" s="455"/>
      <c r="AR61" s="455"/>
      <c r="AS61" s="455"/>
      <c r="AT61" s="455"/>
      <c r="AU61" s="455"/>
      <c r="AV61" s="455"/>
      <c r="AW61" s="455"/>
      <c r="AX61" s="455"/>
      <c r="AY61" s="455"/>
      <c r="AZ61" s="455"/>
      <c r="BA61" s="455"/>
      <c r="BB61" s="455"/>
      <c r="BC61" s="455"/>
      <c r="BD61" s="455"/>
      <c r="BE61" s="455"/>
      <c r="BF61" s="455"/>
    </row>
    <row r="62" spans="1:58" x14ac:dyDescent="0.35">
      <c r="A62" s="213" t="s">
        <v>131</v>
      </c>
      <c r="B62" s="447" t="str">
        <f t="shared" ref="B62:C62" si="31">IF(B$9=0,"",+(B44*10)/B$9)</f>
        <v/>
      </c>
      <c r="C62" s="447">
        <f t="shared" si="31"/>
        <v>0.41702772488110318</v>
      </c>
      <c r="D62" s="447">
        <f t="shared" si="15"/>
        <v>0</v>
      </c>
      <c r="E62" s="447">
        <f t="shared" si="15"/>
        <v>0</v>
      </c>
      <c r="F62" s="447">
        <f t="shared" si="15"/>
        <v>0.1611006395695391</v>
      </c>
      <c r="G62" s="447">
        <f t="shared" ref="G62:AF62" si="32">IF(G$9=0,"",+(G44*10)/G$9)</f>
        <v>0</v>
      </c>
      <c r="H62" s="447" t="str">
        <f t="shared" si="32"/>
        <v/>
      </c>
      <c r="I62" s="447" t="str">
        <f t="shared" si="32"/>
        <v/>
      </c>
      <c r="J62" s="447" t="str">
        <f t="shared" si="32"/>
        <v/>
      </c>
      <c r="K62" s="447">
        <f t="shared" si="32"/>
        <v>0.14350290593384515</v>
      </c>
      <c r="L62" s="447">
        <f t="shared" si="32"/>
        <v>0</v>
      </c>
      <c r="M62" s="447">
        <f t="shared" si="32"/>
        <v>0</v>
      </c>
      <c r="N62" s="447">
        <f t="shared" si="32"/>
        <v>7.289054755379322E-2</v>
      </c>
      <c r="O62" s="447" t="str">
        <f t="shared" si="32"/>
        <v/>
      </c>
      <c r="P62" s="447" t="str">
        <f t="shared" si="32"/>
        <v/>
      </c>
      <c r="Q62" s="447">
        <f t="shared" si="32"/>
        <v>0.94852977884279366</v>
      </c>
      <c r="R62" s="447">
        <f t="shared" si="32"/>
        <v>0.14539057360216048</v>
      </c>
      <c r="S62" s="447">
        <f t="shared" si="32"/>
        <v>0.22394269933363611</v>
      </c>
      <c r="T62" s="447" t="str">
        <f t="shared" si="32"/>
        <v/>
      </c>
      <c r="U62" s="447">
        <f t="shared" si="32"/>
        <v>0.4383311855105243</v>
      </c>
      <c r="V62" s="447" t="str">
        <f t="shared" si="32"/>
        <v/>
      </c>
      <c r="W62" s="447" t="str">
        <f t="shared" si="32"/>
        <v/>
      </c>
      <c r="X62" s="447">
        <f t="shared" si="32"/>
        <v>0.21014584121380236</v>
      </c>
      <c r="Y62" s="447">
        <f t="shared" si="17"/>
        <v>0</v>
      </c>
      <c r="Z62" s="447">
        <f t="shared" si="32"/>
        <v>0</v>
      </c>
      <c r="AA62" s="447">
        <f t="shared" si="32"/>
        <v>0</v>
      </c>
      <c r="AB62" s="447">
        <f t="shared" si="32"/>
        <v>0.24863004843313344</v>
      </c>
      <c r="AC62" s="447" t="str">
        <f t="shared" si="18"/>
        <v/>
      </c>
      <c r="AD62" s="447">
        <f t="shared" si="32"/>
        <v>0</v>
      </c>
      <c r="AE62" s="447">
        <f t="shared" si="32"/>
        <v>0.43981176056647758</v>
      </c>
      <c r="AF62" s="447" t="str">
        <f t="shared" si="32"/>
        <v/>
      </c>
      <c r="AG62" s="456">
        <f t="shared" si="13"/>
        <v>0.184424115116438</v>
      </c>
      <c r="AH62" s="465">
        <v>0.1</v>
      </c>
      <c r="AI62" s="466">
        <f>AH62-AG62</f>
        <v>-8.4424115116437992E-2</v>
      </c>
    </row>
    <row r="63" spans="1:58" s="191" customFormat="1" x14ac:dyDescent="0.35">
      <c r="A63" s="210" t="s">
        <v>133</v>
      </c>
      <c r="B63" s="450" t="str">
        <f t="shared" ref="B63:C63" si="33">IF(B$9=0,"",+(B45*10)/B$9)</f>
        <v/>
      </c>
      <c r="C63" s="450">
        <f t="shared" si="33"/>
        <v>0.54872069063303053</v>
      </c>
      <c r="D63" s="450">
        <f>IF(D$9=0,"",+(D45*10)/D$9)</f>
        <v>0.31019582662534856</v>
      </c>
      <c r="E63" s="467">
        <f t="shared" ref="E63:AF63" si="34">IF(E$9=0,"",+(E45*10)/E$9)</f>
        <v>0.40156409213888095</v>
      </c>
      <c r="F63" s="467">
        <f t="shared" si="34"/>
        <v>0.40275159892384771</v>
      </c>
      <c r="G63" s="467">
        <f t="shared" si="34"/>
        <v>0.5683238991566073</v>
      </c>
      <c r="H63" s="467" t="str">
        <f t="shared" si="34"/>
        <v/>
      </c>
      <c r="I63" s="467" t="str">
        <f t="shared" si="34"/>
        <v/>
      </c>
      <c r="J63" s="467" t="str">
        <f t="shared" si="34"/>
        <v/>
      </c>
      <c r="K63" s="467">
        <f t="shared" si="34"/>
        <v>0.40659156681256126</v>
      </c>
      <c r="L63" s="467">
        <f t="shared" si="34"/>
        <v>0.37815761609438814</v>
      </c>
      <c r="M63" s="467">
        <f t="shared" si="34"/>
        <v>0.79450555271102952</v>
      </c>
      <c r="N63" s="467">
        <f t="shared" si="34"/>
        <v>0.65601492798413896</v>
      </c>
      <c r="O63" s="467" t="str">
        <f t="shared" si="34"/>
        <v/>
      </c>
      <c r="P63" s="450" t="str">
        <f t="shared" si="34"/>
        <v/>
      </c>
      <c r="Q63" s="450">
        <f t="shared" si="34"/>
        <v>0.82372322899505768</v>
      </c>
      <c r="R63" s="467">
        <f t="shared" si="34"/>
        <v>0.58156229440864193</v>
      </c>
      <c r="S63" s="467">
        <f t="shared" si="34"/>
        <v>0.4702796686006358</v>
      </c>
      <c r="T63" s="450" t="str">
        <f t="shared" si="34"/>
        <v/>
      </c>
      <c r="U63" s="450">
        <f t="shared" si="34"/>
        <v>2.1094688302693982</v>
      </c>
      <c r="V63" s="450" t="str">
        <f t="shared" si="34"/>
        <v/>
      </c>
      <c r="W63" s="450" t="str">
        <f t="shared" si="34"/>
        <v/>
      </c>
      <c r="X63" s="450">
        <f t="shared" si="34"/>
        <v>0.71449586012692812</v>
      </c>
      <c r="Y63" s="450">
        <f t="shared" si="17"/>
        <v>0.62542147969283646</v>
      </c>
      <c r="Z63" s="450">
        <f t="shared" si="34"/>
        <v>0.46736016885270609</v>
      </c>
      <c r="AA63" s="450">
        <f t="shared" si="34"/>
        <v>0.53203213474093836</v>
      </c>
      <c r="AB63" s="450">
        <f t="shared" si="34"/>
        <v>0.72102714045608696</v>
      </c>
      <c r="AC63" s="450" t="str">
        <f t="shared" si="18"/>
        <v/>
      </c>
      <c r="AD63" s="450">
        <f t="shared" si="34"/>
        <v>3.4435261707988976</v>
      </c>
      <c r="AE63" s="450">
        <f t="shared" si="34"/>
        <v>0.98957646127457455</v>
      </c>
      <c r="AF63" s="450" t="str">
        <f t="shared" si="34"/>
        <v/>
      </c>
      <c r="AG63" s="451">
        <f>+(AG45*10)/AG$9</f>
        <v>0.70914046844772283</v>
      </c>
      <c r="AH63" s="452">
        <v>0.6</v>
      </c>
      <c r="AI63" s="453">
        <f t="shared" ref="AI63:AI67" si="35">AH63-AG63</f>
        <v>-0.10914046844772285</v>
      </c>
      <c r="AJ63" s="455"/>
      <c r="AK63" s="455"/>
      <c r="AL63" s="455"/>
      <c r="AM63" s="455"/>
      <c r="AN63" s="455"/>
      <c r="AO63" s="455"/>
      <c r="AP63" s="455"/>
      <c r="AQ63" s="455"/>
      <c r="AR63" s="455"/>
      <c r="AS63" s="455"/>
      <c r="AT63" s="455"/>
      <c r="AU63" s="455"/>
      <c r="AV63" s="455"/>
      <c r="AW63" s="455"/>
      <c r="AX63" s="455"/>
      <c r="AY63" s="455"/>
      <c r="AZ63" s="455"/>
      <c r="BA63" s="455"/>
      <c r="BB63" s="455"/>
      <c r="BC63" s="455"/>
      <c r="BD63" s="455"/>
      <c r="BE63" s="455"/>
      <c r="BF63" s="455"/>
    </row>
    <row r="64" spans="1:58" s="211" customFormat="1" x14ac:dyDescent="0.35">
      <c r="A64" s="214" t="s">
        <v>174</v>
      </c>
      <c r="B64" s="447"/>
      <c r="C64" s="447"/>
      <c r="D64" s="447"/>
      <c r="E64" s="447"/>
      <c r="F64" s="447"/>
      <c r="G64" s="447"/>
      <c r="H64" s="447"/>
      <c r="I64" s="447"/>
      <c r="J64" s="447"/>
      <c r="K64" s="447"/>
      <c r="L64" s="447"/>
      <c r="M64" s="447"/>
      <c r="N64" s="447"/>
      <c r="O64" s="447"/>
      <c r="P64" s="447"/>
      <c r="Q64" s="447"/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  <c r="AD64" s="447"/>
      <c r="AE64" s="447"/>
      <c r="AF64" s="447"/>
      <c r="AG64" s="456"/>
      <c r="AH64" s="468">
        <v>0.5</v>
      </c>
      <c r="AI64" s="469">
        <f t="shared" si="35"/>
        <v>0.5</v>
      </c>
      <c r="AJ64" s="470"/>
      <c r="AK64" s="366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</row>
    <row r="65" spans="1:58" s="191" customFormat="1" x14ac:dyDescent="0.35">
      <c r="A65" s="210" t="s">
        <v>214</v>
      </c>
      <c r="B65" s="450" t="str">
        <f t="shared" ref="B65:C65" si="36">IF(B$9=0,"",+(B46*10)/B$9)</f>
        <v/>
      </c>
      <c r="C65" s="450">
        <f t="shared" si="36"/>
        <v>0</v>
      </c>
      <c r="D65" s="450">
        <f>IF(D$9=0,"",+(D46*10)/D$9)</f>
        <v>0</v>
      </c>
      <c r="E65" s="471">
        <f t="shared" ref="E65:AF65" si="37">IF(E$9=0,"",+(E46*10)/E$9)</f>
        <v>0</v>
      </c>
      <c r="F65" s="471">
        <f t="shared" si="37"/>
        <v>0</v>
      </c>
      <c r="G65" s="471">
        <f t="shared" si="37"/>
        <v>0</v>
      </c>
      <c r="H65" s="450" t="str">
        <f t="shared" si="37"/>
        <v/>
      </c>
      <c r="I65" s="450" t="str">
        <f t="shared" si="37"/>
        <v/>
      </c>
      <c r="J65" s="450" t="str">
        <f>IF(J$9=0,"",+(J46*10)/J$9)</f>
        <v/>
      </c>
      <c r="K65" s="450">
        <f t="shared" si="37"/>
        <v>0</v>
      </c>
      <c r="L65" s="471">
        <f t="shared" si="37"/>
        <v>0</v>
      </c>
      <c r="M65" s="450">
        <f t="shared" si="37"/>
        <v>0</v>
      </c>
      <c r="N65" s="450">
        <f t="shared" si="37"/>
        <v>0</v>
      </c>
      <c r="O65" s="450" t="str">
        <f t="shared" si="37"/>
        <v/>
      </c>
      <c r="P65" s="450" t="str">
        <f t="shared" si="37"/>
        <v/>
      </c>
      <c r="Q65" s="450">
        <f t="shared" si="37"/>
        <v>0</v>
      </c>
      <c r="R65" s="450">
        <f t="shared" si="37"/>
        <v>0</v>
      </c>
      <c r="S65" s="450">
        <f t="shared" si="37"/>
        <v>0</v>
      </c>
      <c r="T65" s="450" t="str">
        <f t="shared" si="37"/>
        <v/>
      </c>
      <c r="U65" s="450">
        <f t="shared" si="37"/>
        <v>0</v>
      </c>
      <c r="V65" s="471" t="str">
        <f t="shared" si="37"/>
        <v/>
      </c>
      <c r="W65" s="471" t="str">
        <f t="shared" si="37"/>
        <v/>
      </c>
      <c r="X65" s="471">
        <f t="shared" si="37"/>
        <v>0</v>
      </c>
      <c r="Y65" s="471">
        <f>IF(Y$9=0,"",+(Y46*10)/Y$9)</f>
        <v>0</v>
      </c>
      <c r="Z65" s="471">
        <f t="shared" si="37"/>
        <v>0</v>
      </c>
      <c r="AA65" s="471">
        <f t="shared" si="37"/>
        <v>0</v>
      </c>
      <c r="AB65" s="471">
        <f t="shared" si="37"/>
        <v>0</v>
      </c>
      <c r="AC65" s="471" t="str">
        <f>IF(AC$9=0,"",+(AC46*10)/AC$9)</f>
        <v/>
      </c>
      <c r="AD65" s="471">
        <f t="shared" si="37"/>
        <v>0</v>
      </c>
      <c r="AE65" s="471">
        <f t="shared" si="37"/>
        <v>0</v>
      </c>
      <c r="AF65" s="471" t="str">
        <f t="shared" si="37"/>
        <v/>
      </c>
      <c r="AG65" s="451">
        <f>+(AG46*10)/AG$9</f>
        <v>0</v>
      </c>
      <c r="AH65" s="452">
        <v>0.3</v>
      </c>
      <c r="AI65" s="453">
        <f t="shared" si="35"/>
        <v>0.3</v>
      </c>
      <c r="AJ65" s="455"/>
      <c r="AK65" s="455"/>
      <c r="AL65" s="455"/>
      <c r="AM65" s="455"/>
      <c r="AN65" s="455"/>
      <c r="AO65" s="455"/>
      <c r="AP65" s="455"/>
      <c r="AQ65" s="455"/>
      <c r="AR65" s="455"/>
      <c r="AS65" s="455"/>
      <c r="AT65" s="455"/>
      <c r="AU65" s="455"/>
      <c r="AV65" s="455"/>
      <c r="AW65" s="455"/>
      <c r="AX65" s="455"/>
      <c r="AY65" s="455"/>
      <c r="AZ65" s="455"/>
      <c r="BA65" s="455"/>
      <c r="BB65" s="455"/>
      <c r="BC65" s="455"/>
      <c r="BD65" s="455"/>
      <c r="BE65" s="455"/>
      <c r="BF65" s="455"/>
    </row>
    <row r="66" spans="1:58" s="211" customFormat="1" hidden="1" x14ac:dyDescent="0.35">
      <c r="A66" s="215" t="s">
        <v>200</v>
      </c>
      <c r="B66" s="472"/>
      <c r="C66" s="472"/>
      <c r="D66" s="472"/>
      <c r="E66" s="472"/>
      <c r="F66" s="472"/>
      <c r="G66" s="472"/>
      <c r="H66" s="472"/>
      <c r="I66" s="472"/>
      <c r="J66" s="473"/>
      <c r="K66" s="473"/>
      <c r="L66" s="473"/>
      <c r="M66" s="473"/>
      <c r="N66" s="473"/>
      <c r="O66" s="473"/>
      <c r="P66" s="473"/>
      <c r="Q66" s="473"/>
      <c r="R66" s="473"/>
      <c r="S66" s="473"/>
      <c r="T66" s="473"/>
      <c r="U66" s="473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4"/>
      <c r="AH66" s="474">
        <v>0.4</v>
      </c>
      <c r="AI66" s="475">
        <f t="shared" si="35"/>
        <v>0.4</v>
      </c>
      <c r="AJ66" s="470"/>
      <c r="AK66" s="366"/>
      <c r="AL66" s="470"/>
      <c r="AM66" s="470"/>
      <c r="AN66" s="470"/>
      <c r="AO66" s="470"/>
      <c r="AP66" s="470"/>
      <c r="AQ66" s="470"/>
      <c r="AR66" s="470"/>
      <c r="AS66" s="470"/>
      <c r="AT66" s="470"/>
      <c r="AU66" s="470"/>
      <c r="AV66" s="470"/>
      <c r="AW66" s="470"/>
      <c r="AX66" s="470"/>
      <c r="AY66" s="470"/>
      <c r="AZ66" s="470"/>
      <c r="BA66" s="470"/>
      <c r="BB66" s="470"/>
      <c r="BC66" s="470"/>
      <c r="BD66" s="470"/>
      <c r="BE66" s="470"/>
      <c r="BF66" s="470"/>
    </row>
    <row r="67" spans="1:58" s="212" customFormat="1" hidden="1" x14ac:dyDescent="0.35">
      <c r="A67" s="241" t="s">
        <v>213</v>
      </c>
      <c r="B67" s="476"/>
      <c r="C67" s="476"/>
      <c r="D67" s="476"/>
      <c r="E67" s="476"/>
      <c r="F67" s="476"/>
      <c r="G67" s="476"/>
      <c r="H67" s="476"/>
      <c r="I67" s="476"/>
      <c r="J67" s="477"/>
      <c r="K67" s="477"/>
      <c r="L67" s="477"/>
      <c r="M67" s="477"/>
      <c r="N67" s="477"/>
      <c r="O67" s="477"/>
      <c r="P67" s="477"/>
      <c r="Q67" s="477"/>
      <c r="R67" s="477"/>
      <c r="S67" s="477"/>
      <c r="T67" s="477"/>
      <c r="U67" s="477"/>
      <c r="V67" s="477"/>
      <c r="W67" s="477"/>
      <c r="X67" s="477"/>
      <c r="Y67" s="477"/>
      <c r="Z67" s="477"/>
      <c r="AA67" s="477"/>
      <c r="AB67" s="477"/>
      <c r="AC67" s="477"/>
      <c r="AD67" s="477"/>
      <c r="AE67" s="477"/>
      <c r="AF67" s="477"/>
      <c r="AG67" s="478"/>
      <c r="AH67" s="478">
        <v>0.2</v>
      </c>
      <c r="AI67" s="479">
        <f t="shared" si="35"/>
        <v>0.2</v>
      </c>
      <c r="AJ67" s="454"/>
      <c r="AK67" s="455"/>
      <c r="AL67" s="454"/>
      <c r="AM67" s="454"/>
      <c r="AN67" s="454"/>
      <c r="AO67" s="454"/>
      <c r="AP67" s="454"/>
      <c r="AQ67" s="454"/>
      <c r="AR67" s="454"/>
      <c r="AS67" s="454"/>
      <c r="AT67" s="454"/>
      <c r="AU67" s="454"/>
      <c r="AV67" s="454"/>
      <c r="AW67" s="454"/>
      <c r="AX67" s="454"/>
      <c r="AY67" s="454"/>
      <c r="AZ67" s="454"/>
      <c r="BA67" s="454"/>
      <c r="BB67" s="454"/>
      <c r="BC67" s="454"/>
      <c r="BD67" s="454"/>
      <c r="BE67" s="454"/>
      <c r="BF67" s="454"/>
    </row>
    <row r="68" spans="1:58" s="181" customFormat="1" ht="30" x14ac:dyDescent="0.4">
      <c r="A68" s="216" t="s">
        <v>237</v>
      </c>
      <c r="B68" s="480">
        <f>SUM(B54:B63,B65)</f>
        <v>0</v>
      </c>
      <c r="C68" s="480">
        <f>SUM(C54:C63,C65)</f>
        <v>7.7918338069890334</v>
      </c>
      <c r="D68" s="480">
        <f>SUM(D54:D63,D65)</f>
        <v>6.2194263238382392</v>
      </c>
      <c r="E68" s="480">
        <f>SUM(E54:E63,E65)</f>
        <v>8.9097032943314201</v>
      </c>
      <c r="F68" s="480">
        <f t="shared" ref="F68:AI68" si="38">SUM(F54:F63,F65)</f>
        <v>9.6459007942261525</v>
      </c>
      <c r="G68" s="480">
        <f t="shared" si="38"/>
        <v>11.669584062682336</v>
      </c>
      <c r="H68" s="480">
        <f t="shared" si="38"/>
        <v>0</v>
      </c>
      <c r="I68" s="480">
        <f t="shared" si="38"/>
        <v>0</v>
      </c>
      <c r="J68" s="481">
        <f t="shared" si="38"/>
        <v>0</v>
      </c>
      <c r="K68" s="481">
        <f t="shared" si="38"/>
        <v>7.4143168065819989</v>
      </c>
      <c r="L68" s="481">
        <f t="shared" si="38"/>
        <v>8.3824938234256035</v>
      </c>
      <c r="M68" s="481">
        <f t="shared" si="38"/>
        <v>11.623321974846544</v>
      </c>
      <c r="N68" s="481">
        <f t="shared" si="38"/>
        <v>8.3095224211324279</v>
      </c>
      <c r="O68" s="481">
        <f t="shared" si="38"/>
        <v>0</v>
      </c>
      <c r="P68" s="481">
        <f t="shared" si="38"/>
        <v>0</v>
      </c>
      <c r="Q68" s="481">
        <f t="shared" si="38"/>
        <v>9.4104138585192949</v>
      </c>
      <c r="R68" s="481">
        <f t="shared" si="38"/>
        <v>7.960133904718286</v>
      </c>
      <c r="S68" s="481">
        <f t="shared" si="38"/>
        <v>7.1885606486097195</v>
      </c>
      <c r="T68" s="481">
        <f t="shared" si="38"/>
        <v>0</v>
      </c>
      <c r="U68" s="481">
        <f t="shared" si="38"/>
        <v>7.0406946672627964</v>
      </c>
      <c r="V68" s="481">
        <f t="shared" si="38"/>
        <v>0</v>
      </c>
      <c r="W68" s="481">
        <f t="shared" si="38"/>
        <v>0</v>
      </c>
      <c r="X68" s="481">
        <f t="shared" si="38"/>
        <v>6.9768419282982386</v>
      </c>
      <c r="Y68" s="481">
        <f t="shared" si="38"/>
        <v>10.904087537253366</v>
      </c>
      <c r="Z68" s="481">
        <f t="shared" si="38"/>
        <v>6.5128900949796469</v>
      </c>
      <c r="AA68" s="481">
        <f t="shared" si="38"/>
        <v>8.1134900547993087</v>
      </c>
      <c r="AB68" s="481">
        <f t="shared" si="38"/>
        <v>10.417599029348292</v>
      </c>
      <c r="AC68" s="481">
        <f t="shared" si="38"/>
        <v>0</v>
      </c>
      <c r="AD68" s="481">
        <f t="shared" si="38"/>
        <v>36.157024793388423</v>
      </c>
      <c r="AE68" s="481">
        <f t="shared" si="38"/>
        <v>15.503364559968336</v>
      </c>
      <c r="AF68" s="481">
        <f t="shared" si="38"/>
        <v>0</v>
      </c>
      <c r="AG68" s="480">
        <f t="shared" si="38"/>
        <v>9.5377013340217225</v>
      </c>
      <c r="AH68" s="480">
        <f>SUM(AH54:AH63,AH65)</f>
        <v>9.6</v>
      </c>
      <c r="AI68" s="482">
        <f t="shared" si="38"/>
        <v>6.2298665978277601E-2</v>
      </c>
      <c r="AJ68" s="365"/>
      <c r="AK68" s="366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65"/>
      <c r="AY68" s="365"/>
      <c r="AZ68" s="365"/>
      <c r="BA68" s="365"/>
      <c r="BB68" s="365"/>
      <c r="BC68" s="365"/>
      <c r="BD68" s="365"/>
      <c r="BE68" s="365"/>
      <c r="BF68" s="365"/>
    </row>
    <row r="69" spans="1:58" s="218" customFormat="1" thickBot="1" x14ac:dyDescent="0.4">
      <c r="A69" s="217" t="s">
        <v>216</v>
      </c>
      <c r="B69" s="483">
        <f t="shared" ref="B69" si="39">SUM(B60:B62)</f>
        <v>0</v>
      </c>
      <c r="C69" s="483">
        <f>SUM(C60:C62)</f>
        <v>2.897245246542401</v>
      </c>
      <c r="D69" s="483">
        <f t="shared" ref="D69:AI69" si="40">SUM(D60:D62)</f>
        <v>3.1019582662534857</v>
      </c>
      <c r="E69" s="483">
        <f t="shared" si="40"/>
        <v>3.3881970274218078</v>
      </c>
      <c r="F69" s="483">
        <f t="shared" si="40"/>
        <v>3.6449019702608219</v>
      </c>
      <c r="G69" s="483">
        <f t="shared" si="40"/>
        <v>4.2055968537588937</v>
      </c>
      <c r="H69" s="483">
        <f t="shared" si="40"/>
        <v>0</v>
      </c>
      <c r="I69" s="483">
        <f t="shared" si="40"/>
        <v>0</v>
      </c>
      <c r="J69" s="484">
        <f t="shared" si="40"/>
        <v>0</v>
      </c>
      <c r="K69" s="484">
        <f t="shared" si="40"/>
        <v>3.4919040443902318</v>
      </c>
      <c r="L69" s="484">
        <f t="shared" si="40"/>
        <v>3.3193835190507404</v>
      </c>
      <c r="M69" s="484">
        <f t="shared" si="40"/>
        <v>5.1495730268307467</v>
      </c>
      <c r="N69" s="484">
        <f t="shared" si="40"/>
        <v>3.6202305285050631</v>
      </c>
      <c r="O69" s="484">
        <f t="shared" si="40"/>
        <v>0</v>
      </c>
      <c r="P69" s="484">
        <f t="shared" si="40"/>
        <v>0</v>
      </c>
      <c r="Q69" s="484">
        <f t="shared" si="40"/>
        <v>4.7426488942139686</v>
      </c>
      <c r="R69" s="484">
        <f t="shared" si="40"/>
        <v>3.3076355494491509</v>
      </c>
      <c r="S69" s="484">
        <f t="shared" si="40"/>
        <v>3.5159003795380865</v>
      </c>
      <c r="T69" s="484">
        <f t="shared" si="40"/>
        <v>0</v>
      </c>
      <c r="U69" s="484">
        <f t="shared" si="40"/>
        <v>4.027167766877942</v>
      </c>
      <c r="V69" s="484">
        <f t="shared" si="40"/>
        <v>0</v>
      </c>
      <c r="W69" s="484">
        <f t="shared" si="40"/>
        <v>0</v>
      </c>
      <c r="X69" s="484">
        <f t="shared" si="40"/>
        <v>3.5094355482704995</v>
      </c>
      <c r="Y69" s="484">
        <f t="shared" si="40"/>
        <v>3.3990297809393288</v>
      </c>
      <c r="Z69" s="484">
        <f t="shared" si="40"/>
        <v>3.0303030303030303</v>
      </c>
      <c r="AA69" s="484">
        <f t="shared" si="40"/>
        <v>3.0591847747603955</v>
      </c>
      <c r="AB69" s="484">
        <f t="shared" si="40"/>
        <v>4.4256148621097751</v>
      </c>
      <c r="AC69" s="484">
        <f t="shared" si="40"/>
        <v>0</v>
      </c>
      <c r="AD69" s="484">
        <f t="shared" si="40"/>
        <v>0</v>
      </c>
      <c r="AE69" s="484">
        <f t="shared" si="40"/>
        <v>5.790854847458621</v>
      </c>
      <c r="AF69" s="484">
        <f t="shared" si="40"/>
        <v>0</v>
      </c>
      <c r="AG69" s="483">
        <f t="shared" si="40"/>
        <v>3.8395910934241639</v>
      </c>
      <c r="AH69" s="483">
        <f t="shared" si="40"/>
        <v>2.9</v>
      </c>
      <c r="AI69" s="483">
        <f t="shared" si="40"/>
        <v>-0.93959109342416403</v>
      </c>
      <c r="AJ69" s="485"/>
      <c r="AK69" s="366"/>
      <c r="AL69" s="485"/>
      <c r="AM69" s="485"/>
      <c r="AN69" s="485"/>
      <c r="AO69" s="485"/>
      <c r="AP69" s="485"/>
      <c r="AQ69" s="485"/>
      <c r="AR69" s="485"/>
      <c r="AS69" s="485"/>
      <c r="AT69" s="485"/>
      <c r="AU69" s="485"/>
      <c r="AV69" s="485"/>
      <c r="AW69" s="485"/>
      <c r="AX69" s="485"/>
      <c r="AY69" s="485"/>
      <c r="AZ69" s="485"/>
      <c r="BA69" s="485"/>
      <c r="BB69" s="485"/>
      <c r="BC69" s="485"/>
      <c r="BD69" s="485"/>
      <c r="BE69" s="485"/>
      <c r="BF69" s="485"/>
    </row>
    <row r="70" spans="1:58" x14ac:dyDescent="0.35">
      <c r="A70" s="200"/>
      <c r="B70" s="377"/>
      <c r="C70" s="377"/>
      <c r="D70" s="377"/>
      <c r="E70" s="377"/>
      <c r="F70" s="377"/>
      <c r="G70" s="377"/>
      <c r="H70" s="377"/>
      <c r="I70" s="377"/>
      <c r="J70" s="405"/>
      <c r="K70" s="405"/>
      <c r="L70" s="405"/>
      <c r="M70" s="405"/>
      <c r="N70" s="405"/>
      <c r="O70" s="405"/>
      <c r="P70" s="405"/>
      <c r="Q70" s="405"/>
      <c r="R70" s="405"/>
      <c r="S70" s="405"/>
      <c r="T70" s="405"/>
      <c r="U70" s="405"/>
      <c r="V70" s="405"/>
      <c r="W70" s="405"/>
      <c r="X70" s="405"/>
      <c r="Y70" s="405"/>
      <c r="Z70" s="405"/>
      <c r="AA70" s="405"/>
      <c r="AB70" s="405"/>
      <c r="AC70" s="405"/>
      <c r="AD70" s="405"/>
      <c r="AE70" s="405"/>
      <c r="AG70" s="377"/>
      <c r="AH70" s="377"/>
    </row>
    <row r="71" spans="1:58" s="242" customFormat="1" ht="52.5" x14ac:dyDescent="0.4">
      <c r="A71" s="244" t="s">
        <v>247</v>
      </c>
      <c r="B71" s="486">
        <f>+'Water '!$F7</f>
        <v>72</v>
      </c>
      <c r="C71" s="486">
        <f>+'Water '!$F8</f>
        <v>200</v>
      </c>
      <c r="D71" s="486">
        <f>+'Water '!$F9</f>
        <v>139</v>
      </c>
      <c r="E71" s="486">
        <f>+'Water '!$F10</f>
        <v>181</v>
      </c>
      <c r="F71" s="486">
        <f>+'Water '!$F11</f>
        <v>276</v>
      </c>
      <c r="G71" s="486">
        <f>+'Water '!$F12</f>
        <v>302</v>
      </c>
      <c r="H71" s="486" t="str">
        <f>+'Water '!$F13</f>
        <v>0</v>
      </c>
      <c r="I71" s="486">
        <f>+'Water '!$F14</f>
        <v>93</v>
      </c>
      <c r="J71" s="487" t="str">
        <f>+'Water '!$F15</f>
        <v>0</v>
      </c>
      <c r="K71" s="487">
        <f>+'Water '!$F16</f>
        <v>143</v>
      </c>
      <c r="L71" s="487">
        <f>+'Water '!$F17</f>
        <v>174</v>
      </c>
      <c r="M71" s="487">
        <f>+'Water '!$F18</f>
        <v>290</v>
      </c>
      <c r="N71" s="487">
        <f>+'Water '!$F19</f>
        <v>293</v>
      </c>
      <c r="O71" s="487">
        <f>+'Water '!$F20</f>
        <v>200</v>
      </c>
      <c r="P71" s="487">
        <f>+'Water '!$F21</f>
        <v>46</v>
      </c>
      <c r="Q71" s="487">
        <f>+'Water '!$F22</f>
        <v>213</v>
      </c>
      <c r="R71" s="487">
        <f>+'Water '!$F23</f>
        <v>155</v>
      </c>
      <c r="S71" s="487">
        <f>+'Water '!$F24</f>
        <v>150</v>
      </c>
      <c r="T71" s="487" t="str">
        <f>+'Water '!$F25</f>
        <v>0</v>
      </c>
      <c r="U71" s="487">
        <f>+'Water '!$F26</f>
        <v>216</v>
      </c>
      <c r="V71" s="487">
        <f>+'Water '!$F27</f>
        <v>17</v>
      </c>
      <c r="W71" s="487">
        <f>+'Water '!$F28</f>
        <v>81</v>
      </c>
      <c r="X71" s="487">
        <f>+'Water '!$F29</f>
        <v>198</v>
      </c>
      <c r="Y71" s="487">
        <f>+'Water '!$F30</f>
        <v>96</v>
      </c>
      <c r="Z71" s="487">
        <f>+'Water '!$F31</f>
        <v>141</v>
      </c>
      <c r="AA71" s="487">
        <f>+'Water '!$F32</f>
        <v>281</v>
      </c>
      <c r="AB71" s="487">
        <f>+'Water '!$F33</f>
        <v>294</v>
      </c>
      <c r="AC71" s="487">
        <f>+'Water '!$F34</f>
        <v>167</v>
      </c>
      <c r="AD71" s="487" t="str">
        <f>+'Water '!$F35</f>
        <v>0</v>
      </c>
      <c r="AE71" s="487">
        <f>+'Water '!$F36</f>
        <v>260</v>
      </c>
      <c r="AF71" s="487" t="str">
        <f>+'Water '!$F37</f>
        <v>0</v>
      </c>
      <c r="AG71" s="488">
        <f>SUM($B71:AF71)</f>
        <v>4678</v>
      </c>
      <c r="AH71" s="488"/>
      <c r="AI71" s="489"/>
      <c r="AJ71" s="489"/>
      <c r="AK71" s="489"/>
      <c r="AL71" s="489"/>
      <c r="AM71" s="489"/>
      <c r="AN71" s="489"/>
      <c r="AO71" s="489"/>
      <c r="AP71" s="489"/>
      <c r="AQ71" s="489"/>
      <c r="AR71" s="489"/>
      <c r="AS71" s="489"/>
      <c r="AT71" s="489"/>
      <c r="AU71" s="489"/>
      <c r="AV71" s="489"/>
      <c r="AW71" s="489"/>
      <c r="AX71" s="489"/>
      <c r="AY71" s="489"/>
      <c r="AZ71" s="489"/>
      <c r="BA71" s="489"/>
      <c r="BB71" s="489"/>
      <c r="BC71" s="489"/>
      <c r="BD71" s="489"/>
      <c r="BE71" s="489"/>
      <c r="BF71" s="489"/>
    </row>
    <row r="72" spans="1:58" x14ac:dyDescent="0.35">
      <c r="A72" s="200"/>
      <c r="B72" s="377"/>
      <c r="C72" s="377"/>
      <c r="D72" s="377"/>
      <c r="E72" s="377"/>
      <c r="F72" s="377"/>
      <c r="G72" s="377"/>
      <c r="H72" s="377"/>
      <c r="I72" s="377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5"/>
      <c r="V72" s="405"/>
      <c r="W72" s="405"/>
      <c r="X72" s="405"/>
      <c r="Y72" s="405"/>
      <c r="Z72" s="405"/>
      <c r="AA72" s="405"/>
      <c r="AB72" s="405"/>
      <c r="AC72" s="405"/>
      <c r="AD72" s="405"/>
      <c r="AE72" s="405"/>
      <c r="AG72" s="377"/>
      <c r="AH72" s="377"/>
    </row>
    <row r="73" spans="1:58" ht="25.5" hidden="1" customHeight="1" x14ac:dyDescent="0.5">
      <c r="A73" s="206" t="s">
        <v>256</v>
      </c>
      <c r="B73" s="377"/>
      <c r="C73" s="377"/>
      <c r="D73" s="377"/>
      <c r="E73" s="377"/>
      <c r="F73" s="405"/>
      <c r="G73" s="405"/>
      <c r="H73" s="405"/>
      <c r="I73" s="405"/>
      <c r="J73" s="405"/>
      <c r="K73" s="405"/>
      <c r="L73" s="405"/>
      <c r="M73" s="405"/>
      <c r="N73" s="405"/>
      <c r="O73" s="405"/>
      <c r="P73" s="405"/>
      <c r="Q73" s="405"/>
      <c r="R73" s="405"/>
      <c r="S73" s="405"/>
      <c r="T73" s="405"/>
      <c r="U73" s="405"/>
      <c r="V73" s="405"/>
      <c r="W73" s="405"/>
      <c r="X73" s="405"/>
      <c r="Y73" s="405"/>
      <c r="Z73" s="405"/>
      <c r="AA73" s="405"/>
      <c r="AB73" s="405"/>
      <c r="AC73" s="405"/>
      <c r="AD73" s="405"/>
      <c r="AE73" s="405"/>
      <c r="AF73" s="405"/>
      <c r="AG73" s="405">
        <f>SUM(B73:AF73)</f>
        <v>0</v>
      </c>
      <c r="AH73" s="490"/>
    </row>
    <row r="74" spans="1:58" s="191" customFormat="1" ht="37.5" customHeight="1" x14ac:dyDescent="0.5">
      <c r="A74" s="231" t="s">
        <v>236</v>
      </c>
      <c r="B74" s="715"/>
      <c r="C74" s="715">
        <v>2700</v>
      </c>
      <c r="D74" s="715">
        <v>3100</v>
      </c>
      <c r="E74" s="715">
        <v>2500</v>
      </c>
      <c r="F74" s="770">
        <f>1400+2500</f>
        <v>3900</v>
      </c>
      <c r="G74" s="739">
        <v>3200</v>
      </c>
      <c r="H74" s="739"/>
      <c r="I74" s="739"/>
      <c r="J74" s="771">
        <v>400</v>
      </c>
      <c r="K74" s="739">
        <v>1700</v>
      </c>
      <c r="L74" s="739">
        <f>800+1500</f>
        <v>2300</v>
      </c>
      <c r="M74" s="739">
        <v>2500</v>
      </c>
      <c r="N74" s="739">
        <v>2500</v>
      </c>
      <c r="O74" s="739">
        <v>0</v>
      </c>
      <c r="P74" s="739"/>
      <c r="Q74" s="739">
        <v>2400</v>
      </c>
      <c r="R74" s="739">
        <v>2500</v>
      </c>
      <c r="S74" s="739">
        <v>3200</v>
      </c>
      <c r="T74" s="739">
        <v>0</v>
      </c>
      <c r="U74" s="739">
        <v>2500</v>
      </c>
      <c r="V74" s="739">
        <v>0</v>
      </c>
      <c r="W74" s="739"/>
      <c r="X74" s="739">
        <v>3100</v>
      </c>
      <c r="Y74" s="739">
        <f>1300+500</f>
        <v>1800</v>
      </c>
      <c r="Z74" s="739">
        <v>2500</v>
      </c>
      <c r="AA74" s="739">
        <v>3800</v>
      </c>
      <c r="AB74" s="739">
        <v>2100</v>
      </c>
      <c r="AC74" s="739">
        <v>0</v>
      </c>
      <c r="AD74" s="739">
        <v>0</v>
      </c>
      <c r="AE74" s="739">
        <v>2000</v>
      </c>
      <c r="AF74" s="739">
        <v>0</v>
      </c>
      <c r="AG74" s="493">
        <f>SUM(B74:AF74)</f>
        <v>50700</v>
      </c>
      <c r="AH74" s="494"/>
      <c r="AI74" s="494"/>
      <c r="AJ74" s="455"/>
      <c r="AK74" s="455"/>
      <c r="AL74" s="455"/>
      <c r="AM74" s="455"/>
      <c r="AN74" s="455"/>
      <c r="AO74" s="455"/>
      <c r="AP74" s="455"/>
      <c r="AQ74" s="455"/>
      <c r="AR74" s="455"/>
      <c r="AS74" s="455"/>
      <c r="AT74" s="455"/>
      <c r="AU74" s="455"/>
      <c r="AV74" s="455"/>
      <c r="AW74" s="455"/>
      <c r="AX74" s="455"/>
      <c r="AY74" s="455"/>
      <c r="AZ74" s="455"/>
      <c r="BA74" s="455"/>
      <c r="BB74" s="455"/>
      <c r="BC74" s="455"/>
      <c r="BD74" s="455"/>
      <c r="BE74" s="455"/>
      <c r="BF74" s="455"/>
    </row>
    <row r="75" spans="1:58" s="803" customFormat="1" x14ac:dyDescent="0.4">
      <c r="A75" s="792" t="s">
        <v>312</v>
      </c>
      <c r="B75" s="793"/>
      <c r="C75" s="794"/>
      <c r="D75" s="794"/>
      <c r="E75" s="795"/>
      <c r="F75" s="795"/>
      <c r="G75" s="796"/>
      <c r="H75" s="796"/>
      <c r="I75" s="794"/>
      <c r="J75" s="797"/>
      <c r="K75" s="797"/>
      <c r="L75" s="794"/>
      <c r="M75" s="794"/>
      <c r="N75" s="794"/>
      <c r="O75" s="798"/>
      <c r="P75" s="794"/>
      <c r="Q75" s="795"/>
      <c r="R75" s="794"/>
      <c r="S75" s="794"/>
      <c r="T75" s="794"/>
      <c r="U75" s="794"/>
      <c r="V75" s="794"/>
      <c r="W75" s="794"/>
      <c r="X75" s="794"/>
      <c r="Y75" s="799"/>
      <c r="Z75" s="799"/>
      <c r="AA75" s="799"/>
      <c r="AB75" s="799"/>
      <c r="AC75" s="799"/>
      <c r="AD75" s="799"/>
      <c r="AE75" s="800">
        <v>563</v>
      </c>
      <c r="AF75" s="799"/>
      <c r="AG75" s="800">
        <f>SUM($B75:AF75)</f>
        <v>563</v>
      </c>
      <c r="AH75" s="801"/>
      <c r="AI75" s="802"/>
      <c r="AJ75" s="802"/>
      <c r="AK75" s="802"/>
      <c r="AL75" s="802"/>
      <c r="AM75" s="802"/>
      <c r="AN75" s="802"/>
      <c r="AO75" s="802"/>
      <c r="AP75" s="802"/>
      <c r="AQ75" s="802"/>
      <c r="AR75" s="802"/>
      <c r="AS75" s="802"/>
      <c r="AT75" s="802"/>
      <c r="AU75" s="802"/>
      <c r="AV75" s="802"/>
      <c r="AW75" s="802"/>
      <c r="AX75" s="802"/>
      <c r="AY75" s="802"/>
      <c r="AZ75" s="802"/>
      <c r="BA75" s="802"/>
      <c r="BB75" s="802"/>
      <c r="BC75" s="802"/>
      <c r="BD75" s="802"/>
      <c r="BE75" s="802"/>
      <c r="BF75" s="802"/>
    </row>
    <row r="76" spans="1:58" s="255" customFormat="1" x14ac:dyDescent="0.2">
      <c r="A76" s="255" t="s">
        <v>257</v>
      </c>
      <c r="B76" s="256" t="str" cm="1">
        <f t="array" ref="B76:AF76">TRANSPOSE('CO2'!B7:B37)</f>
        <v>0</v>
      </c>
      <c r="C76" s="256">
        <v>60.590000000000146</v>
      </c>
      <c r="D76" s="256">
        <v>52.799999999999727</v>
      </c>
      <c r="E76" s="256">
        <v>49.700000000000273</v>
      </c>
      <c r="F76" s="256">
        <v>61.139999999999873</v>
      </c>
      <c r="G76" s="256">
        <v>48.2199999999998</v>
      </c>
      <c r="H76" s="256" t="str">
        <v>0</v>
      </c>
      <c r="I76" s="256" t="str">
        <v>0</v>
      </c>
      <c r="J76" s="256" t="str">
        <v>0</v>
      </c>
      <c r="K76" s="256">
        <v>59.210000000000036</v>
      </c>
      <c r="L76" s="256">
        <v>74.789999999999964</v>
      </c>
      <c r="M76" s="256">
        <v>48.960000000000036</v>
      </c>
      <c r="N76" s="256">
        <v>62.450000000000273</v>
      </c>
      <c r="O76" s="256" t="str">
        <v>0</v>
      </c>
      <c r="P76" s="256" t="str">
        <v>0</v>
      </c>
      <c r="Q76" s="256">
        <v>65.539999999999964</v>
      </c>
      <c r="R76" s="256">
        <v>73.150000000000091</v>
      </c>
      <c r="S76" s="256">
        <v>97.059999999999945</v>
      </c>
      <c r="T76" s="256" t="str">
        <v>0</v>
      </c>
      <c r="U76" s="256">
        <v>44.130000000000109</v>
      </c>
      <c r="V76" s="256" t="str">
        <v>0</v>
      </c>
      <c r="W76" s="256" t="str">
        <v>0</v>
      </c>
      <c r="X76" s="256">
        <v>59.379999999999654</v>
      </c>
      <c r="Y76" s="256">
        <v>45.610000000000127</v>
      </c>
      <c r="Z76" s="256">
        <v>71.489999999999782</v>
      </c>
      <c r="AA76" s="256">
        <v>67.770000000000437</v>
      </c>
      <c r="AB76" s="256">
        <v>51.75</v>
      </c>
      <c r="AC76" s="256" t="str">
        <v>0</v>
      </c>
      <c r="AD76" s="256" t="str">
        <v>0</v>
      </c>
      <c r="AE76" s="256">
        <v>39.729999999999563</v>
      </c>
      <c r="AF76" s="256" t="str">
        <v>0</v>
      </c>
      <c r="AG76" s="256">
        <f>SUM($B76:AF76)</f>
        <v>1133.4699999999998</v>
      </c>
      <c r="AH76" s="257"/>
      <c r="AI76" s="364"/>
      <c r="AJ76" s="364"/>
      <c r="AK76" s="364"/>
      <c r="AL76" s="364"/>
      <c r="AM76" s="364"/>
      <c r="AN76" s="364"/>
      <c r="AO76" s="364"/>
      <c r="AP76" s="364"/>
      <c r="AQ76" s="364"/>
      <c r="AR76" s="364"/>
      <c r="AS76" s="364"/>
      <c r="AT76" s="364"/>
      <c r="AU76" s="364"/>
      <c r="AV76" s="364"/>
      <c r="AW76" s="364"/>
      <c r="AX76" s="364"/>
      <c r="AY76" s="364"/>
      <c r="AZ76" s="364"/>
      <c r="BA76" s="364"/>
      <c r="BB76" s="364"/>
      <c r="BC76" s="364"/>
      <c r="BD76" s="364"/>
      <c r="BE76" s="364"/>
      <c r="BF76" s="364"/>
    </row>
    <row r="77" spans="1:58" x14ac:dyDescent="0.4">
      <c r="A77" s="231"/>
      <c r="B77" s="406"/>
      <c r="C77" s="406"/>
      <c r="D77" s="406"/>
      <c r="E77" s="406"/>
      <c r="F77" s="406"/>
      <c r="G77" s="406"/>
      <c r="H77" s="406"/>
      <c r="I77" s="406"/>
      <c r="J77" s="407"/>
      <c r="K77" s="407"/>
      <c r="L77" s="407"/>
      <c r="M77" s="407"/>
      <c r="N77" s="407"/>
      <c r="O77" s="407"/>
      <c r="P77" s="407"/>
      <c r="Q77" s="407"/>
      <c r="R77" s="407"/>
      <c r="S77" s="407"/>
      <c r="T77" s="407"/>
      <c r="U77" s="407"/>
      <c r="V77" s="407"/>
      <c r="W77" s="407"/>
      <c r="X77" s="407"/>
      <c r="Y77" s="407"/>
      <c r="Z77" s="407"/>
      <c r="AA77" s="407"/>
      <c r="AB77" s="407"/>
      <c r="AC77" s="407"/>
      <c r="AD77" s="407"/>
      <c r="AE77" s="407"/>
      <c r="AF77" s="407"/>
      <c r="AG77" s="402">
        <f>SUM($B77:AF77)</f>
        <v>0</v>
      </c>
      <c r="AH77" s="377"/>
    </row>
    <row r="78" spans="1:58" ht="35.450000000000003" hidden="1" customHeight="1" x14ac:dyDescent="0.5">
      <c r="A78" s="247" t="s">
        <v>249</v>
      </c>
      <c r="B78" s="491">
        <f>'Daily KPIs CO2'!B47</f>
        <v>0</v>
      </c>
      <c r="C78" s="491">
        <f>'Daily KPIs CO2'!C47</f>
        <v>0</v>
      </c>
      <c r="D78" s="491">
        <f>'Daily KPIs CO2'!D47</f>
        <v>0</v>
      </c>
      <c r="E78" s="491">
        <f>'Daily KPIs CO2'!E47</f>
        <v>0</v>
      </c>
      <c r="F78" s="491">
        <f>'Daily KPIs CO2'!F47</f>
        <v>0</v>
      </c>
      <c r="G78" s="491">
        <f>'Daily KPIs CO2'!G47</f>
        <v>0</v>
      </c>
      <c r="H78" s="491">
        <f>'Daily KPIs CO2'!H47</f>
        <v>0</v>
      </c>
      <c r="I78" s="491">
        <f>'Daily KPIs CO2'!I47</f>
        <v>0</v>
      </c>
      <c r="J78" s="495">
        <f>'Daily KPIs CO2'!J47</f>
        <v>0</v>
      </c>
      <c r="K78" s="495">
        <f>'Daily KPIs CO2'!K47</f>
        <v>0</v>
      </c>
      <c r="L78" s="495" t="s">
        <v>255</v>
      </c>
      <c r="M78" s="495">
        <f>'Daily KPIs CO2'!M47</f>
        <v>0</v>
      </c>
      <c r="N78" s="495"/>
      <c r="O78" s="495">
        <f>'Daily KPIs CO2'!O47</f>
        <v>0</v>
      </c>
      <c r="P78" s="495">
        <f>'Daily KPIs CO2'!P47</f>
        <v>0</v>
      </c>
      <c r="Q78" s="495">
        <f>'Daily KPIs CO2'!Q47</f>
        <v>0</v>
      </c>
      <c r="R78" s="495">
        <f>'Daily KPIs CO2'!R47</f>
        <v>0</v>
      </c>
      <c r="S78" s="495">
        <f>'Daily KPIs CO2'!S47</f>
        <v>73.150000000000091</v>
      </c>
      <c r="T78" s="495">
        <f>'Daily KPIs CO2'!T47</f>
        <v>358</v>
      </c>
      <c r="U78" s="495">
        <f>'Daily KPIs CO2'!U47</f>
        <v>146</v>
      </c>
      <c r="V78" s="495">
        <f>'Daily KPIs CO2'!V47</f>
        <v>223</v>
      </c>
      <c r="W78" s="495">
        <f>'Daily KPIs CO2'!W47</f>
        <v>143</v>
      </c>
      <c r="X78" s="495">
        <f>'Daily KPIs CO2'!X47</f>
        <v>267</v>
      </c>
      <c r="Y78" s="495">
        <f>'Daily KPIs CO2'!Y47</f>
        <v>0</v>
      </c>
      <c r="Z78" s="495">
        <f>'Daily KPIs CO2'!Z47</f>
        <v>105</v>
      </c>
      <c r="AA78" s="495">
        <f>'Daily KPIs CO2'!AA47</f>
        <v>0</v>
      </c>
      <c r="AB78" s="495">
        <f>'Daily KPIs CO2'!AB47</f>
        <v>10</v>
      </c>
      <c r="AC78" s="491">
        <f>'Daily KPIs CO2'!AC47</f>
        <v>150</v>
      </c>
      <c r="AD78" s="495">
        <f>'Daily KPIs CO2'!AF47</f>
        <v>128</v>
      </c>
      <c r="AE78" s="491">
        <f>'Daily KPIs CO2'!AG47</f>
        <v>1641.15</v>
      </c>
      <c r="AF78" s="495">
        <f>'Daily KPIs CO2'!AH47</f>
        <v>0</v>
      </c>
      <c r="AG78" s="496"/>
      <c r="AH78" s="377"/>
      <c r="AK78" s="261"/>
    </row>
    <row r="79" spans="1:58" s="243" customFormat="1" ht="32.450000000000003" customHeight="1" x14ac:dyDescent="0.4">
      <c r="A79" s="242" t="s">
        <v>136</v>
      </c>
      <c r="B79" s="497" cm="1">
        <f t="array" ref="B79:AF79">TRANSPOSE('Elec.June''25'!D7:D37)</f>
        <v>5785</v>
      </c>
      <c r="C79" s="497">
        <v>9004</v>
      </c>
      <c r="D79" s="497">
        <v>8987</v>
      </c>
      <c r="E79" s="497">
        <v>9013</v>
      </c>
      <c r="F79" s="497">
        <v>9609</v>
      </c>
      <c r="G79" s="497">
        <v>9086</v>
      </c>
      <c r="H79" s="497">
        <v>4198</v>
      </c>
      <c r="I79" s="497">
        <v>5365</v>
      </c>
      <c r="J79" s="497">
        <v>4505</v>
      </c>
      <c r="K79" s="498">
        <v>8188</v>
      </c>
      <c r="L79" s="498">
        <v>8791</v>
      </c>
      <c r="M79" s="498">
        <v>8463</v>
      </c>
      <c r="N79" s="498">
        <v>8406</v>
      </c>
      <c r="O79" s="498">
        <v>5577</v>
      </c>
      <c r="P79" s="498">
        <v>5267</v>
      </c>
      <c r="Q79" s="498">
        <v>8328</v>
      </c>
      <c r="R79" s="498">
        <v>9244</v>
      </c>
      <c r="S79" s="498">
        <v>8232</v>
      </c>
      <c r="T79" s="498">
        <v>4708</v>
      </c>
      <c r="U79" s="498">
        <v>7111</v>
      </c>
      <c r="V79" s="498">
        <v>4606</v>
      </c>
      <c r="W79" s="498">
        <v>4876</v>
      </c>
      <c r="X79" s="498">
        <v>7892</v>
      </c>
      <c r="Y79" s="498">
        <v>8542</v>
      </c>
      <c r="Z79" s="498">
        <v>9522</v>
      </c>
      <c r="AA79" s="498">
        <v>9213</v>
      </c>
      <c r="AB79" s="498">
        <v>9215</v>
      </c>
      <c r="AC79" s="498">
        <v>5934</v>
      </c>
      <c r="AD79" s="498">
        <v>5694</v>
      </c>
      <c r="AE79" s="498">
        <v>8694</v>
      </c>
      <c r="AF79" s="498">
        <v>0</v>
      </c>
      <c r="AG79" s="488">
        <f>SUM(B79:AF79)</f>
        <v>222055</v>
      </c>
      <c r="AH79" s="488"/>
      <c r="AI79" s="499"/>
      <c r="AJ79" s="499"/>
      <c r="AK79" s="499"/>
      <c r="AL79" s="499"/>
      <c r="AM79" s="499"/>
      <c r="AN79" s="499"/>
      <c r="AO79" s="499"/>
      <c r="AP79" s="499"/>
      <c r="AQ79" s="499"/>
      <c r="AR79" s="499"/>
      <c r="AS79" s="499"/>
      <c r="AT79" s="499"/>
      <c r="AU79" s="499"/>
      <c r="AV79" s="499"/>
      <c r="AW79" s="499"/>
      <c r="AX79" s="499"/>
      <c r="AY79" s="499"/>
      <c r="AZ79" s="499"/>
      <c r="BA79" s="499"/>
      <c r="BB79" s="499"/>
      <c r="BC79" s="499"/>
      <c r="BD79" s="499"/>
      <c r="BE79" s="499"/>
      <c r="BF79" s="499"/>
    </row>
    <row r="80" spans="1:58" s="243" customFormat="1" hidden="1" x14ac:dyDescent="0.4">
      <c r="A80" s="242"/>
      <c r="B80" s="497"/>
      <c r="C80" s="497"/>
      <c r="D80" s="497" t="s">
        <v>61</v>
      </c>
      <c r="E80" s="497"/>
      <c r="F80" s="497"/>
      <c r="G80" s="497"/>
      <c r="H80" s="497"/>
      <c r="I80" s="497"/>
      <c r="J80" s="498"/>
      <c r="K80" s="498"/>
      <c r="L80" s="498"/>
      <c r="M80" s="498"/>
      <c r="N80" s="498"/>
      <c r="O80" s="498"/>
      <c r="P80" s="500"/>
      <c r="Q80" s="498"/>
      <c r="R80" s="498"/>
      <c r="S80" s="498"/>
      <c r="T80" s="498"/>
      <c r="U80" s="498"/>
      <c r="V80" s="498"/>
      <c r="W80" s="498"/>
      <c r="X80" s="498"/>
      <c r="Y80" s="498"/>
      <c r="Z80" s="498"/>
      <c r="AA80" s="498"/>
      <c r="AB80" s="498"/>
      <c r="AC80" s="498"/>
      <c r="AD80" s="498"/>
      <c r="AE80" s="498"/>
      <c r="AF80" s="498"/>
      <c r="AG80" s="488"/>
      <c r="AH80" s="488"/>
      <c r="AI80" s="499"/>
      <c r="AJ80" s="499"/>
      <c r="AK80" s="499"/>
      <c r="AL80" s="499"/>
      <c r="AM80" s="499"/>
      <c r="AN80" s="499"/>
      <c r="AO80" s="499"/>
      <c r="AP80" s="499"/>
      <c r="AQ80" s="499"/>
      <c r="AR80" s="499"/>
      <c r="AS80" s="499"/>
      <c r="AT80" s="499"/>
      <c r="AU80" s="499"/>
      <c r="AV80" s="499"/>
      <c r="AW80" s="499"/>
      <c r="AX80" s="499"/>
      <c r="AY80" s="499"/>
      <c r="AZ80" s="499"/>
      <c r="BA80" s="499"/>
      <c r="BB80" s="499"/>
      <c r="BC80" s="499"/>
      <c r="BD80" s="499"/>
      <c r="BE80" s="499"/>
      <c r="BF80" s="499"/>
    </row>
    <row r="81" spans="1:58" s="243" customFormat="1" hidden="1" x14ac:dyDescent="0.4">
      <c r="A81" s="242"/>
      <c r="B81" s="499"/>
      <c r="C81" s="499"/>
      <c r="D81" s="499"/>
      <c r="E81" s="499"/>
      <c r="F81" s="499"/>
      <c r="G81" s="499"/>
      <c r="H81" s="499"/>
      <c r="I81" s="499"/>
      <c r="J81" s="501"/>
      <c r="K81" s="501"/>
      <c r="L81" s="501"/>
      <c r="M81" s="501"/>
      <c r="N81" s="501"/>
      <c r="O81" s="501"/>
      <c r="P81" s="501"/>
      <c r="Q81" s="501"/>
      <c r="R81" s="501"/>
      <c r="S81" s="501"/>
      <c r="T81" s="501"/>
      <c r="U81" s="501"/>
      <c r="V81" s="501"/>
      <c r="W81" s="501"/>
      <c r="X81" s="501"/>
      <c r="Y81" s="502"/>
      <c r="Z81" s="502"/>
      <c r="AA81" s="501"/>
      <c r="AB81" s="501"/>
      <c r="AC81" s="501"/>
      <c r="AD81" s="501"/>
      <c r="AE81" s="501"/>
      <c r="AF81" s="501"/>
      <c r="AG81" s="488"/>
      <c r="AH81" s="488"/>
      <c r="AI81" s="499"/>
      <c r="AJ81" s="499"/>
      <c r="AK81" s="499"/>
      <c r="AL81" s="499"/>
      <c r="AM81" s="499"/>
      <c r="AN81" s="499"/>
      <c r="AO81" s="499"/>
      <c r="AP81" s="499"/>
      <c r="AQ81" s="499"/>
      <c r="AR81" s="499"/>
      <c r="AS81" s="499"/>
      <c r="AT81" s="499"/>
      <c r="AU81" s="499"/>
      <c r="AV81" s="499"/>
      <c r="AW81" s="499"/>
      <c r="AX81" s="499"/>
      <c r="AY81" s="499"/>
      <c r="AZ81" s="499"/>
      <c r="BA81" s="499"/>
      <c r="BB81" s="499"/>
      <c r="BC81" s="499"/>
      <c r="BD81" s="499"/>
      <c r="BE81" s="499"/>
      <c r="BF81" s="499"/>
    </row>
    <row r="82" spans="1:58" s="243" customFormat="1" x14ac:dyDescent="0.4">
      <c r="A82" s="242" t="s">
        <v>137</v>
      </c>
      <c r="B82" s="503">
        <f>+'Fuel '!$K7</f>
        <v>730</v>
      </c>
      <c r="C82" s="503">
        <f>+'Fuel '!$K8</f>
        <v>3280</v>
      </c>
      <c r="D82" s="503">
        <f>+'Fuel '!$K9</f>
        <v>3380</v>
      </c>
      <c r="E82" s="503">
        <f>+'Fuel '!$K10</f>
        <v>3130</v>
      </c>
      <c r="F82" s="503">
        <f>+'Fuel '!$K11</f>
        <v>3510</v>
      </c>
      <c r="G82" s="503">
        <f>+'Fuel '!$K12</f>
        <v>2660</v>
      </c>
      <c r="H82" s="503">
        <f>+'Fuel '!$K13</f>
        <v>300</v>
      </c>
      <c r="I82" s="503">
        <f>+'Fuel '!$K14</f>
        <v>0</v>
      </c>
      <c r="J82" s="504">
        <f>+'Fuel '!$K15</f>
        <v>830</v>
      </c>
      <c r="K82" s="504">
        <f>+'Fuel '!$K16</f>
        <v>2900</v>
      </c>
      <c r="L82" s="504">
        <f>+'Fuel '!$K17</f>
        <v>3400</v>
      </c>
      <c r="M82" s="504">
        <f>+'Fuel '!$K18</f>
        <v>2940</v>
      </c>
      <c r="N82" s="504">
        <f>+'Fuel '!$K19</f>
        <v>3020</v>
      </c>
      <c r="O82" s="504">
        <f>+'Fuel '!$K20</f>
        <v>1020</v>
      </c>
      <c r="P82" s="504">
        <f>+'Fuel '!$K21</f>
        <v>690</v>
      </c>
      <c r="Q82" s="504">
        <f>+'Fuel '!$K22</f>
        <v>3680</v>
      </c>
      <c r="R82" s="504">
        <f>+'Fuel '!$K23</f>
        <v>3620</v>
      </c>
      <c r="S82" s="504">
        <f>+'Fuel '!$K24</f>
        <v>3050</v>
      </c>
      <c r="T82" s="504">
        <f>+'Fuel '!$K25</f>
        <v>700</v>
      </c>
      <c r="U82" s="504">
        <f>+'Fuel '!$K26</f>
        <v>2320</v>
      </c>
      <c r="V82" s="504">
        <f>+'Fuel '!$K27</f>
        <v>270</v>
      </c>
      <c r="W82" s="504">
        <f>+'Fuel '!$K28</f>
        <v>0</v>
      </c>
      <c r="X82" s="504">
        <f>+'Fuel '!$K29</f>
        <v>3250</v>
      </c>
      <c r="Y82" s="504">
        <f>+'Fuel '!$K30</f>
        <v>3520</v>
      </c>
      <c r="Z82" s="504">
        <f>+'Fuel '!$K31</f>
        <v>3930</v>
      </c>
      <c r="AA82" s="504">
        <f>+'Fuel '!$K32</f>
        <v>3420</v>
      </c>
      <c r="AB82" s="504">
        <f>+'Fuel '!$K33</f>
        <v>3240</v>
      </c>
      <c r="AC82" s="504">
        <f>+'Fuel '!$K34</f>
        <v>1880</v>
      </c>
      <c r="AD82" s="504">
        <f>+'Fuel '!$K35</f>
        <v>1480</v>
      </c>
      <c r="AE82" s="504">
        <f>+'Fuel '!$K36</f>
        <v>3330</v>
      </c>
      <c r="AF82" s="504">
        <f>+'Fuel '!$K37</f>
        <v>0</v>
      </c>
      <c r="AG82" s="505">
        <f>SUM($B82:AF82)</f>
        <v>69480</v>
      </c>
      <c r="AH82" s="489"/>
      <c r="AI82" s="499"/>
      <c r="AJ82" s="499"/>
      <c r="AK82" s="499"/>
      <c r="AL82" s="499"/>
      <c r="AM82" s="499"/>
      <c r="AN82" s="499"/>
      <c r="AO82" s="499"/>
      <c r="AP82" s="499"/>
      <c r="AQ82" s="499"/>
      <c r="AR82" s="499"/>
      <c r="AS82" s="499"/>
      <c r="AT82" s="499"/>
      <c r="AU82" s="499"/>
      <c r="AV82" s="499"/>
      <c r="AW82" s="499"/>
      <c r="AX82" s="499"/>
      <c r="AY82" s="499"/>
      <c r="AZ82" s="499"/>
      <c r="BA82" s="499"/>
      <c r="BB82" s="499"/>
      <c r="BC82" s="499"/>
      <c r="BD82" s="499"/>
      <c r="BE82" s="499"/>
      <c r="BF82" s="499"/>
    </row>
    <row r="83" spans="1:58" s="251" customFormat="1" x14ac:dyDescent="0.4">
      <c r="A83" s="250" t="s">
        <v>252</v>
      </c>
      <c r="B83" s="492">
        <f>'Steam Mass Flow '!B5</f>
        <v>28.524000000208616</v>
      </c>
      <c r="C83" s="492" t="str">
        <f>'Steam Mass Flow '!B6</f>
        <v>0</v>
      </c>
      <c r="D83" s="492">
        <f>'Steam Mass Flow '!B7</f>
        <v>108.05499999970198</v>
      </c>
      <c r="E83" s="492">
        <f>'Steam Mass Flow '!B8</f>
        <v>3.8179999999701977</v>
      </c>
      <c r="F83" s="492" t="str">
        <f>'Steam Mass Flow '!B9</f>
        <v>0</v>
      </c>
      <c r="G83" s="492" t="str">
        <f>'Steam Mass Flow '!B10</f>
        <v>0</v>
      </c>
      <c r="H83" s="492" t="str">
        <f>'Steam Mass Flow '!B11</f>
        <v>0</v>
      </c>
      <c r="I83" s="492" t="str">
        <f>'Steam Mass Flow '!B12</f>
        <v>0</v>
      </c>
      <c r="J83" s="492" t="str">
        <f>'Steam Mass Flow '!B13</f>
        <v>0</v>
      </c>
      <c r="K83" s="492">
        <f>'Steam Mass Flow '!B14</f>
        <v>2.894000000320375</v>
      </c>
      <c r="L83" s="492" t="str">
        <f>'Steam Mass Flow '!B15</f>
        <v>0</v>
      </c>
      <c r="M83" s="492" t="str">
        <f>'Steam Mass Flow '!B16</f>
        <v>0</v>
      </c>
      <c r="N83" s="492" t="str">
        <f>'Steam Mass Flow '!B17</f>
        <v>0</v>
      </c>
      <c r="O83" s="492">
        <f>'Steam Mass Flow '!B18</f>
        <v>2.0829999996349216</v>
      </c>
      <c r="P83" s="492" t="str">
        <f>'Steam Mass Flow '!B19</f>
        <v>0</v>
      </c>
      <c r="Q83" s="492">
        <f>'Steam Mass Flow '!B20</f>
        <v>30.242999999783933</v>
      </c>
      <c r="R83" s="492" t="str">
        <f>'Steam Mass Flow '!B21</f>
        <v>0</v>
      </c>
      <c r="S83" s="492">
        <f>'Steam Mass Flow '!B22</f>
        <v>3.5720000006258488</v>
      </c>
      <c r="T83" s="492" t="str">
        <f>'Steam Mass Flow '!B23</f>
        <v>0</v>
      </c>
      <c r="U83" s="492" t="str">
        <f>'Steam Mass Flow '!B24</f>
        <v>0</v>
      </c>
      <c r="V83" s="492" t="str">
        <f>'Steam Mass Flow '!B25</f>
        <v>0</v>
      </c>
      <c r="W83" s="492" t="str">
        <f>'Steam Mass Flow '!B26</f>
        <v>0</v>
      </c>
      <c r="X83" s="492">
        <f>'Steam Mass Flow '!B27</f>
        <v>600.73300000000745</v>
      </c>
      <c r="Y83" s="492">
        <f>'Steam Mass Flow '!B28</f>
        <v>56.565999999642372</v>
      </c>
      <c r="Z83" s="492" t="str">
        <f>'Steam Mass Flow '!B29</f>
        <v>0</v>
      </c>
      <c r="AA83" s="492" t="str">
        <f>'Steam Mass Flow '!B30</f>
        <v>0</v>
      </c>
      <c r="AB83" s="492">
        <f>'Steam Mass Flow '!B31</f>
        <v>3.4589999997988343</v>
      </c>
      <c r="AC83" s="492" t="str">
        <f>'Steam Mass Flow '!B32</f>
        <v>0</v>
      </c>
      <c r="AD83" s="492" t="str">
        <f>'Steam Mass Flow '!B33</f>
        <v>0</v>
      </c>
      <c r="AE83" s="492">
        <f>'Steam Mass Flow '!B34</f>
        <v>1.2320000007748604</v>
      </c>
      <c r="AF83" s="492">
        <f>'Steam Mass Flow '!B35</f>
        <v>0</v>
      </c>
      <c r="AG83" s="506">
        <f>SUM($B83:AF83)</f>
        <v>841.17900000046939</v>
      </c>
      <c r="AH83" s="492"/>
      <c r="AI83" s="507"/>
      <c r="AJ83" s="507"/>
      <c r="AK83" s="507"/>
      <c r="AL83" s="507"/>
      <c r="AM83" s="507"/>
      <c r="AN83" s="507"/>
      <c r="AO83" s="507"/>
      <c r="AP83" s="507"/>
      <c r="AQ83" s="507"/>
      <c r="AR83" s="507"/>
      <c r="AS83" s="507"/>
      <c r="AT83" s="507"/>
      <c r="AU83" s="507"/>
      <c r="AV83" s="507"/>
      <c r="AW83" s="507"/>
      <c r="AX83" s="507"/>
      <c r="AY83" s="507"/>
      <c r="AZ83" s="507"/>
      <c r="BA83" s="507"/>
      <c r="BB83" s="507"/>
      <c r="BC83" s="507"/>
      <c r="BD83" s="507"/>
      <c r="BE83" s="507"/>
      <c r="BF83" s="507"/>
    </row>
    <row r="84" spans="1:58" x14ac:dyDescent="0.4">
      <c r="A84" s="181"/>
      <c r="B84" s="365"/>
      <c r="C84" s="365"/>
      <c r="D84" s="365"/>
      <c r="E84" s="365"/>
      <c r="F84" s="365"/>
      <c r="G84" s="365"/>
      <c r="H84" s="365"/>
      <c r="I84" s="365"/>
      <c r="J84" s="387"/>
      <c r="K84" s="387"/>
      <c r="L84" s="387"/>
      <c r="M84" s="387"/>
      <c r="N84" s="387"/>
      <c r="O84" s="387"/>
      <c r="P84" s="387"/>
      <c r="Q84" s="387"/>
      <c r="R84" s="387"/>
      <c r="S84" s="387"/>
      <c r="T84" s="387"/>
      <c r="U84" s="387"/>
      <c r="V84" s="387"/>
      <c r="W84" s="387"/>
      <c r="X84" s="387"/>
      <c r="Y84" s="387"/>
      <c r="Z84" s="387"/>
      <c r="AA84" s="387"/>
      <c r="AB84" s="387"/>
      <c r="AC84" s="387"/>
      <c r="AD84" s="387"/>
      <c r="AE84" s="387"/>
      <c r="AG84" s="377"/>
      <c r="AH84" s="377"/>
    </row>
    <row r="85" spans="1:58" hidden="1" x14ac:dyDescent="0.35">
      <c r="B85" s="365"/>
      <c r="C85" s="365"/>
      <c r="D85" s="365"/>
      <c r="E85" s="365"/>
      <c r="F85" s="365"/>
      <c r="G85" s="365"/>
      <c r="H85" s="365"/>
      <c r="I85" s="365"/>
      <c r="J85" s="387"/>
      <c r="K85" s="387"/>
      <c r="L85" s="387"/>
      <c r="M85" s="387"/>
      <c r="N85" s="387"/>
      <c r="O85" s="387"/>
      <c r="P85" s="387"/>
      <c r="Q85" s="387"/>
      <c r="R85" s="387"/>
      <c r="S85" s="387"/>
      <c r="T85" s="387"/>
      <c r="U85" s="387"/>
      <c r="V85" s="387"/>
      <c r="W85" s="387"/>
      <c r="X85" s="387"/>
      <c r="Y85" s="387"/>
      <c r="Z85" s="387"/>
      <c r="AA85" s="387"/>
      <c r="AB85" s="387"/>
      <c r="AC85" s="387"/>
      <c r="AD85" s="387"/>
      <c r="AE85" s="387"/>
      <c r="AG85" s="377"/>
      <c r="AH85" s="377"/>
    </row>
    <row r="86" spans="1:58" ht="27.75" customHeight="1" x14ac:dyDescent="0.4">
      <c r="A86" s="181" t="s">
        <v>234</v>
      </c>
      <c r="M86" s="367"/>
    </row>
    <row r="87" spans="1:58" s="193" customFormat="1" x14ac:dyDescent="0.4">
      <c r="A87" s="192" t="s">
        <v>127</v>
      </c>
      <c r="B87" s="392">
        <v>1</v>
      </c>
      <c r="C87" s="392">
        <v>2</v>
      </c>
      <c r="D87" s="392">
        <v>3</v>
      </c>
      <c r="E87" s="392">
        <v>4</v>
      </c>
      <c r="F87" s="392">
        <v>5</v>
      </c>
      <c r="G87" s="392">
        <v>6</v>
      </c>
      <c r="H87" s="392">
        <v>7</v>
      </c>
      <c r="I87" s="392">
        <v>8</v>
      </c>
      <c r="J87" s="392">
        <v>9</v>
      </c>
      <c r="K87" s="392">
        <v>10</v>
      </c>
      <c r="L87" s="392">
        <v>11</v>
      </c>
      <c r="M87" s="392">
        <v>12</v>
      </c>
      <c r="N87" s="392">
        <v>13</v>
      </c>
      <c r="O87" s="392">
        <v>14</v>
      </c>
      <c r="P87" s="392">
        <v>15</v>
      </c>
      <c r="Q87" s="392">
        <v>16</v>
      </c>
      <c r="R87" s="392">
        <v>17</v>
      </c>
      <c r="S87" s="392">
        <v>18</v>
      </c>
      <c r="T87" s="392">
        <v>19</v>
      </c>
      <c r="U87" s="392">
        <v>20</v>
      </c>
      <c r="V87" s="392">
        <v>21</v>
      </c>
      <c r="W87" s="392">
        <v>22</v>
      </c>
      <c r="X87" s="392">
        <v>23</v>
      </c>
      <c r="Y87" s="392">
        <v>24</v>
      </c>
      <c r="Z87" s="392">
        <v>25</v>
      </c>
      <c r="AA87" s="392">
        <v>26</v>
      </c>
      <c r="AB87" s="392">
        <v>27</v>
      </c>
      <c r="AC87" s="392">
        <v>28</v>
      </c>
      <c r="AD87" s="392">
        <v>29</v>
      </c>
      <c r="AE87" s="392">
        <v>30</v>
      </c>
      <c r="AF87" s="392">
        <v>31</v>
      </c>
      <c r="AG87" s="646" t="s">
        <v>89</v>
      </c>
      <c r="AH87" s="646" t="s">
        <v>157</v>
      </c>
      <c r="AI87" s="646" t="s">
        <v>215</v>
      </c>
      <c r="AJ87" s="647" t="s">
        <v>267</v>
      </c>
      <c r="AK87" s="366"/>
      <c r="AL87" s="392"/>
      <c r="AM87" s="392"/>
      <c r="AN87" s="392"/>
      <c r="AO87" s="392"/>
      <c r="AP87" s="392"/>
      <c r="AQ87" s="392"/>
      <c r="AR87" s="392"/>
      <c r="AS87" s="392"/>
      <c r="AT87" s="392"/>
      <c r="AU87" s="392"/>
      <c r="AV87" s="392"/>
      <c r="AW87" s="392"/>
      <c r="AX87" s="392"/>
      <c r="AY87" s="392"/>
      <c r="AZ87" s="392"/>
      <c r="BA87" s="392"/>
      <c r="BB87" s="392"/>
      <c r="BC87" s="392"/>
      <c r="BD87" s="392"/>
      <c r="BE87" s="392"/>
      <c r="BF87" s="392"/>
    </row>
    <row r="88" spans="1:58" s="236" customFormat="1" x14ac:dyDescent="0.4">
      <c r="A88" s="235" t="s">
        <v>141</v>
      </c>
      <c r="B88" s="508" t="str">
        <f t="shared" ref="B88:H88" si="41">IF(B$9=0,"",+(B22*10)/B$9)</f>
        <v/>
      </c>
      <c r="C88" s="508">
        <f>IF(C$9=0,"",+(C22*10)/C$9)</f>
        <v>9.9867165695211551</v>
      </c>
      <c r="D88" s="508">
        <f>IF(D$9=0,"",+(D22*10)/D$9)</f>
        <v>6.5141123591323202</v>
      </c>
      <c r="E88" s="508">
        <f t="shared" si="41"/>
        <v>9.2610718749529415</v>
      </c>
      <c r="F88" s="508">
        <f t="shared" si="41"/>
        <v>8.1154447183155316</v>
      </c>
      <c r="G88" s="508">
        <f t="shared" si="41"/>
        <v>19.323012571324647</v>
      </c>
      <c r="H88" s="508" t="str">
        <f t="shared" si="41"/>
        <v/>
      </c>
      <c r="I88" s="508" t="str">
        <f t="shared" ref="I88:AE88" si="42">IF(I$9=0,"",+(I22*10)/I$9)</f>
        <v/>
      </c>
      <c r="J88" s="508" t="str">
        <f t="shared" si="42"/>
        <v/>
      </c>
      <c r="K88" s="508">
        <f t="shared" si="42"/>
        <v>7.3425653536150772</v>
      </c>
      <c r="L88" s="508">
        <f t="shared" si="42"/>
        <v>10.000168070051597</v>
      </c>
      <c r="M88" s="508">
        <f t="shared" si="42"/>
        <v>8.6218565534937639</v>
      </c>
      <c r="N88" s="508">
        <f t="shared" si="42"/>
        <v>8.4067098178708175</v>
      </c>
      <c r="O88" s="508" t="str">
        <f t="shared" si="42"/>
        <v/>
      </c>
      <c r="P88" s="508" t="str">
        <f t="shared" si="42"/>
        <v/>
      </c>
      <c r="Q88" s="508">
        <f>IF(Q$9=0,"",+(Q22*10)/Q$9)</f>
        <v>8.9860715890369924</v>
      </c>
      <c r="R88" s="508">
        <f t="shared" si="42"/>
        <v>9.1596061369361106</v>
      </c>
      <c r="S88" s="508">
        <f>IF(S$9=0,"",+(S22*10)/S$9)</f>
        <v>8.1963027956110821</v>
      </c>
      <c r="T88" s="508" t="str">
        <f t="shared" si="42"/>
        <v/>
      </c>
      <c r="U88" s="508">
        <f t="shared" si="42"/>
        <v>12.985561370749283</v>
      </c>
      <c r="V88" s="508" t="str">
        <f>IF(V$9=0,"",+(V22*10)/V$9)</f>
        <v/>
      </c>
      <c r="W88" s="508" t="str">
        <f t="shared" si="42"/>
        <v/>
      </c>
      <c r="X88" s="508">
        <f t="shared" si="42"/>
        <v>6.6195939982347749</v>
      </c>
      <c r="Y88" s="508">
        <f>IF(Y$9=0,"",+(Y22*10)/Y$9)</f>
        <v>9.6260523396201787</v>
      </c>
      <c r="Z88" s="508">
        <f t="shared" si="42"/>
        <v>7.8697421981004059</v>
      </c>
      <c r="AA88" s="508">
        <f t="shared" si="42"/>
        <v>8.9495405522493563</v>
      </c>
      <c r="AB88" s="508">
        <f t="shared" si="42"/>
        <v>9.4728048453023845</v>
      </c>
      <c r="AC88" s="508" t="str">
        <f>IF(AC$9=0,"",+(AC22*10)/AC$9)</f>
        <v/>
      </c>
      <c r="AD88" s="508">
        <f>IF(AD$9=0,"",+(AD22*10)/AD$9)</f>
        <v>59.917355371900818</v>
      </c>
      <c r="AE88" s="508">
        <f t="shared" si="42"/>
        <v>11.874917535294895</v>
      </c>
      <c r="AF88" s="509" t="str">
        <f>IF(AF$9=0,"",+(AF22*10)/AF$9)</f>
        <v/>
      </c>
      <c r="AG88" s="768">
        <f>IF(AG$9=0,"0",+(AG22*10)/AG$9)</f>
        <v>10.100492343377047</v>
      </c>
      <c r="AH88" s="648">
        <v>10.199999999999999</v>
      </c>
      <c r="AI88" s="649">
        <f>+AH88-AG88</f>
        <v>9.9507656622952467E-2</v>
      </c>
      <c r="AJ88" s="655">
        <f>AG88/AH88*100</f>
        <v>99.024434738990664</v>
      </c>
      <c r="AK88" s="511"/>
      <c r="AL88" s="510"/>
      <c r="AM88" s="510"/>
      <c r="AN88" s="510"/>
      <c r="AO88" s="510"/>
      <c r="AP88" s="510"/>
      <c r="AQ88" s="510"/>
      <c r="AR88" s="510"/>
      <c r="AS88" s="510"/>
      <c r="AT88" s="510"/>
      <c r="AU88" s="510"/>
      <c r="AV88" s="510"/>
      <c r="AW88" s="510"/>
      <c r="AX88" s="510"/>
      <c r="AY88" s="510"/>
      <c r="AZ88" s="510"/>
      <c r="BA88" s="510"/>
      <c r="BB88" s="510"/>
      <c r="BC88" s="510"/>
      <c r="BD88" s="510"/>
      <c r="BE88" s="510"/>
      <c r="BF88" s="510"/>
    </row>
    <row r="89" spans="1:58" s="237" customFormat="1" hidden="1" x14ac:dyDescent="0.35">
      <c r="A89" s="238"/>
      <c r="B89" s="511"/>
      <c r="C89" s="511"/>
      <c r="D89" s="511"/>
      <c r="E89" s="511"/>
      <c r="F89" s="511"/>
      <c r="G89" s="511"/>
      <c r="H89" s="511"/>
      <c r="I89" s="511"/>
      <c r="J89" s="511"/>
      <c r="K89" s="511"/>
      <c r="L89" s="511"/>
      <c r="M89" s="511"/>
      <c r="N89" s="511"/>
      <c r="O89" s="511"/>
      <c r="P89" s="511"/>
      <c r="Q89" s="511"/>
      <c r="R89" s="511"/>
      <c r="S89" s="511"/>
      <c r="T89" s="511"/>
      <c r="U89" s="511"/>
      <c r="V89" s="511"/>
      <c r="W89" s="511"/>
      <c r="X89" s="511"/>
      <c r="Y89" s="511"/>
      <c r="Z89" s="511"/>
      <c r="AA89" s="511"/>
      <c r="AB89" s="511"/>
      <c r="AC89" s="511"/>
      <c r="AD89" s="511"/>
      <c r="AE89" s="511"/>
      <c r="AF89" s="512"/>
      <c r="AG89" s="768">
        <f t="shared" ref="AG89" si="43">IF(AG$9=0,"0",+(AG23*10)/AG$9)</f>
        <v>0</v>
      </c>
      <c r="AH89" s="650"/>
      <c r="AI89" s="651"/>
      <c r="AJ89" s="655" t="e">
        <f t="shared" ref="AJ89:AJ94" si="44">AG89/AH89*100</f>
        <v>#DIV/0!</v>
      </c>
      <c r="AK89" s="511"/>
      <c r="AL89" s="511"/>
      <c r="AM89" s="511"/>
      <c r="AN89" s="511"/>
      <c r="AO89" s="511"/>
      <c r="AP89" s="511"/>
      <c r="AQ89" s="511"/>
      <c r="AR89" s="511"/>
      <c r="AS89" s="511"/>
      <c r="AT89" s="511"/>
      <c r="AU89" s="511"/>
      <c r="AV89" s="511"/>
      <c r="AW89" s="511"/>
      <c r="AX89" s="511"/>
      <c r="AY89" s="511"/>
      <c r="AZ89" s="511"/>
      <c r="BA89" s="511"/>
      <c r="BB89" s="511"/>
      <c r="BC89" s="511"/>
      <c r="BD89" s="511"/>
      <c r="BE89" s="511"/>
      <c r="BF89" s="511"/>
    </row>
    <row r="90" spans="1:58" s="236" customFormat="1" ht="29.25" x14ac:dyDescent="0.5">
      <c r="A90" s="236" t="s">
        <v>238</v>
      </c>
      <c r="B90" s="513" t="str">
        <f t="shared" ref="B90:H90" si="45">IF(B$9=0,"",+B74/B$9)</f>
        <v/>
      </c>
      <c r="C90" s="513">
        <f t="shared" si="45"/>
        <v>5.9261834588367295</v>
      </c>
      <c r="D90" s="513">
        <f>IF(D$9=0,"",+D74/D$9)</f>
        <v>4.808035312692903</v>
      </c>
      <c r="E90" s="513">
        <f t="shared" si="45"/>
        <v>6.2744389396700146</v>
      </c>
      <c r="F90" s="513">
        <f t="shared" si="45"/>
        <v>7.8536561790150303</v>
      </c>
      <c r="G90" s="513">
        <f>IF(G$9=0,"",+G74/G$9)</f>
        <v>12.124243182007621</v>
      </c>
      <c r="H90" s="513" t="str">
        <f t="shared" si="45"/>
        <v/>
      </c>
      <c r="I90" s="513" t="str">
        <f t="shared" ref="I90:AE90" si="46">IF(I$9=0,"",+I74/I$9)</f>
        <v/>
      </c>
      <c r="J90" s="513" t="str">
        <f t="shared" si="46"/>
        <v/>
      </c>
      <c r="K90" s="513">
        <f t="shared" si="46"/>
        <v>4.065915668125613</v>
      </c>
      <c r="L90" s="513">
        <f t="shared" si="46"/>
        <v>4.8320139834282925</v>
      </c>
      <c r="M90" s="513">
        <f t="shared" si="46"/>
        <v>7.3565328954724949</v>
      </c>
      <c r="N90" s="513">
        <f t="shared" si="46"/>
        <v>6.0742122961494349</v>
      </c>
      <c r="O90" s="513" t="str">
        <f t="shared" si="46"/>
        <v/>
      </c>
      <c r="P90" s="513" t="str">
        <f t="shared" si="46"/>
        <v/>
      </c>
      <c r="Q90" s="513">
        <f t="shared" si="46"/>
        <v>5.990714392691328</v>
      </c>
      <c r="R90" s="513">
        <f t="shared" si="46"/>
        <v>4.5434554250675152</v>
      </c>
      <c r="S90" s="513">
        <f t="shared" si="46"/>
        <v>7.1661663786763556</v>
      </c>
      <c r="T90" s="513" t="str">
        <f t="shared" si="46"/>
        <v/>
      </c>
      <c r="U90" s="513">
        <f t="shared" si="46"/>
        <v>6.8489247736019427</v>
      </c>
      <c r="V90" s="513" t="str">
        <f>IF(V$9=0,"",+V74/V$9)</f>
        <v/>
      </c>
      <c r="W90" s="513" t="str">
        <f t="shared" si="46"/>
        <v/>
      </c>
      <c r="X90" s="513">
        <f t="shared" si="46"/>
        <v>6.5145210776278732</v>
      </c>
      <c r="Y90" s="513">
        <f>IF(Y$9=0,"",+Y74/Y$9)</f>
        <v>4.8946028845526328</v>
      </c>
      <c r="Z90" s="513">
        <f t="shared" si="46"/>
        <v>3.7690336197798882</v>
      </c>
      <c r="AA90" s="513">
        <f t="shared" si="46"/>
        <v>7.2204361143413065</v>
      </c>
      <c r="AB90" s="513">
        <f t="shared" si="46"/>
        <v>5.2212310170958016</v>
      </c>
      <c r="AC90" s="513" t="str">
        <f>IF(AC$9=0,"",+AC74/AC$9)</f>
        <v/>
      </c>
      <c r="AD90" s="513">
        <f t="shared" si="46"/>
        <v>0</v>
      </c>
      <c r="AE90" s="513">
        <f t="shared" si="46"/>
        <v>7.330196009441293</v>
      </c>
      <c r="AF90" s="513" t="str">
        <f>IF(AF$9=0,"",+AF74/AF$9)</f>
        <v/>
      </c>
      <c r="AG90" s="768">
        <f>IF(AG$9=0,"0",+(AG74)/AG$9)</f>
        <v>6.0324533138086496</v>
      </c>
      <c r="AH90" s="652">
        <v>5</v>
      </c>
      <c r="AI90" s="649">
        <f>AH90-AG90</f>
        <v>-1.0324533138086496</v>
      </c>
      <c r="AJ90" s="655">
        <f t="shared" si="44"/>
        <v>120.649066276173</v>
      </c>
      <c r="AK90" s="511"/>
      <c r="AL90" s="510"/>
      <c r="AM90" s="510"/>
      <c r="AN90" s="510" t="s">
        <v>224</v>
      </c>
      <c r="AO90" s="510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</row>
    <row r="91" spans="1:58" s="236" customFormat="1" ht="29.25" x14ac:dyDescent="0.5">
      <c r="A91" s="236" t="s">
        <v>239</v>
      </c>
      <c r="B91" s="513" t="str">
        <f t="shared" ref="B91:AF91" si="47">IF(B$9=0,"",+B76/B$9)</f>
        <v/>
      </c>
      <c r="C91" s="513">
        <f t="shared" si="47"/>
        <v>0.13298794658182159</v>
      </c>
      <c r="D91" s="513">
        <f t="shared" si="47"/>
        <v>8.1891698229091606E-2</v>
      </c>
      <c r="E91" s="513">
        <f t="shared" si="47"/>
        <v>0.12473584612064058</v>
      </c>
      <c r="F91" s="513">
        <f t="shared" si="47"/>
        <v>0.12312116379101999</v>
      </c>
      <c r="G91" s="513">
        <f t="shared" si="47"/>
        <v>0.18269718944887658</v>
      </c>
      <c r="H91" s="513" t="str">
        <f t="shared" si="47"/>
        <v/>
      </c>
      <c r="I91" s="513" t="str">
        <f t="shared" ref="I91:AE91" si="48">IF(I$9=0,"",+I76/I$9)</f>
        <v/>
      </c>
      <c r="J91" s="513" t="str">
        <f t="shared" si="48"/>
        <v/>
      </c>
      <c r="K91" s="513">
        <f t="shared" si="48"/>
        <v>0.14161345100571629</v>
      </c>
      <c r="L91" s="513">
        <f t="shared" si="48"/>
        <v>0.15712448948721819</v>
      </c>
      <c r="M91" s="513">
        <f t="shared" si="48"/>
        <v>0.14407034022493345</v>
      </c>
      <c r="N91" s="513">
        <f t="shared" si="48"/>
        <v>0.15173382315781356</v>
      </c>
      <c r="O91" s="513" t="str">
        <f t="shared" si="48"/>
        <v/>
      </c>
      <c r="P91" s="513" t="str">
        <f t="shared" si="48"/>
        <v/>
      </c>
      <c r="Q91" s="513">
        <f t="shared" si="48"/>
        <v>0.16359642554041226</v>
      </c>
      <c r="R91" s="513">
        <f t="shared" si="48"/>
        <v>0.13294150573747565</v>
      </c>
      <c r="S91" s="513">
        <f t="shared" si="48"/>
        <v>0.21735878397322708</v>
      </c>
      <c r="T91" s="513" t="str">
        <f t="shared" si="48"/>
        <v/>
      </c>
      <c r="U91" s="513">
        <f t="shared" si="48"/>
        <v>0.12089722010362179</v>
      </c>
      <c r="V91" s="513" t="str">
        <f t="shared" si="48"/>
        <v/>
      </c>
      <c r="W91" s="513" t="str">
        <f t="shared" si="48"/>
        <v/>
      </c>
      <c r="X91" s="513">
        <f t="shared" si="48"/>
        <v>0.12478460051275513</v>
      </c>
      <c r="Y91" s="513">
        <f>IF(Y$9=0,"",+Y76/Y$9)</f>
        <v>0.12402379864691457</v>
      </c>
      <c r="Z91" s="513">
        <f t="shared" si="48"/>
        <v>0.10777928539122535</v>
      </c>
      <c r="AA91" s="513">
        <f t="shared" si="48"/>
        <v>0.12877077775497722</v>
      </c>
      <c r="AB91" s="513">
        <f t="shared" si="48"/>
        <v>0.12866605006414655</v>
      </c>
      <c r="AC91" s="513" t="str">
        <f>IF(AC$9=0,"",+AC76/AC$9)</f>
        <v/>
      </c>
      <c r="AD91" s="513">
        <f>IF(AD$9=0,"",+AD76/AD$9)</f>
        <v>0</v>
      </c>
      <c r="AE91" s="513">
        <f t="shared" si="48"/>
        <v>0.14561434372754967</v>
      </c>
      <c r="AF91" s="513" t="str">
        <f t="shared" si="47"/>
        <v/>
      </c>
      <c r="AG91" s="769">
        <f>IF(AG$9=0,"0",+(AG76)/AG$9)</f>
        <v>0.13486400113614769</v>
      </c>
      <c r="AH91" s="653">
        <v>1.7</v>
      </c>
      <c r="AI91" s="654">
        <f>AH91-AG91</f>
        <v>1.5651359988638522</v>
      </c>
      <c r="AJ91" s="655">
        <f t="shared" si="44"/>
        <v>7.9331765374204526</v>
      </c>
      <c r="AK91" s="645"/>
      <c r="AL91" s="644"/>
      <c r="AM91" s="644"/>
      <c r="AN91" s="644"/>
      <c r="AO91" s="644"/>
      <c r="AP91" s="644"/>
      <c r="AQ91" s="644"/>
      <c r="AR91" s="644"/>
      <c r="AS91" s="644"/>
      <c r="AT91" s="644"/>
      <c r="AU91" s="644"/>
      <c r="AV91" s="644"/>
      <c r="AW91" s="644"/>
      <c r="AX91" s="644"/>
      <c r="AY91" s="644"/>
      <c r="AZ91" s="644"/>
      <c r="BA91" s="644"/>
      <c r="BB91" s="644"/>
      <c r="BC91" s="644"/>
      <c r="BD91" s="644"/>
      <c r="BE91" s="644"/>
      <c r="BF91" s="644"/>
    </row>
    <row r="92" spans="1:58" s="236" customFormat="1" x14ac:dyDescent="0.4">
      <c r="A92" s="236" t="s">
        <v>202</v>
      </c>
      <c r="B92" s="508" t="str">
        <f t="shared" ref="B92:H92" si="49">IF(B$9=0,"",B79/B$9)</f>
        <v/>
      </c>
      <c r="C92" s="508">
        <f t="shared" si="49"/>
        <v>19.762724393839225</v>
      </c>
      <c r="D92" s="508">
        <f t="shared" si="49"/>
        <v>13.938649469410038</v>
      </c>
      <c r="E92" s="508">
        <f t="shared" si="49"/>
        <v>22.620607265298336</v>
      </c>
      <c r="F92" s="508">
        <f t="shared" si="49"/>
        <v>19.350200570296263</v>
      </c>
      <c r="G92" s="508">
        <f>IF(G$9=0,"",G79/G$9)</f>
        <v>34.425272984912894</v>
      </c>
      <c r="H92" s="508" t="str">
        <f t="shared" si="49"/>
        <v/>
      </c>
      <c r="I92" s="508" t="str">
        <f t="shared" ref="I92:AE92" si="50">IF(I$9=0,"",I79/I$9)</f>
        <v/>
      </c>
      <c r="J92" s="508" t="str">
        <f t="shared" si="50"/>
        <v/>
      </c>
      <c r="K92" s="508">
        <f t="shared" si="50"/>
        <v>19.583363229772068</v>
      </c>
      <c r="L92" s="508">
        <f t="shared" si="50"/>
        <v>18.468797794920921</v>
      </c>
      <c r="M92" s="508">
        <f t="shared" si="50"/>
        <v>24.903335157753492</v>
      </c>
      <c r="N92" s="508">
        <f t="shared" si="50"/>
        <v>20.42393142457286</v>
      </c>
      <c r="O92" s="508" t="str">
        <f t="shared" si="50"/>
        <v/>
      </c>
      <c r="P92" s="508" t="str">
        <f t="shared" si="50"/>
        <v/>
      </c>
      <c r="Q92" s="508">
        <f t="shared" si="50"/>
        <v>20.787778942638909</v>
      </c>
      <c r="R92" s="508">
        <f t="shared" si="50"/>
        <v>16.799880779729644</v>
      </c>
      <c r="S92" s="508">
        <f t="shared" si="50"/>
        <v>18.434963009144923</v>
      </c>
      <c r="T92" s="508" t="str">
        <f t="shared" si="50"/>
        <v/>
      </c>
      <c r="U92" s="508">
        <f t="shared" si="50"/>
        <v>19.481081626033365</v>
      </c>
      <c r="V92" s="508" t="str">
        <f>IF(V$9=0,"",V79/V$9)</f>
        <v/>
      </c>
      <c r="W92" s="508" t="str">
        <f t="shared" si="50"/>
        <v/>
      </c>
      <c r="X92" s="508">
        <f t="shared" si="50"/>
        <v>16.584709788593283</v>
      </c>
      <c r="Y92" s="508">
        <f>IF(Y$9=0,"",Y79/Y$9)</f>
        <v>23.227609911026995</v>
      </c>
      <c r="Z92" s="508">
        <f t="shared" si="50"/>
        <v>14.355495251017638</v>
      </c>
      <c r="AA92" s="508">
        <f>IF(AA$9=0,"",AA79/AA$9)</f>
        <v>17.505757347743803</v>
      </c>
      <c r="AB92" s="508">
        <f t="shared" si="50"/>
        <v>22.911258963113244</v>
      </c>
      <c r="AC92" s="508" t="str">
        <f>IF(AC$9=0,"",AC79/AC$9)</f>
        <v/>
      </c>
      <c r="AD92" s="508">
        <f t="shared" si="50"/>
        <v>196.07438016528923</v>
      </c>
      <c r="AE92" s="508">
        <f t="shared" si="50"/>
        <v>31.864362053041297</v>
      </c>
      <c r="AF92" s="509" t="str">
        <f>IF(AF$9=0,"",AF79/AF$9)</f>
        <v/>
      </c>
      <c r="AG92" s="768">
        <f>IF(AG$9=0,"0",+(AG79)/AG$9)</f>
        <v>26.420836698181056</v>
      </c>
      <c r="AH92" s="648">
        <v>22</v>
      </c>
      <c r="AI92" s="649">
        <f>AH92-AG92</f>
        <v>-4.4208366981810556</v>
      </c>
      <c r="AJ92" s="655">
        <f>AG92/AH92*100</f>
        <v>120.09471226445933</v>
      </c>
      <c r="AK92" s="511"/>
      <c r="AL92" s="510"/>
      <c r="AM92" s="510"/>
      <c r="AN92" s="510"/>
      <c r="AO92" s="510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</row>
    <row r="93" spans="1:58" s="236" customFormat="1" hidden="1" x14ac:dyDescent="0.4">
      <c r="B93" s="510"/>
      <c r="C93" s="510"/>
      <c r="D93" s="510"/>
      <c r="E93" s="510"/>
      <c r="F93" s="510"/>
      <c r="G93" s="510"/>
      <c r="H93" s="510"/>
      <c r="I93" s="510"/>
      <c r="J93" s="510"/>
      <c r="K93" s="510"/>
      <c r="L93" s="510"/>
      <c r="M93" s="510"/>
      <c r="N93" s="510"/>
      <c r="O93" s="510"/>
      <c r="P93" s="510"/>
      <c r="Q93" s="510"/>
      <c r="R93" s="510"/>
      <c r="S93" s="510"/>
      <c r="T93" s="510"/>
      <c r="U93" s="510"/>
      <c r="V93" s="510"/>
      <c r="W93" s="510"/>
      <c r="X93" s="510"/>
      <c r="Y93" s="510"/>
      <c r="Z93" s="510"/>
      <c r="AA93" s="510"/>
      <c r="AB93" s="510"/>
      <c r="AC93" s="510"/>
      <c r="AD93" s="510"/>
      <c r="AE93" s="510"/>
      <c r="AF93" s="514"/>
      <c r="AG93" s="768">
        <f t="shared" ref="AG93" si="51">IF(AG$9=0,"0",+(AG77*10)/AG$9)</f>
        <v>0</v>
      </c>
      <c r="AH93" s="648"/>
      <c r="AI93" s="654"/>
      <c r="AJ93" s="655" t="e">
        <f t="shared" si="44"/>
        <v>#DIV/0!</v>
      </c>
      <c r="AK93" s="511"/>
      <c r="AL93" s="510"/>
      <c r="AM93" s="510"/>
      <c r="AN93" s="510"/>
      <c r="AO93" s="510"/>
      <c r="AP93" s="510"/>
      <c r="AQ93" s="510"/>
      <c r="AR93" s="510"/>
      <c r="AS93" s="510"/>
      <c r="AT93" s="510"/>
      <c r="AU93" s="510"/>
      <c r="AV93" s="510"/>
      <c r="AW93" s="510"/>
      <c r="AX93" s="510"/>
      <c r="AY93" s="510"/>
      <c r="AZ93" s="510"/>
      <c r="BA93" s="510"/>
      <c r="BB93" s="510"/>
      <c r="BC93" s="510"/>
      <c r="BD93" s="510"/>
      <c r="BE93" s="510"/>
      <c r="BF93" s="510"/>
    </row>
    <row r="94" spans="1:58" s="236" customFormat="1" x14ac:dyDescent="0.4">
      <c r="A94" s="236" t="s">
        <v>203</v>
      </c>
      <c r="B94" s="508" t="str">
        <f t="shared" ref="B94:AF94" si="52">IF(B$9=0,"",B82/B$9)</f>
        <v/>
      </c>
      <c r="C94" s="508">
        <f t="shared" si="52"/>
        <v>7.1992154611053598</v>
      </c>
      <c r="D94" s="509">
        <f t="shared" si="52"/>
        <v>5.242309469968391</v>
      </c>
      <c r="E94" s="508">
        <f>IF(E$9=0,"",E82/E$9)</f>
        <v>7.8555975524668584</v>
      </c>
      <c r="F94" s="508">
        <f t="shared" si="52"/>
        <v>7.0682905611135274</v>
      </c>
      <c r="G94" s="508">
        <f t="shared" si="52"/>
        <v>10.078277145043836</v>
      </c>
      <c r="H94" s="509" t="str">
        <f t="shared" si="52"/>
        <v/>
      </c>
      <c r="I94" s="509" t="str">
        <f t="shared" ref="I94:AE94" si="53">IF(I$9=0,"",I82/I$9)</f>
        <v/>
      </c>
      <c r="J94" s="509" t="str">
        <f t="shared" si="53"/>
        <v/>
      </c>
      <c r="K94" s="509">
        <f t="shared" si="53"/>
        <v>6.9359737868025162</v>
      </c>
      <c r="L94" s="509">
        <f t="shared" si="53"/>
        <v>7.1429771928939978</v>
      </c>
      <c r="M94" s="509">
        <f t="shared" si="53"/>
        <v>8.651282685075655</v>
      </c>
      <c r="N94" s="509">
        <f t="shared" si="53"/>
        <v>7.3376484537485176</v>
      </c>
      <c r="O94" s="509" t="str">
        <f t="shared" si="53"/>
        <v/>
      </c>
      <c r="P94" s="509" t="str">
        <f t="shared" si="53"/>
        <v/>
      </c>
      <c r="Q94" s="509">
        <f t="shared" si="53"/>
        <v>9.1857620687933697</v>
      </c>
      <c r="R94" s="509">
        <f t="shared" si="53"/>
        <v>6.5789234554977618</v>
      </c>
      <c r="S94" s="509">
        <f t="shared" si="53"/>
        <v>6.8302523296759015</v>
      </c>
      <c r="T94" s="509" t="str">
        <f t="shared" si="53"/>
        <v/>
      </c>
      <c r="U94" s="509">
        <f t="shared" si="53"/>
        <v>6.3558021899026027</v>
      </c>
      <c r="V94" s="509" t="str">
        <f t="shared" si="53"/>
        <v/>
      </c>
      <c r="W94" s="509" t="str">
        <f t="shared" si="53"/>
        <v/>
      </c>
      <c r="X94" s="509">
        <f t="shared" si="53"/>
        <v>6.8297398394485773</v>
      </c>
      <c r="Y94" s="509">
        <f>IF(Y$9=0,"",Y82/Y$9)</f>
        <v>9.5716678631251497</v>
      </c>
      <c r="Z94" s="509">
        <f t="shared" si="53"/>
        <v>5.9249208502939839</v>
      </c>
      <c r="AA94" s="509">
        <f t="shared" si="53"/>
        <v>6.4983925029071754</v>
      </c>
      <c r="AB94" s="509">
        <f t="shared" si="53"/>
        <v>8.0556135692335236</v>
      </c>
      <c r="AC94" s="509" t="str">
        <f>IF(AC$9=0,"",AC82/AC$9)</f>
        <v/>
      </c>
      <c r="AD94" s="509">
        <f t="shared" si="53"/>
        <v>50.964187327823687</v>
      </c>
      <c r="AE94" s="509">
        <f t="shared" si="53"/>
        <v>12.204776355719753</v>
      </c>
      <c r="AF94" s="509" t="str">
        <f t="shared" si="52"/>
        <v/>
      </c>
      <c r="AG94" s="774">
        <f>IF(AG$9=0,"0",+(AG82)/AG$9)</f>
        <v>8.2669596892194264</v>
      </c>
      <c r="AH94" s="652">
        <v>7.2</v>
      </c>
      <c r="AI94" s="649">
        <f>AH94-AG94</f>
        <v>-1.0669596892194262</v>
      </c>
      <c r="AJ94" s="655">
        <f t="shared" si="44"/>
        <v>114.81888457249202</v>
      </c>
      <c r="AK94" s="511"/>
      <c r="AL94" s="510"/>
      <c r="AM94" s="510"/>
      <c r="AN94" s="510"/>
      <c r="AO94" s="510"/>
      <c r="AP94" s="510"/>
      <c r="AQ94" s="510"/>
      <c r="AR94" s="510"/>
      <c r="AS94" s="510"/>
      <c r="AT94" s="510"/>
      <c r="AU94" s="510"/>
      <c r="AV94" s="510"/>
      <c r="AW94" s="510"/>
      <c r="AX94" s="510"/>
      <c r="AY94" s="510"/>
      <c r="AZ94" s="510"/>
      <c r="BA94" s="510"/>
      <c r="BB94" s="510"/>
      <c r="BC94" s="510"/>
      <c r="BD94" s="510"/>
      <c r="BE94" s="510"/>
      <c r="BF94" s="510"/>
    </row>
    <row r="95" spans="1:58" s="181" customFormat="1" hidden="1" x14ac:dyDescent="0.4">
      <c r="B95" s="365"/>
      <c r="C95" s="365"/>
      <c r="D95" s="365"/>
      <c r="E95" s="365"/>
      <c r="F95" s="365"/>
      <c r="G95" s="365"/>
      <c r="H95" s="365"/>
      <c r="I95" s="365"/>
      <c r="J95" s="387"/>
      <c r="K95" s="387"/>
      <c r="L95" s="387"/>
      <c r="M95" s="387"/>
      <c r="N95" s="387"/>
      <c r="O95" s="387"/>
      <c r="P95" s="387"/>
      <c r="Q95" s="387"/>
      <c r="R95" s="387"/>
      <c r="S95" s="387"/>
      <c r="T95" s="387"/>
      <c r="U95" s="387"/>
      <c r="V95" s="387"/>
      <c r="W95" s="387"/>
      <c r="X95" s="387"/>
      <c r="Y95" s="387"/>
      <c r="Z95" s="387"/>
      <c r="AA95" s="387"/>
      <c r="AB95" s="387"/>
      <c r="AC95" s="387"/>
      <c r="AD95" s="387"/>
      <c r="AE95" s="387"/>
      <c r="AF95" s="387"/>
      <c r="AG95" s="510"/>
      <c r="AH95" s="365"/>
      <c r="AI95" s="365"/>
      <c r="AJ95" s="365"/>
      <c r="AK95" s="366"/>
      <c r="AL95" s="365"/>
      <c r="AM95" s="365"/>
      <c r="AN95" s="365"/>
      <c r="AO95" s="365"/>
      <c r="AP95" s="365"/>
      <c r="AQ95" s="365"/>
      <c r="AR95" s="365"/>
      <c r="AS95" s="365"/>
      <c r="AT95" s="365"/>
      <c r="AU95" s="365"/>
      <c r="AV95" s="365"/>
      <c r="AW95" s="365"/>
      <c r="AX95" s="365"/>
      <c r="AY95" s="365"/>
      <c r="AZ95" s="365"/>
      <c r="BA95" s="365"/>
      <c r="BB95" s="365"/>
      <c r="BC95" s="365"/>
      <c r="BD95" s="365"/>
      <c r="BE95" s="365"/>
      <c r="BF95" s="365"/>
    </row>
    <row r="96" spans="1:58" s="181" customFormat="1" hidden="1" x14ac:dyDescent="0.4">
      <c r="B96" s="365"/>
      <c r="C96" s="365"/>
      <c r="D96" s="365"/>
      <c r="E96" s="365"/>
      <c r="F96" s="365"/>
      <c r="G96" s="365"/>
      <c r="H96" s="365"/>
      <c r="I96" s="365"/>
      <c r="J96" s="387"/>
      <c r="K96" s="387"/>
      <c r="L96" s="387"/>
      <c r="M96" s="387"/>
      <c r="N96" s="387"/>
      <c r="O96" s="387"/>
      <c r="P96" s="387"/>
      <c r="Q96" s="387"/>
      <c r="R96" s="387"/>
      <c r="S96" s="387"/>
      <c r="T96" s="387"/>
      <c r="U96" s="387"/>
      <c r="V96" s="387"/>
      <c r="W96" s="387"/>
      <c r="X96" s="387"/>
      <c r="Y96" s="387"/>
      <c r="Z96" s="387"/>
      <c r="AA96" s="387"/>
      <c r="AB96" s="387"/>
      <c r="AC96" s="387"/>
      <c r="AD96" s="387"/>
      <c r="AE96" s="387"/>
      <c r="AF96" s="387"/>
      <c r="AG96" s="510"/>
      <c r="AH96" s="365"/>
      <c r="AI96" s="365"/>
      <c r="AJ96" s="365"/>
      <c r="AK96" s="366"/>
      <c r="AL96" s="365"/>
      <c r="AM96" s="365"/>
      <c r="AN96" s="365"/>
      <c r="AO96" s="365"/>
      <c r="AP96" s="365"/>
      <c r="AQ96" s="365"/>
      <c r="AR96" s="365"/>
      <c r="AS96" s="365"/>
      <c r="AT96" s="365"/>
      <c r="AU96" s="365"/>
      <c r="AV96" s="365"/>
      <c r="AW96" s="365"/>
      <c r="AX96" s="365"/>
      <c r="AY96" s="365"/>
      <c r="AZ96" s="365"/>
      <c r="BA96" s="365"/>
      <c r="BB96" s="365"/>
      <c r="BC96" s="365"/>
      <c r="BD96" s="365"/>
      <c r="BE96" s="365"/>
      <c r="BF96" s="365"/>
    </row>
    <row r="97" spans="1:78" ht="25.5" hidden="1" x14ac:dyDescent="0.35">
      <c r="A97" s="218" t="s">
        <v>230</v>
      </c>
      <c r="B97" s="515"/>
      <c r="C97" s="515"/>
      <c r="D97" s="515"/>
      <c r="E97" s="515"/>
      <c r="F97" s="515"/>
      <c r="G97" s="515"/>
      <c r="H97" s="515"/>
      <c r="I97" s="515"/>
      <c r="J97" s="516"/>
      <c r="K97" s="516"/>
      <c r="L97" s="516"/>
      <c r="M97" s="516"/>
      <c r="N97" s="516"/>
      <c r="O97" s="516"/>
      <c r="P97" s="516"/>
      <c r="Q97" s="516"/>
      <c r="R97" s="516"/>
      <c r="S97" s="516"/>
      <c r="T97" s="516"/>
      <c r="U97" s="516"/>
      <c r="V97" s="516"/>
      <c r="W97" s="516"/>
      <c r="X97" s="516"/>
      <c r="Y97" s="516"/>
      <c r="Z97" s="516"/>
      <c r="AA97" s="516"/>
      <c r="AB97" s="516"/>
      <c r="AC97" s="516"/>
      <c r="AD97" s="516"/>
      <c r="AE97" s="516"/>
      <c r="AF97" s="516"/>
      <c r="AG97" s="517">
        <f>SUM($B97:AF97)</f>
        <v>0</v>
      </c>
      <c r="AH97" s="518"/>
      <c r="AI97" s="515" t="s">
        <v>199</v>
      </c>
    </row>
    <row r="98" spans="1:78" s="191" customFormat="1" ht="51" hidden="1" x14ac:dyDescent="0.35">
      <c r="A98" s="219" t="s">
        <v>231</v>
      </c>
      <c r="B98" s="388" t="str">
        <f t="shared" ref="B98:AF98" si="54">IF(B$97=0,"",+(B42*10)/B$97)</f>
        <v/>
      </c>
      <c r="C98" s="388" t="str">
        <f t="shared" si="54"/>
        <v/>
      </c>
      <c r="D98" s="388" t="str">
        <f t="shared" si="54"/>
        <v/>
      </c>
      <c r="E98" s="388" t="str">
        <f t="shared" si="54"/>
        <v/>
      </c>
      <c r="F98" s="388" t="str">
        <f t="shared" si="54"/>
        <v/>
      </c>
      <c r="G98" s="388" t="str">
        <f t="shared" si="54"/>
        <v/>
      </c>
      <c r="H98" s="388" t="str">
        <f t="shared" si="54"/>
        <v/>
      </c>
      <c r="I98" s="388" t="str">
        <f t="shared" si="54"/>
        <v/>
      </c>
      <c r="J98" s="389" t="str">
        <f t="shared" si="54"/>
        <v/>
      </c>
      <c r="K98" s="389" t="str">
        <f t="shared" si="54"/>
        <v/>
      </c>
      <c r="L98" s="389" t="str">
        <f t="shared" si="54"/>
        <v/>
      </c>
      <c r="M98" s="389" t="str">
        <f t="shared" si="54"/>
        <v/>
      </c>
      <c r="N98" s="389" t="str">
        <f t="shared" si="54"/>
        <v/>
      </c>
      <c r="O98" s="389" t="str">
        <f t="shared" si="54"/>
        <v/>
      </c>
      <c r="P98" s="389" t="str">
        <f t="shared" si="54"/>
        <v/>
      </c>
      <c r="Q98" s="389" t="str">
        <f t="shared" si="54"/>
        <v/>
      </c>
      <c r="R98" s="389" t="str">
        <f t="shared" si="54"/>
        <v/>
      </c>
      <c r="S98" s="389" t="str">
        <f t="shared" si="54"/>
        <v/>
      </c>
      <c r="T98" s="389" t="str">
        <f t="shared" si="54"/>
        <v/>
      </c>
      <c r="U98" s="389" t="str">
        <f t="shared" si="54"/>
        <v/>
      </c>
      <c r="V98" s="389" t="str">
        <f t="shared" si="54"/>
        <v/>
      </c>
      <c r="W98" s="389" t="str">
        <f t="shared" si="54"/>
        <v/>
      </c>
      <c r="X98" s="389" t="str">
        <f t="shared" si="54"/>
        <v/>
      </c>
      <c r="Y98" s="389" t="str">
        <f t="shared" si="54"/>
        <v/>
      </c>
      <c r="Z98" s="389" t="str">
        <f t="shared" si="54"/>
        <v/>
      </c>
      <c r="AA98" s="389" t="str">
        <f t="shared" si="54"/>
        <v/>
      </c>
      <c r="AB98" s="389" t="str">
        <f t="shared" si="54"/>
        <v/>
      </c>
      <c r="AC98" s="389" t="str">
        <f t="shared" si="54"/>
        <v/>
      </c>
      <c r="AD98" s="389" t="str">
        <f t="shared" si="54"/>
        <v/>
      </c>
      <c r="AE98" s="389" t="str">
        <f t="shared" si="54"/>
        <v/>
      </c>
      <c r="AF98" s="389" t="str">
        <f t="shared" si="54"/>
        <v/>
      </c>
      <c r="AG98" s="390" t="e">
        <f>+(AG42*10)/AG$97</f>
        <v>#DIV/0!</v>
      </c>
      <c r="AH98" s="390">
        <v>2.6</v>
      </c>
      <c r="AI98" s="519" t="e">
        <f>AH98-AG98</f>
        <v>#DIV/0!</v>
      </c>
      <c r="AJ98" s="366"/>
      <c r="AK98" s="366"/>
      <c r="AL98" s="366"/>
      <c r="AM98" s="366"/>
      <c r="AN98" s="366"/>
      <c r="AO98" s="366"/>
      <c r="AP98" s="366"/>
      <c r="AQ98" s="366"/>
      <c r="AR98" s="366"/>
      <c r="AS98" s="366"/>
      <c r="AT98" s="366"/>
      <c r="AU98" s="366"/>
      <c r="AV98" s="366"/>
      <c r="AW98" s="366"/>
      <c r="AX98" s="366"/>
      <c r="AY98" s="366"/>
      <c r="AZ98" s="366"/>
      <c r="BA98" s="366"/>
      <c r="BB98" s="366"/>
      <c r="BC98" s="366"/>
      <c r="BD98" s="366"/>
      <c r="BE98" s="366"/>
      <c r="BF98" s="366"/>
      <c r="BG98" s="180"/>
      <c r="BH98" s="180"/>
      <c r="BI98" s="180"/>
      <c r="BJ98" s="180"/>
      <c r="BK98" s="180"/>
      <c r="BL98" s="180"/>
      <c r="BM98" s="180"/>
      <c r="BN98" s="180"/>
      <c r="BO98" s="180"/>
      <c r="BP98" s="180"/>
      <c r="BQ98" s="180"/>
      <c r="BR98" s="180"/>
      <c r="BS98" s="180"/>
      <c r="BT98" s="180"/>
      <c r="BU98" s="180"/>
      <c r="BV98" s="180"/>
      <c r="BW98" s="180"/>
      <c r="BX98" s="180"/>
      <c r="BY98" s="180"/>
      <c r="BZ98" s="180"/>
    </row>
    <row r="99" spans="1:78" ht="25.5" hidden="1" x14ac:dyDescent="0.35">
      <c r="A99" s="220"/>
      <c r="B99" s="520"/>
      <c r="C99" s="520"/>
      <c r="D99" s="520"/>
      <c r="E99" s="520"/>
      <c r="F99" s="520"/>
      <c r="G99" s="520"/>
      <c r="H99" s="520"/>
      <c r="I99" s="520"/>
      <c r="J99" s="521"/>
      <c r="K99" s="521"/>
      <c r="L99" s="521"/>
      <c r="M99" s="521"/>
      <c r="N99" s="521"/>
      <c r="O99" s="521"/>
      <c r="P99" s="521"/>
      <c r="Q99" s="521"/>
      <c r="R99" s="521"/>
      <c r="S99" s="521"/>
      <c r="T99" s="521"/>
      <c r="U99" s="521"/>
      <c r="V99" s="521"/>
      <c r="W99" s="521"/>
      <c r="X99" s="521"/>
      <c r="Y99" s="521"/>
      <c r="Z99" s="521"/>
      <c r="AA99" s="521"/>
      <c r="AB99" s="521"/>
      <c r="AC99" s="521"/>
      <c r="AD99" s="521"/>
      <c r="AE99" s="521"/>
      <c r="AF99" s="521"/>
      <c r="AG99" s="522"/>
      <c r="AH99" s="522"/>
      <c r="AI99" s="523"/>
    </row>
    <row r="100" spans="1:78" ht="25.5" hidden="1" x14ac:dyDescent="0.35">
      <c r="A100" s="220"/>
      <c r="B100" s="520"/>
      <c r="C100" s="520"/>
      <c r="D100" s="520"/>
      <c r="E100" s="520"/>
      <c r="F100" s="520"/>
      <c r="G100" s="520"/>
      <c r="H100" s="520"/>
      <c r="I100" s="520"/>
      <c r="J100" s="521"/>
      <c r="K100" s="521"/>
      <c r="L100" s="521"/>
      <c r="M100" s="521"/>
      <c r="N100" s="521"/>
      <c r="O100" s="521"/>
      <c r="P100" s="521"/>
      <c r="Q100" s="521"/>
      <c r="R100" s="521"/>
      <c r="S100" s="521"/>
      <c r="T100" s="521"/>
      <c r="U100" s="521"/>
      <c r="V100" s="521"/>
      <c r="W100" s="521"/>
      <c r="X100" s="521"/>
      <c r="Y100" s="521"/>
      <c r="Z100" s="521"/>
      <c r="AA100" s="521"/>
      <c r="AB100" s="521"/>
      <c r="AC100" s="521"/>
      <c r="AD100" s="521"/>
      <c r="AE100" s="521"/>
      <c r="AF100" s="521"/>
      <c r="AG100" s="522"/>
      <c r="AH100" s="522"/>
      <c r="AI100" s="523"/>
    </row>
    <row r="101" spans="1:78" ht="29.25" hidden="1" x14ac:dyDescent="0.5">
      <c r="A101" s="181" t="s">
        <v>240</v>
      </c>
      <c r="B101" s="524">
        <f>IF('Entries June''25'!L8-'Entries June''25'!L7&lt;1,0,'Entries June''25'!L8-'Entries June''25'!L7)</f>
        <v>0</v>
      </c>
      <c r="C101" s="524">
        <f>IF('Entries June''25'!L9-'Entries June''25'!L8&lt;1,0,'Entries June''25'!L9-'Entries June''25'!L8)</f>
        <v>0</v>
      </c>
      <c r="D101" s="524">
        <f>IF('Entries June''25'!L10-'Entries June''25'!L9&lt;1,0,'Entries June''25'!L10-'Entries June''25'!L9)</f>
        <v>0</v>
      </c>
      <c r="E101" s="524">
        <f>IF('Entries June''25'!L11-'Entries June''25'!L10&lt;1,0,'Entries June''25'!L11-'Entries June''25'!L10)</f>
        <v>0</v>
      </c>
      <c r="F101" s="524">
        <f>IF('Entries June''25'!L12-'Entries June''25'!L11&lt;1,0,'Entries June''25'!L12-'Entries June''25'!L11)</f>
        <v>0</v>
      </c>
      <c r="G101" s="524">
        <f>IF('Entries June''25'!L13-'Entries June''25'!L12&lt;1,0,'Entries June''25'!L13-'Entries June''25'!L12)</f>
        <v>0</v>
      </c>
      <c r="H101" s="524">
        <f>IF('Entries June''25'!L14-'Entries June''25'!L13&lt;1,0,'Entries June''25'!L14-'Entries June''25'!L13)</f>
        <v>0</v>
      </c>
      <c r="I101" s="524">
        <f>IF('Entries June''25'!L15-'Entries June''25'!L14&lt;1,0,'Entries June''25'!L15-'Entries June''25'!L14)</f>
        <v>0</v>
      </c>
      <c r="J101" s="525">
        <f>IF('Entries June''25'!L16-'Entries June''25'!L15&lt;1,0,'Entries June''25'!L16-'Entries June''25'!L15)</f>
        <v>0</v>
      </c>
      <c r="K101" s="525">
        <f>IF('Entries June''25'!L17-'Entries June''25'!L16&lt;1,0,'Entries June''25'!L17-'Entries June''25'!L16)</f>
        <v>0</v>
      </c>
      <c r="L101" s="525">
        <f>IF('Entries June''25'!L18-'Entries June''25'!L17&lt;1,0,'Entries June''25'!L18-'Entries June''25'!L17)</f>
        <v>0</v>
      </c>
      <c r="M101" s="525">
        <f>IF('Entries June''25'!L19-'Entries June''25'!L18&lt;1,0,'Entries June''25'!L19-'Entries June''25'!L18)</f>
        <v>0</v>
      </c>
      <c r="N101" s="407">
        <f>IF('Entries June''25'!L20-'Entries June''25'!L19&lt;1,0,'Entries June''25'!L20-'Entries June''25'!L19)</f>
        <v>0</v>
      </c>
      <c r="O101" s="407">
        <f>IF('Entries June''25'!L21-'Entries June''25'!L20&lt;1,0,'Entries June''25'!L21-'Entries June''25'!L20)</f>
        <v>0</v>
      </c>
      <c r="P101" s="407">
        <f>IF('Entries June''25'!L22-'Entries June''25'!L21&lt;1,0,'Entries June''25'!L22-'Entries June''25'!L21)</f>
        <v>0</v>
      </c>
      <c r="Q101" s="407">
        <f>IF('Entries June''25'!L23-'Entries June''25'!L22&lt;1,0,'Entries June''25'!L23-'Entries June''25'!L22)</f>
        <v>0</v>
      </c>
      <c r="R101" s="407">
        <f>IF('Entries June''25'!L24-'Entries June''25'!L23&lt;1,0,'Entries June''25'!L24-'Entries June''25'!L23)</f>
        <v>0</v>
      </c>
      <c r="S101" s="407">
        <f>IF('Entries June''25'!L25-'Entries June''25'!L24&lt;1,0,'Entries June''25'!L25-'Entries June''25'!L24)</f>
        <v>0</v>
      </c>
      <c r="T101" s="407">
        <f>IF('Entries June''25'!L26-'Entries June''25'!L25&lt;1,0,'Entries June''25'!L26-'Entries June''25'!L25)</f>
        <v>0</v>
      </c>
      <c r="U101" s="407">
        <f>IF('Entries June''25'!L27-'Entries June''25'!L26&lt;1,0,'Entries June''25'!L27-'Entries June''25'!L26)</f>
        <v>0</v>
      </c>
      <c r="V101" s="407">
        <f>IF('Entries June''25'!L28-'Entries June''25'!L27&lt;1,0,'Entries June''25'!L28-'Entries June''25'!L27)</f>
        <v>0</v>
      </c>
      <c r="W101" s="407">
        <f>IF('Entries June''25'!L29-'Entries June''25'!L28&lt;1,0,'Entries June''25'!L29-'Entries June''25'!L28)</f>
        <v>0</v>
      </c>
      <c r="X101" s="407">
        <f>IF('Entries June''25'!L30-'Entries June''25'!L29&lt;1,0,'Entries June''25'!L30-'Entries June''25'!L29)</f>
        <v>0</v>
      </c>
      <c r="Y101" s="407">
        <f>IF('Entries June''25'!L31-'Entries June''25'!L30&lt;1,0,'Entries June''25'!L31-'Entries June''25'!L30)</f>
        <v>0</v>
      </c>
      <c r="Z101" s="407">
        <f>IF('Entries June''25'!L32-'Entries June''25'!L31&lt;1,0,'Entries June''25'!L32-'Entries June''25'!L31)</f>
        <v>0</v>
      </c>
      <c r="AA101" s="407">
        <f>IF('Entries June''25'!L33-'Entries June''25'!L32&lt;1,0,'Entries June''25'!L33-'Entries June''25'!L32)</f>
        <v>0</v>
      </c>
      <c r="AB101" s="407">
        <f>IF('Entries June''25'!L34-'Entries June''25'!L33&lt;1,0,'Entries June''25'!L34-'Entries June''25'!L33)</f>
        <v>0</v>
      </c>
      <c r="AC101" s="407">
        <f>IF('Entries June''25'!L35-'Entries June''25'!L34&lt;1,0,'Entries June''25'!L35-'Entries June''25'!L34)</f>
        <v>0</v>
      </c>
      <c r="AD101" s="407" t="e">
        <f>IF('Entries June''25'!#REF!-'Entries June''25'!L35&lt;1,0,'Entries June''25'!#REF!-'Entries June''25'!L35)</f>
        <v>#REF!</v>
      </c>
      <c r="AE101" s="407" t="e">
        <f>IF('Entries June''25'!L36-'Entries June''25'!#REF!&lt;1,0,'Entries June''25'!L36-'Entries June''25'!#REF!)</f>
        <v>#REF!</v>
      </c>
      <c r="AF101" s="407">
        <f>IF('Entries June''25'!L37-'Entries June''25'!L36&lt;1,0,'Entries June''25'!L37-'Entries June''25'!L36)</f>
        <v>0</v>
      </c>
      <c r="AG101" s="377" t="e">
        <f>SUM($B101:AF101)</f>
        <v>#REF!</v>
      </c>
      <c r="AH101" s="377"/>
    </row>
    <row r="102" spans="1:78" hidden="1" x14ac:dyDescent="0.4">
      <c r="A102" s="181" t="s">
        <v>218</v>
      </c>
      <c r="M102" s="367"/>
      <c r="AG102" s="365">
        <f>SUM(B102:AF102)</f>
        <v>0</v>
      </c>
      <c r="AJ102" s="366" t="s">
        <v>245</v>
      </c>
    </row>
    <row r="103" spans="1:78" hidden="1" x14ac:dyDescent="0.4">
      <c r="A103" s="181" t="s">
        <v>219</v>
      </c>
      <c r="B103" s="526" t="str">
        <f t="shared" ref="B103:AF103" si="55">IF(B101=0,"",B102/B101)</f>
        <v/>
      </c>
      <c r="C103" s="526" t="str">
        <f>IF(C101=0,"",C102/C101)</f>
        <v/>
      </c>
      <c r="D103" s="526" t="str">
        <f t="shared" si="55"/>
        <v/>
      </c>
      <c r="E103" s="526" t="str">
        <f t="shared" si="55"/>
        <v/>
      </c>
      <c r="F103" s="526" t="str">
        <f t="shared" si="55"/>
        <v/>
      </c>
      <c r="G103" s="526" t="s">
        <v>61</v>
      </c>
      <c r="H103" s="526" t="str">
        <f t="shared" si="55"/>
        <v/>
      </c>
      <c r="I103" s="526" t="str">
        <f>IF(I101=0,"",I102/I101)</f>
        <v/>
      </c>
      <c r="J103" s="527" t="str">
        <f t="shared" si="55"/>
        <v/>
      </c>
      <c r="K103" s="527" t="str">
        <f t="shared" si="55"/>
        <v/>
      </c>
      <c r="L103" s="527" t="str">
        <f t="shared" si="55"/>
        <v/>
      </c>
      <c r="M103" s="527" t="str">
        <f t="shared" si="55"/>
        <v/>
      </c>
      <c r="N103" s="527" t="str">
        <f t="shared" si="55"/>
        <v/>
      </c>
      <c r="O103" s="527" t="str">
        <f t="shared" si="55"/>
        <v/>
      </c>
      <c r="P103" s="527" t="str">
        <f t="shared" si="55"/>
        <v/>
      </c>
      <c r="Q103" s="527" t="str">
        <f t="shared" si="55"/>
        <v/>
      </c>
      <c r="R103" s="527" t="str">
        <f t="shared" si="55"/>
        <v/>
      </c>
      <c r="S103" s="527" t="str">
        <f t="shared" si="55"/>
        <v/>
      </c>
      <c r="T103" s="527" t="str">
        <f t="shared" si="55"/>
        <v/>
      </c>
      <c r="U103" s="527" t="str">
        <f>IF(U101=0,"",U102/U101)</f>
        <v/>
      </c>
      <c r="V103" s="527" t="str">
        <f t="shared" si="55"/>
        <v/>
      </c>
      <c r="W103" s="527" t="str">
        <f t="shared" si="55"/>
        <v/>
      </c>
      <c r="X103" s="527" t="str">
        <f t="shared" si="55"/>
        <v/>
      </c>
      <c r="Y103" s="527" t="str">
        <f t="shared" si="55"/>
        <v/>
      </c>
      <c r="Z103" s="527" t="str">
        <f t="shared" si="55"/>
        <v/>
      </c>
      <c r="AA103" s="527" t="str">
        <f t="shared" si="55"/>
        <v/>
      </c>
      <c r="AB103" s="527" t="str">
        <f t="shared" si="55"/>
        <v/>
      </c>
      <c r="AC103" s="527" t="str">
        <f t="shared" si="55"/>
        <v/>
      </c>
      <c r="AD103" s="527" t="e">
        <f t="shared" si="55"/>
        <v>#REF!</v>
      </c>
      <c r="AE103" s="527" t="e">
        <f t="shared" si="55"/>
        <v>#REF!</v>
      </c>
      <c r="AF103" s="527" t="str">
        <f t="shared" si="55"/>
        <v/>
      </c>
      <c r="AG103" s="526" t="e">
        <f>IF(AG101=0,"",AG102/AG101)</f>
        <v>#REF!</v>
      </c>
    </row>
    <row r="104" spans="1:78" ht="30" hidden="1" x14ac:dyDescent="0.4">
      <c r="A104" s="181" t="s">
        <v>241</v>
      </c>
      <c r="B104" s="524">
        <f>IF('Entries June''25'!$AF8-'Entries June''25'!$AF7&lt;1,0,'Entries June''25'!$AF8-'Entries June''25'!$AF7)</f>
        <v>0</v>
      </c>
      <c r="C104" s="524">
        <f>IF('Entries June''25'!$AF9-'Entries June''25'!$AF8&lt;1,0,'Entries June''25'!$AF9-'Entries June''25'!$AF8)</f>
        <v>0</v>
      </c>
      <c r="D104" s="524">
        <f>IF('Entries June''25'!$AF10-'Entries June''25'!$AF9&lt;1,0,'Entries June''25'!$AF10-'Entries June''25'!$AF9)</f>
        <v>0</v>
      </c>
      <c r="E104" s="524">
        <f>IF('Entries June''25'!$AF11-'Entries June''25'!$AF10&lt;1,0,'Entries June''25'!$AF11-'Entries June''25'!$AF10)</f>
        <v>0</v>
      </c>
      <c r="F104" s="524">
        <f>IF('Entries June''25'!$AF12-'Entries June''25'!$AF11&lt;1,0,'Entries June''25'!$AF12-'Entries June''25'!$AF11)</f>
        <v>0</v>
      </c>
      <c r="G104" s="524">
        <f>IF('Entries June''25'!$AF13-'Entries June''25'!$AF12&lt;1,0,'Entries June''25'!$AF13-'Entries June''25'!$AF12)</f>
        <v>0</v>
      </c>
      <c r="H104" s="524">
        <f>IF('Entries June''25'!$AF14-'Entries June''25'!$AF13&lt;1,0,'Entries June''25'!$AF14-'Entries June''25'!$AF13)</f>
        <v>0</v>
      </c>
      <c r="I104" s="524">
        <f>IF('Entries June''25'!AF15-'Entries June''25'!AF14&lt;1,0,'Entries June''25'!AF15-'Entries June''25'!AF14)</f>
        <v>0</v>
      </c>
      <c r="J104" s="525">
        <f>IF('Entries June''25'!AF16-'Entries June''25'!AF15&lt;1,0,'Entries June''25'!AF16-'Entries June''25'!AF15)</f>
        <v>0</v>
      </c>
      <c r="K104" s="525">
        <f>IF('Entries June''25'!AF17-'Entries June''25'!AF16&lt;1,0,'Entries June''25'!AF17-'Entries June''25'!AF16)</f>
        <v>0</v>
      </c>
      <c r="L104" s="525">
        <f>IF('Entries June''25'!$AF18-'Entries June''25'!$AF17&lt;1,0,'Entries June''25'!$AF18-'Entries June''25'!$AF17)</f>
        <v>0</v>
      </c>
      <c r="M104" s="525">
        <f>IF('Entries June''25'!$AF19-'Entries June''25'!$AF18&lt;1,0,'Entries June''25'!$AF19-'Entries June''25'!$AF18)</f>
        <v>0</v>
      </c>
      <c r="N104" s="525">
        <f>IF('Entries June''25'!$AF20-'Entries June''25'!$AF19&lt;1,0,'Entries June''25'!$AF20-'Entries June''25'!$AF19)</f>
        <v>0</v>
      </c>
      <c r="O104" s="525">
        <f>IF('Entries June''25'!$AF21-'Entries June''25'!$AF20&lt;1,0,'Entries June''25'!$AF21-'Entries June''25'!$AF20)</f>
        <v>0</v>
      </c>
      <c r="P104" s="525">
        <f>IF('Entries June''25'!$AF22-'Entries June''25'!$AF21&lt;1,0,'Entries June''25'!$AF22-'Entries June''25'!$AF21)</f>
        <v>0</v>
      </c>
      <c r="Q104" s="525">
        <f>IF('Entries June''25'!$AF23-'Entries June''25'!$AF22&lt;1,0,'Entries June''25'!$AF23-'Entries June''25'!$AF22)</f>
        <v>0</v>
      </c>
      <c r="R104" s="525">
        <f>IF('Entries June''25'!$AF24-'Entries June''25'!$AF23&lt;1,0,'Entries June''25'!$AF24-'Entries June''25'!$AF23)</f>
        <v>0</v>
      </c>
      <c r="S104" s="525">
        <f>IF('Entries June''25'!$AF25-'Entries June''25'!$AF24&lt;1,0,'Entries June''25'!$AF25-'Entries June''25'!$AF24)</f>
        <v>0</v>
      </c>
      <c r="T104" s="525">
        <f>IF('Entries June''25'!$AF26-'Entries June''25'!$AF25&lt;1,0,'Entries June''25'!$AF26-'Entries June''25'!$AF25)</f>
        <v>0</v>
      </c>
      <c r="U104" s="525">
        <f>IF('Entries June''25'!$AF27-'Entries June''25'!$AF26&lt;1,0,'Entries June''25'!$AF27-'Entries June''25'!$AF26)</f>
        <v>0</v>
      </c>
      <c r="V104" s="525">
        <f>IF('Entries June''25'!$AF28-'Entries June''25'!$AF27&lt;1,0,'Entries June''25'!$AF28-'Entries June''25'!$AF27)</f>
        <v>0</v>
      </c>
      <c r="W104" s="525">
        <f>IF('Entries June''25'!$AF29-'Entries June''25'!$AF28&lt;1,0,'Entries June''25'!$AF29-'Entries June''25'!$AF28)</f>
        <v>0</v>
      </c>
      <c r="X104" s="525">
        <f>IF('Entries June''25'!$AF30-'Entries June''25'!$AF29&lt;1,0,'Entries June''25'!$AF30-'Entries June''25'!$AF29)</f>
        <v>0</v>
      </c>
      <c r="Y104" s="525">
        <f>IF('Entries June''25'!$AF31-'Entries June''25'!$AF30&lt;1,0,'Entries June''25'!$AF31-'Entries June''25'!$AF30)</f>
        <v>0</v>
      </c>
      <c r="Z104" s="525">
        <f>IF('Entries June''25'!$AF32-'Entries June''25'!$AF31&lt;1,0,'Entries June''25'!$AF32-'Entries June''25'!$AF31)</f>
        <v>0</v>
      </c>
      <c r="AA104" s="525">
        <f>IF('Entries June''25'!$AF33-'Entries June''25'!$AF31&lt;1,0,'Entries June''25'!$AF33-'Entries June''25'!$AF31)</f>
        <v>0</v>
      </c>
      <c r="AB104" s="525">
        <f>IF('Entries June''25'!$AF34-'Entries June''25'!$AF33&lt;1,0,'Entries June''25'!$AF34-'Entries June''25'!$AF33)</f>
        <v>0</v>
      </c>
      <c r="AC104" s="525">
        <f>IF('Entries June''25'!$AF35-'Entries June''25'!$AF34&lt;1,0,'Entries June''25'!$AF35-'Entries June''25'!$AF34)</f>
        <v>0</v>
      </c>
      <c r="AD104" s="525" t="e">
        <f>IF('Entries June''25'!#REF!-'Entries June''25'!$AF35&lt;1,0,'Entries June''25'!#REF!-'Entries June''25'!$AF35)</f>
        <v>#REF!</v>
      </c>
      <c r="AE104" s="525" t="e">
        <f>IF('Entries June''25'!$AF36-'Entries June''25'!#REF!&lt;1,0,'Entries June''25'!$AF36-'Entries June''25'!#REF!)</f>
        <v>#REF!</v>
      </c>
      <c r="AF104" s="525">
        <f>IF('Entries June''25'!$AF37-'Entries June''25'!$AF36&lt;1,0,'Entries June''25'!$AF37-'Entries June''25'!$AF36)</f>
        <v>0</v>
      </c>
      <c r="AG104" s="377" t="e">
        <f>SUM(B104:AF104)</f>
        <v>#REF!</v>
      </c>
      <c r="AH104" s="377"/>
    </row>
    <row r="105" spans="1:78" hidden="1" x14ac:dyDescent="0.35">
      <c r="M105" s="367"/>
    </row>
    <row r="106" spans="1:78" hidden="1" x14ac:dyDescent="0.35">
      <c r="A106" s="180" t="s">
        <v>169</v>
      </c>
      <c r="M106" s="367"/>
    </row>
    <row r="107" spans="1:78" hidden="1" x14ac:dyDescent="0.35">
      <c r="M107" s="367"/>
    </row>
    <row r="108" spans="1:78" hidden="1" x14ac:dyDescent="0.35">
      <c r="M108" s="367"/>
    </row>
    <row r="109" spans="1:78" hidden="1" x14ac:dyDescent="0.35">
      <c r="M109" s="367"/>
    </row>
    <row r="110" spans="1:78" hidden="1" x14ac:dyDescent="0.35">
      <c r="A110" s="180" t="s">
        <v>153</v>
      </c>
      <c r="B110" s="409" t="s">
        <v>154</v>
      </c>
      <c r="C110" s="393">
        <f>+'Water '!$F8</f>
        <v>200</v>
      </c>
      <c r="M110" s="367"/>
      <c r="AB110" s="367" t="s">
        <v>154</v>
      </c>
      <c r="AC110" s="367" t="s">
        <v>154</v>
      </c>
      <c r="AF110" s="367" t="s">
        <v>154</v>
      </c>
      <c r="AG110" s="377">
        <f>SUM($B110:AC110)</f>
        <v>200</v>
      </c>
      <c r="AH110" s="377"/>
    </row>
    <row r="111" spans="1:78" hidden="1" x14ac:dyDescent="0.35">
      <c r="M111" s="367"/>
    </row>
    <row r="112" spans="1:78" hidden="1" x14ac:dyDescent="0.35">
      <c r="M112" s="367"/>
    </row>
    <row r="113" spans="2:33" hidden="1" x14ac:dyDescent="0.35">
      <c r="M113" s="367"/>
    </row>
    <row r="114" spans="2:33" hidden="1" x14ac:dyDescent="0.35">
      <c r="B114" s="524">
        <f>'Daily KPIs'!B79</f>
        <v>5785</v>
      </c>
      <c r="D114" s="524">
        <f>'Daily KPIs'!D79</f>
        <v>8987</v>
      </c>
      <c r="E114" s="524">
        <f>'Daily KPIs'!E79</f>
        <v>9013</v>
      </c>
      <c r="F114" s="524">
        <f>'Daily KPIs'!F79</f>
        <v>9609</v>
      </c>
      <c r="G114" s="524">
        <f>'Daily KPIs'!G79</f>
        <v>9086</v>
      </c>
      <c r="H114" s="524">
        <f>'Daily KPIs'!H79</f>
        <v>4198</v>
      </c>
      <c r="I114" s="524">
        <f>'Daily KPIs'!I79</f>
        <v>5365</v>
      </c>
      <c r="J114" s="525">
        <f>'Daily KPIs'!J79</f>
        <v>4505</v>
      </c>
      <c r="K114" s="525">
        <f>'Daily KPIs'!K79</f>
        <v>8188</v>
      </c>
      <c r="L114" s="525">
        <f>'Daily KPIs'!L79</f>
        <v>8791</v>
      </c>
      <c r="M114" s="525">
        <f>'Daily KPIs'!M79</f>
        <v>8463</v>
      </c>
      <c r="N114" s="525">
        <f>'Daily KPIs'!N79</f>
        <v>8406</v>
      </c>
      <c r="O114" s="525">
        <f>'Daily KPIs'!O79</f>
        <v>5577</v>
      </c>
      <c r="P114" s="525">
        <f>'Daily KPIs'!P79</f>
        <v>5267</v>
      </c>
      <c r="Q114" s="525">
        <f>'Daily KPIs'!Q79</f>
        <v>8328</v>
      </c>
      <c r="R114" s="525">
        <f>'Daily KPIs'!R79</f>
        <v>9244</v>
      </c>
      <c r="S114" s="525">
        <f>'Daily KPIs'!S79</f>
        <v>8232</v>
      </c>
      <c r="T114" s="525">
        <f>'Daily KPIs'!T79</f>
        <v>4708</v>
      </c>
      <c r="U114" s="525">
        <f>'Daily KPIs'!U79</f>
        <v>7111</v>
      </c>
      <c r="V114" s="525">
        <f>'Daily KPIs'!V79</f>
        <v>4606</v>
      </c>
      <c r="W114" s="525">
        <f>'Daily KPIs'!W79</f>
        <v>4876</v>
      </c>
      <c r="X114" s="525">
        <f>'Daily KPIs'!X79</f>
        <v>7892</v>
      </c>
      <c r="Y114" s="525">
        <f>'Daily KPIs'!Y79</f>
        <v>8542</v>
      </c>
      <c r="Z114" s="525">
        <f>'Daily KPIs'!Z79</f>
        <v>9522</v>
      </c>
      <c r="AA114" s="525">
        <f>'Daily KPIs'!AA79</f>
        <v>9213</v>
      </c>
      <c r="AB114" s="525">
        <f>'Daily KPIs'!AB79</f>
        <v>9215</v>
      </c>
      <c r="AC114" s="525">
        <f>'Daily KPIs'!AC79</f>
        <v>5934</v>
      </c>
      <c r="AD114" s="525">
        <f>'Daily KPIs'!AD79</f>
        <v>5694</v>
      </c>
      <c r="AE114" s="525">
        <f>'Daily KPIs'!AE79</f>
        <v>8694</v>
      </c>
      <c r="AF114" s="525">
        <f>'Daily KPIs'!AF79</f>
        <v>0</v>
      </c>
      <c r="AG114" s="524">
        <f>'Daily KPIs'!AG79</f>
        <v>222055</v>
      </c>
    </row>
    <row r="115" spans="2:33" hidden="1" x14ac:dyDescent="0.35">
      <c r="C115" s="524">
        <f>'Daily KPIs'!C79</f>
        <v>9004</v>
      </c>
      <c r="M115" s="367"/>
    </row>
    <row r="116" spans="2:33" hidden="1" x14ac:dyDescent="0.35">
      <c r="M116" s="367"/>
    </row>
    <row r="117" spans="2:33" hidden="1" x14ac:dyDescent="0.35">
      <c r="M117" s="367"/>
    </row>
    <row r="118" spans="2:33" hidden="1" x14ac:dyDescent="0.35">
      <c r="M118" s="367"/>
    </row>
    <row r="119" spans="2:33" hidden="1" x14ac:dyDescent="0.35">
      <c r="M119" s="367"/>
    </row>
    <row r="120" spans="2:33" hidden="1" x14ac:dyDescent="0.35">
      <c r="M120" s="367"/>
    </row>
    <row r="121" spans="2:33" hidden="1" x14ac:dyDescent="0.35">
      <c r="H121" s="366" t="s">
        <v>224</v>
      </c>
      <c r="M121" s="367"/>
      <c r="R121" s="387"/>
    </row>
    <row r="122" spans="2:33" hidden="1" x14ac:dyDescent="0.35">
      <c r="M122" s="367"/>
      <c r="R122" s="387"/>
    </row>
    <row r="123" spans="2:33" hidden="1" x14ac:dyDescent="0.35">
      <c r="M123" s="367"/>
    </row>
    <row r="124" spans="2:33" hidden="1" x14ac:dyDescent="0.35">
      <c r="M124" s="367"/>
    </row>
    <row r="125" spans="2:33" hidden="1" x14ac:dyDescent="0.35">
      <c r="M125" s="367"/>
    </row>
    <row r="126" spans="2:33" hidden="1" x14ac:dyDescent="0.35">
      <c r="M126" s="367"/>
    </row>
    <row r="127" spans="2:33" hidden="1" x14ac:dyDescent="0.35">
      <c r="M127" s="367"/>
    </row>
    <row r="128" spans="2:33" hidden="1" x14ac:dyDescent="0.35">
      <c r="M128" s="367"/>
    </row>
    <row r="129" spans="13:24" hidden="1" x14ac:dyDescent="0.35">
      <c r="M129" s="367"/>
    </row>
    <row r="130" spans="13:24" hidden="1" x14ac:dyDescent="0.35">
      <c r="M130" s="367"/>
    </row>
    <row r="131" spans="13:24" hidden="1" x14ac:dyDescent="0.35">
      <c r="M131" s="367"/>
    </row>
    <row r="132" spans="13:24" hidden="1" x14ac:dyDescent="0.35">
      <c r="M132" s="367"/>
    </row>
    <row r="133" spans="13:24" hidden="1" x14ac:dyDescent="0.35">
      <c r="M133" s="367"/>
    </row>
    <row r="134" spans="13:24" hidden="1" x14ac:dyDescent="0.35">
      <c r="M134" s="367"/>
    </row>
    <row r="135" spans="13:24" hidden="1" x14ac:dyDescent="0.35">
      <c r="M135" s="367"/>
    </row>
    <row r="136" spans="13:24" x14ac:dyDescent="0.35">
      <c r="M136" s="367"/>
    </row>
    <row r="137" spans="13:24" x14ac:dyDescent="0.35">
      <c r="M137" s="367"/>
    </row>
    <row r="138" spans="13:24" x14ac:dyDescent="0.35">
      <c r="M138" s="367"/>
      <c r="X138" s="367" t="s">
        <v>61</v>
      </c>
    </row>
    <row r="139" spans="13:24" x14ac:dyDescent="0.35">
      <c r="M139" s="367"/>
    </row>
    <row r="140" spans="13:24" x14ac:dyDescent="0.35">
      <c r="M140" s="367"/>
    </row>
    <row r="141" spans="13:24" x14ac:dyDescent="0.35">
      <c r="M141" s="367"/>
    </row>
    <row r="142" spans="13:24" x14ac:dyDescent="0.35">
      <c r="M142" s="367"/>
    </row>
    <row r="143" spans="13:24" x14ac:dyDescent="0.35">
      <c r="M143" s="367"/>
    </row>
    <row r="144" spans="13:24" x14ac:dyDescent="0.35">
      <c r="M144" s="367"/>
    </row>
    <row r="145" spans="13:13" x14ac:dyDescent="0.35">
      <c r="M145" s="367"/>
    </row>
    <row r="146" spans="13:13" x14ac:dyDescent="0.35">
      <c r="M146" s="367"/>
    </row>
    <row r="147" spans="13:13" x14ac:dyDescent="0.35">
      <c r="M147" s="367"/>
    </row>
    <row r="148" spans="13:13" x14ac:dyDescent="0.35">
      <c r="M148" s="367"/>
    </row>
    <row r="149" spans="13:13" x14ac:dyDescent="0.35">
      <c r="M149" s="367"/>
    </row>
    <row r="150" spans="13:13" x14ac:dyDescent="0.35">
      <c r="M150" s="367"/>
    </row>
    <row r="151" spans="13:13" x14ac:dyDescent="0.35">
      <c r="M151" s="367"/>
    </row>
    <row r="152" spans="13:13" x14ac:dyDescent="0.35">
      <c r="M152" s="367"/>
    </row>
    <row r="153" spans="13:13" x14ac:dyDescent="0.35">
      <c r="M153" s="367"/>
    </row>
    <row r="154" spans="13:13" x14ac:dyDescent="0.35">
      <c r="M154" s="367"/>
    </row>
    <row r="155" spans="13:13" x14ac:dyDescent="0.35">
      <c r="M155" s="367"/>
    </row>
    <row r="156" spans="13:13" x14ac:dyDescent="0.35">
      <c r="M156" s="367"/>
    </row>
    <row r="157" spans="13:13" x14ac:dyDescent="0.35">
      <c r="M157" s="367"/>
    </row>
    <row r="158" spans="13:13" x14ac:dyDescent="0.35">
      <c r="M158" s="367"/>
    </row>
    <row r="159" spans="13:13" x14ac:dyDescent="0.35">
      <c r="M159" s="367"/>
    </row>
    <row r="160" spans="13:13" x14ac:dyDescent="0.35">
      <c r="M160" s="367"/>
    </row>
    <row r="161" spans="13:13" x14ac:dyDescent="0.35">
      <c r="M161" s="367"/>
    </row>
    <row r="162" spans="13:13" x14ac:dyDescent="0.35">
      <c r="M162" s="367"/>
    </row>
    <row r="163" spans="13:13" x14ac:dyDescent="0.35">
      <c r="M163" s="367"/>
    </row>
    <row r="164" spans="13:13" x14ac:dyDescent="0.35">
      <c r="M164" s="367"/>
    </row>
    <row r="165" spans="13:13" x14ac:dyDescent="0.35">
      <c r="M165" s="367"/>
    </row>
    <row r="166" spans="13:13" x14ac:dyDescent="0.35">
      <c r="M166" s="367"/>
    </row>
    <row r="167" spans="13:13" x14ac:dyDescent="0.35">
      <c r="M167" s="367"/>
    </row>
    <row r="168" spans="13:13" x14ac:dyDescent="0.35">
      <c r="M168" s="367"/>
    </row>
    <row r="169" spans="13:13" x14ac:dyDescent="0.35">
      <c r="M169" s="367"/>
    </row>
    <row r="170" spans="13:13" x14ac:dyDescent="0.35">
      <c r="M170" s="367"/>
    </row>
    <row r="171" spans="13:13" x14ac:dyDescent="0.35">
      <c r="M171" s="367"/>
    </row>
    <row r="172" spans="13:13" x14ac:dyDescent="0.35">
      <c r="M172" s="367"/>
    </row>
  </sheetData>
  <mergeCells count="1">
    <mergeCell ref="AH6:AH7"/>
  </mergeCells>
  <phoneticPr fontId="33" type="noConversion"/>
  <conditionalFormatting sqref="B91:C91">
    <cfRule type="cellIs" dxfId="21" priority="82" operator="greaterThan">
      <formula>$AH$91</formula>
    </cfRule>
  </conditionalFormatting>
  <conditionalFormatting sqref="B22:AF22">
    <cfRule type="cellIs" dxfId="20" priority="56" operator="greaterThan">
      <formula>400</formula>
    </cfRule>
  </conditionalFormatting>
  <conditionalFormatting sqref="B42:AF42">
    <cfRule type="cellIs" dxfId="19" priority="2" operator="greaterThan">
      <formula>70</formula>
    </cfRule>
  </conditionalFormatting>
  <conditionalFormatting sqref="B92:AF92">
    <cfRule type="cellIs" dxfId="18" priority="1129" operator="greaterThan">
      <formula>$AH$92</formula>
    </cfRule>
  </conditionalFormatting>
  <conditionalFormatting sqref="B94:AF94">
    <cfRule type="cellIs" dxfId="17" priority="1131" operator="greaterThan">
      <formula>$AH$94</formula>
    </cfRule>
  </conditionalFormatting>
  <conditionalFormatting sqref="B15:AG15 B54:AG54">
    <cfRule type="cellIs" dxfId="16" priority="78" operator="greaterThan">
      <formula>3.2</formula>
    </cfRule>
  </conditionalFormatting>
  <conditionalFormatting sqref="B56:AG56">
    <cfRule type="cellIs" dxfId="15" priority="16" operator="greaterThan">
      <formula>0.1</formula>
    </cfRule>
  </conditionalFormatting>
  <conditionalFormatting sqref="B57:AG57 B59:AG59 B61:AG61">
    <cfRule type="cellIs" dxfId="14" priority="17" operator="greaterThan">
      <formula>0.7</formula>
    </cfRule>
  </conditionalFormatting>
  <conditionalFormatting sqref="B58:AG58 B62:AG62">
    <cfRule type="cellIs" dxfId="13" priority="18" operator="greaterThan">
      <formula>1</formula>
    </cfRule>
  </conditionalFormatting>
  <conditionalFormatting sqref="B60:AG60">
    <cfRule type="cellIs" dxfId="12" priority="20" operator="greaterThan">
      <formula>2.1</formula>
    </cfRule>
  </conditionalFormatting>
  <conditionalFormatting sqref="B65:AG65">
    <cfRule type="cellIs" dxfId="11" priority="11" operator="greaterThan">
      <formula>0.3</formula>
    </cfRule>
  </conditionalFormatting>
  <conditionalFormatting sqref="B68:AG68">
    <cfRule type="cellIs" dxfId="10" priority="13" operator="greaterThan">
      <formula>9.6</formula>
    </cfRule>
  </conditionalFormatting>
  <conditionalFormatting sqref="B69:AG69">
    <cfRule type="cellIs" dxfId="9" priority="14" operator="greaterThan">
      <formula>2.9</formula>
    </cfRule>
  </conditionalFormatting>
  <conditionalFormatting sqref="B88:AG88 AG89 AG92:AG93">
    <cfRule type="cellIs" dxfId="8" priority="1123" operator="greaterThan">
      <formula>$AH$88</formula>
    </cfRule>
  </conditionalFormatting>
  <conditionalFormatting sqref="B90:AG90">
    <cfRule type="cellIs" dxfId="7" priority="3" operator="greaterThan">
      <formula>5.04</formula>
    </cfRule>
  </conditionalFormatting>
  <conditionalFormatting sqref="C44">
    <cfRule type="cellIs" dxfId="6" priority="1" operator="greaterThan">
      <formula>2</formula>
    </cfRule>
  </conditionalFormatting>
  <conditionalFormatting sqref="D44:AF44 B44">
    <cfRule type="colorScale" priority="1139">
      <colorScale>
        <cfvo type="min"/>
        <cfvo type="max"/>
        <color theme="0"/>
        <color rgb="FFFF0000"/>
      </colorScale>
    </cfRule>
  </conditionalFormatting>
  <conditionalFormatting sqref="I63:AG63">
    <cfRule type="cellIs" dxfId="5" priority="23" operator="greaterThan">
      <formula>0.6</formula>
    </cfRule>
  </conditionalFormatting>
  <conditionalFormatting sqref="AC54:AF54">
    <cfRule type="cellIs" dxfId="4" priority="37" operator="greaterThan">
      <formula>$AH$54</formula>
    </cfRule>
  </conditionalFormatting>
  <conditionalFormatting sqref="AC55:AF61 AC63:AF63 B64:AF64">
    <cfRule type="cellIs" dxfId="3" priority="1090" operator="greaterThan">
      <formula>$AH59</formula>
    </cfRule>
  </conditionalFormatting>
  <conditionalFormatting sqref="AI8">
    <cfRule type="cellIs" dxfId="2" priority="60" operator="greaterThan">
      <formula>0</formula>
    </cfRule>
    <cfRule type="cellIs" dxfId="1" priority="61" operator="lessThan">
      <formula>0</formula>
    </cfRule>
  </conditionalFormatting>
  <conditionalFormatting sqref="AJ88:AJ94">
    <cfRule type="cellIs" dxfId="0" priority="5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G103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topLeftCell="A13" workbookViewId="0">
      <selection activeCell="E7" sqref="E7"/>
    </sheetView>
  </sheetViews>
  <sheetFormatPr defaultRowHeight="12.75" x14ac:dyDescent="0.2"/>
  <cols>
    <col min="2" max="2" width="13.5703125" customWidth="1"/>
    <col min="3" max="3" width="18.5703125" customWidth="1"/>
    <col min="4" max="4" width="17.5703125" customWidth="1"/>
    <col min="5" max="5" width="14" customWidth="1"/>
    <col min="6" max="6" width="14.42578125" customWidth="1"/>
    <col min="7" max="7" width="16.42578125" customWidth="1"/>
    <col min="8" max="9" width="14.5703125" customWidth="1"/>
    <col min="10" max="12" width="15.42578125" customWidth="1"/>
    <col min="13" max="14" width="15.5703125" customWidth="1"/>
    <col min="15" max="15" width="14" customWidth="1"/>
    <col min="16" max="16" width="12" customWidth="1"/>
    <col min="17" max="17" width="12.42578125" customWidth="1"/>
    <col min="18" max="18" width="11.42578125" customWidth="1"/>
  </cols>
  <sheetData>
    <row r="1" spans="1:18" ht="15.75" x14ac:dyDescent="0.25">
      <c r="A1" s="8"/>
      <c r="B1" s="8"/>
      <c r="C1" s="8"/>
      <c r="D1" s="8"/>
      <c r="E1" s="8"/>
      <c r="F1" s="67" t="s">
        <v>307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8"/>
      <c r="B4" s="69" t="s">
        <v>18</v>
      </c>
      <c r="C4" s="69" t="s">
        <v>81</v>
      </c>
      <c r="D4" s="70" t="s">
        <v>80</v>
      </c>
      <c r="E4" s="70" t="s">
        <v>78</v>
      </c>
      <c r="F4" s="70" t="s">
        <v>79</v>
      </c>
      <c r="G4" s="70" t="s">
        <v>79</v>
      </c>
      <c r="H4" s="69" t="s">
        <v>75</v>
      </c>
      <c r="I4" s="69" t="s">
        <v>75</v>
      </c>
      <c r="J4" s="69" t="s">
        <v>76</v>
      </c>
      <c r="K4" s="69" t="s">
        <v>76</v>
      </c>
      <c r="L4" s="69" t="s">
        <v>82</v>
      </c>
      <c r="M4" s="70" t="s">
        <v>77</v>
      </c>
      <c r="N4" s="70" t="s">
        <v>162</v>
      </c>
      <c r="O4" s="70" t="s">
        <v>53</v>
      </c>
      <c r="P4" s="70"/>
      <c r="Q4" s="70"/>
      <c r="R4" s="68"/>
    </row>
    <row r="5" spans="1:18" ht="15.75" x14ac:dyDescent="0.25">
      <c r="A5" s="71" t="s">
        <v>7</v>
      </c>
      <c r="B5" s="69" t="s">
        <v>121</v>
      </c>
      <c r="C5" s="69" t="s">
        <v>122</v>
      </c>
      <c r="D5" s="69" t="s">
        <v>123</v>
      </c>
      <c r="E5" s="69" t="s">
        <v>124</v>
      </c>
      <c r="F5" s="69" t="s">
        <v>124</v>
      </c>
      <c r="G5" s="69" t="s">
        <v>122</v>
      </c>
      <c r="H5" s="69" t="s">
        <v>125</v>
      </c>
      <c r="I5" s="69" t="s">
        <v>126</v>
      </c>
      <c r="J5" s="69" t="s">
        <v>125</v>
      </c>
      <c r="K5" s="69" t="s">
        <v>126</v>
      </c>
      <c r="L5" s="69" t="s">
        <v>126</v>
      </c>
      <c r="M5" s="69" t="s">
        <v>125</v>
      </c>
      <c r="N5" s="69" t="s">
        <v>125</v>
      </c>
      <c r="O5" s="69" t="s">
        <v>66</v>
      </c>
      <c r="P5" s="70" t="s">
        <v>54</v>
      </c>
      <c r="Q5" s="70" t="s">
        <v>48</v>
      </c>
      <c r="R5" s="72" t="s">
        <v>15</v>
      </c>
    </row>
    <row r="6" spans="1:18" ht="15.75" thickBot="1" x14ac:dyDescent="0.25">
      <c r="A6" s="55">
        <v>31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4" t="s">
        <v>67</v>
      </c>
    </row>
    <row r="7" spans="1:18" ht="15" x14ac:dyDescent="0.25">
      <c r="A7" s="46">
        <v>1</v>
      </c>
      <c r="B7" s="56">
        <f>'Entries June''25'!O7</f>
        <v>180743</v>
      </c>
      <c r="C7" s="56">
        <f>B8-B7</f>
        <v>0</v>
      </c>
      <c r="D7" s="56">
        <f>C7-G7</f>
        <v>-72</v>
      </c>
      <c r="E7" s="57">
        <f>'Entries June''25'!Y7</f>
        <v>33760</v>
      </c>
      <c r="F7" s="58">
        <f>'Entries June''25'!V7</f>
        <v>1298636</v>
      </c>
      <c r="G7" s="58">
        <f>F8-F7</f>
        <v>72</v>
      </c>
      <c r="H7" s="58">
        <f>'Entries June''25'!AA7</f>
        <v>97122</v>
      </c>
      <c r="I7" s="59">
        <f>H8-H7</f>
        <v>0</v>
      </c>
      <c r="J7" s="58">
        <f>'Entries June''25'!V7</f>
        <v>1298636</v>
      </c>
      <c r="K7" s="59">
        <f>J8-J7</f>
        <v>-1298636</v>
      </c>
      <c r="L7" s="59">
        <f>K7+I7</f>
        <v>-1298636</v>
      </c>
      <c r="M7" s="58">
        <f>'Entries June''25'!R7</f>
        <v>0</v>
      </c>
      <c r="N7" s="58">
        <f>'Entries June''25'!AC8-'Entries June''25'!AC7</f>
        <v>0</v>
      </c>
      <c r="O7" s="58">
        <f>C7+D7+G7</f>
        <v>0</v>
      </c>
      <c r="P7" s="60"/>
      <c r="Q7" s="45"/>
      <c r="R7" s="61" t="e">
        <f t="shared" ref="R7:R34" si="0">SUM(O7/Q7)</f>
        <v>#DIV/0!</v>
      </c>
    </row>
    <row r="8" spans="1:18" ht="15" x14ac:dyDescent="0.25">
      <c r="A8" s="46">
        <v>2</v>
      </c>
      <c r="B8" s="56">
        <f>'Entries June''25'!O8</f>
        <v>180743</v>
      </c>
      <c r="C8" s="56">
        <f t="shared" ref="C8:C34" si="1">B9-B8</f>
        <v>267</v>
      </c>
      <c r="D8" s="56">
        <f t="shared" ref="D8:D35" si="2">C8-G8</f>
        <v>67</v>
      </c>
      <c r="E8" s="57">
        <f>'Entries June''25'!W8</f>
        <v>0</v>
      </c>
      <c r="F8" s="58">
        <f>'Entries June''25'!V8</f>
        <v>1298708</v>
      </c>
      <c r="G8" s="43">
        <f>F9-F8</f>
        <v>200</v>
      </c>
      <c r="H8" s="58">
        <f>'Entries June''25'!AA8</f>
        <v>97122</v>
      </c>
      <c r="I8" s="59">
        <f t="shared" ref="I8:I34" si="3">H9-H8</f>
        <v>0</v>
      </c>
      <c r="J8" s="58">
        <f>'Entries June''25'!T8</f>
        <v>0</v>
      </c>
      <c r="K8" s="59">
        <f t="shared" ref="K8:K34" si="4">J9-J8</f>
        <v>0</v>
      </c>
      <c r="L8" s="59">
        <f>K8+I8</f>
        <v>0</v>
      </c>
      <c r="M8" s="58">
        <f>'Entries June''25'!R8</f>
        <v>0</v>
      </c>
      <c r="N8" s="58">
        <f>'Entries June''25'!AC9-'Entries June''25'!AC8</f>
        <v>0</v>
      </c>
      <c r="O8" s="58">
        <f t="shared" ref="O8:O34" si="5">C8+D8+G8</f>
        <v>534</v>
      </c>
      <c r="P8" s="63"/>
      <c r="Q8" s="42"/>
      <c r="R8" s="61" t="e">
        <f t="shared" si="0"/>
        <v>#DIV/0!</v>
      </c>
    </row>
    <row r="9" spans="1:18" ht="15" x14ac:dyDescent="0.25">
      <c r="A9" s="46">
        <v>3</v>
      </c>
      <c r="B9" s="56">
        <f>'Entries June''25'!O9</f>
        <v>181010</v>
      </c>
      <c r="C9" s="56">
        <f t="shared" si="1"/>
        <v>288</v>
      </c>
      <c r="D9" s="56">
        <f t="shared" si="2"/>
        <v>149</v>
      </c>
      <c r="E9" s="57">
        <f>'Entries June''25'!W9</f>
        <v>0</v>
      </c>
      <c r="F9" s="58">
        <f>'Entries June''25'!V9</f>
        <v>1298908</v>
      </c>
      <c r="G9" s="58">
        <f>F10-F9</f>
        <v>139</v>
      </c>
      <c r="H9" s="58">
        <f>'Entries June''25'!AA9</f>
        <v>97122</v>
      </c>
      <c r="I9" s="59">
        <f t="shared" si="3"/>
        <v>0</v>
      </c>
      <c r="J9" s="58">
        <f>'Entries June''25'!T9</f>
        <v>0</v>
      </c>
      <c r="K9" s="59">
        <f t="shared" si="4"/>
        <v>0</v>
      </c>
      <c r="L9" s="59">
        <f t="shared" ref="L9:L34" si="6">K9+I9</f>
        <v>0</v>
      </c>
      <c r="M9" s="58">
        <f>'Entries June''25'!R11</f>
        <v>0</v>
      </c>
      <c r="N9" s="58">
        <f>'Entries June''25'!AC10-'Entries June''25'!AC9</f>
        <v>42</v>
      </c>
      <c r="O9" s="58">
        <f t="shared" si="5"/>
        <v>576</v>
      </c>
      <c r="P9" s="63"/>
      <c r="Q9" s="42"/>
      <c r="R9" s="61" t="e">
        <f t="shared" si="0"/>
        <v>#DIV/0!</v>
      </c>
    </row>
    <row r="10" spans="1:18" ht="15" x14ac:dyDescent="0.25">
      <c r="A10" s="46">
        <v>4</v>
      </c>
      <c r="B10" s="56">
        <f>'Entries June''25'!O10</f>
        <v>181298</v>
      </c>
      <c r="C10" s="56">
        <f t="shared" si="1"/>
        <v>198</v>
      </c>
      <c r="D10" s="56">
        <f t="shared" si="2"/>
        <v>17</v>
      </c>
      <c r="E10" s="57">
        <f>'Entries June''25'!W10</f>
        <v>0</v>
      </c>
      <c r="F10" s="58">
        <f>'Entries June''25'!V10</f>
        <v>1299047</v>
      </c>
      <c r="G10" s="43">
        <f t="shared" ref="G10:G34" si="7">F11-F10</f>
        <v>181</v>
      </c>
      <c r="H10" s="58">
        <f>'Entries June''25'!AA10</f>
        <v>97122</v>
      </c>
      <c r="I10" s="59">
        <f t="shared" si="3"/>
        <v>0</v>
      </c>
      <c r="J10" s="58">
        <f>'Entries June''25'!T10</f>
        <v>0</v>
      </c>
      <c r="K10" s="59">
        <f t="shared" si="4"/>
        <v>0</v>
      </c>
      <c r="L10" s="59">
        <f t="shared" si="6"/>
        <v>0</v>
      </c>
      <c r="M10" s="58">
        <f>'Entries June''25'!R10</f>
        <v>0</v>
      </c>
      <c r="N10" s="58">
        <f>'Entries June''25'!AC11-'Entries June''25'!AC10</f>
        <v>22</v>
      </c>
      <c r="O10" s="58">
        <f t="shared" si="5"/>
        <v>396</v>
      </c>
      <c r="P10" s="63"/>
      <c r="Q10" s="42"/>
      <c r="R10" s="61" t="e">
        <f t="shared" si="0"/>
        <v>#DIV/0!</v>
      </c>
    </row>
    <row r="11" spans="1:18" ht="15" x14ac:dyDescent="0.25">
      <c r="A11" s="46">
        <v>5</v>
      </c>
      <c r="B11" s="56">
        <f>'Entries June''25'!O11</f>
        <v>181496</v>
      </c>
      <c r="C11" s="56">
        <f t="shared" si="1"/>
        <v>141</v>
      </c>
      <c r="D11" s="56">
        <f t="shared" si="2"/>
        <v>-135</v>
      </c>
      <c r="E11" s="57">
        <f>'Entries June''25'!W11</f>
        <v>0</v>
      </c>
      <c r="F11" s="58">
        <f>'Entries June''25'!V11</f>
        <v>1299228</v>
      </c>
      <c r="G11" s="58">
        <f t="shared" si="7"/>
        <v>276</v>
      </c>
      <c r="H11" s="58">
        <f>'Entries June''25'!AA11</f>
        <v>97122</v>
      </c>
      <c r="I11" s="59">
        <f t="shared" si="3"/>
        <v>0</v>
      </c>
      <c r="J11" s="58">
        <f>'Entries June''25'!T11</f>
        <v>0</v>
      </c>
      <c r="K11" s="59">
        <f t="shared" si="4"/>
        <v>0</v>
      </c>
      <c r="L11" s="59">
        <f t="shared" si="6"/>
        <v>0</v>
      </c>
      <c r="M11" s="58">
        <f>'Entries June''25'!R11</f>
        <v>0</v>
      </c>
      <c r="N11" s="58">
        <f>'Entries June''25'!AC12-'Entries June''25'!AC11</f>
        <v>23</v>
      </c>
      <c r="O11" s="58">
        <f t="shared" si="5"/>
        <v>282</v>
      </c>
      <c r="P11" s="63"/>
      <c r="Q11" s="45"/>
      <c r="R11" s="61" t="e">
        <f t="shared" si="0"/>
        <v>#DIV/0!</v>
      </c>
    </row>
    <row r="12" spans="1:18" ht="15" x14ac:dyDescent="0.25">
      <c r="A12" s="46">
        <v>6</v>
      </c>
      <c r="B12" s="56">
        <f>'Entries June''25'!O12</f>
        <v>181637</v>
      </c>
      <c r="C12" s="56">
        <f t="shared" si="1"/>
        <v>223</v>
      </c>
      <c r="D12" s="56">
        <f t="shared" si="2"/>
        <v>-79</v>
      </c>
      <c r="E12" s="57">
        <f>'Entries June''25'!W12</f>
        <v>0</v>
      </c>
      <c r="F12" s="58">
        <f>'Entries June''25'!V12</f>
        <v>1299504</v>
      </c>
      <c r="G12" s="58">
        <f t="shared" si="7"/>
        <v>302</v>
      </c>
      <c r="H12" s="58">
        <f>'Entries June''25'!AA12</f>
        <v>97122</v>
      </c>
      <c r="I12" s="59">
        <f t="shared" si="3"/>
        <v>0</v>
      </c>
      <c r="J12" s="58">
        <f>'Entries June''25'!T12</f>
        <v>0</v>
      </c>
      <c r="K12" s="59">
        <f t="shared" si="4"/>
        <v>20915</v>
      </c>
      <c r="L12" s="59">
        <f t="shared" si="6"/>
        <v>20915</v>
      </c>
      <c r="M12" s="58">
        <f>'Entries June''25'!R12</f>
        <v>0</v>
      </c>
      <c r="N12" s="58">
        <f>'Entries June''25'!AC13-'Entries June''25'!AC12</f>
        <v>17</v>
      </c>
      <c r="O12" s="58">
        <f t="shared" si="5"/>
        <v>446</v>
      </c>
      <c r="P12" s="63"/>
      <c r="Q12" s="45"/>
      <c r="R12" s="61" t="e">
        <f t="shared" si="0"/>
        <v>#DIV/0!</v>
      </c>
    </row>
    <row r="13" spans="1:18" ht="15" x14ac:dyDescent="0.25">
      <c r="A13" s="46">
        <v>7</v>
      </c>
      <c r="B13" s="56">
        <f>'Entries June''25'!O13</f>
        <v>181860</v>
      </c>
      <c r="C13" s="56">
        <f t="shared" si="1"/>
        <v>0</v>
      </c>
      <c r="D13" s="56">
        <f t="shared" si="2"/>
        <v>0</v>
      </c>
      <c r="E13" s="57">
        <f>'Entries June''25'!W13</f>
        <v>0</v>
      </c>
      <c r="F13" s="58">
        <f>'Entries June''25'!V13</f>
        <v>1299806</v>
      </c>
      <c r="G13" s="58">
        <f t="shared" si="7"/>
        <v>0</v>
      </c>
      <c r="H13" s="58">
        <f>'Entries June''25'!AA13</f>
        <v>97122</v>
      </c>
      <c r="I13" s="59">
        <f t="shared" si="3"/>
        <v>0</v>
      </c>
      <c r="J13" s="58">
        <f>'Entries June''25'!U13</f>
        <v>20915</v>
      </c>
      <c r="K13" s="59">
        <f t="shared" si="4"/>
        <v>-20915</v>
      </c>
      <c r="L13" s="59">
        <f t="shared" si="6"/>
        <v>-20915</v>
      </c>
      <c r="M13" s="58">
        <f>'Entries June''25'!R13</f>
        <v>0</v>
      </c>
      <c r="N13" s="58">
        <f>'Entries June''25'!AC14-'Entries June''25'!AC13</f>
        <v>2</v>
      </c>
      <c r="O13" s="58">
        <f t="shared" si="5"/>
        <v>0</v>
      </c>
      <c r="P13" s="63"/>
      <c r="Q13" s="45"/>
      <c r="R13" s="61" t="e">
        <f t="shared" si="0"/>
        <v>#DIV/0!</v>
      </c>
    </row>
    <row r="14" spans="1:18" ht="15" x14ac:dyDescent="0.25">
      <c r="A14" s="46">
        <v>8</v>
      </c>
      <c r="B14" s="56">
        <f>'Entries June''25'!O14</f>
        <v>181860</v>
      </c>
      <c r="C14" s="56">
        <f t="shared" si="1"/>
        <v>0</v>
      </c>
      <c r="D14" s="56">
        <f t="shared" si="2"/>
        <v>-93</v>
      </c>
      <c r="E14" s="57">
        <f>'Entries June''25'!W14</f>
        <v>0</v>
      </c>
      <c r="F14" s="58">
        <f>'Entries June''25'!V14</f>
        <v>1299806</v>
      </c>
      <c r="G14" s="58">
        <f>F15-F14</f>
        <v>93</v>
      </c>
      <c r="H14" s="58">
        <f>'Entries June''25'!AA14</f>
        <v>97122</v>
      </c>
      <c r="I14" s="59">
        <f t="shared" si="3"/>
        <v>0</v>
      </c>
      <c r="J14" s="58">
        <f>'Entries June''25'!T14</f>
        <v>0</v>
      </c>
      <c r="K14" s="59">
        <f t="shared" si="4"/>
        <v>0</v>
      </c>
      <c r="L14" s="59">
        <f t="shared" si="6"/>
        <v>0</v>
      </c>
      <c r="M14" s="58">
        <f>'Entries June''25'!R14</f>
        <v>0</v>
      </c>
      <c r="N14" s="58">
        <f>'Entries June''25'!AC15-'Entries June''25'!AC14</f>
        <v>0</v>
      </c>
      <c r="O14" s="58">
        <f t="shared" si="5"/>
        <v>0</v>
      </c>
      <c r="P14" s="63"/>
      <c r="Q14" s="45"/>
      <c r="R14" s="61" t="e">
        <f t="shared" si="0"/>
        <v>#DIV/0!</v>
      </c>
    </row>
    <row r="15" spans="1:18" ht="15" x14ac:dyDescent="0.25">
      <c r="A15" s="46">
        <v>9</v>
      </c>
      <c r="B15" s="56">
        <f>'Entries June''25'!O15</f>
        <v>181860</v>
      </c>
      <c r="C15" s="56">
        <f t="shared" si="1"/>
        <v>0</v>
      </c>
      <c r="D15" s="56">
        <f t="shared" si="2"/>
        <v>0</v>
      </c>
      <c r="E15" s="57">
        <f>'Entries June''25'!W15</f>
        <v>0</v>
      </c>
      <c r="F15" s="58">
        <f>'Entries June''25'!V15</f>
        <v>1299899</v>
      </c>
      <c r="G15" s="58">
        <f t="shared" si="7"/>
        <v>0</v>
      </c>
      <c r="H15" s="58">
        <f>'Entries June''25'!AA15</f>
        <v>97122</v>
      </c>
      <c r="I15" s="59">
        <f t="shared" si="3"/>
        <v>0</v>
      </c>
      <c r="J15" s="58">
        <f>'Entries June''25'!T15</f>
        <v>0</v>
      </c>
      <c r="K15" s="59">
        <f t="shared" si="4"/>
        <v>0</v>
      </c>
      <c r="L15" s="59">
        <f t="shared" si="6"/>
        <v>0</v>
      </c>
      <c r="M15" s="58">
        <f>'Entries June''25'!R15</f>
        <v>0</v>
      </c>
      <c r="N15" s="58">
        <f>'Entries June''25'!AC16-'Entries June''25'!AC15</f>
        <v>0</v>
      </c>
      <c r="O15" s="58">
        <f t="shared" si="5"/>
        <v>0</v>
      </c>
      <c r="P15" s="63"/>
      <c r="Q15" s="45"/>
      <c r="R15" s="61" t="e">
        <f t="shared" si="0"/>
        <v>#DIV/0!</v>
      </c>
    </row>
    <row r="16" spans="1:18" ht="15" x14ac:dyDescent="0.25">
      <c r="A16" s="46">
        <v>10</v>
      </c>
      <c r="B16" s="56">
        <f>'Entries June''25'!O16</f>
        <v>181860</v>
      </c>
      <c r="C16" s="56">
        <f t="shared" si="1"/>
        <v>171</v>
      </c>
      <c r="D16" s="56">
        <f t="shared" si="2"/>
        <v>28</v>
      </c>
      <c r="E16" s="57">
        <f>'Entries June''25'!W16</f>
        <v>0</v>
      </c>
      <c r="F16" s="58">
        <f>'Entries June''25'!V16</f>
        <v>1299899</v>
      </c>
      <c r="G16" s="58">
        <f t="shared" si="7"/>
        <v>143</v>
      </c>
      <c r="H16" s="58">
        <f>'Entries June''25'!AA16</f>
        <v>97122</v>
      </c>
      <c r="I16" s="59">
        <f t="shared" si="3"/>
        <v>0</v>
      </c>
      <c r="J16" s="58">
        <f>'Entries June''25'!T16</f>
        <v>0</v>
      </c>
      <c r="K16" s="59">
        <f t="shared" si="4"/>
        <v>0</v>
      </c>
      <c r="L16" s="59">
        <f t="shared" si="6"/>
        <v>0</v>
      </c>
      <c r="M16" s="58">
        <f>'Entries June''25'!R16</f>
        <v>0</v>
      </c>
      <c r="N16" s="58">
        <f>'Entries June''25'!AC17-'Entries June''25'!AC16</f>
        <v>0</v>
      </c>
      <c r="O16" s="58">
        <f t="shared" si="5"/>
        <v>342</v>
      </c>
      <c r="P16" s="63"/>
      <c r="Q16" s="45"/>
      <c r="R16" s="61" t="e">
        <f t="shared" si="0"/>
        <v>#DIV/0!</v>
      </c>
    </row>
    <row r="17" spans="1:18" ht="15" x14ac:dyDescent="0.25">
      <c r="A17" s="46">
        <v>11</v>
      </c>
      <c r="B17" s="56">
        <f>'Entries June''25'!O17</f>
        <v>182031</v>
      </c>
      <c r="C17" s="56">
        <f t="shared" si="1"/>
        <v>304</v>
      </c>
      <c r="D17" s="56">
        <f t="shared" si="2"/>
        <v>130</v>
      </c>
      <c r="E17" s="57">
        <f>'Entries June''25'!W17</f>
        <v>0</v>
      </c>
      <c r="F17" s="58">
        <f>'Entries June''25'!V17</f>
        <v>1300042</v>
      </c>
      <c r="G17" s="58">
        <f t="shared" si="7"/>
        <v>174</v>
      </c>
      <c r="H17" s="58">
        <f>'Entries June''25'!AA17</f>
        <v>97122</v>
      </c>
      <c r="I17" s="59">
        <f t="shared" si="3"/>
        <v>0</v>
      </c>
      <c r="J17" s="58">
        <f>'Entries June''25'!T17</f>
        <v>0</v>
      </c>
      <c r="K17" s="59">
        <f t="shared" si="4"/>
        <v>0</v>
      </c>
      <c r="L17" s="59">
        <f t="shared" si="6"/>
        <v>0</v>
      </c>
      <c r="M17" s="58">
        <f>'Entries June''25'!R17</f>
        <v>0</v>
      </c>
      <c r="N17" s="58">
        <f>'Entries June''25'!AC18-'Entries June''25'!AC17</f>
        <v>0</v>
      </c>
      <c r="O17" s="58">
        <f t="shared" si="5"/>
        <v>608</v>
      </c>
      <c r="P17" s="63"/>
      <c r="Q17" s="45"/>
      <c r="R17" s="61" t="e">
        <f t="shared" si="0"/>
        <v>#DIV/0!</v>
      </c>
    </row>
    <row r="18" spans="1:18" ht="15" x14ac:dyDescent="0.25">
      <c r="A18" s="46">
        <v>12</v>
      </c>
      <c r="B18" s="56">
        <f>'Entries June''25'!O18</f>
        <v>182335</v>
      </c>
      <c r="C18" s="56">
        <f t="shared" si="1"/>
        <v>24</v>
      </c>
      <c r="D18" s="56">
        <f t="shared" si="2"/>
        <v>-266</v>
      </c>
      <c r="E18" s="57">
        <f>'Entries June''25'!W18</f>
        <v>0</v>
      </c>
      <c r="F18" s="58">
        <f>'Entries June''25'!V18</f>
        <v>1300216</v>
      </c>
      <c r="G18" s="58">
        <f t="shared" si="7"/>
        <v>290</v>
      </c>
      <c r="H18" s="58">
        <f>'Entries June''25'!AA18</f>
        <v>97122</v>
      </c>
      <c r="I18" s="59">
        <f t="shared" si="3"/>
        <v>0</v>
      </c>
      <c r="J18" s="58">
        <f>'Entries June''25'!T18</f>
        <v>0</v>
      </c>
      <c r="K18" s="59">
        <f t="shared" si="4"/>
        <v>0</v>
      </c>
      <c r="L18" s="59">
        <f t="shared" si="6"/>
        <v>0</v>
      </c>
      <c r="M18" s="58">
        <f>'Entries June''25'!R18</f>
        <v>0</v>
      </c>
      <c r="N18" s="58">
        <f>'Entries June''25'!AC19-'Entries June''25'!AC18</f>
        <v>65</v>
      </c>
      <c r="O18" s="58">
        <f t="shared" si="5"/>
        <v>48</v>
      </c>
      <c r="P18" s="63"/>
      <c r="Q18" s="45"/>
      <c r="R18" s="61" t="e">
        <f t="shared" si="0"/>
        <v>#DIV/0!</v>
      </c>
    </row>
    <row r="19" spans="1:18" ht="15" x14ac:dyDescent="0.25">
      <c r="A19" s="46">
        <v>13</v>
      </c>
      <c r="B19" s="56">
        <f>'Entries June''25'!O19</f>
        <v>182359</v>
      </c>
      <c r="C19" s="56">
        <f t="shared" si="1"/>
        <v>69</v>
      </c>
      <c r="D19" s="56">
        <f t="shared" si="2"/>
        <v>-224</v>
      </c>
      <c r="E19" s="57">
        <f>'Entries June''25'!W19</f>
        <v>0</v>
      </c>
      <c r="F19" s="58">
        <f>'Entries June''25'!V19</f>
        <v>1300506</v>
      </c>
      <c r="G19" s="58">
        <f t="shared" si="7"/>
        <v>293</v>
      </c>
      <c r="H19" s="58">
        <f>'Entries June''25'!AA19</f>
        <v>97122</v>
      </c>
      <c r="I19" s="59">
        <f t="shared" si="3"/>
        <v>0</v>
      </c>
      <c r="J19" s="58">
        <f>'Entries June''25'!T19</f>
        <v>0</v>
      </c>
      <c r="K19" s="59">
        <f>J20-J19</f>
        <v>0</v>
      </c>
      <c r="L19" s="59">
        <f t="shared" si="6"/>
        <v>0</v>
      </c>
      <c r="M19" s="58">
        <f>'Entries June''25'!R19</f>
        <v>0</v>
      </c>
      <c r="N19" s="58">
        <f>'Entries June''25'!AC20-'Entries June''25'!AC19</f>
        <v>20</v>
      </c>
      <c r="O19" s="58">
        <f t="shared" si="5"/>
        <v>138</v>
      </c>
      <c r="P19" s="63"/>
      <c r="Q19" s="45"/>
      <c r="R19" s="61" t="e">
        <f t="shared" si="0"/>
        <v>#DIV/0!</v>
      </c>
    </row>
    <row r="20" spans="1:18" ht="15" x14ac:dyDescent="0.25">
      <c r="A20" s="46">
        <v>14</v>
      </c>
      <c r="B20" s="56">
        <f>'Entries June''25'!O20</f>
        <v>182428</v>
      </c>
      <c r="C20" s="56">
        <f t="shared" si="1"/>
        <v>0</v>
      </c>
      <c r="D20" s="56">
        <f t="shared" si="2"/>
        <v>-200</v>
      </c>
      <c r="E20" s="57">
        <f>'Entries June''25'!W20</f>
        <v>0</v>
      </c>
      <c r="F20" s="58">
        <f>'Entries June''25'!V20</f>
        <v>1300799</v>
      </c>
      <c r="G20" s="58">
        <f t="shared" si="7"/>
        <v>200</v>
      </c>
      <c r="H20" s="58">
        <f>'Entries June''25'!AA20</f>
        <v>97122</v>
      </c>
      <c r="I20" s="59">
        <f t="shared" si="3"/>
        <v>0</v>
      </c>
      <c r="J20" s="58">
        <f>'Entries June''25'!T20</f>
        <v>0</v>
      </c>
      <c r="K20" s="59">
        <f t="shared" si="4"/>
        <v>0</v>
      </c>
      <c r="L20" s="59">
        <f t="shared" si="6"/>
        <v>0</v>
      </c>
      <c r="M20" s="58">
        <f>'Entries June''25'!R20</f>
        <v>0</v>
      </c>
      <c r="N20" s="58">
        <f>'Entries June''25'!AC21-'Entries June''25'!AC20</f>
        <v>1</v>
      </c>
      <c r="O20" s="58">
        <f t="shared" si="5"/>
        <v>0</v>
      </c>
      <c r="P20" s="63"/>
      <c r="Q20" s="45"/>
      <c r="R20" s="61" t="e">
        <f t="shared" si="0"/>
        <v>#DIV/0!</v>
      </c>
    </row>
    <row r="21" spans="1:18" ht="15" x14ac:dyDescent="0.25">
      <c r="A21" s="46">
        <v>15</v>
      </c>
      <c r="B21" s="56">
        <f>'Entries June''25'!O21</f>
        <v>182428</v>
      </c>
      <c r="C21" s="56">
        <f t="shared" si="1"/>
        <v>0</v>
      </c>
      <c r="D21" s="56">
        <f t="shared" si="2"/>
        <v>-46</v>
      </c>
      <c r="E21" s="57">
        <f>'Entries June''25'!W21</f>
        <v>0</v>
      </c>
      <c r="F21" s="58">
        <f>'Entries June''25'!V21</f>
        <v>1300999</v>
      </c>
      <c r="G21" s="58">
        <f t="shared" si="7"/>
        <v>46</v>
      </c>
      <c r="H21" s="58">
        <f>'Entries June''25'!AA21</f>
        <v>97122</v>
      </c>
      <c r="I21" s="59">
        <f t="shared" si="3"/>
        <v>0</v>
      </c>
      <c r="J21" s="58">
        <f>'Entries June''25'!T21</f>
        <v>0</v>
      </c>
      <c r="K21" s="59">
        <f t="shared" si="4"/>
        <v>0</v>
      </c>
      <c r="L21" s="59">
        <f t="shared" si="6"/>
        <v>0</v>
      </c>
      <c r="M21" s="58">
        <f>'Entries June''25'!R21</f>
        <v>0</v>
      </c>
      <c r="N21" s="58">
        <f>'Entries June''25'!AC22-'Entries June''25'!AC21</f>
        <v>0</v>
      </c>
      <c r="O21" s="58">
        <f t="shared" si="5"/>
        <v>0</v>
      </c>
      <c r="P21" s="63"/>
      <c r="Q21" s="45"/>
      <c r="R21" s="61" t="e">
        <f t="shared" si="0"/>
        <v>#DIV/0!</v>
      </c>
    </row>
    <row r="22" spans="1:18" ht="15" x14ac:dyDescent="0.25">
      <c r="A22" s="46">
        <v>16</v>
      </c>
      <c r="B22" s="56">
        <f>'Entries June''25'!O22</f>
        <v>182428</v>
      </c>
      <c r="C22" s="56">
        <f t="shared" si="1"/>
        <v>160</v>
      </c>
      <c r="D22" s="56">
        <f t="shared" si="2"/>
        <v>-53</v>
      </c>
      <c r="E22" s="57">
        <f>'Entries June''25'!W22</f>
        <v>0</v>
      </c>
      <c r="F22" s="58">
        <f>'Entries June''25'!V22</f>
        <v>1301045</v>
      </c>
      <c r="G22" s="58">
        <f t="shared" si="7"/>
        <v>213</v>
      </c>
      <c r="H22" s="58">
        <f>'Entries June''25'!AA22</f>
        <v>97122</v>
      </c>
      <c r="I22" s="59">
        <f t="shared" si="3"/>
        <v>0</v>
      </c>
      <c r="J22" s="58">
        <f>'Entries June''25'!T22</f>
        <v>0</v>
      </c>
      <c r="K22" s="59">
        <f t="shared" si="4"/>
        <v>0</v>
      </c>
      <c r="L22" s="59">
        <f t="shared" si="6"/>
        <v>0</v>
      </c>
      <c r="M22" s="58">
        <f>'Entries June''25'!R22</f>
        <v>0</v>
      </c>
      <c r="N22" s="58">
        <f>'Entries June''25'!AC23-'Entries June''25'!AC22</f>
        <v>20</v>
      </c>
      <c r="O22" s="58">
        <f t="shared" si="5"/>
        <v>320</v>
      </c>
      <c r="P22" s="63"/>
      <c r="Q22" s="45"/>
      <c r="R22" s="61" t="e">
        <f t="shared" si="0"/>
        <v>#DIV/0!</v>
      </c>
    </row>
    <row r="23" spans="1:18" ht="15" x14ac:dyDescent="0.25">
      <c r="A23" s="46">
        <v>17</v>
      </c>
      <c r="B23" s="56">
        <f>'Entries June''25'!O23</f>
        <v>182588</v>
      </c>
      <c r="C23" s="56">
        <f t="shared" si="1"/>
        <v>358</v>
      </c>
      <c r="D23" s="56">
        <f t="shared" si="2"/>
        <v>203</v>
      </c>
      <c r="E23" s="57">
        <f>'Entries June''25'!W23</f>
        <v>0</v>
      </c>
      <c r="F23" s="58">
        <f>'Entries June''25'!V23</f>
        <v>1301258</v>
      </c>
      <c r="G23" s="58">
        <f t="shared" si="7"/>
        <v>155</v>
      </c>
      <c r="H23" s="58">
        <f>'Entries June''25'!AA23</f>
        <v>97122</v>
      </c>
      <c r="I23" s="59">
        <f t="shared" si="3"/>
        <v>0</v>
      </c>
      <c r="J23" s="58">
        <f>'Entries June''25'!T23</f>
        <v>0</v>
      </c>
      <c r="K23" s="59">
        <f t="shared" si="4"/>
        <v>0</v>
      </c>
      <c r="L23" s="59">
        <f t="shared" si="6"/>
        <v>0</v>
      </c>
      <c r="M23" s="58">
        <f>'Entries June''25'!R23</f>
        <v>0</v>
      </c>
      <c r="N23" s="58">
        <f>'Entries June''25'!AC24-'Entries June''25'!AC23</f>
        <v>24</v>
      </c>
      <c r="O23" s="58">
        <f t="shared" si="5"/>
        <v>716</v>
      </c>
      <c r="P23" s="63"/>
      <c r="Q23" s="45"/>
      <c r="R23" s="61" t="e">
        <f t="shared" si="0"/>
        <v>#DIV/0!</v>
      </c>
    </row>
    <row r="24" spans="1:18" ht="15" x14ac:dyDescent="0.25">
      <c r="A24" s="46">
        <v>18</v>
      </c>
      <c r="B24" s="56">
        <f>'Entries June''25'!O24</f>
        <v>182946</v>
      </c>
      <c r="C24" s="56">
        <f t="shared" si="1"/>
        <v>223</v>
      </c>
      <c r="D24" s="56">
        <f t="shared" si="2"/>
        <v>73</v>
      </c>
      <c r="E24" s="57">
        <f>'Entries June''25'!W24</f>
        <v>0</v>
      </c>
      <c r="F24" s="58">
        <f>'Entries June''25'!V24</f>
        <v>1301413</v>
      </c>
      <c r="G24" s="58">
        <f t="shared" si="7"/>
        <v>150</v>
      </c>
      <c r="H24" s="58">
        <f>'Entries June''25'!AA24</f>
        <v>97122</v>
      </c>
      <c r="I24" s="59">
        <f t="shared" si="3"/>
        <v>0</v>
      </c>
      <c r="J24" s="58">
        <f>'Entries June''25'!T24</f>
        <v>0</v>
      </c>
      <c r="K24" s="59">
        <f t="shared" si="4"/>
        <v>0</v>
      </c>
      <c r="L24" s="59">
        <f t="shared" si="6"/>
        <v>0</v>
      </c>
      <c r="M24" s="58">
        <f>'Entries June''25'!R24</f>
        <v>0</v>
      </c>
      <c r="N24" s="58">
        <f>'Entries June''25'!AC25-'Entries June''25'!AC24</f>
        <v>19</v>
      </c>
      <c r="O24" s="58">
        <f t="shared" si="5"/>
        <v>446</v>
      </c>
      <c r="P24" s="63"/>
      <c r="Q24" s="45"/>
      <c r="R24" s="61" t="e">
        <f t="shared" si="0"/>
        <v>#DIV/0!</v>
      </c>
    </row>
    <row r="25" spans="1:18" ht="15" x14ac:dyDescent="0.25">
      <c r="A25" s="46">
        <v>19</v>
      </c>
      <c r="B25" s="56">
        <f>'Entries June''25'!O25</f>
        <v>183169</v>
      </c>
      <c r="C25" s="56">
        <f t="shared" si="1"/>
        <v>0</v>
      </c>
      <c r="D25" s="56">
        <f t="shared" si="2"/>
        <v>0</v>
      </c>
      <c r="E25" s="57">
        <f>'Entries June''25'!W25</f>
        <v>0</v>
      </c>
      <c r="F25" s="58">
        <f>'Entries June''25'!V25</f>
        <v>1301563</v>
      </c>
      <c r="G25" s="58">
        <f t="shared" si="7"/>
        <v>0</v>
      </c>
      <c r="H25" s="58">
        <f>'Entries June''25'!AA25</f>
        <v>97122</v>
      </c>
      <c r="I25" s="59">
        <f t="shared" si="3"/>
        <v>0</v>
      </c>
      <c r="J25" s="58">
        <f>'Entries June''25'!T25</f>
        <v>0</v>
      </c>
      <c r="K25" s="59">
        <f t="shared" si="4"/>
        <v>0</v>
      </c>
      <c r="L25" s="59">
        <f t="shared" si="6"/>
        <v>0</v>
      </c>
      <c r="M25" s="58">
        <f>'Entries June''25'!R25</f>
        <v>0</v>
      </c>
      <c r="N25" s="58">
        <f>'Entries June''25'!AC26-'Entries June''25'!AC25</f>
        <v>0</v>
      </c>
      <c r="O25" s="58">
        <f t="shared" si="5"/>
        <v>0</v>
      </c>
      <c r="P25" s="63"/>
      <c r="Q25" s="45"/>
      <c r="R25" s="61" t="e">
        <f t="shared" si="0"/>
        <v>#DIV/0!</v>
      </c>
    </row>
    <row r="26" spans="1:18" ht="15" x14ac:dyDescent="0.25">
      <c r="A26" s="46">
        <v>20</v>
      </c>
      <c r="B26" s="56">
        <f>'Entries June''25'!O26</f>
        <v>183169</v>
      </c>
      <c r="C26" s="56">
        <f t="shared" si="1"/>
        <v>266</v>
      </c>
      <c r="D26" s="56">
        <f t="shared" si="2"/>
        <v>50</v>
      </c>
      <c r="E26" s="57">
        <f>'Entries June''25'!W26</f>
        <v>0</v>
      </c>
      <c r="F26" s="58">
        <f>'Entries June''25'!V26</f>
        <v>1301563</v>
      </c>
      <c r="G26" s="58">
        <f t="shared" si="7"/>
        <v>216</v>
      </c>
      <c r="H26" s="58">
        <f>'Entries June''25'!AA26</f>
        <v>97122</v>
      </c>
      <c r="I26" s="59">
        <f t="shared" si="3"/>
        <v>0</v>
      </c>
      <c r="J26" s="58">
        <f>'Entries June''25'!T26</f>
        <v>0</v>
      </c>
      <c r="K26" s="59">
        <f t="shared" si="4"/>
        <v>0</v>
      </c>
      <c r="L26" s="59">
        <f t="shared" si="6"/>
        <v>0</v>
      </c>
      <c r="M26" s="58">
        <f>'Entries June''25'!R26</f>
        <v>0</v>
      </c>
      <c r="N26" s="58">
        <f>'Entries June''25'!AC27-'Entries June''25'!AC26</f>
        <v>16</v>
      </c>
      <c r="O26" s="58">
        <f t="shared" si="5"/>
        <v>532</v>
      </c>
      <c r="P26" s="63"/>
      <c r="Q26" s="45"/>
      <c r="R26" s="61" t="e">
        <f t="shared" si="0"/>
        <v>#DIV/0!</v>
      </c>
    </row>
    <row r="27" spans="1:18" ht="15" x14ac:dyDescent="0.25">
      <c r="A27" s="46">
        <v>21</v>
      </c>
      <c r="B27" s="56">
        <f>'Entries June''25'!O27</f>
        <v>183435</v>
      </c>
      <c r="C27" s="56">
        <f t="shared" si="1"/>
        <v>0</v>
      </c>
      <c r="D27" s="56">
        <f t="shared" si="2"/>
        <v>-17</v>
      </c>
      <c r="E27" s="57">
        <f>'Entries June''25'!W27</f>
        <v>0</v>
      </c>
      <c r="F27" s="58">
        <f>'Entries June''25'!V27</f>
        <v>1301779</v>
      </c>
      <c r="G27" s="58">
        <f t="shared" si="7"/>
        <v>17</v>
      </c>
      <c r="H27" s="58">
        <f>'Entries June''25'!AA27</f>
        <v>97122</v>
      </c>
      <c r="I27" s="59">
        <f t="shared" si="3"/>
        <v>0</v>
      </c>
      <c r="J27" s="58">
        <f>'Entries June''25'!T27</f>
        <v>0</v>
      </c>
      <c r="K27" s="59">
        <f t="shared" si="4"/>
        <v>0</v>
      </c>
      <c r="L27" s="59">
        <f t="shared" si="6"/>
        <v>0</v>
      </c>
      <c r="M27" s="58">
        <f>'Entries June''25'!R27</f>
        <v>0</v>
      </c>
      <c r="N27" s="58">
        <f>'Entries June''25'!AC28-'Entries June''25'!AC27</f>
        <v>0</v>
      </c>
      <c r="O27" s="58">
        <f t="shared" si="5"/>
        <v>0</v>
      </c>
      <c r="P27" s="63"/>
      <c r="Q27" s="45"/>
      <c r="R27" s="61" t="e">
        <f t="shared" si="0"/>
        <v>#DIV/0!</v>
      </c>
    </row>
    <row r="28" spans="1:18" ht="15" x14ac:dyDescent="0.25">
      <c r="A28" s="46">
        <v>22</v>
      </c>
      <c r="B28" s="56">
        <f>'Entries June''25'!O28</f>
        <v>183435</v>
      </c>
      <c r="C28" s="56">
        <f t="shared" si="1"/>
        <v>0</v>
      </c>
      <c r="D28" s="56">
        <f t="shared" si="2"/>
        <v>-81</v>
      </c>
      <c r="E28" s="57">
        <f>'Entries June''25'!W28</f>
        <v>0</v>
      </c>
      <c r="F28" s="58">
        <f>'Entries June''25'!V28</f>
        <v>1301796</v>
      </c>
      <c r="G28" s="58">
        <f t="shared" si="7"/>
        <v>81</v>
      </c>
      <c r="H28" s="58">
        <f>'Entries June''25'!AA28</f>
        <v>97122</v>
      </c>
      <c r="I28" s="59">
        <f t="shared" si="3"/>
        <v>0</v>
      </c>
      <c r="J28" s="58">
        <f>'Entries June''25'!T28</f>
        <v>0</v>
      </c>
      <c r="K28" s="59">
        <f t="shared" si="4"/>
        <v>0</v>
      </c>
      <c r="L28" s="59">
        <f t="shared" si="6"/>
        <v>0</v>
      </c>
      <c r="M28" s="58">
        <f>'Entries June''25'!R28</f>
        <v>0</v>
      </c>
      <c r="N28" s="58">
        <f>'Entries June''25'!AC29-'Entries June''25'!AC28</f>
        <v>0</v>
      </c>
      <c r="O28" s="58">
        <f t="shared" si="5"/>
        <v>0</v>
      </c>
      <c r="P28" s="63"/>
      <c r="Q28" s="45"/>
      <c r="R28" s="61" t="e">
        <f t="shared" si="0"/>
        <v>#DIV/0!</v>
      </c>
    </row>
    <row r="29" spans="1:18" ht="15" x14ac:dyDescent="0.25">
      <c r="A29" s="46">
        <v>23</v>
      </c>
      <c r="B29" s="56">
        <f>'Entries June''25'!O29</f>
        <v>183435</v>
      </c>
      <c r="C29" s="56">
        <f t="shared" si="1"/>
        <v>126</v>
      </c>
      <c r="D29" s="56">
        <f t="shared" si="2"/>
        <v>-72</v>
      </c>
      <c r="E29" s="57">
        <f>'Entries June''25'!W29</f>
        <v>0</v>
      </c>
      <c r="F29" s="58">
        <f>'Entries June''25'!V29</f>
        <v>1301877</v>
      </c>
      <c r="G29" s="58">
        <f t="shared" si="7"/>
        <v>198</v>
      </c>
      <c r="H29" s="58">
        <f>'Entries June''25'!AA29</f>
        <v>97122</v>
      </c>
      <c r="I29" s="59">
        <f t="shared" si="3"/>
        <v>0</v>
      </c>
      <c r="J29" s="58">
        <f>'Entries June''25'!T29</f>
        <v>0</v>
      </c>
      <c r="K29" s="59">
        <f t="shared" si="4"/>
        <v>0</v>
      </c>
      <c r="L29" s="59">
        <f t="shared" si="6"/>
        <v>0</v>
      </c>
      <c r="M29" s="58">
        <f>'Entries June''25'!R29</f>
        <v>0</v>
      </c>
      <c r="N29" s="58">
        <f>'Entries June''25'!AC30-'Entries June''25'!AC29</f>
        <v>12</v>
      </c>
      <c r="O29" s="58">
        <f t="shared" si="5"/>
        <v>252</v>
      </c>
      <c r="P29" s="63"/>
      <c r="Q29" s="45"/>
      <c r="R29" s="61" t="e">
        <f t="shared" si="0"/>
        <v>#DIV/0!</v>
      </c>
    </row>
    <row r="30" spans="1:18" ht="15" x14ac:dyDescent="0.25">
      <c r="A30" s="46">
        <v>24</v>
      </c>
      <c r="B30" s="56">
        <f>'Entries June''25'!O30</f>
        <v>183561</v>
      </c>
      <c r="C30" s="56">
        <f t="shared" si="1"/>
        <v>263</v>
      </c>
      <c r="D30" s="56">
        <f t="shared" si="2"/>
        <v>167</v>
      </c>
      <c r="E30" s="57">
        <f>'Entries June''25'!W30</f>
        <v>0</v>
      </c>
      <c r="F30" s="58">
        <f>'Entries June''25'!V30</f>
        <v>1302075</v>
      </c>
      <c r="G30" s="58">
        <f t="shared" si="7"/>
        <v>96</v>
      </c>
      <c r="H30" s="58">
        <f>'Entries June''25'!AA30</f>
        <v>97122</v>
      </c>
      <c r="I30" s="59">
        <f t="shared" si="3"/>
        <v>0</v>
      </c>
      <c r="J30" s="58">
        <f>'Entries June''25'!T30</f>
        <v>0</v>
      </c>
      <c r="K30" s="59">
        <f t="shared" si="4"/>
        <v>0</v>
      </c>
      <c r="L30" s="59">
        <f t="shared" si="6"/>
        <v>0</v>
      </c>
      <c r="M30" s="58">
        <f>'Entries June''25'!R30</f>
        <v>0</v>
      </c>
      <c r="N30" s="58">
        <f>'Entries June''25'!AC31-'Entries June''25'!AC30</f>
        <v>22</v>
      </c>
      <c r="O30" s="58">
        <f t="shared" si="5"/>
        <v>526</v>
      </c>
      <c r="P30" s="63"/>
      <c r="Q30" s="45"/>
      <c r="R30" s="61" t="e">
        <f t="shared" si="0"/>
        <v>#DIV/0!</v>
      </c>
    </row>
    <row r="31" spans="1:18" ht="15" x14ac:dyDescent="0.25">
      <c r="A31" s="46">
        <v>25</v>
      </c>
      <c r="B31" s="56">
        <f>'Entries June''25'!O31</f>
        <v>183824</v>
      </c>
      <c r="C31" s="56">
        <f t="shared" si="1"/>
        <v>386</v>
      </c>
      <c r="D31" s="56">
        <f t="shared" si="2"/>
        <v>245</v>
      </c>
      <c r="E31" s="57">
        <f>'Entries June''25'!W31</f>
        <v>0</v>
      </c>
      <c r="F31" s="58">
        <f>'Entries June''25'!V31</f>
        <v>1302171</v>
      </c>
      <c r="G31" s="58">
        <f t="shared" si="7"/>
        <v>141</v>
      </c>
      <c r="H31" s="58">
        <f>'Entries June''25'!AA31</f>
        <v>97122</v>
      </c>
      <c r="I31" s="59">
        <f t="shared" si="3"/>
        <v>0</v>
      </c>
      <c r="J31" s="58">
        <f>'Entries June''25'!T31</f>
        <v>0</v>
      </c>
      <c r="K31" s="59">
        <f t="shared" si="4"/>
        <v>0</v>
      </c>
      <c r="L31" s="59">
        <f t="shared" si="6"/>
        <v>0</v>
      </c>
      <c r="M31" s="58">
        <f>'Entries June''25'!R31</f>
        <v>0</v>
      </c>
      <c r="N31" s="58">
        <f>'Entries June''25'!AC32-'Entries June''25'!AC31</f>
        <v>24</v>
      </c>
      <c r="O31" s="58">
        <f t="shared" si="5"/>
        <v>772</v>
      </c>
      <c r="P31" s="63"/>
      <c r="Q31" s="45"/>
      <c r="R31" s="61" t="e">
        <f t="shared" si="0"/>
        <v>#DIV/0!</v>
      </c>
    </row>
    <row r="32" spans="1:18" ht="15" x14ac:dyDescent="0.25">
      <c r="A32" s="46">
        <v>26</v>
      </c>
      <c r="B32" s="56">
        <f>'Entries June''25'!O32</f>
        <v>184210</v>
      </c>
      <c r="C32" s="56">
        <f t="shared" si="1"/>
        <v>205</v>
      </c>
      <c r="D32" s="56">
        <f t="shared" si="2"/>
        <v>-76</v>
      </c>
      <c r="E32" s="57">
        <f>'Entries June''25'!W32</f>
        <v>0</v>
      </c>
      <c r="F32" s="58">
        <f>'Entries June''25'!V32</f>
        <v>1302312</v>
      </c>
      <c r="G32" s="58">
        <f t="shared" si="7"/>
        <v>281</v>
      </c>
      <c r="H32" s="58">
        <f>'Entries June''25'!AA32</f>
        <v>97122</v>
      </c>
      <c r="I32" s="59">
        <f t="shared" si="3"/>
        <v>0</v>
      </c>
      <c r="J32" s="58">
        <f>'Entries June''25'!T32</f>
        <v>0</v>
      </c>
      <c r="K32" s="59">
        <f t="shared" si="4"/>
        <v>0</v>
      </c>
      <c r="L32" s="59">
        <f t="shared" si="6"/>
        <v>0</v>
      </c>
      <c r="M32" s="58">
        <f>'Entries June''25'!R32</f>
        <v>0</v>
      </c>
      <c r="N32" s="58">
        <f>'Entries June''25'!AC33-'Entries June''25'!AC32</f>
        <v>20</v>
      </c>
      <c r="O32" s="58">
        <f t="shared" si="5"/>
        <v>410</v>
      </c>
      <c r="P32" s="63"/>
      <c r="Q32" s="45"/>
      <c r="R32" s="61" t="e">
        <f t="shared" si="0"/>
        <v>#DIV/0!</v>
      </c>
    </row>
    <row r="33" spans="1:18" ht="15" x14ac:dyDescent="0.25">
      <c r="A33" s="46">
        <v>27</v>
      </c>
      <c r="B33" s="56">
        <f>'Entries June''25'!O33</f>
        <v>184415</v>
      </c>
      <c r="C33" s="56">
        <f t="shared" si="1"/>
        <v>109</v>
      </c>
      <c r="D33" s="56">
        <f t="shared" si="2"/>
        <v>-185</v>
      </c>
      <c r="E33" s="57">
        <f>'Entries June''25'!W33</f>
        <v>0</v>
      </c>
      <c r="F33" s="58">
        <f>'Entries June''25'!V33</f>
        <v>1302593</v>
      </c>
      <c r="G33" s="58">
        <f t="shared" si="7"/>
        <v>294</v>
      </c>
      <c r="H33" s="58">
        <f>'Entries June''25'!AA33</f>
        <v>97122</v>
      </c>
      <c r="I33" s="59">
        <f t="shared" si="3"/>
        <v>0</v>
      </c>
      <c r="J33" s="58">
        <f>'Entries June''25'!T33</f>
        <v>0</v>
      </c>
      <c r="K33" s="59">
        <f t="shared" si="4"/>
        <v>0</v>
      </c>
      <c r="L33" s="59">
        <f t="shared" si="6"/>
        <v>0</v>
      </c>
      <c r="M33" s="58">
        <f>'Entries June''25'!R33</f>
        <v>0</v>
      </c>
      <c r="N33" s="58">
        <f>'Entries June''25'!AC34-'Entries June''25'!AC33</f>
        <v>56</v>
      </c>
      <c r="O33" s="58">
        <f t="shared" si="5"/>
        <v>218</v>
      </c>
      <c r="P33" s="63"/>
      <c r="Q33" s="45"/>
      <c r="R33" s="61" t="e">
        <f t="shared" si="0"/>
        <v>#DIV/0!</v>
      </c>
    </row>
    <row r="34" spans="1:18" ht="15" x14ac:dyDescent="0.25">
      <c r="A34" s="46">
        <v>28</v>
      </c>
      <c r="B34" s="56">
        <f>'Entries June''25'!O34</f>
        <v>184524</v>
      </c>
      <c r="C34" s="56">
        <f t="shared" si="1"/>
        <v>5</v>
      </c>
      <c r="D34" s="56">
        <f t="shared" si="2"/>
        <v>-162</v>
      </c>
      <c r="E34" s="57">
        <f>'Entries June''25'!W34</f>
        <v>0</v>
      </c>
      <c r="F34" s="58">
        <f>'Entries June''25'!V34</f>
        <v>1302887</v>
      </c>
      <c r="G34" s="58">
        <f t="shared" si="7"/>
        <v>167</v>
      </c>
      <c r="H34" s="58">
        <f>'Entries June''25'!AA34</f>
        <v>97122</v>
      </c>
      <c r="I34" s="59">
        <f t="shared" si="3"/>
        <v>0</v>
      </c>
      <c r="J34" s="58">
        <f>'Entries June''25'!T34</f>
        <v>0</v>
      </c>
      <c r="K34" s="59">
        <f t="shared" si="4"/>
        <v>0</v>
      </c>
      <c r="L34" s="59">
        <f t="shared" si="6"/>
        <v>0</v>
      </c>
      <c r="M34" s="58">
        <f>'Entries June''25'!R34</f>
        <v>0</v>
      </c>
      <c r="N34" s="58">
        <f>'Entries June''25'!AC35-'Entries June''25'!AC34</f>
        <v>0</v>
      </c>
      <c r="O34" s="58">
        <f t="shared" si="5"/>
        <v>10</v>
      </c>
      <c r="P34" s="63"/>
      <c r="Q34" s="45"/>
      <c r="R34" s="61" t="e">
        <f t="shared" si="0"/>
        <v>#DIV/0!</v>
      </c>
    </row>
    <row r="35" spans="1:18" ht="15" x14ac:dyDescent="0.25">
      <c r="A35" s="46"/>
      <c r="B35" s="56">
        <f>'Entries June''25'!O35</f>
        <v>184529</v>
      </c>
      <c r="C35" s="64"/>
      <c r="D35" s="56">
        <f t="shared" si="2"/>
        <v>0</v>
      </c>
      <c r="E35" s="57"/>
      <c r="F35" s="58">
        <f>'Entries June''25'!V35</f>
        <v>1303054</v>
      </c>
      <c r="G35" s="58"/>
      <c r="H35" s="58">
        <f>'Entries June''25'!AA35</f>
        <v>97122</v>
      </c>
      <c r="I35" s="59"/>
      <c r="J35" s="58"/>
      <c r="K35" s="59"/>
      <c r="L35" s="59"/>
      <c r="M35" s="58"/>
      <c r="N35" s="58"/>
      <c r="O35" s="58"/>
      <c r="P35" s="63"/>
      <c r="Q35" s="45"/>
      <c r="R35" s="61"/>
    </row>
    <row r="36" spans="1:18" ht="15" x14ac:dyDescent="0.25">
      <c r="A36" s="46"/>
      <c r="B36" s="56"/>
      <c r="C36" s="65"/>
      <c r="D36" s="62"/>
      <c r="E36" s="57"/>
      <c r="F36" s="58"/>
      <c r="G36" s="58"/>
      <c r="H36" s="58"/>
      <c r="I36" s="59"/>
      <c r="J36" s="58"/>
      <c r="K36" s="59"/>
      <c r="L36" s="59"/>
      <c r="M36" s="58"/>
      <c r="N36" s="58"/>
      <c r="O36" s="58"/>
      <c r="P36" s="63"/>
      <c r="Q36" s="45"/>
      <c r="R36" s="61"/>
    </row>
    <row r="37" spans="1:18" ht="15" x14ac:dyDescent="0.25">
      <c r="A37" s="46"/>
      <c r="B37" s="56"/>
      <c r="C37" s="64"/>
      <c r="D37" s="62"/>
      <c r="E37" s="57"/>
      <c r="F37" s="58"/>
      <c r="G37" s="58"/>
      <c r="H37" s="58"/>
      <c r="I37" s="59"/>
      <c r="J37" s="58"/>
      <c r="K37" s="59"/>
      <c r="L37" s="59"/>
      <c r="M37" s="58"/>
      <c r="N37" s="58"/>
      <c r="O37" s="58"/>
      <c r="P37" s="63"/>
      <c r="Q37" s="45"/>
      <c r="R37" s="61"/>
    </row>
    <row r="38" spans="1:18" ht="14.25" x14ac:dyDescent="0.2">
      <c r="A38" s="46" t="s">
        <v>19</v>
      </c>
      <c r="B38" s="66"/>
      <c r="C38" s="66">
        <f>SUM(C7:C34)</f>
        <v>3786</v>
      </c>
      <c r="D38" s="66">
        <f>SUM(D7:D34)</f>
        <v>-632</v>
      </c>
      <c r="E38" s="66"/>
      <c r="F38" s="66"/>
      <c r="G38" s="66">
        <f t="shared" ref="G38:R38" si="8">SUM(G7:G34)</f>
        <v>4418</v>
      </c>
      <c r="H38" s="66"/>
      <c r="I38" s="66">
        <f t="shared" si="8"/>
        <v>0</v>
      </c>
      <c r="J38" s="66">
        <f t="shared" si="8"/>
        <v>1319551</v>
      </c>
      <c r="K38" s="66">
        <f t="shared" si="8"/>
        <v>-1298636</v>
      </c>
      <c r="L38" s="66">
        <f t="shared" si="8"/>
        <v>-1298636</v>
      </c>
      <c r="M38" s="66">
        <f t="shared" si="8"/>
        <v>0</v>
      </c>
      <c r="N38" s="66">
        <f t="shared" si="8"/>
        <v>405</v>
      </c>
      <c r="O38" s="66">
        <f t="shared" si="8"/>
        <v>7572</v>
      </c>
      <c r="P38" s="66">
        <f t="shared" si="8"/>
        <v>0</v>
      </c>
      <c r="Q38" s="66">
        <f t="shared" si="8"/>
        <v>0</v>
      </c>
      <c r="R38" s="66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June'25</vt:lpstr>
      <vt:lpstr>Utility Analysis June 2025</vt:lpstr>
      <vt:lpstr>Steam Mass Flow </vt:lpstr>
      <vt:lpstr>Fuel </vt:lpstr>
      <vt:lpstr>Water </vt:lpstr>
      <vt:lpstr>Elec.June'25</vt:lpstr>
      <vt:lpstr>PROD.FIG. </vt:lpstr>
      <vt:lpstr>CO2</vt:lpstr>
      <vt:lpstr>Daily KPIs CO2</vt:lpstr>
      <vt:lpstr>Daily KPIs</vt:lpstr>
      <vt:lpstr>Water Analysis. '25</vt:lpstr>
      <vt:lpstr>Sheet1</vt:lpstr>
      <vt:lpstr>'Daily KPIs'!Print_Area</vt:lpstr>
      <vt:lpstr>'Entries June''25'!Print_Area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Delano Pasea</cp:lastModifiedBy>
  <cp:lastPrinted>2019-10-02T13:09:44Z</cp:lastPrinted>
  <dcterms:created xsi:type="dcterms:W3CDTF">2003-05-05T15:42:25Z</dcterms:created>
  <dcterms:modified xsi:type="dcterms:W3CDTF">2025-07-04T12:23:46Z</dcterms:modified>
</cp:coreProperties>
</file>