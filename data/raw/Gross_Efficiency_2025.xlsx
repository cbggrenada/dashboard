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fileSharing readOnlyRecommended="1" userName="Kaylil Baptiste" algorithmName="SHA-512" hashValue="JsBZ6lA6z/m/AipdVMl3ECBZmhi5ZjanG8ouTbm/LEQfAHvPgQtuHhib2cz9dxLCkCMX/chX75pGod5/OrYOoA==" saltValue="9UjqhryyzsdojjbprkQ+8g==" spinCount="1000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Forsyth\Bottling Reports '25\"/>
    </mc:Choice>
  </mc:AlternateContent>
  <xr:revisionPtr revIDLastSave="0" documentId="13_ncr:10001_{51EF86E2-008F-43B2-8485-3A2FFF3C3F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 2025 CPH " sheetId="123" r:id="rId1"/>
    <sheet name="January_2025" sheetId="109" r:id="rId2"/>
    <sheet name="February_2025" sheetId="110" r:id="rId3"/>
    <sheet name="March_2025" sheetId="111" r:id="rId4"/>
    <sheet name="April_2025 " sheetId="121" r:id="rId5"/>
    <sheet name="May_2025" sheetId="113" r:id="rId6"/>
    <sheet name="June_2025" sheetId="122" r:id="rId7"/>
    <sheet name="July_2025" sheetId="115" r:id="rId8"/>
    <sheet name="August_2025" sheetId="116" r:id="rId9"/>
    <sheet name="September_2025" sheetId="117" r:id="rId10"/>
    <sheet name="October_2025" sheetId="118" r:id="rId11"/>
    <sheet name="November_2025" sheetId="119" r:id="rId12"/>
    <sheet name="December_2025" sheetId="120" r:id="rId13"/>
  </sheets>
  <externalReferences>
    <externalReference r:id="rId14"/>
    <externalReference r:id="rId15"/>
    <externalReference r:id="rId16"/>
    <externalReference r:id="rId17"/>
  </externalReferences>
  <definedNames>
    <definedName name="_Fill" hidden="1">#REF!</definedName>
    <definedName name="_xlnm._FilterDatabase" localSheetId="4" hidden="1">'April_2025 '!$B$5:$Q$53</definedName>
    <definedName name="_xlnm._FilterDatabase" localSheetId="8" hidden="1">August_2025!$B$7:$V$59</definedName>
    <definedName name="_xlnm._FilterDatabase" localSheetId="12" hidden="1">December_2025!$B$5:$P$62</definedName>
    <definedName name="_xlnm._FilterDatabase" localSheetId="2" hidden="1">February_2025!$B$5:$R$65</definedName>
    <definedName name="_xlnm._FilterDatabase" localSheetId="1" hidden="1">January_2025!$B$5:$R$72</definedName>
    <definedName name="_xlnm._FilterDatabase" localSheetId="7" hidden="1">July_2025!$B$5:$Q$55</definedName>
    <definedName name="_xlnm._FilterDatabase" localSheetId="6" hidden="1">June_2025!$B$5:$Q$59</definedName>
    <definedName name="_xlnm._FilterDatabase" localSheetId="3" hidden="1">March_2025!$B$5:$R$51</definedName>
    <definedName name="_xlnm._FilterDatabase" localSheetId="5" hidden="1">May_2025!$B$5:$R$65</definedName>
    <definedName name="_xlnm._FilterDatabase" localSheetId="11" hidden="1">November_2025!$B$5:$Q$57</definedName>
    <definedName name="_xlnm._FilterDatabase" localSheetId="10" hidden="1">October_2025!$B$5:$R$63</definedName>
    <definedName name="_xlnm._FilterDatabase" localSheetId="9" hidden="1">September_2025!$B$5:$R$56</definedName>
    <definedName name="Apr">[1]April!$A$1:$Q$35</definedName>
    <definedName name="Aug">[1]Aug!$A$1:$Q$35</definedName>
    <definedName name="Category">#REF!</definedName>
    <definedName name="Classification">#REF!</definedName>
    <definedName name="CO2MOR">#REF!</definedName>
    <definedName name="Company">#REF!</definedName>
    <definedName name="Date">#REF!</definedName>
    <definedName name="Dec">[1]Dec!$A$1:$Q$35</definedName>
    <definedName name="elc.beer">[2]Electricity!#REF!</definedName>
    <definedName name="Elec.beer">[2]Electricity!#REF!</definedName>
    <definedName name="elec.malt">[2]Electricity!#REF!</definedName>
    <definedName name="elec.oth">[2]Electricity!#REF!</definedName>
    <definedName name="ELECMOR">#REF!</definedName>
    <definedName name="EV__DECIMALSYMBOL__" hidden="1">"."</definedName>
    <definedName name="EV__LASTREFTIME__" hidden="1">39758.7170023148</definedName>
    <definedName name="EV__LOCKEDCVW__DETAILEDACTUALS" hidden="1">"CURGFO,GLOBALENTITY,TOTREVGENPRODMBOED,TotalOperatorInd,2001.TOTAL,PERIODIC,"</definedName>
    <definedName name="EV__LOCKEDCVW__GFO_PI" hidden="1">"CURGFO,GLOBALENTITY,TOTREVGENPRODMBOED,TotalOperatorInd,2001.TOTAL,PERIODIC,"</definedName>
    <definedName name="EV__LOCKEDCVW__LA_GFO_PI" hidden="1">"CURGFO,BPTTBU,GFOVOLPARENT,TotalOperatorInd,2008.TOTAL,PERIODIC,"</definedName>
    <definedName name="EV__LOCKEDCVW__LA_PLAN" hidden="1">"BPTTOPSPU,TotalOperatorInd,GFOVOLPARENT,NYPLAN,2009.TOTAL,PERIODIC,"</definedName>
    <definedName name="EV__LOCKEDCVW__OPEX" hidden="1">"CURGFO,BPTTBU,TOTREVGENPRODMBOED,NET,TotalOperatorInd,USD,2001.TOTAL,PERIODIC,"</definedName>
    <definedName name="EV__LOCKEDCVW__OPEX_PLAN" hidden="1">"BPTTBU,NET,TotalOperatorInd,TOTREVGENPRODMBOED,REBASEDPLAN,USD,2001.TOTAL,PERIODIC,"</definedName>
    <definedName name="EV__LOCKEDCVW__PLAN" hidden="1">"GLOBALENTITY,TotalOperatorInd,TOTREVGENPRODMBOED,REBASEDPLAN,2001.TOTAL,PERIODIC,"</definedName>
    <definedName name="EV__LOCKEDCVW__RATE" hidden="1">"CURGFO,USD,AVG,RateInput,2001.TOTAL,WTDAVG,"</definedName>
    <definedName name="EV__LOCKSTATUS__" hidden="1">2</definedName>
    <definedName name="Feb">[1]Feb!$A$1:$Q$35</definedName>
    <definedName name="FS_Area">#REF!</definedName>
    <definedName name="FUELMOR">#REF!</definedName>
    <definedName name="H20MOR">#REF!</definedName>
    <definedName name="IT">#REF!</definedName>
    <definedName name="Jan">'[1] Jan'!$A$1:$Q$35</definedName>
    <definedName name="July">[1]July!$A$1:$Q$35</definedName>
    <definedName name="June">[1]June!$A$1:$Q$35</definedName>
    <definedName name="Mar">[1]Mar!$A$1:$Q$35</definedName>
    <definedName name="May">[1]May!$A$1:$Q$35</definedName>
    <definedName name="MS">#REF!</definedName>
    <definedName name="Nov">[1]Nov!$A$1:$Q$35</definedName>
    <definedName name="Oct">[1]Oct!$A$1:$Q$35</definedName>
    <definedName name="_xlnm.Print_Area" localSheetId="4">'April_2025 '!$B$1:$R$59</definedName>
    <definedName name="_xlnm.Print_Area" localSheetId="8">August_2025!$B$1:$R$62</definedName>
    <definedName name="_xlnm.Print_Area" localSheetId="12">December_2025!$B$1:$S$65</definedName>
    <definedName name="_xlnm.Print_Area" localSheetId="2">February_2025!$B$1:$R$68</definedName>
    <definedName name="_xlnm.Print_Area" localSheetId="1">January_2025!$B$1:$R$70</definedName>
    <definedName name="_xlnm.Print_Area" localSheetId="7">July_2025!$B$1:$R$60</definedName>
    <definedName name="_xlnm.Print_Area" localSheetId="6">June_2025!$B$1:$R$62</definedName>
    <definedName name="_xlnm.Print_Area" localSheetId="3">March_2025!$B$1:$R$67</definedName>
    <definedName name="_xlnm.Print_Area" localSheetId="5">May_2025!$B$1:$S$68</definedName>
    <definedName name="_xlnm.Print_Area" localSheetId="11">November_2025!$B$1:$R$67</definedName>
    <definedName name="_xlnm.Print_Area" localSheetId="10">October_2025!$B$1:$R$69</definedName>
    <definedName name="_xlnm.Print_Area" localSheetId="9">September_2025!$B$1:$R$59</definedName>
    <definedName name="RATIOS">#REF!</definedName>
    <definedName name="Reporting_body">#REF!</definedName>
    <definedName name="Risk">#REF!</definedName>
    <definedName name="Sector">#REF!</definedName>
    <definedName name="Sept">[1]Sept!$A$1:$Q$35</definedName>
    <definedName name="Status">#REF!</definedName>
    <definedName name="Summary">#REF!</definedName>
    <definedName name="TOTALM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23" l="1"/>
  <c r="L4" i="123"/>
  <c r="L5" i="123"/>
  <c r="L6" i="123"/>
  <c r="L7" i="123"/>
  <c r="L8" i="123"/>
  <c r="L9" i="123"/>
  <c r="L10" i="123"/>
  <c r="L11" i="123"/>
  <c r="L12" i="123"/>
  <c r="L13" i="123"/>
  <c r="L14" i="123"/>
  <c r="K4" i="123"/>
  <c r="K5" i="123"/>
  <c r="K6" i="123"/>
  <c r="K7" i="123"/>
  <c r="K8" i="123"/>
  <c r="K9" i="123"/>
  <c r="K10" i="123"/>
  <c r="K11" i="123"/>
  <c r="K12" i="123"/>
  <c r="K13" i="123"/>
  <c r="K14" i="123"/>
  <c r="K3" i="123"/>
  <c r="H14" i="123"/>
  <c r="G14" i="123"/>
  <c r="H13" i="123"/>
  <c r="G13" i="123"/>
  <c r="H12" i="123"/>
  <c r="G12" i="123"/>
  <c r="H11" i="123"/>
  <c r="G11" i="123"/>
  <c r="H10" i="123"/>
  <c r="G10" i="123"/>
  <c r="D14" i="123"/>
  <c r="C14" i="123"/>
  <c r="D13" i="123"/>
  <c r="C13" i="123"/>
  <c r="D12" i="123"/>
  <c r="C12" i="123"/>
  <c r="D11" i="123"/>
  <c r="C11" i="123"/>
  <c r="D10" i="123"/>
  <c r="C10" i="123"/>
  <c r="H9" i="123"/>
  <c r="G9" i="123"/>
  <c r="H8" i="123"/>
  <c r="G8" i="123"/>
  <c r="H7" i="123"/>
  <c r="G7" i="123"/>
  <c r="H6" i="123"/>
  <c r="G6" i="123"/>
  <c r="H5" i="123"/>
  <c r="G5" i="123"/>
  <c r="H4" i="123"/>
  <c r="G4" i="123"/>
  <c r="H3" i="123"/>
  <c r="G3" i="123"/>
  <c r="D9" i="123"/>
  <c r="C9" i="123"/>
  <c r="D8" i="123"/>
  <c r="C8" i="123"/>
  <c r="D7" i="123"/>
  <c r="C7" i="123"/>
  <c r="D6" i="123"/>
  <c r="C6" i="123"/>
  <c r="D5" i="123"/>
  <c r="C5" i="123"/>
  <c r="D4" i="123"/>
  <c r="C4" i="123"/>
  <c r="D3" i="123"/>
  <c r="C3" i="123"/>
  <c r="S60" i="120"/>
  <c r="R62" i="119"/>
  <c r="R64" i="118"/>
  <c r="R54" i="117"/>
  <c r="R57" i="116"/>
  <c r="R55" i="115"/>
  <c r="R57" i="122"/>
  <c r="S63" i="113"/>
  <c r="R54" i="121"/>
  <c r="R62" i="111"/>
  <c r="R63" i="110"/>
  <c r="R65" i="109"/>
  <c r="Q65" i="109"/>
  <c r="Q63" i="110"/>
  <c r="Q62" i="111"/>
  <c r="Q54" i="121"/>
  <c r="R63" i="113"/>
  <c r="Q54" i="117"/>
  <c r="Q57" i="116"/>
  <c r="Q55" i="115"/>
  <c r="Q57" i="122"/>
  <c r="Q64" i="118"/>
  <c r="Q62" i="119"/>
  <c r="Q60" i="120"/>
  <c r="M60" i="120"/>
  <c r="J30" i="120"/>
  <c r="K31" i="120"/>
  <c r="K30" i="120"/>
  <c r="G43" i="120" l="1"/>
  <c r="J17" i="120"/>
  <c r="R70" i="120"/>
  <c r="J43" i="120"/>
  <c r="J48" i="120"/>
  <c r="N50" i="120"/>
  <c r="J50" i="120"/>
  <c r="J49" i="120"/>
  <c r="N48" i="120" l="1"/>
  <c r="N47" i="120"/>
  <c r="J24" i="120"/>
  <c r="J23" i="120"/>
  <c r="J14" i="120"/>
  <c r="J47" i="120" l="1"/>
  <c r="J46" i="120" l="1"/>
  <c r="J44" i="120"/>
  <c r="N46" i="120" l="1"/>
  <c r="N43" i="120"/>
  <c r="N44" i="120"/>
  <c r="N42" i="120"/>
  <c r="J42" i="120" l="1"/>
  <c r="J41" i="120" l="1"/>
  <c r="R37" i="119" l="1"/>
  <c r="J39" i="120"/>
  <c r="J38" i="120"/>
  <c r="J36" i="120"/>
  <c r="J35" i="120"/>
  <c r="N38" i="120"/>
  <c r="N37" i="120"/>
  <c r="K35" i="120" l="1"/>
  <c r="N35" i="120"/>
  <c r="N34" i="120" l="1"/>
  <c r="N32" i="120"/>
  <c r="K33" i="120"/>
  <c r="J33" i="120"/>
  <c r="J22" i="120"/>
  <c r="J10" i="120"/>
  <c r="J9" i="120"/>
  <c r="J16" i="120"/>
  <c r="J32" i="120"/>
  <c r="K32" i="120"/>
  <c r="J20" i="120" l="1"/>
  <c r="J28" i="120"/>
  <c r="J29" i="120"/>
  <c r="N27" i="120"/>
  <c r="K25" i="120"/>
  <c r="J27" i="120"/>
  <c r="I24" i="120" l="1"/>
  <c r="N24" i="120"/>
  <c r="N22" i="120" l="1"/>
  <c r="J21" i="120" l="1"/>
  <c r="N20" i="120"/>
  <c r="I18" i="120" l="1"/>
  <c r="N18" i="120"/>
  <c r="N17" i="120"/>
  <c r="N16" i="120"/>
  <c r="J19" i="120"/>
  <c r="J18" i="120"/>
  <c r="K19" i="120"/>
  <c r="K18" i="120"/>
  <c r="N14" i="120"/>
  <c r="J11" i="120"/>
  <c r="K13" i="120"/>
  <c r="K11" i="120"/>
  <c r="S18" i="120" l="1"/>
  <c r="N10" i="120"/>
  <c r="G60" i="120" l="1"/>
  <c r="K14" i="120"/>
  <c r="K15" i="120"/>
  <c r="K16" i="120"/>
  <c r="K17" i="120"/>
  <c r="K20" i="120"/>
  <c r="K21" i="120"/>
  <c r="K22" i="120"/>
  <c r="K23" i="120"/>
  <c r="K24" i="120"/>
  <c r="K26" i="120"/>
  <c r="K27" i="120"/>
  <c r="K28" i="120"/>
  <c r="K29" i="120"/>
  <c r="K36" i="120"/>
  <c r="S33" i="120" s="1"/>
  <c r="K37" i="120"/>
  <c r="K38" i="120"/>
  <c r="K39" i="120"/>
  <c r="K40" i="120"/>
  <c r="K41" i="120"/>
  <c r="K42" i="120"/>
  <c r="K43" i="120"/>
  <c r="K44" i="120"/>
  <c r="K45" i="120"/>
  <c r="K46" i="120"/>
  <c r="K47" i="120"/>
  <c r="K48" i="120"/>
  <c r="K49" i="120"/>
  <c r="K50" i="120"/>
  <c r="K51" i="120"/>
  <c r="K52" i="120"/>
  <c r="K53" i="120"/>
  <c r="K54" i="120"/>
  <c r="K55" i="120"/>
  <c r="K56" i="120"/>
  <c r="K57" i="120"/>
  <c r="K58" i="120"/>
  <c r="K59" i="120"/>
  <c r="K9" i="120"/>
  <c r="Y11" i="120"/>
  <c r="Y12" i="120" s="1"/>
  <c r="N8" i="120"/>
  <c r="J8" i="120"/>
  <c r="S46" i="120" l="1"/>
  <c r="S48" i="120"/>
  <c r="S44" i="120"/>
  <c r="S39" i="120"/>
  <c r="S30" i="120"/>
  <c r="S27" i="120"/>
  <c r="S16" i="120"/>
  <c r="F9" i="120"/>
  <c r="F11" i="120"/>
  <c r="F12" i="120"/>
  <c r="J9" i="119"/>
  <c r="J48" i="119" l="1"/>
  <c r="F47" i="119"/>
  <c r="F46" i="119"/>
  <c r="F48" i="119"/>
  <c r="Q49" i="119"/>
  <c r="Q50" i="119"/>
  <c r="N47" i="119"/>
  <c r="J47" i="119"/>
  <c r="Q48" i="119" l="1"/>
  <c r="Q46" i="119"/>
  <c r="Q47" i="119"/>
  <c r="N45" i="119"/>
  <c r="J46" i="119" l="1"/>
  <c r="J45" i="119"/>
  <c r="F45" i="119"/>
  <c r="J44" i="119" l="1"/>
  <c r="J43" i="119"/>
  <c r="N44" i="119"/>
  <c r="J40" i="119"/>
  <c r="J39" i="119"/>
  <c r="K40" i="119"/>
  <c r="N42" i="119"/>
  <c r="F42" i="119" l="1"/>
  <c r="F41" i="119"/>
  <c r="N38" i="119" l="1"/>
  <c r="K38" i="119"/>
  <c r="K39" i="119"/>
  <c r="J38" i="119"/>
  <c r="N37" i="119"/>
  <c r="J37" i="119"/>
  <c r="N34" i="119" l="1"/>
  <c r="J35" i="119"/>
  <c r="J34" i="119"/>
  <c r="N32" i="119" l="1"/>
  <c r="K33" i="119"/>
  <c r="J33" i="119"/>
  <c r="J32" i="119"/>
  <c r="K31" i="119" l="1"/>
  <c r="J31" i="119" l="1"/>
  <c r="J29" i="119"/>
  <c r="J30" i="119"/>
  <c r="N30" i="119"/>
  <c r="J28" i="119" l="1"/>
  <c r="N29" i="119"/>
  <c r="N28" i="119" l="1"/>
  <c r="K28" i="119"/>
  <c r="Q41" i="119" l="1"/>
  <c r="Q42" i="119"/>
  <c r="Q45" i="119"/>
  <c r="Q51" i="119"/>
  <c r="Q52" i="119"/>
  <c r="Q53" i="119"/>
  <c r="Q54" i="119"/>
  <c r="Q55" i="119"/>
  <c r="Q56" i="119"/>
  <c r="Q57" i="119"/>
  <c r="Q58" i="119"/>
  <c r="Q59" i="119"/>
  <c r="Q60" i="119"/>
  <c r="Q61" i="119"/>
  <c r="K26" i="119"/>
  <c r="J26" i="119"/>
  <c r="J11" i="119"/>
  <c r="J24" i="119"/>
  <c r="K24" i="119"/>
  <c r="K22" i="119"/>
  <c r="J22" i="119"/>
  <c r="J21" i="119"/>
  <c r="P24" i="119" l="1"/>
  <c r="P22" i="119"/>
  <c r="L24" i="119"/>
  <c r="J19" i="119" l="1"/>
  <c r="K18" i="119"/>
  <c r="J18" i="119"/>
  <c r="K17" i="119" l="1"/>
  <c r="N16" i="119"/>
  <c r="I17" i="119"/>
  <c r="J17" i="119"/>
  <c r="J16" i="119"/>
  <c r="K16" i="119"/>
  <c r="N14" i="119"/>
  <c r="N15" i="119"/>
  <c r="K14" i="119"/>
  <c r="J14" i="119"/>
  <c r="J15" i="119"/>
  <c r="R17" i="119" l="1"/>
  <c r="N12" i="119"/>
  <c r="N11" i="119"/>
  <c r="K11" i="119"/>
  <c r="J57" i="118" l="1"/>
  <c r="J51" i="118" l="1"/>
  <c r="J47" i="118"/>
  <c r="J46" i="118"/>
  <c r="J53" i="118"/>
  <c r="J52" i="118"/>
  <c r="K9" i="119" l="1"/>
  <c r="N8" i="119"/>
  <c r="J8" i="119"/>
  <c r="J59" i="118"/>
  <c r="K37" i="115"/>
  <c r="K59" i="118"/>
  <c r="R9" i="119" l="1"/>
  <c r="P9" i="119"/>
  <c r="P59" i="118"/>
  <c r="K57" i="118"/>
  <c r="J56" i="118" l="1"/>
  <c r="K56" i="118" l="1"/>
  <c r="N56" i="118"/>
  <c r="J55" i="118"/>
  <c r="J54" i="118"/>
  <c r="K55" i="118"/>
  <c r="K54" i="118"/>
  <c r="R56" i="118" l="1"/>
  <c r="R54" i="118"/>
  <c r="J49" i="118"/>
  <c r="Q60" i="118" l="1"/>
  <c r="Q61" i="118"/>
  <c r="Q62" i="118"/>
  <c r="Q63" i="118"/>
  <c r="N50" i="118"/>
  <c r="J50" i="118"/>
  <c r="N49" i="118"/>
  <c r="J48" i="118"/>
  <c r="J22" i="118" l="1"/>
  <c r="J44" i="118"/>
  <c r="J45" i="118"/>
  <c r="N45" i="118"/>
  <c r="N46" i="118"/>
  <c r="N44" i="118" l="1"/>
  <c r="J42" i="118"/>
  <c r="J41" i="118" l="1"/>
  <c r="K42" i="118"/>
  <c r="N41" i="118"/>
  <c r="N39" i="118" l="1"/>
  <c r="J40" i="118"/>
  <c r="J39" i="118"/>
  <c r="J36" i="118" l="1"/>
  <c r="K36" i="118"/>
  <c r="N36" i="118"/>
  <c r="P36" i="118" l="1"/>
  <c r="N33" i="118"/>
  <c r="N34" i="118"/>
  <c r="J34" i="118"/>
  <c r="J33" i="118" l="1"/>
  <c r="J32" i="118"/>
  <c r="K32" i="118" l="1"/>
  <c r="K19" i="122" l="1"/>
  <c r="J31" i="118"/>
  <c r="N31" i="118"/>
  <c r="N29" i="118" l="1"/>
  <c r="N30" i="118"/>
  <c r="K28" i="118" l="1"/>
  <c r="J30" i="118"/>
  <c r="J28" i="118" l="1"/>
  <c r="L28" i="118" l="1"/>
  <c r="P28" i="118"/>
  <c r="N27" i="118"/>
  <c r="J23" i="118" l="1"/>
  <c r="K22" i="118" l="1"/>
  <c r="L22" i="118" l="1"/>
  <c r="N21" i="118"/>
  <c r="J21" i="118"/>
  <c r="J20" i="118" l="1"/>
  <c r="J13" i="118" l="1"/>
  <c r="J10" i="118"/>
  <c r="J18" i="118" l="1"/>
  <c r="J14" i="118" l="1"/>
  <c r="K14" i="118"/>
  <c r="P14" i="118" l="1"/>
  <c r="K13" i="118"/>
  <c r="K12" i="118"/>
  <c r="J12" i="118"/>
  <c r="N10" i="118"/>
  <c r="N12" i="118"/>
  <c r="K10" i="118" l="1"/>
  <c r="K8" i="118" l="1"/>
  <c r="J8" i="118"/>
  <c r="K46" i="117"/>
  <c r="K44" i="117"/>
  <c r="L44" i="117" l="1"/>
  <c r="P46" i="117"/>
  <c r="P44" i="117"/>
  <c r="J42" i="117" l="1"/>
  <c r="J36" i="117"/>
  <c r="K42" i="117"/>
  <c r="N42" i="117"/>
  <c r="J41" i="117" l="1"/>
  <c r="J40" i="117"/>
  <c r="N41" i="117"/>
  <c r="J39" i="117" l="1"/>
  <c r="J35" i="117" l="1"/>
  <c r="K35" i="117"/>
  <c r="N36" i="117" l="1"/>
  <c r="J34" i="117" l="1"/>
  <c r="N34" i="117"/>
  <c r="K33" i="117" l="1"/>
  <c r="K30" i="117"/>
  <c r="J30" i="117"/>
  <c r="L31" i="117"/>
  <c r="L32" i="117"/>
  <c r="J33" i="117"/>
  <c r="L33" i="117" l="1"/>
  <c r="P30" i="117"/>
  <c r="P33" i="117"/>
  <c r="L30" i="117"/>
  <c r="J29" i="117" l="1"/>
  <c r="K29" i="117"/>
  <c r="N29" i="117"/>
  <c r="K27" i="117" l="1"/>
  <c r="J27" i="117"/>
  <c r="N28" i="117"/>
  <c r="N26" i="117"/>
  <c r="L27" i="117" l="1"/>
  <c r="P27" i="117"/>
  <c r="R27" i="117"/>
  <c r="J26" i="117"/>
  <c r="N24" i="117" l="1"/>
  <c r="K24" i="117"/>
  <c r="J24" i="117"/>
  <c r="J25" i="117"/>
  <c r="K22" i="117" l="1"/>
  <c r="J23" i="117" l="1"/>
  <c r="J22" i="117"/>
  <c r="N20" i="117" l="1"/>
  <c r="J21" i="117"/>
  <c r="J20" i="117"/>
  <c r="N19" i="117" l="1"/>
  <c r="J19" i="117"/>
  <c r="J17" i="117" l="1"/>
  <c r="J9" i="117"/>
  <c r="J10" i="117"/>
  <c r="K17" i="117" l="1"/>
  <c r="J15" i="117" l="1"/>
  <c r="K15" i="117"/>
  <c r="N14" i="117" l="1"/>
  <c r="J14" i="117"/>
  <c r="J12" i="117" l="1"/>
  <c r="N12" i="117"/>
  <c r="K12" i="117"/>
  <c r="N10" i="117" l="1"/>
  <c r="J11" i="117"/>
  <c r="K10" i="117"/>
  <c r="J8" i="117" l="1"/>
  <c r="J54" i="117" s="1"/>
  <c r="J44" i="116" l="1"/>
  <c r="N44" i="116"/>
  <c r="J42" i="116"/>
  <c r="N41" i="116"/>
  <c r="K40" i="116"/>
  <c r="J40" i="116"/>
  <c r="P40" i="116" l="1"/>
  <c r="J39" i="116"/>
  <c r="N39" i="116" l="1"/>
  <c r="J36" i="116" l="1"/>
  <c r="N35" i="116"/>
  <c r="K36" i="116"/>
  <c r="J34" i="116" l="1"/>
  <c r="J35" i="116"/>
  <c r="K33" i="116" l="1"/>
  <c r="K34" i="116"/>
  <c r="K35" i="116" l="1"/>
  <c r="R34" i="116" s="1"/>
  <c r="K37" i="116"/>
  <c r="K38" i="116"/>
  <c r="J33" i="116" l="1"/>
  <c r="K39" i="116" l="1"/>
  <c r="K42" i="116"/>
  <c r="K43" i="116"/>
  <c r="R42" i="116" s="1"/>
  <c r="K44" i="116"/>
  <c r="K45" i="116"/>
  <c r="P45" i="116" s="1"/>
  <c r="K46" i="116"/>
  <c r="K47" i="116"/>
  <c r="N33" i="116"/>
  <c r="R39" i="116" l="1"/>
  <c r="P39" i="116"/>
  <c r="F32" i="116"/>
  <c r="N31" i="116" l="1"/>
  <c r="K31" i="116"/>
  <c r="J31" i="116"/>
  <c r="K28" i="116" l="1"/>
  <c r="K29" i="116"/>
  <c r="N28" i="116"/>
  <c r="J29" i="116"/>
  <c r="L29" i="116" s="1"/>
  <c r="J28" i="116"/>
  <c r="P29" i="116"/>
  <c r="Q32" i="116"/>
  <c r="P35" i="116"/>
  <c r="P36" i="116"/>
  <c r="P37" i="116"/>
  <c r="P38" i="116"/>
  <c r="P42" i="116"/>
  <c r="P43" i="116"/>
  <c r="L31" i="116"/>
  <c r="L35" i="116"/>
  <c r="L36" i="116"/>
  <c r="L37" i="116"/>
  <c r="L38" i="116"/>
  <c r="L39" i="116"/>
  <c r="L40" i="116"/>
  <c r="L42" i="116"/>
  <c r="L43" i="116"/>
  <c r="L44" i="116"/>
  <c r="L45" i="116"/>
  <c r="L46" i="116"/>
  <c r="L47" i="116"/>
  <c r="K30" i="116"/>
  <c r="P31" i="116"/>
  <c r="R29" i="116" l="1"/>
  <c r="P28" i="116"/>
  <c r="L28" i="116"/>
  <c r="L30" i="116"/>
  <c r="P30" i="116"/>
  <c r="N26" i="116"/>
  <c r="N24" i="116"/>
  <c r="K24" i="116"/>
  <c r="K26" i="116"/>
  <c r="J26" i="116"/>
  <c r="M59" i="120"/>
  <c r="F57" i="120"/>
  <c r="F58" i="120"/>
  <c r="F59" i="120"/>
  <c r="K9" i="116"/>
  <c r="L9" i="120"/>
  <c r="K10" i="120"/>
  <c r="L11" i="120"/>
  <c r="L12" i="120"/>
  <c r="L13" i="120"/>
  <c r="L14" i="120"/>
  <c r="L15" i="120"/>
  <c r="L16" i="120"/>
  <c r="L17" i="120"/>
  <c r="L18" i="120"/>
  <c r="L19" i="120"/>
  <c r="L20" i="120"/>
  <c r="L21" i="120"/>
  <c r="L22" i="120"/>
  <c r="L23" i="120"/>
  <c r="L24" i="120"/>
  <c r="L25" i="120"/>
  <c r="L26" i="120"/>
  <c r="L27" i="120"/>
  <c r="L28" i="120"/>
  <c r="L29" i="120"/>
  <c r="L30" i="120"/>
  <c r="L31" i="120"/>
  <c r="L32" i="120"/>
  <c r="L33" i="120"/>
  <c r="L34" i="120"/>
  <c r="L35" i="120"/>
  <c r="L36" i="120"/>
  <c r="L37" i="120"/>
  <c r="L38" i="120"/>
  <c r="L39" i="120"/>
  <c r="L40" i="120"/>
  <c r="L41" i="120"/>
  <c r="L42" i="120"/>
  <c r="P15" i="117"/>
  <c r="P17" i="117"/>
  <c r="Q37" i="117"/>
  <c r="L9" i="119"/>
  <c r="L10" i="119"/>
  <c r="L11" i="119"/>
  <c r="K13" i="119"/>
  <c r="L14" i="119"/>
  <c r="K15" i="119"/>
  <c r="L16" i="119"/>
  <c r="P17" i="119"/>
  <c r="P18" i="119"/>
  <c r="K19" i="119"/>
  <c r="P19" i="119" s="1"/>
  <c r="K20" i="119"/>
  <c r="L20" i="119" s="1"/>
  <c r="K21" i="119"/>
  <c r="L22" i="119"/>
  <c r="P26" i="119"/>
  <c r="L27" i="119"/>
  <c r="K29" i="119"/>
  <c r="K30" i="119"/>
  <c r="P30" i="119" s="1"/>
  <c r="P31" i="119"/>
  <c r="K32" i="119"/>
  <c r="R31" i="119" s="1"/>
  <c r="K34" i="119"/>
  <c r="R33" i="119" s="1"/>
  <c r="K35" i="119"/>
  <c r="K36" i="119"/>
  <c r="K37" i="119"/>
  <c r="P38" i="119"/>
  <c r="L39" i="119"/>
  <c r="K43" i="119"/>
  <c r="L43" i="119" s="1"/>
  <c r="K44" i="119"/>
  <c r="K45" i="119"/>
  <c r="K46" i="119"/>
  <c r="P46" i="119" s="1"/>
  <c r="K47" i="119"/>
  <c r="K48" i="119"/>
  <c r="L48" i="119" s="1"/>
  <c r="K49" i="119"/>
  <c r="L49" i="119" s="1"/>
  <c r="K50" i="119"/>
  <c r="L50" i="119" s="1"/>
  <c r="K51" i="119"/>
  <c r="L51" i="119" s="1"/>
  <c r="K52" i="119"/>
  <c r="L52" i="119" s="1"/>
  <c r="K53" i="119"/>
  <c r="L53" i="119" s="1"/>
  <c r="K54" i="119"/>
  <c r="L54" i="119" s="1"/>
  <c r="K55" i="119"/>
  <c r="L55" i="119" s="1"/>
  <c r="K56" i="119"/>
  <c r="L56" i="119" s="1"/>
  <c r="K57" i="119"/>
  <c r="L57" i="119" s="1"/>
  <c r="L43" i="118"/>
  <c r="K44" i="118"/>
  <c r="K45" i="118"/>
  <c r="K46" i="118"/>
  <c r="K47" i="118"/>
  <c r="K48" i="118"/>
  <c r="K49" i="118"/>
  <c r="K50" i="118"/>
  <c r="K51" i="118"/>
  <c r="K52" i="118"/>
  <c r="K53" i="118"/>
  <c r="P54" i="118"/>
  <c r="P55" i="118"/>
  <c r="P56" i="118"/>
  <c r="L57" i="118"/>
  <c r="L58" i="118"/>
  <c r="L59" i="118"/>
  <c r="K60" i="118"/>
  <c r="L60" i="118" s="1"/>
  <c r="K61" i="118"/>
  <c r="L61" i="118" s="1"/>
  <c r="K62" i="118"/>
  <c r="L62" i="118" s="1"/>
  <c r="K63" i="118"/>
  <c r="L63" i="118" s="1"/>
  <c r="K19" i="118"/>
  <c r="K20" i="118"/>
  <c r="K21" i="118"/>
  <c r="P22" i="118"/>
  <c r="K23" i="118"/>
  <c r="K24" i="118"/>
  <c r="K25" i="118"/>
  <c r="K26" i="118"/>
  <c r="K27" i="118"/>
  <c r="K29" i="118"/>
  <c r="K30" i="118"/>
  <c r="K31" i="118"/>
  <c r="L32" i="118"/>
  <c r="K33" i="118"/>
  <c r="K34" i="118"/>
  <c r="K35" i="118"/>
  <c r="L36" i="118"/>
  <c r="K39" i="118"/>
  <c r="K40" i="118"/>
  <c r="K41" i="118"/>
  <c r="L42" i="118"/>
  <c r="K18" i="118"/>
  <c r="P10" i="118"/>
  <c r="L12" i="118"/>
  <c r="L13" i="118"/>
  <c r="K15" i="118"/>
  <c r="K16" i="118"/>
  <c r="K17" i="118"/>
  <c r="K25" i="117"/>
  <c r="K26" i="117"/>
  <c r="L29" i="117"/>
  <c r="K34" i="117"/>
  <c r="L35" i="117"/>
  <c r="K36" i="117"/>
  <c r="K37" i="117"/>
  <c r="L37" i="117" s="1"/>
  <c r="K38" i="117"/>
  <c r="K39" i="117"/>
  <c r="K40" i="117"/>
  <c r="K41" i="117"/>
  <c r="K43" i="117"/>
  <c r="K9" i="117"/>
  <c r="L10" i="117"/>
  <c r="K11" i="117"/>
  <c r="L12" i="117"/>
  <c r="L13" i="117"/>
  <c r="K14" i="117"/>
  <c r="L15" i="117"/>
  <c r="L17" i="117"/>
  <c r="K19" i="117"/>
  <c r="K20" i="117"/>
  <c r="K21" i="117"/>
  <c r="L22" i="117"/>
  <c r="K23" i="117"/>
  <c r="N21" i="116"/>
  <c r="J22" i="116"/>
  <c r="J23" i="116"/>
  <c r="K22" i="116"/>
  <c r="J21" i="116"/>
  <c r="S9" i="120" l="1"/>
  <c r="L10" i="120"/>
  <c r="R44" i="119"/>
  <c r="L47" i="119"/>
  <c r="R46" i="119"/>
  <c r="L46" i="119"/>
  <c r="L45" i="119"/>
  <c r="L44" i="119"/>
  <c r="L42" i="119"/>
  <c r="L41" i="119"/>
  <c r="L40" i="119"/>
  <c r="P37" i="119"/>
  <c r="R42" i="118"/>
  <c r="P36" i="119"/>
  <c r="R35" i="119"/>
  <c r="P35" i="119"/>
  <c r="L34" i="119"/>
  <c r="R22" i="119"/>
  <c r="L33" i="119"/>
  <c r="P32" i="119"/>
  <c r="P29" i="119"/>
  <c r="P28" i="119"/>
  <c r="L15" i="119"/>
  <c r="R15" i="119"/>
  <c r="L13" i="119"/>
  <c r="R11" i="119"/>
  <c r="L32" i="119"/>
  <c r="L21" i="119"/>
  <c r="P52" i="118"/>
  <c r="P51" i="118"/>
  <c r="P53" i="118"/>
  <c r="R52" i="118"/>
  <c r="P50" i="118"/>
  <c r="R49" i="118"/>
  <c r="L19" i="118"/>
  <c r="R34" i="118"/>
  <c r="L40" i="118"/>
  <c r="L34" i="118"/>
  <c r="J17" i="118"/>
  <c r="J25" i="118"/>
  <c r="L20" i="118"/>
  <c r="L30" i="118"/>
  <c r="J24" i="118"/>
  <c r="P49" i="118"/>
  <c r="P48" i="118"/>
  <c r="P47" i="118"/>
  <c r="R46" i="118"/>
  <c r="L44" i="118"/>
  <c r="L21" i="118"/>
  <c r="P46" i="118"/>
  <c r="L41" i="118"/>
  <c r="R40" i="118"/>
  <c r="L39" i="118"/>
  <c r="R36" i="118"/>
  <c r="P45" i="118"/>
  <c r="L31" i="118"/>
  <c r="R30" i="118"/>
  <c r="L35" i="118"/>
  <c r="L17" i="119"/>
  <c r="L33" i="118"/>
  <c r="R32" i="118"/>
  <c r="L36" i="119"/>
  <c r="L26" i="119"/>
  <c r="L18" i="118"/>
  <c r="R22" i="118"/>
  <c r="L23" i="118"/>
  <c r="J27" i="118"/>
  <c r="R18" i="118"/>
  <c r="P21" i="118"/>
  <c r="R20" i="118"/>
  <c r="J29" i="118"/>
  <c r="J26" i="118"/>
  <c r="P23" i="118"/>
  <c r="P18" i="118"/>
  <c r="P15" i="118"/>
  <c r="R13" i="118"/>
  <c r="J16" i="118"/>
  <c r="L52" i="118"/>
  <c r="L15" i="118"/>
  <c r="L45" i="118"/>
  <c r="L14" i="118"/>
  <c r="L51" i="118"/>
  <c r="L49" i="118"/>
  <c r="L38" i="119"/>
  <c r="L29" i="119"/>
  <c r="L43" i="117"/>
  <c r="P43" i="117"/>
  <c r="L55" i="118"/>
  <c r="P34" i="119"/>
  <c r="R41" i="117"/>
  <c r="L46" i="118"/>
  <c r="L28" i="119"/>
  <c r="L19" i="119"/>
  <c r="R36" i="117"/>
  <c r="L42" i="117"/>
  <c r="P38" i="117"/>
  <c r="L41" i="117"/>
  <c r="L40" i="117"/>
  <c r="L39" i="117"/>
  <c r="R33" i="117"/>
  <c r="P36" i="117"/>
  <c r="L36" i="117"/>
  <c r="L34" i="117"/>
  <c r="P19" i="117"/>
  <c r="L25" i="117"/>
  <c r="L14" i="117"/>
  <c r="P20" i="118"/>
  <c r="P33" i="119"/>
  <c r="P21" i="119"/>
  <c r="L10" i="118"/>
  <c r="L54" i="118"/>
  <c r="L48" i="118"/>
  <c r="L31" i="119"/>
  <c r="P19" i="118"/>
  <c r="P20" i="119"/>
  <c r="L37" i="119"/>
  <c r="L18" i="119"/>
  <c r="L53" i="118"/>
  <c r="L47" i="118"/>
  <c r="L30" i="119"/>
  <c r="P16" i="119"/>
  <c r="L35" i="119"/>
  <c r="P39" i="119"/>
  <c r="P15" i="119"/>
  <c r="P13" i="118"/>
  <c r="P14" i="119"/>
  <c r="P12" i="118"/>
  <c r="L56" i="118"/>
  <c r="L50" i="118"/>
  <c r="P14" i="117"/>
  <c r="L38" i="117"/>
  <c r="P23" i="117"/>
  <c r="R22" i="117"/>
  <c r="L26" i="117"/>
  <c r="R25" i="117"/>
  <c r="P26" i="117"/>
  <c r="P25" i="117"/>
  <c r="L24" i="117"/>
  <c r="P20" i="117"/>
  <c r="R15" i="117"/>
  <c r="L23" i="117"/>
  <c r="P22" i="117"/>
  <c r="P21" i="117"/>
  <c r="L20" i="117"/>
  <c r="P24" i="117"/>
  <c r="P35" i="117"/>
  <c r="R9" i="117"/>
  <c r="P34" i="117"/>
  <c r="P37" i="117"/>
  <c r="L21" i="117"/>
  <c r="L11" i="117"/>
  <c r="R11" i="117"/>
  <c r="P39" i="117"/>
  <c r="P29" i="117"/>
  <c r="L19" i="117"/>
  <c r="P12" i="117"/>
  <c r="P11" i="117"/>
  <c r="P10" i="117"/>
  <c r="L9" i="117"/>
  <c r="P9" i="117"/>
  <c r="L17" i="118" l="1"/>
  <c r="P24" i="118"/>
  <c r="L25" i="118"/>
  <c r="P16" i="118"/>
  <c r="P17" i="118"/>
  <c r="L24" i="118"/>
  <c r="L16" i="118"/>
  <c r="P29" i="118"/>
  <c r="L29" i="118"/>
  <c r="P26" i="118"/>
  <c r="L26" i="118"/>
  <c r="P27" i="118"/>
  <c r="L27" i="118"/>
  <c r="R16" i="118"/>
  <c r="P25" i="118"/>
  <c r="J19" i="116"/>
  <c r="J18" i="116"/>
  <c r="K20" i="116"/>
  <c r="K19" i="116"/>
  <c r="J20" i="116" l="1"/>
  <c r="N19" i="116" l="1"/>
  <c r="J13" i="116"/>
  <c r="J15" i="116"/>
  <c r="J14" i="116"/>
  <c r="J8" i="116"/>
  <c r="N17" i="116"/>
  <c r="J17" i="116" l="1"/>
  <c r="J16" i="116" l="1"/>
  <c r="N16" i="116"/>
  <c r="K13" i="116"/>
  <c r="N12" i="116"/>
  <c r="J12" i="116" l="1"/>
  <c r="N10" i="116" l="1"/>
  <c r="J11" i="116"/>
  <c r="J10" i="116" l="1"/>
  <c r="K10" i="116"/>
  <c r="G55" i="115" l="1"/>
  <c r="N8" i="116" l="1"/>
  <c r="J9" i="116"/>
  <c r="R9" i="116" s="1"/>
  <c r="K8" i="116"/>
  <c r="L8" i="116" s="1"/>
  <c r="K11" i="116"/>
  <c r="K12" i="116"/>
  <c r="K14" i="116"/>
  <c r="K15" i="116"/>
  <c r="R14" i="116" s="1"/>
  <c r="K16" i="116"/>
  <c r="K17" i="116"/>
  <c r="K18" i="116"/>
  <c r="R18" i="116" s="1"/>
  <c r="K21" i="116"/>
  <c r="R20" i="116" s="1"/>
  <c r="K23" i="116"/>
  <c r="R22" i="116" s="1"/>
  <c r="K32" i="116"/>
  <c r="K48" i="116"/>
  <c r="L48" i="116" s="1"/>
  <c r="K49" i="116"/>
  <c r="L49" i="116" s="1"/>
  <c r="K50" i="116"/>
  <c r="L50" i="116" s="1"/>
  <c r="K51" i="116"/>
  <c r="L51" i="116" s="1"/>
  <c r="K52" i="116"/>
  <c r="L52" i="116" s="1"/>
  <c r="K53" i="116"/>
  <c r="L53" i="116" s="1"/>
  <c r="K54" i="116"/>
  <c r="L54" i="116" s="1"/>
  <c r="K55" i="116"/>
  <c r="L55" i="116" s="1"/>
  <c r="K56" i="116"/>
  <c r="L56" i="116" s="1"/>
  <c r="J52" i="115"/>
  <c r="L17" i="116" l="1"/>
  <c r="L34" i="116"/>
  <c r="P34" i="116"/>
  <c r="P33" i="116"/>
  <c r="L33" i="116"/>
  <c r="P32" i="116"/>
  <c r="L32" i="116"/>
  <c r="P9" i="116"/>
  <c r="K57" i="116"/>
  <c r="J35" i="115" l="1"/>
  <c r="J49" i="115" l="1"/>
  <c r="O55" i="115" l="1"/>
  <c r="O57" i="115" s="1"/>
  <c r="N49" i="115" l="1"/>
  <c r="N47" i="115"/>
  <c r="J48" i="115"/>
  <c r="J47" i="115" l="1"/>
  <c r="J46" i="115"/>
  <c r="N45" i="115"/>
  <c r="K46" i="115"/>
  <c r="J45" i="115"/>
  <c r="J44" i="115" l="1"/>
  <c r="K44" i="115" l="1"/>
  <c r="N44" i="115" l="1"/>
  <c r="N41" i="115"/>
  <c r="K41" i="115" l="1"/>
  <c r="J41" i="115"/>
  <c r="J40" i="115" l="1"/>
  <c r="J38" i="115"/>
  <c r="J39" i="115"/>
  <c r="K38" i="115"/>
  <c r="I37" i="115"/>
  <c r="L37" i="115" l="1"/>
  <c r="N37" i="115"/>
  <c r="K35" i="115" l="1"/>
  <c r="N35" i="115"/>
  <c r="P35" i="115" l="1"/>
  <c r="J33" i="115" l="1"/>
  <c r="N33" i="115" l="1"/>
  <c r="N32" i="115"/>
  <c r="J34" i="115"/>
  <c r="K34" i="115"/>
  <c r="K33" i="115"/>
  <c r="J32" i="115"/>
  <c r="R33" i="115" l="1"/>
  <c r="J31" i="115" l="1"/>
  <c r="J30" i="115"/>
  <c r="J29" i="115"/>
  <c r="N30" i="115"/>
  <c r="J28" i="115"/>
  <c r="N28" i="115" l="1"/>
  <c r="N29" i="115" l="1"/>
  <c r="J26" i="115" l="1"/>
  <c r="J27" i="115"/>
  <c r="J25" i="115"/>
  <c r="N25" i="115"/>
  <c r="J20" i="115" l="1"/>
  <c r="N22" i="115" l="1"/>
  <c r="N23" i="115"/>
  <c r="K23" i="115"/>
  <c r="J23" i="115" l="1"/>
  <c r="N20" i="115"/>
  <c r="N19" i="115" l="1"/>
  <c r="J19" i="115"/>
  <c r="J18" i="115"/>
  <c r="J10" i="115" l="1"/>
  <c r="N17" i="115"/>
  <c r="J17" i="115"/>
  <c r="N15" i="115" l="1"/>
  <c r="N14" i="115"/>
  <c r="N13" i="115"/>
  <c r="K13" i="115"/>
  <c r="K15" i="115"/>
  <c r="J15" i="115"/>
  <c r="R15" i="115" l="1"/>
  <c r="P13" i="115"/>
  <c r="K12" i="115"/>
  <c r="K11" i="115"/>
  <c r="K10" i="115"/>
  <c r="K9" i="115"/>
  <c r="K8" i="115"/>
  <c r="P15" i="115"/>
  <c r="K17" i="115"/>
  <c r="L13" i="115"/>
  <c r="J12" i="115"/>
  <c r="N12" i="115"/>
  <c r="N11" i="115"/>
  <c r="G57" i="122"/>
  <c r="R12" i="115" l="1"/>
  <c r="P9" i="115"/>
  <c r="P11" i="115"/>
  <c r="L12" i="115"/>
  <c r="P12" i="115"/>
  <c r="P10" i="115"/>
  <c r="L17" i="115"/>
  <c r="P17" i="115"/>
  <c r="L15" i="115"/>
  <c r="L11" i="115"/>
  <c r="J8" i="115"/>
  <c r="J49" i="122"/>
  <c r="N8" i="115"/>
  <c r="R8" i="115" l="1"/>
  <c r="O57" i="122"/>
  <c r="O59" i="122" s="1"/>
  <c r="L59" i="122" s="1"/>
  <c r="K18" i="115" l="1"/>
  <c r="K19" i="115"/>
  <c r="K20" i="115"/>
  <c r="K21" i="115"/>
  <c r="K22" i="115"/>
  <c r="K24" i="115"/>
  <c r="J24" i="115" s="1"/>
  <c r="K25" i="115"/>
  <c r="K26" i="115"/>
  <c r="K27" i="115"/>
  <c r="K28" i="115"/>
  <c r="K29" i="115"/>
  <c r="K30" i="115"/>
  <c r="K31" i="115"/>
  <c r="K32" i="115"/>
  <c r="K36" i="115"/>
  <c r="K39" i="115"/>
  <c r="K40" i="115"/>
  <c r="K42" i="115"/>
  <c r="K43" i="115"/>
  <c r="K45" i="115"/>
  <c r="K47" i="115"/>
  <c r="K48" i="115"/>
  <c r="K49" i="115"/>
  <c r="K52" i="115"/>
  <c r="K53" i="115"/>
  <c r="K54" i="115"/>
  <c r="N49" i="122"/>
  <c r="J47" i="122"/>
  <c r="K48" i="122"/>
  <c r="K49" i="122"/>
  <c r="K50" i="122"/>
  <c r="K51" i="122"/>
  <c r="K52" i="122"/>
  <c r="K53" i="122"/>
  <c r="K54" i="122"/>
  <c r="K55" i="122"/>
  <c r="K56" i="122"/>
  <c r="R44" i="115" l="1"/>
  <c r="R46" i="115"/>
  <c r="R40" i="115"/>
  <c r="R35" i="115"/>
  <c r="R38" i="115"/>
  <c r="R28" i="115"/>
  <c r="J21" i="115"/>
  <c r="J22" i="115"/>
  <c r="R26" i="115"/>
  <c r="R18" i="115"/>
  <c r="L19" i="115"/>
  <c r="P18" i="115"/>
  <c r="L18" i="115"/>
  <c r="J42" i="122"/>
  <c r="J45" i="122"/>
  <c r="K45" i="122"/>
  <c r="K42" i="122"/>
  <c r="J39" i="122"/>
  <c r="N45" i="122"/>
  <c r="J55" i="115" l="1"/>
  <c r="R21" i="115"/>
  <c r="R23" i="115"/>
  <c r="P45" i="122"/>
  <c r="R42" i="122"/>
  <c r="L45" i="122"/>
  <c r="P42" i="122" l="1"/>
  <c r="L42" i="122"/>
  <c r="N42" i="122" l="1"/>
  <c r="J40" i="122"/>
  <c r="K40" i="122"/>
  <c r="N40" i="122"/>
  <c r="J38" i="122" l="1"/>
  <c r="J37" i="122"/>
  <c r="N38" i="122" l="1"/>
  <c r="K38" i="122"/>
  <c r="J36" i="122" l="1"/>
  <c r="I36" i="122"/>
  <c r="K36" i="122"/>
  <c r="K37" i="122"/>
  <c r="K35" i="122"/>
  <c r="K34" i="122"/>
  <c r="K39" i="122"/>
  <c r="K30" i="122"/>
  <c r="K31" i="122"/>
  <c r="K32" i="122"/>
  <c r="K33" i="122"/>
  <c r="N36" i="122"/>
  <c r="J35" i="122"/>
  <c r="R37" i="122" l="1"/>
  <c r="N35" i="122"/>
  <c r="J32" i="122"/>
  <c r="J33" i="122"/>
  <c r="R32" i="122" l="1"/>
  <c r="I32" i="122"/>
  <c r="N31" i="122"/>
  <c r="N30" i="122"/>
  <c r="J31" i="122"/>
  <c r="J28" i="122"/>
  <c r="J29" i="122"/>
  <c r="J30" i="122"/>
  <c r="K29" i="122"/>
  <c r="R29" i="122" l="1"/>
  <c r="P32" i="122"/>
  <c r="N28" i="122" l="1"/>
  <c r="J27" i="122" l="1"/>
  <c r="J26" i="122"/>
  <c r="N27" i="122"/>
  <c r="N24" i="122" l="1"/>
  <c r="N25" i="122"/>
  <c r="J25" i="122"/>
  <c r="J23" i="122"/>
  <c r="K23" i="122"/>
  <c r="K24" i="122"/>
  <c r="J21" i="122" l="1"/>
  <c r="K21" i="122"/>
  <c r="J17" i="122"/>
  <c r="J10" i="122"/>
  <c r="J20" i="122" l="1"/>
  <c r="J19" i="122" l="1"/>
  <c r="L63" i="122" l="1"/>
  <c r="K17" i="122" l="1"/>
  <c r="J16" i="122"/>
  <c r="P17" i="122" l="1"/>
  <c r="K10" i="122"/>
  <c r="K12" i="122"/>
  <c r="J12" i="122"/>
  <c r="K15" i="122"/>
  <c r="L15" i="122" l="1"/>
  <c r="L12" i="122"/>
  <c r="J8" i="122" l="1"/>
  <c r="K8" i="122"/>
  <c r="J9" i="122" l="1"/>
  <c r="J57" i="122" s="1"/>
  <c r="K49" i="113" l="1"/>
  <c r="P63" i="113" l="1"/>
  <c r="P65" i="113" s="1"/>
  <c r="P10" i="122"/>
  <c r="K9" i="122"/>
  <c r="L10" i="122"/>
  <c r="K11" i="122"/>
  <c r="K14" i="122"/>
  <c r="P15" i="122"/>
  <c r="K16" i="122"/>
  <c r="L17" i="122"/>
  <c r="K18" i="122"/>
  <c r="K20" i="122"/>
  <c r="R20" i="122" s="1"/>
  <c r="P21" i="122"/>
  <c r="L23" i="122"/>
  <c r="P24" i="122"/>
  <c r="K25" i="122"/>
  <c r="K26" i="122"/>
  <c r="K27" i="122"/>
  <c r="K28" i="122"/>
  <c r="P29" i="122"/>
  <c r="P30" i="122"/>
  <c r="P31" i="122"/>
  <c r="P33" i="122"/>
  <c r="P34" i="122"/>
  <c r="R12" i="122" l="1"/>
  <c r="P27" i="122"/>
  <c r="P26" i="122"/>
  <c r="P19" i="122"/>
  <c r="P28" i="122"/>
  <c r="R9" i="122"/>
  <c r="P16" i="122"/>
  <c r="L33" i="122"/>
  <c r="L9" i="122"/>
  <c r="P25" i="122"/>
  <c r="R25" i="122"/>
  <c r="P20" i="122"/>
  <c r="L21" i="122"/>
  <c r="P14" i="122"/>
  <c r="L29" i="122"/>
  <c r="P18" i="122"/>
  <c r="R17" i="122"/>
  <c r="L11" i="122"/>
  <c r="P11" i="122"/>
  <c r="L27" i="122"/>
  <c r="P23" i="122"/>
  <c r="L26" i="122"/>
  <c r="L14" i="122"/>
  <c r="L34" i="122"/>
  <c r="L28" i="122"/>
  <c r="L16" i="122"/>
  <c r="L32" i="122"/>
  <c r="L20" i="122"/>
  <c r="L31" i="122"/>
  <c r="L25" i="122"/>
  <c r="L19" i="122"/>
  <c r="L30" i="122"/>
  <c r="L24" i="122"/>
  <c r="L18" i="122"/>
  <c r="P12" i="122"/>
  <c r="P9" i="122"/>
  <c r="K47" i="113"/>
  <c r="K44" i="113"/>
  <c r="L47" i="113"/>
  <c r="Q47" i="113" l="1"/>
  <c r="M47" i="113"/>
  <c r="O43" i="113" l="1"/>
  <c r="L44" i="113"/>
  <c r="Q44" i="113" l="1"/>
  <c r="M44" i="113"/>
  <c r="S44" i="113" l="1"/>
  <c r="K42" i="113"/>
  <c r="K41" i="113"/>
  <c r="K43" i="113" l="1"/>
  <c r="L42" i="113" l="1"/>
  <c r="Q42" i="113" l="1"/>
  <c r="M42" i="113"/>
  <c r="K39" i="113" l="1"/>
  <c r="K37" i="113" l="1"/>
  <c r="O38" i="113"/>
  <c r="L37" i="113"/>
  <c r="Q37" i="113" l="1"/>
  <c r="M37" i="113"/>
  <c r="O35" i="113" l="1"/>
  <c r="L35" i="113"/>
  <c r="K35" i="113"/>
  <c r="K33" i="113"/>
  <c r="O33" i="113"/>
  <c r="L32" i="113"/>
  <c r="K32" i="113"/>
  <c r="O32" i="113"/>
  <c r="M35" i="113" l="1"/>
  <c r="K28" i="113"/>
  <c r="K29" i="113"/>
  <c r="K30" i="113"/>
  <c r="L31" i="113" l="1"/>
  <c r="L30" i="113"/>
  <c r="L29" i="113"/>
  <c r="L28" i="113"/>
  <c r="K25" i="113" l="1"/>
  <c r="K26" i="113"/>
  <c r="O25" i="113" l="1"/>
  <c r="O24" i="113"/>
  <c r="K24" i="113"/>
  <c r="K23" i="113"/>
  <c r="K20" i="113" l="1"/>
  <c r="K18" i="113"/>
  <c r="O22" i="113" l="1"/>
  <c r="K22" i="113"/>
  <c r="G63" i="113"/>
  <c r="M65" i="113" s="1"/>
  <c r="K21" i="113" l="1"/>
  <c r="O21" i="113"/>
  <c r="O20" i="113"/>
  <c r="I16" i="113" l="1"/>
  <c r="K11" i="113"/>
  <c r="O15" i="113"/>
  <c r="K16" i="113"/>
  <c r="K13" i="113"/>
  <c r="L13" i="113"/>
  <c r="L11" i="113"/>
  <c r="O13" i="113"/>
  <c r="J49" i="121"/>
  <c r="L9" i="113" l="1"/>
  <c r="K8" i="113"/>
  <c r="K63" i="113" s="1"/>
  <c r="M10" i="113"/>
  <c r="M11" i="113"/>
  <c r="M13" i="113"/>
  <c r="L15" i="113"/>
  <c r="M15" i="113" s="1"/>
  <c r="L16" i="113"/>
  <c r="M16" i="113" s="1"/>
  <c r="L17" i="113"/>
  <c r="M17" i="113" s="1"/>
  <c r="L18" i="113"/>
  <c r="L19" i="113"/>
  <c r="M19" i="113" s="1"/>
  <c r="L20" i="113"/>
  <c r="M20" i="113" s="1"/>
  <c r="L21" i="113"/>
  <c r="M21" i="113" s="1"/>
  <c r="L22" i="113"/>
  <c r="L23" i="113"/>
  <c r="L24" i="113"/>
  <c r="L25" i="113"/>
  <c r="L26" i="113"/>
  <c r="L27" i="113"/>
  <c r="S27" i="113" s="1"/>
  <c r="M31" i="113"/>
  <c r="M32" i="113"/>
  <c r="L33" i="113"/>
  <c r="M33" i="113" s="1"/>
  <c r="L34" i="113"/>
  <c r="N49" i="121"/>
  <c r="K49" i="121"/>
  <c r="K45" i="121"/>
  <c r="K46" i="121"/>
  <c r="K47" i="121"/>
  <c r="K48" i="121"/>
  <c r="K50" i="121"/>
  <c r="L50" i="121" s="1"/>
  <c r="K51" i="121"/>
  <c r="L51" i="121" s="1"/>
  <c r="K52" i="121"/>
  <c r="L52" i="121" s="1"/>
  <c r="J47" i="121"/>
  <c r="J46" i="121"/>
  <c r="J48" i="121"/>
  <c r="K53" i="121"/>
  <c r="L53" i="121" s="1"/>
  <c r="S25" i="113" l="1"/>
  <c r="Q9" i="113"/>
  <c r="M34" i="113"/>
  <c r="S33" i="113"/>
  <c r="S21" i="113"/>
  <c r="M18" i="113"/>
  <c r="S19" i="113"/>
  <c r="M25" i="113"/>
  <c r="Q25" i="113"/>
  <c r="M24" i="113"/>
  <c r="Q24" i="113"/>
  <c r="M23" i="113"/>
  <c r="Q23" i="113"/>
  <c r="M22" i="113"/>
  <c r="Q22" i="113"/>
  <c r="M27" i="113"/>
  <c r="Q27" i="113"/>
  <c r="M26" i="113"/>
  <c r="Q26" i="113"/>
  <c r="M30" i="113"/>
  <c r="Q30" i="113"/>
  <c r="M29" i="113"/>
  <c r="Q29" i="113"/>
  <c r="M28" i="113"/>
  <c r="Q28" i="113"/>
  <c r="L48" i="121"/>
  <c r="L47" i="121"/>
  <c r="L46" i="121"/>
  <c r="L49" i="121"/>
  <c r="J45" i="121"/>
  <c r="L45" i="121" s="1"/>
  <c r="J44" i="121"/>
  <c r="K43" i="121" l="1"/>
  <c r="K42" i="121"/>
  <c r="J43" i="121"/>
  <c r="J42" i="121"/>
  <c r="J9" i="121"/>
  <c r="J40" i="121"/>
  <c r="J41" i="121"/>
  <c r="J39" i="121"/>
  <c r="J38" i="121"/>
  <c r="K39" i="121"/>
  <c r="N39" i="121" l="1"/>
  <c r="H51" i="121" l="1"/>
  <c r="H52" i="121"/>
  <c r="H53" i="121"/>
  <c r="J37" i="121"/>
  <c r="J36" i="121"/>
  <c r="J35" i="121"/>
  <c r="K36" i="121"/>
  <c r="P36" i="121" l="1"/>
  <c r="K37" i="121"/>
  <c r="N37" i="121"/>
  <c r="K35" i="121" l="1"/>
  <c r="J34" i="121" l="1"/>
  <c r="K32" i="121" l="1"/>
  <c r="K31" i="121"/>
  <c r="J31" i="121"/>
  <c r="P32" i="121" l="1"/>
  <c r="J30" i="121" l="1"/>
  <c r="K30" i="121"/>
  <c r="K28" i="121"/>
  <c r="J28" i="121"/>
  <c r="J27" i="121" l="1"/>
  <c r="J25" i="121"/>
  <c r="I25" i="121"/>
  <c r="J26" i="121"/>
  <c r="I18" i="121"/>
  <c r="J23" i="121" l="1"/>
  <c r="J21" i="121" l="1"/>
  <c r="J20" i="121"/>
  <c r="N20" i="121"/>
  <c r="J18" i="121" l="1"/>
  <c r="J19" i="121"/>
  <c r="K21" i="121"/>
  <c r="K22" i="121"/>
  <c r="K23" i="121"/>
  <c r="K24" i="121"/>
  <c r="K25" i="121"/>
  <c r="K26" i="121"/>
  <c r="K27" i="121"/>
  <c r="K33" i="121"/>
  <c r="K34" i="121"/>
  <c r="K15" i="121"/>
  <c r="J24" i="121" l="1"/>
  <c r="J33" i="121"/>
  <c r="J17" i="121"/>
  <c r="J15" i="121"/>
  <c r="N18" i="121"/>
  <c r="J14" i="121"/>
  <c r="K14" i="121"/>
  <c r="K18" i="121"/>
  <c r="K17" i="121"/>
  <c r="P18" i="121" l="1"/>
  <c r="L18" i="121"/>
  <c r="N15" i="121" l="1"/>
  <c r="L15" i="121" l="1"/>
  <c r="N14" i="121" l="1"/>
  <c r="J11" i="121"/>
  <c r="J13" i="121"/>
  <c r="N10" i="121" l="1"/>
  <c r="J10" i="121"/>
  <c r="O41" i="111" l="1"/>
  <c r="K41" i="111"/>
  <c r="O62" i="111" l="1"/>
  <c r="O64" i="111" s="1"/>
  <c r="J8" i="121"/>
  <c r="K9" i="121"/>
  <c r="K10" i="121"/>
  <c r="K11" i="121"/>
  <c r="K12" i="121"/>
  <c r="K13" i="121"/>
  <c r="P14" i="121"/>
  <c r="L17" i="121"/>
  <c r="K19" i="121"/>
  <c r="K20" i="121"/>
  <c r="L21" i="121"/>
  <c r="L22" i="121"/>
  <c r="L23" i="121"/>
  <c r="P25" i="121"/>
  <c r="L26" i="121"/>
  <c r="L27" i="121"/>
  <c r="L28" i="121"/>
  <c r="L29" i="121"/>
  <c r="P30" i="121"/>
  <c r="P31" i="121"/>
  <c r="L32" i="121"/>
  <c r="L33" i="121"/>
  <c r="L34" i="121"/>
  <c r="L35" i="121"/>
  <c r="P37" i="121"/>
  <c r="K38" i="121"/>
  <c r="L39" i="121"/>
  <c r="K40" i="121"/>
  <c r="K41" i="121"/>
  <c r="P42" i="121"/>
  <c r="P43" i="121"/>
  <c r="K44" i="121"/>
  <c r="J49" i="111"/>
  <c r="K49" i="111"/>
  <c r="J48" i="111"/>
  <c r="L44" i="121" l="1"/>
  <c r="L41" i="121"/>
  <c r="L38" i="121"/>
  <c r="L40" i="121"/>
  <c r="L20" i="121"/>
  <c r="P19" i="121"/>
  <c r="L43" i="121"/>
  <c r="L19" i="121"/>
  <c r="L31" i="121"/>
  <c r="L13" i="121"/>
  <c r="P12" i="121"/>
  <c r="P11" i="121"/>
  <c r="L10" i="121"/>
  <c r="P23" i="121"/>
  <c r="P41" i="121"/>
  <c r="P38" i="121"/>
  <c r="P35" i="121"/>
  <c r="L37" i="121"/>
  <c r="P26" i="121"/>
  <c r="L25" i="121"/>
  <c r="P21" i="121"/>
  <c r="P20" i="121"/>
  <c r="P17" i="121"/>
  <c r="P15" i="121"/>
  <c r="L14" i="121"/>
  <c r="P13" i="121"/>
  <c r="L12" i="121"/>
  <c r="L11" i="121"/>
  <c r="L42" i="121"/>
  <c r="L36" i="121"/>
  <c r="L30" i="121"/>
  <c r="P40" i="121"/>
  <c r="P34" i="121"/>
  <c r="P28" i="121"/>
  <c r="P22" i="121"/>
  <c r="P39" i="121"/>
  <c r="P33" i="121"/>
  <c r="P27" i="121"/>
  <c r="P10" i="121"/>
  <c r="L9" i="121"/>
  <c r="P9" i="121"/>
  <c r="K47" i="111" l="1"/>
  <c r="J47" i="111"/>
  <c r="N46" i="111"/>
  <c r="J46" i="111"/>
  <c r="J45" i="111" l="1"/>
  <c r="J29" i="111" l="1"/>
  <c r="J43" i="111" l="1"/>
  <c r="K44" i="111" l="1"/>
  <c r="J44" i="111"/>
  <c r="N42" i="111" l="1"/>
  <c r="N43" i="111"/>
  <c r="K43" i="111"/>
  <c r="J42" i="111"/>
  <c r="J41" i="111" l="1"/>
  <c r="N41" i="111"/>
  <c r="J40" i="111" l="1"/>
  <c r="J39" i="111"/>
  <c r="N38" i="111" l="1"/>
  <c r="J38" i="111"/>
  <c r="K36" i="111"/>
  <c r="J36" i="111"/>
  <c r="J35" i="111"/>
  <c r="N35" i="111"/>
  <c r="J34" i="111" l="1"/>
  <c r="J33" i="111"/>
  <c r="N30" i="111" l="1"/>
  <c r="J31" i="111"/>
  <c r="K33" i="111"/>
  <c r="K34" i="111"/>
  <c r="K35" i="111"/>
  <c r="K38" i="111"/>
  <c r="K39" i="111"/>
  <c r="K40" i="111"/>
  <c r="K42" i="111"/>
  <c r="K45" i="111"/>
  <c r="K46" i="111"/>
  <c r="K48" i="111"/>
  <c r="K50" i="111"/>
  <c r="K51" i="111"/>
  <c r="K52" i="111"/>
  <c r="K53" i="111"/>
  <c r="K54" i="111"/>
  <c r="K55" i="111"/>
  <c r="K56" i="111"/>
  <c r="K57" i="111"/>
  <c r="K58" i="111"/>
  <c r="K59" i="111"/>
  <c r="K60" i="111"/>
  <c r="K61" i="111"/>
  <c r="K28" i="111"/>
  <c r="K29" i="111"/>
  <c r="K30" i="111"/>
  <c r="K31" i="111"/>
  <c r="K32" i="111"/>
  <c r="N29" i="111" l="1"/>
  <c r="K23" i="111" l="1"/>
  <c r="J28" i="111" l="1"/>
  <c r="J27" i="111"/>
  <c r="J25" i="111"/>
  <c r="J24" i="111" l="1"/>
  <c r="K24" i="111"/>
  <c r="N23" i="111" l="1"/>
  <c r="J23" i="111"/>
  <c r="K25" i="111"/>
  <c r="K26" i="111"/>
  <c r="K27" i="111"/>
  <c r="L28" i="111" l="1"/>
  <c r="P28" i="111"/>
  <c r="P27" i="111"/>
  <c r="L27" i="111"/>
  <c r="L26" i="111"/>
  <c r="P26" i="111"/>
  <c r="P25" i="111"/>
  <c r="L25" i="111"/>
  <c r="L29" i="111"/>
  <c r="P29" i="111"/>
  <c r="J22" i="111"/>
  <c r="J21" i="111"/>
  <c r="N21" i="111"/>
  <c r="N22" i="111"/>
  <c r="K17" i="111" l="1"/>
  <c r="K19" i="111"/>
  <c r="J19" i="111" s="1"/>
  <c r="K18" i="111"/>
  <c r="J18" i="111"/>
  <c r="K20" i="111"/>
  <c r="K21" i="111"/>
  <c r="K22" i="111"/>
  <c r="J17" i="111"/>
  <c r="P17" i="111" l="1"/>
  <c r="J15" i="111"/>
  <c r="J14" i="111"/>
  <c r="J56" i="110"/>
  <c r="K9" i="111"/>
  <c r="K10" i="111"/>
  <c r="K11" i="111"/>
  <c r="K12" i="111"/>
  <c r="K13" i="111"/>
  <c r="K14" i="111"/>
  <c r="K15" i="111"/>
  <c r="K16" i="111"/>
  <c r="K8" i="111"/>
  <c r="Q50" i="111" l="1"/>
  <c r="Q51" i="111"/>
  <c r="Q52" i="111"/>
  <c r="Q53" i="111"/>
  <c r="Q54" i="111"/>
  <c r="Q55" i="111"/>
  <c r="Q56" i="111"/>
  <c r="Q57" i="111"/>
  <c r="Q58" i="111"/>
  <c r="Q59" i="111"/>
  <c r="Q60" i="111"/>
  <c r="Q61" i="111"/>
  <c r="J9" i="111"/>
  <c r="J10" i="111"/>
  <c r="J11" i="111"/>
  <c r="J12" i="111"/>
  <c r="J8" i="111"/>
  <c r="K50" i="110"/>
  <c r="J54" i="110"/>
  <c r="J53" i="110"/>
  <c r="J30" i="110"/>
  <c r="K56" i="110" l="1"/>
  <c r="K54" i="110"/>
  <c r="P19" i="111"/>
  <c r="P21" i="111"/>
  <c r="P22" i="111"/>
  <c r="P24" i="111"/>
  <c r="L16" i="111"/>
  <c r="L17" i="111"/>
  <c r="L19" i="111"/>
  <c r="L20" i="111"/>
  <c r="L21" i="111"/>
  <c r="L22" i="111"/>
  <c r="L24" i="111"/>
  <c r="L9" i="111"/>
  <c r="L10" i="111"/>
  <c r="L11" i="111"/>
  <c r="L12" i="111"/>
  <c r="P15" i="111"/>
  <c r="L18" i="111"/>
  <c r="P23" i="111"/>
  <c r="L30" i="111"/>
  <c r="P32" i="111"/>
  <c r="P33" i="111"/>
  <c r="P34" i="111"/>
  <c r="L35" i="111"/>
  <c r="L36" i="111"/>
  <c r="L38" i="111"/>
  <c r="P39" i="111"/>
  <c r="P40" i="111"/>
  <c r="P41" i="111"/>
  <c r="P42" i="111"/>
  <c r="P43" i="111"/>
  <c r="P44" i="111"/>
  <c r="P45" i="111"/>
  <c r="P46" i="111"/>
  <c r="P47" i="111"/>
  <c r="L48" i="111"/>
  <c r="P49" i="111"/>
  <c r="L50" i="111"/>
  <c r="P51" i="111"/>
  <c r="P31" i="111" l="1"/>
  <c r="L31" i="111"/>
  <c r="P36" i="111"/>
  <c r="L40" i="111"/>
  <c r="L44" i="111"/>
  <c r="L43" i="111"/>
  <c r="L45" i="111"/>
  <c r="L42" i="111"/>
  <c r="L41" i="111"/>
  <c r="L23" i="111"/>
  <c r="L33" i="111"/>
  <c r="L34" i="111"/>
  <c r="P38" i="111"/>
  <c r="L39" i="111"/>
  <c r="P35" i="111"/>
  <c r="P18" i="111"/>
  <c r="P14" i="111"/>
  <c r="L15" i="111"/>
  <c r="L14" i="111"/>
  <c r="P30" i="111"/>
  <c r="L32" i="111"/>
  <c r="L51" i="111"/>
  <c r="P48" i="111"/>
  <c r="P50" i="111"/>
  <c r="L47" i="111"/>
  <c r="L49" i="111"/>
  <c r="L46" i="111"/>
  <c r="J13" i="111"/>
  <c r="P10" i="111"/>
  <c r="P12" i="111"/>
  <c r="P11" i="111"/>
  <c r="P9" i="111"/>
  <c r="L54" i="110"/>
  <c r="P54" i="110"/>
  <c r="P56" i="110"/>
  <c r="L56" i="110"/>
  <c r="N52" i="110"/>
  <c r="K40" i="110"/>
  <c r="K41" i="110"/>
  <c r="K42" i="110"/>
  <c r="K43" i="110"/>
  <c r="K44" i="110"/>
  <c r="K45" i="110"/>
  <c r="K46" i="110"/>
  <c r="J52" i="110"/>
  <c r="J51" i="110"/>
  <c r="L13" i="111" l="1"/>
  <c r="J62" i="111"/>
  <c r="P13" i="111"/>
  <c r="J50" i="110"/>
  <c r="L50" i="110" l="1"/>
  <c r="N48" i="110"/>
  <c r="J49" i="110"/>
  <c r="J10" i="110"/>
  <c r="J21" i="110"/>
  <c r="J48" i="110"/>
  <c r="K48" i="110"/>
  <c r="P48" i="110" l="1"/>
  <c r="L48" i="110"/>
  <c r="J47" i="110"/>
  <c r="J46" i="110"/>
  <c r="J45" i="110"/>
  <c r="N47" i="110"/>
  <c r="J26" i="110" l="1"/>
  <c r="N45" i="110"/>
  <c r="J39" i="110" l="1"/>
  <c r="K39" i="110"/>
  <c r="J37" i="110"/>
  <c r="K37" i="110" l="1"/>
  <c r="K47" i="110" l="1"/>
  <c r="K49" i="110"/>
  <c r="P50" i="110"/>
  <c r="K51" i="110"/>
  <c r="K52" i="110"/>
  <c r="K53" i="110"/>
  <c r="H57" i="110"/>
  <c r="K57" i="110"/>
  <c r="L57" i="110" s="1"/>
  <c r="Q57" i="110"/>
  <c r="H58" i="110"/>
  <c r="K58" i="110"/>
  <c r="L58" i="110" s="1"/>
  <c r="Q58" i="110"/>
  <c r="H59" i="110"/>
  <c r="K59" i="110"/>
  <c r="L59" i="110" s="1"/>
  <c r="Q59" i="110"/>
  <c r="H60" i="110"/>
  <c r="K60" i="110"/>
  <c r="L60" i="110" s="1"/>
  <c r="Q60" i="110"/>
  <c r="H61" i="110"/>
  <c r="K61" i="110"/>
  <c r="L61" i="110" s="1"/>
  <c r="Q61" i="110"/>
  <c r="H62" i="110"/>
  <c r="K62" i="110"/>
  <c r="L62" i="110" s="1"/>
  <c r="Q62" i="110"/>
  <c r="P37" i="110"/>
  <c r="P39" i="110"/>
  <c r="L37" i="110"/>
  <c r="L39" i="110"/>
  <c r="K36" i="110"/>
  <c r="K38" i="110"/>
  <c r="K35" i="110"/>
  <c r="L53" i="110" l="1"/>
  <c r="P52" i="110"/>
  <c r="L51" i="110"/>
  <c r="L49" i="110"/>
  <c r="L46" i="110"/>
  <c r="L47" i="110"/>
  <c r="L45" i="110"/>
  <c r="J40" i="110"/>
  <c r="L38" i="110"/>
  <c r="L35" i="110"/>
  <c r="P35" i="110"/>
  <c r="J36" i="110"/>
  <c r="P38" i="110"/>
  <c r="J44" i="110"/>
  <c r="J41" i="110"/>
  <c r="P62" i="110"/>
  <c r="P57" i="110"/>
  <c r="J43" i="110"/>
  <c r="J42" i="110"/>
  <c r="L52" i="110"/>
  <c r="P45" i="110"/>
  <c r="P47" i="110"/>
  <c r="P58" i="110"/>
  <c r="P51" i="110"/>
  <c r="P59" i="110"/>
  <c r="P61" i="110"/>
  <c r="P49" i="110"/>
  <c r="P46" i="110"/>
  <c r="P53" i="110"/>
  <c r="P60" i="110"/>
  <c r="J33" i="110"/>
  <c r="J34" i="110"/>
  <c r="K34" i="110"/>
  <c r="P43" i="110" l="1"/>
  <c r="L40" i="110"/>
  <c r="L36" i="110"/>
  <c r="L42" i="110"/>
  <c r="P41" i="110"/>
  <c r="P44" i="110"/>
  <c r="P40" i="110"/>
  <c r="L43" i="110"/>
  <c r="P36" i="110"/>
  <c r="L41" i="110"/>
  <c r="L44" i="110"/>
  <c r="P42" i="110"/>
  <c r="J28" i="110"/>
  <c r="G63" i="110" l="1"/>
  <c r="J27" i="110" l="1"/>
  <c r="K27" i="110"/>
  <c r="J25" i="110" l="1"/>
  <c r="J24" i="110" l="1"/>
  <c r="K24" i="110"/>
  <c r="J23" i="110"/>
  <c r="J22" i="110"/>
  <c r="N23" i="110"/>
  <c r="N24" i="110"/>
  <c r="K25" i="110"/>
  <c r="K26" i="110"/>
  <c r="L27" i="110"/>
  <c r="K28" i="110"/>
  <c r="K29" i="110"/>
  <c r="K30" i="110"/>
  <c r="K31" i="110"/>
  <c r="K32" i="110"/>
  <c r="K33" i="110"/>
  <c r="L34" i="110"/>
  <c r="P34" i="110"/>
  <c r="P29" i="110" l="1"/>
  <c r="L29" i="110"/>
  <c r="L31" i="110"/>
  <c r="L28" i="110"/>
  <c r="P25" i="110"/>
  <c r="L30" i="110"/>
  <c r="L24" i="110"/>
  <c r="L33" i="110"/>
  <c r="L32" i="110"/>
  <c r="L26" i="110"/>
  <c r="P26" i="110"/>
  <c r="P32" i="110"/>
  <c r="P31" i="110"/>
  <c r="P30" i="110"/>
  <c r="P33" i="110"/>
  <c r="P28" i="110"/>
  <c r="P27" i="110"/>
  <c r="L25" i="110"/>
  <c r="P24" i="110"/>
  <c r="N20" i="110" l="1"/>
  <c r="J19" i="110" l="1"/>
  <c r="J20" i="110"/>
  <c r="J18" i="110"/>
  <c r="N19" i="110" l="1"/>
  <c r="G65" i="109" l="1"/>
  <c r="L67" i="110" l="1"/>
  <c r="J25" i="109"/>
  <c r="J21" i="109"/>
  <c r="J20" i="109"/>
  <c r="J11" i="109"/>
  <c r="J9" i="109"/>
  <c r="J8" i="109" l="1"/>
  <c r="J27" i="109"/>
  <c r="J26" i="109"/>
  <c r="J17" i="110" l="1"/>
  <c r="J16" i="110" l="1"/>
  <c r="J15" i="110"/>
  <c r="J14" i="110"/>
  <c r="N15" i="110"/>
  <c r="N16" i="110"/>
  <c r="N17" i="110"/>
  <c r="J40" i="109" l="1"/>
  <c r="J39" i="109"/>
  <c r="J36" i="109"/>
  <c r="J35" i="109"/>
  <c r="J32" i="109"/>
  <c r="J31" i="109"/>
  <c r="J13" i="110" l="1"/>
  <c r="N13" i="110"/>
  <c r="J12" i="110" l="1"/>
  <c r="J8" i="110"/>
  <c r="J43" i="109"/>
  <c r="K8" i="110"/>
  <c r="K9" i="110"/>
  <c r="N8" i="109" l="1"/>
  <c r="N9" i="109"/>
  <c r="N27" i="109"/>
  <c r="N42" i="109" l="1"/>
  <c r="N43" i="109"/>
  <c r="J42" i="109"/>
  <c r="K43" i="109"/>
  <c r="K35" i="109" l="1"/>
  <c r="M41" i="109"/>
  <c r="M42" i="109"/>
  <c r="M43" i="109"/>
  <c r="K21" i="109" l="1"/>
  <c r="K22" i="109"/>
  <c r="K34" i="109"/>
  <c r="K10" i="110"/>
  <c r="K11" i="110"/>
  <c r="K12" i="110"/>
  <c r="K13" i="110"/>
  <c r="K14" i="110"/>
  <c r="K15" i="110"/>
  <c r="K16" i="110"/>
  <c r="K17" i="110"/>
  <c r="K18" i="110"/>
  <c r="K19" i="110"/>
  <c r="K20" i="110"/>
  <c r="K21" i="110"/>
  <c r="K22" i="110"/>
  <c r="K23" i="110"/>
  <c r="F42" i="109"/>
  <c r="F43" i="109"/>
  <c r="K42" i="109" l="1"/>
  <c r="F40" i="109" l="1"/>
  <c r="F41" i="109"/>
  <c r="J41" i="109" l="1"/>
  <c r="J38" i="109"/>
  <c r="K38" i="109"/>
  <c r="K36" i="109"/>
  <c r="K37" i="109"/>
  <c r="K39" i="109"/>
  <c r="K40" i="109"/>
  <c r="K41" i="109"/>
  <c r="J37" i="109" l="1"/>
  <c r="N35" i="109"/>
  <c r="F36" i="109" l="1"/>
  <c r="J34" i="109" l="1"/>
  <c r="J33" i="109"/>
  <c r="F32" i="109" l="1"/>
  <c r="F33" i="109"/>
  <c r="F35" i="109"/>
  <c r="M32" i="109"/>
  <c r="M33" i="109"/>
  <c r="M35" i="109"/>
  <c r="F31" i="109" l="1"/>
  <c r="J30" i="109"/>
  <c r="J29" i="109"/>
  <c r="F27" i="109" l="1"/>
  <c r="J28" i="109"/>
  <c r="M23" i="109" l="1"/>
  <c r="F23" i="109"/>
  <c r="J24" i="109"/>
  <c r="J23" i="109"/>
  <c r="J22" i="109" l="1"/>
  <c r="J13" i="109" l="1"/>
  <c r="J12" i="109"/>
  <c r="J10" i="109"/>
  <c r="K12" i="109"/>
  <c r="K11" i="109"/>
  <c r="J15" i="109"/>
  <c r="J19" i="109"/>
  <c r="J16" i="109"/>
  <c r="K15" i="109"/>
  <c r="K16" i="109"/>
  <c r="K17" i="109"/>
  <c r="L12" i="109" l="1"/>
  <c r="P12" i="109"/>
  <c r="J18" i="109"/>
  <c r="J17" i="109"/>
  <c r="J14" i="109"/>
  <c r="J65" i="109" s="1"/>
  <c r="M8" i="109"/>
  <c r="M9" i="109"/>
  <c r="M10" i="109"/>
  <c r="M11" i="109"/>
  <c r="M12" i="109"/>
  <c r="M14" i="109"/>
  <c r="M15" i="109"/>
  <c r="M16" i="109"/>
  <c r="M17" i="109"/>
  <c r="M18" i="109"/>
  <c r="F10" i="109"/>
  <c r="F11" i="109"/>
  <c r="F12" i="109"/>
  <c r="F14" i="109"/>
  <c r="F15" i="109"/>
  <c r="F16" i="109"/>
  <c r="F17" i="109"/>
  <c r="F18" i="109"/>
  <c r="F19" i="109"/>
  <c r="F9" i="109"/>
  <c r="F8" i="109"/>
  <c r="H11" i="109" l="1"/>
  <c r="H12" i="109"/>
  <c r="K55" i="109"/>
  <c r="L55" i="109" s="1"/>
  <c r="K56" i="109"/>
  <c r="L56" i="109" s="1"/>
  <c r="K57" i="109"/>
  <c r="L57" i="109" s="1"/>
  <c r="K58" i="109"/>
  <c r="L58" i="109" s="1"/>
  <c r="K59" i="109"/>
  <c r="L59" i="109" s="1"/>
  <c r="K60" i="109"/>
  <c r="L60" i="109" s="1"/>
  <c r="K61" i="109"/>
  <c r="L61" i="109" s="1"/>
  <c r="K62" i="109"/>
  <c r="L62" i="109" s="1"/>
  <c r="K63" i="109"/>
  <c r="L63" i="109" s="1"/>
  <c r="K64" i="109"/>
  <c r="L64" i="109" s="1"/>
  <c r="K51" i="109"/>
  <c r="K52" i="109"/>
  <c r="K53" i="109"/>
  <c r="L53" i="109" s="1"/>
  <c r="K54" i="109"/>
  <c r="L54" i="109" s="1"/>
  <c r="K44" i="109"/>
  <c r="K45" i="109"/>
  <c r="K46" i="109"/>
  <c r="K47" i="109"/>
  <c r="K48" i="109"/>
  <c r="K33" i="109"/>
  <c r="K20" i="109"/>
  <c r="K25" i="109"/>
  <c r="K26" i="109"/>
  <c r="P46" i="109" l="1"/>
  <c r="P45" i="109"/>
  <c r="P44" i="109"/>
  <c r="L45" i="109"/>
  <c r="L51" i="109"/>
  <c r="L47" i="109"/>
  <c r="L46" i="109"/>
  <c r="L44" i="109"/>
  <c r="L52" i="109"/>
  <c r="L48" i="109"/>
  <c r="P42" i="120" l="1"/>
  <c r="L54" i="120"/>
  <c r="P54" i="120"/>
  <c r="Q59" i="120" l="1"/>
  <c r="P33" i="120" l="1"/>
  <c r="P32" i="120" l="1"/>
  <c r="P31" i="120"/>
  <c r="P27" i="120"/>
  <c r="P28" i="120"/>
  <c r="P29" i="120"/>
  <c r="O65" i="120" l="1"/>
  <c r="O64" i="120"/>
  <c r="O60" i="120"/>
  <c r="O62" i="120" s="1"/>
  <c r="L62" i="120" s="1"/>
  <c r="N60" i="120"/>
  <c r="J60" i="120"/>
  <c r="I60" i="120"/>
  <c r="E60" i="120"/>
  <c r="H59" i="120"/>
  <c r="P58" i="120"/>
  <c r="P57" i="120"/>
  <c r="P56" i="120"/>
  <c r="L53" i="120"/>
  <c r="P52" i="120"/>
  <c r="L51" i="120"/>
  <c r="P49" i="120"/>
  <c r="L48" i="120"/>
  <c r="L47" i="120"/>
  <c r="P46" i="120"/>
  <c r="P44" i="120"/>
  <c r="P43" i="120"/>
  <c r="P41" i="120"/>
  <c r="P40" i="120"/>
  <c r="P39" i="120"/>
  <c r="P38" i="120"/>
  <c r="P37" i="120"/>
  <c r="P36" i="120"/>
  <c r="P35" i="120"/>
  <c r="P26" i="120"/>
  <c r="P22" i="120"/>
  <c r="P20" i="120"/>
  <c r="P18" i="120"/>
  <c r="P17" i="120"/>
  <c r="P16" i="120"/>
  <c r="P15" i="120"/>
  <c r="P14" i="120"/>
  <c r="P10" i="120"/>
  <c r="K8" i="120"/>
  <c r="O68" i="119"/>
  <c r="O67" i="119"/>
  <c r="O66" i="119"/>
  <c r="O62" i="119"/>
  <c r="O64" i="119" s="1"/>
  <c r="N62" i="119"/>
  <c r="G62" i="119"/>
  <c r="L64" i="119" s="1"/>
  <c r="E62" i="119"/>
  <c r="K61" i="119"/>
  <c r="L61" i="119" s="1"/>
  <c r="H61" i="119"/>
  <c r="P60" i="119"/>
  <c r="L60" i="119"/>
  <c r="H60" i="119"/>
  <c r="K59" i="119"/>
  <c r="P59" i="119" s="1"/>
  <c r="H59" i="119"/>
  <c r="K58" i="119"/>
  <c r="L58" i="119" s="1"/>
  <c r="H58" i="119"/>
  <c r="H57" i="119"/>
  <c r="H56" i="119"/>
  <c r="P55" i="119"/>
  <c r="H55" i="119"/>
  <c r="P54" i="119"/>
  <c r="H54" i="119"/>
  <c r="P50" i="119"/>
  <c r="P45" i="119"/>
  <c r="P43" i="119"/>
  <c r="K8" i="119"/>
  <c r="P75" i="118"/>
  <c r="O69" i="118"/>
  <c r="O68" i="118"/>
  <c r="O64" i="118"/>
  <c r="O66" i="118" s="1"/>
  <c r="E64" i="118"/>
  <c r="P63" i="118"/>
  <c r="H63" i="118"/>
  <c r="P62" i="118"/>
  <c r="H62" i="118"/>
  <c r="P41" i="118"/>
  <c r="O61" i="117"/>
  <c r="O54" i="117"/>
  <c r="O56" i="117" s="1"/>
  <c r="N54" i="117"/>
  <c r="I54" i="117"/>
  <c r="G54" i="117"/>
  <c r="E54" i="117"/>
  <c r="K53" i="117"/>
  <c r="L53" i="117" s="1"/>
  <c r="H53" i="117"/>
  <c r="Q52" i="117"/>
  <c r="K52" i="117"/>
  <c r="L52" i="117" s="1"/>
  <c r="H52" i="117"/>
  <c r="Q51" i="117"/>
  <c r="K51" i="117"/>
  <c r="P51" i="117" s="1"/>
  <c r="H51" i="117"/>
  <c r="Q50" i="117"/>
  <c r="K50" i="117"/>
  <c r="P50" i="117" s="1"/>
  <c r="H50" i="117"/>
  <c r="Q49" i="117"/>
  <c r="K49" i="117"/>
  <c r="L49" i="117" s="1"/>
  <c r="H49" i="117"/>
  <c r="Q48" i="117"/>
  <c r="K48" i="117"/>
  <c r="P48" i="117" s="1"/>
  <c r="H48" i="117"/>
  <c r="P42" i="117"/>
  <c r="P40" i="117"/>
  <c r="K8" i="117"/>
  <c r="O62" i="116"/>
  <c r="O61" i="116"/>
  <c r="O57" i="116"/>
  <c r="O59" i="116" s="1"/>
  <c r="N57" i="116"/>
  <c r="I57" i="116"/>
  <c r="G57" i="116"/>
  <c r="E57" i="116"/>
  <c r="Q56" i="116"/>
  <c r="P56" i="116"/>
  <c r="H56" i="116"/>
  <c r="Q55" i="116"/>
  <c r="H55" i="116"/>
  <c r="Q54" i="116"/>
  <c r="P54" i="116"/>
  <c r="H54" i="116"/>
  <c r="P52" i="116"/>
  <c r="P51" i="116"/>
  <c r="P50" i="116"/>
  <c r="P48" i="116"/>
  <c r="P47" i="116"/>
  <c r="L27" i="116"/>
  <c r="P26" i="116"/>
  <c r="P24" i="116"/>
  <c r="P23" i="116"/>
  <c r="L20" i="116"/>
  <c r="P19" i="116"/>
  <c r="L18" i="116"/>
  <c r="P17" i="116"/>
  <c r="P16" i="116"/>
  <c r="P15" i="116"/>
  <c r="P14" i="116"/>
  <c r="L13" i="116"/>
  <c r="P12" i="116"/>
  <c r="P11" i="116"/>
  <c r="P10" i="116"/>
  <c r="O62" i="115"/>
  <c r="O61" i="115"/>
  <c r="O60" i="115"/>
  <c r="I55" i="115"/>
  <c r="E55" i="115"/>
  <c r="Q54" i="115"/>
  <c r="P54" i="115"/>
  <c r="L53" i="115"/>
  <c r="L52" i="115"/>
  <c r="L49" i="115"/>
  <c r="P47" i="115"/>
  <c r="P46" i="115"/>
  <c r="P45" i="115"/>
  <c r="P42" i="115"/>
  <c r="P41" i="115"/>
  <c r="P40" i="115"/>
  <c r="L39" i="115"/>
  <c r="P38" i="115"/>
  <c r="P37" i="115"/>
  <c r="P36" i="115"/>
  <c r="L35" i="115"/>
  <c r="L34" i="115"/>
  <c r="P33" i="115"/>
  <c r="P31" i="115"/>
  <c r="L30" i="115"/>
  <c r="P29" i="115"/>
  <c r="P28" i="115"/>
  <c r="L27" i="115"/>
  <c r="P19" i="115"/>
  <c r="I57" i="122"/>
  <c r="E57" i="122"/>
  <c r="Q56" i="122"/>
  <c r="P56" i="122"/>
  <c r="H56" i="122"/>
  <c r="Q55" i="122"/>
  <c r="P55" i="122"/>
  <c r="H55" i="122"/>
  <c r="Q54" i="122"/>
  <c r="P54" i="122"/>
  <c r="H54" i="122"/>
  <c r="Q53" i="122"/>
  <c r="P53" i="122"/>
  <c r="H53" i="122"/>
  <c r="Q52" i="122"/>
  <c r="P52" i="122"/>
  <c r="H52" i="122"/>
  <c r="Q51" i="122"/>
  <c r="P51" i="122"/>
  <c r="H51" i="122"/>
  <c r="Q50" i="122"/>
  <c r="P50" i="122"/>
  <c r="H50" i="122"/>
  <c r="P49" i="122"/>
  <c r="P48" i="122"/>
  <c r="K47" i="122"/>
  <c r="K41" i="122"/>
  <c r="P38" i="122"/>
  <c r="P37" i="122"/>
  <c r="P36" i="122"/>
  <c r="P35" i="122"/>
  <c r="I63" i="113"/>
  <c r="E63" i="113"/>
  <c r="L62" i="113"/>
  <c r="M62" i="113" s="1"/>
  <c r="R61" i="113"/>
  <c r="L61" i="113"/>
  <c r="Q61" i="113" s="1"/>
  <c r="H61" i="113"/>
  <c r="R60" i="113"/>
  <c r="L60" i="113"/>
  <c r="H60" i="113"/>
  <c r="R59" i="113"/>
  <c r="L59" i="113"/>
  <c r="M59" i="113" s="1"/>
  <c r="H59" i="113"/>
  <c r="R58" i="113"/>
  <c r="L58" i="113"/>
  <c r="Q58" i="113" s="1"/>
  <c r="H58" i="113"/>
  <c r="R57" i="113"/>
  <c r="L57" i="113"/>
  <c r="M57" i="113" s="1"/>
  <c r="H57" i="113"/>
  <c r="R56" i="113"/>
  <c r="L56" i="113"/>
  <c r="M56" i="113" s="1"/>
  <c r="H56" i="113"/>
  <c r="R55" i="113"/>
  <c r="L55" i="113"/>
  <c r="Q55" i="113" s="1"/>
  <c r="H55" i="113"/>
  <c r="R54" i="113"/>
  <c r="L54" i="113"/>
  <c r="Q54" i="113" s="1"/>
  <c r="H54" i="113"/>
  <c r="R53" i="113"/>
  <c r="L53" i="113"/>
  <c r="Q53" i="113" s="1"/>
  <c r="H53" i="113"/>
  <c r="R52" i="113"/>
  <c r="L52" i="113"/>
  <c r="Q52" i="113" s="1"/>
  <c r="H52" i="113"/>
  <c r="R51" i="113"/>
  <c r="L51" i="113"/>
  <c r="Q51" i="113" s="1"/>
  <c r="H51" i="113"/>
  <c r="R50" i="113"/>
  <c r="L50" i="113"/>
  <c r="M50" i="113" s="1"/>
  <c r="H50" i="113"/>
  <c r="L49" i="113"/>
  <c r="L46" i="113"/>
  <c r="L43" i="113"/>
  <c r="L41" i="113"/>
  <c r="L40" i="113"/>
  <c r="L39" i="113"/>
  <c r="Q35" i="113"/>
  <c r="Q34" i="113"/>
  <c r="Q33" i="113"/>
  <c r="Q32" i="113"/>
  <c r="L8" i="113"/>
  <c r="O60" i="121"/>
  <c r="O59" i="121"/>
  <c r="O54" i="121"/>
  <c r="O56" i="121" s="1"/>
  <c r="N54" i="121"/>
  <c r="I54" i="121"/>
  <c r="E54" i="121"/>
  <c r="Q53" i="121"/>
  <c r="Q52" i="121"/>
  <c r="Q51" i="121"/>
  <c r="P47" i="121"/>
  <c r="G54" i="121"/>
  <c r="K8" i="121"/>
  <c r="I62" i="111"/>
  <c r="E62" i="111"/>
  <c r="L61" i="111"/>
  <c r="H61" i="111"/>
  <c r="H60" i="111"/>
  <c r="L59" i="111"/>
  <c r="H59" i="111"/>
  <c r="H58" i="111"/>
  <c r="H57" i="111"/>
  <c r="H56" i="111"/>
  <c r="H55" i="111"/>
  <c r="H54" i="111"/>
  <c r="H53" i="111"/>
  <c r="H52" i="111"/>
  <c r="H51" i="111"/>
  <c r="H50" i="111"/>
  <c r="P8" i="111"/>
  <c r="O68" i="110"/>
  <c r="O67" i="110"/>
  <c r="I63" i="110"/>
  <c r="E63" i="110"/>
  <c r="O63" i="110"/>
  <c r="O65" i="110" s="1"/>
  <c r="L65" i="110" s="1"/>
  <c r="O72" i="109"/>
  <c r="O65" i="109"/>
  <c r="O67" i="109" s="1"/>
  <c r="I65" i="109"/>
  <c r="E65" i="109"/>
  <c r="P64" i="109"/>
  <c r="P63" i="109"/>
  <c r="P61" i="109"/>
  <c r="P60" i="109"/>
  <c r="P51" i="109"/>
  <c r="K50" i="109"/>
  <c r="K49" i="109"/>
  <c r="P38" i="109"/>
  <c r="L38" i="109"/>
  <c r="P37" i="109"/>
  <c r="K32" i="109"/>
  <c r="K31" i="109"/>
  <c r="K30" i="109"/>
  <c r="K29" i="109"/>
  <c r="K28" i="109"/>
  <c r="K27" i="109"/>
  <c r="K24" i="109"/>
  <c r="K23" i="109"/>
  <c r="P21" i="109"/>
  <c r="K19" i="109"/>
  <c r="L17" i="109"/>
  <c r="P16" i="109"/>
  <c r="P15" i="109"/>
  <c r="K14" i="109"/>
  <c r="K13" i="109"/>
  <c r="L11" i="109"/>
  <c r="K10" i="109"/>
  <c r="K9" i="109"/>
  <c r="K8" i="109"/>
  <c r="L8" i="120" l="1"/>
  <c r="K60" i="120"/>
  <c r="L59" i="116"/>
  <c r="G67" i="116"/>
  <c r="H67" i="116" s="1"/>
  <c r="O71" i="118"/>
  <c r="P41" i="122"/>
  <c r="L47" i="122"/>
  <c r="R47" i="122"/>
  <c r="P40" i="122"/>
  <c r="R40" i="122"/>
  <c r="S35" i="113"/>
  <c r="Q40" i="113"/>
  <c r="Q46" i="113"/>
  <c r="Q49" i="113"/>
  <c r="Q43" i="113"/>
  <c r="M43" i="113"/>
  <c r="Q41" i="113"/>
  <c r="S41" i="113"/>
  <c r="Q39" i="113"/>
  <c r="K54" i="121"/>
  <c r="Q18" i="113"/>
  <c r="P51" i="121"/>
  <c r="P53" i="121"/>
  <c r="P52" i="121"/>
  <c r="P49" i="121"/>
  <c r="P50" i="121"/>
  <c r="L56" i="121"/>
  <c r="P32" i="118"/>
  <c r="Q15" i="113"/>
  <c r="P44" i="121"/>
  <c r="Q13" i="113"/>
  <c r="P54" i="111"/>
  <c r="L54" i="111"/>
  <c r="P56" i="111"/>
  <c r="L56" i="111"/>
  <c r="P58" i="111"/>
  <c r="L58" i="111"/>
  <c r="P52" i="111"/>
  <c r="L52" i="111"/>
  <c r="P53" i="111"/>
  <c r="L53" i="111"/>
  <c r="P60" i="111"/>
  <c r="L60" i="111"/>
  <c r="P57" i="111"/>
  <c r="L57" i="111"/>
  <c r="P55" i="111"/>
  <c r="L55" i="111"/>
  <c r="L19" i="109"/>
  <c r="P13" i="109"/>
  <c r="P61" i="111"/>
  <c r="M55" i="113"/>
  <c r="Q59" i="113"/>
  <c r="P57" i="118"/>
  <c r="P29" i="109"/>
  <c r="L59" i="120"/>
  <c r="P59" i="120"/>
  <c r="P50" i="120"/>
  <c r="L50" i="120"/>
  <c r="P55" i="120"/>
  <c r="L55" i="120"/>
  <c r="P53" i="120"/>
  <c r="Q8" i="113"/>
  <c r="Q11" i="113"/>
  <c r="Q57" i="113"/>
  <c r="P39" i="118"/>
  <c r="M39" i="113"/>
  <c r="L44" i="115"/>
  <c r="L57" i="115"/>
  <c r="L35" i="109"/>
  <c r="L16" i="116"/>
  <c r="L30" i="109"/>
  <c r="P42" i="118"/>
  <c r="P52" i="109"/>
  <c r="P31" i="118"/>
  <c r="L43" i="120"/>
  <c r="Q53" i="115"/>
  <c r="P23" i="115"/>
  <c r="L22" i="115"/>
  <c r="L24" i="115"/>
  <c r="P20" i="110"/>
  <c r="P14" i="110"/>
  <c r="L43" i="109"/>
  <c r="P30" i="115"/>
  <c r="L33" i="115"/>
  <c r="O63" i="115"/>
  <c r="L23" i="116"/>
  <c r="L28" i="115"/>
  <c r="P53" i="115"/>
  <c r="P53" i="116"/>
  <c r="O67" i="120"/>
  <c r="P30" i="120"/>
  <c r="P56" i="109"/>
  <c r="P22" i="109"/>
  <c r="P36" i="109"/>
  <c r="Q50" i="113"/>
  <c r="M61" i="113"/>
  <c r="P10" i="109"/>
  <c r="P20" i="109"/>
  <c r="P23" i="109"/>
  <c r="L31" i="109"/>
  <c r="L9" i="110"/>
  <c r="P44" i="118"/>
  <c r="L14" i="109"/>
  <c r="L37" i="109"/>
  <c r="P47" i="109"/>
  <c r="P61" i="118"/>
  <c r="I64" i="118"/>
  <c r="P32" i="109"/>
  <c r="P27" i="109"/>
  <c r="P62" i="109"/>
  <c r="P34" i="118"/>
  <c r="L9" i="109"/>
  <c r="P46" i="121"/>
  <c r="P35" i="118"/>
  <c r="L39" i="109"/>
  <c r="P39" i="109"/>
  <c r="P54" i="109"/>
  <c r="P57" i="109"/>
  <c r="M40" i="113"/>
  <c r="M52" i="113"/>
  <c r="L9" i="115"/>
  <c r="P34" i="115"/>
  <c r="L36" i="115"/>
  <c r="P31" i="109"/>
  <c r="N63" i="110"/>
  <c r="L13" i="110"/>
  <c r="P52" i="115"/>
  <c r="P23" i="120"/>
  <c r="P17" i="109"/>
  <c r="L23" i="109"/>
  <c r="P34" i="109"/>
  <c r="P48" i="109"/>
  <c r="O63" i="113"/>
  <c r="Q31" i="113"/>
  <c r="Q56" i="113"/>
  <c r="L29" i="115"/>
  <c r="K68" i="109"/>
  <c r="L68" i="110" s="1"/>
  <c r="P53" i="109"/>
  <c r="P58" i="109"/>
  <c r="L31" i="115"/>
  <c r="P18" i="116"/>
  <c r="N64" i="118"/>
  <c r="I62" i="119"/>
  <c r="L15" i="109"/>
  <c r="L21" i="109"/>
  <c r="L29" i="109"/>
  <c r="P43" i="109"/>
  <c r="Q20" i="113"/>
  <c r="P55" i="116"/>
  <c r="O64" i="116"/>
  <c r="L13" i="109"/>
  <c r="N65" i="109"/>
  <c r="P9" i="110"/>
  <c r="P8" i="121"/>
  <c r="M51" i="113"/>
  <c r="P59" i="109"/>
  <c r="L8" i="111"/>
  <c r="P45" i="121"/>
  <c r="P33" i="118"/>
  <c r="P14" i="109"/>
  <c r="P19" i="109"/>
  <c r="P25" i="109"/>
  <c r="P33" i="109"/>
  <c r="P35" i="109"/>
  <c r="P10" i="110"/>
  <c r="P19" i="110"/>
  <c r="M8" i="113"/>
  <c r="M49" i="113"/>
  <c r="P53" i="119"/>
  <c r="P13" i="119"/>
  <c r="P48" i="120"/>
  <c r="L52" i="120"/>
  <c r="P24" i="120"/>
  <c r="P21" i="120"/>
  <c r="P25" i="120"/>
  <c r="P13" i="120"/>
  <c r="P47" i="120"/>
  <c r="L58" i="120"/>
  <c r="P51" i="120"/>
  <c r="L44" i="120"/>
  <c r="L49" i="120"/>
  <c r="L56" i="120"/>
  <c r="P9" i="120"/>
  <c r="P11" i="120"/>
  <c r="P52" i="119"/>
  <c r="P49" i="119"/>
  <c r="P51" i="119"/>
  <c r="P8" i="119"/>
  <c r="P11" i="119"/>
  <c r="P47" i="119"/>
  <c r="P8" i="120"/>
  <c r="P42" i="109"/>
  <c r="L42" i="109"/>
  <c r="P55" i="109"/>
  <c r="L28" i="109"/>
  <c r="L41" i="109"/>
  <c r="P41" i="109"/>
  <c r="P26" i="109"/>
  <c r="P24" i="109"/>
  <c r="P40" i="109"/>
  <c r="L40" i="109"/>
  <c r="P49" i="109"/>
  <c r="L49" i="109"/>
  <c r="P50" i="109"/>
  <c r="L50" i="109"/>
  <c r="P9" i="109"/>
  <c r="P11" i="109"/>
  <c r="P28" i="109"/>
  <c r="P30" i="109"/>
  <c r="P13" i="110"/>
  <c r="P8" i="118"/>
  <c r="L25" i="109"/>
  <c r="L32" i="109"/>
  <c r="L34" i="109"/>
  <c r="N62" i="111"/>
  <c r="Q21" i="113"/>
  <c r="P21" i="115"/>
  <c r="L21" i="115"/>
  <c r="P26" i="115"/>
  <c r="L26" i="115"/>
  <c r="K64" i="118"/>
  <c r="P19" i="120"/>
  <c r="L36" i="109"/>
  <c r="L32" i="115"/>
  <c r="P32" i="115"/>
  <c r="L16" i="109"/>
  <c r="K18" i="109"/>
  <c r="L20" i="109"/>
  <c r="L27" i="109"/>
  <c r="L14" i="110"/>
  <c r="L20" i="110"/>
  <c r="L63" i="113"/>
  <c r="K55" i="115"/>
  <c r="L8" i="109"/>
  <c r="L10" i="109"/>
  <c r="Q19" i="113"/>
  <c r="L9" i="116"/>
  <c r="P46" i="116"/>
  <c r="L22" i="109"/>
  <c r="P24" i="115"/>
  <c r="P43" i="115"/>
  <c r="L43" i="115"/>
  <c r="P30" i="118"/>
  <c r="P8" i="109"/>
  <c r="L24" i="109"/>
  <c r="P59" i="111"/>
  <c r="P48" i="115"/>
  <c r="L48" i="115"/>
  <c r="P21" i="116"/>
  <c r="L21" i="116"/>
  <c r="P60" i="118"/>
  <c r="L33" i="109"/>
  <c r="L26" i="109"/>
  <c r="Q17" i="113"/>
  <c r="Q60" i="113"/>
  <c r="M60" i="113"/>
  <c r="P20" i="115"/>
  <c r="L20" i="115"/>
  <c r="P25" i="115"/>
  <c r="L25" i="115"/>
  <c r="P45" i="120"/>
  <c r="L45" i="120"/>
  <c r="P8" i="115"/>
  <c r="L8" i="115"/>
  <c r="P22" i="116"/>
  <c r="L22" i="116"/>
  <c r="J57" i="116"/>
  <c r="L57" i="116" s="1"/>
  <c r="K62" i="111"/>
  <c r="L62" i="111" s="1"/>
  <c r="P49" i="116"/>
  <c r="P48" i="121"/>
  <c r="Q16" i="113"/>
  <c r="P22" i="115"/>
  <c r="P27" i="115"/>
  <c r="P49" i="115"/>
  <c r="P8" i="116"/>
  <c r="P20" i="116"/>
  <c r="M9" i="113"/>
  <c r="P39" i="115"/>
  <c r="L41" i="115"/>
  <c r="L46" i="115"/>
  <c r="L11" i="116"/>
  <c r="P13" i="116"/>
  <c r="P44" i="116"/>
  <c r="P40" i="118"/>
  <c r="G64" i="118"/>
  <c r="L66" i="118" s="1"/>
  <c r="L8" i="118"/>
  <c r="J64" i="118"/>
  <c r="M41" i="113"/>
  <c r="M53" i="113"/>
  <c r="L38" i="115"/>
  <c r="L54" i="115"/>
  <c r="L14" i="116"/>
  <c r="M46" i="113"/>
  <c r="M58" i="113"/>
  <c r="L23" i="115"/>
  <c r="L19" i="116"/>
  <c r="L26" i="116"/>
  <c r="L8" i="121"/>
  <c r="L40" i="115"/>
  <c r="L45" i="115"/>
  <c r="L12" i="116"/>
  <c r="L8" i="119"/>
  <c r="L10" i="115"/>
  <c r="L24" i="116"/>
  <c r="L57" i="120"/>
  <c r="L42" i="115"/>
  <c r="L47" i="115"/>
  <c r="L10" i="116"/>
  <c r="L46" i="120"/>
  <c r="M54" i="113"/>
  <c r="L15" i="116"/>
  <c r="L38" i="122"/>
  <c r="L37" i="122"/>
  <c r="L54" i="122"/>
  <c r="P8" i="122"/>
  <c r="L50" i="122"/>
  <c r="L35" i="122"/>
  <c r="L55" i="122"/>
  <c r="P47" i="122"/>
  <c r="L40" i="122"/>
  <c r="L48" i="122"/>
  <c r="L52" i="122"/>
  <c r="L56" i="122"/>
  <c r="L41" i="122"/>
  <c r="L49" i="122"/>
  <c r="L53" i="122"/>
  <c r="L51" i="122"/>
  <c r="L36" i="122"/>
  <c r="N57" i="122"/>
  <c r="L8" i="122"/>
  <c r="P48" i="119"/>
  <c r="P61" i="119"/>
  <c r="P40" i="119"/>
  <c r="P57" i="119"/>
  <c r="Q51" i="116"/>
  <c r="Q48" i="116"/>
  <c r="H45" i="116"/>
  <c r="Q49" i="116"/>
  <c r="Q52" i="116"/>
  <c r="Q46" i="116"/>
  <c r="Q50" i="116"/>
  <c r="P52" i="117"/>
  <c r="L48" i="117"/>
  <c r="L56" i="117"/>
  <c r="P41" i="117"/>
  <c r="P49" i="117"/>
  <c r="L46" i="117"/>
  <c r="L50" i="117"/>
  <c r="K54" i="117"/>
  <c r="L51" i="117"/>
  <c r="L8" i="117"/>
  <c r="P8" i="117"/>
  <c r="Q45" i="116"/>
  <c r="H53" i="115"/>
  <c r="O69" i="119"/>
  <c r="P44" i="119"/>
  <c r="P56" i="119"/>
  <c r="K62" i="119"/>
  <c r="P58" i="119"/>
  <c r="L59" i="119"/>
  <c r="L11" i="110"/>
  <c r="L22" i="110"/>
  <c r="O70" i="110"/>
  <c r="P11" i="110"/>
  <c r="L15" i="110"/>
  <c r="L19" i="110"/>
  <c r="P22" i="110"/>
  <c r="P15" i="110"/>
  <c r="L16" i="110"/>
  <c r="L18" i="110"/>
  <c r="L21" i="110"/>
  <c r="P8" i="110"/>
  <c r="P18" i="110"/>
  <c r="L12" i="110"/>
  <c r="P21" i="110"/>
  <c r="L8" i="110"/>
  <c r="P12" i="110"/>
  <c r="K63" i="110"/>
  <c r="L10" i="110"/>
  <c r="P16" i="110"/>
  <c r="L23" i="110"/>
  <c r="L17" i="110"/>
  <c r="P17" i="110"/>
  <c r="P23" i="110"/>
  <c r="H48" i="116"/>
  <c r="H51" i="116"/>
  <c r="R27" i="113"/>
  <c r="H27" i="113"/>
  <c r="H53" i="116"/>
  <c r="Q53" i="116"/>
  <c r="H47" i="116"/>
  <c r="Q47" i="116"/>
  <c r="H50" i="116"/>
  <c r="H46" i="116"/>
  <c r="H32" i="116"/>
  <c r="H49" i="116"/>
  <c r="H52" i="116"/>
  <c r="P60" i="120" l="1"/>
  <c r="P44" i="115"/>
  <c r="L39" i="122"/>
  <c r="P39" i="122"/>
  <c r="G62" i="111"/>
  <c r="L64" i="111" s="1"/>
  <c r="H65" i="122" s="1"/>
  <c r="H61" i="115" s="1"/>
  <c r="K65" i="109"/>
  <c r="L65" i="109" s="1"/>
  <c r="P55" i="115"/>
  <c r="L55" i="115"/>
  <c r="L60" i="120"/>
  <c r="J62" i="119"/>
  <c r="L62" i="119" s="1"/>
  <c r="L18" i="109"/>
  <c r="P18" i="109"/>
  <c r="P57" i="116"/>
  <c r="Q63" i="113"/>
  <c r="M63" i="113"/>
  <c r="L54" i="117"/>
  <c r="P62" i="111"/>
  <c r="P64" i="118"/>
  <c r="L64" i="118"/>
  <c r="K57" i="122"/>
  <c r="P57" i="122" s="1"/>
  <c r="P54" i="117"/>
  <c r="J63" i="110"/>
  <c r="I65" i="122" l="1"/>
  <c r="I61" i="115" s="1"/>
  <c r="P65" i="109"/>
  <c r="P62" i="119"/>
  <c r="L57" i="122"/>
  <c r="P63" i="110"/>
  <c r="L63" i="110"/>
  <c r="H53" i="119" l="1"/>
  <c r="H58" i="120"/>
  <c r="Q58" i="120"/>
  <c r="H49" i="119"/>
  <c r="Q57" i="120"/>
  <c r="H57" i="120"/>
  <c r="H52" i="119" l="1"/>
  <c r="H50" i="119" l="1"/>
  <c r="H51" i="119" l="1"/>
  <c r="H48" i="119" l="1"/>
  <c r="H41" i="119" l="1"/>
  <c r="H42" i="119" l="1"/>
  <c r="H45" i="119" l="1"/>
  <c r="H61" i="118"/>
  <c r="H47" i="119"/>
  <c r="H60" i="118"/>
  <c r="H46" i="119"/>
  <c r="H37" i="117" l="1"/>
  <c r="H58" i="109" l="1"/>
  <c r="Q58" i="109"/>
  <c r="Q46" i="109"/>
  <c r="H46" i="109"/>
  <c r="H45" i="109"/>
  <c r="Q45" i="109"/>
  <c r="Q27" i="109"/>
  <c r="H27" i="109"/>
  <c r="H60" i="109"/>
  <c r="Q60" i="109"/>
  <c r="H8" i="109"/>
  <c r="Q8" i="109"/>
  <c r="H48" i="109"/>
  <c r="Q48" i="109"/>
  <c r="Q10" i="109"/>
  <c r="H10" i="109"/>
  <c r="H14" i="109"/>
  <c r="Q14" i="109"/>
  <c r="Q61" i="109"/>
  <c r="H61" i="109"/>
  <c r="H9" i="109"/>
  <c r="Q9" i="109"/>
  <c r="H53" i="109"/>
  <c r="Q53" i="109"/>
  <c r="Q15" i="109"/>
  <c r="H15" i="109"/>
  <c r="H32" i="109"/>
  <c r="Q32" i="109"/>
  <c r="Q12" i="109"/>
  <c r="Q16" i="109"/>
  <c r="H16" i="109"/>
  <c r="Q44" i="109"/>
  <c r="H44" i="109"/>
  <c r="H56" i="109"/>
  <c r="Q56" i="109"/>
  <c r="Q57" i="109"/>
  <c r="H57" i="109"/>
  <c r="Q59" i="109"/>
  <c r="H59" i="109"/>
  <c r="Q55" i="109"/>
  <c r="H55" i="109"/>
  <c r="H33" i="109"/>
  <c r="Q33" i="109"/>
  <c r="H49" i="109"/>
  <c r="Q49" i="109"/>
  <c r="H41" i="109"/>
  <c r="Q41" i="109"/>
  <c r="H17" i="109"/>
  <c r="Q17" i="109"/>
  <c r="H63" i="109"/>
  <c r="Q63" i="109"/>
  <c r="H54" i="109"/>
  <c r="Q54" i="109"/>
  <c r="Q47" i="109"/>
  <c r="H47" i="109"/>
  <c r="H43" i="109"/>
  <c r="Q43" i="109"/>
  <c r="Q40" i="109"/>
  <c r="H40" i="109"/>
  <c r="Q11" i="109"/>
  <c r="Q42" i="109"/>
  <c r="H42" i="109"/>
  <c r="Q64" i="109"/>
  <c r="H64" i="109"/>
  <c r="H62" i="109"/>
  <c r="Q62" i="109"/>
  <c r="Q18" i="109"/>
  <c r="H18" i="109"/>
  <c r="Q35" i="109"/>
  <c r="H35" i="109"/>
  <c r="Q31" i="109"/>
  <c r="H31" i="109"/>
  <c r="H52" i="109"/>
  <c r="Q52" i="109"/>
  <c r="Q50" i="109"/>
  <c r="H50" i="109"/>
  <c r="Q51" i="109"/>
  <c r="H51" i="109"/>
  <c r="H23" i="109"/>
  <c r="Q23" i="109"/>
  <c r="H19" i="109"/>
  <c r="Q19" i="109"/>
  <c r="M19" i="109" l="1"/>
  <c r="F21" i="109" l="1"/>
  <c r="Q21" i="109" l="1"/>
  <c r="H21" i="109"/>
  <c r="F26" i="109" l="1"/>
  <c r="F22" i="109"/>
  <c r="Q22" i="109" l="1"/>
  <c r="H22" i="109"/>
  <c r="H26" i="109"/>
  <c r="Q26" i="109"/>
  <c r="M21" i="109" l="1"/>
  <c r="M22" i="109"/>
  <c r="M31" i="109" l="1"/>
  <c r="M27" i="109" l="1"/>
  <c r="H36" i="109" l="1"/>
  <c r="Q36" i="109"/>
  <c r="M26" i="109" l="1"/>
  <c r="F34" i="109" l="1"/>
  <c r="H34" i="109" l="1"/>
  <c r="Q34" i="109"/>
  <c r="F28" i="109" l="1"/>
  <c r="H28" i="109" l="1"/>
  <c r="Q28" i="109"/>
  <c r="F25" i="109" l="1"/>
  <c r="Q25" i="109" s="1"/>
  <c r="H25" i="109" l="1"/>
  <c r="F20" i="109" l="1"/>
  <c r="Q20" i="109" l="1"/>
  <c r="H20" i="109"/>
  <c r="F13" i="109" l="1"/>
  <c r="H13" i="109" l="1"/>
  <c r="Q13" i="109"/>
  <c r="F24" i="109" l="1"/>
  <c r="Q24" i="109" l="1"/>
  <c r="H24" i="109"/>
  <c r="F39" i="109" l="1"/>
  <c r="F29" i="109"/>
  <c r="H29" i="109" l="1"/>
  <c r="Q29" i="109"/>
  <c r="H39" i="109"/>
  <c r="Q39" i="109"/>
  <c r="F38" i="109"/>
  <c r="F30" i="109"/>
  <c r="F37" i="109"/>
  <c r="H30" i="109" l="1"/>
  <c r="Q30" i="109"/>
  <c r="H37" i="109"/>
  <c r="Q37" i="109"/>
  <c r="H38" i="109"/>
  <c r="Q38" i="109"/>
  <c r="F65" i="109"/>
  <c r="M38" i="109"/>
  <c r="M40" i="109"/>
  <c r="M37" i="109"/>
  <c r="M34" i="109"/>
  <c r="M30" i="109"/>
  <c r="M39" i="109"/>
  <c r="M24" i="109"/>
  <c r="M28" i="109"/>
  <c r="M25" i="109"/>
  <c r="M13" i="109"/>
  <c r="M36" i="109"/>
  <c r="M29" i="109"/>
  <c r="H65" i="109" l="1"/>
  <c r="M20" i="109"/>
  <c r="M65" i="109" l="1"/>
  <c r="J54" i="121" l="1"/>
  <c r="L54" i="121" s="1"/>
  <c r="L24" i="121"/>
  <c r="P24" i="121"/>
  <c r="P54" i="121" l="1"/>
  <c r="F36" i="119" l="1"/>
  <c r="Q36" i="119" l="1"/>
  <c r="H36" i="119"/>
  <c r="F30" i="119" l="1"/>
  <c r="F28" i="119"/>
  <c r="Q28" i="119" l="1"/>
  <c r="H28" i="119"/>
  <c r="Q30" i="119"/>
  <c r="H30" i="119"/>
  <c r="F29" i="119"/>
  <c r="Q29" i="119" l="1"/>
  <c r="H29" i="119"/>
  <c r="F26" i="119" l="1"/>
  <c r="Q26" i="119" l="1"/>
  <c r="H26" i="119"/>
  <c r="F22" i="119" l="1"/>
  <c r="Q22" i="119" l="1"/>
  <c r="H22" i="119"/>
  <c r="F21" i="119" l="1"/>
  <c r="Q21" i="119" l="1"/>
  <c r="H21" i="119"/>
  <c r="F10" i="119" l="1"/>
  <c r="H10" i="119" l="1"/>
  <c r="Q10" i="119"/>
  <c r="F54" i="118" l="1"/>
  <c r="Q54" i="118" l="1"/>
  <c r="H54" i="118"/>
  <c r="F52" i="118" l="1"/>
  <c r="Q52" i="118" l="1"/>
  <c r="H52" i="118"/>
  <c r="F48" i="118" l="1"/>
  <c r="Q48" i="118" l="1"/>
  <c r="H48" i="118"/>
  <c r="F47" i="118" l="1"/>
  <c r="Q47" i="118" l="1"/>
  <c r="H47" i="118"/>
  <c r="F28" i="120" l="1"/>
  <c r="F27" i="120"/>
  <c r="F26" i="120"/>
  <c r="F25" i="120"/>
  <c r="F24" i="120"/>
  <c r="F23" i="120"/>
  <c r="F22" i="120"/>
  <c r="F8" i="120"/>
  <c r="F40" i="119"/>
  <c r="F39" i="119"/>
  <c r="F38" i="119"/>
  <c r="F37" i="119"/>
  <c r="F35" i="119"/>
  <c r="F34" i="119"/>
  <c r="F33" i="119"/>
  <c r="F32" i="119"/>
  <c r="F31" i="119"/>
  <c r="F27" i="119"/>
  <c r="F25" i="119"/>
  <c r="F24" i="119"/>
  <c r="F23" i="119"/>
  <c r="F20" i="119"/>
  <c r="F19" i="119"/>
  <c r="F18" i="119"/>
  <c r="F17" i="119"/>
  <c r="F16" i="119"/>
  <c r="F15" i="119"/>
  <c r="F14" i="119"/>
  <c r="F13" i="119"/>
  <c r="F12" i="119"/>
  <c r="F11" i="119"/>
  <c r="F9" i="119"/>
  <c r="F8" i="119"/>
  <c r="F47" i="117"/>
  <c r="F46" i="117"/>
  <c r="F43" i="117"/>
  <c r="F41" i="117"/>
  <c r="F35" i="117"/>
  <c r="F33" i="117"/>
  <c r="F32" i="117"/>
  <c r="F27" i="117"/>
  <c r="F26" i="117"/>
  <c r="F23" i="117"/>
  <c r="F22" i="117"/>
  <c r="F21" i="117"/>
  <c r="F17" i="117"/>
  <c r="F16" i="117"/>
  <c r="F44" i="117"/>
  <c r="F42" i="117"/>
  <c r="F38" i="117"/>
  <c r="F34" i="117"/>
  <c r="F25" i="117"/>
  <c r="F18" i="117"/>
  <c r="F13" i="117"/>
  <c r="F12" i="117"/>
  <c r="F11" i="117"/>
  <c r="F8" i="117"/>
  <c r="F43" i="116"/>
  <c r="F40" i="116"/>
  <c r="F38" i="116"/>
  <c r="F37" i="116"/>
  <c r="F35" i="116"/>
  <c r="F25" i="116"/>
  <c r="F11" i="116"/>
  <c r="F42" i="116"/>
  <c r="F36" i="116"/>
  <c r="F31" i="116"/>
  <c r="F30" i="116"/>
  <c r="F29" i="116"/>
  <c r="F27" i="116"/>
  <c r="F24" i="116"/>
  <c r="F23" i="116"/>
  <c r="F20" i="116"/>
  <c r="F19" i="116"/>
  <c r="F14" i="116"/>
  <c r="F47" i="115"/>
  <c r="F43" i="115"/>
  <c r="F39" i="115"/>
  <c r="F25" i="115"/>
  <c r="F9" i="115"/>
  <c r="F52" i="115"/>
  <c r="F44" i="115"/>
  <c r="F41" i="115"/>
  <c r="F35" i="115"/>
  <c r="F31" i="115"/>
  <c r="F28" i="115"/>
  <c r="F27" i="115"/>
  <c r="F24" i="115"/>
  <c r="F16" i="115"/>
  <c r="F15" i="115"/>
  <c r="F13" i="115"/>
  <c r="F10" i="115"/>
  <c r="F47" i="122"/>
  <c r="F44" i="122"/>
  <c r="F43" i="122"/>
  <c r="F41" i="122"/>
  <c r="F29" i="122"/>
  <c r="F24" i="122"/>
  <c r="F18" i="122"/>
  <c r="F17" i="122"/>
  <c r="F15" i="122"/>
  <c r="F13" i="122"/>
  <c r="F11" i="122"/>
  <c r="F49" i="122"/>
  <c r="F48" i="122"/>
  <c r="F46" i="122"/>
  <c r="F45" i="122"/>
  <c r="F37" i="122"/>
  <c r="F34" i="122"/>
  <c r="F32" i="122"/>
  <c r="F28" i="122"/>
  <c r="F23" i="122"/>
  <c r="F14" i="122"/>
  <c r="F9" i="122"/>
  <c r="F48" i="113"/>
  <c r="F46" i="113"/>
  <c r="F32" i="113"/>
  <c r="F31" i="113"/>
  <c r="F28" i="113"/>
  <c r="F25" i="113"/>
  <c r="F23" i="113"/>
  <c r="F21" i="113"/>
  <c r="F19" i="113"/>
  <c r="F15" i="113"/>
  <c r="F10" i="113"/>
  <c r="F9" i="113"/>
  <c r="F8" i="113"/>
  <c r="F47" i="113"/>
  <c r="F45" i="113"/>
  <c r="F44" i="113"/>
  <c r="F43" i="113"/>
  <c r="F40" i="113"/>
  <c r="F38" i="113"/>
  <c r="F36" i="113"/>
  <c r="F30" i="113"/>
  <c r="F29" i="113"/>
  <c r="F17" i="113"/>
  <c r="F50" i="121"/>
  <c r="F49" i="121"/>
  <c r="F41" i="121"/>
  <c r="F40" i="121"/>
  <c r="F38" i="121"/>
  <c r="F37" i="121"/>
  <c r="F36" i="121"/>
  <c r="F32" i="121"/>
  <c r="F29" i="121"/>
  <c r="F27" i="121"/>
  <c r="F23" i="121"/>
  <c r="F21" i="121"/>
  <c r="F9" i="121"/>
  <c r="F47" i="121"/>
  <c r="F46" i="121"/>
  <c r="F42" i="121"/>
  <c r="F39" i="121"/>
  <c r="F34" i="121"/>
  <c r="F30" i="121"/>
  <c r="F26" i="121"/>
  <c r="F24" i="121"/>
  <c r="F20" i="121"/>
  <c r="F16" i="121"/>
  <c r="F13" i="121"/>
  <c r="F12" i="121"/>
  <c r="F49" i="111"/>
  <c r="F41" i="111"/>
  <c r="F34" i="111"/>
  <c r="F33" i="111"/>
  <c r="F27" i="111"/>
  <c r="F26" i="111"/>
  <c r="F25" i="111"/>
  <c r="F24" i="111"/>
  <c r="F20" i="111"/>
  <c r="F19" i="111"/>
  <c r="F16" i="111"/>
  <c r="F14" i="111"/>
  <c r="F11" i="111"/>
  <c r="F9" i="111"/>
  <c r="F8" i="111"/>
  <c r="F45" i="111"/>
  <c r="F39" i="111"/>
  <c r="F36" i="111"/>
  <c r="F32" i="111"/>
  <c r="F31" i="111"/>
  <c r="F28" i="111"/>
  <c r="F18" i="111"/>
  <c r="F13" i="111"/>
  <c r="F53" i="110"/>
  <c r="F46" i="110"/>
  <c r="F44" i="110"/>
  <c r="F38" i="110"/>
  <c r="F34" i="110"/>
  <c r="F32" i="110"/>
  <c r="F31" i="110"/>
  <c r="F22" i="110"/>
  <c r="F21" i="110"/>
  <c r="F18" i="110"/>
  <c r="F11" i="110"/>
  <c r="F8" i="110"/>
  <c r="F54" i="110"/>
  <c r="F52" i="110"/>
  <c r="F51" i="110"/>
  <c r="F47" i="110"/>
  <c r="F45" i="110"/>
  <c r="F42" i="110"/>
  <c r="F41" i="110"/>
  <c r="F40" i="110"/>
  <c r="F39" i="110"/>
  <c r="F37" i="110"/>
  <c r="F35" i="110"/>
  <c r="F33" i="110"/>
  <c r="F28" i="110"/>
  <c r="F26" i="110"/>
  <c r="F24" i="110"/>
  <c r="F23" i="110"/>
  <c r="F20" i="110"/>
  <c r="F19" i="110"/>
  <c r="F17" i="110"/>
  <c r="F16" i="110"/>
  <c r="F15" i="110"/>
  <c r="F13" i="110"/>
  <c r="F12" i="110"/>
  <c r="F9" i="110"/>
  <c r="F59" i="118"/>
  <c r="F58" i="118"/>
  <c r="F57" i="118"/>
  <c r="F56" i="118"/>
  <c r="F55" i="118"/>
  <c r="F53" i="118"/>
  <c r="F51" i="118"/>
  <c r="F50" i="118"/>
  <c r="F49" i="118"/>
  <c r="F46" i="118"/>
  <c r="F43" i="118"/>
  <c r="F30" i="118"/>
  <c r="F29" i="118"/>
  <c r="F28" i="118"/>
  <c r="F27" i="118"/>
  <c r="F25" i="118"/>
  <c r="F21" i="118"/>
  <c r="F19" i="118"/>
  <c r="F18" i="118"/>
  <c r="F16" i="118"/>
  <c r="F13" i="118"/>
  <c r="F11" i="118"/>
  <c r="F45" i="118"/>
  <c r="F40" i="118"/>
  <c r="F39" i="118"/>
  <c r="F38" i="118"/>
  <c r="F37" i="118"/>
  <c r="F36" i="118"/>
  <c r="F35" i="118"/>
  <c r="F32" i="118"/>
  <c r="F24" i="118"/>
  <c r="F20" i="118"/>
  <c r="F15" i="118"/>
  <c r="F14" i="118"/>
  <c r="F12" i="118"/>
  <c r="F8" i="118"/>
  <c r="M51" i="115"/>
  <c r="M50" i="115"/>
  <c r="H23" i="110" l="1"/>
  <c r="Q23" i="110"/>
  <c r="Q32" i="110"/>
  <c r="H32" i="110"/>
  <c r="H26" i="111"/>
  <c r="Q26" i="111"/>
  <c r="Q34" i="121"/>
  <c r="H34" i="121"/>
  <c r="H36" i="121"/>
  <c r="Q36" i="121"/>
  <c r="R19" i="113"/>
  <c r="H19" i="113"/>
  <c r="R25" i="113"/>
  <c r="H25" i="113"/>
  <c r="H28" i="113"/>
  <c r="R28" i="113"/>
  <c r="Q44" i="115"/>
  <c r="H44" i="115"/>
  <c r="H9" i="115"/>
  <c r="Q9" i="115"/>
  <c r="H25" i="115"/>
  <c r="Q25" i="115"/>
  <c r="H19" i="116"/>
  <c r="Q19" i="116"/>
  <c r="Q35" i="116"/>
  <c r="H35" i="116"/>
  <c r="H33" i="117"/>
  <c r="Q33" i="117"/>
  <c r="H46" i="117"/>
  <c r="Q46" i="117"/>
  <c r="Q8" i="119"/>
  <c r="H8" i="119"/>
  <c r="Q16" i="119"/>
  <c r="H16" i="119"/>
  <c r="Q24" i="119"/>
  <c r="H24" i="119"/>
  <c r="Q27" i="119"/>
  <c r="H27" i="119"/>
  <c r="Q8" i="120"/>
  <c r="H8" i="120"/>
  <c r="H37" i="118"/>
  <c r="Q37" i="118"/>
  <c r="H16" i="110"/>
  <c r="Q16" i="110"/>
  <c r="H53" i="110"/>
  <c r="Q53" i="110"/>
  <c r="Q39" i="121"/>
  <c r="H39" i="121"/>
  <c r="Q44" i="122"/>
  <c r="H44" i="122"/>
  <c r="H47" i="115"/>
  <c r="Q47" i="115"/>
  <c r="Q25" i="116"/>
  <c r="H25" i="116"/>
  <c r="Q38" i="116"/>
  <c r="H38" i="116"/>
  <c r="Q18" i="119"/>
  <c r="H18" i="119"/>
  <c r="Q32" i="119"/>
  <c r="H32" i="119"/>
  <c r="Q39" i="119"/>
  <c r="H39" i="119"/>
  <c r="Q8" i="118"/>
  <c r="H8" i="118"/>
  <c r="H15" i="118"/>
  <c r="Q15" i="118"/>
  <c r="H24" i="118"/>
  <c r="Q24" i="118"/>
  <c r="H35" i="118"/>
  <c r="Q35" i="118"/>
  <c r="Q29" i="118"/>
  <c r="H29" i="118"/>
  <c r="Q49" i="118"/>
  <c r="H49" i="118"/>
  <c r="Q51" i="118"/>
  <c r="H51" i="118"/>
  <c r="Q53" i="118"/>
  <c r="H53" i="118"/>
  <c r="H56" i="118"/>
  <c r="Q56" i="118"/>
  <c r="Q41" i="110"/>
  <c r="H41" i="110"/>
  <c r="Q52" i="110"/>
  <c r="H52" i="110"/>
  <c r="Q38" i="110"/>
  <c r="H38" i="110"/>
  <c r="Q31" i="111"/>
  <c r="H31" i="111"/>
  <c r="Q9" i="111"/>
  <c r="H9" i="111"/>
  <c r="H33" i="111"/>
  <c r="Q33" i="111"/>
  <c r="H42" i="121"/>
  <c r="Q42" i="121"/>
  <c r="R29" i="113"/>
  <c r="H29" i="113"/>
  <c r="H10" i="113"/>
  <c r="R10" i="113"/>
  <c r="Q28" i="122"/>
  <c r="H28" i="122"/>
  <c r="Q32" i="122"/>
  <c r="H32" i="122"/>
  <c r="Q34" i="122"/>
  <c r="H34" i="122"/>
  <c r="H17" i="122"/>
  <c r="Q17" i="122"/>
  <c r="H29" i="122"/>
  <c r="Q29" i="122"/>
  <c r="Q47" i="122"/>
  <c r="H47" i="122"/>
  <c r="H15" i="115"/>
  <c r="Q15" i="115"/>
  <c r="Q18" i="117"/>
  <c r="H18" i="117"/>
  <c r="Q43" i="117"/>
  <c r="H43" i="117"/>
  <c r="H20" i="119"/>
  <c r="Q20" i="119"/>
  <c r="H11" i="120"/>
  <c r="Q11" i="120"/>
  <c r="H23" i="120"/>
  <c r="Q23" i="120"/>
  <c r="Q27" i="120"/>
  <c r="H27" i="120"/>
  <c r="Q12" i="110"/>
  <c r="H12" i="110"/>
  <c r="Q44" i="110"/>
  <c r="H44" i="110"/>
  <c r="Q13" i="111"/>
  <c r="H13" i="111"/>
  <c r="H36" i="111"/>
  <c r="Q36" i="111"/>
  <c r="H49" i="111"/>
  <c r="Q49" i="111"/>
  <c r="H30" i="121"/>
  <c r="Q30" i="121"/>
  <c r="H46" i="121"/>
  <c r="Q46" i="121"/>
  <c r="H49" i="122"/>
  <c r="Q49" i="122"/>
  <c r="Q24" i="115"/>
  <c r="H24" i="115"/>
  <c r="Q31" i="116"/>
  <c r="H31" i="116"/>
  <c r="H34" i="117"/>
  <c r="Q34" i="117"/>
  <c r="H22" i="117"/>
  <c r="Q22" i="117"/>
  <c r="H13" i="119"/>
  <c r="Q13" i="119"/>
  <c r="H20" i="118"/>
  <c r="Q20" i="118"/>
  <c r="Q40" i="118"/>
  <c r="H40" i="118"/>
  <c r="Q39" i="110"/>
  <c r="H39" i="110"/>
  <c r="Q18" i="110"/>
  <c r="H18" i="110"/>
  <c r="Q21" i="110"/>
  <c r="H21" i="110"/>
  <c r="H24" i="111"/>
  <c r="Q24" i="111"/>
  <c r="Q13" i="121"/>
  <c r="H13" i="121"/>
  <c r="Q37" i="121"/>
  <c r="H37" i="121"/>
  <c r="R44" i="113"/>
  <c r="H44" i="113"/>
  <c r="H23" i="113"/>
  <c r="R23" i="113"/>
  <c r="H32" i="113"/>
  <c r="R32" i="113"/>
  <c r="R48" i="113"/>
  <c r="H48" i="113"/>
  <c r="H45" i="122"/>
  <c r="Q45" i="122"/>
  <c r="Q24" i="116"/>
  <c r="H24" i="116"/>
  <c r="Q27" i="116"/>
  <c r="H27" i="116"/>
  <c r="Q8" i="117"/>
  <c r="H8" i="117"/>
  <c r="H25" i="117"/>
  <c r="Q25" i="117"/>
  <c r="Q16" i="117"/>
  <c r="H16" i="117"/>
  <c r="Q35" i="119"/>
  <c r="H35" i="119"/>
  <c r="Q18" i="118"/>
  <c r="H18" i="118"/>
  <c r="Q27" i="118"/>
  <c r="H27" i="118"/>
  <c r="H55" i="118"/>
  <c r="Q55" i="118"/>
  <c r="Q59" i="118"/>
  <c r="H59" i="118"/>
  <c r="Q19" i="110"/>
  <c r="H19" i="110"/>
  <c r="H27" i="111"/>
  <c r="Q27" i="111"/>
  <c r="H23" i="121"/>
  <c r="Q23" i="121"/>
  <c r="H40" i="121"/>
  <c r="Q40" i="121"/>
  <c r="R8" i="113"/>
  <c r="H8" i="113"/>
  <c r="H15" i="122"/>
  <c r="Q15" i="122"/>
  <c r="H10" i="115"/>
  <c r="Q10" i="115"/>
  <c r="H39" i="115"/>
  <c r="Q39" i="115"/>
  <c r="H29" i="116"/>
  <c r="Q29" i="116"/>
  <c r="Q12" i="117"/>
  <c r="H12" i="117"/>
  <c r="Q47" i="117"/>
  <c r="H47" i="117"/>
  <c r="Q15" i="119"/>
  <c r="H15" i="119"/>
  <c r="Q23" i="119"/>
  <c r="H23" i="119"/>
  <c r="Q31" i="119"/>
  <c r="H31" i="119"/>
  <c r="Q38" i="119"/>
  <c r="H38" i="119"/>
  <c r="H22" i="120"/>
  <c r="Q22" i="120"/>
  <c r="Q26" i="120"/>
  <c r="H26" i="120"/>
  <c r="H38" i="118"/>
  <c r="Q38" i="118"/>
  <c r="Q45" i="118"/>
  <c r="H45" i="118"/>
  <c r="Q21" i="118"/>
  <c r="H21" i="118"/>
  <c r="Q15" i="110"/>
  <c r="H15" i="110"/>
  <c r="H17" i="110"/>
  <c r="Q17" i="110"/>
  <c r="H35" i="110"/>
  <c r="Q35" i="110"/>
  <c r="H37" i="110"/>
  <c r="Q37" i="110"/>
  <c r="Q42" i="110"/>
  <c r="H42" i="110"/>
  <c r="H47" i="110"/>
  <c r="Q47" i="110"/>
  <c r="Q18" i="111"/>
  <c r="H18" i="111"/>
  <c r="H28" i="111"/>
  <c r="Q28" i="111"/>
  <c r="H32" i="111"/>
  <c r="Q32" i="111"/>
  <c r="Q24" i="121"/>
  <c r="H24" i="121"/>
  <c r="H29" i="121"/>
  <c r="Q29" i="121"/>
  <c r="Q49" i="121"/>
  <c r="H49" i="121"/>
  <c r="R40" i="113"/>
  <c r="H40" i="113"/>
  <c r="H47" i="113"/>
  <c r="R47" i="113"/>
  <c r="Q9" i="122"/>
  <c r="H9" i="122"/>
  <c r="H27" i="115"/>
  <c r="Q27" i="115"/>
  <c r="Q41" i="115"/>
  <c r="H41" i="115"/>
  <c r="H20" i="116"/>
  <c r="Q20" i="116"/>
  <c r="Q36" i="116"/>
  <c r="H36" i="116"/>
  <c r="H26" i="117"/>
  <c r="Q26" i="117"/>
  <c r="Q9" i="119"/>
  <c r="H9" i="119"/>
  <c r="Q30" i="118"/>
  <c r="H30" i="118"/>
  <c r="Q24" i="110"/>
  <c r="H24" i="110"/>
  <c r="H26" i="110"/>
  <c r="Q26" i="110"/>
  <c r="H28" i="110"/>
  <c r="Q28" i="110"/>
  <c r="H31" i="110"/>
  <c r="Q31" i="110"/>
  <c r="H34" i="111"/>
  <c r="Q34" i="111"/>
  <c r="H26" i="121"/>
  <c r="Q26" i="121"/>
  <c r="Q32" i="121"/>
  <c r="H32" i="121"/>
  <c r="R30" i="113"/>
  <c r="H30" i="113"/>
  <c r="R36" i="113"/>
  <c r="H36" i="113"/>
  <c r="H15" i="113"/>
  <c r="R15" i="113"/>
  <c r="H21" i="113"/>
  <c r="R21" i="113"/>
  <c r="H18" i="122"/>
  <c r="Q18" i="122"/>
  <c r="H24" i="122"/>
  <c r="Q24" i="122"/>
  <c r="H14" i="116"/>
  <c r="Q14" i="116"/>
  <c r="Q42" i="116"/>
  <c r="H42" i="116"/>
  <c r="H23" i="117"/>
  <c r="Q23" i="117"/>
  <c r="Q32" i="117"/>
  <c r="H32" i="117"/>
  <c r="Q35" i="117"/>
  <c r="H35" i="117"/>
  <c r="H41" i="117"/>
  <c r="Q41" i="117"/>
  <c r="Q17" i="119"/>
  <c r="H17" i="119"/>
  <c r="Q19" i="119"/>
  <c r="H19" i="119"/>
  <c r="H34" i="119"/>
  <c r="Q34" i="119"/>
  <c r="H9" i="120"/>
  <c r="Q9" i="120"/>
  <c r="H14" i="118"/>
  <c r="Q14" i="118"/>
  <c r="H32" i="118"/>
  <c r="Q32" i="118"/>
  <c r="Q36" i="118"/>
  <c r="H36" i="118"/>
  <c r="Q13" i="118"/>
  <c r="H13" i="118"/>
  <c r="Q50" i="118"/>
  <c r="H50" i="118"/>
  <c r="Q58" i="118"/>
  <c r="H58" i="118"/>
  <c r="H13" i="110"/>
  <c r="Q13" i="110"/>
  <c r="Q51" i="110"/>
  <c r="H51" i="110"/>
  <c r="Q19" i="111"/>
  <c r="H19" i="111"/>
  <c r="H25" i="111"/>
  <c r="Q25" i="111"/>
  <c r="H47" i="121"/>
  <c r="Q47" i="121"/>
  <c r="H9" i="121"/>
  <c r="Q9" i="121"/>
  <c r="Q21" i="121"/>
  <c r="H21" i="121"/>
  <c r="Q38" i="121"/>
  <c r="H38" i="121"/>
  <c r="H38" i="113"/>
  <c r="R38" i="113"/>
  <c r="H14" i="122"/>
  <c r="Q14" i="122"/>
  <c r="Q37" i="122"/>
  <c r="H37" i="122"/>
  <c r="H48" i="122"/>
  <c r="Q48" i="122"/>
  <c r="H13" i="122"/>
  <c r="Q13" i="122"/>
  <c r="H43" i="122"/>
  <c r="Q43" i="122"/>
  <c r="Q16" i="115"/>
  <c r="H16" i="115"/>
  <c r="Q43" i="115"/>
  <c r="H43" i="115"/>
  <c r="H11" i="116"/>
  <c r="Q11" i="116"/>
  <c r="Q37" i="116"/>
  <c r="H37" i="116"/>
  <c r="Q44" i="117"/>
  <c r="H44" i="117"/>
  <c r="Q17" i="117"/>
  <c r="H17" i="117"/>
  <c r="Q12" i="119"/>
  <c r="H12" i="119"/>
  <c r="Q25" i="119"/>
  <c r="H25" i="119"/>
  <c r="Q40" i="119"/>
  <c r="H40" i="119"/>
  <c r="H25" i="120"/>
  <c r="Q25" i="120"/>
  <c r="Q16" i="118"/>
  <c r="H16" i="118"/>
  <c r="Q25" i="118"/>
  <c r="H25" i="118"/>
  <c r="Q28" i="118"/>
  <c r="H28" i="118"/>
  <c r="Q33" i="110"/>
  <c r="H33" i="110"/>
  <c r="H40" i="110"/>
  <c r="Q40" i="110"/>
  <c r="Q45" i="110"/>
  <c r="H45" i="110"/>
  <c r="Q22" i="110"/>
  <c r="H22" i="110"/>
  <c r="Q34" i="110"/>
  <c r="H34" i="110"/>
  <c r="H8" i="111"/>
  <c r="Q8" i="111"/>
  <c r="Q16" i="121"/>
  <c r="H16" i="121"/>
  <c r="H27" i="121"/>
  <c r="Q27" i="121"/>
  <c r="R17" i="113"/>
  <c r="H17" i="113"/>
  <c r="H9" i="113"/>
  <c r="R9" i="113"/>
  <c r="H46" i="113"/>
  <c r="R46" i="113"/>
  <c r="Q13" i="115"/>
  <c r="H13" i="115"/>
  <c r="Q31" i="115"/>
  <c r="H31" i="115"/>
  <c r="Q35" i="115"/>
  <c r="H35" i="115"/>
  <c r="H30" i="116"/>
  <c r="Q30" i="116"/>
  <c r="Q40" i="116"/>
  <c r="H40" i="116"/>
  <c r="Q37" i="119"/>
  <c r="H37" i="119"/>
  <c r="Q39" i="118"/>
  <c r="H39" i="118"/>
  <c r="H19" i="118"/>
  <c r="Q19" i="118"/>
  <c r="Q43" i="118"/>
  <c r="H43" i="118"/>
  <c r="H20" i="110"/>
  <c r="Q20" i="110"/>
  <c r="Q54" i="110"/>
  <c r="H54" i="110"/>
  <c r="Q39" i="111"/>
  <c r="H39" i="111"/>
  <c r="Q45" i="111"/>
  <c r="H45" i="111"/>
  <c r="H41" i="111"/>
  <c r="Q41" i="111"/>
  <c r="H12" i="121"/>
  <c r="Q12" i="121"/>
  <c r="Q20" i="121"/>
  <c r="H20" i="121"/>
  <c r="Q41" i="121"/>
  <c r="H41" i="121"/>
  <c r="R45" i="113"/>
  <c r="H45" i="113"/>
  <c r="H52" i="115"/>
  <c r="Q52" i="115"/>
  <c r="H23" i="116"/>
  <c r="Q23" i="116"/>
  <c r="Q43" i="116"/>
  <c r="H43" i="116"/>
  <c r="H38" i="117"/>
  <c r="Q38" i="117"/>
  <c r="H42" i="117"/>
  <c r="Q42" i="117"/>
  <c r="Q21" i="117"/>
  <c r="H21" i="117"/>
  <c r="H27" i="117"/>
  <c r="Q27" i="117"/>
  <c r="H14" i="119"/>
  <c r="Q14" i="119"/>
  <c r="Q33" i="119"/>
  <c r="H33" i="119"/>
  <c r="H12" i="118"/>
  <c r="Q12" i="118"/>
  <c r="Q46" i="118"/>
  <c r="H46" i="118"/>
  <c r="Q57" i="118"/>
  <c r="H57" i="118"/>
  <c r="H9" i="110"/>
  <c r="Q9" i="110"/>
  <c r="H8" i="110"/>
  <c r="Q8" i="110"/>
  <c r="Q11" i="110"/>
  <c r="H11" i="110"/>
  <c r="H46" i="110"/>
  <c r="Q46" i="110"/>
  <c r="H11" i="111"/>
  <c r="Q11" i="111"/>
  <c r="Q14" i="111"/>
  <c r="H14" i="111"/>
  <c r="H50" i="121"/>
  <c r="Q50" i="121"/>
  <c r="H43" i="113"/>
  <c r="R43" i="113"/>
  <c r="H31" i="113"/>
  <c r="R31" i="113"/>
  <c r="Q23" i="122"/>
  <c r="H23" i="122"/>
  <c r="Q46" i="122"/>
  <c r="H46" i="122"/>
  <c r="Q11" i="122"/>
  <c r="H11" i="122"/>
  <c r="Q41" i="122"/>
  <c r="H41" i="122"/>
  <c r="Q28" i="115"/>
  <c r="H28" i="115"/>
  <c r="Q11" i="117"/>
  <c r="H11" i="117"/>
  <c r="Q13" i="117"/>
  <c r="H13" i="117"/>
  <c r="H11" i="119"/>
  <c r="Q11" i="119"/>
  <c r="Q12" i="120"/>
  <c r="H12" i="120"/>
  <c r="H24" i="120"/>
  <c r="Q24" i="120"/>
  <c r="H28" i="120"/>
  <c r="Q28" i="120"/>
  <c r="M49" i="119"/>
  <c r="F27" i="110"/>
  <c r="F36" i="115"/>
  <c r="M19" i="118"/>
  <c r="F26" i="118"/>
  <c r="F12" i="111"/>
  <c r="F31" i="122"/>
  <c r="F17" i="118"/>
  <c r="F12" i="122"/>
  <c r="F21" i="122"/>
  <c r="F15" i="116"/>
  <c r="F26" i="115"/>
  <c r="F56" i="110"/>
  <c r="F16" i="113"/>
  <c r="F49" i="115"/>
  <c r="F34" i="116"/>
  <c r="F44" i="118"/>
  <c r="F23" i="111"/>
  <c r="F11" i="121"/>
  <c r="F31" i="117"/>
  <c r="F42" i="122"/>
  <c r="F35" i="121"/>
  <c r="F42" i="118"/>
  <c r="F11" i="115"/>
  <c r="F28" i="116"/>
  <c r="F19" i="117"/>
  <c r="F22" i="122"/>
  <c r="F35" i="122"/>
  <c r="F25" i="122"/>
  <c r="F27" i="122"/>
  <c r="F39" i="122"/>
  <c r="F22" i="115"/>
  <c r="F48" i="111"/>
  <c r="F8" i="122"/>
  <c r="F39" i="116"/>
  <c r="F11" i="113"/>
  <c r="F41" i="118"/>
  <c r="F22" i="111"/>
  <c r="F34" i="113"/>
  <c r="F34" i="115"/>
  <c r="F38" i="115"/>
  <c r="F15" i="117"/>
  <c r="F10" i="122"/>
  <c r="F9" i="116"/>
  <c r="F36" i="117"/>
  <c r="F18" i="115"/>
  <c r="F8" i="115"/>
  <c r="F29" i="117"/>
  <c r="F26" i="113"/>
  <c r="F46" i="115"/>
  <c r="F44" i="116"/>
  <c r="F22" i="118"/>
  <c r="F37" i="111"/>
  <c r="F48" i="121"/>
  <c r="F33" i="113"/>
  <c r="F40" i="122"/>
  <c r="F17" i="115"/>
  <c r="F30" i="110"/>
  <c r="F19" i="115"/>
  <c r="F32" i="115"/>
  <c r="F10" i="110"/>
  <c r="F43" i="111"/>
  <c r="F37" i="113"/>
  <c r="F24" i="113"/>
  <c r="F39" i="113"/>
  <c r="F12" i="116"/>
  <c r="F22" i="116"/>
  <c r="F24" i="117"/>
  <c r="F36" i="110"/>
  <c r="F15" i="111"/>
  <c r="F17" i="111"/>
  <c r="F29" i="111"/>
  <c r="F47" i="111"/>
  <c r="F33" i="121"/>
  <c r="F19" i="122"/>
  <c r="F45" i="115"/>
  <c r="F10" i="118"/>
  <c r="F34" i="118"/>
  <c r="F21" i="115"/>
  <c r="F18" i="116"/>
  <c r="F13" i="113"/>
  <c r="F33" i="118"/>
  <c r="F42" i="111"/>
  <c r="F23" i="115"/>
  <c r="F33" i="116"/>
  <c r="F38" i="111"/>
  <c r="F40" i="111"/>
  <c r="F18" i="121"/>
  <c r="F33" i="115"/>
  <c r="F26" i="122"/>
  <c r="F21" i="116"/>
  <c r="F26" i="116"/>
  <c r="F39" i="117"/>
  <c r="F49" i="110"/>
  <c r="F55" i="110"/>
  <c r="F21" i="111"/>
  <c r="F25" i="121"/>
  <c r="F40" i="115"/>
  <c r="F23" i="118"/>
  <c r="F50" i="110"/>
  <c r="F31" i="118"/>
  <c r="F25" i="110"/>
  <c r="F43" i="110"/>
  <c r="F8" i="121"/>
  <c r="F43" i="121"/>
  <c r="F30" i="111"/>
  <c r="F28" i="121"/>
  <c r="F29" i="110"/>
  <c r="F19" i="121"/>
  <c r="F48" i="110"/>
  <c r="F46" i="111"/>
  <c r="F14" i="110"/>
  <c r="F35" i="111"/>
  <c r="F17" i="121"/>
  <c r="F22" i="121"/>
  <c r="F10" i="111"/>
  <c r="F44" i="111"/>
  <c r="F31" i="121"/>
  <c r="F14" i="121"/>
  <c r="F15" i="121"/>
  <c r="F45" i="121"/>
  <c r="F10" i="121"/>
  <c r="F41" i="113"/>
  <c r="F29" i="115"/>
  <c r="F30" i="115"/>
  <c r="F16" i="122"/>
  <c r="F48" i="115"/>
  <c r="F36" i="122"/>
  <c r="F33" i="122"/>
  <c r="F35" i="113"/>
  <c r="F20" i="113"/>
  <c r="F38" i="122"/>
  <c r="F44" i="121"/>
  <c r="F18" i="113"/>
  <c r="F49" i="113"/>
  <c r="F17" i="116"/>
  <c r="F22" i="113"/>
  <c r="F42" i="113"/>
  <c r="F20" i="122"/>
  <c r="F30" i="122"/>
  <c r="F12" i="115"/>
  <c r="F20" i="115"/>
  <c r="F37" i="115"/>
  <c r="F10" i="116"/>
  <c r="F42" i="115"/>
  <c r="F8" i="116"/>
  <c r="F41" i="116"/>
  <c r="F14" i="117"/>
  <c r="F13" i="116"/>
  <c r="F9" i="117"/>
  <c r="F40" i="117"/>
  <c r="F20" i="117"/>
  <c r="F16" i="116"/>
  <c r="F28" i="117"/>
  <c r="F30" i="117"/>
  <c r="F10" i="117"/>
  <c r="F54" i="117" l="1"/>
  <c r="H54" i="117" s="1"/>
  <c r="F63" i="110"/>
  <c r="F64" i="118"/>
  <c r="F62" i="111"/>
  <c r="H62" i="111" s="1"/>
  <c r="H30" i="111"/>
  <c r="Q30" i="111"/>
  <c r="H25" i="110"/>
  <c r="Q25" i="110"/>
  <c r="H15" i="121"/>
  <c r="Q15" i="121"/>
  <c r="F54" i="121"/>
  <c r="Q8" i="121"/>
  <c r="H8" i="121"/>
  <c r="Q33" i="121"/>
  <c r="H33" i="121"/>
  <c r="Q40" i="122"/>
  <c r="H40" i="122"/>
  <c r="Q46" i="115"/>
  <c r="H46" i="115"/>
  <c r="Q48" i="111"/>
  <c r="H48" i="111"/>
  <c r="Q35" i="122"/>
  <c r="H35" i="122"/>
  <c r="Q42" i="118"/>
  <c r="H42" i="118"/>
  <c r="Q21" i="122"/>
  <c r="H21" i="122"/>
  <c r="Q26" i="118"/>
  <c r="H26" i="118"/>
  <c r="Q30" i="117"/>
  <c r="H30" i="117"/>
  <c r="Q42" i="115"/>
  <c r="H42" i="115"/>
  <c r="H14" i="121"/>
  <c r="Q14" i="121"/>
  <c r="H22" i="121"/>
  <c r="Q22" i="121"/>
  <c r="H26" i="122"/>
  <c r="Q26" i="122"/>
  <c r="H33" i="115"/>
  <c r="Q33" i="115"/>
  <c r="H33" i="116"/>
  <c r="Q33" i="116"/>
  <c r="Q30" i="110"/>
  <c r="H30" i="110"/>
  <c r="Q37" i="111"/>
  <c r="H37" i="111"/>
  <c r="H8" i="115"/>
  <c r="Q8" i="115"/>
  <c r="F55" i="115"/>
  <c r="H22" i="122"/>
  <c r="Q22" i="122"/>
  <c r="Q11" i="121"/>
  <c r="H11" i="121"/>
  <c r="Q56" i="110"/>
  <c r="H56" i="110"/>
  <c r="H12" i="122"/>
  <c r="Q12" i="122"/>
  <c r="Q31" i="122"/>
  <c r="H31" i="122"/>
  <c r="H48" i="115"/>
  <c r="Q48" i="115"/>
  <c r="H17" i="121"/>
  <c r="Q17" i="121"/>
  <c r="H39" i="117"/>
  <c r="Q39" i="117"/>
  <c r="H37" i="113"/>
  <c r="R37" i="113"/>
  <c r="H18" i="115"/>
  <c r="Q18" i="115"/>
  <c r="Q10" i="122"/>
  <c r="H10" i="122"/>
  <c r="Q31" i="121"/>
  <c r="H31" i="121"/>
  <c r="Q25" i="121"/>
  <c r="H25" i="121"/>
  <c r="Q18" i="116"/>
  <c r="H18" i="116"/>
  <c r="Q36" i="110"/>
  <c r="H36" i="110"/>
  <c r="H24" i="117"/>
  <c r="Q24" i="117"/>
  <c r="Q28" i="116"/>
  <c r="H28" i="116"/>
  <c r="H23" i="111"/>
  <c r="Q23" i="111"/>
  <c r="Q34" i="116"/>
  <c r="H34" i="116"/>
  <c r="Q36" i="115"/>
  <c r="H36" i="115"/>
  <c r="Q27" i="110"/>
  <c r="H27" i="110"/>
  <c r="Q48" i="110"/>
  <c r="H48" i="110"/>
  <c r="Q14" i="117"/>
  <c r="H14" i="117"/>
  <c r="R42" i="113"/>
  <c r="H42" i="113"/>
  <c r="Q36" i="122"/>
  <c r="H36" i="122"/>
  <c r="Q44" i="111"/>
  <c r="H44" i="111"/>
  <c r="H42" i="111"/>
  <c r="Q42" i="111"/>
  <c r="Q21" i="115"/>
  <c r="H21" i="115"/>
  <c r="Q45" i="115"/>
  <c r="H45" i="115"/>
  <c r="H47" i="111"/>
  <c r="Q47" i="111"/>
  <c r="H38" i="115"/>
  <c r="Q38" i="115"/>
  <c r="H11" i="115"/>
  <c r="Q11" i="115"/>
  <c r="H21" i="111"/>
  <c r="Q21" i="111"/>
  <c r="H26" i="116"/>
  <c r="Q26" i="116"/>
  <c r="Q29" i="111"/>
  <c r="H29" i="111"/>
  <c r="Q34" i="115"/>
  <c r="H34" i="115"/>
  <c r="H41" i="118"/>
  <c r="Q41" i="118"/>
  <c r="H11" i="113"/>
  <c r="R11" i="113"/>
  <c r="Q39" i="116"/>
  <c r="H39" i="116"/>
  <c r="H42" i="122"/>
  <c r="Q42" i="122"/>
  <c r="Q44" i="118"/>
  <c r="H44" i="118"/>
  <c r="Q49" i="115"/>
  <c r="H49" i="115"/>
  <c r="H20" i="117"/>
  <c r="Q20" i="117"/>
  <c r="H10" i="116"/>
  <c r="Q10" i="116"/>
  <c r="Q44" i="121"/>
  <c r="H44" i="121"/>
  <c r="R35" i="113"/>
  <c r="H35" i="113"/>
  <c r="H14" i="110"/>
  <c r="Q14" i="110"/>
  <c r="Q28" i="121"/>
  <c r="H28" i="121"/>
  <c r="Q43" i="110"/>
  <c r="H43" i="110"/>
  <c r="H50" i="110"/>
  <c r="Q50" i="110"/>
  <c r="Q40" i="117"/>
  <c r="H40" i="117"/>
  <c r="Q37" i="115"/>
  <c r="H37" i="115"/>
  <c r="Q38" i="122"/>
  <c r="H38" i="122"/>
  <c r="H41" i="113"/>
  <c r="R41" i="113"/>
  <c r="H21" i="116"/>
  <c r="Q21" i="116"/>
  <c r="H13" i="113"/>
  <c r="R13" i="113"/>
  <c r="Q17" i="111"/>
  <c r="H17" i="111"/>
  <c r="Q43" i="111"/>
  <c r="H43" i="111"/>
  <c r="Q36" i="117"/>
  <c r="H36" i="117"/>
  <c r="H34" i="113"/>
  <c r="R34" i="113"/>
  <c r="Q35" i="121"/>
  <c r="H35" i="121"/>
  <c r="H19" i="122"/>
  <c r="Q19" i="122"/>
  <c r="H15" i="111"/>
  <c r="Q15" i="111"/>
  <c r="H32" i="115"/>
  <c r="Q32" i="115"/>
  <c r="R33" i="113"/>
  <c r="H33" i="113"/>
  <c r="H26" i="113"/>
  <c r="R26" i="113"/>
  <c r="H22" i="111"/>
  <c r="Q22" i="111"/>
  <c r="F57" i="122"/>
  <c r="H8" i="122"/>
  <c r="Q8" i="122"/>
  <c r="Q22" i="115"/>
  <c r="H22" i="115"/>
  <c r="Q26" i="115"/>
  <c r="H26" i="115"/>
  <c r="Q16" i="122"/>
  <c r="H16" i="122"/>
  <c r="Q9" i="117"/>
  <c r="H9" i="117"/>
  <c r="R18" i="113"/>
  <c r="H18" i="113"/>
  <c r="Q29" i="110"/>
  <c r="H29" i="110"/>
  <c r="H16" i="116"/>
  <c r="Q16" i="116"/>
  <c r="H13" i="116"/>
  <c r="Q13" i="116"/>
  <c r="Q20" i="115"/>
  <c r="H20" i="115"/>
  <c r="H30" i="122"/>
  <c r="Q30" i="122"/>
  <c r="R49" i="113"/>
  <c r="H49" i="113"/>
  <c r="Q10" i="121"/>
  <c r="H10" i="121"/>
  <c r="Q40" i="115"/>
  <c r="H40" i="115"/>
  <c r="Q55" i="110"/>
  <c r="H55" i="110"/>
  <c r="H18" i="121"/>
  <c r="Q18" i="121"/>
  <c r="Q23" i="115"/>
  <c r="H23" i="115"/>
  <c r="H34" i="118"/>
  <c r="Q34" i="118"/>
  <c r="R39" i="113"/>
  <c r="H39" i="113"/>
  <c r="Q19" i="115"/>
  <c r="H19" i="115"/>
  <c r="H44" i="116"/>
  <c r="Q44" i="116"/>
  <c r="Q29" i="117"/>
  <c r="H29" i="117"/>
  <c r="H39" i="122"/>
  <c r="Q39" i="122"/>
  <c r="H31" i="117"/>
  <c r="Q31" i="117"/>
  <c r="R16" i="113"/>
  <c r="H16" i="113"/>
  <c r="H35" i="111"/>
  <c r="Q35" i="111"/>
  <c r="Q12" i="115"/>
  <c r="H12" i="115"/>
  <c r="H23" i="118"/>
  <c r="Q23" i="118"/>
  <c r="Q49" i="110"/>
  <c r="H49" i="110"/>
  <c r="H40" i="111"/>
  <c r="Q40" i="111"/>
  <c r="H33" i="118"/>
  <c r="Q33" i="118"/>
  <c r="H10" i="118"/>
  <c r="Q10" i="118"/>
  <c r="H22" i="116"/>
  <c r="Q22" i="116"/>
  <c r="H24" i="113"/>
  <c r="R24" i="113"/>
  <c r="H9" i="116"/>
  <c r="Q9" i="116"/>
  <c r="Q27" i="122"/>
  <c r="H27" i="122"/>
  <c r="F63" i="113"/>
  <c r="H8" i="116"/>
  <c r="F57" i="116"/>
  <c r="Q8" i="116"/>
  <c r="H22" i="113"/>
  <c r="R22" i="113"/>
  <c r="Q30" i="115"/>
  <c r="H30" i="115"/>
  <c r="Q19" i="121"/>
  <c r="H19" i="121"/>
  <c r="H43" i="121"/>
  <c r="Q43" i="121"/>
  <c r="Q31" i="118"/>
  <c r="H31" i="118"/>
  <c r="Q38" i="111"/>
  <c r="H38" i="111"/>
  <c r="H12" i="116"/>
  <c r="Q12" i="116"/>
  <c r="Q10" i="110"/>
  <c r="H10" i="110"/>
  <c r="H17" i="115"/>
  <c r="Q17" i="115"/>
  <c r="Q48" i="121"/>
  <c r="H48" i="121"/>
  <c r="Q22" i="118"/>
  <c r="H22" i="118"/>
  <c r="Q15" i="117"/>
  <c r="H15" i="117"/>
  <c r="H25" i="122"/>
  <c r="Q25" i="122"/>
  <c r="Q17" i="118"/>
  <c r="H17" i="118"/>
  <c r="Q12" i="111"/>
  <c r="H12" i="111"/>
  <c r="Q17" i="116"/>
  <c r="H17" i="116"/>
  <c r="H28" i="117"/>
  <c r="Q28" i="117"/>
  <c r="H33" i="122"/>
  <c r="Q33" i="122"/>
  <c r="Q41" i="116"/>
  <c r="H41" i="116"/>
  <c r="Q10" i="117"/>
  <c r="H10" i="117"/>
  <c r="Q20" i="122"/>
  <c r="H20" i="122"/>
  <c r="R20" i="113"/>
  <c r="H20" i="113"/>
  <c r="Q29" i="115"/>
  <c r="H29" i="115"/>
  <c r="H45" i="121"/>
  <c r="Q45" i="121"/>
  <c r="H10" i="111"/>
  <c r="Q10" i="111"/>
  <c r="H46" i="111"/>
  <c r="Q46" i="111"/>
  <c r="H19" i="117"/>
  <c r="Q19" i="117"/>
  <c r="Q15" i="116"/>
  <c r="H15" i="116"/>
  <c r="M35" i="122"/>
  <c r="H63" i="110" l="1"/>
  <c r="H64" i="118"/>
  <c r="H57" i="122"/>
  <c r="H55" i="115"/>
  <c r="H57" i="116"/>
  <c r="H63" i="113"/>
  <c r="H54" i="121"/>
  <c r="F44" i="119" l="1"/>
  <c r="F43" i="119"/>
  <c r="Q44" i="119" l="1"/>
  <c r="H44" i="119"/>
  <c r="Q43" i="119"/>
  <c r="H43" i="119"/>
  <c r="F62" i="119"/>
  <c r="H62" i="119" l="1"/>
  <c r="F10" i="120" l="1"/>
  <c r="H10" i="120" l="1"/>
  <c r="Q10" i="120"/>
  <c r="F15" i="120" l="1"/>
  <c r="F14" i="120"/>
  <c r="F13" i="120"/>
  <c r="Q15" i="120" l="1"/>
  <c r="H15" i="120"/>
  <c r="Q14" i="120"/>
  <c r="H14" i="120"/>
  <c r="Q13" i="120"/>
  <c r="H13" i="120"/>
  <c r="F18" i="120" l="1"/>
  <c r="F17" i="120"/>
  <c r="F16" i="120"/>
  <c r="Q18" i="120" l="1"/>
  <c r="H18" i="120"/>
  <c r="H17" i="120"/>
  <c r="Q17" i="120"/>
  <c r="Q16" i="120"/>
  <c r="H16" i="120"/>
  <c r="F20" i="120" l="1"/>
  <c r="F19" i="120"/>
  <c r="H20" i="120" l="1"/>
  <c r="Q20" i="120"/>
  <c r="Q19" i="120"/>
  <c r="H19" i="120"/>
  <c r="F21" i="120" l="1"/>
  <c r="H21" i="120" l="1"/>
  <c r="Q21" i="120"/>
  <c r="M21" i="120"/>
  <c r="F43" i="120" l="1"/>
  <c r="H43" i="120" l="1"/>
  <c r="Q43" i="120"/>
  <c r="F56" i="120" l="1"/>
  <c r="F55" i="120"/>
  <c r="F54" i="120"/>
  <c r="F53" i="120"/>
  <c r="F52" i="120"/>
  <c r="F50" i="120"/>
  <c r="F49" i="120"/>
  <c r="F46" i="120"/>
  <c r="F45" i="120"/>
  <c r="F44" i="120"/>
  <c r="F42" i="120"/>
  <c r="F41" i="120"/>
  <c r="F40" i="120"/>
  <c r="F39" i="120"/>
  <c r="F38" i="120"/>
  <c r="F37" i="120"/>
  <c r="F36" i="120"/>
  <c r="F35" i="120"/>
  <c r="F34" i="120"/>
  <c r="F33" i="120"/>
  <c r="F31" i="120"/>
  <c r="F30" i="120"/>
  <c r="F29" i="120"/>
  <c r="H37" i="120" l="1"/>
  <c r="Q37" i="120"/>
  <c r="H53" i="120"/>
  <c r="Q53" i="120"/>
  <c r="H44" i="120"/>
  <c r="Q44" i="120"/>
  <c r="H35" i="120"/>
  <c r="Q35" i="120"/>
  <c r="H42" i="120"/>
  <c r="Q42" i="120"/>
  <c r="H56" i="120"/>
  <c r="Q56" i="120"/>
  <c r="H38" i="120"/>
  <c r="Q38" i="120"/>
  <c r="Q54" i="120"/>
  <c r="H54" i="120"/>
  <c r="H31" i="120"/>
  <c r="Q31" i="120"/>
  <c r="H29" i="120"/>
  <c r="Q29" i="120"/>
  <c r="H50" i="120"/>
  <c r="Q50" i="120"/>
  <c r="H40" i="120"/>
  <c r="Q40" i="120"/>
  <c r="Q52" i="120"/>
  <c r="H52" i="120"/>
  <c r="H41" i="120"/>
  <c r="Q41" i="120"/>
  <c r="Q36" i="120"/>
  <c r="H36" i="120"/>
  <c r="H33" i="120"/>
  <c r="Q33" i="120"/>
  <c r="H34" i="120"/>
  <c r="Q34" i="120"/>
  <c r="H39" i="120"/>
  <c r="Q39" i="120"/>
  <c r="H55" i="120"/>
  <c r="Q55" i="120"/>
  <c r="Q49" i="120"/>
  <c r="H49" i="120"/>
  <c r="Q30" i="120"/>
  <c r="H30" i="120"/>
  <c r="H46" i="120"/>
  <c r="Q46" i="120"/>
  <c r="Q45" i="120"/>
  <c r="H45" i="120"/>
  <c r="M57" i="120"/>
  <c r="M42" i="120"/>
  <c r="M30" i="120"/>
  <c r="M50" i="121"/>
  <c r="M34" i="120"/>
  <c r="M26" i="120"/>
  <c r="N48" i="113"/>
  <c r="M18" i="120"/>
  <c r="M52" i="121"/>
  <c r="M17" i="119"/>
  <c r="M31" i="119"/>
  <c r="M40" i="118"/>
  <c r="M41" i="119"/>
  <c r="M53" i="119"/>
  <c r="M14" i="120"/>
  <c r="M12" i="119"/>
  <c r="M41" i="120"/>
  <c r="M22" i="121"/>
  <c r="M15" i="118"/>
  <c r="M41" i="121"/>
  <c r="M27" i="121"/>
  <c r="M13" i="119"/>
  <c r="M36" i="116"/>
  <c r="M10" i="120"/>
  <c r="N26" i="113"/>
  <c r="M40" i="110"/>
  <c r="M17" i="122"/>
  <c r="N31" i="113"/>
  <c r="M46" i="122"/>
  <c r="M16" i="119"/>
  <c r="M24" i="116"/>
  <c r="M22" i="120"/>
  <c r="M19" i="121"/>
  <c r="M44" i="122"/>
  <c r="N21" i="113"/>
  <c r="M43" i="118"/>
  <c r="N50" i="113"/>
  <c r="N51" i="113"/>
  <c r="M54" i="118"/>
  <c r="M25" i="119"/>
  <c r="M20" i="111"/>
  <c r="N17" i="113"/>
  <c r="M43" i="119"/>
  <c r="M28" i="118"/>
  <c r="N32" i="113"/>
  <c r="M29" i="121"/>
  <c r="M51" i="121"/>
  <c r="M35" i="119"/>
  <c r="M39" i="120"/>
  <c r="M11" i="119"/>
  <c r="M35" i="120"/>
  <c r="M14" i="122"/>
  <c r="M29" i="119"/>
  <c r="M33" i="120"/>
  <c r="M45" i="116"/>
  <c r="M55" i="120"/>
  <c r="M9" i="119"/>
  <c r="M40" i="120"/>
  <c r="M45" i="119"/>
  <c r="M17" i="120"/>
  <c r="M36" i="120"/>
  <c r="M37" i="119"/>
  <c r="M27" i="119"/>
  <c r="M37" i="120"/>
  <c r="M49" i="120"/>
  <c r="M33" i="119"/>
  <c r="M37" i="118"/>
  <c r="M9" i="118"/>
  <c r="M43" i="120"/>
  <c r="M54" i="120"/>
  <c r="M44" i="120"/>
  <c r="M50" i="120"/>
  <c r="M56" i="120"/>
  <c r="M41" i="110"/>
  <c r="M45" i="120"/>
  <c r="M46" i="120"/>
  <c r="M52" i="120"/>
  <c r="M53" i="120"/>
  <c r="N27" i="113"/>
  <c r="N30" i="113"/>
  <c r="M32" i="116"/>
  <c r="M38" i="120" l="1"/>
  <c r="N23" i="113"/>
  <c r="M8" i="119"/>
  <c r="M32" i="120"/>
  <c r="M25" i="120"/>
  <c r="M43" i="110"/>
  <c r="M45" i="121"/>
  <c r="M18" i="118"/>
  <c r="M33" i="111"/>
  <c r="M28" i="120"/>
  <c r="M53" i="110"/>
  <c r="M29" i="120"/>
  <c r="M31" i="120"/>
  <c r="M27" i="120"/>
  <c r="M38" i="121"/>
  <c r="M19" i="120"/>
  <c r="M22" i="118"/>
  <c r="N29" i="113"/>
  <c r="M20" i="120"/>
  <c r="M26" i="118"/>
  <c r="M10" i="111"/>
  <c r="M20" i="121"/>
  <c r="M48" i="110"/>
  <c r="M21" i="119"/>
  <c r="M26" i="111"/>
  <c r="M49" i="121"/>
  <c r="M9" i="122"/>
  <c r="N22" i="113"/>
  <c r="M37" i="115"/>
  <c r="M20" i="118"/>
  <c r="M34" i="122"/>
  <c r="M21" i="117"/>
  <c r="M46" i="117"/>
  <c r="M13" i="118"/>
  <c r="M46" i="115"/>
  <c r="M19" i="110"/>
  <c r="N49" i="113"/>
  <c r="M42" i="115"/>
  <c r="M11" i="111"/>
  <c r="M43" i="121"/>
  <c r="M44" i="115"/>
  <c r="M48" i="122"/>
  <c r="M30" i="117"/>
  <c r="M44" i="117"/>
  <c r="M34" i="115"/>
  <c r="M24" i="121"/>
  <c r="M16" i="117"/>
  <c r="M26" i="122"/>
  <c r="M35" i="116"/>
  <c r="M36" i="115"/>
  <c r="M9" i="115"/>
  <c r="M43" i="111"/>
  <c r="M27" i="117"/>
  <c r="M47" i="122"/>
  <c r="M48" i="115"/>
  <c r="M26" i="116"/>
  <c r="N18" i="113"/>
  <c r="M16" i="110"/>
  <c r="M43" i="122"/>
  <c r="M13" i="121"/>
  <c r="M42" i="118"/>
  <c r="M47" i="111"/>
  <c r="M26" i="121"/>
  <c r="M44" i="118"/>
  <c r="M33" i="117"/>
  <c r="N16" i="113"/>
  <c r="M25" i="122"/>
  <c r="M14" i="117"/>
  <c r="M13" i="122"/>
  <c r="N36" i="113"/>
  <c r="M23" i="121"/>
  <c r="M29" i="115"/>
  <c r="M15" i="115"/>
  <c r="N33" i="113"/>
  <c r="M39" i="122"/>
  <c r="M37" i="122"/>
  <c r="M55" i="110"/>
  <c r="M49" i="111"/>
  <c r="M34" i="110"/>
  <c r="M13" i="111"/>
  <c r="M47" i="115"/>
  <c r="M34" i="118"/>
  <c r="M22" i="116"/>
  <c r="M16" i="111"/>
  <c r="M42" i="117"/>
  <c r="M29" i="116"/>
  <c r="N38" i="113"/>
  <c r="M36" i="110"/>
  <c r="M22" i="111"/>
  <c r="M44" i="110"/>
  <c r="M20" i="110"/>
  <c r="M34" i="116"/>
  <c r="M30" i="111"/>
  <c r="M26" i="117"/>
  <c r="M42" i="122"/>
  <c r="M37" i="110"/>
  <c r="M27" i="122"/>
  <c r="M20" i="116"/>
  <c r="M28" i="117"/>
  <c r="M14" i="110"/>
  <c r="M17" i="116"/>
  <c r="N42" i="113"/>
  <c r="N19" i="113"/>
  <c r="M32" i="118"/>
  <c r="M17" i="111"/>
  <c r="M24" i="119"/>
  <c r="M21" i="118"/>
  <c r="M11" i="116"/>
  <c r="M23" i="115"/>
  <c r="M55" i="118"/>
  <c r="M20" i="119"/>
  <c r="M30" i="122"/>
  <c r="N41" i="113"/>
  <c r="M41" i="115"/>
  <c r="M47" i="110"/>
  <c r="M52" i="110"/>
  <c r="M41" i="111"/>
  <c r="M52" i="118"/>
  <c r="M21" i="121"/>
  <c r="M18" i="115"/>
  <c r="M26" i="110"/>
  <c r="M38" i="110"/>
  <c r="M44" i="111"/>
  <c r="M42" i="119"/>
  <c r="M20" i="115"/>
  <c r="M31" i="111"/>
  <c r="M49" i="110"/>
  <c r="M39" i="115"/>
  <c r="M29" i="110"/>
  <c r="M28" i="119"/>
  <c r="M12" i="118"/>
  <c r="M31" i="118"/>
  <c r="M31" i="117"/>
  <c r="M59" i="118"/>
  <c r="M47" i="121"/>
  <c r="M48" i="119"/>
  <c r="M37" i="117"/>
  <c r="M39" i="110"/>
  <c r="M40" i="116"/>
  <c r="M40" i="115"/>
  <c r="N45" i="113"/>
  <c r="M41" i="122"/>
  <c r="M39" i="121"/>
  <c r="M45" i="110"/>
  <c r="M46" i="111"/>
  <c r="M26" i="119"/>
  <c r="M32" i="122"/>
  <c r="M51" i="118"/>
  <c r="M32" i="121"/>
  <c r="M36" i="121"/>
  <c r="M16" i="121"/>
  <c r="N34" i="113"/>
  <c r="M43" i="116"/>
  <c r="M49" i="122"/>
  <c r="M51" i="119"/>
  <c r="M23" i="116"/>
  <c r="M43" i="117"/>
  <c r="M31" i="122"/>
  <c r="M58" i="118"/>
  <c r="M27" i="111"/>
  <c r="M40" i="111"/>
  <c r="M46" i="118"/>
  <c r="M41" i="116"/>
  <c r="M36" i="117"/>
  <c r="M33" i="118"/>
  <c r="M35" i="110"/>
  <c r="M53" i="118"/>
  <c r="M50" i="118"/>
  <c r="M38" i="116"/>
  <c r="M48" i="118"/>
  <c r="M12" i="120"/>
  <c r="M16" i="120"/>
  <c r="M30" i="119"/>
  <c r="M29" i="118"/>
  <c r="M32" i="119"/>
  <c r="M35" i="121"/>
  <c r="M24" i="118"/>
  <c r="M9" i="121"/>
  <c r="M49" i="118"/>
  <c r="M50" i="119"/>
  <c r="M33" i="121"/>
  <c r="M15" i="117"/>
  <c r="M22" i="122"/>
  <c r="M38" i="122"/>
  <c r="N43" i="113"/>
  <c r="M57" i="118"/>
  <c r="M24" i="111"/>
  <c r="M23" i="119"/>
  <c r="M21" i="111"/>
  <c r="M10" i="117"/>
  <c r="M14" i="116"/>
  <c r="M34" i="119"/>
  <c r="M18" i="119"/>
  <c r="M16" i="118"/>
  <c r="N39" i="113"/>
  <c r="M13" i="115"/>
  <c r="M42" i="116"/>
  <c r="M36" i="119"/>
  <c r="M17" i="117"/>
  <c r="M15" i="119"/>
  <c r="M36" i="111"/>
  <c r="M35" i="118"/>
  <c r="M44" i="119"/>
  <c r="M22" i="115"/>
  <c r="M25" i="118"/>
  <c r="M50" i="110"/>
  <c r="M39" i="118"/>
  <c r="M18" i="121"/>
  <c r="M11" i="117"/>
  <c r="M39" i="119"/>
  <c r="M32" i="110"/>
  <c r="M19" i="119"/>
  <c r="M43" i="115"/>
  <c r="M17" i="110"/>
  <c r="M11" i="118"/>
  <c r="N10" i="113"/>
  <c r="M27" i="110"/>
  <c r="M37" i="111"/>
  <c r="M8" i="120"/>
  <c r="M20" i="122"/>
  <c r="M33" i="110"/>
  <c r="M13" i="120"/>
  <c r="M38" i="119"/>
  <c r="M24" i="115"/>
  <c r="M14" i="118"/>
  <c r="M28" i="115"/>
  <c r="M20" i="117"/>
  <c r="M36" i="122"/>
  <c r="M11" i="110"/>
  <c r="M30" i="110"/>
  <c r="M32" i="115"/>
  <c r="M23" i="117"/>
  <c r="N47" i="113"/>
  <c r="M23" i="120"/>
  <c r="M41" i="117"/>
  <c r="M9" i="120"/>
  <c r="M26" i="115"/>
  <c r="M15" i="122"/>
  <c r="M41" i="118"/>
  <c r="M22" i="110"/>
  <c r="M40" i="119"/>
  <c r="N40" i="113"/>
  <c r="M39" i="111"/>
  <c r="M46" i="110"/>
  <c r="M31" i="115"/>
  <c r="M28" i="110"/>
  <c r="M10" i="119"/>
  <c r="M9" i="116"/>
  <c r="M25" i="115"/>
  <c r="M29" i="122"/>
  <c r="M15" i="110"/>
  <c r="M34" i="117"/>
  <c r="M54" i="110"/>
  <c r="M15" i="120"/>
  <c r="N15" i="113"/>
  <c r="M14" i="121"/>
  <c r="M45" i="122"/>
  <c r="N12" i="113"/>
  <c r="M21" i="116"/>
  <c r="M18" i="116"/>
  <c r="M15" i="116"/>
  <c r="M24" i="120"/>
  <c r="M46" i="119"/>
  <c r="N46" i="113"/>
  <c r="M47" i="119"/>
  <c r="M11" i="122"/>
  <c r="M37" i="116"/>
  <c r="M21" i="122"/>
  <c r="M17" i="118"/>
  <c r="M27" i="116"/>
  <c r="M10" i="115"/>
  <c r="M12" i="121"/>
  <c r="M14" i="119"/>
  <c r="M10" i="116"/>
  <c r="M40" i="121"/>
  <c r="M56" i="118"/>
  <c r="M22" i="119"/>
  <c r="M11" i="120"/>
  <c r="M19" i="116"/>
  <c r="M12" i="110"/>
  <c r="M48" i="121"/>
  <c r="M11" i="115"/>
  <c r="M51" i="110"/>
  <c r="M45" i="115"/>
  <c r="M12" i="116"/>
  <c r="M18" i="117"/>
  <c r="M42" i="121"/>
  <c r="N24" i="113"/>
  <c r="M27" i="115"/>
  <c r="M53" i="115"/>
  <c r="N37" i="113"/>
  <c r="M25" i="111"/>
  <c r="M54" i="115"/>
  <c r="M36" i="118"/>
  <c r="M24" i="110"/>
  <c r="M28" i="111"/>
  <c r="M34" i="121"/>
  <c r="M13" i="110"/>
  <c r="M39" i="116"/>
  <c r="M17" i="121"/>
  <c r="M18" i="122"/>
  <c r="M15" i="111"/>
  <c r="M27" i="118"/>
  <c r="M17" i="115"/>
  <c r="M38" i="118"/>
  <c r="M37" i="121"/>
  <c r="M12" i="117"/>
  <c r="M52" i="119"/>
  <c r="M8" i="117"/>
  <c r="M10" i="121"/>
  <c r="M18" i="110"/>
  <c r="M19" i="111"/>
  <c r="M32" i="117"/>
  <c r="M42" i="110"/>
  <c r="M12" i="111"/>
  <c r="M52" i="115"/>
  <c r="M47" i="117"/>
  <c r="M30" i="115"/>
  <c r="N35" i="113"/>
  <c r="M12" i="122"/>
  <c r="M23" i="118"/>
  <c r="N28" i="113"/>
  <c r="M28" i="121"/>
  <c r="M44" i="116"/>
  <c r="M40" i="122"/>
  <c r="M28" i="122"/>
  <c r="M31" i="121"/>
  <c r="N25" i="113"/>
  <c r="M31" i="110"/>
  <c r="M29" i="111"/>
  <c r="M24" i="122"/>
  <c r="M22" i="117"/>
  <c r="M29" i="117"/>
  <c r="M33" i="122"/>
  <c r="M23" i="122"/>
  <c r="M23" i="111"/>
  <c r="M30" i="116"/>
  <c r="M30" i="121"/>
  <c r="M21" i="110"/>
  <c r="M25" i="116"/>
  <c r="M38" i="115"/>
  <c r="M38" i="111"/>
  <c r="N9" i="113"/>
  <c r="M21" i="115"/>
  <c r="M34" i="111"/>
  <c r="M25" i="117"/>
  <c r="M35" i="117"/>
  <c r="M56" i="110"/>
  <c r="M47" i="118"/>
  <c r="M45" i="118"/>
  <c r="M62" i="119" l="1"/>
  <c r="N8" i="113"/>
  <c r="M42" i="111"/>
  <c r="M8" i="111"/>
  <c r="M39" i="117"/>
  <c r="N20" i="113"/>
  <c r="M30" i="118"/>
  <c r="M19" i="115"/>
  <c r="M13" i="116"/>
  <c r="M13" i="117"/>
  <c r="M33" i="116"/>
  <c r="M35" i="115"/>
  <c r="M38" i="117"/>
  <c r="M16" i="115"/>
  <c r="M18" i="111"/>
  <c r="M8" i="118"/>
  <c r="M40" i="117"/>
  <c r="M24" i="117"/>
  <c r="M10" i="118"/>
  <c r="M32" i="111"/>
  <c r="M31" i="116"/>
  <c r="M14" i="111"/>
  <c r="M48" i="111"/>
  <c r="M35" i="111"/>
  <c r="M19" i="122"/>
  <c r="M16" i="116"/>
  <c r="M49" i="115"/>
  <c r="M23" i="110"/>
  <c r="M25" i="110"/>
  <c r="M9" i="111"/>
  <c r="M44" i="121"/>
  <c r="N44" i="113"/>
  <c r="M11" i="121"/>
  <c r="M15" i="121"/>
  <c r="M19" i="117"/>
  <c r="N11" i="113"/>
  <c r="M9" i="110"/>
  <c r="M33" i="115"/>
  <c r="M8" i="116"/>
  <c r="M8" i="110"/>
  <c r="M10" i="110"/>
  <c r="M8" i="115"/>
  <c r="M10" i="122"/>
  <c r="M9" i="117"/>
  <c r="M46" i="121"/>
  <c r="N13" i="113"/>
  <c r="M16" i="122"/>
  <c r="M12" i="115"/>
  <c r="M8" i="122"/>
  <c r="M25" i="121"/>
  <c r="M28" i="116"/>
  <c r="M45" i="111"/>
  <c r="M8" i="121"/>
  <c r="M62" i="111" l="1"/>
  <c r="M54" i="117"/>
  <c r="M63" i="110"/>
  <c r="M54" i="121"/>
  <c r="M64" i="118"/>
  <c r="M57" i="122"/>
  <c r="M57" i="116"/>
  <c r="M55" i="115"/>
  <c r="N63" i="113"/>
  <c r="F48" i="120" l="1"/>
  <c r="Q48" i="120" l="1"/>
  <c r="H48" i="120"/>
  <c r="F47" i="120"/>
  <c r="H47" i="120" l="1"/>
  <c r="Q47" i="120"/>
  <c r="F51" i="120" l="1"/>
  <c r="Q51" i="120" l="1"/>
  <c r="H51" i="120"/>
  <c r="M48" i="120"/>
  <c r="M51" i="120"/>
  <c r="M47" i="120"/>
  <c r="F32" i="120" l="1"/>
  <c r="H32" i="120" l="1"/>
  <c r="Q32" i="120"/>
  <c r="F60" i="120"/>
  <c r="H60" i="1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G12" authorId="0" shapeId="0" xr:uid="{0A6B252F-8E63-481F-A697-BC11BFFF7069}">
      <text>
        <r>
          <rPr>
            <b/>
            <sz val="11"/>
            <color indexed="81"/>
            <rFont val="Tahoma"/>
            <family val="2"/>
          </rPr>
          <t>Reshelle Fleming:</t>
        </r>
        <r>
          <rPr>
            <sz val="11"/>
            <color indexed="81"/>
            <rFont val="Tahoma"/>
            <family val="2"/>
          </rPr>
          <t xml:space="preserve">
2480</t>
        </r>
      </text>
    </comment>
    <comment ref="O21" authorId="0" shapeId="0" xr:uid="{B228E180-08C3-4C6F-87AA-C5CC783A7575}">
      <text>
        <r>
          <rPr>
            <b/>
            <sz val="11"/>
            <color indexed="81"/>
            <rFont val="Tahoma"/>
            <family val="2"/>
          </rPr>
          <t>Reshelle Fleming:</t>
        </r>
        <r>
          <rPr>
            <sz val="11"/>
            <color indexed="81"/>
            <rFont val="Tahoma"/>
            <family val="2"/>
          </rPr>
          <t xml:space="preserve">
35FAB- Carib
</t>
        </r>
      </text>
    </comment>
    <comment ref="O22" authorId="0" shapeId="0" xr:uid="{B8209899-1566-4973-A2A2-DB60C19041DE}">
      <text>
        <r>
          <rPr>
            <b/>
            <sz val="11"/>
            <color indexed="81"/>
            <rFont val="Tahoma"/>
            <family val="2"/>
          </rPr>
          <t>Reshelle Fleming:</t>
        </r>
        <r>
          <rPr>
            <sz val="11"/>
            <color indexed="81"/>
            <rFont val="Tahoma"/>
            <family val="2"/>
          </rPr>
          <t xml:space="preserve">
5 FAB Stag
 </t>
        </r>
      </text>
    </comment>
    <comment ref="G26" authorId="0" shapeId="0" xr:uid="{6FEE681F-E722-44A1-8280-A5C5926FC6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3242 </t>
        </r>
      </text>
    </comment>
    <comment ref="G30" authorId="0" shapeId="0" xr:uid="{56B64D0D-1E6C-4740-95AD-A0F885C248D7}">
      <text>
        <r>
          <rPr>
            <b/>
            <sz val="11"/>
            <color indexed="81"/>
            <rFont val="Tahoma"/>
            <family val="2"/>
          </rPr>
          <t>Reshelle Fleming:</t>
        </r>
        <r>
          <rPr>
            <sz val="11"/>
            <color indexed="81"/>
            <rFont val="Tahoma"/>
            <family val="2"/>
          </rPr>
          <t xml:space="preserve">
4088</t>
        </r>
      </text>
    </comment>
    <comment ref="J32" authorId="0" shapeId="0" xr:uid="{B8D35705-B096-4783-A975-32937DFAB42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15hls Carib for  shandy lime BBT2</t>
        </r>
      </text>
    </comment>
    <comment ref="O34" authorId="0" shapeId="0" xr:uid="{D0B95AAB-1EDF-4A1B-9133-776489D11A20}">
      <text>
        <r>
          <rPr>
            <b/>
            <sz val="11"/>
            <color indexed="81"/>
            <rFont val="Tahoma"/>
            <family val="2"/>
          </rPr>
          <t>Reshelle Fleming:</t>
        </r>
        <r>
          <rPr>
            <sz val="11"/>
            <color indexed="81"/>
            <rFont val="Tahoma"/>
            <family val="2"/>
          </rPr>
          <t xml:space="preserve">
10FAB
Stag</t>
        </r>
      </text>
    </comment>
    <comment ref="O35" authorId="0" shapeId="0" xr:uid="{DF6641B9-64D6-4126-8193-708049FB8049}">
      <text>
        <r>
          <rPr>
            <b/>
            <sz val="11"/>
            <color indexed="81"/>
            <rFont val="Tahoma"/>
            <family val="2"/>
          </rPr>
          <t>Reshelle Fleming:</t>
        </r>
        <r>
          <rPr>
            <sz val="11"/>
            <color indexed="81"/>
            <rFont val="Tahoma"/>
            <family val="2"/>
          </rPr>
          <t xml:space="preserve">
40FAB</t>
        </r>
      </text>
    </comment>
    <comment ref="J36" authorId="0" shapeId="0" xr:uid="{F0A76F4F-BB63-4411-BFF2-08BF2F1A025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7hls Carib for Shandy Lime </t>
        </r>
      </text>
    </comment>
    <comment ref="G38" authorId="0" shapeId="0" xr:uid="{084291F1-3A32-46B8-B6D7-5DC74FFAA07F}">
      <text>
        <r>
          <rPr>
            <b/>
            <sz val="11"/>
            <color indexed="81"/>
            <rFont val="Tahoma"/>
            <family val="2"/>
          </rPr>
          <t>Reshelle Fleming:</t>
        </r>
        <r>
          <rPr>
            <sz val="11"/>
            <color indexed="81"/>
            <rFont val="Tahoma"/>
            <family val="2"/>
          </rPr>
          <t xml:space="preserve">
612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I10" authorId="0" shapeId="0" xr:uid="{4AFFF0A6-2B4C-4431-92BB-3108A87112D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8cases missing Labels </t>
        </r>
      </text>
    </comment>
    <comment ref="I13" authorId="0" shapeId="0" xr:uid="{D6E9A57C-41DB-414B-AA59-AA25FB87491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11 cases on hold missing Labels </t>
        </r>
      </text>
    </comment>
    <comment ref="I19" authorId="0" shapeId="0" xr:uid="{E0DAE36D-218C-431E-A1ED-89A01EBC4E2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7cases missing labels </t>
        </r>
      </text>
    </comment>
    <comment ref="O24" authorId="0" shapeId="0" xr:uid="{BC6A3297-A3B0-46D6-ADD4-B68E431F67D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25FAB</t>
        </r>
      </text>
    </comment>
    <comment ref="O27" authorId="0" shapeId="0" xr:uid="{CE89303B-2FD2-4CB7-9503-FBE2A75B52F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46FAB</t>
        </r>
      </text>
    </comment>
    <comment ref="I29" authorId="0" shapeId="0" xr:uid="{85DA493C-66FB-436B-B686-7612D23666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44cases missing and flagging labels </t>
        </r>
      </text>
    </comment>
    <comment ref="I30" authorId="0" shapeId="0" xr:uid="{7C46CF98-9AD6-49AB-8EB1-1E0252C5A33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25cases missing labels </t>
        </r>
      </text>
    </comment>
    <comment ref="J30" authorId="1" shapeId="0" xr:uid="{872ADC96-0FD6-4609-957C-D7515E80B15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45hls taken for Shandy</t>
        </r>
      </text>
    </comment>
    <comment ref="I32" authorId="0" shapeId="0" xr:uid="{D6C97E03-85D5-4D6B-AF62-E33B81A97AA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2cases missing labels </t>
        </r>
      </text>
    </comment>
    <comment ref="D40" authorId="0" shapeId="0" xr:uid="{B7676FA7-3FC8-4ACA-A615-D95E53D2EFD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New Juicy Cool bottles 275mls</t>
        </r>
      </text>
    </comment>
    <comment ref="I40" authorId="0" shapeId="0" xr:uid="{43220C01-09FA-43A0-A0C8-96E2B9D1565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50 cases </t>
        </r>
      </text>
    </comment>
    <comment ref="I50" authorId="0" shapeId="0" xr:uid="{6F858FF9-ED63-403B-8E8B-26748907C4B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 case</t>
        </r>
      </text>
    </comment>
    <comment ref="O50" authorId="1" shapeId="0" xr:uid="{8FBA7C90-4983-4534-B189-1BAD2E98485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30FAB</t>
        </r>
      </text>
    </comment>
    <comment ref="O56" authorId="0" shapeId="0" xr:uid="{04C481EB-E5E9-490D-9700-7EC267613A8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20FAB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  <author>Delano Pasea</author>
  </authors>
  <commentList>
    <comment ref="I14" authorId="0" shapeId="0" xr:uid="{D8ECCA77-8686-4197-BC59-67C91CCCD9D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4cases missing labels </t>
        </r>
      </text>
    </comment>
    <comment ref="I17" authorId="0" shapeId="0" xr:uid="{4D9B4150-4E0F-47F1-B3E6-C3671ADB364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11cases missing labels </t>
        </r>
      </text>
    </comment>
    <comment ref="I18" authorId="0" shapeId="0" xr:uid="{1D8AB603-D9E0-46C2-8BF3-A195C886A48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41cases missing labels </t>
        </r>
      </text>
    </comment>
    <comment ref="O23" authorId="1" shapeId="0" xr:uid="{6B77072E-32FB-49D2-8C78-F2402C1C708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30FAB</t>
        </r>
      </text>
    </comment>
    <comment ref="O24" authorId="0" shapeId="0" xr:uid="{7D61AFEF-27E5-4069-BB11-B008B411C46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70FAB</t>
        </r>
      </text>
    </comment>
    <comment ref="G25" authorId="0" shapeId="0" xr:uid="{A3F0CAB2-D654-4C8B-A822-FE574732E00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1636</t>
        </r>
      </text>
    </comment>
    <comment ref="G30" authorId="0" shapeId="0" xr:uid="{635259E7-4377-432A-84D6-60178017160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1403</t>
        </r>
      </text>
    </comment>
    <comment ref="G31" authorId="0" shapeId="0" xr:uid="{204D1F9A-B2CB-4F30-BA5C-89FE83D834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2717</t>
        </r>
      </text>
    </comment>
    <comment ref="A32" authorId="0" shapeId="0" xr:uid="{A5F42322-434F-44BE-9667-1FC1095A3E4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March 17th Test was conducted to check our losses in filling bowl at start up per shift or New brand. </t>
        </r>
      </text>
    </comment>
    <comment ref="A35" authorId="0" shapeId="0" xr:uid="{1102E9C9-4EF8-407E-BBE6-57BF1EA588F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2 rinse due to break down. Product Was sent back to BBT 1x. </t>
        </r>
      </text>
    </comment>
    <comment ref="G35" authorId="0" shapeId="0" xr:uid="{4A198EEB-0031-4F99-AAEF-6F3AB7545CC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4560</t>
        </r>
      </text>
    </comment>
    <comment ref="E40" authorId="0" shapeId="0" xr:uid="{FA6DD18A-F1D4-4E70-9159-E29F6035B7C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Plan maintenance. Cooling Issues (RU5)</t>
        </r>
      </text>
    </comment>
    <comment ref="O41" authorId="0" shapeId="0" xr:uid="{EC08DFA6-6158-4E45-977E-A1C61C25BA3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50FAB</t>
        </r>
      </text>
    </comment>
    <comment ref="O43" authorId="0" shapeId="0" xr:uid="{F1EA6FF7-0174-4114-9C80-61E347F621A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25FAB</t>
        </r>
      </text>
    </comment>
    <comment ref="B46" authorId="1" shapeId="0" xr:uid="{0C20ECCB-50E0-4F54-9FBB-9F031010C68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on 26th @9:10pm- started using Guinness setting  to run Carib Amber bottling production</t>
        </r>
      </text>
    </comment>
    <comment ref="D48" authorId="2" shapeId="0" xr:uid="{3BAA232C-0BC4-4521-A05E-58BBA0302272}">
      <text>
        <r>
          <rPr>
            <b/>
            <sz val="9"/>
            <color indexed="81"/>
            <rFont val="Tahoma"/>
            <family val="2"/>
          </rPr>
          <t xml:space="preserve">Both Carib Program and Guinness program used. Micah stated that they were getting High fills of 277-280 therefore the program was switched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  <author>Reshelle Fleming</author>
  </authors>
  <commentList>
    <comment ref="I9" authorId="0" shapeId="0" xr:uid="{7F8E7132-F3D8-46B7-ADB7-2E71B7C2AA4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26 cases missing labels</t>
        </r>
      </text>
    </comment>
    <comment ref="I11" authorId="0" shapeId="0" xr:uid="{6296A38C-3EFA-4B0C-987A-1A355E2AA6A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16 cases missing labels </t>
        </r>
      </text>
    </comment>
    <comment ref="O14" authorId="0" shapeId="0" xr:uid="{3460C28F-34FA-4A9C-AA66-3B6AC193BA3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45FAB</t>
        </r>
      </text>
    </comment>
    <comment ref="I18" authorId="0" shapeId="0" xr:uid="{D2AE1A64-75AD-47DB-B94B-747EBCEE24F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79 cases on hold for missing labels</t>
        </r>
      </text>
    </comment>
    <comment ref="O18" authorId="0" shapeId="0" xr:uid="{4A3D9456-917D-42AF-B047-397316BBED7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15FAB</t>
        </r>
      </text>
    </comment>
    <comment ref="I25" authorId="0" shapeId="0" xr:uid="{F490A89C-1DD0-4867-B8A9-F06DBC8473F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100 cases missing code
13 cases missing labels</t>
        </r>
      </text>
    </comment>
    <comment ref="J30" authorId="0" shapeId="0" xr:uid="{E463A488-AE93-41D8-A0FC-27D05035E90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50hls taken for Vita Ginger</t>
        </r>
      </text>
    </comment>
    <comment ref="O35" authorId="0" shapeId="0" xr:uid="{A0640F91-0AB8-467F-836E-5BEF2A37C2A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30FAB</t>
        </r>
      </text>
    </comment>
    <comment ref="O38" authorId="1" shapeId="0" xr:uid="{AAF2BDB7-73F6-4514-ABB4-FADC9675B96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70FBB</t>
        </r>
      </text>
    </comment>
    <comment ref="J46" authorId="0" shapeId="0" xr:uid="{A8CB6389-D712-4A63-A394-AA50804803F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15hls taken for Shandy Sorrel </t>
        </r>
      </text>
    </comment>
    <comment ref="J47" authorId="0" shapeId="0" xr:uid="{F63474A6-2D08-401E-98CE-3B50B6447C2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15hls taken for Shandy Sorrel </t>
        </r>
      </text>
    </comment>
    <comment ref="I49" authorId="0" shapeId="0" xr:uid="{B2796198-04B1-4261-B8FC-237EA63B716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 cases missung labels</t>
        </r>
      </text>
    </comment>
    <comment ref="J49" authorId="0" shapeId="0" xr:uid="{EAD7B3F3-78F5-4DC2-BD0F-D43FC48872E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30hls taken for Shandy Lime and Ginger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</author>
    <author>Kaylil Baptiste</author>
    <author>Reshelle Fleming</author>
  </authors>
  <commentList>
    <comment ref="J5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David:</t>
        </r>
        <r>
          <rPr>
            <sz val="8"/>
            <color indexed="81"/>
            <rFont val="Tahoma"/>
            <family val="2"/>
          </rPr>
          <t xml:space="preserve">
Average cases/Hr 466
.
</t>
        </r>
      </text>
    </comment>
    <comment ref="I16" authorId="1" shapeId="0" xr:uid="{CF8CFA17-0CE7-406B-96B5-786884DD451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7 cases missing labels
210 cases damaged cases</t>
        </r>
      </text>
    </comment>
    <comment ref="I32" authorId="2" shapeId="0" xr:uid="{943938B0-5990-4043-BB69-44290B7AC5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109cases missing labels</t>
        </r>
      </text>
    </comment>
    <comment ref="P33" authorId="2" shapeId="0" xr:uid="{BF0D19DE-5EDD-4524-8CED-38155F47E09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15FAB</t>
        </r>
      </text>
    </comment>
    <comment ref="P35" authorId="1" shapeId="0" xr:uid="{0F4018EA-7BD8-4E8C-BFAF-7695D42010B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60FAB</t>
        </r>
      </text>
    </comment>
    <comment ref="G41" authorId="2" shapeId="0" xr:uid="{F2E33A27-8F2C-47E1-A996-8D11D88A6AB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3916</t>
        </r>
      </text>
    </comment>
    <comment ref="I49" authorId="1" shapeId="0" xr:uid="{77A2FAFD-E03A-4DE5-AF43-6947CF49DB5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 cases  Carib Amber for missing labels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  <author>Reshelle Fleming</author>
  </authors>
  <commentList>
    <comment ref="I8" authorId="0" shapeId="0" xr:uid="{08558F3F-3D8C-4ABF-84A0-E4800FC15AA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body labels</t>
        </r>
      </text>
    </comment>
    <comment ref="I9" authorId="0" shapeId="0" xr:uid="{D5413D5D-EB09-45FB-892C-859D2A0321C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mising labels</t>
        </r>
      </text>
    </comment>
    <comment ref="I10" authorId="0" shapeId="0" xr:uid="{BAC9AC98-B7E4-4038-B05D-C95FC55E105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24mins missing labels</t>
        </r>
      </text>
    </comment>
    <comment ref="O10" authorId="0" shapeId="0" xr:uid="{CBBAC08C-6744-4CBD-83CD-DD781C00737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35FAB</t>
        </r>
      </text>
    </comment>
    <comment ref="I11" authorId="0" shapeId="0" xr:uid="{B1B886B5-2EA0-4FBB-B40F-01997044629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  <comment ref="O12" authorId="0" shapeId="0" xr:uid="{CC2B2E94-789E-4D27-950F-2A2C4ED98DA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45FAB</t>
        </r>
      </text>
    </comment>
    <comment ref="I13" authorId="0" shapeId="0" xr:uid="{BE01868A-CBD1-4F67-9C79-D0E75D2E70E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 </t>
        </r>
      </text>
    </comment>
    <comment ref="I14" authorId="0" shapeId="0" xr:uid="{E74BFC88-25E5-4FA1-B309-89BA5D4AB40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37 pints missing labels</t>
        </r>
      </text>
    </comment>
    <comment ref="I17" authorId="0" shapeId="0" xr:uid="{D53ECBFF-457C-4A59-A961-894E170684D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15 cases missing labels</t>
        </r>
      </text>
    </comment>
    <comment ref="J17" authorId="1" shapeId="0" xr:uid="{1A6E6FBD-1074-4701-A9A6-908E37A2878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79,73.6</t>
        </r>
      </text>
    </comment>
    <comment ref="I18" authorId="0" shapeId="0" xr:uid="{3A46B2A7-1941-4AA7-9131-504D48045D0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7cases 18pints missing labels</t>
        </r>
      </text>
    </comment>
    <comment ref="I19" authorId="0" shapeId="0" xr:uid="{C9FF8F4C-3BA6-449C-B116-BB07BA39519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 missing labels</t>
        </r>
      </text>
    </comment>
    <comment ref="I20" authorId="0" shapeId="0" xr:uid="{DACD15A9-0D58-4782-B716-9DCA790490A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  <comment ref="I24" authorId="0" shapeId="0" xr:uid="{3AFD2E68-55CD-4DEB-89C1-E62EF3049C1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  <comment ref="I25" authorId="0" shapeId="0" xr:uid="{DED6F974-396E-4209-AA3C-9337DC9D79F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  <comment ref="I27" authorId="0" shapeId="0" xr:uid="{857F4A9A-C614-4400-8866-5CF76CA195A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  <comment ref="I28" authorId="0" shapeId="0" xr:uid="{BCA2A3E2-CA44-4E41-8C17-413842CD711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damaged labels</t>
        </r>
      </text>
    </comment>
    <comment ref="I32" authorId="0" shapeId="0" xr:uid="{B823E2EE-14D1-44DC-BEA5-96BD48ADC38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152cases missing labels insufficient body labels on plant</t>
        </r>
      </text>
    </comment>
    <comment ref="I34" authorId="0" shapeId="0" xr:uid="{7DEAEE02-41A4-41E7-BD16-A1ADFEC857C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70cases missing labels</t>
        </r>
      </text>
    </comment>
    <comment ref="I36" authorId="0" shapeId="0" xr:uid="{677F3E23-267A-48D9-8E7F-C67B6532F4F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280 cases on hold for high PU, 25cases for missing labels</t>
        </r>
      </text>
    </comment>
    <comment ref="J38" authorId="0" shapeId="0" xr:uid="{CB448E64-37FF-4661-91E2-B20A3105565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 BBT2 taken back from bottling at 8.2hls</t>
        </r>
      </text>
    </comment>
    <comment ref="O38" authorId="0" shapeId="0" xr:uid="{90F955BD-DEF4-45D6-A531-46C6B7FC31F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50FAB</t>
        </r>
      </text>
    </comment>
    <comment ref="J49" authorId="0" shapeId="0" xr:uid="{A5494F73-7661-4274-9F65-12EB2B079F7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BBT3 taken back @27.1hls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  <author>Reshelle Fleming</author>
  </authors>
  <commentList>
    <comment ref="J10" authorId="0" shapeId="0" xr:uid="{C3BDB3F1-71E9-4480-81E7-44C4CF43778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28hls taken for Shandy Ginger
14hls taken for Shandy Lime</t>
        </r>
      </text>
    </comment>
    <comment ref="G12" authorId="1" shapeId="0" xr:uid="{1F625923-E426-43D2-8483-9AFD8A4896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2021</t>
        </r>
      </text>
    </comment>
    <comment ref="I14" authorId="0" shapeId="0" xr:uid="{41455151-9E71-41EF-8377-A6E077467C4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13cases missing labels </t>
        </r>
      </text>
    </comment>
    <comment ref="I15" authorId="0" shapeId="0" xr:uid="{C6880C81-4315-4C3F-B597-7F9974609CE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3cases on hold for missing labels</t>
        </r>
      </text>
    </comment>
    <comment ref="I17" authorId="0" shapeId="0" xr:uid="{8C089F97-6D95-4A19-8FC4-20B4B100362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18cases missing labels </t>
        </r>
      </text>
    </comment>
    <comment ref="I19" authorId="0" shapeId="0" xr:uid="{39331F0D-F628-4AD4-A5BC-D9BF0DC46BE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17cases on hold</t>
        </r>
      </text>
    </comment>
    <comment ref="I21" authorId="0" shapeId="0" xr:uid="{C421F046-27BE-4C2C-90CD-8D4B716F101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254cases low PU</t>
        </r>
      </text>
    </comment>
    <comment ref="I24" authorId="0" shapeId="0" xr:uid="{51902E16-ADE4-43FA-9C8E-209671B98DD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117cases high pulp in product</t>
        </r>
      </text>
    </comment>
    <comment ref="I25" authorId="0" shapeId="0" xr:uid="{58A9D156-BF09-4601-B6BC-921CB330697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505cases no labels</t>
        </r>
      </text>
    </comment>
    <comment ref="I28" authorId="0" shapeId="0" xr:uid="{C49DB5AE-DCEF-4144-A283-60EE75D519D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labls </t>
        </r>
      </text>
    </comment>
    <comment ref="I30" authorId="0" shapeId="0" xr:uid="{DDAB3FD6-0475-4702-9513-2F1E13E0F99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  <comment ref="I31" authorId="0" shapeId="0" xr:uid="{A6402256-ABD1-4C0F-8BF0-347DDA6D381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473 cases missing labels (no labels on plant)</t>
        </r>
      </text>
    </comment>
    <comment ref="I33" authorId="0" shapeId="0" xr:uid="{5BD882E8-11D1-4F00-9959-1908DEC11DF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12cases missing labels- were reworked</t>
        </r>
      </text>
    </comment>
    <comment ref="G35" authorId="1" shapeId="0" xr:uid="{66AB21DF-968D-4737-9351-972A5EAC364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4455</t>
        </r>
      </text>
    </comment>
    <comment ref="I37" authorId="0" shapeId="0" xr:uid="{85031F25-80DE-43B9-980F-73E12737316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4pallets on hold for low PU</t>
        </r>
      </text>
    </comment>
    <comment ref="I39" authorId="0" shapeId="0" xr:uid="{C8A447C0-D397-445E-AB48-F49D1ECFF48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12 cases missing labels- reworks already done</t>
        </r>
      </text>
    </comment>
    <comment ref="I40" authorId="0" shapeId="0" xr:uid="{CF4A1A77-34E2-48DA-AAD3-3A99FCE7559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221cases missing labels</t>
        </r>
      </text>
    </comment>
    <comment ref="O41" authorId="0" shapeId="0" xr:uid="{1BC691F0-295E-4F7C-B79B-5C79D1377C0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48FAB</t>
        </r>
      </text>
    </comment>
    <comment ref="I42" authorId="0" shapeId="0" xr:uid="{A7ECFD2C-4544-4A8C-8C4D-0C325181BF7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11cases missing labels</t>
        </r>
      </text>
    </comment>
    <comment ref="I43" authorId="0" shapeId="0" xr:uid="{DF369327-5919-4AC3-8508-1D3F31EF6E8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7cases missing labels</t>
        </r>
      </text>
    </comment>
    <comment ref="I44" authorId="0" shapeId="0" xr:uid="{4FC6B8C2-7C46-48FF-A73F-F6B751024B8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11cases missing labels</t>
        </r>
      </text>
    </comment>
    <comment ref="O44" authorId="0" shapeId="0" xr:uid="{2627BE7A-EA65-4B79-A67E-F537BE91334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72FAB</t>
        </r>
      </text>
    </comment>
    <comment ref="O46" authorId="0" shapeId="0" xr:uid="{A0301FDF-2F24-45B3-A2A7-194082C474D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24FAB</t>
        </r>
      </text>
    </comment>
    <comment ref="I48" authorId="0" shapeId="0" xr:uid="{A2E11775-3E04-4364-B303-24A4C014344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 case missing labels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I9" authorId="0" shapeId="0" xr:uid="{0B966C8D-C5AE-460A-9F3C-537B917BB10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14cases missing labels</t>
        </r>
      </text>
    </comment>
    <comment ref="O9" authorId="0" shapeId="0" xr:uid="{8A079C2D-1744-4688-A1F9-77FA24F2FD0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110FAB</t>
        </r>
      </text>
    </comment>
    <comment ref="O10" authorId="0" shapeId="0" xr:uid="{B72087A9-2C74-4E6D-989F-702B36FCCF8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60FAB</t>
        </r>
      </text>
    </comment>
    <comment ref="I11" authorId="0" shapeId="0" xr:uid="{49BCB8A2-9343-4930-BE0F-C08C53B42D0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221cases pakaged using damaged crates</t>
        </r>
      </text>
    </comment>
    <comment ref="I15" authorId="0" shapeId="0" xr:uid="{C6E8D72A-42F4-4348-B0AB-45D382A59DF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620 cases damaged crates</t>
        </r>
      </text>
    </comment>
    <comment ref="J19" authorId="0" shapeId="0" xr:uid="{E20EFBDC-21ED-46F0-98C2-999948D389A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28hls taken for Shandy Sorrel </t>
        </r>
      </text>
    </comment>
    <comment ref="J22" authorId="0" shapeId="0" xr:uid="{7C57F9AC-4319-4ADE-BAFD-D18DBAB571E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13hls taken for Shandy Ginger</t>
        </r>
      </text>
    </comment>
    <comment ref="G24" authorId="0" shapeId="0" xr:uid="{1BD13FF3-F8C3-4944-9028-A1A7678604F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1195</t>
        </r>
      </text>
    </comment>
    <comment ref="G25" authorId="0" shapeId="0" xr:uid="{F76052A0-95DD-4AAA-9A0C-891D53BA501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249</t>
        </r>
      </text>
    </comment>
    <comment ref="G27" authorId="0" shapeId="0" xr:uid="{ABDBA778-D851-4223-8B4B-A12C6E05893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2276</t>
        </r>
      </text>
    </comment>
    <comment ref="I27" authorId="0" shapeId="0" xr:uid="{37C754C2-85B0-4CDA-B477-5838658DB1F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 </t>
        </r>
      </text>
    </comment>
    <comment ref="G28" authorId="0" shapeId="0" xr:uid="{3FFF2580-454C-4D63-BB30-2B1ABC28744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2014</t>
        </r>
      </text>
    </comment>
    <comment ref="I28" authorId="0" shapeId="0" xr:uid="{D8D28AD1-0359-4CF8-B413-51C791031E3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  <comment ref="I29" authorId="0" shapeId="0" xr:uid="{4E7FDB93-D909-4D04-A5FC-934762886F2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flagging labels</t>
        </r>
      </text>
    </comment>
    <comment ref="J33" authorId="0" shapeId="0" xr:uid="{0053C05F-32A0-4D9D-BCFC-D9E0A479E78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Took back BBT 3 from bottling @ 30.2hls then topped up with 14hls </t>
        </r>
      </text>
    </comment>
    <comment ref="G39" authorId="0" shapeId="0" xr:uid="{7042F6B2-C195-49AA-A46D-C375539886C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3618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I8" authorId="0" shapeId="0" xr:uid="{52A1DA36-3E20-4CE0-A94E-E3E27686DA6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18pints</t>
        </r>
      </text>
    </comment>
    <comment ref="I11" authorId="0" shapeId="0" xr:uid="{CC02CEB0-A7E2-48D5-BE8D-C570A3BDA49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725 cases wrong neck labels</t>
        </r>
      </text>
    </comment>
    <comment ref="I23" authorId="0" shapeId="0" xr:uid="{C2E38754-A796-41A8-B186-30888887668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308cases on hold </t>
        </r>
      </text>
    </comment>
    <comment ref="G24" authorId="0" shapeId="0" xr:uid="{8CEDE857-3C21-4A4C-8A80-17A2C079D90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5350</t>
        </r>
      </text>
    </comment>
    <comment ref="I30" authorId="0" shapeId="0" xr:uid="{DAC86749-33D0-401D-9248-45FD48CA0AA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15cases missing labels </t>
        </r>
      </text>
    </comment>
    <comment ref="G31" authorId="0" shapeId="0" xr:uid="{8CD541DD-3FDD-4E1E-B228-4358E81891F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2541</t>
        </r>
      </text>
    </comment>
    <comment ref="G32" authorId="0" shapeId="0" xr:uid="{53F6ABB2-FFE5-4FE9-8852-398475D36DB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1198</t>
        </r>
      </text>
    </comment>
    <comment ref="J34" authorId="0" shapeId="0" xr:uid="{7465F16F-97C3-4131-8948-4D032C6F529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BBT5 was taken back at 15hls </t>
        </r>
      </text>
    </comment>
    <comment ref="I35" authorId="0" shapeId="0" xr:uid="{AE9F0747-5D52-4B81-8AEA-05444540927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15cases missing labels</t>
        </r>
      </text>
    </comment>
    <comment ref="J35" authorId="0" shapeId="0" xr:uid="{A318FD6A-4422-418F-B88C-EDB45FE7F32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2.4hls was pushed back into BBT5</t>
        </r>
      </text>
    </comment>
    <comment ref="G36" authorId="0" shapeId="0" xr:uid="{81707463-E84D-4CAE-A4BD-43D080A15BA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5693</t>
        </r>
      </text>
    </comment>
    <comment ref="G38" authorId="0" shapeId="0" xr:uid="{CEF835AE-0CC4-4FFF-88CB-5F262505315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1453</t>
        </r>
      </text>
    </comment>
    <comment ref="I38" authorId="0" shapeId="0" xr:uid="{9030E518-D087-491F-997B-095E433C0DB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2mins cases on hold for missing labels</t>
        </r>
      </text>
    </comment>
    <comment ref="G39" authorId="0" shapeId="0" xr:uid="{93E6B43E-4F08-439C-9D58-348C8C59451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2823</t>
        </r>
      </text>
    </comment>
    <comment ref="I39" authorId="0" shapeId="0" xr:uid="{63C26D50-EFE4-42BF-B140-EC0FD281DF5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23mins missing labels </t>
        </r>
      </text>
    </comment>
    <comment ref="G40" authorId="0" shapeId="0" xr:uid="{80C68072-DC36-489F-9C55-39821B65119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5803</t>
        </r>
      </text>
    </comment>
    <comment ref="I40" authorId="0" shapeId="0" xr:uid="{AFAABDC0-BD5D-4B1B-8E6C-F51EB9C4299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97cases missing labels</t>
        </r>
      </text>
    </comment>
    <comment ref="G41" authorId="0" shapeId="0" xr:uid="{09E64EA2-53A7-4B85-9303-4A419C849A6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2112</t>
        </r>
      </text>
    </comment>
    <comment ref="J41" authorId="0" shapeId="0" xr:uid="{91FF83F6-C398-4D92-A7BC-8C1447DD677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14+7hls taken for Shandy Sorrel (went into Svs 15 &amp; 16)</t>
        </r>
      </text>
    </comment>
    <comment ref="J42" authorId="0" shapeId="0" xr:uid="{61CDF783-AC5F-4239-AE9B-AA823BF7A9A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28hls taken for Shandy Lime &amp; Ginger</t>
        </r>
      </text>
    </comment>
    <comment ref="I45" authorId="0" shapeId="0" xr:uid="{F57366C1-4547-403F-98E5-A0D2855D023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30 cases missing date code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9" authorId="0" shapeId="0" xr:uid="{E1DB4527-73D2-4470-9A21-93AD56FA3E7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554</t>
        </r>
      </text>
    </comment>
    <comment ref="O10" authorId="0" shapeId="0" xr:uid="{5AEB712F-9C3C-4E84-91DD-C52DA88134D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15FAB</t>
        </r>
      </text>
    </comment>
    <comment ref="I13" authorId="0" shapeId="0" xr:uid="{BD8B37D0-203D-4C16-875D-DA5B99C8099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12cases missing date code</t>
        </r>
      </text>
    </comment>
    <comment ref="O13" authorId="0" shapeId="0" xr:uid="{7E897E54-4FC5-4304-ACF3-F656A2EDB7D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35FBB</t>
        </r>
      </text>
    </comment>
    <comment ref="I14" authorId="0" shapeId="0" xr:uid="{951E047C-2E7A-4C0A-BFA6-09BBEBF27E3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144cases damaged crates</t>
        </r>
      </text>
    </comment>
    <comment ref="I16" authorId="0" shapeId="0" xr:uid="{81613F26-EF82-4D6C-88F8-2A44D7D3F63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274cases damaged crates</t>
        </r>
      </text>
    </comment>
    <comment ref="I29" authorId="0" shapeId="0" xr:uid="{C114A8E9-5616-4445-A465-118FECC9FF6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2cases, 19pints on hold for missing labels</t>
        </r>
      </text>
    </comment>
    <comment ref="I30" authorId="0" shapeId="0" xr:uid="{0B854246-2264-474F-BE73-494BB5A51B0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2cases missing labels</t>
        </r>
      </text>
    </comment>
    <comment ref="I33" authorId="0" shapeId="0" xr:uid="{EBDF1E9B-D200-49FC-A6E6-42BB946300D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32cases midding date code</t>
        </r>
      </text>
    </comment>
    <comment ref="I34" authorId="0" shapeId="0" xr:uid="{83F178C4-C777-46FB-B94C-DBF01051A13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11cases missing labels</t>
        </r>
      </text>
    </comment>
    <comment ref="I38" authorId="0" shapeId="0" xr:uid="{3CFA37EC-9471-4F8B-8354-DE9E631DAB9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  <comment ref="I39" authorId="0" shapeId="0" xr:uid="{C9A2F734-49F3-437D-80DD-3F780FFE2B3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3mins missing labels (counted in stock)</t>
        </r>
      </text>
    </comment>
    <comment ref="I44" authorId="0" shapeId="0" xr:uid="{E0DF5D1E-47B4-4BA9-A893-A92E4DC5DD5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7cases missing labels</t>
        </r>
      </text>
    </comment>
    <comment ref="I45" authorId="0" shapeId="0" xr:uid="{E8D13790-19BC-4AFC-AFF8-3B407BB7298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20cases low fills + missing labels</t>
        </r>
      </text>
    </comment>
    <comment ref="I49" authorId="0" shapeId="0" xr:uid="{F5DD270A-32D3-4EEA-A590-7B23E7B12D4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3cases missing labels</t>
        </r>
      </text>
    </comment>
    <comment ref="G51" authorId="0" shapeId="0" xr:uid="{36C8DCD7-107B-4241-A1E4-CAEE1790F81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940</t>
        </r>
      </text>
    </comment>
    <comment ref="I52" authorId="0" shapeId="0" xr:uid="{5A063132-9FA3-4D08-BF2A-B826B97FD2A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30cases missing labels</t>
        </r>
      </text>
    </comment>
    <comment ref="G53" authorId="0" shapeId="0" xr:uid="{6472AF58-0279-4E31-B4C4-945334546E1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4552</t>
        </r>
      </text>
    </comment>
    <comment ref="O56" authorId="0" shapeId="0" xr:uid="{8C6CFB24-3E81-4CD0-B59E-0DCA31F56F0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50FAB</t>
        </r>
      </text>
    </comment>
    <comment ref="I59" authorId="0" shapeId="0" xr:uid="{B18F669A-D20D-40A9-9672-D7D2043107B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70cases damaged crates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Audlyn Andrews</author>
    <author>Kaylil Baptiste</author>
  </authors>
  <commentList>
    <comment ref="E5" authorId="0" shapeId="0" xr:uid="{687B67A8-19EC-4DF5-9D2F-EA77035D637F}">
      <text>
        <r>
          <rPr>
            <b/>
            <sz val="9"/>
            <color indexed="81"/>
            <rFont val="Tahoma"/>
            <family val="2"/>
          </rPr>
          <t>Audlyn Andrews:</t>
        </r>
        <r>
          <rPr>
            <sz val="9"/>
            <color indexed="81"/>
            <rFont val="Tahoma"/>
            <family val="2"/>
          </rPr>
          <t xml:space="preserve">
GBL line downtime Avail. Time </t>
        </r>
      </text>
    </comment>
    <comment ref="G8" authorId="1" shapeId="0" xr:uid="{71130E5E-37F2-4002-95AC-2A41A3805BC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2556</t>
        </r>
      </text>
    </comment>
    <comment ref="I9" authorId="1" shapeId="0" xr:uid="{37B87460-ED38-4BF3-BD40-43C608055E8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358cases missing date code</t>
        </r>
      </text>
    </comment>
    <comment ref="O16" authorId="1" shapeId="0" xr:uid="{8BBFCF22-B330-411E-AD2E-948F75970D0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15FAB</t>
        </r>
      </text>
    </comment>
    <comment ref="I17" authorId="1" shapeId="0" xr:uid="{09DB6518-2AFB-4357-B51C-C551C96BF39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731cases damaged crates</t>
        </r>
      </text>
    </comment>
    <comment ref="I20" authorId="1" shapeId="0" xr:uid="{4B79B198-D35C-4BC5-866E-5EBCA4C492A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damaged crates </t>
        </r>
      </text>
    </comment>
    <comment ref="O24" authorId="1" shapeId="0" xr:uid="{A98C389C-CB61-41F1-9C40-7359DFC4879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40FAB</t>
        </r>
      </text>
    </comment>
    <comment ref="G25" authorId="1" shapeId="0" xr:uid="{DF35A85E-7803-4327-AC4F-D78A0E7FB7E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1924</t>
        </r>
      </text>
    </comment>
    <comment ref="J28" authorId="1" shapeId="0" xr:uid="{CD9F6D1D-2D53-42BF-84D9-9D5C4F6DF9F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took back BBT2 from bottling @ 29hls</t>
        </r>
      </text>
    </comment>
    <comment ref="J35" authorId="1" shapeId="0" xr:uid="{1D985324-4041-4BEC-92AC-17554EC29B8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negative loss (4hls added)</t>
        </r>
      </text>
    </comment>
    <comment ref="G38" authorId="1" shapeId="0" xr:uid="{54A63578-F8EC-4086-9B1C-4ACD47252C6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3780</t>
        </r>
      </text>
    </comment>
    <comment ref="J39" authorId="1" shapeId="0" xr:uid="{768BBFAF-783C-4E03-B8C0-B53FE0971E3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BBT4 was taken back @16hls</t>
        </r>
      </text>
    </comment>
    <comment ref="I47" authorId="1" shapeId="0" xr:uid="{498D53EF-32BC-4AF9-99F9-CDF50916ACC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 ( reworks done and added to the stock </t>
        </r>
      </text>
    </comment>
    <comment ref="I48" authorId="1" shapeId="0" xr:uid="{BA2574DD-E206-4952-8717-3CE8171B348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I8" authorId="0" shapeId="0" xr:uid="{6AAB9370-D807-4A72-936D-5F346E9CB26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17cases 15 pints missing labels </t>
        </r>
      </text>
    </comment>
    <comment ref="J9" authorId="0" shapeId="0" xr:uid="{E3E2289D-A8C7-4E05-A85A-B818C11A72D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BBT2 taken back at 36hls</t>
        </r>
      </text>
    </comment>
    <comment ref="O9" authorId="0" shapeId="0" xr:uid="{B75BCD12-F0B2-4043-9DDC-DD8BC4708D5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40FAB</t>
        </r>
      </text>
    </comment>
    <comment ref="J10" authorId="0" shapeId="0" xr:uid="{51BCBF50-5D77-43CE-A123-086AFAA3878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BBT2 taken back @48hls</t>
        </r>
      </text>
    </comment>
    <comment ref="I12" authorId="0" shapeId="0" xr:uid="{C177C28E-6A6B-4BC5-BCEF-EC7285CB80E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179cases missing labels</t>
        </r>
      </text>
    </comment>
    <comment ref="I16" authorId="0" shapeId="0" xr:uid="{A02296FF-FCC6-40CA-946E-096D338AB1C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reworked </t>
        </r>
      </text>
    </comment>
    <comment ref="I17" authorId="0" shapeId="0" xr:uid="{512D355D-286E-480A-B60C-69711273EDA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damaged crates</t>
        </r>
      </text>
    </comment>
    <comment ref="I18" authorId="0" shapeId="0" xr:uid="{F8C79BDB-25BB-4508-844C-DA5EDEEDBE8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980 in damaged crates
19 nissing labels</t>
        </r>
      </text>
    </comment>
    <comment ref="I19" authorId="0" shapeId="0" xr:uid="{3C5E7A50-3FD2-4849-8C70-BF8133CCED1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damaged crates</t>
        </r>
      </text>
    </comment>
    <comment ref="J19" authorId="0" shapeId="0" xr:uid="{1B3912F6-C0A9-4481-B9B8-6E37C241D6C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5hls added to adjust negative bottling loss</t>
        </r>
      </text>
    </comment>
    <comment ref="G20" authorId="0" shapeId="0" xr:uid="{8F88C5D3-885D-40AA-B747-514E186A97D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5448</t>
        </r>
      </text>
    </comment>
    <comment ref="I20" authorId="0" shapeId="0" xr:uid="{0FE82695-C923-4C7D-82D0-89B7F76968D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 </t>
        </r>
      </text>
    </comment>
    <comment ref="I22" authorId="0" shapeId="0" xr:uid="{EE4CB5C7-9173-4F30-B1F7-01D91A99ED4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 </t>
        </r>
      </text>
    </comment>
    <comment ref="G24" authorId="0" shapeId="0" xr:uid="{3966F941-FF91-4A14-AEDD-E8BC148487AE}">
      <text>
        <r>
          <rPr>
            <b/>
            <sz val="9"/>
            <color indexed="81"/>
            <rFont val="Tahoma"/>
            <family val="2"/>
          </rPr>
          <t xml:space="preserve">Kaylil Baptiste:
</t>
        </r>
        <r>
          <rPr>
            <sz val="9"/>
            <color indexed="81"/>
            <rFont val="Tahoma"/>
            <family val="2"/>
          </rPr>
          <t>5050</t>
        </r>
      </text>
    </comment>
    <comment ref="I24" authorId="0" shapeId="0" xr:uid="{D221758D-D1A9-4839-BC63-77C0A678291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183cases possible low PU without labels
36cases possible low PU with  labels</t>
        </r>
      </text>
    </comment>
    <comment ref="G26" authorId="0" shapeId="0" xr:uid="{DC0ABD2A-3FFC-40B7-9479-55D901E2776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660</t>
        </r>
      </text>
    </comment>
    <comment ref="J27" authorId="0" shapeId="0" xr:uid="{1EF7D65B-986E-401D-9D87-84F2FA0AA9E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BBT5 taken back @22.3hls </t>
        </r>
      </text>
    </comment>
    <comment ref="I29" authorId="0" shapeId="0" xr:uid="{41F567B9-4890-4E3E-A766-9A6E9610753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 </t>
        </r>
      </text>
    </comment>
    <comment ref="J30" authorId="0" shapeId="0" xr:uid="{E9B810CF-0A57-49AA-AAE4-E5C1F3F4496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2hls added to adjust negative bottling loss</t>
        </r>
      </text>
    </comment>
    <comment ref="G31" authorId="0" shapeId="0" xr:uid="{C9D9C2F2-4EC4-4F32-80F0-ED735CC4693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410</t>
        </r>
      </text>
    </comment>
    <comment ref="I32" authorId="0" shapeId="0" xr:uid="{BFB623A9-EC79-4D25-B7CC-2A467A81A41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  <comment ref="O32" authorId="0" shapeId="0" xr:uid="{AF252C0E-93BD-41F8-BDAE-02662DF8F25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10FAB</t>
        </r>
      </text>
    </comment>
    <comment ref="J33" authorId="0" shapeId="0" xr:uid="{2FE0AB66-A932-4D36-AE47-BC8A2528002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14hls taken for Shandy Sorrel</t>
        </r>
      </text>
    </comment>
    <comment ref="O35" authorId="0" shapeId="0" xr:uid="{BAFE2EAA-00D3-4FE2-849D-40C48C65AD3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35FAB</t>
        </r>
      </text>
    </comment>
    <comment ref="G38" authorId="0" shapeId="0" xr:uid="{1BB6A417-6B2E-4B68-8565-94ADB953112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2741</t>
        </r>
      </text>
    </comment>
    <comment ref="I40" authorId="0" shapeId="0" xr:uid="{2FFDB331-7E87-41AF-B570-17876B53F65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  <comment ref="I44" authorId="0" shapeId="0" xr:uid="{4494B78A-906E-4AE9-B66E-BD1A98A0284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  <comment ref="G50" authorId="0" shapeId="0" xr:uid="{352F2CB1-1BFB-452C-92FD-621EF9A0183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1867</t>
        </r>
      </text>
    </comment>
  </commentList>
</comments>
</file>

<file path=xl/sharedStrings.xml><?xml version="1.0" encoding="utf-8"?>
<sst xmlns="http://schemas.openxmlformats.org/spreadsheetml/2006/main" count="1008" uniqueCount="167">
  <si>
    <t>GRENADA  BREWERIES  LIMITED</t>
  </si>
  <si>
    <t>PRODUCTION DEPARTMENT</t>
  </si>
  <si>
    <t xml:space="preserve">DATE </t>
  </si>
  <si>
    <t>DAY</t>
  </si>
  <si>
    <t>PRODUCT</t>
  </si>
  <si>
    <t>CASES</t>
  </si>
  <si>
    <t>BOTTLED</t>
  </si>
  <si>
    <t>EFFICIENCY</t>
  </si>
  <si>
    <t>GROSS</t>
  </si>
  <si>
    <t>AVERAGE</t>
  </si>
  <si>
    <t>CASE/HR</t>
  </si>
  <si>
    <t>TIME</t>
  </si>
  <si>
    <t>FILL</t>
  </si>
  <si>
    <t>Line Rated</t>
  </si>
  <si>
    <t>Efficiency</t>
  </si>
  <si>
    <t>Mins</t>
  </si>
  <si>
    <t>%</t>
  </si>
  <si>
    <t>HLS</t>
  </si>
  <si>
    <t>BBT</t>
  </si>
  <si>
    <t>LOSS</t>
  </si>
  <si>
    <t>YTD</t>
  </si>
  <si>
    <t>Ave Case per hour</t>
  </si>
  <si>
    <t>Diff BBT Hls vs Hls in Package</t>
  </si>
  <si>
    <t>KEGS</t>
  </si>
  <si>
    <t>DOWNTIME (Mins)</t>
  </si>
  <si>
    <t>REJECTS (Cases)</t>
  </si>
  <si>
    <t>Cases on Hold</t>
  </si>
  <si>
    <t>STAG</t>
  </si>
  <si>
    <t>ex</t>
  </si>
  <si>
    <t>no shields</t>
  </si>
  <si>
    <t>CARIB</t>
  </si>
  <si>
    <t>TOTAL CASES</t>
  </si>
  <si>
    <t>Stag</t>
  </si>
  <si>
    <t>Carib</t>
  </si>
  <si>
    <t>Bad Dog</t>
  </si>
  <si>
    <t>Total Kegs</t>
  </si>
  <si>
    <t xml:space="preserve">Produced </t>
  </si>
  <si>
    <t>AVAIL.</t>
  </si>
  <si>
    <t xml:space="preserve"> </t>
  </si>
  <si>
    <t>YTD CASES</t>
  </si>
  <si>
    <t>With Kegs</t>
  </si>
  <si>
    <t>With out Kegs</t>
  </si>
  <si>
    <t>Smalt</t>
  </si>
  <si>
    <t>Guinn</t>
  </si>
  <si>
    <t xml:space="preserve">CARIB AMBER </t>
  </si>
  <si>
    <t>GUINNESS</t>
  </si>
  <si>
    <t xml:space="preserve">TING ORIGINAL </t>
  </si>
  <si>
    <t>STAG LOCAL</t>
  </si>
  <si>
    <t>Target- 430</t>
  </si>
  <si>
    <t>CARIB AMBER</t>
  </si>
  <si>
    <t>SHANDY SORREL EXPORT</t>
  </si>
  <si>
    <t>SHANDY SORREL LOCAL</t>
  </si>
  <si>
    <t>VITAMALT GINGER</t>
  </si>
  <si>
    <t xml:space="preserve">VITAMALT GINGER </t>
  </si>
  <si>
    <t xml:space="preserve">GUINNESS </t>
  </si>
  <si>
    <t>Guinness</t>
  </si>
  <si>
    <t>SHANDY GINGER EXPORT</t>
  </si>
  <si>
    <t>GINSENG ORIGINAL</t>
  </si>
  <si>
    <t>CARIB FLINT LOCAL</t>
  </si>
  <si>
    <t>VITAMALT CLASSIC</t>
  </si>
  <si>
    <t>GINSENG UP ORIGINAL</t>
  </si>
  <si>
    <t xml:space="preserve">HURRICANE REEF APA </t>
  </si>
  <si>
    <t>STAR MALT</t>
  </si>
  <si>
    <t>CLUB SODA</t>
  </si>
  <si>
    <t>MACKESON</t>
  </si>
  <si>
    <t xml:space="preserve">STAR MALT </t>
  </si>
  <si>
    <t>ginseng original</t>
  </si>
  <si>
    <t>shandy lime</t>
  </si>
  <si>
    <t>CARIBE PEARSECCO</t>
  </si>
  <si>
    <t>HURRICANE REEF PILS</t>
  </si>
  <si>
    <t>SHANDY GINGER</t>
  </si>
  <si>
    <t>CARIBE PEARSECO</t>
  </si>
  <si>
    <t>CARIBE ROSE</t>
  </si>
  <si>
    <t>SHANDY SORREL</t>
  </si>
  <si>
    <t>VITA MALT CLASSIC</t>
  </si>
  <si>
    <t>J COOL CREAM SODA</t>
  </si>
  <si>
    <t>J COOL KOLA CHAMPAYNE</t>
  </si>
  <si>
    <t>J COOL CLUB SODA</t>
  </si>
  <si>
    <t>J COOL GRAPE</t>
  </si>
  <si>
    <t>JUICY COOL BANANA</t>
  </si>
  <si>
    <t>CREAM SODA</t>
  </si>
  <si>
    <t>JUICY COOL GINGER</t>
  </si>
  <si>
    <t>JUICY COOL GRAPE</t>
  </si>
  <si>
    <t>KOLA CHAMPAGNE</t>
  </si>
  <si>
    <t>GINSENG UP APPLE</t>
  </si>
  <si>
    <t xml:space="preserve">VITA MALT </t>
  </si>
  <si>
    <t>JCOOL SORREL</t>
  </si>
  <si>
    <t>VITA MALT GINGER</t>
  </si>
  <si>
    <t>TING ORIGINAL</t>
  </si>
  <si>
    <t>SHANDY LIME (LOCAL)</t>
  </si>
  <si>
    <t>SHANDY LIME ( EXPORT)</t>
  </si>
  <si>
    <t>SHANDY GINGER ( LOCAL)</t>
  </si>
  <si>
    <t>SHANDY GINGER (EXPORT)</t>
  </si>
  <si>
    <t>SHANDY SORREL ( LOCAL)</t>
  </si>
  <si>
    <t>SHANDY SORREL ( EXPORT)</t>
  </si>
  <si>
    <t>SHANDY SORREL (LOCAL)</t>
  </si>
  <si>
    <t>VITA MALT (CLASSIC)</t>
  </si>
  <si>
    <t>VITA MALT (GINGER)</t>
  </si>
  <si>
    <t>CARIB EXPORT</t>
  </si>
  <si>
    <t>CARIB FLINT EXPORT</t>
  </si>
  <si>
    <t xml:space="preserve">GINSENG ORIGINAL </t>
  </si>
  <si>
    <t>SHANDY LIME (LOC)</t>
  </si>
  <si>
    <t>SHANDY GINGER (LOCAL)</t>
  </si>
  <si>
    <t>HURRICANE REEF PILS EXPORT &amp; LOCAL</t>
  </si>
  <si>
    <t>PINK TING</t>
  </si>
  <si>
    <t xml:space="preserve">Vita Malt ( Classic ) </t>
  </si>
  <si>
    <t>GINSENG APPLE</t>
  </si>
  <si>
    <t xml:space="preserve">HURRICANE REEF IPA </t>
  </si>
  <si>
    <t>Breakdown( Washer)</t>
  </si>
  <si>
    <t>VITA MALT</t>
  </si>
  <si>
    <t>SHANDY GINGER LOCAL</t>
  </si>
  <si>
    <t>CARIBE ROSE LOCAL</t>
  </si>
  <si>
    <t>WASHER BREAKDOWN</t>
  </si>
  <si>
    <t xml:space="preserve">  </t>
  </si>
  <si>
    <t>CARIB FLINT ( EXPORT )</t>
  </si>
  <si>
    <t>CARIB FLINT( LOCAL )</t>
  </si>
  <si>
    <t>CARIB FLINT ( LOCAL )</t>
  </si>
  <si>
    <t>CARIB FLINT (LOCAL)</t>
  </si>
  <si>
    <t xml:space="preserve">WASHER BREAKDOWN </t>
  </si>
  <si>
    <t>CARIB FLINT (EXPORT)</t>
  </si>
  <si>
    <t>SHANDY LIME ( LOCAL)</t>
  </si>
  <si>
    <t>CARIB FLINT ( EXPORT)</t>
  </si>
  <si>
    <t xml:space="preserve">STAG </t>
  </si>
  <si>
    <t>J.COOL ( KOLA CHAMPAGNE) EXPORT</t>
  </si>
  <si>
    <t>J COOL ( SORREL) EXPORT</t>
  </si>
  <si>
    <t>J.COOL ( CREAM SODA) EXPORT</t>
  </si>
  <si>
    <t>J.COOL ( GINGER) EXPORT</t>
  </si>
  <si>
    <t>J.COOL (GRAPE) EXPORT</t>
  </si>
  <si>
    <t xml:space="preserve">    </t>
  </si>
  <si>
    <t>VITA MALT ( CLASSIC)</t>
  </si>
  <si>
    <t>GINSENG UP ORIGNAL</t>
  </si>
  <si>
    <t>Added</t>
  </si>
  <si>
    <t>CARIB FLINT EXPORT (DT)</t>
  </si>
  <si>
    <t>CARIB FLINT EXPORT (NR)</t>
  </si>
  <si>
    <t xml:space="preserve">SHANDY  LIME ( LOCAL ) </t>
  </si>
  <si>
    <t>SHANDY GINGER ( LOCAL )</t>
  </si>
  <si>
    <t>CARIB FLINT EXPORT ( NR )</t>
  </si>
  <si>
    <t>CARIB FLINT EXPORT ( DT )</t>
  </si>
  <si>
    <t>CIDER ROSE' ( EXPORT)</t>
  </si>
  <si>
    <t>PEARSECO (EXPORT)</t>
  </si>
  <si>
    <t>CARIB FLINT</t>
  </si>
  <si>
    <t>CARIB AMBER (SHORT)</t>
  </si>
  <si>
    <t xml:space="preserve">STAG LOCAL </t>
  </si>
  <si>
    <t xml:space="preserve">GLUE </t>
  </si>
  <si>
    <t>USAGE</t>
  </si>
  <si>
    <t>`</t>
  </si>
  <si>
    <t>Case Per Hr- Old</t>
  </si>
  <si>
    <t>May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</si>
  <si>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</si>
  <si>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</si>
  <si>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</si>
  <si>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</si>
  <si>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</si>
  <si>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</si>
  <si>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</si>
  <si>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</si>
  <si>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</si>
  <si>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</si>
  <si>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</si>
  <si>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New MTD CPH</t>
  </si>
  <si>
    <t xml:space="preserve">New YTD CPH </t>
  </si>
  <si>
    <t>Old MTD CPH</t>
  </si>
  <si>
    <t xml:space="preserve">Old YTD CPH </t>
  </si>
  <si>
    <t xml:space="preserve">Available Time </t>
  </si>
  <si>
    <t xml:space="preserve">Fill Mins </t>
  </si>
  <si>
    <t>New Vs Old Diff MTD</t>
  </si>
  <si>
    <t>New Vs Old Diff 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</si>
</sst>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mmmm\ yyyy;@"/>
    <numFmt numFmtId="165" formatCode="0.0"/>
    <numFmt numFmtId="166" formatCode="_(* #,##0_);_(* \(#,##0\);_(* &quot;-&quot;??_);_(@_)"/>
  </numFmts>
  <fonts count="46">
    <font>
      <sz val="10"/>
      <name val="Arial"/>
    </font>
    <font>
      <sz val="11"/>
      <color theme="1"/>
      <name val="Calibri"/>
      <family val="2"/>
      <scheme val="minor"/>
    </font>
    <font>
      <b/>
      <sz val="16"/>
      <name val="Bradley Hand ITC"/>
      <family val="4"/>
    </font>
    <font>
      <b/>
      <sz val="12"/>
      <name val="Garamond"/>
      <family val="1"/>
    </font>
    <font>
      <b/>
      <u/>
      <sz val="20"/>
      <color indexed="12"/>
      <name val="Castellar"/>
      <family val="1"/>
    </font>
    <font>
      <sz val="12"/>
      <name val="Script MT Bold"/>
      <family val="4"/>
    </font>
    <font>
      <b/>
      <sz val="16"/>
      <name val="Copperplate Gothic Bold"/>
      <family val="2"/>
    </font>
    <font>
      <b/>
      <sz val="12"/>
      <name val="Copperplate Gothic Light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Garamond"/>
      <family val="1"/>
    </font>
    <font>
      <b/>
      <sz val="12"/>
      <name val="Arial"/>
      <family val="2"/>
    </font>
    <font>
      <b/>
      <sz val="11"/>
      <name val="Garamond"/>
      <family val="1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Garamond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Adobe Song Std L"/>
      <family val="1"/>
      <charset val="128"/>
    </font>
    <font>
      <b/>
      <sz val="12"/>
      <color theme="1"/>
      <name val="Garamond"/>
      <family val="1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color theme="1"/>
      <name val="Copperplate Gothic Light"/>
      <family val="2"/>
    </font>
    <font>
      <b/>
      <sz val="12"/>
      <name val="Script MT Bold"/>
      <family val="4"/>
    </font>
    <font>
      <b/>
      <u/>
      <sz val="14"/>
      <color indexed="12"/>
      <name val="Castellar"/>
      <family val="1"/>
    </font>
    <font>
      <sz val="14"/>
      <name val="Arial"/>
      <family val="2"/>
    </font>
    <font>
      <b/>
      <sz val="14"/>
      <name val="Bradley Hand ITC"/>
      <family val="4"/>
    </font>
    <font>
      <b/>
      <sz val="14"/>
      <name val="Copperplate Gothic Bold"/>
      <family val="2"/>
    </font>
    <font>
      <b/>
      <sz val="14"/>
      <name val="Garamond"/>
      <family val="1"/>
    </font>
    <font>
      <sz val="14"/>
      <name val="Script MT Bold"/>
      <family val="4"/>
    </font>
    <font>
      <b/>
      <sz val="14"/>
      <name val="Copperplate Gothic Light"/>
      <family val="2"/>
    </font>
    <font>
      <b/>
      <i/>
      <sz val="14"/>
      <name val="Garamond"/>
      <family val="1"/>
    </font>
    <font>
      <sz val="14"/>
      <name val="Garamond"/>
      <family val="1"/>
    </font>
    <font>
      <b/>
      <i/>
      <sz val="11"/>
      <name val="Arial"/>
      <family val="2"/>
    </font>
    <font>
      <b/>
      <sz val="14"/>
      <color theme="1"/>
      <name val="Garamond"/>
      <family val="1"/>
    </font>
    <font>
      <sz val="14"/>
      <color theme="1"/>
      <name val="Arial"/>
      <family val="2"/>
    </font>
    <font>
      <b/>
      <sz val="18"/>
      <color rgb="FFFF0000"/>
      <name val="Arial"/>
      <family val="2"/>
    </font>
    <font>
      <b/>
      <sz val="14"/>
      <color rgb="FFFF0000"/>
      <name val="Garamond"/>
      <family val="1"/>
    </font>
    <font>
      <b/>
      <sz val="12"/>
      <color rgb="FFFF0000"/>
      <name val="Garamond"/>
      <family val="1"/>
    </font>
    <font>
      <sz val="12"/>
      <name val="Copperplate Gothic Bold"/>
      <family val="2"/>
    </font>
    <font>
      <b/>
      <sz val="11"/>
      <color rgb="FF000000"/>
      <name val="Garamond"/>
      <family val="1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b/>
      <i/>
      <sz val="14"/>
      <color rgb="FFFF0000"/>
      <name val="Garamond"/>
      <family val="1"/>
    </font>
    <font>
      <sz val="8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</fills>
  <borders count="28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22"/>
      </top>
      <bottom style="hair">
        <color indexed="22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hair">
        <color indexed="22"/>
      </top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22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407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2" fontId="0" fillId="0" borderId="0" xfId="0" applyNumberFormat="1" applyAlignment="1">
      <alignment horizontal="center"/>
    </xf>
    <xf numFmtId="0" fontId="3" fillId="2" borderId="3" xfId="0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0" fillId="0" borderId="3" xfId="0" applyBorder="1"/>
    <xf numFmtId="3" fontId="3" fillId="0" borderId="3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0" borderId="0" xfId="0" applyAlignment="1">
      <alignment horizontal="left"/>
    </xf>
    <xf numFmtId="2" fontId="3" fillId="0" borderId="3" xfId="0" applyNumberFormat="1" applyFont="1" applyBorder="1" applyAlignment="1">
      <alignment vertical="center"/>
    </xf>
    <xf numFmtId="2" fontId="3" fillId="0" borderId="7" xfId="0" applyNumberFormat="1" applyFont="1" applyBorder="1" applyAlignment="1">
      <alignment vertical="center"/>
    </xf>
    <xf numFmtId="1" fontId="3" fillId="0" borderId="7" xfId="0" applyNumberFormat="1" applyFont="1" applyBorder="1" applyAlignment="1">
      <alignment vertical="center"/>
    </xf>
    <xf numFmtId="0" fontId="3" fillId="0" borderId="3" xfId="0" applyFont="1" applyBorder="1" applyAlignment="1">
      <alignment horizontal="center"/>
    </xf>
    <xf numFmtId="1" fontId="15" fillId="0" borderId="6" xfId="0" applyNumberFormat="1" applyFont="1" applyBorder="1" applyAlignment="1">
      <alignment horizontal="center" vertical="center"/>
    </xf>
    <xf numFmtId="1" fontId="14" fillId="0" borderId="0" xfId="0" applyNumberFormat="1" applyFont="1"/>
    <xf numFmtId="1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2" fontId="3" fillId="7" borderId="10" xfId="0" applyNumberFormat="1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2" fontId="18" fillId="0" borderId="0" xfId="0" applyNumberFormat="1" applyFont="1" applyAlignment="1">
      <alignment horizontal="center"/>
    </xf>
    <xf numFmtId="2" fontId="3" fillId="10" borderId="0" xfId="0" applyNumberFormat="1" applyFont="1" applyFill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vertical="center"/>
    </xf>
    <xf numFmtId="2" fontId="3" fillId="0" borderId="12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/>
    </xf>
    <xf numFmtId="16" fontId="5" fillId="3" borderId="4" xfId="0" applyNumberFormat="1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3" fillId="0" borderId="10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1" fontId="3" fillId="7" borderId="10" xfId="0" applyNumberFormat="1" applyFont="1" applyFill="1" applyBorder="1" applyAlignment="1">
      <alignment horizontal="center" vertical="center"/>
    </xf>
    <xf numFmtId="2" fontId="3" fillId="5" borderId="6" xfId="0" applyNumberFormat="1" applyFont="1" applyFill="1" applyBorder="1" applyAlignment="1">
      <alignment horizontal="center"/>
    </xf>
    <xf numFmtId="1" fontId="3" fillId="5" borderId="6" xfId="0" applyNumberFormat="1" applyFont="1" applyFill="1" applyBorder="1" applyAlignment="1">
      <alignment horizontal="center" vertical="center"/>
    </xf>
    <xf numFmtId="1" fontId="3" fillId="11" borderId="0" xfId="0" applyNumberFormat="1" applyFont="1" applyFill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/>
    </xf>
    <xf numFmtId="3" fontId="3" fillId="5" borderId="6" xfId="0" applyNumberFormat="1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1" fontId="3" fillId="0" borderId="11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43" fontId="22" fillId="0" borderId="0" xfId="4" applyFont="1" applyFill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66" fontId="11" fillId="8" borderId="0" xfId="4" applyNumberFormat="1" applyFont="1" applyFill="1" applyAlignment="1">
      <alignment horizontal="center"/>
    </xf>
    <xf numFmtId="0" fontId="20" fillId="13" borderId="0" xfId="0" applyFont="1" applyFill="1" applyAlignment="1">
      <alignment horizontal="center"/>
    </xf>
    <xf numFmtId="2" fontId="3" fillId="11" borderId="0" xfId="0" applyNumberFormat="1" applyFont="1" applyFill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/>
    </xf>
    <xf numFmtId="16" fontId="5" fillId="0" borderId="4" xfId="0" applyNumberFormat="1" applyFont="1" applyBorder="1" applyAlignment="1">
      <alignment horizontal="center" vertical="center"/>
    </xf>
    <xf numFmtId="0" fontId="26" fillId="0" borderId="0" xfId="0" applyFont="1"/>
    <xf numFmtId="0" fontId="29" fillId="2" borderId="1" xfId="0" applyFont="1" applyFill="1" applyBorder="1" applyAlignment="1">
      <alignment horizontal="center"/>
    </xf>
    <xf numFmtId="0" fontId="29" fillId="2" borderId="1" xfId="0" applyFont="1" applyFill="1" applyBorder="1" applyAlignment="1">
      <alignment horizontal="left"/>
    </xf>
    <xf numFmtId="0" fontId="29" fillId="2" borderId="1" xfId="0" applyFont="1" applyFill="1" applyBorder="1" applyAlignment="1">
      <alignment horizontal="center" vertical="center"/>
    </xf>
    <xf numFmtId="1" fontId="29" fillId="2" borderId="1" xfId="0" applyNumberFormat="1" applyFont="1" applyFill="1" applyBorder="1" applyAlignment="1">
      <alignment horizontal="center"/>
    </xf>
    <xf numFmtId="0" fontId="29" fillId="2" borderId="3" xfId="0" applyFont="1" applyFill="1" applyBorder="1" applyAlignment="1">
      <alignment horizontal="center"/>
    </xf>
    <xf numFmtId="0" fontId="29" fillId="2" borderId="3" xfId="0" applyFont="1" applyFill="1" applyBorder="1" applyAlignment="1">
      <alignment horizontal="left"/>
    </xf>
    <xf numFmtId="0" fontId="29" fillId="2" borderId="3" xfId="0" applyFont="1" applyFill="1" applyBorder="1" applyAlignment="1">
      <alignment horizontal="center" vertical="center"/>
    </xf>
    <xf numFmtId="1" fontId="29" fillId="2" borderId="3" xfId="0" applyNumberFormat="1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left"/>
    </xf>
    <xf numFmtId="0" fontId="29" fillId="2" borderId="5" xfId="0" applyFont="1" applyFill="1" applyBorder="1" applyAlignment="1">
      <alignment horizontal="center" vertical="center"/>
    </xf>
    <xf numFmtId="1" fontId="29" fillId="2" borderId="5" xfId="0" applyNumberFormat="1" applyFont="1" applyFill="1" applyBorder="1" applyAlignment="1">
      <alignment horizontal="center"/>
    </xf>
    <xf numFmtId="0" fontId="30" fillId="3" borderId="4" xfId="0" applyFont="1" applyFill="1" applyBorder="1" applyAlignment="1">
      <alignment horizontal="center" vertical="center"/>
    </xf>
    <xf numFmtId="0" fontId="29" fillId="9" borderId="13" xfId="0" applyFont="1" applyFill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2" fontId="29" fillId="0" borderId="3" xfId="0" applyNumberFormat="1" applyFont="1" applyBorder="1" applyAlignment="1">
      <alignment horizontal="center" vertical="center"/>
    </xf>
    <xf numFmtId="1" fontId="29" fillId="0" borderId="3" xfId="0" applyNumberFormat="1" applyFont="1" applyBorder="1" applyAlignment="1">
      <alignment horizontal="center" vertical="center"/>
    </xf>
    <xf numFmtId="2" fontId="29" fillId="0" borderId="12" xfId="0" applyNumberFormat="1" applyFont="1" applyBorder="1" applyAlignment="1">
      <alignment horizontal="center" vertical="center"/>
    </xf>
    <xf numFmtId="0" fontId="26" fillId="0" borderId="3" xfId="0" applyFont="1" applyBorder="1"/>
    <xf numFmtId="1" fontId="26" fillId="0" borderId="0" xfId="0" applyNumberFormat="1" applyFont="1"/>
    <xf numFmtId="16" fontId="30" fillId="0" borderId="4" xfId="0" applyNumberFormat="1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1" fillId="0" borderId="3" xfId="0" applyFont="1" applyBorder="1" applyAlignment="1">
      <alignment horizontal="left"/>
    </xf>
    <xf numFmtId="1" fontId="22" fillId="0" borderId="0" xfId="0" applyNumberFormat="1" applyFont="1"/>
    <xf numFmtId="2" fontId="26" fillId="0" borderId="0" xfId="0" applyNumberFormat="1" applyFont="1"/>
    <xf numFmtId="0" fontId="30" fillId="3" borderId="6" xfId="0" applyFont="1" applyFill="1" applyBorder="1" applyAlignment="1">
      <alignment horizontal="center" vertic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29" fillId="0" borderId="6" xfId="0" applyFont="1" applyBorder="1" applyAlignment="1">
      <alignment horizontal="center" vertical="center"/>
    </xf>
    <xf numFmtId="2" fontId="29" fillId="0" borderId="6" xfId="0" applyNumberFormat="1" applyFont="1" applyBorder="1" applyAlignment="1">
      <alignment horizontal="center"/>
    </xf>
    <xf numFmtId="1" fontId="29" fillId="0" borderId="6" xfId="0" applyNumberFormat="1" applyFont="1" applyBorder="1" applyAlignment="1">
      <alignment horizontal="center"/>
    </xf>
    <xf numFmtId="2" fontId="29" fillId="0" borderId="6" xfId="0" applyNumberFormat="1" applyFont="1" applyBorder="1" applyAlignment="1">
      <alignment horizontal="center" vertical="center"/>
    </xf>
    <xf numFmtId="1" fontId="29" fillId="0" borderId="6" xfId="0" applyNumberFormat="1" applyFont="1" applyBorder="1" applyAlignment="1">
      <alignment horizontal="center" vertical="center"/>
    </xf>
    <xf numFmtId="1" fontId="32" fillId="0" borderId="6" xfId="0" applyNumberFormat="1" applyFont="1" applyBorder="1" applyAlignment="1">
      <alignment horizontal="center" vertical="center"/>
    </xf>
    <xf numFmtId="10" fontId="29" fillId="0" borderId="6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33" fillId="0" borderId="0" xfId="0" applyFont="1" applyAlignment="1">
      <alignment horizontal="center" vertical="center"/>
    </xf>
    <xf numFmtId="2" fontId="26" fillId="0" borderId="0" xfId="0" applyNumberFormat="1" applyFont="1" applyAlignment="1">
      <alignment horizontal="center"/>
    </xf>
    <xf numFmtId="2" fontId="29" fillId="0" borderId="0" xfId="0" applyNumberFormat="1" applyFont="1" applyAlignment="1">
      <alignment horizontal="center" vertical="center"/>
    </xf>
    <xf numFmtId="2" fontId="29" fillId="6" borderId="0" xfId="0" applyNumberFormat="1" applyFont="1" applyFill="1" applyAlignment="1">
      <alignment horizontal="center" vertical="center"/>
    </xf>
    <xf numFmtId="2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/>
    </xf>
    <xf numFmtId="2" fontId="29" fillId="0" borderId="10" xfId="0" applyNumberFormat="1" applyFont="1" applyBorder="1" applyAlignment="1">
      <alignment horizontal="center" vertical="center"/>
    </xf>
    <xf numFmtId="1" fontId="29" fillId="0" borderId="10" xfId="0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2" fontId="29" fillId="7" borderId="10" xfId="0" applyNumberFormat="1" applyFont="1" applyFill="1" applyBorder="1" applyAlignment="1">
      <alignment horizontal="center" vertical="center"/>
    </xf>
    <xf numFmtId="0" fontId="29" fillId="7" borderId="10" xfId="0" applyFont="1" applyFill="1" applyBorder="1" applyAlignment="1">
      <alignment horizontal="center" vertical="center"/>
    </xf>
    <xf numFmtId="16" fontId="30" fillId="0" borderId="2" xfId="0" applyNumberFormat="1" applyFont="1" applyBorder="1" applyAlignment="1">
      <alignment horizontal="center" vertical="center"/>
    </xf>
    <xf numFmtId="0" fontId="13" fillId="0" borderId="0" xfId="0" applyFont="1"/>
    <xf numFmtId="0" fontId="3" fillId="2" borderId="15" xfId="0" applyFont="1" applyFill="1" applyBorder="1" applyAlignment="1">
      <alignment horizontal="center"/>
    </xf>
    <xf numFmtId="0" fontId="0" fillId="14" borderId="0" xfId="0" applyFill="1"/>
    <xf numFmtId="3" fontId="3" fillId="0" borderId="6" xfId="0" applyNumberFormat="1" applyFont="1" applyBorder="1" applyAlignment="1">
      <alignment horizontal="center" vertical="center"/>
    </xf>
    <xf numFmtId="1" fontId="3" fillId="0" borderId="17" xfId="0" applyNumberFormat="1" applyFont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4" fillId="5" borderId="0" xfId="0" applyFont="1" applyFill="1" applyAlignment="1">
      <alignment horizontal="center"/>
    </xf>
    <xf numFmtId="0" fontId="0" fillId="12" borderId="0" xfId="0" applyFill="1"/>
    <xf numFmtId="0" fontId="0" fillId="15" borderId="0" xfId="0" applyFill="1"/>
    <xf numFmtId="2" fontId="3" fillId="0" borderId="7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left"/>
    </xf>
    <xf numFmtId="0" fontId="3" fillId="0" borderId="17" xfId="0" applyFont="1" applyBorder="1" applyAlignment="1">
      <alignment horizontal="center" vertical="center"/>
    </xf>
    <xf numFmtId="16" fontId="5" fillId="3" borderId="2" xfId="0" applyNumberFormat="1" applyFont="1" applyFill="1" applyBorder="1" applyAlignment="1">
      <alignment horizontal="center" vertical="center"/>
    </xf>
    <xf numFmtId="16" fontId="5" fillId="3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66" fontId="11" fillId="8" borderId="0" xfId="4" applyNumberFormat="1" applyFont="1" applyFill="1" applyAlignment="1"/>
    <xf numFmtId="0" fontId="3" fillId="2" borderId="1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16" fontId="5" fillId="0" borderId="4" xfId="0" applyNumberFormat="1" applyFont="1" applyBorder="1" applyAlignment="1">
      <alignment horizontal="left" vertical="center"/>
    </xf>
    <xf numFmtId="16" fontId="5" fillId="0" borderId="3" xfId="0" applyNumberFormat="1" applyFont="1" applyBorder="1" applyAlignment="1">
      <alignment horizontal="left" vertical="center"/>
    </xf>
    <xf numFmtId="0" fontId="24" fillId="0" borderId="6" xfId="0" applyFont="1" applyBorder="1" applyAlignment="1">
      <alignment horizontal="left" vertical="center"/>
    </xf>
    <xf numFmtId="2" fontId="3" fillId="10" borderId="10" xfId="0" applyNumberFormat="1" applyFont="1" applyFill="1" applyBorder="1" applyAlignment="1">
      <alignment horizontal="center" vertical="center"/>
    </xf>
    <xf numFmtId="1" fontId="19" fillId="0" borderId="3" xfId="0" applyNumberFormat="1" applyFont="1" applyBorder="1" applyAlignment="1">
      <alignment horizontal="center" vertical="center"/>
    </xf>
    <xf numFmtId="2" fontId="35" fillId="0" borderId="3" xfId="0" applyNumberFormat="1" applyFont="1" applyBorder="1" applyAlignment="1">
      <alignment horizontal="center" vertical="center"/>
    </xf>
    <xf numFmtId="2" fontId="19" fillId="0" borderId="3" xfId="0" applyNumberFormat="1" applyFont="1" applyBorder="1" applyAlignment="1">
      <alignment horizontal="center" vertical="center"/>
    </xf>
    <xf numFmtId="1" fontId="19" fillId="0" borderId="3" xfId="0" applyNumberFormat="1" applyFont="1" applyBorder="1" applyAlignment="1">
      <alignment horizontal="center"/>
    </xf>
    <xf numFmtId="3" fontId="29" fillId="11" borderId="6" xfId="0" applyNumberFormat="1" applyFont="1" applyFill="1" applyBorder="1" applyAlignment="1">
      <alignment horizontal="center"/>
    </xf>
    <xf numFmtId="165" fontId="26" fillId="0" borderId="0" xfId="0" applyNumberFormat="1" applyFont="1"/>
    <xf numFmtId="0" fontId="3" fillId="9" borderId="10" xfId="0" applyFont="1" applyFill="1" applyBorder="1" applyAlignment="1">
      <alignment vertical="center"/>
    </xf>
    <xf numFmtId="3" fontId="3" fillId="17" borderId="6" xfId="0" applyNumberFormat="1" applyFont="1" applyFill="1" applyBorder="1" applyAlignment="1">
      <alignment horizontal="center"/>
    </xf>
    <xf numFmtId="1" fontId="3" fillId="17" borderId="6" xfId="0" applyNumberFormat="1" applyFont="1" applyFill="1" applyBorder="1" applyAlignment="1">
      <alignment horizontal="center"/>
    </xf>
    <xf numFmtId="2" fontId="3" fillId="18" borderId="0" xfId="0" applyNumberFormat="1" applyFont="1" applyFill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6" fillId="0" borderId="3" xfId="0" applyFont="1" applyBorder="1"/>
    <xf numFmtId="16" fontId="5" fillId="0" borderId="4" xfId="0" applyNumberFormat="1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16" fontId="5" fillId="0" borderId="8" xfId="0" applyNumberFormat="1" applyFont="1" applyBorder="1" applyAlignment="1">
      <alignment vertical="center"/>
    </xf>
    <xf numFmtId="2" fontId="37" fillId="0" borderId="0" xfId="0" applyNumberFormat="1" applyFont="1" applyAlignment="1">
      <alignment horizontal="center"/>
    </xf>
    <xf numFmtId="43" fontId="22" fillId="0" borderId="0" xfId="4" applyFont="1" applyFill="1" applyAlignment="1">
      <alignment horizontal="center"/>
    </xf>
    <xf numFmtId="165" fontId="3" fillId="0" borderId="3" xfId="0" applyNumberFormat="1" applyFont="1" applyBorder="1" applyAlignment="1">
      <alignment vertical="center"/>
    </xf>
    <xf numFmtId="165" fontId="29" fillId="0" borderId="3" xfId="0" applyNumberFormat="1" applyFont="1" applyBorder="1" applyAlignment="1">
      <alignment horizontal="center" vertical="center"/>
    </xf>
    <xf numFmtId="165" fontId="38" fillId="0" borderId="3" xfId="0" applyNumberFormat="1" applyFont="1" applyBorder="1" applyAlignment="1">
      <alignment horizontal="center" vertical="center"/>
    </xf>
    <xf numFmtId="2" fontId="3" fillId="5" borderId="3" xfId="0" applyNumberFormat="1" applyFont="1" applyFill="1" applyBorder="1" applyAlignment="1">
      <alignment horizontal="center" vertical="center"/>
    </xf>
    <xf numFmtId="3" fontId="3" fillId="5" borderId="3" xfId="0" applyNumberFormat="1" applyFont="1" applyFill="1" applyBorder="1" applyAlignment="1">
      <alignment horizontal="center"/>
    </xf>
    <xf numFmtId="0" fontId="3" fillId="16" borderId="10" xfId="0" applyFont="1" applyFill="1" applyBorder="1" applyAlignment="1">
      <alignment horizontal="center" vertical="center"/>
    </xf>
    <xf numFmtId="2" fontId="3" fillId="19" borderId="3" xfId="0" applyNumberFormat="1" applyFont="1" applyFill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" fontId="3" fillId="5" borderId="3" xfId="0" applyNumberFormat="1" applyFont="1" applyFill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left" vertical="center"/>
    </xf>
    <xf numFmtId="16" fontId="5" fillId="5" borderId="4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/>
    </xf>
    <xf numFmtId="2" fontId="3" fillId="5" borderId="12" xfId="0" applyNumberFormat="1" applyFont="1" applyFill="1" applyBorder="1" applyAlignment="1">
      <alignment horizontal="center" vertical="center"/>
    </xf>
    <xf numFmtId="0" fontId="0" fillId="20" borderId="0" xfId="0" applyFill="1"/>
    <xf numFmtId="0" fontId="23" fillId="0" borderId="3" xfId="0" applyFont="1" applyBorder="1" applyAlignment="1">
      <alignment horizontal="left"/>
    </xf>
    <xf numFmtId="0" fontId="0" fillId="17" borderId="0" xfId="0" applyFill="1"/>
    <xf numFmtId="0" fontId="3" fillId="20" borderId="1" xfId="0" applyFont="1" applyFill="1" applyBorder="1" applyAlignment="1">
      <alignment horizontal="center"/>
    </xf>
    <xf numFmtId="0" fontId="3" fillId="20" borderId="3" xfId="0" applyFont="1" applyFill="1" applyBorder="1" applyAlignment="1">
      <alignment horizontal="center"/>
    </xf>
    <xf numFmtId="0" fontId="3" fillId="20" borderId="5" xfId="0" applyFont="1" applyFill="1" applyBorder="1" applyAlignment="1">
      <alignment horizontal="center"/>
    </xf>
    <xf numFmtId="0" fontId="0" fillId="20" borderId="0" xfId="0" applyFill="1" applyAlignment="1">
      <alignment horizontal="center"/>
    </xf>
    <xf numFmtId="2" fontId="0" fillId="20" borderId="0" xfId="0" applyNumberFormat="1" applyFill="1" applyAlignment="1">
      <alignment horizontal="center"/>
    </xf>
    <xf numFmtId="0" fontId="3" fillId="20" borderId="1" xfId="0" applyFont="1" applyFill="1" applyBorder="1" applyAlignment="1">
      <alignment horizontal="left"/>
    </xf>
    <xf numFmtId="0" fontId="3" fillId="20" borderId="3" xfId="0" applyFont="1" applyFill="1" applyBorder="1" applyAlignment="1">
      <alignment horizontal="left"/>
    </xf>
    <xf numFmtId="0" fontId="3" fillId="20" borderId="5" xfId="0" applyFont="1" applyFill="1" applyBorder="1" applyAlignment="1">
      <alignment horizontal="left"/>
    </xf>
    <xf numFmtId="0" fontId="0" fillId="20" borderId="0" xfId="0" applyFill="1" applyAlignment="1">
      <alignment horizontal="left"/>
    </xf>
    <xf numFmtId="0" fontId="29" fillId="9" borderId="24" xfId="0" applyFont="1" applyFill="1" applyBorder="1" applyAlignment="1">
      <alignment vertical="center"/>
    </xf>
    <xf numFmtId="0" fontId="29" fillId="9" borderId="24" xfId="0" applyFont="1" applyFill="1" applyBorder="1" applyAlignment="1">
      <alignment horizontal="center" vertical="center"/>
    </xf>
    <xf numFmtId="0" fontId="29" fillId="9" borderId="25" xfId="0" applyFont="1" applyFill="1" applyBorder="1" applyAlignment="1">
      <alignment horizontal="center" vertical="center"/>
    </xf>
    <xf numFmtId="0" fontId="3" fillId="9" borderId="24" xfId="0" applyFont="1" applyFill="1" applyBorder="1" applyAlignment="1">
      <alignment horizontal="center" vertical="center"/>
    </xf>
    <xf numFmtId="16" fontId="30" fillId="3" borderId="2" xfId="0" applyNumberFormat="1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2" fontId="29" fillId="0" borderId="3" xfId="0" applyNumberFormat="1" applyFont="1" applyBorder="1" applyAlignment="1">
      <alignment vertical="center"/>
    </xf>
    <xf numFmtId="1" fontId="29" fillId="0" borderId="3" xfId="0" applyNumberFormat="1" applyFont="1" applyBorder="1" applyAlignment="1">
      <alignment vertical="center"/>
    </xf>
    <xf numFmtId="165" fontId="3" fillId="5" borderId="3" xfId="0" applyNumberFormat="1" applyFont="1" applyFill="1" applyBorder="1" applyAlignment="1">
      <alignment horizontal="center" vertical="center"/>
    </xf>
    <xf numFmtId="3" fontId="3" fillId="20" borderId="0" xfId="0" applyNumberFormat="1" applyFont="1" applyFill="1" applyAlignment="1">
      <alignment horizontal="center" vertical="center"/>
    </xf>
    <xf numFmtId="3" fontId="3" fillId="5" borderId="0" xfId="0" applyNumberFormat="1" applyFont="1" applyFill="1" applyAlignment="1">
      <alignment horizontal="center" vertical="center"/>
    </xf>
    <xf numFmtId="1" fontId="44" fillId="0" borderId="3" xfId="0" applyNumberFormat="1" applyFont="1" applyBorder="1" applyAlignment="1">
      <alignment horizontal="center" vertical="center"/>
    </xf>
    <xf numFmtId="2" fontId="29" fillId="5" borderId="3" xfId="0" applyNumberFormat="1" applyFont="1" applyFill="1" applyBorder="1" applyAlignment="1">
      <alignment horizontal="center" vertical="center"/>
    </xf>
    <xf numFmtId="0" fontId="31" fillId="15" borderId="3" xfId="0" applyFont="1" applyFill="1" applyBorder="1" applyAlignment="1">
      <alignment horizontal="left"/>
    </xf>
    <xf numFmtId="16" fontId="5" fillId="0" borderId="4" xfId="0" applyNumberFormat="1" applyFont="1" applyBorder="1" applyAlignment="1">
      <alignment horizontal="right" vertical="center"/>
    </xf>
    <xf numFmtId="0" fontId="0" fillId="10" borderId="0" xfId="0" applyFill="1"/>
    <xf numFmtId="0" fontId="3" fillId="5" borderId="13" xfId="0" applyFont="1" applyFill="1" applyBorder="1" applyAlignment="1">
      <alignment horizontal="center" vertical="center"/>
    </xf>
    <xf numFmtId="0" fontId="0" fillId="19" borderId="0" xfId="0" applyFill="1"/>
    <xf numFmtId="16" fontId="5" fillId="19" borderId="4" xfId="0" applyNumberFormat="1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center" vertical="center"/>
    </xf>
    <xf numFmtId="0" fontId="7" fillId="19" borderId="3" xfId="0" applyFont="1" applyFill="1" applyBorder="1" applyAlignment="1">
      <alignment horizontal="left"/>
    </xf>
    <xf numFmtId="0" fontId="3" fillId="19" borderId="13" xfId="0" applyFont="1" applyFill="1" applyBorder="1" applyAlignment="1">
      <alignment horizontal="center" vertical="center"/>
    </xf>
    <xf numFmtId="0" fontId="3" fillId="19" borderId="3" xfId="0" applyFont="1" applyFill="1" applyBorder="1" applyAlignment="1">
      <alignment horizontal="center" vertical="center"/>
    </xf>
    <xf numFmtId="3" fontId="3" fillId="19" borderId="3" xfId="0" applyNumberFormat="1" applyFont="1" applyFill="1" applyBorder="1" applyAlignment="1">
      <alignment horizontal="center"/>
    </xf>
    <xf numFmtId="1" fontId="3" fillId="19" borderId="3" xfId="0" applyNumberFormat="1" applyFont="1" applyFill="1" applyBorder="1" applyAlignment="1">
      <alignment horizontal="center" vertical="center"/>
    </xf>
    <xf numFmtId="1" fontId="19" fillId="19" borderId="3" xfId="0" applyNumberFormat="1" applyFont="1" applyFill="1" applyBorder="1" applyAlignment="1">
      <alignment horizontal="center" vertical="center"/>
    </xf>
    <xf numFmtId="0" fontId="0" fillId="19" borderId="3" xfId="0" applyFill="1" applyBorder="1"/>
    <xf numFmtId="0" fontId="3" fillId="16" borderId="20" xfId="0" applyFont="1" applyFill="1" applyBorder="1" applyAlignment="1">
      <alignment horizontal="center" vertical="center"/>
    </xf>
    <xf numFmtId="2" fontId="0" fillId="0" borderId="0" xfId="0" applyNumberFormat="1"/>
    <xf numFmtId="10" fontId="39" fillId="5" borderId="6" xfId="0" applyNumberFormat="1" applyFont="1" applyFill="1" applyBorder="1" applyAlignment="1">
      <alignment horizontal="center" vertical="center"/>
    </xf>
    <xf numFmtId="1" fontId="14" fillId="0" borderId="12" xfId="0" applyNumberFormat="1" applyFont="1" applyBorder="1"/>
    <xf numFmtId="0" fontId="0" fillId="0" borderId="12" xfId="0" applyBorder="1"/>
    <xf numFmtId="0" fontId="3" fillId="5" borderId="10" xfId="0" applyFont="1" applyFill="1" applyBorder="1" applyAlignment="1">
      <alignment horizontal="center" vertical="center"/>
    </xf>
    <xf numFmtId="0" fontId="0" fillId="5" borderId="3" xfId="0" applyFill="1" applyBorder="1"/>
    <xf numFmtId="1" fontId="3" fillId="0" borderId="12" xfId="0" applyNumberFormat="1" applyFont="1" applyBorder="1" applyAlignment="1">
      <alignment horizontal="center" vertical="center"/>
    </xf>
    <xf numFmtId="166" fontId="11" fillId="0" borderId="0" xfId="4" applyNumberFormat="1" applyFont="1" applyFill="1" applyAlignment="1">
      <alignment horizontal="center"/>
    </xf>
    <xf numFmtId="0" fontId="34" fillId="0" borderId="0" xfId="0" applyFont="1" applyAlignment="1">
      <alignment horizontal="center"/>
    </xf>
    <xf numFmtId="16" fontId="5" fillId="0" borderId="3" xfId="0" applyNumberFormat="1" applyFont="1" applyBorder="1" applyAlignment="1">
      <alignment horizontal="center" vertical="center"/>
    </xf>
    <xf numFmtId="16" fontId="5" fillId="0" borderId="8" xfId="0" applyNumberFormat="1" applyFont="1" applyBorder="1" applyAlignment="1">
      <alignment horizontal="center" vertical="center"/>
    </xf>
    <xf numFmtId="16" fontId="5" fillId="0" borderId="2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165" fontId="39" fillId="0" borderId="3" xfId="0" applyNumberFormat="1" applyFont="1" applyBorder="1" applyAlignment="1">
      <alignment horizontal="center" vertical="center"/>
    </xf>
    <xf numFmtId="2" fontId="39" fillId="0" borderId="3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16" fontId="5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7" fillId="0" borderId="23" xfId="0" applyFont="1" applyBorder="1" applyAlignment="1">
      <alignment horizontal="left"/>
    </xf>
    <xf numFmtId="0" fontId="40" fillId="0" borderId="23" xfId="0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3" fillId="21" borderId="3" xfId="0" applyNumberFormat="1" applyFont="1" applyFill="1" applyBorder="1" applyAlignment="1">
      <alignment horizontal="center" vertical="center"/>
    </xf>
    <xf numFmtId="2" fontId="3" fillId="23" borderId="3" xfId="0" applyNumberFormat="1" applyFont="1" applyFill="1" applyBorder="1" applyAlignment="1">
      <alignment horizontal="center" vertical="center"/>
    </xf>
    <xf numFmtId="16" fontId="5" fillId="23" borderId="4" xfId="0" applyNumberFormat="1" applyFont="1" applyFill="1" applyBorder="1" applyAlignment="1">
      <alignment horizontal="center" vertical="center"/>
    </xf>
    <xf numFmtId="0" fontId="5" fillId="23" borderId="4" xfId="0" applyFont="1" applyFill="1" applyBorder="1" applyAlignment="1">
      <alignment horizontal="center" vertical="center"/>
    </xf>
    <xf numFmtId="0" fontId="3" fillId="23" borderId="10" xfId="0" applyFont="1" applyFill="1" applyBorder="1" applyAlignment="1">
      <alignment horizontal="center" vertical="center"/>
    </xf>
    <xf numFmtId="0" fontId="3" fillId="23" borderId="3" xfId="0" applyFont="1" applyFill="1" applyBorder="1" applyAlignment="1">
      <alignment horizontal="center" vertical="center"/>
    </xf>
    <xf numFmtId="1" fontId="3" fillId="23" borderId="3" xfId="0" applyNumberFormat="1" applyFont="1" applyFill="1" applyBorder="1" applyAlignment="1">
      <alignment horizontal="center" vertical="center"/>
    </xf>
    <xf numFmtId="1" fontId="15" fillId="23" borderId="3" xfId="0" applyNumberFormat="1" applyFont="1" applyFill="1" applyBorder="1" applyAlignment="1">
      <alignment horizontal="center" vertical="center"/>
    </xf>
    <xf numFmtId="2" fontId="3" fillId="23" borderId="12" xfId="0" applyNumberFormat="1" applyFont="1" applyFill="1" applyBorder="1" applyAlignment="1">
      <alignment horizontal="center" vertical="center"/>
    </xf>
    <xf numFmtId="1" fontId="3" fillId="23" borderId="3" xfId="0" applyNumberFormat="1" applyFont="1" applyFill="1" applyBorder="1" applyAlignment="1">
      <alignment horizontal="center"/>
    </xf>
    <xf numFmtId="0" fontId="0" fillId="23" borderId="3" xfId="0" applyFill="1" applyBorder="1"/>
    <xf numFmtId="0" fontId="0" fillId="23" borderId="0" xfId="0" applyFill="1"/>
    <xf numFmtId="0" fontId="4" fillId="2" borderId="0" xfId="0" applyFont="1" applyFill="1"/>
    <xf numFmtId="2" fontId="2" fillId="4" borderId="0" xfId="0" applyNumberFormat="1" applyFont="1" applyFill="1"/>
    <xf numFmtId="2" fontId="3" fillId="2" borderId="1" xfId="0" applyNumberFormat="1" applyFont="1" applyFill="1" applyBorder="1" applyAlignment="1">
      <alignment vertical="center" wrapText="1"/>
    </xf>
    <xf numFmtId="2" fontId="3" fillId="2" borderId="3" xfId="0" applyNumberFormat="1" applyFont="1" applyFill="1" applyBorder="1" applyAlignment="1">
      <alignment vertical="center" wrapText="1"/>
    </xf>
    <xf numFmtId="2" fontId="3" fillId="2" borderId="5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0" borderId="17" xfId="0" applyFont="1" applyBorder="1" applyAlignment="1">
      <alignment horizontal="center"/>
    </xf>
    <xf numFmtId="0" fontId="7" fillId="5" borderId="12" xfId="0" applyFont="1" applyFill="1" applyBorder="1" applyAlignment="1">
      <alignment horizontal="left"/>
    </xf>
    <xf numFmtId="1" fontId="15" fillId="5" borderId="3" xfId="0" applyNumberFormat="1" applyFont="1" applyFill="1" applyBorder="1" applyAlignment="1">
      <alignment horizontal="center" vertical="center"/>
    </xf>
    <xf numFmtId="1" fontId="3" fillId="5" borderId="3" xfId="0" applyNumberFormat="1" applyFont="1" applyFill="1" applyBorder="1" applyAlignment="1">
      <alignment horizontal="center"/>
    </xf>
    <xf numFmtId="16" fontId="5" fillId="23" borderId="3" xfId="0" applyNumberFormat="1" applyFont="1" applyFill="1" applyBorder="1" applyAlignment="1">
      <alignment horizontal="center" vertical="center"/>
    </xf>
    <xf numFmtId="0" fontId="5" fillId="23" borderId="3" xfId="0" applyFont="1" applyFill="1" applyBorder="1" applyAlignment="1">
      <alignment horizontal="center" vertical="center"/>
    </xf>
    <xf numFmtId="0" fontId="7" fillId="23" borderId="12" xfId="0" applyFont="1" applyFill="1" applyBorder="1" applyAlignment="1">
      <alignment horizontal="left"/>
    </xf>
    <xf numFmtId="0" fontId="3" fillId="23" borderId="17" xfId="0" applyFont="1" applyFill="1" applyBorder="1" applyAlignment="1">
      <alignment horizontal="center" vertical="center"/>
    </xf>
    <xf numFmtId="3" fontId="3" fillId="23" borderId="3" xfId="0" applyNumberFormat="1" applyFont="1" applyFill="1" applyBorder="1" applyAlignment="1">
      <alignment horizontal="center"/>
    </xf>
    <xf numFmtId="0" fontId="7" fillId="23" borderId="3" xfId="0" applyFont="1" applyFill="1" applyBorder="1" applyAlignment="1">
      <alignment horizontal="left"/>
    </xf>
    <xf numFmtId="0" fontId="3" fillId="23" borderId="18" xfId="0" applyFont="1" applyFill="1" applyBorder="1" applyAlignment="1">
      <alignment horizontal="center" vertical="center"/>
    </xf>
    <xf numFmtId="3" fontId="41" fillId="23" borderId="3" xfId="0" applyNumberFormat="1" applyFont="1" applyFill="1" applyBorder="1" applyAlignment="1">
      <alignment horizontal="center"/>
    </xf>
    <xf numFmtId="1" fontId="14" fillId="23" borderId="0" xfId="0" applyNumberFormat="1" applyFont="1" applyFill="1"/>
    <xf numFmtId="1" fontId="0" fillId="23" borderId="0" xfId="0" applyNumberFormat="1" applyFill="1"/>
    <xf numFmtId="3" fontId="41" fillId="5" borderId="3" xfId="0" applyNumberFormat="1" applyFont="1" applyFill="1" applyBorder="1" applyAlignment="1">
      <alignment horizontal="center"/>
    </xf>
    <xf numFmtId="1" fontId="14" fillId="5" borderId="0" xfId="0" applyNumberFormat="1" applyFont="1" applyFill="1"/>
    <xf numFmtId="1" fontId="0" fillId="5" borderId="0" xfId="0" applyNumberFormat="1" applyFill="1"/>
    <xf numFmtId="0" fontId="0" fillId="5" borderId="0" xfId="0" applyFill="1"/>
    <xf numFmtId="0" fontId="3" fillId="5" borderId="17" xfId="0" applyFont="1" applyFill="1" applyBorder="1" applyAlignment="1">
      <alignment horizontal="center"/>
    </xf>
    <xf numFmtId="0" fontId="31" fillId="0" borderId="12" xfId="0" applyFont="1" applyBorder="1" applyAlignment="1">
      <alignment horizontal="left"/>
    </xf>
    <xf numFmtId="0" fontId="4" fillId="2" borderId="0" xfId="0" applyFont="1" applyFill="1" applyAlignment="1">
      <alignment horizontal="center"/>
    </xf>
    <xf numFmtId="2" fontId="2" fillId="4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0" fontId="3" fillId="9" borderId="20" xfId="0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center" vertical="center"/>
    </xf>
    <xf numFmtId="2" fontId="3" fillId="21" borderId="3" xfId="0" applyNumberFormat="1" applyFont="1" applyFill="1" applyBorder="1" applyAlignment="1">
      <alignment horizontal="center" vertical="center"/>
    </xf>
    <xf numFmtId="2" fontId="3" fillId="22" borderId="3" xfId="0" applyNumberFormat="1" applyFont="1" applyFill="1" applyBorder="1" applyAlignment="1">
      <alignment horizontal="center" vertical="center"/>
    </xf>
    <xf numFmtId="2" fontId="3" fillId="15" borderId="3" xfId="0" applyNumberFormat="1" applyFont="1" applyFill="1" applyBorder="1" applyAlignment="1">
      <alignment horizontal="center" vertical="center"/>
    </xf>
    <xf numFmtId="0" fontId="3" fillId="9" borderId="22" xfId="0" applyFont="1" applyFill="1" applyBorder="1" applyAlignment="1">
      <alignment horizontal="center" vertical="center"/>
    </xf>
    <xf numFmtId="2" fontId="3" fillId="17" borderId="3" xfId="0" applyNumberFormat="1" applyFont="1" applyFill="1" applyBorder="1" applyAlignment="1">
      <alignment horizontal="center" vertical="center"/>
    </xf>
    <xf numFmtId="2" fontId="3" fillId="12" borderId="3" xfId="0" applyNumberFormat="1" applyFont="1" applyFill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2" fontId="3" fillId="16" borderId="3" xfId="0" applyNumberFormat="1" applyFont="1" applyFill="1" applyBorder="1" applyAlignment="1">
      <alignment horizontal="center" vertical="center"/>
    </xf>
    <xf numFmtId="2" fontId="3" fillId="14" borderId="3" xfId="0" applyNumberFormat="1" applyFont="1" applyFill="1" applyBorder="1" applyAlignment="1">
      <alignment horizontal="center" vertical="center"/>
    </xf>
    <xf numFmtId="2" fontId="3" fillId="24" borderId="3" xfId="0" applyNumberFormat="1" applyFont="1" applyFill="1" applyBorder="1" applyAlignment="1">
      <alignment horizontal="center" vertical="center"/>
    </xf>
    <xf numFmtId="2" fontId="3" fillId="30" borderId="3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2" fontId="2" fillId="4" borderId="0" xfId="0" applyNumberFormat="1" applyFont="1" applyFill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3" fillId="2" borderId="3" xfId="0" applyNumberFormat="1" applyFont="1" applyFill="1" applyBorder="1" applyAlignment="1">
      <alignment horizontal="center" vertical="center" wrapText="1"/>
    </xf>
    <xf numFmtId="2" fontId="3" fillId="2" borderId="5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wrapText="1"/>
    </xf>
    <xf numFmtId="0" fontId="12" fillId="2" borderId="5" xfId="0" applyFont="1" applyFill="1" applyBorder="1" applyAlignment="1">
      <alignment wrapText="1"/>
    </xf>
    <xf numFmtId="2" fontId="3" fillId="36" borderId="3" xfId="0" applyNumberFormat="1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/>
    </xf>
    <xf numFmtId="2" fontId="27" fillId="4" borderId="0" xfId="0" applyNumberFormat="1" applyFont="1" applyFill="1" applyAlignment="1">
      <alignment horizontal="center"/>
    </xf>
    <xf numFmtId="164" fontId="28" fillId="0" borderId="9" xfId="0" applyNumberFormat="1" applyFont="1" applyBorder="1" applyAlignment="1">
      <alignment horizontal="center"/>
    </xf>
    <xf numFmtId="2" fontId="29" fillId="2" borderId="1" xfId="0" applyNumberFormat="1" applyFont="1" applyFill="1" applyBorder="1" applyAlignment="1">
      <alignment horizontal="center" vertical="center" wrapText="1"/>
    </xf>
    <xf numFmtId="2" fontId="29" fillId="2" borderId="3" xfId="0" applyNumberFormat="1" applyFont="1" applyFill="1" applyBorder="1" applyAlignment="1">
      <alignment horizontal="center" vertical="center" wrapText="1"/>
    </xf>
    <xf numFmtId="2" fontId="29" fillId="2" borderId="5" xfId="0" applyNumberFormat="1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wrapText="1"/>
    </xf>
    <xf numFmtId="0" fontId="29" fillId="2" borderId="3" xfId="0" applyFont="1" applyFill="1" applyBorder="1" applyAlignment="1">
      <alignment horizontal="center" wrapText="1"/>
    </xf>
    <xf numFmtId="0" fontId="29" fillId="2" borderId="5" xfId="0" applyFont="1" applyFill="1" applyBorder="1" applyAlignment="1">
      <alignment horizontal="center" wrapText="1"/>
    </xf>
    <xf numFmtId="0" fontId="29" fillId="2" borderId="1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29" fillId="2" borderId="5" xfId="0" applyFont="1" applyFill="1" applyBorder="1" applyAlignment="1">
      <alignment horizontal="center" vertical="center" wrapText="1"/>
    </xf>
    <xf numFmtId="0" fontId="29" fillId="9" borderId="11" xfId="0" applyFont="1" applyFill="1" applyBorder="1" applyAlignment="1">
      <alignment horizontal="center" vertical="center"/>
    </xf>
    <xf numFmtId="0" fontId="29" fillId="9" borderId="5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wrapText="1"/>
    </xf>
    <xf numFmtId="0" fontId="29" fillId="2" borderId="5" xfId="0" applyFont="1" applyFill="1" applyBorder="1" applyAlignment="1">
      <alignment wrapText="1"/>
    </xf>
    <xf numFmtId="0" fontId="29" fillId="9" borderId="19" xfId="0" applyFont="1" applyFill="1" applyBorder="1" applyAlignment="1">
      <alignment horizontal="center" vertical="center"/>
    </xf>
    <xf numFmtId="0" fontId="29" fillId="9" borderId="3" xfId="0" applyFont="1" applyFill="1" applyBorder="1" applyAlignment="1">
      <alignment horizontal="center" vertical="center"/>
    </xf>
    <xf numFmtId="0" fontId="29" fillId="9" borderId="14" xfId="0" applyFont="1" applyFill="1" applyBorder="1" applyAlignment="1">
      <alignment horizontal="center" vertical="center"/>
    </xf>
    <xf numFmtId="2" fontId="19" fillId="0" borderId="3" xfId="0" applyNumberFormat="1" applyFont="1" applyBorder="1" applyAlignment="1">
      <alignment horizontal="center" vertical="center"/>
    </xf>
    <xf numFmtId="2" fontId="35" fillId="0" borderId="3" xfId="0" applyNumberFormat="1" applyFont="1" applyBorder="1" applyAlignment="1">
      <alignment horizontal="center" vertical="center"/>
    </xf>
    <xf numFmtId="0" fontId="12" fillId="2" borderId="15" xfId="0" applyFont="1" applyFill="1" applyBorder="1" applyAlignment="1">
      <alignment wrapText="1"/>
    </xf>
    <xf numFmtId="0" fontId="12" fillId="2" borderId="16" xfId="0" applyFont="1" applyFill="1" applyBorder="1" applyAlignment="1">
      <alignment wrapText="1"/>
    </xf>
    <xf numFmtId="0" fontId="3" fillId="9" borderId="19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16" borderId="20" xfId="0" applyFont="1" applyFill="1" applyBorder="1" applyAlignment="1">
      <alignment horizontal="center" vertical="center"/>
    </xf>
    <xf numFmtId="0" fontId="3" fillId="16" borderId="21" xfId="0" applyFont="1" applyFill="1" applyBorder="1" applyAlignment="1">
      <alignment horizontal="center" vertical="center"/>
    </xf>
    <xf numFmtId="0" fontId="3" fillId="16" borderId="2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5" borderId="3" xfId="0" applyNumberFormat="1" applyFont="1" applyFill="1" applyBorder="1" applyAlignment="1">
      <alignment horizontal="center" vertical="center"/>
    </xf>
    <xf numFmtId="2" fontId="3" fillId="23" borderId="3" xfId="0" applyNumberFormat="1" applyFont="1" applyFill="1" applyBorder="1" applyAlignment="1">
      <alignment horizontal="center" vertical="center"/>
    </xf>
    <xf numFmtId="2" fontId="3" fillId="22" borderId="12" xfId="0" applyNumberFormat="1" applyFont="1" applyFill="1" applyBorder="1" applyAlignment="1">
      <alignment horizontal="center" vertical="center"/>
    </xf>
    <xf numFmtId="2" fontId="3" fillId="25" borderId="3" xfId="0" applyNumberFormat="1" applyFont="1" applyFill="1" applyBorder="1" applyAlignment="1">
      <alignment horizontal="center" vertical="center"/>
    </xf>
    <xf numFmtId="2" fontId="3" fillId="26" borderId="3" xfId="0" applyNumberFormat="1" applyFont="1" applyFill="1" applyBorder="1" applyAlignment="1">
      <alignment horizontal="center" vertical="center"/>
    </xf>
    <xf numFmtId="2" fontId="3" fillId="27" borderId="3" xfId="0" applyNumberFormat="1" applyFont="1" applyFill="1" applyBorder="1" applyAlignment="1">
      <alignment horizontal="center" vertical="center"/>
    </xf>
    <xf numFmtId="0" fontId="3" fillId="9" borderId="26" xfId="0" applyFont="1" applyFill="1" applyBorder="1" applyAlignment="1">
      <alignment horizontal="center" vertical="center"/>
    </xf>
    <xf numFmtId="0" fontId="3" fillId="9" borderId="27" xfId="0" applyFont="1" applyFill="1" applyBorder="1" applyAlignment="1">
      <alignment horizontal="center" vertical="center"/>
    </xf>
    <xf numFmtId="0" fontId="7" fillId="23" borderId="3" xfId="0" applyFont="1" applyFill="1" applyBorder="1" applyAlignment="1">
      <alignment horizontal="left" vertical="center"/>
    </xf>
    <xf numFmtId="2" fontId="3" fillId="28" borderId="3" xfId="0" applyNumberFormat="1" applyFont="1" applyFill="1" applyBorder="1" applyAlignment="1">
      <alignment horizontal="center" vertical="center"/>
    </xf>
    <xf numFmtId="2" fontId="3" fillId="20" borderId="3" xfId="0" applyNumberFormat="1" applyFont="1" applyFill="1" applyBorder="1" applyAlignment="1">
      <alignment horizontal="center" vertical="center"/>
    </xf>
    <xf numFmtId="2" fontId="3" fillId="29" borderId="3" xfId="0" applyNumberFormat="1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 wrapText="1"/>
    </xf>
    <xf numFmtId="0" fontId="3" fillId="20" borderId="3" xfId="0" applyFont="1" applyFill="1" applyBorder="1" applyAlignment="1">
      <alignment horizontal="center" vertical="center" wrapText="1"/>
    </xf>
    <xf numFmtId="0" fontId="3" fillId="20" borderId="5" xfId="0" applyFont="1" applyFill="1" applyBorder="1" applyAlignment="1">
      <alignment horizontal="center" vertical="center" wrapText="1"/>
    </xf>
    <xf numFmtId="2" fontId="3" fillId="32" borderId="3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2" fontId="3" fillId="31" borderId="3" xfId="0" applyNumberFormat="1" applyFont="1" applyFill="1" applyBorder="1" applyAlignment="1">
      <alignment horizontal="center" vertical="center"/>
    </xf>
    <xf numFmtId="2" fontId="3" fillId="8" borderId="3" xfId="0" applyNumberFormat="1" applyFont="1" applyFill="1" applyBorder="1" applyAlignment="1">
      <alignment horizontal="center" vertical="center"/>
    </xf>
    <xf numFmtId="2" fontId="3" fillId="34" borderId="3" xfId="0" applyNumberFormat="1" applyFont="1" applyFill="1" applyBorder="1" applyAlignment="1">
      <alignment horizontal="center" vertical="center"/>
    </xf>
    <xf numFmtId="2" fontId="3" fillId="33" borderId="3" xfId="0" applyNumberFormat="1" applyFont="1" applyFill="1" applyBorder="1" applyAlignment="1">
      <alignment horizontal="center" vertical="center"/>
    </xf>
    <xf numFmtId="2" fontId="3" fillId="35" borderId="3" xfId="0" applyNumberFormat="1" applyFont="1" applyFill="1" applyBorder="1" applyAlignment="1">
      <alignment horizontal="center" vertical="center"/>
    </xf>
    <xf numFmtId="2" fontId="3" fillId="19" borderId="3" xfId="0" applyNumberFormat="1" applyFont="1" applyFill="1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/>
    </xf>
    <xf numFmtId="1" fontId="20" fillId="10" borderId="0" xfId="0" applyNumberFormat="1" applyFont="1" applyFill="1" applyAlignment="1">
      <alignment horizontal="center"/>
    </xf>
    <xf numFmtId="2" fontId="20" fillId="10" borderId="0" xfId="0" applyNumberFormat="1" applyFont="1" applyFill="1" applyAlignment="1">
      <alignment horizontal="center" vertical="center"/>
    </xf>
    <xf numFmtId="1" fontId="20" fillId="10" borderId="0" xfId="0" applyNumberFormat="1" applyFont="1" applyFill="1" applyAlignment="1">
      <alignment horizontal="center" vertical="center"/>
    </xf>
    <xf numFmtId="1" fontId="11" fillId="5" borderId="6" xfId="0" applyNumberFormat="1" applyFont="1" applyFill="1" applyBorder="1" applyAlignment="1">
      <alignment horizontal="center"/>
    </xf>
    <xf numFmtId="1" fontId="22" fillId="5" borderId="6" xfId="0" applyNumberFormat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20" fillId="5" borderId="0" xfId="0" applyFont="1" applyFill="1" applyAlignment="1">
      <alignment horizontal="center" wrapText="1"/>
    </xf>
    <xf numFmtId="0" fontId="20" fillId="16" borderId="0" xfId="0" applyFont="1" applyFill="1" applyAlignment="1">
      <alignment horizontal="center"/>
    </xf>
    <xf numFmtId="0" fontId="20" fillId="12" borderId="0" xfId="0" applyFont="1" applyFill="1" applyAlignment="1">
      <alignment horizontal="center" wrapText="1"/>
    </xf>
    <xf numFmtId="1" fontId="20" fillId="10" borderId="0" xfId="0" applyNumberFormat="1" applyFont="1" applyFill="1"/>
  </cellXfs>
  <cellStyles count="7">
    <cellStyle name="Comma" xfId="4" builtinId="3"/>
    <cellStyle name="Comma 2" xfId="6" xr:uid="{2A9E6141-0988-46EA-911C-66F3F8CC0BBE}"/>
    <cellStyle name="Normal" xfId="0" builtinId="0"/>
    <cellStyle name="Normal 2" xfId="1" xr:uid="{00000000-0005-0000-0000-000002000000}"/>
    <cellStyle name="Normal 3" xfId="5" xr:uid="{FCF3860C-8292-4972-A743-918436AEFB85}"/>
    <cellStyle name="Percent 2" xfId="2" xr:uid="{00000000-0005-0000-0000-000003000000}"/>
    <cellStyle name="Percent 3" xfId="3" xr:uid="{00000000-0005-0000-0000-000004000000}"/>
  </cellStyles>
  <dxfs count="9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/>
        <condense val="0"/>
        <extend val="0"/>
        <color indexed="1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color rgb="FFFF0000"/>
      </font>
    </dxf>
    <dxf>
      <font>
        <b/>
        <i/>
        <condense val="0"/>
        <extend val="0"/>
        <color indexed="10"/>
      </font>
    </dxf>
  </dxfs>
  <tableStyles count="0" defaultTableStyle="TableStyleMedium9" defaultPivotStyle="PivotStyleLight16"/>
  <colors>
    <mruColors>
      <color rgb="FF00FF00"/>
      <color rgb="FF2E2E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UBLIC\NIGEL\New%20line%20downtim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2%20Reporting\2012%20Business%20Plan%20rev5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Forsyth\Bottling%20Reports%20'25\GBL_Line_Downtime_2025.xlsx" TargetMode="External"/><Relationship Id="rId1" Type="http://schemas.openxmlformats.org/officeDocument/2006/relationships/externalLinkPath" Target="GBL_Line_Downtime_2025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Forsyth\Bottling%20Reports%20'25\GBL_Line_Downtime_2025%20.xlsx" TargetMode="External"/><Relationship Id="rId1" Type="http://schemas.openxmlformats.org/officeDocument/2006/relationships/externalLinkPath" Target="GBL_Line_Downtime_2025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Monthly summary loss"/>
      <sheetName val="Pareto analysis month "/>
      <sheetName val=" Jan"/>
      <sheetName val="Feb"/>
      <sheetName val="Mar"/>
      <sheetName val="April"/>
      <sheetName val="May"/>
      <sheetName val="June"/>
      <sheetName val="July"/>
      <sheetName val="Aug"/>
      <sheetName val="Sept"/>
      <sheetName val="Oct"/>
      <sheetName val="Nov"/>
      <sheetName val="Dec"/>
      <sheetName val="Pareto Data"/>
    </sheetNames>
    <sheetDataSet>
      <sheetData sheetId="0" refreshError="1"/>
      <sheetData sheetId="1" refreshError="1"/>
      <sheetData sheetId="2" refreshError="1"/>
      <sheetData sheetId="3" refreshError="1">
        <row r="2">
          <cell r="F2" t="str">
            <v>Line Downtime for January 2003</v>
          </cell>
        </row>
        <row r="4">
          <cell r="E4" t="str">
            <v>Delays (mins)</v>
          </cell>
        </row>
        <row r="5">
          <cell r="B5" t="str">
            <v>Start time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filler-uncaser</v>
          </cell>
          <cell r="C6" t="str">
            <v>caser-filler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P8">
            <v>0</v>
          </cell>
        </row>
        <row r="9">
          <cell r="A9">
            <v>2</v>
          </cell>
          <cell r="P9">
            <v>0</v>
          </cell>
        </row>
        <row r="10">
          <cell r="A10">
            <v>3</v>
          </cell>
          <cell r="M10">
            <v>11</v>
          </cell>
          <cell r="P10">
            <v>11</v>
          </cell>
          <cell r="Q10">
            <v>27</v>
          </cell>
        </row>
        <row r="11">
          <cell r="A11">
            <v>4</v>
          </cell>
          <cell r="F11">
            <v>13</v>
          </cell>
          <cell r="I11">
            <v>8</v>
          </cell>
          <cell r="J11">
            <v>43</v>
          </cell>
          <cell r="P11">
            <v>64</v>
          </cell>
        </row>
        <row r="12">
          <cell r="A12">
            <v>5</v>
          </cell>
          <cell r="F12">
            <v>20</v>
          </cell>
          <cell r="G12">
            <v>8</v>
          </cell>
          <cell r="I12">
            <v>40</v>
          </cell>
          <cell r="P12">
            <v>68</v>
          </cell>
        </row>
        <row r="13">
          <cell r="A13">
            <v>6</v>
          </cell>
          <cell r="F13">
            <v>6</v>
          </cell>
          <cell r="I13">
            <v>9</v>
          </cell>
          <cell r="P13">
            <v>15</v>
          </cell>
        </row>
        <row r="14">
          <cell r="A14">
            <v>7</v>
          </cell>
          <cell r="F14">
            <v>33</v>
          </cell>
          <cell r="P14">
            <v>33</v>
          </cell>
        </row>
        <row r="15">
          <cell r="A15">
            <v>8</v>
          </cell>
          <cell r="F15">
            <v>9</v>
          </cell>
          <cell r="G15">
            <v>4</v>
          </cell>
          <cell r="I15">
            <v>18</v>
          </cell>
          <cell r="P15">
            <v>31</v>
          </cell>
        </row>
        <row r="16">
          <cell r="A16">
            <v>9</v>
          </cell>
          <cell r="F16">
            <v>10</v>
          </cell>
          <cell r="G16">
            <v>4</v>
          </cell>
          <cell r="I16">
            <v>4</v>
          </cell>
          <cell r="P16">
            <v>18</v>
          </cell>
        </row>
        <row r="17">
          <cell r="A17">
            <v>10</v>
          </cell>
          <cell r="F17">
            <v>61</v>
          </cell>
          <cell r="P17">
            <v>61</v>
          </cell>
        </row>
        <row r="18">
          <cell r="A18">
            <v>11</v>
          </cell>
          <cell r="F18">
            <v>7</v>
          </cell>
          <cell r="K18">
            <v>18</v>
          </cell>
          <cell r="P18">
            <v>25</v>
          </cell>
        </row>
        <row r="19">
          <cell r="A19">
            <v>12</v>
          </cell>
          <cell r="F19">
            <v>30</v>
          </cell>
          <cell r="G19">
            <v>4</v>
          </cell>
          <cell r="H19">
            <v>25</v>
          </cell>
          <cell r="I19">
            <v>5</v>
          </cell>
          <cell r="P19">
            <v>64</v>
          </cell>
        </row>
        <row r="20">
          <cell r="A20">
            <v>13</v>
          </cell>
          <cell r="F20">
            <v>24</v>
          </cell>
          <cell r="P20">
            <v>24</v>
          </cell>
        </row>
        <row r="21">
          <cell r="A21">
            <v>14</v>
          </cell>
          <cell r="F21">
            <v>78</v>
          </cell>
          <cell r="J21">
            <v>15</v>
          </cell>
          <cell r="P21">
            <v>93</v>
          </cell>
        </row>
        <row r="22">
          <cell r="A22">
            <v>15</v>
          </cell>
          <cell r="F22">
            <v>14</v>
          </cell>
          <cell r="I22">
            <v>4</v>
          </cell>
          <cell r="P22">
            <v>18</v>
          </cell>
        </row>
        <row r="23">
          <cell r="A23">
            <v>16</v>
          </cell>
          <cell r="H23">
            <v>8</v>
          </cell>
          <cell r="K23">
            <v>5</v>
          </cell>
          <cell r="M23">
            <v>20</v>
          </cell>
          <cell r="P23">
            <v>33</v>
          </cell>
        </row>
        <row r="24">
          <cell r="A24">
            <v>17</v>
          </cell>
          <cell r="F24">
            <v>6</v>
          </cell>
          <cell r="K24">
            <v>6</v>
          </cell>
          <cell r="O24">
            <v>6</v>
          </cell>
          <cell r="P24">
            <v>18</v>
          </cell>
        </row>
        <row r="25">
          <cell r="A25">
            <v>18</v>
          </cell>
          <cell r="F25">
            <v>14</v>
          </cell>
          <cell r="I25">
            <v>4</v>
          </cell>
          <cell r="P25">
            <v>18</v>
          </cell>
        </row>
        <row r="26">
          <cell r="A26">
            <v>19</v>
          </cell>
          <cell r="F26">
            <v>10</v>
          </cell>
          <cell r="I26">
            <v>32</v>
          </cell>
          <cell r="M26">
            <v>5</v>
          </cell>
          <cell r="P26">
            <v>47</v>
          </cell>
        </row>
        <row r="27">
          <cell r="A27">
            <v>20</v>
          </cell>
          <cell r="F27">
            <v>129</v>
          </cell>
          <cell r="G27">
            <v>3</v>
          </cell>
          <cell r="J27">
            <v>8</v>
          </cell>
          <cell r="P27">
            <v>140</v>
          </cell>
        </row>
        <row r="28">
          <cell r="A28">
            <v>21</v>
          </cell>
          <cell r="F28">
            <v>99</v>
          </cell>
          <cell r="P28">
            <v>99</v>
          </cell>
        </row>
        <row r="29">
          <cell r="A29">
            <v>22</v>
          </cell>
          <cell r="F29">
            <v>90</v>
          </cell>
          <cell r="P29">
            <v>90</v>
          </cell>
        </row>
        <row r="30">
          <cell r="A30">
            <v>23</v>
          </cell>
          <cell r="F30">
            <v>41</v>
          </cell>
          <cell r="H30">
            <v>10</v>
          </cell>
          <cell r="O30">
            <v>13</v>
          </cell>
          <cell r="P30">
            <v>64</v>
          </cell>
        </row>
        <row r="31">
          <cell r="A31">
            <v>24</v>
          </cell>
          <cell r="F31">
            <v>43</v>
          </cell>
          <cell r="H31">
            <v>11</v>
          </cell>
          <cell r="M31">
            <v>12</v>
          </cell>
          <cell r="P31">
            <v>66</v>
          </cell>
        </row>
        <row r="32">
          <cell r="A32" t="str">
            <v>Totals</v>
          </cell>
          <cell r="D32">
            <v>0</v>
          </cell>
          <cell r="E32">
            <v>0</v>
          </cell>
          <cell r="F32">
            <v>737</v>
          </cell>
          <cell r="G32">
            <v>23</v>
          </cell>
          <cell r="H32">
            <v>54</v>
          </cell>
          <cell r="I32">
            <v>124</v>
          </cell>
          <cell r="J32">
            <v>66</v>
          </cell>
          <cell r="K32">
            <v>29</v>
          </cell>
          <cell r="L32">
            <v>0</v>
          </cell>
          <cell r="M32">
            <v>48</v>
          </cell>
          <cell r="N32">
            <v>0</v>
          </cell>
          <cell r="O32">
            <v>19</v>
          </cell>
          <cell r="P32">
            <v>1100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4" refreshError="1">
        <row r="2">
          <cell r="F2" t="str">
            <v>Line Downtime for February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filler-uncaser</v>
          </cell>
          <cell r="C6" t="str">
            <v>caser-filler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F8">
            <v>21</v>
          </cell>
          <cell r="I8">
            <v>5</v>
          </cell>
          <cell r="M8">
            <v>77</v>
          </cell>
          <cell r="P8">
            <v>103</v>
          </cell>
        </row>
        <row r="9">
          <cell r="A9">
            <v>2</v>
          </cell>
          <cell r="F9">
            <v>55</v>
          </cell>
          <cell r="I9">
            <v>5</v>
          </cell>
          <cell r="P9">
            <v>60</v>
          </cell>
        </row>
        <row r="10">
          <cell r="A10">
            <v>3</v>
          </cell>
          <cell r="H10">
            <v>114</v>
          </cell>
          <cell r="M10">
            <v>26</v>
          </cell>
          <cell r="P10">
            <v>140</v>
          </cell>
        </row>
        <row r="11">
          <cell r="A11">
            <v>4</v>
          </cell>
          <cell r="F11">
            <v>14</v>
          </cell>
          <cell r="I11">
            <v>10</v>
          </cell>
          <cell r="M11">
            <v>82</v>
          </cell>
          <cell r="P11">
            <v>106</v>
          </cell>
        </row>
        <row r="12">
          <cell r="A12">
            <v>5</v>
          </cell>
          <cell r="M12">
            <v>40</v>
          </cell>
          <cell r="P12">
            <v>40</v>
          </cell>
        </row>
        <row r="13">
          <cell r="A13">
            <v>6</v>
          </cell>
          <cell r="F13">
            <v>8</v>
          </cell>
          <cell r="M13">
            <v>11</v>
          </cell>
          <cell r="O13">
            <v>6</v>
          </cell>
          <cell r="P13">
            <v>25</v>
          </cell>
        </row>
        <row r="14">
          <cell r="A14">
            <v>7</v>
          </cell>
          <cell r="F14">
            <v>43</v>
          </cell>
          <cell r="H14">
            <v>69</v>
          </cell>
          <cell r="P14">
            <v>112</v>
          </cell>
        </row>
        <row r="15">
          <cell r="A15">
            <v>8</v>
          </cell>
          <cell r="F15">
            <v>71</v>
          </cell>
          <cell r="H15">
            <v>126</v>
          </cell>
          <cell r="J15">
            <v>9</v>
          </cell>
          <cell r="P15">
            <v>206</v>
          </cell>
        </row>
        <row r="16">
          <cell r="A16">
            <v>9</v>
          </cell>
          <cell r="P16">
            <v>0</v>
          </cell>
        </row>
        <row r="17">
          <cell r="A17">
            <v>10</v>
          </cell>
          <cell r="F17">
            <v>48</v>
          </cell>
          <cell r="G17">
            <v>8</v>
          </cell>
          <cell r="H17">
            <v>6</v>
          </cell>
          <cell r="P17">
            <v>62</v>
          </cell>
        </row>
        <row r="18">
          <cell r="A18">
            <v>11</v>
          </cell>
          <cell r="F18">
            <v>70</v>
          </cell>
          <cell r="H18">
            <v>20</v>
          </cell>
          <cell r="M18">
            <v>25</v>
          </cell>
          <cell r="P18">
            <v>115</v>
          </cell>
        </row>
        <row r="19">
          <cell r="A19">
            <v>12</v>
          </cell>
          <cell r="F19">
            <v>13</v>
          </cell>
          <cell r="P19">
            <v>13</v>
          </cell>
        </row>
        <row r="20">
          <cell r="A20">
            <v>13</v>
          </cell>
          <cell r="F20">
            <v>54</v>
          </cell>
          <cell r="H20">
            <v>5</v>
          </cell>
          <cell r="P20">
            <v>59</v>
          </cell>
        </row>
        <row r="21">
          <cell r="A21">
            <v>14</v>
          </cell>
          <cell r="F21">
            <v>5</v>
          </cell>
          <cell r="H21">
            <v>67</v>
          </cell>
          <cell r="M21">
            <v>10</v>
          </cell>
          <cell r="P21">
            <v>82</v>
          </cell>
        </row>
        <row r="22">
          <cell r="A22">
            <v>15</v>
          </cell>
          <cell r="F22">
            <v>56</v>
          </cell>
          <cell r="P22">
            <v>56</v>
          </cell>
        </row>
        <row r="23">
          <cell r="A23">
            <v>16</v>
          </cell>
          <cell r="M23">
            <v>40</v>
          </cell>
          <cell r="O23">
            <v>13</v>
          </cell>
          <cell r="P23">
            <v>53</v>
          </cell>
        </row>
        <row r="24">
          <cell r="A24">
            <v>17</v>
          </cell>
          <cell r="F24">
            <v>28</v>
          </cell>
          <cell r="J24">
            <v>4</v>
          </cell>
          <cell r="M24">
            <v>92</v>
          </cell>
          <cell r="P24">
            <v>124</v>
          </cell>
        </row>
        <row r="25">
          <cell r="A25">
            <v>18</v>
          </cell>
          <cell r="F25">
            <v>14</v>
          </cell>
          <cell r="H25">
            <v>41</v>
          </cell>
          <cell r="M25">
            <v>47</v>
          </cell>
          <cell r="P25">
            <v>102</v>
          </cell>
        </row>
        <row r="26">
          <cell r="A26">
            <v>19</v>
          </cell>
          <cell r="F26">
            <v>53</v>
          </cell>
          <cell r="J26">
            <v>10</v>
          </cell>
          <cell r="L26">
            <v>10</v>
          </cell>
          <cell r="M26">
            <v>28</v>
          </cell>
          <cell r="P26">
            <v>101</v>
          </cell>
        </row>
        <row r="27">
          <cell r="A27">
            <v>20</v>
          </cell>
          <cell r="P27">
            <v>0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0</v>
          </cell>
          <cell r="E32">
            <v>0</v>
          </cell>
          <cell r="F32">
            <v>553</v>
          </cell>
          <cell r="G32">
            <v>8</v>
          </cell>
          <cell r="H32">
            <v>448</v>
          </cell>
          <cell r="I32">
            <v>20</v>
          </cell>
          <cell r="J32">
            <v>23</v>
          </cell>
          <cell r="K32">
            <v>0</v>
          </cell>
          <cell r="L32">
            <v>10</v>
          </cell>
          <cell r="M32">
            <v>478</v>
          </cell>
          <cell r="N32">
            <v>0</v>
          </cell>
          <cell r="O32">
            <v>19</v>
          </cell>
          <cell r="P32">
            <v>1559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5" refreshError="1">
        <row r="2">
          <cell r="F2" t="str">
            <v>Line Downtime for March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filler-uncaser</v>
          </cell>
          <cell r="C6" t="str">
            <v>caser-filler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F8">
            <v>18</v>
          </cell>
          <cell r="H8">
            <v>64</v>
          </cell>
          <cell r="O8">
            <v>8</v>
          </cell>
          <cell r="P8">
            <v>90</v>
          </cell>
        </row>
        <row r="9">
          <cell r="A9">
            <v>2</v>
          </cell>
          <cell r="F9">
            <v>26</v>
          </cell>
          <cell r="H9">
            <v>78</v>
          </cell>
          <cell r="P9">
            <v>104</v>
          </cell>
        </row>
        <row r="10">
          <cell r="A10">
            <v>3</v>
          </cell>
          <cell r="F10">
            <v>7</v>
          </cell>
          <cell r="I10">
            <v>80</v>
          </cell>
          <cell r="J10">
            <v>80</v>
          </cell>
          <cell r="P10">
            <v>167</v>
          </cell>
        </row>
        <row r="11">
          <cell r="A11">
            <v>4</v>
          </cell>
          <cell r="P11">
            <v>0</v>
          </cell>
        </row>
        <row r="12">
          <cell r="A12">
            <v>5</v>
          </cell>
          <cell r="F12">
            <v>16</v>
          </cell>
          <cell r="P12">
            <v>16</v>
          </cell>
        </row>
        <row r="13">
          <cell r="A13">
            <v>6</v>
          </cell>
          <cell r="F13">
            <v>40</v>
          </cell>
          <cell r="G13">
            <v>6</v>
          </cell>
          <cell r="H13">
            <v>5</v>
          </cell>
          <cell r="I13">
            <v>10</v>
          </cell>
          <cell r="J13">
            <v>7</v>
          </cell>
          <cell r="P13">
            <v>68</v>
          </cell>
        </row>
        <row r="14">
          <cell r="A14">
            <v>7</v>
          </cell>
          <cell r="F14">
            <v>6</v>
          </cell>
          <cell r="G14">
            <v>5</v>
          </cell>
          <cell r="H14">
            <v>14</v>
          </cell>
          <cell r="K14">
            <v>12</v>
          </cell>
          <cell r="M14">
            <v>22</v>
          </cell>
          <cell r="P14">
            <v>59</v>
          </cell>
        </row>
        <row r="15">
          <cell r="A15">
            <v>8</v>
          </cell>
          <cell r="F15">
            <v>45</v>
          </cell>
          <cell r="G15">
            <v>21</v>
          </cell>
          <cell r="I15">
            <v>5</v>
          </cell>
          <cell r="P15">
            <v>71</v>
          </cell>
        </row>
        <row r="16">
          <cell r="A16">
            <v>9</v>
          </cell>
          <cell r="F16">
            <v>6</v>
          </cell>
          <cell r="G16">
            <v>5</v>
          </cell>
          <cell r="H16">
            <v>32</v>
          </cell>
          <cell r="P16">
            <v>43</v>
          </cell>
        </row>
        <row r="17">
          <cell r="A17">
            <v>10</v>
          </cell>
          <cell r="F17">
            <v>85</v>
          </cell>
          <cell r="J17">
            <v>10</v>
          </cell>
          <cell r="P17">
            <v>95</v>
          </cell>
        </row>
        <row r="18">
          <cell r="A18">
            <v>11</v>
          </cell>
          <cell r="F18">
            <v>16</v>
          </cell>
          <cell r="H18">
            <v>80</v>
          </cell>
          <cell r="K18">
            <v>4</v>
          </cell>
          <cell r="M18">
            <v>15</v>
          </cell>
          <cell r="P18">
            <v>115</v>
          </cell>
        </row>
        <row r="19">
          <cell r="A19">
            <v>12</v>
          </cell>
          <cell r="F19">
            <v>39</v>
          </cell>
          <cell r="H19">
            <v>22</v>
          </cell>
          <cell r="P19">
            <v>61</v>
          </cell>
        </row>
        <row r="20">
          <cell r="A20">
            <v>13</v>
          </cell>
          <cell r="F20">
            <v>72</v>
          </cell>
          <cell r="H20">
            <v>26</v>
          </cell>
          <cell r="P20">
            <v>98</v>
          </cell>
        </row>
        <row r="21">
          <cell r="A21">
            <v>14</v>
          </cell>
          <cell r="F21">
            <v>71</v>
          </cell>
          <cell r="H21">
            <v>68</v>
          </cell>
          <cell r="P21">
            <v>139</v>
          </cell>
        </row>
        <row r="22">
          <cell r="A22">
            <v>15</v>
          </cell>
          <cell r="F22">
            <v>49</v>
          </cell>
          <cell r="J22">
            <v>5</v>
          </cell>
          <cell r="P22">
            <v>54</v>
          </cell>
        </row>
        <row r="23">
          <cell r="A23">
            <v>16</v>
          </cell>
          <cell r="H23">
            <v>277</v>
          </cell>
          <cell r="K23">
            <v>6</v>
          </cell>
          <cell r="P23">
            <v>283</v>
          </cell>
        </row>
        <row r="24">
          <cell r="A24">
            <v>17</v>
          </cell>
          <cell r="K24">
            <v>12</v>
          </cell>
          <cell r="M24">
            <v>28</v>
          </cell>
          <cell r="P24">
            <v>40</v>
          </cell>
        </row>
        <row r="25">
          <cell r="A25">
            <v>18</v>
          </cell>
          <cell r="F25">
            <v>5</v>
          </cell>
          <cell r="H25">
            <v>21</v>
          </cell>
          <cell r="I25">
            <v>58</v>
          </cell>
          <cell r="P25">
            <v>84</v>
          </cell>
        </row>
        <row r="26">
          <cell r="A26">
            <v>19</v>
          </cell>
          <cell r="I26">
            <v>13</v>
          </cell>
          <cell r="M26">
            <v>12</v>
          </cell>
          <cell r="P26">
            <v>25</v>
          </cell>
        </row>
        <row r="27">
          <cell r="A27">
            <v>20</v>
          </cell>
          <cell r="H27">
            <v>7</v>
          </cell>
          <cell r="P27">
            <v>7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0</v>
          </cell>
          <cell r="E32">
            <v>0</v>
          </cell>
          <cell r="F32">
            <v>501</v>
          </cell>
          <cell r="G32">
            <v>37</v>
          </cell>
          <cell r="H32">
            <v>694</v>
          </cell>
          <cell r="I32">
            <v>166</v>
          </cell>
          <cell r="J32">
            <v>102</v>
          </cell>
          <cell r="K32">
            <v>34</v>
          </cell>
          <cell r="L32">
            <v>0</v>
          </cell>
          <cell r="M32">
            <v>77</v>
          </cell>
          <cell r="N32">
            <v>0</v>
          </cell>
          <cell r="O32">
            <v>8</v>
          </cell>
          <cell r="P32">
            <v>1619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6" refreshError="1">
        <row r="2">
          <cell r="F2" t="str">
            <v>Line Downtime for April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filler-uncaser</v>
          </cell>
          <cell r="C6" t="str">
            <v>caser-filler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H8">
            <v>345</v>
          </cell>
          <cell r="P8">
            <v>345</v>
          </cell>
        </row>
        <row r="9">
          <cell r="A9">
            <v>2</v>
          </cell>
          <cell r="H9">
            <v>65</v>
          </cell>
          <cell r="O9">
            <v>11</v>
          </cell>
          <cell r="P9">
            <v>76</v>
          </cell>
        </row>
        <row r="10">
          <cell r="A10">
            <v>3</v>
          </cell>
          <cell r="H10">
            <v>340</v>
          </cell>
          <cell r="P10">
            <v>340</v>
          </cell>
        </row>
        <row r="11">
          <cell r="A11">
            <v>4</v>
          </cell>
          <cell r="F11">
            <v>5</v>
          </cell>
          <cell r="G11">
            <v>7</v>
          </cell>
          <cell r="H11">
            <v>5</v>
          </cell>
          <cell r="J11">
            <v>4</v>
          </cell>
          <cell r="M11">
            <v>28</v>
          </cell>
          <cell r="P11">
            <v>49</v>
          </cell>
        </row>
        <row r="12">
          <cell r="A12">
            <v>5</v>
          </cell>
          <cell r="H12">
            <v>118</v>
          </cell>
          <cell r="P12">
            <v>118</v>
          </cell>
        </row>
        <row r="13">
          <cell r="A13">
            <v>6</v>
          </cell>
          <cell r="F13">
            <v>20</v>
          </cell>
          <cell r="M13">
            <v>15</v>
          </cell>
          <cell r="P13">
            <v>35</v>
          </cell>
        </row>
        <row r="14">
          <cell r="A14">
            <v>7</v>
          </cell>
          <cell r="H14">
            <v>87</v>
          </cell>
          <cell r="K14">
            <v>20</v>
          </cell>
          <cell r="O14">
            <v>35</v>
          </cell>
          <cell r="P14">
            <v>142</v>
          </cell>
        </row>
        <row r="15">
          <cell r="A15">
            <v>8</v>
          </cell>
          <cell r="F15">
            <v>39</v>
          </cell>
          <cell r="H15">
            <v>19</v>
          </cell>
          <cell r="P15">
            <v>58</v>
          </cell>
        </row>
        <row r="16">
          <cell r="A16">
            <v>9</v>
          </cell>
          <cell r="F16">
            <v>25</v>
          </cell>
          <cell r="H16">
            <v>8</v>
          </cell>
          <cell r="P16">
            <v>33</v>
          </cell>
        </row>
        <row r="17">
          <cell r="A17">
            <v>10</v>
          </cell>
          <cell r="E17">
            <v>10</v>
          </cell>
          <cell r="F17">
            <v>39</v>
          </cell>
          <cell r="H17">
            <v>5</v>
          </cell>
          <cell r="K17">
            <v>11</v>
          </cell>
          <cell r="O17">
            <v>44</v>
          </cell>
          <cell r="P17">
            <v>109</v>
          </cell>
        </row>
        <row r="18">
          <cell r="A18">
            <v>11</v>
          </cell>
          <cell r="F18">
            <v>33</v>
          </cell>
          <cell r="H18">
            <v>33</v>
          </cell>
          <cell r="I18">
            <v>23</v>
          </cell>
          <cell r="J18">
            <v>85</v>
          </cell>
          <cell r="P18">
            <v>174</v>
          </cell>
        </row>
        <row r="19">
          <cell r="A19">
            <v>12</v>
          </cell>
          <cell r="F19">
            <v>25</v>
          </cell>
          <cell r="H19">
            <v>40</v>
          </cell>
          <cell r="J19">
            <v>5</v>
          </cell>
          <cell r="P19">
            <v>70</v>
          </cell>
        </row>
        <row r="20">
          <cell r="A20">
            <v>13</v>
          </cell>
          <cell r="F20">
            <v>25</v>
          </cell>
          <cell r="H20">
            <v>14</v>
          </cell>
          <cell r="M20" t="str">
            <v>*</v>
          </cell>
          <cell r="P20">
            <v>39</v>
          </cell>
          <cell r="Q20" t="str">
            <v>Hand Packing(3250)</v>
          </cell>
        </row>
        <row r="21">
          <cell r="A21">
            <v>14</v>
          </cell>
          <cell r="F21">
            <v>55</v>
          </cell>
          <cell r="H21">
            <v>25</v>
          </cell>
          <cell r="M21">
            <v>30</v>
          </cell>
          <cell r="P21">
            <v>110</v>
          </cell>
          <cell r="Q21" t="str">
            <v>Hand Packing(340)</v>
          </cell>
        </row>
        <row r="22">
          <cell r="A22">
            <v>15</v>
          </cell>
          <cell r="P22">
            <v>0</v>
          </cell>
        </row>
        <row r="23">
          <cell r="A23">
            <v>16</v>
          </cell>
          <cell r="P23">
            <v>0</v>
          </cell>
        </row>
        <row r="24">
          <cell r="A24">
            <v>17</v>
          </cell>
          <cell r="P24">
            <v>0</v>
          </cell>
        </row>
        <row r="25">
          <cell r="A25">
            <v>18</v>
          </cell>
          <cell r="P25">
            <v>0</v>
          </cell>
        </row>
        <row r="26">
          <cell r="A26">
            <v>19</v>
          </cell>
          <cell r="P26">
            <v>0</v>
          </cell>
        </row>
        <row r="27">
          <cell r="A27">
            <v>20</v>
          </cell>
          <cell r="P27">
            <v>0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0</v>
          </cell>
          <cell r="E32">
            <v>10</v>
          </cell>
          <cell r="F32">
            <v>266</v>
          </cell>
          <cell r="G32">
            <v>7</v>
          </cell>
          <cell r="H32">
            <v>1104</v>
          </cell>
          <cell r="I32">
            <v>23</v>
          </cell>
          <cell r="J32">
            <v>94</v>
          </cell>
          <cell r="K32">
            <v>31</v>
          </cell>
          <cell r="L32">
            <v>0</v>
          </cell>
          <cell r="M32">
            <v>73</v>
          </cell>
          <cell r="N32">
            <v>0</v>
          </cell>
          <cell r="O32">
            <v>90</v>
          </cell>
          <cell r="P32">
            <v>1698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7" refreshError="1">
        <row r="2">
          <cell r="F2" t="str">
            <v>Line Downtime for May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filler-uncaser</v>
          </cell>
          <cell r="C6" t="str">
            <v>caser-filler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D8">
            <v>0.67</v>
          </cell>
          <cell r="E8">
            <v>0</v>
          </cell>
          <cell r="F8">
            <v>69</v>
          </cell>
          <cell r="I8">
            <v>15</v>
          </cell>
          <cell r="P8">
            <v>84</v>
          </cell>
        </row>
        <row r="9">
          <cell r="A9">
            <v>2</v>
          </cell>
          <cell r="D9">
            <v>0.79</v>
          </cell>
          <cell r="E9">
            <v>10</v>
          </cell>
          <cell r="F9">
            <v>13</v>
          </cell>
          <cell r="H9">
            <v>45</v>
          </cell>
          <cell r="J9">
            <v>8</v>
          </cell>
          <cell r="P9">
            <v>76</v>
          </cell>
        </row>
        <row r="10">
          <cell r="A10">
            <v>3</v>
          </cell>
          <cell r="D10">
            <v>0.88</v>
          </cell>
          <cell r="F10">
            <v>53</v>
          </cell>
          <cell r="P10">
            <v>53</v>
          </cell>
        </row>
        <row r="11">
          <cell r="A11">
            <v>4</v>
          </cell>
          <cell r="D11">
            <v>0.89</v>
          </cell>
          <cell r="F11">
            <v>4</v>
          </cell>
          <cell r="H11">
            <v>5</v>
          </cell>
          <cell r="K11">
            <v>11</v>
          </cell>
          <cell r="M11">
            <v>30</v>
          </cell>
          <cell r="O11">
            <v>30</v>
          </cell>
          <cell r="P11">
            <v>80</v>
          </cell>
        </row>
        <row r="12">
          <cell r="A12">
            <v>5</v>
          </cell>
          <cell r="D12">
            <v>0.82</v>
          </cell>
          <cell r="F12">
            <v>11</v>
          </cell>
          <cell r="H12">
            <v>144</v>
          </cell>
          <cell r="I12">
            <v>10</v>
          </cell>
          <cell r="P12">
            <v>165</v>
          </cell>
        </row>
        <row r="13">
          <cell r="A13">
            <v>6</v>
          </cell>
          <cell r="D13">
            <v>0.92</v>
          </cell>
          <cell r="F13">
            <v>25</v>
          </cell>
          <cell r="I13">
            <v>20</v>
          </cell>
          <cell r="M13">
            <v>17</v>
          </cell>
          <cell r="P13">
            <v>62</v>
          </cell>
        </row>
        <row r="14">
          <cell r="A14">
            <v>7</v>
          </cell>
          <cell r="D14">
            <v>0.91</v>
          </cell>
          <cell r="F14">
            <v>14</v>
          </cell>
          <cell r="J14">
            <v>15</v>
          </cell>
          <cell r="K14">
            <v>10</v>
          </cell>
          <cell r="M14">
            <v>15</v>
          </cell>
          <cell r="O14">
            <v>4</v>
          </cell>
          <cell r="P14">
            <v>58</v>
          </cell>
        </row>
        <row r="15">
          <cell r="A15">
            <v>8</v>
          </cell>
          <cell r="D15">
            <v>0.67</v>
          </cell>
          <cell r="F15">
            <v>12</v>
          </cell>
          <cell r="H15">
            <v>4</v>
          </cell>
          <cell r="I15">
            <v>15</v>
          </cell>
          <cell r="J15">
            <v>32</v>
          </cell>
          <cell r="P15">
            <v>63</v>
          </cell>
        </row>
        <row r="16">
          <cell r="A16">
            <v>9</v>
          </cell>
          <cell r="D16">
            <v>0.77</v>
          </cell>
          <cell r="F16">
            <v>5</v>
          </cell>
          <cell r="L16">
            <v>53</v>
          </cell>
          <cell r="M16">
            <v>8</v>
          </cell>
          <cell r="O16">
            <v>10</v>
          </cell>
          <cell r="P16">
            <v>76</v>
          </cell>
        </row>
        <row r="17">
          <cell r="A17">
            <v>10</v>
          </cell>
          <cell r="D17">
            <v>0.82</v>
          </cell>
          <cell r="F17">
            <v>19</v>
          </cell>
          <cell r="I17">
            <v>69</v>
          </cell>
          <cell r="J17">
            <v>3</v>
          </cell>
          <cell r="M17">
            <v>27</v>
          </cell>
          <cell r="P17">
            <v>118</v>
          </cell>
        </row>
        <row r="18">
          <cell r="A18">
            <v>11</v>
          </cell>
          <cell r="D18">
            <v>0.68</v>
          </cell>
          <cell r="I18">
            <v>135</v>
          </cell>
          <cell r="J18">
            <v>28</v>
          </cell>
          <cell r="O18">
            <v>16</v>
          </cell>
          <cell r="P18">
            <v>179</v>
          </cell>
        </row>
        <row r="19">
          <cell r="A19">
            <v>12</v>
          </cell>
          <cell r="D19">
            <v>0.78</v>
          </cell>
          <cell r="F19">
            <v>15</v>
          </cell>
          <cell r="J19">
            <v>6</v>
          </cell>
          <cell r="P19">
            <v>21</v>
          </cell>
        </row>
        <row r="20">
          <cell r="A20">
            <v>13</v>
          </cell>
          <cell r="D20">
            <v>0.85</v>
          </cell>
          <cell r="F20">
            <v>24</v>
          </cell>
          <cell r="G20">
            <v>10</v>
          </cell>
          <cell r="H20">
            <v>10</v>
          </cell>
          <cell r="I20">
            <v>20</v>
          </cell>
          <cell r="P20">
            <v>64</v>
          </cell>
        </row>
        <row r="21">
          <cell r="A21">
            <v>14</v>
          </cell>
          <cell r="D21">
            <v>0.83</v>
          </cell>
          <cell r="F21">
            <v>6</v>
          </cell>
          <cell r="K21">
            <v>22</v>
          </cell>
          <cell r="L21">
            <v>7</v>
          </cell>
          <cell r="P21">
            <v>35</v>
          </cell>
        </row>
        <row r="22">
          <cell r="A22">
            <v>15</v>
          </cell>
          <cell r="D22">
            <v>0.88</v>
          </cell>
          <cell r="F22">
            <v>45</v>
          </cell>
          <cell r="I22">
            <v>6</v>
          </cell>
          <cell r="J22">
            <v>45</v>
          </cell>
          <cell r="P22">
            <v>96</v>
          </cell>
        </row>
        <row r="23">
          <cell r="A23">
            <v>16</v>
          </cell>
          <cell r="D23">
            <v>0.94</v>
          </cell>
          <cell r="F23">
            <v>27</v>
          </cell>
          <cell r="P23">
            <v>27</v>
          </cell>
        </row>
        <row r="24">
          <cell r="A24">
            <v>17</v>
          </cell>
          <cell r="D24">
            <v>0.83</v>
          </cell>
          <cell r="F24">
            <v>20</v>
          </cell>
          <cell r="I24">
            <v>10</v>
          </cell>
          <cell r="K24">
            <v>12</v>
          </cell>
          <cell r="O24">
            <v>35</v>
          </cell>
          <cell r="P24">
            <v>77</v>
          </cell>
        </row>
        <row r="25">
          <cell r="A25">
            <v>18</v>
          </cell>
          <cell r="D25">
            <v>1.02</v>
          </cell>
          <cell r="F25">
            <v>32</v>
          </cell>
          <cell r="I25">
            <v>50</v>
          </cell>
          <cell r="P25">
            <v>82</v>
          </cell>
        </row>
        <row r="26">
          <cell r="A26">
            <v>19</v>
          </cell>
          <cell r="P26">
            <v>0</v>
          </cell>
        </row>
        <row r="27">
          <cell r="A27">
            <v>20</v>
          </cell>
          <cell r="P27">
            <v>0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14.95</v>
          </cell>
          <cell r="E32">
            <v>10</v>
          </cell>
          <cell r="F32">
            <v>394</v>
          </cell>
          <cell r="G32">
            <v>10</v>
          </cell>
          <cell r="H32">
            <v>208</v>
          </cell>
          <cell r="I32">
            <v>350</v>
          </cell>
          <cell r="J32">
            <v>137</v>
          </cell>
          <cell r="K32">
            <v>55</v>
          </cell>
          <cell r="L32">
            <v>60</v>
          </cell>
          <cell r="M32">
            <v>97</v>
          </cell>
          <cell r="N32">
            <v>0</v>
          </cell>
          <cell r="O32">
            <v>95</v>
          </cell>
          <cell r="P32">
            <v>1416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8" refreshError="1">
        <row r="2">
          <cell r="F2" t="str">
            <v>Line Downtime for June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filler-uncaser</v>
          </cell>
          <cell r="C6" t="str">
            <v>caser-filler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D8">
            <v>0.86</v>
          </cell>
          <cell r="F8">
            <v>39</v>
          </cell>
          <cell r="P8">
            <v>39</v>
          </cell>
        </row>
        <row r="9">
          <cell r="A9">
            <v>2</v>
          </cell>
          <cell r="D9">
            <v>0.91</v>
          </cell>
          <cell r="F9">
            <v>53</v>
          </cell>
          <cell r="O9">
            <v>8</v>
          </cell>
          <cell r="P9">
            <v>61</v>
          </cell>
        </row>
        <row r="10">
          <cell r="A10">
            <v>3</v>
          </cell>
          <cell r="D10">
            <v>0.96</v>
          </cell>
          <cell r="F10">
            <v>9</v>
          </cell>
          <cell r="O10">
            <v>8</v>
          </cell>
          <cell r="P10">
            <v>17</v>
          </cell>
        </row>
        <row r="11">
          <cell r="A11">
            <v>4</v>
          </cell>
          <cell r="D11">
            <v>1</v>
          </cell>
          <cell r="P11">
            <v>0</v>
          </cell>
        </row>
        <row r="12">
          <cell r="A12">
            <v>5</v>
          </cell>
          <cell r="D12">
            <v>1.05</v>
          </cell>
          <cell r="E12">
            <v>15</v>
          </cell>
          <cell r="F12">
            <v>12</v>
          </cell>
          <cell r="I12">
            <v>4</v>
          </cell>
          <cell r="O12">
            <v>7</v>
          </cell>
          <cell r="P12">
            <v>38</v>
          </cell>
        </row>
        <row r="13">
          <cell r="A13">
            <v>6</v>
          </cell>
          <cell r="D13">
            <v>0.92</v>
          </cell>
          <cell r="F13">
            <v>6</v>
          </cell>
          <cell r="J13">
            <v>4</v>
          </cell>
          <cell r="P13">
            <v>10</v>
          </cell>
        </row>
        <row r="14">
          <cell r="A14">
            <v>7</v>
          </cell>
          <cell r="D14">
            <v>0.79</v>
          </cell>
          <cell r="G14">
            <v>7</v>
          </cell>
          <cell r="H14">
            <v>10</v>
          </cell>
          <cell r="I14">
            <v>20</v>
          </cell>
          <cell r="J14">
            <v>24</v>
          </cell>
          <cell r="P14">
            <v>61</v>
          </cell>
        </row>
        <row r="15">
          <cell r="A15">
            <v>8</v>
          </cell>
          <cell r="D15">
            <v>0.81</v>
          </cell>
          <cell r="F15">
            <v>23</v>
          </cell>
          <cell r="P15">
            <v>23</v>
          </cell>
        </row>
        <row r="16">
          <cell r="A16">
            <v>9</v>
          </cell>
          <cell r="D16">
            <v>0.81</v>
          </cell>
          <cell r="F16">
            <v>6</v>
          </cell>
          <cell r="I16">
            <v>40</v>
          </cell>
          <cell r="M16">
            <v>5</v>
          </cell>
          <cell r="P16">
            <v>51</v>
          </cell>
        </row>
        <row r="17">
          <cell r="A17">
            <v>10</v>
          </cell>
          <cell r="D17">
            <v>0.79</v>
          </cell>
          <cell r="E17">
            <v>13</v>
          </cell>
          <cell r="P17">
            <v>13</v>
          </cell>
        </row>
        <row r="18">
          <cell r="A18">
            <v>11</v>
          </cell>
          <cell r="D18">
            <v>0.76</v>
          </cell>
          <cell r="F18">
            <v>15</v>
          </cell>
          <cell r="I18">
            <v>38</v>
          </cell>
          <cell r="L18">
            <v>12</v>
          </cell>
          <cell r="O18">
            <v>50</v>
          </cell>
          <cell r="P18">
            <v>115</v>
          </cell>
        </row>
        <row r="19">
          <cell r="A19">
            <v>12</v>
          </cell>
          <cell r="D19">
            <v>0.81</v>
          </cell>
          <cell r="I19">
            <v>3</v>
          </cell>
          <cell r="L19">
            <v>7</v>
          </cell>
          <cell r="P19">
            <v>10</v>
          </cell>
        </row>
        <row r="20">
          <cell r="A20">
            <v>13</v>
          </cell>
          <cell r="D20">
            <v>0.96</v>
          </cell>
          <cell r="K20">
            <v>8</v>
          </cell>
          <cell r="O20">
            <v>8</v>
          </cell>
          <cell r="P20">
            <v>16</v>
          </cell>
        </row>
        <row r="21">
          <cell r="A21">
            <v>14</v>
          </cell>
          <cell r="D21">
            <v>0.65</v>
          </cell>
          <cell r="F21">
            <v>12</v>
          </cell>
          <cell r="J21">
            <v>9</v>
          </cell>
          <cell r="L21">
            <v>6</v>
          </cell>
          <cell r="O21">
            <v>10</v>
          </cell>
          <cell r="P21">
            <v>37</v>
          </cell>
          <cell r="Q21" t="str">
            <v xml:space="preserve">Low CO2 </v>
          </cell>
        </row>
        <row r="22">
          <cell r="A22">
            <v>15</v>
          </cell>
          <cell r="D22">
            <v>0.82</v>
          </cell>
          <cell r="F22">
            <v>7</v>
          </cell>
          <cell r="P22">
            <v>7</v>
          </cell>
        </row>
        <row r="23">
          <cell r="A23">
            <v>16</v>
          </cell>
          <cell r="D23">
            <v>0.92</v>
          </cell>
          <cell r="F23">
            <v>5</v>
          </cell>
          <cell r="H23">
            <v>7</v>
          </cell>
          <cell r="J23">
            <v>5</v>
          </cell>
          <cell r="P23">
            <v>17</v>
          </cell>
        </row>
        <row r="24">
          <cell r="A24">
            <v>17</v>
          </cell>
          <cell r="B24">
            <v>65</v>
          </cell>
          <cell r="C24">
            <v>45</v>
          </cell>
          <cell r="D24">
            <v>0.99</v>
          </cell>
          <cell r="I24">
            <v>30</v>
          </cell>
          <cell r="P24">
            <v>30</v>
          </cell>
        </row>
        <row r="25">
          <cell r="A25">
            <v>18</v>
          </cell>
          <cell r="B25">
            <v>50</v>
          </cell>
          <cell r="C25">
            <v>50</v>
          </cell>
          <cell r="D25">
            <v>0.6</v>
          </cell>
          <cell r="F25">
            <v>24</v>
          </cell>
          <cell r="M25">
            <v>9</v>
          </cell>
          <cell r="P25">
            <v>33</v>
          </cell>
        </row>
        <row r="26">
          <cell r="A26">
            <v>19</v>
          </cell>
          <cell r="B26">
            <v>62</v>
          </cell>
          <cell r="C26">
            <v>62</v>
          </cell>
          <cell r="D26">
            <v>0.66</v>
          </cell>
          <cell r="H26">
            <v>6</v>
          </cell>
          <cell r="J26">
            <v>9</v>
          </cell>
          <cell r="P26">
            <v>15</v>
          </cell>
        </row>
        <row r="27">
          <cell r="A27">
            <v>20</v>
          </cell>
          <cell r="B27">
            <v>50</v>
          </cell>
          <cell r="C27">
            <v>31</v>
          </cell>
          <cell r="D27">
            <v>0.33</v>
          </cell>
          <cell r="P27">
            <v>0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16.400000000000002</v>
          </cell>
          <cell r="E32">
            <v>28</v>
          </cell>
          <cell r="F32">
            <v>211</v>
          </cell>
          <cell r="G32">
            <v>7</v>
          </cell>
          <cell r="H32">
            <v>23</v>
          </cell>
          <cell r="I32">
            <v>135</v>
          </cell>
          <cell r="J32">
            <v>51</v>
          </cell>
          <cell r="K32">
            <v>8</v>
          </cell>
          <cell r="L32">
            <v>25</v>
          </cell>
          <cell r="M32">
            <v>14</v>
          </cell>
          <cell r="N32">
            <v>0</v>
          </cell>
          <cell r="O32">
            <v>91</v>
          </cell>
          <cell r="P32">
            <v>593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9" refreshError="1">
        <row r="2">
          <cell r="F2" t="str">
            <v>Line Downtime for July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filler-uncaser</v>
          </cell>
          <cell r="C6" t="str">
            <v>caser-filler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B8">
            <v>40</v>
          </cell>
          <cell r="C8">
            <v>40</v>
          </cell>
          <cell r="F8">
            <v>66</v>
          </cell>
          <cell r="P8">
            <v>66</v>
          </cell>
        </row>
        <row r="9">
          <cell r="A9">
            <v>2</v>
          </cell>
          <cell r="B9">
            <v>65</v>
          </cell>
          <cell r="C9">
            <v>8</v>
          </cell>
          <cell r="O9">
            <v>18</v>
          </cell>
          <cell r="P9">
            <v>18</v>
          </cell>
          <cell r="Q9" t="str">
            <v>Carbocooler</v>
          </cell>
        </row>
        <row r="10">
          <cell r="A10">
            <v>3</v>
          </cell>
          <cell r="D10">
            <v>0.8</v>
          </cell>
          <cell r="F10">
            <v>46</v>
          </cell>
          <cell r="H10">
            <v>7</v>
          </cell>
          <cell r="P10">
            <v>53</v>
          </cell>
        </row>
        <row r="11">
          <cell r="A11">
            <v>4</v>
          </cell>
          <cell r="D11">
            <v>0.74</v>
          </cell>
          <cell r="E11">
            <v>15</v>
          </cell>
          <cell r="F11">
            <v>30</v>
          </cell>
          <cell r="I11">
            <v>11</v>
          </cell>
          <cell r="P11">
            <v>56</v>
          </cell>
        </row>
        <row r="12">
          <cell r="A12">
            <v>5</v>
          </cell>
          <cell r="D12">
            <v>0.25</v>
          </cell>
          <cell r="F12">
            <v>15</v>
          </cell>
          <cell r="P12">
            <v>15</v>
          </cell>
        </row>
        <row r="13">
          <cell r="A13">
            <v>6</v>
          </cell>
          <cell r="B13">
            <v>75</v>
          </cell>
          <cell r="C13">
            <v>55</v>
          </cell>
          <cell r="D13">
            <v>0.89</v>
          </cell>
          <cell r="F13">
            <v>69</v>
          </cell>
          <cell r="H13">
            <v>15</v>
          </cell>
          <cell r="P13">
            <v>84</v>
          </cell>
        </row>
        <row r="14">
          <cell r="A14">
            <v>7</v>
          </cell>
          <cell r="B14">
            <v>210</v>
          </cell>
          <cell r="C14">
            <v>10</v>
          </cell>
          <cell r="D14">
            <v>0.7</v>
          </cell>
          <cell r="F14">
            <v>6</v>
          </cell>
          <cell r="G14">
            <v>30</v>
          </cell>
          <cell r="P14">
            <v>36</v>
          </cell>
        </row>
        <row r="15">
          <cell r="A15">
            <v>8</v>
          </cell>
          <cell r="B15">
            <v>74</v>
          </cell>
          <cell r="C15">
            <v>45</v>
          </cell>
          <cell r="D15">
            <v>0.67</v>
          </cell>
          <cell r="F15">
            <v>10</v>
          </cell>
          <cell r="G15">
            <v>3</v>
          </cell>
          <cell r="H15">
            <v>20</v>
          </cell>
          <cell r="L15">
            <v>25</v>
          </cell>
          <cell r="P15">
            <v>58</v>
          </cell>
        </row>
        <row r="16">
          <cell r="A16">
            <v>9</v>
          </cell>
          <cell r="B16">
            <v>130</v>
          </cell>
          <cell r="C16">
            <v>69</v>
          </cell>
          <cell r="D16">
            <v>0.66</v>
          </cell>
          <cell r="F16">
            <v>55</v>
          </cell>
          <cell r="I16">
            <v>16</v>
          </cell>
          <cell r="L16">
            <v>102</v>
          </cell>
          <cell r="P16">
            <v>173</v>
          </cell>
        </row>
        <row r="17">
          <cell r="A17">
            <v>10</v>
          </cell>
          <cell r="B17">
            <v>125</v>
          </cell>
          <cell r="C17">
            <v>60</v>
          </cell>
          <cell r="F17">
            <v>216</v>
          </cell>
          <cell r="G17">
            <v>4</v>
          </cell>
          <cell r="J17">
            <v>30</v>
          </cell>
          <cell r="P17">
            <v>250</v>
          </cell>
        </row>
        <row r="18">
          <cell r="A18">
            <v>11</v>
          </cell>
          <cell r="E18">
            <v>20</v>
          </cell>
          <cell r="F18">
            <v>12</v>
          </cell>
          <cell r="L18">
            <v>36</v>
          </cell>
          <cell r="P18">
            <v>68</v>
          </cell>
        </row>
        <row r="19">
          <cell r="A19">
            <v>12</v>
          </cell>
          <cell r="D19">
            <v>0.76</v>
          </cell>
          <cell r="F19">
            <v>8</v>
          </cell>
          <cell r="L19">
            <v>14</v>
          </cell>
          <cell r="P19">
            <v>22</v>
          </cell>
        </row>
        <row r="20">
          <cell r="A20">
            <v>13</v>
          </cell>
          <cell r="B20">
            <v>115</v>
          </cell>
          <cell r="C20">
            <v>55</v>
          </cell>
          <cell r="D20">
            <v>0.95</v>
          </cell>
          <cell r="F20">
            <v>9</v>
          </cell>
          <cell r="G20">
            <v>3</v>
          </cell>
          <cell r="M20">
            <v>15</v>
          </cell>
          <cell r="P20">
            <v>27</v>
          </cell>
        </row>
        <row r="21">
          <cell r="A21">
            <v>14</v>
          </cell>
          <cell r="D21">
            <v>0.71</v>
          </cell>
          <cell r="E21">
            <v>20</v>
          </cell>
          <cell r="F21">
            <v>12</v>
          </cell>
          <cell r="L21">
            <v>36</v>
          </cell>
          <cell r="P21">
            <v>68</v>
          </cell>
        </row>
        <row r="22">
          <cell r="A22">
            <v>15</v>
          </cell>
          <cell r="D22">
            <v>0.72</v>
          </cell>
          <cell r="E22">
            <v>11</v>
          </cell>
          <cell r="F22">
            <v>21</v>
          </cell>
          <cell r="M22">
            <v>61</v>
          </cell>
          <cell r="P22">
            <v>93</v>
          </cell>
        </row>
        <row r="23">
          <cell r="A23">
            <v>16</v>
          </cell>
          <cell r="D23">
            <v>0.76</v>
          </cell>
          <cell r="F23">
            <v>8</v>
          </cell>
          <cell r="L23">
            <v>14</v>
          </cell>
          <cell r="P23">
            <v>22</v>
          </cell>
        </row>
        <row r="24">
          <cell r="A24">
            <v>17</v>
          </cell>
          <cell r="B24">
            <v>125</v>
          </cell>
          <cell r="C24">
            <v>55</v>
          </cell>
          <cell r="D24">
            <v>0.95</v>
          </cell>
          <cell r="F24">
            <v>9</v>
          </cell>
          <cell r="G24">
            <v>3</v>
          </cell>
          <cell r="M24">
            <v>15</v>
          </cell>
          <cell r="P24">
            <v>27</v>
          </cell>
        </row>
        <row r="25">
          <cell r="A25">
            <v>18</v>
          </cell>
          <cell r="D25">
            <v>0.89</v>
          </cell>
          <cell r="F25">
            <v>9</v>
          </cell>
          <cell r="J25">
            <v>12</v>
          </cell>
          <cell r="P25">
            <v>21</v>
          </cell>
        </row>
        <row r="26">
          <cell r="A26">
            <v>19</v>
          </cell>
          <cell r="B26">
            <v>110</v>
          </cell>
          <cell r="C26">
            <v>67</v>
          </cell>
          <cell r="D26">
            <v>0.56999999999999995</v>
          </cell>
          <cell r="F26">
            <v>14</v>
          </cell>
          <cell r="M26">
            <v>14</v>
          </cell>
          <cell r="O26">
            <v>52</v>
          </cell>
          <cell r="P26">
            <v>80</v>
          </cell>
          <cell r="Q26" t="str">
            <v>no bottles</v>
          </cell>
        </row>
        <row r="27">
          <cell r="A27">
            <v>20</v>
          </cell>
          <cell r="D27">
            <v>0.83</v>
          </cell>
          <cell r="L27">
            <v>8</v>
          </cell>
          <cell r="O27">
            <v>20</v>
          </cell>
          <cell r="P27">
            <v>28</v>
          </cell>
          <cell r="Q27" t="str">
            <v>compressor</v>
          </cell>
        </row>
        <row r="28">
          <cell r="A28">
            <v>21</v>
          </cell>
          <cell r="D28">
            <v>0.9</v>
          </cell>
          <cell r="O28">
            <v>20</v>
          </cell>
          <cell r="P28">
            <v>20</v>
          </cell>
          <cell r="Q28" t="str">
            <v>Compressor</v>
          </cell>
        </row>
        <row r="29">
          <cell r="A29">
            <v>22</v>
          </cell>
          <cell r="B29">
            <v>55</v>
          </cell>
          <cell r="C29">
            <v>70</v>
          </cell>
          <cell r="D29">
            <v>0.94</v>
          </cell>
          <cell r="F29">
            <v>44</v>
          </cell>
          <cell r="O29">
            <v>10</v>
          </cell>
          <cell r="P29">
            <v>54</v>
          </cell>
          <cell r="Q29" t="str">
            <v xml:space="preserve">Low CO2 </v>
          </cell>
        </row>
        <row r="30">
          <cell r="A30">
            <v>23</v>
          </cell>
          <cell r="B30">
            <v>70</v>
          </cell>
          <cell r="C30">
            <v>10</v>
          </cell>
          <cell r="D30">
            <v>0.95</v>
          </cell>
          <cell r="F30">
            <v>24</v>
          </cell>
          <cell r="L30">
            <v>10</v>
          </cell>
          <cell r="M30">
            <v>23</v>
          </cell>
          <cell r="P30">
            <v>57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14.639999999999999</v>
          </cell>
          <cell r="E32">
            <v>66</v>
          </cell>
          <cell r="F32">
            <v>683</v>
          </cell>
          <cell r="G32">
            <v>43</v>
          </cell>
          <cell r="H32">
            <v>42</v>
          </cell>
          <cell r="I32">
            <v>27</v>
          </cell>
          <cell r="J32">
            <v>42</v>
          </cell>
          <cell r="K32">
            <v>0</v>
          </cell>
          <cell r="L32">
            <v>245</v>
          </cell>
          <cell r="M32">
            <v>128</v>
          </cell>
          <cell r="N32">
            <v>0</v>
          </cell>
          <cell r="O32">
            <v>120</v>
          </cell>
          <cell r="P32">
            <v>1396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10" refreshError="1">
        <row r="2">
          <cell r="F2" t="str">
            <v>Line Downtime for August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Uncaser-Filler</v>
          </cell>
          <cell r="C6" t="str">
            <v>Filler-Packer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D8">
            <v>0.66</v>
          </cell>
          <cell r="F8">
            <v>28</v>
          </cell>
          <cell r="G8">
            <v>7</v>
          </cell>
          <cell r="P8">
            <v>35</v>
          </cell>
        </row>
        <row r="9">
          <cell r="A9">
            <v>2</v>
          </cell>
          <cell r="B9">
            <v>60</v>
          </cell>
          <cell r="C9">
            <v>47</v>
          </cell>
          <cell r="D9">
            <v>0.98</v>
          </cell>
          <cell r="F9">
            <v>55</v>
          </cell>
          <cell r="I9">
            <v>25</v>
          </cell>
          <cell r="J9">
            <v>3</v>
          </cell>
          <cell r="P9">
            <v>83</v>
          </cell>
        </row>
        <row r="10">
          <cell r="A10">
            <v>3</v>
          </cell>
          <cell r="B10">
            <v>55</v>
          </cell>
          <cell r="C10">
            <v>65</v>
          </cell>
          <cell r="D10">
            <v>0.72</v>
          </cell>
          <cell r="F10">
            <v>67</v>
          </cell>
          <cell r="H10">
            <v>15</v>
          </cell>
          <cell r="I10">
            <v>39</v>
          </cell>
          <cell r="J10">
            <v>5</v>
          </cell>
          <cell r="P10">
            <v>126</v>
          </cell>
        </row>
        <row r="11">
          <cell r="A11">
            <v>4</v>
          </cell>
          <cell r="B11">
            <v>45</v>
          </cell>
          <cell r="C11">
            <v>60</v>
          </cell>
          <cell r="D11">
            <v>0.65</v>
          </cell>
          <cell r="F11">
            <v>110</v>
          </cell>
          <cell r="I11">
            <v>66</v>
          </cell>
          <cell r="J11">
            <v>5</v>
          </cell>
          <cell r="P11">
            <v>181</v>
          </cell>
        </row>
        <row r="12">
          <cell r="A12">
            <v>5</v>
          </cell>
          <cell r="I12">
            <v>9</v>
          </cell>
          <cell r="O12">
            <v>26</v>
          </cell>
          <cell r="P12">
            <v>35</v>
          </cell>
          <cell r="Q12" t="str">
            <v>water pressure</v>
          </cell>
        </row>
        <row r="13">
          <cell r="A13">
            <v>6</v>
          </cell>
          <cell r="B13">
            <v>50</v>
          </cell>
          <cell r="C13">
            <v>5</v>
          </cell>
          <cell r="D13">
            <v>0.21</v>
          </cell>
          <cell r="M13">
            <v>15</v>
          </cell>
          <cell r="O13">
            <v>14</v>
          </cell>
          <cell r="P13">
            <v>29</v>
          </cell>
          <cell r="Q13" t="str">
            <v>water pressure</v>
          </cell>
        </row>
        <row r="14">
          <cell r="A14">
            <v>7</v>
          </cell>
          <cell r="B14">
            <v>70</v>
          </cell>
          <cell r="C14">
            <v>50</v>
          </cell>
          <cell r="D14">
            <v>0.76</v>
          </cell>
          <cell r="F14">
            <v>15</v>
          </cell>
          <cell r="I14">
            <v>5</v>
          </cell>
          <cell r="J14">
            <v>121</v>
          </cell>
          <cell r="P14">
            <v>141</v>
          </cell>
        </row>
        <row r="15">
          <cell r="A15">
            <v>8</v>
          </cell>
          <cell r="B15">
            <v>60</v>
          </cell>
          <cell r="C15">
            <v>60</v>
          </cell>
          <cell r="F15">
            <v>103</v>
          </cell>
          <cell r="P15">
            <v>103</v>
          </cell>
        </row>
        <row r="16">
          <cell r="A16">
            <v>9</v>
          </cell>
          <cell r="B16">
            <v>70</v>
          </cell>
          <cell r="C16">
            <v>48</v>
          </cell>
          <cell r="D16">
            <v>0.76</v>
          </cell>
          <cell r="I16">
            <v>83</v>
          </cell>
          <cell r="M16">
            <v>12</v>
          </cell>
          <cell r="O16">
            <v>51</v>
          </cell>
          <cell r="P16">
            <v>146</v>
          </cell>
          <cell r="Q16" t="str">
            <v>water pressure</v>
          </cell>
        </row>
        <row r="17">
          <cell r="A17">
            <v>10</v>
          </cell>
          <cell r="D17">
            <v>0.52</v>
          </cell>
          <cell r="M17">
            <v>20</v>
          </cell>
          <cell r="P17">
            <v>20</v>
          </cell>
        </row>
        <row r="18">
          <cell r="A18">
            <v>11</v>
          </cell>
          <cell r="B18">
            <v>65</v>
          </cell>
          <cell r="D18">
            <v>0.63</v>
          </cell>
          <cell r="F18">
            <v>226</v>
          </cell>
          <cell r="I18">
            <v>11</v>
          </cell>
          <cell r="O18">
            <v>8</v>
          </cell>
          <cell r="P18">
            <v>245</v>
          </cell>
          <cell r="Q18" t="str">
            <v>water pressure</v>
          </cell>
        </row>
        <row r="19">
          <cell r="A19">
            <v>12</v>
          </cell>
          <cell r="B19">
            <v>60</v>
          </cell>
          <cell r="C19">
            <v>60</v>
          </cell>
          <cell r="D19">
            <v>0.62</v>
          </cell>
          <cell r="G19">
            <v>9</v>
          </cell>
          <cell r="M19">
            <v>15</v>
          </cell>
          <cell r="P19">
            <v>24</v>
          </cell>
        </row>
        <row r="20">
          <cell r="A20">
            <v>13</v>
          </cell>
          <cell r="B20">
            <v>80</v>
          </cell>
          <cell r="C20">
            <v>55</v>
          </cell>
          <cell r="D20">
            <v>0.82</v>
          </cell>
          <cell r="F20">
            <v>22</v>
          </cell>
          <cell r="G20">
            <v>3</v>
          </cell>
          <cell r="I20">
            <v>15</v>
          </cell>
          <cell r="P20">
            <v>40</v>
          </cell>
          <cell r="Q20" t="str">
            <v>water pressure</v>
          </cell>
        </row>
        <row r="21">
          <cell r="A21">
            <v>14</v>
          </cell>
          <cell r="F21">
            <v>16</v>
          </cell>
          <cell r="H21">
            <v>4</v>
          </cell>
          <cell r="I21">
            <v>4</v>
          </cell>
          <cell r="P21">
            <v>24</v>
          </cell>
        </row>
        <row r="22">
          <cell r="A22">
            <v>15</v>
          </cell>
          <cell r="B22">
            <v>65</v>
          </cell>
          <cell r="C22">
            <v>132</v>
          </cell>
          <cell r="F22">
            <v>6</v>
          </cell>
          <cell r="G22">
            <v>6</v>
          </cell>
          <cell r="I22">
            <v>7</v>
          </cell>
          <cell r="P22">
            <v>19</v>
          </cell>
        </row>
        <row r="23">
          <cell r="A23">
            <v>16</v>
          </cell>
          <cell r="F23">
            <v>9</v>
          </cell>
          <cell r="K23">
            <v>3</v>
          </cell>
          <cell r="M23">
            <v>77</v>
          </cell>
          <cell r="P23">
            <v>89</v>
          </cell>
        </row>
        <row r="24">
          <cell r="A24">
            <v>17</v>
          </cell>
          <cell r="P24">
            <v>0</v>
          </cell>
        </row>
        <row r="25">
          <cell r="A25">
            <v>18</v>
          </cell>
          <cell r="P25">
            <v>0</v>
          </cell>
        </row>
        <row r="26">
          <cell r="A26">
            <v>19</v>
          </cell>
          <cell r="P26">
            <v>0</v>
          </cell>
        </row>
        <row r="27">
          <cell r="A27">
            <v>20</v>
          </cell>
          <cell r="P27">
            <v>0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7.33</v>
          </cell>
          <cell r="E32">
            <v>0</v>
          </cell>
          <cell r="F32">
            <v>657</v>
          </cell>
          <cell r="G32">
            <v>25</v>
          </cell>
          <cell r="H32">
            <v>19</v>
          </cell>
          <cell r="I32">
            <v>264</v>
          </cell>
          <cell r="J32">
            <v>134</v>
          </cell>
          <cell r="K32">
            <v>3</v>
          </cell>
          <cell r="L32">
            <v>0</v>
          </cell>
          <cell r="M32">
            <v>139</v>
          </cell>
          <cell r="N32">
            <v>0</v>
          </cell>
          <cell r="O32">
            <v>99</v>
          </cell>
          <cell r="P32">
            <v>1340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11" refreshError="1">
        <row r="2">
          <cell r="F2" t="str">
            <v>Line Downtime for September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Uncaser-Filer</v>
          </cell>
          <cell r="C6" t="str">
            <v>Filler-uncaser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B8">
            <v>85</v>
          </cell>
          <cell r="C8">
            <v>50</v>
          </cell>
          <cell r="D8">
            <v>0.63</v>
          </cell>
          <cell r="G8">
            <v>11</v>
          </cell>
          <cell r="P8">
            <v>11</v>
          </cell>
        </row>
        <row r="9">
          <cell r="A9">
            <v>2</v>
          </cell>
          <cell r="B9">
            <v>70</v>
          </cell>
          <cell r="C9">
            <v>75</v>
          </cell>
          <cell r="D9">
            <v>0.7</v>
          </cell>
          <cell r="E9">
            <v>13</v>
          </cell>
          <cell r="F9">
            <v>15</v>
          </cell>
          <cell r="G9">
            <v>4</v>
          </cell>
          <cell r="M9">
            <v>49</v>
          </cell>
          <cell r="P9">
            <v>81</v>
          </cell>
        </row>
        <row r="10">
          <cell r="A10">
            <v>3</v>
          </cell>
          <cell r="B10">
            <v>80</v>
          </cell>
          <cell r="C10">
            <v>5</v>
          </cell>
          <cell r="D10">
            <v>0.87</v>
          </cell>
          <cell r="F10">
            <v>8</v>
          </cell>
          <cell r="G10">
            <v>10</v>
          </cell>
          <cell r="H10">
            <v>0</v>
          </cell>
          <cell r="I10">
            <v>0</v>
          </cell>
          <cell r="K10">
            <v>7</v>
          </cell>
          <cell r="M10">
            <v>31</v>
          </cell>
          <cell r="P10">
            <v>56</v>
          </cell>
        </row>
        <row r="11">
          <cell r="A11">
            <v>4</v>
          </cell>
          <cell r="B11">
            <v>75</v>
          </cell>
          <cell r="C11">
            <v>5</v>
          </cell>
          <cell r="D11">
            <v>0.82</v>
          </cell>
          <cell r="F11">
            <v>8</v>
          </cell>
          <cell r="M11">
            <v>16</v>
          </cell>
          <cell r="P11">
            <v>24</v>
          </cell>
        </row>
        <row r="12">
          <cell r="A12">
            <v>5</v>
          </cell>
          <cell r="B12">
            <v>130</v>
          </cell>
          <cell r="C12">
            <v>45</v>
          </cell>
          <cell r="D12">
            <v>0.61</v>
          </cell>
          <cell r="F12">
            <v>14</v>
          </cell>
          <cell r="G12">
            <v>4</v>
          </cell>
          <cell r="H12">
            <v>40</v>
          </cell>
          <cell r="I12">
            <v>7</v>
          </cell>
          <cell r="L12">
            <v>24</v>
          </cell>
          <cell r="P12">
            <v>89</v>
          </cell>
        </row>
        <row r="13">
          <cell r="A13">
            <v>6</v>
          </cell>
          <cell r="B13">
            <v>125</v>
          </cell>
          <cell r="C13">
            <v>45</v>
          </cell>
          <cell r="D13">
            <v>0.91</v>
          </cell>
          <cell r="F13">
            <v>17</v>
          </cell>
          <cell r="M13">
            <v>25</v>
          </cell>
          <cell r="P13">
            <v>42</v>
          </cell>
        </row>
        <row r="14">
          <cell r="A14">
            <v>7</v>
          </cell>
          <cell r="D14">
            <v>0.93</v>
          </cell>
          <cell r="H14">
            <v>14</v>
          </cell>
          <cell r="M14">
            <v>12</v>
          </cell>
          <cell r="P14">
            <v>26</v>
          </cell>
        </row>
        <row r="15">
          <cell r="A15">
            <v>8</v>
          </cell>
          <cell r="B15">
            <v>59</v>
          </cell>
          <cell r="C15">
            <v>55</v>
          </cell>
          <cell r="D15">
            <v>0.97</v>
          </cell>
          <cell r="F15">
            <v>14</v>
          </cell>
          <cell r="M15">
            <v>6</v>
          </cell>
          <cell r="P15">
            <v>20</v>
          </cell>
        </row>
        <row r="16">
          <cell r="A16">
            <v>9</v>
          </cell>
          <cell r="D16">
            <v>0.73</v>
          </cell>
          <cell r="F16">
            <v>136</v>
          </cell>
          <cell r="P16">
            <v>136</v>
          </cell>
        </row>
        <row r="17">
          <cell r="A17">
            <v>10</v>
          </cell>
          <cell r="B17">
            <v>120</v>
          </cell>
          <cell r="C17">
            <v>38</v>
          </cell>
          <cell r="D17">
            <v>0.81</v>
          </cell>
          <cell r="P17">
            <v>0</v>
          </cell>
        </row>
        <row r="18">
          <cell r="A18">
            <v>11</v>
          </cell>
          <cell r="B18">
            <v>70</v>
          </cell>
          <cell r="C18">
            <v>33</v>
          </cell>
          <cell r="D18">
            <v>0.95</v>
          </cell>
          <cell r="F18">
            <v>34</v>
          </cell>
          <cell r="I18">
            <v>19</v>
          </cell>
          <cell r="P18">
            <v>53</v>
          </cell>
        </row>
        <row r="19">
          <cell r="A19">
            <v>12</v>
          </cell>
          <cell r="D19">
            <v>0.61</v>
          </cell>
          <cell r="H19">
            <v>75</v>
          </cell>
          <cell r="O19">
            <v>75</v>
          </cell>
          <cell r="P19">
            <v>150</v>
          </cell>
          <cell r="Q19" t="str">
            <v>No CO2</v>
          </cell>
        </row>
        <row r="20">
          <cell r="A20">
            <v>13</v>
          </cell>
          <cell r="H20">
            <v>348</v>
          </cell>
          <cell r="P20">
            <v>348</v>
          </cell>
        </row>
        <row r="21">
          <cell r="A21">
            <v>14</v>
          </cell>
          <cell r="P21">
            <v>0</v>
          </cell>
        </row>
        <row r="22">
          <cell r="A22">
            <v>15</v>
          </cell>
          <cell r="P22">
            <v>0</v>
          </cell>
        </row>
        <row r="23">
          <cell r="A23">
            <v>16</v>
          </cell>
          <cell r="P23">
            <v>0</v>
          </cell>
        </row>
        <row r="24">
          <cell r="A24">
            <v>17</v>
          </cell>
          <cell r="P24">
            <v>0</v>
          </cell>
        </row>
        <row r="25">
          <cell r="A25">
            <v>18</v>
          </cell>
          <cell r="P25">
            <v>0</v>
          </cell>
        </row>
        <row r="26">
          <cell r="A26">
            <v>19</v>
          </cell>
          <cell r="P26">
            <v>0</v>
          </cell>
        </row>
        <row r="27">
          <cell r="A27">
            <v>20</v>
          </cell>
          <cell r="P27">
            <v>0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9.5399999999999991</v>
          </cell>
          <cell r="E32">
            <v>13</v>
          </cell>
          <cell r="F32">
            <v>246</v>
          </cell>
          <cell r="G32">
            <v>29</v>
          </cell>
          <cell r="H32">
            <v>477</v>
          </cell>
          <cell r="I32">
            <v>26</v>
          </cell>
          <cell r="J32">
            <v>0</v>
          </cell>
          <cell r="K32">
            <v>7</v>
          </cell>
          <cell r="L32">
            <v>24</v>
          </cell>
          <cell r="M32">
            <v>139</v>
          </cell>
          <cell r="N32">
            <v>0</v>
          </cell>
          <cell r="O32">
            <v>75</v>
          </cell>
          <cell r="P32">
            <v>1036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12" refreshError="1">
        <row r="2">
          <cell r="F2" t="str">
            <v>Line Downtime for October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filler-uncaser</v>
          </cell>
          <cell r="C6" t="str">
            <v>caser-filler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D8">
            <v>0.57999999999999996</v>
          </cell>
          <cell r="E8">
            <v>20</v>
          </cell>
          <cell r="F8">
            <v>10</v>
          </cell>
          <cell r="L8">
            <v>5</v>
          </cell>
          <cell r="P8">
            <v>35</v>
          </cell>
        </row>
        <row r="9">
          <cell r="A9">
            <v>2</v>
          </cell>
          <cell r="B9">
            <v>130</v>
          </cell>
          <cell r="C9">
            <v>60</v>
          </cell>
          <cell r="D9">
            <v>0.99</v>
          </cell>
          <cell r="F9">
            <v>11</v>
          </cell>
          <cell r="I9">
            <v>10</v>
          </cell>
          <cell r="P9">
            <v>21</v>
          </cell>
        </row>
        <row r="10">
          <cell r="A10">
            <v>3</v>
          </cell>
          <cell r="D10">
            <v>0.46</v>
          </cell>
          <cell r="F10">
            <v>10</v>
          </cell>
          <cell r="G10">
            <v>5</v>
          </cell>
          <cell r="P10">
            <v>15</v>
          </cell>
        </row>
        <row r="11">
          <cell r="A11">
            <v>4</v>
          </cell>
          <cell r="D11">
            <v>0.62</v>
          </cell>
          <cell r="F11">
            <v>8</v>
          </cell>
          <cell r="I11">
            <v>4</v>
          </cell>
          <cell r="J11">
            <v>7</v>
          </cell>
          <cell r="M11">
            <v>11</v>
          </cell>
          <cell r="O11">
            <v>5</v>
          </cell>
          <cell r="P11">
            <v>35</v>
          </cell>
        </row>
        <row r="12">
          <cell r="A12">
            <v>5</v>
          </cell>
          <cell r="D12">
            <v>0.54</v>
          </cell>
          <cell r="F12">
            <v>4</v>
          </cell>
          <cell r="I12">
            <v>8</v>
          </cell>
          <cell r="P12">
            <v>12</v>
          </cell>
        </row>
        <row r="13">
          <cell r="A13">
            <v>6</v>
          </cell>
          <cell r="D13">
            <v>0.71</v>
          </cell>
          <cell r="F13">
            <v>25</v>
          </cell>
          <cell r="P13">
            <v>25</v>
          </cell>
        </row>
        <row r="14">
          <cell r="A14">
            <v>7</v>
          </cell>
          <cell r="D14">
            <v>0.69</v>
          </cell>
          <cell r="M14">
            <v>4</v>
          </cell>
          <cell r="O14">
            <v>19</v>
          </cell>
          <cell r="P14">
            <v>23</v>
          </cell>
          <cell r="Q14" t="str">
            <v>Steam CO2 Line</v>
          </cell>
        </row>
        <row r="15">
          <cell r="A15">
            <v>8</v>
          </cell>
          <cell r="D15">
            <v>0.54</v>
          </cell>
          <cell r="F15">
            <v>104</v>
          </cell>
          <cell r="I15">
            <v>13</v>
          </cell>
          <cell r="P15">
            <v>117</v>
          </cell>
        </row>
        <row r="16">
          <cell r="A16">
            <v>9</v>
          </cell>
          <cell r="D16">
            <v>0.78</v>
          </cell>
          <cell r="P16">
            <v>0</v>
          </cell>
        </row>
        <row r="17">
          <cell r="A17">
            <v>10</v>
          </cell>
          <cell r="D17">
            <v>0.75</v>
          </cell>
          <cell r="I17">
            <v>5</v>
          </cell>
          <cell r="O17">
            <v>7</v>
          </cell>
          <cell r="P17">
            <v>12</v>
          </cell>
          <cell r="Q17" t="str">
            <v>Low Water Press.</v>
          </cell>
        </row>
        <row r="18">
          <cell r="A18">
            <v>11</v>
          </cell>
          <cell r="D18">
            <v>1.06</v>
          </cell>
          <cell r="G18">
            <v>8</v>
          </cell>
          <cell r="I18">
            <v>9</v>
          </cell>
          <cell r="J18">
            <v>25</v>
          </cell>
          <cell r="O18">
            <v>7</v>
          </cell>
          <cell r="P18">
            <v>49</v>
          </cell>
          <cell r="Q18" t="str">
            <v>Low Water Press.</v>
          </cell>
        </row>
        <row r="19">
          <cell r="A19">
            <v>12</v>
          </cell>
          <cell r="D19">
            <v>0.9</v>
          </cell>
          <cell r="G19">
            <v>5</v>
          </cell>
          <cell r="H19">
            <v>10</v>
          </cell>
          <cell r="J19">
            <v>5</v>
          </cell>
          <cell r="O19">
            <v>54</v>
          </cell>
          <cell r="P19">
            <v>74</v>
          </cell>
          <cell r="Q19" t="str">
            <v>Low Water Press.</v>
          </cell>
        </row>
        <row r="20">
          <cell r="A20">
            <v>13</v>
          </cell>
          <cell r="D20">
            <v>0.69</v>
          </cell>
          <cell r="P20">
            <v>0</v>
          </cell>
        </row>
        <row r="21">
          <cell r="A21">
            <v>14</v>
          </cell>
          <cell r="D21">
            <v>1.02</v>
          </cell>
          <cell r="M21">
            <v>12</v>
          </cell>
          <cell r="O21">
            <v>20</v>
          </cell>
          <cell r="P21">
            <v>32</v>
          </cell>
          <cell r="Q21" t="str">
            <v>Low CO2 and water</v>
          </cell>
        </row>
        <row r="22">
          <cell r="A22">
            <v>15</v>
          </cell>
          <cell r="D22">
            <v>0.7</v>
          </cell>
          <cell r="G22">
            <v>4</v>
          </cell>
          <cell r="J22">
            <v>6</v>
          </cell>
          <cell r="M22">
            <v>24</v>
          </cell>
          <cell r="O22">
            <v>35</v>
          </cell>
          <cell r="P22">
            <v>69</v>
          </cell>
          <cell r="Q22" t="str">
            <v>Low Water Press.</v>
          </cell>
        </row>
        <row r="23">
          <cell r="A23">
            <v>16</v>
          </cell>
          <cell r="D23">
            <v>0.89</v>
          </cell>
          <cell r="L23">
            <v>5</v>
          </cell>
          <cell r="O23">
            <v>10</v>
          </cell>
          <cell r="P23">
            <v>15</v>
          </cell>
          <cell r="Q23" t="str">
            <v>Low Water Press.</v>
          </cell>
        </row>
        <row r="24">
          <cell r="A24">
            <v>17</v>
          </cell>
          <cell r="D24">
            <v>0.41</v>
          </cell>
          <cell r="F24">
            <v>105</v>
          </cell>
          <cell r="O24">
            <v>26</v>
          </cell>
          <cell r="P24">
            <v>131</v>
          </cell>
          <cell r="Q24" t="str">
            <v>Low Water Press.</v>
          </cell>
        </row>
        <row r="25">
          <cell r="A25">
            <v>18</v>
          </cell>
          <cell r="D25">
            <v>0.74</v>
          </cell>
          <cell r="I25">
            <v>5</v>
          </cell>
          <cell r="P25">
            <v>5</v>
          </cell>
        </row>
        <row r="26">
          <cell r="A26">
            <v>19</v>
          </cell>
          <cell r="D26">
            <v>1.06</v>
          </cell>
          <cell r="F26">
            <v>10</v>
          </cell>
          <cell r="O26">
            <v>21</v>
          </cell>
          <cell r="P26">
            <v>31</v>
          </cell>
          <cell r="Q26" t="str">
            <v>Low Water Press.</v>
          </cell>
        </row>
        <row r="27">
          <cell r="A27">
            <v>20</v>
          </cell>
          <cell r="D27">
            <v>0.63</v>
          </cell>
          <cell r="I27">
            <v>4</v>
          </cell>
          <cell r="O27">
            <v>78</v>
          </cell>
          <cell r="P27">
            <v>82</v>
          </cell>
          <cell r="Q27" t="str">
            <v>Low Water Press.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14.760000000000002</v>
          </cell>
          <cell r="E32">
            <v>20</v>
          </cell>
          <cell r="F32">
            <v>287</v>
          </cell>
          <cell r="G32">
            <v>22</v>
          </cell>
          <cell r="H32">
            <v>10</v>
          </cell>
          <cell r="I32">
            <v>58</v>
          </cell>
          <cell r="J32">
            <v>43</v>
          </cell>
          <cell r="K32">
            <v>0</v>
          </cell>
          <cell r="L32">
            <v>10</v>
          </cell>
          <cell r="M32">
            <v>51</v>
          </cell>
          <cell r="N32">
            <v>0</v>
          </cell>
          <cell r="O32">
            <v>282</v>
          </cell>
          <cell r="P32">
            <v>783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13" refreshError="1">
        <row r="2">
          <cell r="F2" t="str">
            <v>Line Downtime for November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uncaser-filler</v>
          </cell>
          <cell r="C6" t="str">
            <v>Past-caser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D8">
            <v>0.97</v>
          </cell>
          <cell r="F8">
            <v>13</v>
          </cell>
          <cell r="G8">
            <v>7</v>
          </cell>
          <cell r="L8">
            <v>5</v>
          </cell>
          <cell r="O8">
            <v>24</v>
          </cell>
          <cell r="P8">
            <v>49</v>
          </cell>
          <cell r="Q8" t="str">
            <v>Low Water Press.</v>
          </cell>
        </row>
        <row r="9">
          <cell r="A9">
            <v>2</v>
          </cell>
          <cell r="D9">
            <v>1.06857</v>
          </cell>
          <cell r="O9">
            <v>88</v>
          </cell>
          <cell r="P9">
            <v>88</v>
          </cell>
          <cell r="Q9" t="str">
            <v>Low Water Press.</v>
          </cell>
        </row>
        <row r="10">
          <cell r="A10">
            <v>3</v>
          </cell>
          <cell r="D10">
            <v>0.90249999999999997</v>
          </cell>
          <cell r="O10">
            <v>21</v>
          </cell>
          <cell r="P10">
            <v>21</v>
          </cell>
          <cell r="Q10" t="str">
            <v>Low Water Press.</v>
          </cell>
        </row>
        <row r="11">
          <cell r="A11">
            <v>4</v>
          </cell>
          <cell r="D11">
            <v>0.76</v>
          </cell>
          <cell r="E11">
            <v>20</v>
          </cell>
          <cell r="H11">
            <v>30</v>
          </cell>
          <cell r="M11">
            <v>8</v>
          </cell>
          <cell r="P11">
            <v>58</v>
          </cell>
        </row>
        <row r="12">
          <cell r="A12">
            <v>5</v>
          </cell>
          <cell r="D12">
            <v>0.72</v>
          </cell>
          <cell r="E12">
            <v>7</v>
          </cell>
          <cell r="G12">
            <v>4</v>
          </cell>
          <cell r="H12">
            <v>5</v>
          </cell>
          <cell r="I12">
            <v>5</v>
          </cell>
          <cell r="P12">
            <v>21</v>
          </cell>
        </row>
        <row r="13">
          <cell r="A13">
            <v>6</v>
          </cell>
          <cell r="D13">
            <v>1.17</v>
          </cell>
          <cell r="I13">
            <v>33</v>
          </cell>
          <cell r="P13">
            <v>33</v>
          </cell>
        </row>
        <row r="14">
          <cell r="A14">
            <v>7</v>
          </cell>
          <cell r="D14">
            <v>0.57999999999999996</v>
          </cell>
          <cell r="G14">
            <v>3</v>
          </cell>
          <cell r="I14">
            <v>5</v>
          </cell>
          <cell r="O14">
            <v>7</v>
          </cell>
          <cell r="P14">
            <v>15</v>
          </cell>
          <cell r="Q14" t="str">
            <v>Low Water Press.</v>
          </cell>
        </row>
        <row r="15">
          <cell r="A15">
            <v>8</v>
          </cell>
          <cell r="D15">
            <v>0.59</v>
          </cell>
          <cell r="P15">
            <v>0</v>
          </cell>
        </row>
        <row r="16">
          <cell r="A16">
            <v>9</v>
          </cell>
          <cell r="D16">
            <v>0.81</v>
          </cell>
          <cell r="F16">
            <v>15</v>
          </cell>
          <cell r="I16">
            <v>4</v>
          </cell>
          <cell r="P16">
            <v>19</v>
          </cell>
        </row>
        <row r="17">
          <cell r="A17">
            <v>10</v>
          </cell>
          <cell r="D17">
            <v>0.98</v>
          </cell>
          <cell r="E17">
            <v>6</v>
          </cell>
          <cell r="F17">
            <v>25</v>
          </cell>
          <cell r="I17">
            <v>19</v>
          </cell>
          <cell r="J17">
            <v>5</v>
          </cell>
          <cell r="O17">
            <v>20</v>
          </cell>
          <cell r="P17">
            <v>75</v>
          </cell>
          <cell r="Q17" t="str">
            <v>Low Water Press.</v>
          </cell>
        </row>
        <row r="18">
          <cell r="A18">
            <v>11</v>
          </cell>
          <cell r="B18">
            <v>190</v>
          </cell>
          <cell r="C18">
            <v>50</v>
          </cell>
          <cell r="D18">
            <v>0.66</v>
          </cell>
          <cell r="I18">
            <v>3</v>
          </cell>
          <cell r="O18">
            <v>7</v>
          </cell>
          <cell r="P18">
            <v>10</v>
          </cell>
          <cell r="Q18" t="str">
            <v>Low CO2 Press.</v>
          </cell>
        </row>
        <row r="19">
          <cell r="A19">
            <v>12</v>
          </cell>
          <cell r="D19">
            <v>1.0900000000000001</v>
          </cell>
          <cell r="E19">
            <v>10</v>
          </cell>
          <cell r="F19">
            <v>15</v>
          </cell>
          <cell r="H19">
            <v>8</v>
          </cell>
          <cell r="I19">
            <v>10</v>
          </cell>
          <cell r="P19">
            <v>43</v>
          </cell>
        </row>
        <row r="20">
          <cell r="A20">
            <v>13</v>
          </cell>
          <cell r="C20">
            <v>40</v>
          </cell>
          <cell r="D20">
            <v>1.1000000000000001</v>
          </cell>
          <cell r="I20">
            <v>3</v>
          </cell>
          <cell r="O20">
            <v>32</v>
          </cell>
          <cell r="P20">
            <v>35</v>
          </cell>
          <cell r="Q20" t="str">
            <v>Low Water Press.</v>
          </cell>
        </row>
        <row r="21">
          <cell r="A21">
            <v>14</v>
          </cell>
          <cell r="P21">
            <v>0</v>
          </cell>
        </row>
        <row r="22">
          <cell r="A22">
            <v>15</v>
          </cell>
          <cell r="D22">
            <v>0.67</v>
          </cell>
          <cell r="E22">
            <v>5</v>
          </cell>
          <cell r="F22">
            <v>5</v>
          </cell>
          <cell r="J22">
            <v>15</v>
          </cell>
          <cell r="L22">
            <v>15</v>
          </cell>
          <cell r="P22">
            <v>40</v>
          </cell>
        </row>
        <row r="23">
          <cell r="A23">
            <v>16</v>
          </cell>
          <cell r="D23">
            <v>0.99</v>
          </cell>
          <cell r="F23">
            <v>10</v>
          </cell>
          <cell r="I23">
            <v>3</v>
          </cell>
          <cell r="J23">
            <v>17</v>
          </cell>
          <cell r="P23">
            <v>30</v>
          </cell>
        </row>
        <row r="24">
          <cell r="A24">
            <v>17</v>
          </cell>
          <cell r="D24">
            <v>1.0289999999999999</v>
          </cell>
          <cell r="F24">
            <v>12</v>
          </cell>
          <cell r="L24">
            <v>19</v>
          </cell>
          <cell r="O24">
            <v>6</v>
          </cell>
          <cell r="P24">
            <v>37</v>
          </cell>
          <cell r="Q24" t="str">
            <v>Low CO2 Press.</v>
          </cell>
        </row>
        <row r="25">
          <cell r="A25">
            <v>18</v>
          </cell>
          <cell r="D25">
            <v>1.02</v>
          </cell>
          <cell r="F25">
            <v>6</v>
          </cell>
          <cell r="H25">
            <v>5</v>
          </cell>
          <cell r="I25">
            <v>133</v>
          </cell>
          <cell r="J25">
            <v>8</v>
          </cell>
          <cell r="M25">
            <v>6</v>
          </cell>
          <cell r="P25">
            <v>158</v>
          </cell>
        </row>
        <row r="26">
          <cell r="A26">
            <v>19</v>
          </cell>
          <cell r="D26">
            <v>0.74</v>
          </cell>
          <cell r="P26">
            <v>0</v>
          </cell>
        </row>
        <row r="27">
          <cell r="A27">
            <v>20</v>
          </cell>
          <cell r="D27">
            <v>0.71</v>
          </cell>
          <cell r="M27">
            <v>11</v>
          </cell>
          <cell r="O27">
            <v>30</v>
          </cell>
          <cell r="P27">
            <v>41</v>
          </cell>
          <cell r="Q27" t="str">
            <v>Low Water/CO2 Press.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16.56007</v>
          </cell>
          <cell r="E32">
            <v>48</v>
          </cell>
          <cell r="F32">
            <v>101</v>
          </cell>
          <cell r="G32">
            <v>14</v>
          </cell>
          <cell r="H32">
            <v>48</v>
          </cell>
          <cell r="I32">
            <v>218</v>
          </cell>
          <cell r="J32">
            <v>45</v>
          </cell>
          <cell r="K32">
            <v>0</v>
          </cell>
          <cell r="L32">
            <v>39</v>
          </cell>
          <cell r="M32">
            <v>25</v>
          </cell>
          <cell r="N32">
            <v>0</v>
          </cell>
          <cell r="O32">
            <v>235</v>
          </cell>
          <cell r="P32">
            <v>773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14" refreshError="1">
        <row r="2">
          <cell r="F2" t="str">
            <v>Line Downtime for December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uncaser-filler</v>
          </cell>
          <cell r="C6" t="str">
            <v>filler-caser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B8">
            <v>125</v>
          </cell>
          <cell r="C8">
            <v>55</v>
          </cell>
          <cell r="D8">
            <v>0.99</v>
          </cell>
          <cell r="F8">
            <v>7</v>
          </cell>
          <cell r="H8">
            <v>82</v>
          </cell>
          <cell r="J8">
            <v>10</v>
          </cell>
          <cell r="P8">
            <v>99</v>
          </cell>
          <cell r="Q8" t="str">
            <v>Boiler Problems</v>
          </cell>
        </row>
        <row r="9">
          <cell r="A9">
            <v>2</v>
          </cell>
          <cell r="B9">
            <v>105</v>
          </cell>
          <cell r="C9">
            <v>65</v>
          </cell>
          <cell r="D9">
            <v>1.0549999999999999</v>
          </cell>
          <cell r="F9">
            <v>15</v>
          </cell>
          <cell r="I9">
            <v>35</v>
          </cell>
          <cell r="O9">
            <v>10</v>
          </cell>
          <cell r="P9">
            <v>60</v>
          </cell>
          <cell r="Q9" t="str">
            <v>Low CO2 Press.</v>
          </cell>
        </row>
        <row r="10">
          <cell r="A10">
            <v>3</v>
          </cell>
          <cell r="P10">
            <v>0</v>
          </cell>
        </row>
        <row r="11">
          <cell r="A11">
            <v>4</v>
          </cell>
          <cell r="D11">
            <v>0.96</v>
          </cell>
          <cell r="F11">
            <v>6</v>
          </cell>
          <cell r="I11">
            <v>11</v>
          </cell>
          <cell r="P11">
            <v>17</v>
          </cell>
        </row>
        <row r="12">
          <cell r="A12">
            <v>5</v>
          </cell>
          <cell r="D12">
            <v>0.77</v>
          </cell>
          <cell r="F12">
            <v>7</v>
          </cell>
          <cell r="I12">
            <v>28</v>
          </cell>
          <cell r="O12">
            <v>7</v>
          </cell>
          <cell r="P12">
            <v>42</v>
          </cell>
          <cell r="Q12" t="str">
            <v>Low CO2 Press.</v>
          </cell>
        </row>
        <row r="13">
          <cell r="A13">
            <v>6</v>
          </cell>
          <cell r="D13">
            <v>0.7</v>
          </cell>
          <cell r="E13">
            <v>6</v>
          </cell>
          <cell r="O13">
            <v>9</v>
          </cell>
          <cell r="P13">
            <v>15</v>
          </cell>
        </row>
        <row r="14">
          <cell r="A14">
            <v>7</v>
          </cell>
          <cell r="D14">
            <v>0.99</v>
          </cell>
          <cell r="H14">
            <v>6</v>
          </cell>
          <cell r="J14">
            <v>6</v>
          </cell>
          <cell r="O14">
            <v>8</v>
          </cell>
          <cell r="P14">
            <v>20</v>
          </cell>
          <cell r="Q14" t="str">
            <v>Low CO2 Press.</v>
          </cell>
        </row>
        <row r="15">
          <cell r="A15">
            <v>8</v>
          </cell>
          <cell r="D15">
            <v>1.23</v>
          </cell>
          <cell r="F15">
            <v>26</v>
          </cell>
          <cell r="I15">
            <v>8</v>
          </cell>
          <cell r="J15">
            <v>4</v>
          </cell>
          <cell r="K15">
            <v>4</v>
          </cell>
          <cell r="P15">
            <v>42</v>
          </cell>
        </row>
        <row r="16">
          <cell r="A16">
            <v>9</v>
          </cell>
          <cell r="D16">
            <v>0.9</v>
          </cell>
          <cell r="E16">
            <v>5</v>
          </cell>
          <cell r="F16">
            <v>20</v>
          </cell>
          <cell r="I16">
            <v>10</v>
          </cell>
          <cell r="O16">
            <v>27</v>
          </cell>
          <cell r="P16">
            <v>62</v>
          </cell>
          <cell r="Q16" t="str">
            <v>Low CO2 Press.</v>
          </cell>
        </row>
        <row r="17">
          <cell r="A17">
            <v>10</v>
          </cell>
          <cell r="D17">
            <v>1.39</v>
          </cell>
          <cell r="F17">
            <v>11</v>
          </cell>
          <cell r="H17">
            <v>9</v>
          </cell>
          <cell r="I17">
            <v>72</v>
          </cell>
          <cell r="O17">
            <v>28</v>
          </cell>
          <cell r="P17">
            <v>120</v>
          </cell>
          <cell r="Q17" t="str">
            <v>Low CO2/H20 Press.</v>
          </cell>
        </row>
        <row r="18">
          <cell r="A18">
            <v>11</v>
          </cell>
          <cell r="D18">
            <v>0.8</v>
          </cell>
          <cell r="H18">
            <v>13</v>
          </cell>
          <cell r="M18">
            <v>3</v>
          </cell>
          <cell r="O18">
            <v>40</v>
          </cell>
          <cell r="P18">
            <v>56</v>
          </cell>
          <cell r="Q18" t="str">
            <v>Low CO2/H20 Press.</v>
          </cell>
        </row>
        <row r="19">
          <cell r="A19">
            <v>12</v>
          </cell>
          <cell r="D19">
            <v>0.96</v>
          </cell>
          <cell r="E19">
            <v>4</v>
          </cell>
          <cell r="F19">
            <v>12</v>
          </cell>
          <cell r="I19">
            <v>15</v>
          </cell>
          <cell r="O19">
            <v>14</v>
          </cell>
          <cell r="P19">
            <v>45</v>
          </cell>
          <cell r="Q19" t="str">
            <v>Low CO2/H20 Press.</v>
          </cell>
        </row>
        <row r="20">
          <cell r="A20">
            <v>13</v>
          </cell>
          <cell r="D20">
            <v>0.99</v>
          </cell>
          <cell r="F20">
            <v>13</v>
          </cell>
          <cell r="I20">
            <v>6</v>
          </cell>
          <cell r="P20">
            <v>19</v>
          </cell>
        </row>
        <row r="21">
          <cell r="A21">
            <v>14</v>
          </cell>
          <cell r="D21">
            <v>0.65</v>
          </cell>
          <cell r="E21">
            <v>7</v>
          </cell>
          <cell r="P21">
            <v>7</v>
          </cell>
        </row>
        <row r="22">
          <cell r="A22">
            <v>15</v>
          </cell>
          <cell r="D22">
            <v>1</v>
          </cell>
          <cell r="F22">
            <v>9</v>
          </cell>
          <cell r="G22">
            <v>4</v>
          </cell>
          <cell r="I22">
            <v>58</v>
          </cell>
          <cell r="O22">
            <v>10</v>
          </cell>
          <cell r="P22">
            <v>81</v>
          </cell>
          <cell r="Q22" t="str">
            <v>Low H20 Press.</v>
          </cell>
        </row>
        <row r="23">
          <cell r="A23">
            <v>16</v>
          </cell>
          <cell r="D23">
            <v>1.05</v>
          </cell>
          <cell r="E23">
            <v>6</v>
          </cell>
          <cell r="F23">
            <v>29</v>
          </cell>
          <cell r="I23">
            <v>54</v>
          </cell>
          <cell r="P23">
            <v>89</v>
          </cell>
        </row>
        <row r="24">
          <cell r="A24">
            <v>17</v>
          </cell>
          <cell r="D24">
            <v>0.67</v>
          </cell>
          <cell r="P24">
            <v>0</v>
          </cell>
        </row>
        <row r="25">
          <cell r="A25">
            <v>18</v>
          </cell>
          <cell r="D25">
            <v>1.02</v>
          </cell>
          <cell r="E25">
            <v>4</v>
          </cell>
          <cell r="F25">
            <v>11</v>
          </cell>
          <cell r="I25">
            <v>17</v>
          </cell>
          <cell r="P25">
            <v>32</v>
          </cell>
        </row>
        <row r="26">
          <cell r="A26">
            <v>19</v>
          </cell>
          <cell r="D26">
            <v>0.94</v>
          </cell>
          <cell r="P26">
            <v>0</v>
          </cell>
        </row>
        <row r="27">
          <cell r="A27">
            <v>20</v>
          </cell>
          <cell r="D27">
            <v>1.1599999999999999</v>
          </cell>
          <cell r="P27">
            <v>0</v>
          </cell>
        </row>
        <row r="28">
          <cell r="A28">
            <v>21</v>
          </cell>
          <cell r="D28">
            <v>0.85</v>
          </cell>
          <cell r="F28">
            <v>5</v>
          </cell>
          <cell r="I28">
            <v>9</v>
          </cell>
          <cell r="P28">
            <v>14</v>
          </cell>
        </row>
        <row r="29">
          <cell r="A29">
            <v>22</v>
          </cell>
          <cell r="D29">
            <v>1.04</v>
          </cell>
          <cell r="F29">
            <v>11</v>
          </cell>
          <cell r="P29">
            <v>11</v>
          </cell>
        </row>
        <row r="30">
          <cell r="A30">
            <v>23</v>
          </cell>
          <cell r="D30">
            <v>0.96</v>
          </cell>
          <cell r="F30">
            <v>36</v>
          </cell>
          <cell r="H30">
            <v>20</v>
          </cell>
          <cell r="I30">
            <v>11</v>
          </cell>
          <cell r="P30">
            <v>67</v>
          </cell>
        </row>
        <row r="31">
          <cell r="A31">
            <v>24</v>
          </cell>
          <cell r="D31">
            <v>0.71</v>
          </cell>
          <cell r="E31">
            <v>8</v>
          </cell>
          <cell r="G31">
            <v>20</v>
          </cell>
          <cell r="L31">
            <v>8</v>
          </cell>
          <cell r="O31">
            <v>8</v>
          </cell>
          <cell r="P31">
            <v>44</v>
          </cell>
        </row>
        <row r="32">
          <cell r="A32" t="str">
            <v>Totals</v>
          </cell>
          <cell r="D32">
            <v>21.785000000000007</v>
          </cell>
          <cell r="E32">
            <v>40</v>
          </cell>
          <cell r="F32">
            <v>218</v>
          </cell>
          <cell r="G32">
            <v>24</v>
          </cell>
          <cell r="H32">
            <v>130</v>
          </cell>
          <cell r="I32">
            <v>334</v>
          </cell>
          <cell r="J32">
            <v>20</v>
          </cell>
          <cell r="K32">
            <v>4</v>
          </cell>
          <cell r="L32">
            <v>8</v>
          </cell>
          <cell r="M32">
            <v>3</v>
          </cell>
          <cell r="N32">
            <v>0</v>
          </cell>
          <cell r="O32">
            <v>161</v>
          </cell>
          <cell r="P32">
            <v>942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 PL"/>
      <sheetName val="Production planHL"/>
      <sheetName val="production scheduler"/>
      <sheetName val="Production plan"/>
      <sheetName val="MarketingBudget"/>
      <sheetName val="graph"/>
      <sheetName val="Sales"/>
      <sheetName val="Quarterly"/>
      <sheetName val="PLTT$"/>
      <sheetName val="PhasedYTDP&amp;L"/>
      <sheetName val="PhasedP&amp;L"/>
      <sheetName val="Cost per case monthly"/>
      <sheetName val="Brand Contribution"/>
      <sheetName val="Avg case Profit"/>
      <sheetName val="CaribBP"/>
      <sheetName val="Carib Flint"/>
      <sheetName val="Carib Export"/>
      <sheetName val="Stag"/>
      <sheetName val="FESBP"/>
      <sheetName val="VitaBP"/>
      <sheetName val="MaxiBP"/>
      <sheetName val="Malta Carib"/>
      <sheetName val="Malta CaribExports"/>
      <sheetName val="Mackeson"/>
      <sheetName val="Mackeson Exports"/>
      <sheetName val="Shandy-Ginger"/>
      <sheetName val="Shandy-Sorrel"/>
      <sheetName val="Shandy Lime "/>
      <sheetName val="Shandy-Exports"/>
      <sheetName val="Juicy10BP"/>
      <sheetName val="Ting"/>
      <sheetName val="Ginseng Original"/>
      <sheetName val="Ginseng Lime"/>
      <sheetName val="Carib In Cans"/>
      <sheetName val="Stag Cans"/>
      <sheetName val="Imported 20 PET Mountain"/>
      <sheetName val="Sheet2"/>
      <sheetName val="Sheet1"/>
      <sheetName val="Imported 20 PET 7 Up"/>
      <sheetName val="Imported Slice"/>
      <sheetName val="Smirnoff"/>
      <sheetName val="Black Ice"/>
      <sheetName val="Smalta-Import"/>
      <sheetName val="Total Expenses"/>
      <sheetName val="Admin &amp; Finance "/>
      <sheetName val="Sales1"/>
      <sheetName val="Distribution "/>
      <sheetName val="Marketing"/>
      <sheetName val="Materials"/>
      <sheetName val="Bottling "/>
      <sheetName val="Maintenance-Utilities"/>
      <sheetName val="Brewing"/>
      <sheetName val="Maintenance-Lawrence "/>
      <sheetName val="Quality "/>
      <sheetName val="Operations "/>
      <sheetName val="Finance "/>
      <sheetName val="Admin 2009"/>
      <sheetName val="Closing StocksRPC"/>
      <sheetName val="Balsheet2011"/>
      <sheetName val="Balsheetworkings"/>
      <sheetName val="BalSheet"/>
      <sheetName val="BSheet TT$"/>
      <sheetName val="Cashflow"/>
      <sheetName val="Tax"/>
      <sheetName val="EVC 2012"/>
      <sheetName val="Depreciation"/>
      <sheetName val="Total Production cost"/>
      <sheetName val="Cost Per case 2011"/>
      <sheetName val="Electricity"/>
      <sheetName val="Material pricingproduction&amp; uti"/>
      <sheetName val="General Chemicals"/>
      <sheetName val="Utilities KPIs"/>
      <sheetName val="CaribBP-Production"/>
      <sheetName val="Carib Flint -Production"/>
      <sheetName val="Stag-Production "/>
      <sheetName val="FESBP-Production"/>
      <sheetName val="Mackesonetc-Production"/>
      <sheetName val="VitaBP-Production"/>
      <sheetName val="MaxiBP-Production"/>
      <sheetName val="Malta Carib-Production"/>
      <sheetName val="Juicy10BP-Production"/>
      <sheetName val="Ting-Production"/>
      <sheetName val="Shandy-Ginger-Production"/>
      <sheetName val="Shandy-Sorrel-Production"/>
      <sheetName val="Shandy Lime-Production"/>
      <sheetName val="ShandyExport-Production"/>
      <sheetName val="Ginseng Original -Production"/>
      <sheetName val="Profit share"/>
      <sheetName val="Ginseng Lime-Production"/>
      <sheetName val="CAPEX"/>
      <sheetName val="Latest estimate"/>
      <sheetName val="Sheet5"/>
      <sheetName val="PhasedP&amp;L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nt"/>
      <sheetName val="Monthly summary loss"/>
      <sheetName val="Pareto YTD"/>
      <sheetName val="Pareto Data"/>
      <sheetName val="Pareto analysis month "/>
      <sheetName val="Uncaser Downtime Detail "/>
      <sheetName val="Washer Downtime Detail"/>
      <sheetName val="EBI Downtime Detail"/>
      <sheetName val="Filler Downtime Detail"/>
      <sheetName val="Pasteurizer Downtime Detail"/>
      <sheetName val="Labeler Downtime Detail"/>
      <sheetName val="Videojet Downtime Detail "/>
      <sheetName val="Packer Downtime Detail  "/>
      <sheetName val="Carton Errector-sealer Detail"/>
      <sheetName val="Conveyor Downtime (new)"/>
      <sheetName val="Org &amp; Tech Downtime"/>
      <sheetName val="Data Sheet"/>
      <sheetName val="Dec"/>
      <sheetName val="2 weeks Downtime Trend"/>
      <sheetName val="Nov"/>
      <sheetName val="Jan"/>
      <sheetName val="Feb"/>
      <sheetName val="Mar"/>
      <sheetName val="Apr"/>
      <sheetName val="May"/>
      <sheetName val="Jun"/>
      <sheetName val="Jul"/>
      <sheetName val="Aug"/>
      <sheetName val="Sept"/>
      <sheetName val="Oct"/>
      <sheetName val="Washer Downtime Detail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">
          <cell r="AD8">
            <v>392</v>
          </cell>
        </row>
        <row r="9">
          <cell r="AD9">
            <v>226</v>
          </cell>
        </row>
        <row r="10">
          <cell r="AD10">
            <v>1061</v>
          </cell>
        </row>
        <row r="11">
          <cell r="AD11">
            <v>172</v>
          </cell>
        </row>
        <row r="12">
          <cell r="AD12">
            <v>467</v>
          </cell>
        </row>
        <row r="13">
          <cell r="AD13">
            <v>296</v>
          </cell>
        </row>
        <row r="14">
          <cell r="AD14">
            <v>474</v>
          </cell>
        </row>
        <row r="15">
          <cell r="AD15">
            <v>99</v>
          </cell>
        </row>
        <row r="16">
          <cell r="AD16">
            <v>780</v>
          </cell>
        </row>
        <row r="17">
          <cell r="AD17">
            <v>237</v>
          </cell>
        </row>
        <row r="18">
          <cell r="AD18">
            <v>300</v>
          </cell>
        </row>
        <row r="19">
          <cell r="AD19">
            <v>72</v>
          </cell>
        </row>
        <row r="20">
          <cell r="AD20">
            <v>524</v>
          </cell>
        </row>
        <row r="21">
          <cell r="AD21">
            <v>1030</v>
          </cell>
        </row>
        <row r="22">
          <cell r="AD22">
            <v>187</v>
          </cell>
        </row>
        <row r="23">
          <cell r="AD23">
            <v>316</v>
          </cell>
        </row>
        <row r="24">
          <cell r="AD24">
            <v>689</v>
          </cell>
        </row>
        <row r="25">
          <cell r="AD25">
            <v>257</v>
          </cell>
        </row>
        <row r="26">
          <cell r="AD26">
            <v>75</v>
          </cell>
        </row>
        <row r="27">
          <cell r="AD27">
            <v>241</v>
          </cell>
        </row>
        <row r="28">
          <cell r="AD28">
            <v>583</v>
          </cell>
        </row>
        <row r="29">
          <cell r="AD29">
            <v>105</v>
          </cell>
        </row>
        <row r="30">
          <cell r="AD30">
            <v>187</v>
          </cell>
        </row>
        <row r="31">
          <cell r="AD31">
            <v>44</v>
          </cell>
        </row>
        <row r="32">
          <cell r="AD32">
            <v>735</v>
          </cell>
        </row>
        <row r="33">
          <cell r="AD33">
            <v>232</v>
          </cell>
        </row>
        <row r="34">
          <cell r="AD34">
            <v>333</v>
          </cell>
        </row>
        <row r="35">
          <cell r="AD35">
            <v>517</v>
          </cell>
        </row>
        <row r="36">
          <cell r="AD36">
            <v>45</v>
          </cell>
        </row>
        <row r="37">
          <cell r="AD37">
            <v>241</v>
          </cell>
        </row>
        <row r="38">
          <cell r="AD38">
            <v>183</v>
          </cell>
        </row>
        <row r="39">
          <cell r="AD39">
            <v>80</v>
          </cell>
        </row>
        <row r="40">
          <cell r="AD40">
            <v>51</v>
          </cell>
        </row>
        <row r="41">
          <cell r="AD41">
            <v>252</v>
          </cell>
        </row>
        <row r="42">
          <cell r="AD42">
            <v>325</v>
          </cell>
        </row>
        <row r="43">
          <cell r="AD43">
            <v>611</v>
          </cell>
        </row>
        <row r="44">
          <cell r="AD44">
            <v>330</v>
          </cell>
        </row>
        <row r="45">
          <cell r="AD45">
            <v>511</v>
          </cell>
        </row>
        <row r="46">
          <cell r="AD46">
            <v>211</v>
          </cell>
        </row>
        <row r="47">
          <cell r="AD47">
            <v>225</v>
          </cell>
        </row>
        <row r="48">
          <cell r="AD48">
            <v>248</v>
          </cell>
        </row>
        <row r="49">
          <cell r="AD49">
            <v>187</v>
          </cell>
        </row>
        <row r="50">
          <cell r="AD50">
            <v>56</v>
          </cell>
        </row>
        <row r="51">
          <cell r="AD51">
            <v>0</v>
          </cell>
        </row>
        <row r="52">
          <cell r="AD52">
            <v>0</v>
          </cell>
        </row>
        <row r="53">
          <cell r="AD53">
            <v>0</v>
          </cell>
        </row>
        <row r="54">
          <cell r="AD54">
            <v>0</v>
          </cell>
        </row>
        <row r="55">
          <cell r="AD55">
            <v>0</v>
          </cell>
        </row>
        <row r="56">
          <cell r="AD56">
            <v>0</v>
          </cell>
        </row>
        <row r="57">
          <cell r="AD57">
            <v>0</v>
          </cell>
        </row>
        <row r="66">
          <cell r="N66">
            <v>327</v>
          </cell>
        </row>
        <row r="67">
          <cell r="N67">
            <v>556</v>
          </cell>
        </row>
        <row r="68">
          <cell r="N68">
            <v>471</v>
          </cell>
        </row>
        <row r="69">
          <cell r="N69">
            <v>448</v>
          </cell>
        </row>
        <row r="70">
          <cell r="N70">
            <v>683</v>
          </cell>
        </row>
        <row r="71">
          <cell r="N71">
            <v>49</v>
          </cell>
        </row>
        <row r="72">
          <cell r="N72">
            <v>631</v>
          </cell>
        </row>
        <row r="73">
          <cell r="N73">
            <v>17</v>
          </cell>
        </row>
        <row r="74">
          <cell r="N74">
            <v>482</v>
          </cell>
        </row>
        <row r="75">
          <cell r="N75">
            <v>673</v>
          </cell>
        </row>
        <row r="76">
          <cell r="N76">
            <v>781</v>
          </cell>
        </row>
        <row r="77">
          <cell r="N77">
            <v>196</v>
          </cell>
        </row>
        <row r="78">
          <cell r="N78">
            <v>1050</v>
          </cell>
        </row>
        <row r="79">
          <cell r="N79">
            <v>480</v>
          </cell>
        </row>
        <row r="80">
          <cell r="N80">
            <v>799</v>
          </cell>
        </row>
        <row r="81">
          <cell r="N81">
            <v>337</v>
          </cell>
        </row>
        <row r="82">
          <cell r="N82">
            <v>1203</v>
          </cell>
        </row>
        <row r="83">
          <cell r="N83">
            <v>150</v>
          </cell>
        </row>
        <row r="84">
          <cell r="N84">
            <v>92</v>
          </cell>
        </row>
        <row r="85">
          <cell r="N85">
            <v>524</v>
          </cell>
        </row>
        <row r="86">
          <cell r="N86">
            <v>410</v>
          </cell>
        </row>
        <row r="87">
          <cell r="N87">
            <v>281</v>
          </cell>
        </row>
        <row r="88">
          <cell r="N88">
            <v>469</v>
          </cell>
        </row>
        <row r="89">
          <cell r="N89">
            <v>44</v>
          </cell>
        </row>
        <row r="90">
          <cell r="N90">
            <v>756</v>
          </cell>
        </row>
        <row r="91">
          <cell r="N91">
            <v>439</v>
          </cell>
        </row>
        <row r="92">
          <cell r="N92">
            <v>754</v>
          </cell>
        </row>
        <row r="93">
          <cell r="N93">
            <v>1315</v>
          </cell>
        </row>
        <row r="94">
          <cell r="N94">
            <v>199</v>
          </cell>
        </row>
        <row r="95">
          <cell r="N95">
            <v>334</v>
          </cell>
        </row>
        <row r="96">
          <cell r="N96">
            <v>403</v>
          </cell>
        </row>
        <row r="97">
          <cell r="N97">
            <v>263</v>
          </cell>
        </row>
        <row r="98">
          <cell r="N98">
            <v>211</v>
          </cell>
        </row>
        <row r="99">
          <cell r="N99">
            <v>830</v>
          </cell>
        </row>
        <row r="100">
          <cell r="N100">
            <v>1213</v>
          </cell>
        </row>
        <row r="101">
          <cell r="N101">
            <v>1320</v>
          </cell>
        </row>
        <row r="102">
          <cell r="N102">
            <v>708</v>
          </cell>
        </row>
        <row r="103">
          <cell r="N103">
            <v>208</v>
          </cell>
        </row>
        <row r="104">
          <cell r="N104">
            <v>710</v>
          </cell>
        </row>
        <row r="105">
          <cell r="N105">
            <v>648</v>
          </cell>
        </row>
        <row r="106">
          <cell r="N106">
            <v>687</v>
          </cell>
        </row>
        <row r="107">
          <cell r="N107">
            <v>692</v>
          </cell>
        </row>
        <row r="108">
          <cell r="N108">
            <v>288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0</v>
          </cell>
        </row>
      </sheetData>
      <sheetData sheetId="18"/>
      <sheetData sheetId="19">
        <row r="8">
          <cell r="AD8">
            <v>433</v>
          </cell>
        </row>
        <row r="9">
          <cell r="AD9">
            <v>206</v>
          </cell>
        </row>
        <row r="10">
          <cell r="AD10">
            <v>119</v>
          </cell>
        </row>
        <row r="11">
          <cell r="AD11">
            <v>113</v>
          </cell>
        </row>
        <row r="12">
          <cell r="AD12">
            <v>234</v>
          </cell>
        </row>
        <row r="13">
          <cell r="AD13">
            <v>14</v>
          </cell>
        </row>
        <row r="14">
          <cell r="AD14">
            <v>150</v>
          </cell>
        </row>
        <row r="15">
          <cell r="AD15">
            <v>280</v>
          </cell>
        </row>
        <row r="16">
          <cell r="AD16">
            <v>311</v>
          </cell>
        </row>
        <row r="17">
          <cell r="AD17">
            <v>237</v>
          </cell>
        </row>
        <row r="18">
          <cell r="AD18">
            <v>122</v>
          </cell>
        </row>
        <row r="19">
          <cell r="AD19">
            <v>101</v>
          </cell>
        </row>
        <row r="20">
          <cell r="AD20">
            <v>70</v>
          </cell>
        </row>
        <row r="21">
          <cell r="AD21">
            <v>595</v>
          </cell>
        </row>
        <row r="22">
          <cell r="AD22">
            <v>326</v>
          </cell>
        </row>
        <row r="23">
          <cell r="AD23">
            <v>56</v>
          </cell>
        </row>
        <row r="24">
          <cell r="AD24">
            <v>308</v>
          </cell>
        </row>
        <row r="25">
          <cell r="AD25">
            <v>88</v>
          </cell>
        </row>
        <row r="26">
          <cell r="AD26">
            <v>135</v>
          </cell>
        </row>
        <row r="27">
          <cell r="AD27">
            <v>446</v>
          </cell>
        </row>
        <row r="28">
          <cell r="AD28">
            <v>500</v>
          </cell>
        </row>
        <row r="29">
          <cell r="AD29">
            <v>85</v>
          </cell>
        </row>
        <row r="30">
          <cell r="AD30">
            <v>577</v>
          </cell>
        </row>
        <row r="31">
          <cell r="AD31">
            <v>91</v>
          </cell>
        </row>
        <row r="32">
          <cell r="AD32">
            <v>186</v>
          </cell>
        </row>
        <row r="33">
          <cell r="AD33">
            <v>472</v>
          </cell>
        </row>
        <row r="34">
          <cell r="AD34">
            <v>395</v>
          </cell>
        </row>
        <row r="35">
          <cell r="AD35">
            <v>344</v>
          </cell>
        </row>
        <row r="36">
          <cell r="AD36">
            <v>12</v>
          </cell>
        </row>
        <row r="37">
          <cell r="AD37">
            <v>173</v>
          </cell>
        </row>
        <row r="38">
          <cell r="AD38">
            <v>474</v>
          </cell>
        </row>
        <row r="39">
          <cell r="AD39">
            <v>480</v>
          </cell>
        </row>
        <row r="41">
          <cell r="AD41">
            <v>170</v>
          </cell>
        </row>
        <row r="42">
          <cell r="AD42">
            <v>79</v>
          </cell>
        </row>
        <row r="43">
          <cell r="AD43">
            <v>137</v>
          </cell>
        </row>
        <row r="44">
          <cell r="AD44">
            <v>365</v>
          </cell>
        </row>
        <row r="45">
          <cell r="AD45">
            <v>303</v>
          </cell>
        </row>
        <row r="46">
          <cell r="AD46">
            <v>771</v>
          </cell>
        </row>
        <row r="47">
          <cell r="AD47">
            <v>81</v>
          </cell>
        </row>
        <row r="48">
          <cell r="AD48">
            <v>199</v>
          </cell>
        </row>
        <row r="49">
          <cell r="AD49">
            <v>260</v>
          </cell>
        </row>
        <row r="51">
          <cell r="AD51">
            <v>0</v>
          </cell>
        </row>
        <row r="52">
          <cell r="AD52">
            <v>0</v>
          </cell>
        </row>
        <row r="53">
          <cell r="AD53">
            <v>0</v>
          </cell>
        </row>
        <row r="54">
          <cell r="AD54">
            <v>0</v>
          </cell>
        </row>
        <row r="78">
          <cell r="N78">
            <v>373</v>
          </cell>
        </row>
        <row r="79">
          <cell r="N79">
            <v>195</v>
          </cell>
        </row>
        <row r="80">
          <cell r="N80">
            <v>245</v>
          </cell>
        </row>
        <row r="81">
          <cell r="N81">
            <v>192</v>
          </cell>
        </row>
        <row r="82">
          <cell r="N82">
            <v>1098</v>
          </cell>
        </row>
        <row r="83">
          <cell r="N83">
            <v>21</v>
          </cell>
        </row>
        <row r="84">
          <cell r="N84">
            <v>329</v>
          </cell>
        </row>
        <row r="85">
          <cell r="N85">
            <v>771</v>
          </cell>
        </row>
        <row r="86">
          <cell r="N86">
            <v>552</v>
          </cell>
        </row>
        <row r="87">
          <cell r="N87">
            <v>399</v>
          </cell>
        </row>
        <row r="88">
          <cell r="N88">
            <v>429</v>
          </cell>
        </row>
        <row r="89">
          <cell r="N89">
            <v>205</v>
          </cell>
        </row>
        <row r="90">
          <cell r="N90">
            <v>157</v>
          </cell>
        </row>
        <row r="91">
          <cell r="N91">
            <v>358</v>
          </cell>
        </row>
        <row r="92">
          <cell r="N92">
            <v>593</v>
          </cell>
        </row>
        <row r="93">
          <cell r="N93">
            <v>181</v>
          </cell>
        </row>
        <row r="94">
          <cell r="N94">
            <v>442</v>
          </cell>
        </row>
        <row r="95">
          <cell r="N95">
            <v>323</v>
          </cell>
        </row>
        <row r="96">
          <cell r="N96">
            <v>338</v>
          </cell>
        </row>
        <row r="97">
          <cell r="N97">
            <v>221</v>
          </cell>
        </row>
        <row r="98">
          <cell r="N98">
            <v>677</v>
          </cell>
        </row>
        <row r="99">
          <cell r="N99">
            <v>404</v>
          </cell>
        </row>
        <row r="100">
          <cell r="N100">
            <v>329</v>
          </cell>
        </row>
        <row r="101">
          <cell r="N101">
            <v>486</v>
          </cell>
        </row>
        <row r="102">
          <cell r="N102">
            <v>715</v>
          </cell>
        </row>
        <row r="103">
          <cell r="N103">
            <v>154</v>
          </cell>
        </row>
        <row r="104">
          <cell r="N104">
            <v>576</v>
          </cell>
        </row>
        <row r="105">
          <cell r="N105">
            <v>298</v>
          </cell>
        </row>
        <row r="106">
          <cell r="N106">
            <v>70</v>
          </cell>
        </row>
        <row r="107">
          <cell r="N107">
            <v>1013</v>
          </cell>
        </row>
        <row r="108">
          <cell r="N108">
            <v>534</v>
          </cell>
        </row>
        <row r="109">
          <cell r="N109">
            <v>627</v>
          </cell>
        </row>
        <row r="110">
          <cell r="N110">
            <v>211</v>
          </cell>
        </row>
        <row r="111">
          <cell r="N111">
            <v>233</v>
          </cell>
        </row>
        <row r="112">
          <cell r="N112">
            <v>233</v>
          </cell>
        </row>
        <row r="113">
          <cell r="N113">
            <v>420</v>
          </cell>
        </row>
        <row r="114">
          <cell r="N114">
            <v>591</v>
          </cell>
        </row>
        <row r="115">
          <cell r="N115">
            <v>1223</v>
          </cell>
        </row>
        <row r="116">
          <cell r="N116">
            <v>119</v>
          </cell>
        </row>
        <row r="117">
          <cell r="N117">
            <v>275</v>
          </cell>
        </row>
        <row r="118">
          <cell r="N118">
            <v>633</v>
          </cell>
        </row>
      </sheetData>
      <sheetData sheetId="20"/>
      <sheetData sheetId="21">
        <row r="8">
          <cell r="AD8">
            <v>90</v>
          </cell>
        </row>
        <row r="9">
          <cell r="AD9">
            <v>96</v>
          </cell>
        </row>
        <row r="10">
          <cell r="AD10">
            <v>321</v>
          </cell>
        </row>
        <row r="11">
          <cell r="AD11">
            <v>14</v>
          </cell>
        </row>
        <row r="12">
          <cell r="AD12">
            <v>597</v>
          </cell>
        </row>
        <row r="13">
          <cell r="AD13">
            <v>286</v>
          </cell>
        </row>
        <row r="14">
          <cell r="AD14">
            <v>124</v>
          </cell>
        </row>
        <row r="15">
          <cell r="AD15">
            <v>144</v>
          </cell>
        </row>
        <row r="16">
          <cell r="AD16">
            <v>297</v>
          </cell>
        </row>
        <row r="17">
          <cell r="AD17">
            <v>151</v>
          </cell>
        </row>
        <row r="18">
          <cell r="AD18">
            <v>408</v>
          </cell>
        </row>
        <row r="19">
          <cell r="AD19">
            <v>151</v>
          </cell>
        </row>
        <row r="20">
          <cell r="AD20">
            <v>37</v>
          </cell>
        </row>
        <row r="21">
          <cell r="AD21">
            <v>236</v>
          </cell>
        </row>
        <row r="22">
          <cell r="AD22">
            <v>29</v>
          </cell>
        </row>
        <row r="23">
          <cell r="AD23">
            <v>245</v>
          </cell>
        </row>
        <row r="24">
          <cell r="AD24">
            <v>157</v>
          </cell>
        </row>
        <row r="25">
          <cell r="AD25">
            <v>205</v>
          </cell>
        </row>
        <row r="26">
          <cell r="AD26">
            <v>357</v>
          </cell>
        </row>
        <row r="27">
          <cell r="AD27">
            <v>354</v>
          </cell>
        </row>
        <row r="28">
          <cell r="AD28">
            <v>348</v>
          </cell>
        </row>
        <row r="29">
          <cell r="AD29">
            <v>394</v>
          </cell>
        </row>
        <row r="30">
          <cell r="AD30">
            <v>424</v>
          </cell>
        </row>
        <row r="31">
          <cell r="AD31">
            <v>63</v>
          </cell>
        </row>
        <row r="32">
          <cell r="AD32">
            <v>343</v>
          </cell>
        </row>
        <row r="33">
          <cell r="AD33">
            <v>203</v>
          </cell>
        </row>
        <row r="34">
          <cell r="AD34">
            <v>179</v>
          </cell>
        </row>
        <row r="35">
          <cell r="AD35">
            <v>90</v>
          </cell>
        </row>
        <row r="36">
          <cell r="AD36">
            <v>427</v>
          </cell>
        </row>
        <row r="37">
          <cell r="AD37">
            <v>182</v>
          </cell>
        </row>
        <row r="38">
          <cell r="AD38">
            <v>52</v>
          </cell>
        </row>
        <row r="39">
          <cell r="AD39">
            <v>177</v>
          </cell>
        </row>
        <row r="40">
          <cell r="AD40">
            <v>453</v>
          </cell>
        </row>
        <row r="41">
          <cell r="AD41">
            <v>40</v>
          </cell>
        </row>
        <row r="42">
          <cell r="AD42">
            <v>34</v>
          </cell>
        </row>
        <row r="43">
          <cell r="AD43">
            <v>91</v>
          </cell>
        </row>
        <row r="44">
          <cell r="AD44">
            <v>74</v>
          </cell>
        </row>
        <row r="45">
          <cell r="AD45">
            <v>223</v>
          </cell>
        </row>
        <row r="46">
          <cell r="AD46">
            <v>735</v>
          </cell>
        </row>
        <row r="47">
          <cell r="AD47">
            <v>137</v>
          </cell>
        </row>
        <row r="48">
          <cell r="AD48">
            <v>71</v>
          </cell>
        </row>
        <row r="49">
          <cell r="AD49">
            <v>473</v>
          </cell>
        </row>
        <row r="50">
          <cell r="AD50">
            <v>836</v>
          </cell>
        </row>
        <row r="51">
          <cell r="AD51">
            <v>85</v>
          </cell>
        </row>
        <row r="52">
          <cell r="AD52">
            <v>189</v>
          </cell>
        </row>
        <row r="53">
          <cell r="AD53">
            <v>412</v>
          </cell>
        </row>
        <row r="54">
          <cell r="AD54">
            <v>58</v>
          </cell>
        </row>
        <row r="55">
          <cell r="AD55">
            <v>132</v>
          </cell>
        </row>
        <row r="56">
          <cell r="AD56">
            <v>137</v>
          </cell>
        </row>
        <row r="68">
          <cell r="N68">
            <v>273</v>
          </cell>
        </row>
        <row r="69">
          <cell r="N69">
            <v>172</v>
          </cell>
        </row>
        <row r="70">
          <cell r="N70">
            <v>682</v>
          </cell>
        </row>
        <row r="71">
          <cell r="N71">
            <v>97</v>
          </cell>
        </row>
        <row r="72">
          <cell r="N72">
            <v>1267</v>
          </cell>
        </row>
        <row r="73">
          <cell r="N73">
            <v>979</v>
          </cell>
        </row>
        <row r="74">
          <cell r="N74">
            <v>173</v>
          </cell>
        </row>
        <row r="75">
          <cell r="N75">
            <v>265</v>
          </cell>
        </row>
        <row r="76">
          <cell r="N76">
            <v>541</v>
          </cell>
        </row>
        <row r="77">
          <cell r="N77">
            <v>274</v>
          </cell>
        </row>
        <row r="78">
          <cell r="N78">
            <v>586</v>
          </cell>
        </row>
        <row r="79">
          <cell r="N79">
            <v>601</v>
          </cell>
        </row>
        <row r="80">
          <cell r="N80">
            <v>198</v>
          </cell>
        </row>
        <row r="81">
          <cell r="N81">
            <v>1046</v>
          </cell>
        </row>
        <row r="82">
          <cell r="N82">
            <v>72</v>
          </cell>
        </row>
        <row r="83">
          <cell r="N83">
            <v>704</v>
          </cell>
        </row>
        <row r="84">
          <cell r="N84">
            <v>571</v>
          </cell>
        </row>
        <row r="85">
          <cell r="N85">
            <v>526</v>
          </cell>
        </row>
        <row r="86">
          <cell r="N86">
            <v>433</v>
          </cell>
        </row>
        <row r="87">
          <cell r="N87">
            <v>428</v>
          </cell>
        </row>
        <row r="88">
          <cell r="N88">
            <v>512</v>
          </cell>
        </row>
        <row r="89">
          <cell r="N89">
            <v>260</v>
          </cell>
        </row>
        <row r="90">
          <cell r="N90">
            <v>887</v>
          </cell>
        </row>
        <row r="91">
          <cell r="N91">
            <v>138</v>
          </cell>
        </row>
        <row r="92">
          <cell r="N92">
            <v>249</v>
          </cell>
        </row>
        <row r="93">
          <cell r="N93">
            <v>485</v>
          </cell>
        </row>
        <row r="94">
          <cell r="N94">
            <v>120</v>
          </cell>
        </row>
        <row r="95">
          <cell r="N95">
            <v>201</v>
          </cell>
        </row>
        <row r="96">
          <cell r="N96">
            <v>593</v>
          </cell>
        </row>
        <row r="97">
          <cell r="N97">
            <v>268</v>
          </cell>
        </row>
        <row r="98">
          <cell r="N98">
            <v>196</v>
          </cell>
        </row>
        <row r="99">
          <cell r="N99">
            <v>391</v>
          </cell>
        </row>
        <row r="100">
          <cell r="N100">
            <v>164</v>
          </cell>
        </row>
        <row r="101">
          <cell r="N101">
            <v>97</v>
          </cell>
        </row>
        <row r="102">
          <cell r="N102">
            <v>120</v>
          </cell>
        </row>
        <row r="103">
          <cell r="N103">
            <v>184</v>
          </cell>
        </row>
        <row r="104">
          <cell r="N104">
            <v>112</v>
          </cell>
        </row>
        <row r="105">
          <cell r="N105">
            <v>537</v>
          </cell>
        </row>
        <row r="106">
          <cell r="N106">
            <v>371</v>
          </cell>
        </row>
        <row r="107">
          <cell r="N107">
            <v>390</v>
          </cell>
        </row>
        <row r="108">
          <cell r="N108">
            <v>299</v>
          </cell>
        </row>
        <row r="109">
          <cell r="N109">
            <v>751</v>
          </cell>
        </row>
        <row r="110">
          <cell r="N110">
            <v>924</v>
          </cell>
        </row>
        <row r="111">
          <cell r="N111">
            <v>243</v>
          </cell>
        </row>
        <row r="112">
          <cell r="N112">
            <v>504</v>
          </cell>
        </row>
        <row r="113">
          <cell r="N113">
            <v>438</v>
          </cell>
        </row>
        <row r="114">
          <cell r="N114">
            <v>285</v>
          </cell>
        </row>
        <row r="115">
          <cell r="N115">
            <v>251</v>
          </cell>
        </row>
        <row r="116">
          <cell r="N116">
            <v>522</v>
          </cell>
        </row>
      </sheetData>
      <sheetData sheetId="22">
        <row r="8">
          <cell r="AD8">
            <v>101</v>
          </cell>
        </row>
        <row r="9">
          <cell r="AD9">
            <v>40</v>
          </cell>
        </row>
        <row r="10">
          <cell r="AD10">
            <v>103</v>
          </cell>
        </row>
        <row r="11">
          <cell r="AD11">
            <v>13</v>
          </cell>
        </row>
        <row r="12">
          <cell r="AD12">
            <v>132</v>
          </cell>
        </row>
        <row r="13">
          <cell r="AD13">
            <v>113</v>
          </cell>
        </row>
        <row r="14">
          <cell r="AD14">
            <v>332</v>
          </cell>
        </row>
        <row r="15">
          <cell r="AD15">
            <v>263</v>
          </cell>
        </row>
        <row r="16">
          <cell r="AD16">
            <v>138</v>
          </cell>
        </row>
        <row r="17">
          <cell r="AD17">
            <v>142</v>
          </cell>
        </row>
        <row r="18">
          <cell r="AD18">
            <v>185</v>
          </cell>
        </row>
        <row r="19">
          <cell r="AD19">
            <v>280</v>
          </cell>
        </row>
        <row r="20">
          <cell r="AD20">
            <v>108</v>
          </cell>
        </row>
        <row r="21">
          <cell r="AD21">
            <v>289</v>
          </cell>
        </row>
        <row r="22">
          <cell r="AD22">
            <v>505</v>
          </cell>
        </row>
        <row r="23">
          <cell r="AD23">
            <v>599</v>
          </cell>
        </row>
        <row r="24">
          <cell r="AD24">
            <v>306</v>
          </cell>
        </row>
        <row r="25">
          <cell r="AD25">
            <v>83</v>
          </cell>
        </row>
        <row r="26">
          <cell r="AD26">
            <v>105</v>
          </cell>
        </row>
        <row r="27">
          <cell r="AD27">
            <v>208</v>
          </cell>
        </row>
        <row r="28">
          <cell r="AD28">
            <v>497</v>
          </cell>
        </row>
        <row r="29">
          <cell r="AD29">
            <v>239</v>
          </cell>
        </row>
        <row r="30">
          <cell r="AD30">
            <v>85</v>
          </cell>
        </row>
        <row r="31">
          <cell r="AD31">
            <v>150</v>
          </cell>
        </row>
        <row r="32">
          <cell r="AD32">
            <v>1075</v>
          </cell>
        </row>
        <row r="33">
          <cell r="AD33">
            <v>38</v>
          </cell>
        </row>
        <row r="34">
          <cell r="AD34">
            <v>59</v>
          </cell>
        </row>
        <row r="35">
          <cell r="AD35">
            <v>659</v>
          </cell>
        </row>
        <row r="36">
          <cell r="AD36">
            <v>25</v>
          </cell>
        </row>
        <row r="37">
          <cell r="AD37">
            <v>126</v>
          </cell>
        </row>
        <row r="38">
          <cell r="AD38">
            <v>534</v>
          </cell>
        </row>
        <row r="39">
          <cell r="AD39">
            <v>801</v>
          </cell>
        </row>
        <row r="40">
          <cell r="AD40">
            <v>81</v>
          </cell>
        </row>
        <row r="41">
          <cell r="AD41">
            <v>1248</v>
          </cell>
        </row>
        <row r="42">
          <cell r="AD42">
            <v>262</v>
          </cell>
        </row>
        <row r="43">
          <cell r="AD43">
            <v>222</v>
          </cell>
        </row>
        <row r="44">
          <cell r="AD44">
            <v>199</v>
          </cell>
        </row>
        <row r="45">
          <cell r="AD45">
            <v>251</v>
          </cell>
        </row>
        <row r="46">
          <cell r="AD46">
            <v>371</v>
          </cell>
        </row>
        <row r="47">
          <cell r="AD47">
            <v>317</v>
          </cell>
        </row>
        <row r="48">
          <cell r="AD48">
            <v>555</v>
          </cell>
        </row>
        <row r="49">
          <cell r="AD49">
            <v>68</v>
          </cell>
        </row>
        <row r="69">
          <cell r="N69">
            <v>95</v>
          </cell>
        </row>
        <row r="70">
          <cell r="N70">
            <v>186</v>
          </cell>
        </row>
        <row r="71">
          <cell r="N71">
            <v>78</v>
          </cell>
        </row>
        <row r="72">
          <cell r="N72">
            <v>80</v>
          </cell>
        </row>
        <row r="73">
          <cell r="N73">
            <v>161</v>
          </cell>
        </row>
        <row r="74">
          <cell r="N74">
            <v>115</v>
          </cell>
        </row>
        <row r="75">
          <cell r="N75">
            <v>253</v>
          </cell>
        </row>
        <row r="76">
          <cell r="N76">
            <v>760</v>
          </cell>
        </row>
        <row r="77">
          <cell r="N77">
            <v>0</v>
          </cell>
        </row>
        <row r="78">
          <cell r="N78">
            <v>508</v>
          </cell>
        </row>
        <row r="79">
          <cell r="N79">
            <v>339</v>
          </cell>
        </row>
        <row r="80">
          <cell r="N80">
            <v>116</v>
          </cell>
        </row>
        <row r="81">
          <cell r="N81">
            <v>0</v>
          </cell>
        </row>
        <row r="82">
          <cell r="N82">
            <v>576</v>
          </cell>
        </row>
        <row r="83">
          <cell r="N83">
            <v>727</v>
          </cell>
        </row>
        <row r="84">
          <cell r="N84">
            <v>675</v>
          </cell>
        </row>
        <row r="85">
          <cell r="N85">
            <v>754</v>
          </cell>
        </row>
        <row r="86">
          <cell r="N86">
            <v>312</v>
          </cell>
        </row>
        <row r="87">
          <cell r="N87">
            <v>78</v>
          </cell>
        </row>
        <row r="88">
          <cell r="N88">
            <v>288</v>
          </cell>
        </row>
        <row r="89">
          <cell r="N89">
            <v>334</v>
          </cell>
        </row>
        <row r="90">
          <cell r="N90">
            <v>678</v>
          </cell>
        </row>
        <row r="91">
          <cell r="N91">
            <v>150</v>
          </cell>
        </row>
        <row r="92">
          <cell r="N92">
            <v>380</v>
          </cell>
        </row>
        <row r="93">
          <cell r="N93">
            <v>415</v>
          </cell>
        </row>
        <row r="94">
          <cell r="N94">
            <v>92</v>
          </cell>
        </row>
        <row r="95">
          <cell r="N95">
            <v>225</v>
          </cell>
        </row>
        <row r="96">
          <cell r="N96">
            <v>627</v>
          </cell>
        </row>
        <row r="97">
          <cell r="N97">
            <v>103</v>
          </cell>
        </row>
        <row r="98">
          <cell r="N98">
            <v>200</v>
          </cell>
        </row>
        <row r="99">
          <cell r="N99">
            <v>1010</v>
          </cell>
        </row>
        <row r="100">
          <cell r="N100">
            <v>1270</v>
          </cell>
        </row>
        <row r="101">
          <cell r="N101">
            <v>295</v>
          </cell>
        </row>
        <row r="102">
          <cell r="N102">
            <v>1265</v>
          </cell>
        </row>
        <row r="103">
          <cell r="N103">
            <v>1021</v>
          </cell>
        </row>
        <row r="104">
          <cell r="N104">
            <v>299</v>
          </cell>
        </row>
        <row r="105">
          <cell r="N105">
            <v>597</v>
          </cell>
        </row>
        <row r="106">
          <cell r="N106">
            <v>780</v>
          </cell>
        </row>
        <row r="107">
          <cell r="N107">
            <v>1098</v>
          </cell>
        </row>
        <row r="108">
          <cell r="N108">
            <v>433</v>
          </cell>
        </row>
        <row r="109">
          <cell r="N109">
            <v>969</v>
          </cell>
        </row>
        <row r="110">
          <cell r="N110">
            <v>180</v>
          </cell>
        </row>
      </sheetData>
      <sheetData sheetId="23">
        <row r="8">
          <cell r="AD8">
            <v>179</v>
          </cell>
        </row>
        <row r="9">
          <cell r="AD9">
            <v>72</v>
          </cell>
        </row>
        <row r="10">
          <cell r="AD10">
            <v>216</v>
          </cell>
        </row>
        <row r="11">
          <cell r="AD11">
            <v>295</v>
          </cell>
        </row>
        <row r="12">
          <cell r="AD12">
            <v>106</v>
          </cell>
        </row>
        <row r="13">
          <cell r="AD13">
            <v>136</v>
          </cell>
        </row>
        <row r="14">
          <cell r="AD14">
            <v>206</v>
          </cell>
        </row>
        <row r="15">
          <cell r="AD15">
            <v>299</v>
          </cell>
        </row>
        <row r="16">
          <cell r="AD16">
            <v>56</v>
          </cell>
        </row>
        <row r="17">
          <cell r="AD17">
            <v>291</v>
          </cell>
        </row>
        <row r="18">
          <cell r="AD18">
            <v>304</v>
          </cell>
        </row>
        <row r="19">
          <cell r="AD19">
            <v>75</v>
          </cell>
        </row>
        <row r="20">
          <cell r="AD20">
            <v>236</v>
          </cell>
        </row>
        <row r="21">
          <cell r="AD21">
            <v>193</v>
          </cell>
        </row>
        <row r="22">
          <cell r="AD22">
            <v>50</v>
          </cell>
        </row>
        <row r="23">
          <cell r="AD23">
            <v>179</v>
          </cell>
        </row>
        <row r="24">
          <cell r="AD24">
            <v>358</v>
          </cell>
        </row>
        <row r="25">
          <cell r="AD25">
            <v>374</v>
          </cell>
        </row>
        <row r="26">
          <cell r="AD26">
            <v>130</v>
          </cell>
        </row>
        <row r="27">
          <cell r="AD27">
            <v>41</v>
          </cell>
        </row>
        <row r="28">
          <cell r="AD28">
            <v>184</v>
          </cell>
        </row>
        <row r="29">
          <cell r="AD29">
            <v>14</v>
          </cell>
        </row>
        <row r="30">
          <cell r="AD30">
            <v>453</v>
          </cell>
        </row>
        <row r="31">
          <cell r="AD31">
            <v>208</v>
          </cell>
        </row>
        <row r="32">
          <cell r="AD32">
            <v>22</v>
          </cell>
        </row>
        <row r="33">
          <cell r="AD33">
            <v>395</v>
          </cell>
        </row>
        <row r="34">
          <cell r="AD34">
            <v>248</v>
          </cell>
        </row>
        <row r="35">
          <cell r="AD35">
            <v>242</v>
          </cell>
        </row>
        <row r="36">
          <cell r="AD36">
            <v>1401</v>
          </cell>
        </row>
        <row r="37">
          <cell r="AD37">
            <v>979</v>
          </cell>
        </row>
        <row r="38">
          <cell r="AD38">
            <v>80</v>
          </cell>
        </row>
        <row r="39">
          <cell r="AD39">
            <v>782</v>
          </cell>
        </row>
        <row r="40">
          <cell r="AD40">
            <v>160</v>
          </cell>
        </row>
        <row r="41">
          <cell r="AD41">
            <v>10</v>
          </cell>
        </row>
        <row r="42">
          <cell r="AD42">
            <v>153</v>
          </cell>
        </row>
        <row r="43">
          <cell r="AD43">
            <v>196</v>
          </cell>
        </row>
        <row r="44">
          <cell r="AD44">
            <v>403</v>
          </cell>
        </row>
        <row r="45">
          <cell r="AD45">
            <v>77</v>
          </cell>
        </row>
        <row r="46">
          <cell r="AD46">
            <v>263</v>
          </cell>
        </row>
        <row r="47">
          <cell r="AD47">
            <v>40</v>
          </cell>
        </row>
        <row r="48">
          <cell r="AD48">
            <v>211</v>
          </cell>
        </row>
        <row r="49">
          <cell r="AD49">
            <v>80</v>
          </cell>
        </row>
        <row r="50">
          <cell r="AD50">
            <v>0</v>
          </cell>
        </row>
        <row r="51">
          <cell r="AD51">
            <v>0</v>
          </cell>
        </row>
        <row r="52">
          <cell r="AD52">
            <v>0</v>
          </cell>
        </row>
        <row r="62">
          <cell r="P62">
            <v>1048</v>
          </cell>
        </row>
        <row r="63">
          <cell r="P63">
            <v>372</v>
          </cell>
        </row>
        <row r="64">
          <cell r="P64">
            <v>628</v>
          </cell>
        </row>
        <row r="65">
          <cell r="P65">
            <v>391</v>
          </cell>
        </row>
        <row r="66">
          <cell r="P66">
            <v>234</v>
          </cell>
        </row>
        <row r="67">
          <cell r="P67">
            <v>273</v>
          </cell>
        </row>
        <row r="68">
          <cell r="P68">
            <v>433</v>
          </cell>
        </row>
        <row r="69">
          <cell r="P69">
            <v>1100</v>
          </cell>
        </row>
        <row r="70">
          <cell r="P70">
            <v>97</v>
          </cell>
        </row>
        <row r="71">
          <cell r="P71">
            <v>487</v>
          </cell>
        </row>
        <row r="72">
          <cell r="P72">
            <v>711</v>
          </cell>
        </row>
        <row r="73">
          <cell r="P73">
            <v>226</v>
          </cell>
        </row>
        <row r="74">
          <cell r="P74">
            <v>638</v>
          </cell>
        </row>
        <row r="75">
          <cell r="P75">
            <v>390</v>
          </cell>
        </row>
        <row r="76">
          <cell r="P76">
            <v>139</v>
          </cell>
        </row>
        <row r="77">
          <cell r="P77">
            <v>459</v>
          </cell>
        </row>
        <row r="78">
          <cell r="P78">
            <v>174</v>
          </cell>
        </row>
        <row r="79">
          <cell r="P79">
            <v>679</v>
          </cell>
        </row>
        <row r="80">
          <cell r="P80">
            <v>355</v>
          </cell>
        </row>
        <row r="81">
          <cell r="P81">
            <v>34</v>
          </cell>
        </row>
        <row r="82">
          <cell r="P82">
            <v>636</v>
          </cell>
        </row>
        <row r="83">
          <cell r="P83">
            <v>57</v>
          </cell>
        </row>
        <row r="84">
          <cell r="P84">
            <v>451</v>
          </cell>
        </row>
        <row r="85">
          <cell r="P85">
            <v>449</v>
          </cell>
        </row>
        <row r="86">
          <cell r="P86">
            <v>97</v>
          </cell>
        </row>
        <row r="87">
          <cell r="P87">
            <v>544</v>
          </cell>
        </row>
        <row r="88">
          <cell r="P88">
            <v>456</v>
          </cell>
        </row>
        <row r="89">
          <cell r="P89">
            <v>519</v>
          </cell>
        </row>
        <row r="90">
          <cell r="P90">
            <v>945</v>
          </cell>
        </row>
        <row r="91">
          <cell r="P91">
            <v>391</v>
          </cell>
        </row>
        <row r="92">
          <cell r="P92">
            <v>167</v>
          </cell>
        </row>
        <row r="93">
          <cell r="P93">
            <v>974</v>
          </cell>
        </row>
        <row r="94">
          <cell r="P94">
            <v>436</v>
          </cell>
        </row>
        <row r="95">
          <cell r="P95">
            <v>127</v>
          </cell>
        </row>
        <row r="96">
          <cell r="P96">
            <v>438</v>
          </cell>
        </row>
        <row r="97">
          <cell r="P97">
            <v>422</v>
          </cell>
        </row>
        <row r="98">
          <cell r="P98">
            <v>1124</v>
          </cell>
        </row>
        <row r="99">
          <cell r="P99">
            <v>357</v>
          </cell>
        </row>
        <row r="100">
          <cell r="P100">
            <v>935</v>
          </cell>
        </row>
        <row r="101">
          <cell r="P101">
            <v>440</v>
          </cell>
        </row>
        <row r="102">
          <cell r="P102">
            <v>551</v>
          </cell>
        </row>
        <row r="103">
          <cell r="P103">
            <v>126</v>
          </cell>
        </row>
        <row r="104">
          <cell r="P104">
            <v>0</v>
          </cell>
        </row>
      </sheetData>
      <sheetData sheetId="24">
        <row r="8">
          <cell r="AD8">
            <v>118</v>
          </cell>
        </row>
        <row r="9">
          <cell r="AD9">
            <v>94</v>
          </cell>
        </row>
        <row r="10">
          <cell r="AD10">
            <v>120</v>
          </cell>
        </row>
        <row r="11">
          <cell r="AD11">
            <v>512</v>
          </cell>
        </row>
        <row r="12">
          <cell r="AD12">
            <v>237</v>
          </cell>
        </row>
        <row r="13">
          <cell r="AD13">
            <v>271</v>
          </cell>
        </row>
        <row r="15">
          <cell r="AD15">
            <v>82</v>
          </cell>
        </row>
        <row r="16">
          <cell r="AD16">
            <v>408</v>
          </cell>
        </row>
        <row r="17">
          <cell r="AD17">
            <v>76</v>
          </cell>
        </row>
        <row r="18">
          <cell r="AD18">
            <v>467</v>
          </cell>
        </row>
        <row r="19">
          <cell r="AD19">
            <v>130</v>
          </cell>
        </row>
        <row r="20">
          <cell r="AD20">
            <v>504</v>
          </cell>
        </row>
        <row r="21">
          <cell r="AD21">
            <v>134</v>
          </cell>
        </row>
        <row r="22">
          <cell r="AD22">
            <v>142</v>
          </cell>
        </row>
        <row r="23">
          <cell r="AD23">
            <v>42</v>
          </cell>
        </row>
        <row r="24">
          <cell r="AD24">
            <v>370</v>
          </cell>
        </row>
        <row r="25">
          <cell r="AD25">
            <v>100</v>
          </cell>
        </row>
        <row r="26">
          <cell r="AD26">
            <v>55</v>
          </cell>
        </row>
        <row r="27">
          <cell r="AD27">
            <v>1078</v>
          </cell>
        </row>
        <row r="28">
          <cell r="AD28">
            <v>1422</v>
          </cell>
        </row>
        <row r="29">
          <cell r="AD29">
            <v>1222</v>
          </cell>
        </row>
        <row r="30">
          <cell r="AD30">
            <v>49</v>
          </cell>
        </row>
        <row r="31">
          <cell r="AD31">
            <v>14</v>
          </cell>
        </row>
        <row r="32">
          <cell r="AD32">
            <v>816</v>
          </cell>
        </row>
        <row r="33">
          <cell r="AD33">
            <v>870</v>
          </cell>
        </row>
        <row r="34">
          <cell r="AD34">
            <v>21</v>
          </cell>
        </row>
        <row r="35">
          <cell r="AD35">
            <v>299</v>
          </cell>
        </row>
        <row r="36">
          <cell r="AD36">
            <v>103</v>
          </cell>
        </row>
        <row r="37">
          <cell r="AD37">
            <v>97</v>
          </cell>
        </row>
        <row r="38">
          <cell r="AD38">
            <v>508</v>
          </cell>
        </row>
        <row r="39">
          <cell r="AD39">
            <v>1184</v>
          </cell>
        </row>
        <row r="40">
          <cell r="AD40">
            <v>14</v>
          </cell>
        </row>
        <row r="41">
          <cell r="AD41">
            <v>589</v>
          </cell>
        </row>
        <row r="42">
          <cell r="AD42">
            <v>673</v>
          </cell>
        </row>
        <row r="43">
          <cell r="AD43">
            <v>60</v>
          </cell>
        </row>
        <row r="44">
          <cell r="AD44">
            <v>351</v>
          </cell>
        </row>
        <row r="45">
          <cell r="AD45">
            <v>471</v>
          </cell>
        </row>
        <row r="46">
          <cell r="AD46">
            <v>1440</v>
          </cell>
        </row>
        <row r="47">
          <cell r="AD47">
            <v>1159</v>
          </cell>
        </row>
        <row r="48">
          <cell r="AD48">
            <v>52</v>
          </cell>
        </row>
        <row r="49">
          <cell r="AD49">
            <v>283</v>
          </cell>
        </row>
        <row r="50">
          <cell r="AD50">
            <v>0</v>
          </cell>
        </row>
        <row r="51">
          <cell r="AD51">
            <v>0</v>
          </cell>
        </row>
        <row r="71">
          <cell r="N71">
            <v>93</v>
          </cell>
        </row>
        <row r="72">
          <cell r="N72">
            <v>273</v>
          </cell>
        </row>
        <row r="73">
          <cell r="N73">
            <v>130</v>
          </cell>
        </row>
        <row r="74">
          <cell r="N74">
            <v>242</v>
          </cell>
        </row>
        <row r="76">
          <cell r="N76">
            <v>573</v>
          </cell>
        </row>
        <row r="78">
          <cell r="N78">
            <v>145</v>
          </cell>
        </row>
        <row r="79">
          <cell r="N79">
            <v>1031</v>
          </cell>
        </row>
        <row r="80">
          <cell r="N80">
            <v>79</v>
          </cell>
        </row>
        <row r="81">
          <cell r="N81">
            <v>1166</v>
          </cell>
        </row>
        <row r="82">
          <cell r="N82">
            <v>0</v>
          </cell>
        </row>
        <row r="83">
          <cell r="N83">
            <v>1003</v>
          </cell>
        </row>
        <row r="84">
          <cell r="N84">
            <v>99</v>
          </cell>
        </row>
        <row r="85">
          <cell r="N85">
            <v>956</v>
          </cell>
        </row>
        <row r="86">
          <cell r="N86">
            <v>127</v>
          </cell>
        </row>
        <row r="87">
          <cell r="N87">
            <v>818</v>
          </cell>
        </row>
        <row r="88">
          <cell r="N88">
            <v>425</v>
          </cell>
        </row>
        <row r="89">
          <cell r="N89">
            <v>348</v>
          </cell>
        </row>
        <row r="91">
          <cell r="N91">
            <v>550</v>
          </cell>
        </row>
        <row r="92">
          <cell r="N92">
            <v>234</v>
          </cell>
        </row>
        <row r="93">
          <cell r="N93">
            <v>192</v>
          </cell>
        </row>
        <row r="94">
          <cell r="N94">
            <v>102</v>
          </cell>
        </row>
        <row r="95">
          <cell r="N95">
            <v>725</v>
          </cell>
        </row>
        <row r="96">
          <cell r="N96">
            <v>847</v>
          </cell>
        </row>
        <row r="97">
          <cell r="N97">
            <v>51</v>
          </cell>
        </row>
        <row r="98">
          <cell r="N98">
            <v>744</v>
          </cell>
        </row>
        <row r="99">
          <cell r="N99">
            <v>465</v>
          </cell>
        </row>
        <row r="100">
          <cell r="N100">
            <v>481</v>
          </cell>
        </row>
        <row r="101">
          <cell r="N101">
            <v>916</v>
          </cell>
        </row>
        <row r="102">
          <cell r="N102">
            <v>321</v>
          </cell>
        </row>
        <row r="103">
          <cell r="N103">
            <v>107</v>
          </cell>
        </row>
        <row r="104">
          <cell r="N104">
            <v>1060</v>
          </cell>
        </row>
        <row r="105">
          <cell r="N105">
            <v>827</v>
          </cell>
        </row>
        <row r="106">
          <cell r="N106">
            <v>98</v>
          </cell>
        </row>
        <row r="107">
          <cell r="N107">
            <v>520</v>
          </cell>
        </row>
        <row r="108">
          <cell r="N108">
            <v>615</v>
          </cell>
        </row>
        <row r="109">
          <cell r="N109">
            <v>0</v>
          </cell>
        </row>
        <row r="110">
          <cell r="N110">
            <v>201</v>
          </cell>
        </row>
        <row r="111">
          <cell r="N111">
            <v>80</v>
          </cell>
        </row>
        <row r="112">
          <cell r="N112">
            <v>1105</v>
          </cell>
        </row>
      </sheetData>
      <sheetData sheetId="25">
        <row r="8">
          <cell r="AD8">
            <v>217</v>
          </cell>
        </row>
        <row r="9">
          <cell r="AD9">
            <v>311</v>
          </cell>
        </row>
        <row r="10">
          <cell r="AD10">
            <v>316</v>
          </cell>
        </row>
        <row r="11">
          <cell r="AD11">
            <v>28</v>
          </cell>
        </row>
        <row r="12">
          <cell r="AD12">
            <v>314</v>
          </cell>
        </row>
        <row r="13">
          <cell r="AD13">
            <v>283</v>
          </cell>
        </row>
        <row r="14">
          <cell r="AD14">
            <v>19</v>
          </cell>
        </row>
        <row r="15">
          <cell r="AD15">
            <v>75</v>
          </cell>
        </row>
        <row r="16">
          <cell r="AD16">
            <v>374</v>
          </cell>
        </row>
        <row r="17">
          <cell r="AD17">
            <v>56</v>
          </cell>
        </row>
        <row r="18">
          <cell r="AD18">
            <v>121</v>
          </cell>
        </row>
        <row r="19">
          <cell r="AD19">
            <v>438</v>
          </cell>
        </row>
        <row r="20">
          <cell r="AD20">
            <v>615</v>
          </cell>
        </row>
        <row r="21">
          <cell r="AD21">
            <v>170</v>
          </cell>
        </row>
        <row r="22">
          <cell r="AD22">
            <v>356</v>
          </cell>
        </row>
        <row r="23">
          <cell r="AD23">
            <v>142</v>
          </cell>
        </row>
        <row r="24">
          <cell r="AD24">
            <v>177</v>
          </cell>
        </row>
        <row r="25">
          <cell r="AD25">
            <v>480</v>
          </cell>
        </row>
        <row r="26">
          <cell r="AD26">
            <v>354</v>
          </cell>
        </row>
        <row r="27">
          <cell r="AD27">
            <v>157</v>
          </cell>
        </row>
        <row r="28">
          <cell r="AD28">
            <v>350</v>
          </cell>
        </row>
        <row r="29">
          <cell r="AD29">
            <v>287</v>
          </cell>
        </row>
        <row r="30">
          <cell r="AD30">
            <v>376</v>
          </cell>
        </row>
        <row r="31">
          <cell r="AD31">
            <v>340</v>
          </cell>
        </row>
        <row r="32">
          <cell r="AD32">
            <v>316</v>
          </cell>
        </row>
        <row r="33">
          <cell r="AD33">
            <v>143</v>
          </cell>
        </row>
        <row r="34">
          <cell r="AD34">
            <v>56</v>
          </cell>
        </row>
        <row r="35">
          <cell r="AD35">
            <v>273</v>
          </cell>
        </row>
        <row r="36">
          <cell r="AD36">
            <v>251</v>
          </cell>
        </row>
        <row r="37">
          <cell r="AD37">
            <v>193</v>
          </cell>
        </row>
        <row r="38">
          <cell r="AD38">
            <v>829</v>
          </cell>
        </row>
        <row r="39">
          <cell r="AD39">
            <v>31</v>
          </cell>
        </row>
        <row r="40">
          <cell r="AD40">
            <v>299</v>
          </cell>
        </row>
        <row r="41">
          <cell r="AD41">
            <v>8</v>
          </cell>
        </row>
        <row r="42">
          <cell r="AD42">
            <v>448</v>
          </cell>
        </row>
        <row r="43">
          <cell r="AD43">
            <v>98</v>
          </cell>
        </row>
        <row r="44">
          <cell r="AD44">
            <v>10</v>
          </cell>
        </row>
        <row r="45">
          <cell r="AD45">
            <v>99</v>
          </cell>
        </row>
        <row r="46">
          <cell r="AD46">
            <v>27</v>
          </cell>
        </row>
        <row r="47">
          <cell r="AD47">
            <v>336</v>
          </cell>
        </row>
        <row r="48">
          <cell r="AD48">
            <v>104</v>
          </cell>
        </row>
        <row r="49">
          <cell r="AD49">
            <v>745</v>
          </cell>
        </row>
        <row r="65">
          <cell r="N65">
            <v>613</v>
          </cell>
        </row>
        <row r="66">
          <cell r="N66">
            <v>344</v>
          </cell>
        </row>
        <row r="67">
          <cell r="N67">
            <v>1388</v>
          </cell>
        </row>
        <row r="68">
          <cell r="N68">
            <v>166</v>
          </cell>
        </row>
        <row r="69">
          <cell r="N69">
            <v>684</v>
          </cell>
        </row>
        <row r="70">
          <cell r="N70">
            <v>489</v>
          </cell>
        </row>
        <row r="71">
          <cell r="N71">
            <v>47</v>
          </cell>
        </row>
        <row r="72">
          <cell r="N72">
            <v>234</v>
          </cell>
        </row>
        <row r="73">
          <cell r="N73">
            <v>736</v>
          </cell>
        </row>
        <row r="74">
          <cell r="N74">
            <v>215</v>
          </cell>
        </row>
        <row r="75">
          <cell r="N75">
            <v>270</v>
          </cell>
        </row>
        <row r="76">
          <cell r="N76">
            <v>687</v>
          </cell>
        </row>
        <row r="77">
          <cell r="N77">
            <v>1119</v>
          </cell>
        </row>
        <row r="78">
          <cell r="N78">
            <v>509</v>
          </cell>
        </row>
        <row r="79">
          <cell r="N79">
            <v>795</v>
          </cell>
        </row>
        <row r="80">
          <cell r="N80">
            <v>121</v>
          </cell>
        </row>
        <row r="81">
          <cell r="N81">
            <v>155</v>
          </cell>
        </row>
        <row r="82">
          <cell r="N82">
            <v>733</v>
          </cell>
        </row>
        <row r="83">
          <cell r="N83">
            <v>640</v>
          </cell>
        </row>
        <row r="84">
          <cell r="N84">
            <v>505</v>
          </cell>
        </row>
        <row r="85">
          <cell r="N85">
            <v>425</v>
          </cell>
        </row>
        <row r="86">
          <cell r="N86">
            <v>531</v>
          </cell>
        </row>
        <row r="87">
          <cell r="N87">
            <v>1300</v>
          </cell>
        </row>
        <row r="88">
          <cell r="N88">
            <v>872</v>
          </cell>
        </row>
        <row r="89">
          <cell r="N89">
            <v>105</v>
          </cell>
        </row>
        <row r="90">
          <cell r="N90">
            <v>141</v>
          </cell>
        </row>
        <row r="91">
          <cell r="N91">
            <v>183</v>
          </cell>
        </row>
        <row r="92">
          <cell r="N92">
            <v>420</v>
          </cell>
        </row>
        <row r="93">
          <cell r="N93">
            <v>909</v>
          </cell>
        </row>
        <row r="94">
          <cell r="N94">
            <v>82</v>
          </cell>
        </row>
        <row r="95">
          <cell r="N95">
            <v>709</v>
          </cell>
        </row>
        <row r="96">
          <cell r="N96">
            <v>262</v>
          </cell>
        </row>
        <row r="97">
          <cell r="N97">
            <v>1082</v>
          </cell>
        </row>
        <row r="98">
          <cell r="N98">
            <v>75</v>
          </cell>
        </row>
        <row r="99">
          <cell r="N99">
            <v>928</v>
          </cell>
        </row>
        <row r="100">
          <cell r="N100">
            <v>190</v>
          </cell>
        </row>
        <row r="101">
          <cell r="N101">
            <v>34</v>
          </cell>
        </row>
        <row r="102">
          <cell r="N102">
            <v>572</v>
          </cell>
        </row>
        <row r="103">
          <cell r="N103">
            <v>14</v>
          </cell>
        </row>
        <row r="104">
          <cell r="N104">
            <v>375</v>
          </cell>
        </row>
        <row r="105">
          <cell r="N105">
            <v>121</v>
          </cell>
        </row>
        <row r="106">
          <cell r="N106">
            <v>717</v>
          </cell>
        </row>
      </sheetData>
      <sheetData sheetId="26">
        <row r="8">
          <cell r="AD8">
            <v>889</v>
          </cell>
        </row>
        <row r="9">
          <cell r="AD9">
            <v>23</v>
          </cell>
        </row>
        <row r="10">
          <cell r="AD10">
            <v>150</v>
          </cell>
        </row>
        <row r="11">
          <cell r="AD11">
            <v>150</v>
          </cell>
        </row>
        <row r="12">
          <cell r="AD12">
            <v>118</v>
          </cell>
        </row>
        <row r="13">
          <cell r="AD13">
            <v>35</v>
          </cell>
        </row>
        <row r="14">
          <cell r="AD14">
            <v>150</v>
          </cell>
        </row>
        <row r="15">
          <cell r="AD15">
            <v>229</v>
          </cell>
        </row>
        <row r="16">
          <cell r="AD16">
            <v>175</v>
          </cell>
        </row>
        <row r="17">
          <cell r="AD17">
            <v>204</v>
          </cell>
        </row>
        <row r="18">
          <cell r="AD18">
            <v>755</v>
          </cell>
        </row>
        <row r="19">
          <cell r="AD19">
            <v>234</v>
          </cell>
        </row>
        <row r="20">
          <cell r="AD20">
            <v>437</v>
          </cell>
        </row>
        <row r="21">
          <cell r="AD21">
            <v>210</v>
          </cell>
        </row>
        <row r="22">
          <cell r="AD22">
            <v>552</v>
          </cell>
        </row>
        <row r="23">
          <cell r="AD23">
            <v>39</v>
          </cell>
        </row>
        <row r="24">
          <cell r="AD24">
            <v>156</v>
          </cell>
        </row>
        <row r="25">
          <cell r="AD25">
            <v>311</v>
          </cell>
        </row>
        <row r="26">
          <cell r="AD26">
            <v>137</v>
          </cell>
        </row>
        <row r="27">
          <cell r="AD27">
            <v>576</v>
          </cell>
        </row>
        <row r="28">
          <cell r="AD28">
            <v>711</v>
          </cell>
        </row>
        <row r="29">
          <cell r="AD29">
            <v>342</v>
          </cell>
        </row>
        <row r="30">
          <cell r="AD30">
            <v>49</v>
          </cell>
        </row>
        <row r="31">
          <cell r="AD31">
            <v>118</v>
          </cell>
        </row>
        <row r="32">
          <cell r="AD32">
            <v>298</v>
          </cell>
        </row>
        <row r="33">
          <cell r="AD33">
            <v>143</v>
          </cell>
        </row>
        <row r="34">
          <cell r="AD34">
            <v>379</v>
          </cell>
        </row>
        <row r="35">
          <cell r="AD35">
            <v>53</v>
          </cell>
        </row>
        <row r="36">
          <cell r="AD36">
            <v>218</v>
          </cell>
        </row>
        <row r="37">
          <cell r="AD37">
            <v>191</v>
          </cell>
        </row>
        <row r="38">
          <cell r="AD38">
            <v>181</v>
          </cell>
        </row>
        <row r="39">
          <cell r="AD39">
            <v>588</v>
          </cell>
        </row>
        <row r="40">
          <cell r="AD40">
            <v>225</v>
          </cell>
        </row>
        <row r="41">
          <cell r="AD41">
            <v>199</v>
          </cell>
        </row>
        <row r="42">
          <cell r="AD42">
            <v>33</v>
          </cell>
        </row>
        <row r="43">
          <cell r="AD43">
            <v>352</v>
          </cell>
        </row>
        <row r="44">
          <cell r="AD44">
            <v>226</v>
          </cell>
        </row>
        <row r="45">
          <cell r="AD45">
            <v>76</v>
          </cell>
        </row>
        <row r="46">
          <cell r="AD46">
            <v>108</v>
          </cell>
        </row>
        <row r="47">
          <cell r="AD47">
            <v>210</v>
          </cell>
        </row>
        <row r="48">
          <cell r="AD48">
            <v>2032</v>
          </cell>
        </row>
        <row r="49">
          <cell r="AD49">
            <v>1440</v>
          </cell>
        </row>
        <row r="50">
          <cell r="AD50">
            <v>1440</v>
          </cell>
        </row>
        <row r="51">
          <cell r="AD51">
            <v>178</v>
          </cell>
        </row>
        <row r="52">
          <cell r="AD52">
            <v>0</v>
          </cell>
        </row>
        <row r="53">
          <cell r="AD53">
            <v>0</v>
          </cell>
        </row>
        <row r="67">
          <cell r="N67">
            <v>1313</v>
          </cell>
        </row>
        <row r="68">
          <cell r="N68">
            <v>163</v>
          </cell>
        </row>
        <row r="69">
          <cell r="N69">
            <v>528</v>
          </cell>
        </row>
        <row r="70">
          <cell r="N70">
            <v>160</v>
          </cell>
        </row>
        <row r="71">
          <cell r="N71">
            <v>294</v>
          </cell>
        </row>
        <row r="72">
          <cell r="N72">
            <v>133</v>
          </cell>
        </row>
        <row r="73">
          <cell r="N73">
            <v>298</v>
          </cell>
        </row>
        <row r="74">
          <cell r="N74">
            <v>358</v>
          </cell>
        </row>
        <row r="75">
          <cell r="N75">
            <v>690</v>
          </cell>
        </row>
        <row r="76">
          <cell r="N76">
            <v>330</v>
          </cell>
        </row>
        <row r="77">
          <cell r="N77">
            <v>1112</v>
          </cell>
        </row>
        <row r="78">
          <cell r="N78">
            <v>295</v>
          </cell>
        </row>
        <row r="79">
          <cell r="N79">
            <v>130</v>
          </cell>
        </row>
        <row r="80">
          <cell r="N80">
            <v>321</v>
          </cell>
        </row>
        <row r="81">
          <cell r="N81">
            <v>362</v>
          </cell>
        </row>
        <row r="82">
          <cell r="N82">
            <v>163</v>
          </cell>
        </row>
        <row r="83">
          <cell r="N83">
            <v>393</v>
          </cell>
        </row>
        <row r="84">
          <cell r="N84">
            <v>698</v>
          </cell>
        </row>
        <row r="85">
          <cell r="N85">
            <v>296</v>
          </cell>
        </row>
        <row r="86">
          <cell r="N86">
            <v>337</v>
          </cell>
        </row>
        <row r="87">
          <cell r="N87">
            <v>792</v>
          </cell>
        </row>
        <row r="88">
          <cell r="N88">
            <v>1379</v>
          </cell>
        </row>
        <row r="89">
          <cell r="N89">
            <v>174</v>
          </cell>
        </row>
        <row r="90">
          <cell r="N90">
            <v>390</v>
          </cell>
        </row>
        <row r="91">
          <cell r="N91">
            <v>573</v>
          </cell>
        </row>
        <row r="92">
          <cell r="N92">
            <v>222</v>
          </cell>
        </row>
        <row r="93">
          <cell r="N93">
            <v>887</v>
          </cell>
        </row>
        <row r="94">
          <cell r="N94">
            <v>200</v>
          </cell>
        </row>
        <row r="95">
          <cell r="N95">
            <v>325</v>
          </cell>
        </row>
        <row r="96">
          <cell r="N96">
            <v>440</v>
          </cell>
        </row>
        <row r="97">
          <cell r="N97">
            <v>361</v>
          </cell>
        </row>
        <row r="98">
          <cell r="N98">
            <v>520</v>
          </cell>
        </row>
        <row r="99">
          <cell r="N99">
            <v>1393</v>
          </cell>
        </row>
        <row r="100">
          <cell r="N100">
            <v>193</v>
          </cell>
        </row>
        <row r="101">
          <cell r="N101">
            <v>165</v>
          </cell>
        </row>
        <row r="102">
          <cell r="N102">
            <v>746</v>
          </cell>
        </row>
        <row r="103">
          <cell r="N103">
            <v>965</v>
          </cell>
        </row>
        <row r="104">
          <cell r="N104">
            <v>410</v>
          </cell>
        </row>
        <row r="105">
          <cell r="N105">
            <v>438</v>
          </cell>
        </row>
        <row r="106">
          <cell r="N106">
            <v>428</v>
          </cell>
        </row>
        <row r="107">
          <cell r="N107">
            <v>584</v>
          </cell>
        </row>
        <row r="108">
          <cell r="N108">
            <v>330</v>
          </cell>
        </row>
      </sheetData>
      <sheetData sheetId="27">
        <row r="8">
          <cell r="AD8">
            <v>464</v>
          </cell>
        </row>
        <row r="9">
          <cell r="AD9">
            <v>107</v>
          </cell>
        </row>
        <row r="10">
          <cell r="AD10">
            <v>329</v>
          </cell>
        </row>
        <row r="11">
          <cell r="AD11">
            <v>76</v>
          </cell>
        </row>
        <row r="12">
          <cell r="AD12">
            <v>582</v>
          </cell>
        </row>
        <row r="13">
          <cell r="AD13">
            <v>198</v>
          </cell>
        </row>
        <row r="14">
          <cell r="AD14">
            <v>284</v>
          </cell>
        </row>
        <row r="15">
          <cell r="AD15">
            <v>61</v>
          </cell>
        </row>
        <row r="16">
          <cell r="AD16">
            <v>249</v>
          </cell>
        </row>
        <row r="17">
          <cell r="AD17">
            <v>716</v>
          </cell>
        </row>
        <row r="18">
          <cell r="AD18">
            <v>282</v>
          </cell>
        </row>
        <row r="19">
          <cell r="AD19">
            <v>563</v>
          </cell>
        </row>
        <row r="20">
          <cell r="AD20">
            <v>75</v>
          </cell>
        </row>
        <row r="21">
          <cell r="AD21">
            <v>121</v>
          </cell>
        </row>
        <row r="22">
          <cell r="AD22">
            <v>79</v>
          </cell>
        </row>
        <row r="23">
          <cell r="AD23">
            <v>50</v>
          </cell>
        </row>
        <row r="24">
          <cell r="AD24">
            <v>34</v>
          </cell>
        </row>
        <row r="25">
          <cell r="AD25">
            <v>72</v>
          </cell>
        </row>
        <row r="26">
          <cell r="AD26">
            <v>115</v>
          </cell>
        </row>
        <row r="27">
          <cell r="AD27">
            <v>150</v>
          </cell>
        </row>
        <row r="28">
          <cell r="AD28">
            <v>821</v>
          </cell>
        </row>
        <row r="29">
          <cell r="AD29">
            <v>158</v>
          </cell>
        </row>
        <row r="30">
          <cell r="AD30">
            <v>64</v>
          </cell>
        </row>
        <row r="31">
          <cell r="AD31">
            <v>317</v>
          </cell>
        </row>
        <row r="32">
          <cell r="AD32">
            <v>109</v>
          </cell>
        </row>
        <row r="33">
          <cell r="AD33">
            <v>291</v>
          </cell>
        </row>
        <row r="34">
          <cell r="AD34">
            <v>129</v>
          </cell>
        </row>
        <row r="35">
          <cell r="AD35">
            <v>126</v>
          </cell>
        </row>
        <row r="36">
          <cell r="AD36">
            <v>778</v>
          </cell>
        </row>
        <row r="37">
          <cell r="AD37">
            <v>1380</v>
          </cell>
        </row>
        <row r="38">
          <cell r="AD38">
            <v>1440</v>
          </cell>
        </row>
        <row r="39">
          <cell r="AD39">
            <v>893</v>
          </cell>
        </row>
        <row r="40">
          <cell r="AD40">
            <v>56</v>
          </cell>
        </row>
        <row r="41">
          <cell r="AD41">
            <v>385</v>
          </cell>
        </row>
        <row r="42">
          <cell r="AD42">
            <v>96</v>
          </cell>
        </row>
        <row r="43">
          <cell r="AD43">
            <v>77</v>
          </cell>
        </row>
        <row r="44">
          <cell r="AD44">
            <v>465</v>
          </cell>
        </row>
        <row r="45">
          <cell r="AD45">
            <v>0</v>
          </cell>
        </row>
        <row r="75">
          <cell r="N75">
            <v>844</v>
          </cell>
        </row>
        <row r="76">
          <cell r="N76">
            <v>420</v>
          </cell>
        </row>
        <row r="77">
          <cell r="N77">
            <v>1243</v>
          </cell>
        </row>
        <row r="78">
          <cell r="N78">
            <v>163</v>
          </cell>
        </row>
        <row r="79">
          <cell r="N79">
            <v>512</v>
          </cell>
        </row>
        <row r="80">
          <cell r="N80">
            <v>368</v>
          </cell>
        </row>
        <row r="81">
          <cell r="N81">
            <v>758</v>
          </cell>
        </row>
        <row r="82">
          <cell r="N82">
            <v>321</v>
          </cell>
        </row>
        <row r="83">
          <cell r="N83">
            <v>696</v>
          </cell>
        </row>
        <row r="84">
          <cell r="N84">
            <v>410</v>
          </cell>
        </row>
        <row r="85">
          <cell r="N85">
            <v>363</v>
          </cell>
        </row>
        <row r="86">
          <cell r="N86">
            <v>933</v>
          </cell>
        </row>
        <row r="87">
          <cell r="N87">
            <v>405</v>
          </cell>
        </row>
        <row r="88">
          <cell r="N88">
            <v>626</v>
          </cell>
        </row>
        <row r="89">
          <cell r="N89">
            <v>461</v>
          </cell>
        </row>
        <row r="90">
          <cell r="N90">
            <v>190</v>
          </cell>
        </row>
        <row r="91">
          <cell r="N91">
            <v>153</v>
          </cell>
        </row>
        <row r="92">
          <cell r="N92">
            <v>155</v>
          </cell>
        </row>
        <row r="93">
          <cell r="N93">
            <v>94</v>
          </cell>
        </row>
        <row r="94">
          <cell r="N94">
            <v>396</v>
          </cell>
        </row>
        <row r="95">
          <cell r="N95">
            <v>787</v>
          </cell>
        </row>
        <row r="96">
          <cell r="N96">
            <v>246</v>
          </cell>
        </row>
        <row r="97">
          <cell r="N97">
            <v>169</v>
          </cell>
        </row>
        <row r="98">
          <cell r="N98">
            <v>901</v>
          </cell>
        </row>
        <row r="100">
          <cell r="N100">
            <v>825</v>
          </cell>
        </row>
        <row r="101">
          <cell r="N101">
            <v>363</v>
          </cell>
        </row>
        <row r="102">
          <cell r="N102">
            <v>398</v>
          </cell>
        </row>
        <row r="103">
          <cell r="N103">
            <v>121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1204</v>
          </cell>
        </row>
        <row r="107">
          <cell r="N107">
            <v>163</v>
          </cell>
        </row>
        <row r="108">
          <cell r="N108">
            <v>981</v>
          </cell>
        </row>
        <row r="109">
          <cell r="N109">
            <v>184</v>
          </cell>
        </row>
        <row r="110">
          <cell r="N110">
            <v>178</v>
          </cell>
        </row>
        <row r="111">
          <cell r="N111">
            <v>647</v>
          </cell>
        </row>
      </sheetData>
      <sheetData sheetId="28">
        <row r="8">
          <cell r="AD8">
            <v>103</v>
          </cell>
        </row>
        <row r="9">
          <cell r="AD9">
            <v>171</v>
          </cell>
        </row>
        <row r="10">
          <cell r="AD10">
            <v>194</v>
          </cell>
        </row>
        <row r="11">
          <cell r="AD11">
            <v>141</v>
          </cell>
        </row>
        <row r="12">
          <cell r="AD12">
            <v>158</v>
          </cell>
        </row>
        <row r="13">
          <cell r="AD13">
            <v>165</v>
          </cell>
        </row>
        <row r="14">
          <cell r="AD14">
            <v>263</v>
          </cell>
        </row>
        <row r="15">
          <cell r="AD15">
            <v>155</v>
          </cell>
        </row>
        <row r="16">
          <cell r="AD16">
            <v>52</v>
          </cell>
        </row>
        <row r="17">
          <cell r="AD17">
            <v>268</v>
          </cell>
        </row>
        <row r="18">
          <cell r="AD18">
            <v>83</v>
          </cell>
        </row>
        <row r="19">
          <cell r="AD19">
            <v>317</v>
          </cell>
        </row>
        <row r="20">
          <cell r="AD20">
            <v>200</v>
          </cell>
        </row>
        <row r="21">
          <cell r="AD21">
            <v>87</v>
          </cell>
        </row>
        <row r="22">
          <cell r="AD22">
            <v>888</v>
          </cell>
        </row>
        <row r="23">
          <cell r="AD23">
            <v>554</v>
          </cell>
        </row>
        <row r="24">
          <cell r="AD24">
            <v>260</v>
          </cell>
        </row>
        <row r="25">
          <cell r="AD25">
            <v>352</v>
          </cell>
        </row>
        <row r="26">
          <cell r="AD26">
            <v>693</v>
          </cell>
        </row>
        <row r="27">
          <cell r="AD27">
            <v>56</v>
          </cell>
        </row>
        <row r="28">
          <cell r="AD28">
            <v>577</v>
          </cell>
        </row>
        <row r="29">
          <cell r="AD29">
            <v>154</v>
          </cell>
        </row>
        <row r="30">
          <cell r="AD30">
            <v>47</v>
          </cell>
        </row>
        <row r="31">
          <cell r="AD31">
            <v>67</v>
          </cell>
        </row>
        <row r="32">
          <cell r="AD32">
            <v>24</v>
          </cell>
        </row>
        <row r="33">
          <cell r="AD33">
            <v>137</v>
          </cell>
        </row>
        <row r="34">
          <cell r="AD34">
            <v>754</v>
          </cell>
        </row>
        <row r="35">
          <cell r="AD35">
            <v>59</v>
          </cell>
        </row>
        <row r="36">
          <cell r="AD36">
            <v>474</v>
          </cell>
        </row>
        <row r="37">
          <cell r="AD37">
            <v>1440</v>
          </cell>
        </row>
        <row r="38">
          <cell r="AD38">
            <v>609</v>
          </cell>
        </row>
        <row r="39">
          <cell r="AD39">
            <v>145</v>
          </cell>
        </row>
        <row r="40">
          <cell r="AD40">
            <v>224</v>
          </cell>
        </row>
        <row r="41">
          <cell r="AD41">
            <v>132</v>
          </cell>
        </row>
        <row r="42">
          <cell r="AD42">
            <v>1016</v>
          </cell>
        </row>
        <row r="43">
          <cell r="AD43">
            <v>339</v>
          </cell>
        </row>
        <row r="44">
          <cell r="AD44">
            <v>295</v>
          </cell>
        </row>
        <row r="45">
          <cell r="AD45">
            <v>40</v>
          </cell>
        </row>
        <row r="46">
          <cell r="AD46">
            <v>162</v>
          </cell>
        </row>
        <row r="63">
          <cell r="N63">
            <v>127</v>
          </cell>
        </row>
        <row r="64">
          <cell r="N64">
            <v>614</v>
          </cell>
        </row>
        <row r="65">
          <cell r="N65">
            <v>368</v>
          </cell>
        </row>
        <row r="66">
          <cell r="N66">
            <v>285</v>
          </cell>
        </row>
        <row r="67">
          <cell r="N67">
            <v>155</v>
          </cell>
        </row>
        <row r="68">
          <cell r="N68">
            <v>475</v>
          </cell>
        </row>
        <row r="69">
          <cell r="N69">
            <v>776</v>
          </cell>
        </row>
        <row r="70">
          <cell r="N70">
            <v>328</v>
          </cell>
        </row>
        <row r="71">
          <cell r="N71">
            <v>211</v>
          </cell>
        </row>
        <row r="72">
          <cell r="N72">
            <v>180</v>
          </cell>
        </row>
        <row r="73">
          <cell r="N73">
            <v>440</v>
          </cell>
        </row>
        <row r="74">
          <cell r="N74">
            <v>769</v>
          </cell>
        </row>
        <row r="75">
          <cell r="N75">
            <v>398</v>
          </cell>
        </row>
        <row r="76">
          <cell r="N76">
            <v>263</v>
          </cell>
        </row>
        <row r="77">
          <cell r="N77">
            <v>40</v>
          </cell>
        </row>
        <row r="78">
          <cell r="N78">
            <v>169</v>
          </cell>
        </row>
        <row r="79">
          <cell r="N79">
            <v>596</v>
          </cell>
        </row>
        <row r="80">
          <cell r="N80">
            <v>351</v>
          </cell>
        </row>
        <row r="81">
          <cell r="N81">
            <v>928</v>
          </cell>
        </row>
        <row r="82">
          <cell r="N82">
            <v>222</v>
          </cell>
        </row>
        <row r="83">
          <cell r="N83">
            <v>1109</v>
          </cell>
        </row>
        <row r="84">
          <cell r="N84">
            <v>1400</v>
          </cell>
        </row>
        <row r="85">
          <cell r="N85">
            <v>306</v>
          </cell>
        </row>
        <row r="86">
          <cell r="N86">
            <v>337</v>
          </cell>
        </row>
        <row r="87">
          <cell r="N87">
            <v>113</v>
          </cell>
        </row>
        <row r="88">
          <cell r="N88">
            <v>239</v>
          </cell>
        </row>
        <row r="89">
          <cell r="N89">
            <v>863</v>
          </cell>
        </row>
        <row r="90">
          <cell r="N90">
            <v>270</v>
          </cell>
        </row>
        <row r="91">
          <cell r="N91">
            <v>967</v>
          </cell>
        </row>
        <row r="93">
          <cell r="N93">
            <v>170</v>
          </cell>
        </row>
        <row r="94">
          <cell r="N94">
            <v>453</v>
          </cell>
        </row>
        <row r="95">
          <cell r="N95">
            <v>792</v>
          </cell>
        </row>
        <row r="96">
          <cell r="N96">
            <v>309</v>
          </cell>
        </row>
        <row r="97">
          <cell r="N97">
            <v>919</v>
          </cell>
        </row>
        <row r="98">
          <cell r="N98">
            <v>75</v>
          </cell>
        </row>
        <row r="99">
          <cell r="N99">
            <v>569</v>
          </cell>
        </row>
        <row r="100">
          <cell r="N100">
            <v>92</v>
          </cell>
        </row>
        <row r="101">
          <cell r="N101">
            <v>306</v>
          </cell>
        </row>
      </sheetData>
      <sheetData sheetId="29">
        <row r="8">
          <cell r="AD8">
            <v>135</v>
          </cell>
        </row>
        <row r="9">
          <cell r="AD9">
            <v>5</v>
          </cell>
        </row>
        <row r="10">
          <cell r="AD10">
            <v>279</v>
          </cell>
        </row>
        <row r="11">
          <cell r="AD11">
            <v>14</v>
          </cell>
        </row>
        <row r="12">
          <cell r="AD12">
            <v>191</v>
          </cell>
        </row>
        <row r="13">
          <cell r="AD13">
            <v>98</v>
          </cell>
        </row>
        <row r="14">
          <cell r="AD14">
            <v>39</v>
          </cell>
        </row>
        <row r="15">
          <cell r="AD15">
            <v>189</v>
          </cell>
        </row>
        <row r="16">
          <cell r="AD16">
            <v>368</v>
          </cell>
        </row>
        <row r="17">
          <cell r="AD17">
            <v>296</v>
          </cell>
        </row>
        <row r="18">
          <cell r="AD18">
            <v>90</v>
          </cell>
        </row>
        <row r="19">
          <cell r="AD19">
            <v>106</v>
          </cell>
        </row>
        <row r="20">
          <cell r="AD20">
            <v>286</v>
          </cell>
        </row>
        <row r="21">
          <cell r="AD21">
            <v>101</v>
          </cell>
        </row>
        <row r="22">
          <cell r="AD22">
            <v>102</v>
          </cell>
        </row>
        <row r="23">
          <cell r="AD23">
            <v>127</v>
          </cell>
        </row>
        <row r="24">
          <cell r="AD24">
            <v>354</v>
          </cell>
        </row>
        <row r="25">
          <cell r="AD25">
            <v>206</v>
          </cell>
        </row>
        <row r="26">
          <cell r="AD26">
            <v>202</v>
          </cell>
        </row>
        <row r="27">
          <cell r="AD27">
            <v>1198</v>
          </cell>
        </row>
        <row r="28">
          <cell r="AD28">
            <v>37</v>
          </cell>
        </row>
        <row r="29">
          <cell r="AD29">
            <v>89</v>
          </cell>
        </row>
        <row r="30">
          <cell r="AD30">
            <v>516</v>
          </cell>
        </row>
        <row r="31">
          <cell r="AD31">
            <v>141</v>
          </cell>
        </row>
        <row r="32">
          <cell r="AD32">
            <v>655</v>
          </cell>
        </row>
        <row r="33">
          <cell r="AD33">
            <v>314</v>
          </cell>
        </row>
        <row r="34">
          <cell r="AD34">
            <v>306</v>
          </cell>
        </row>
        <row r="35">
          <cell r="AD35">
            <v>44</v>
          </cell>
        </row>
        <row r="36">
          <cell r="AD36">
            <v>265</v>
          </cell>
        </row>
        <row r="37">
          <cell r="AD37">
            <v>201</v>
          </cell>
        </row>
        <row r="38">
          <cell r="AD38">
            <v>23</v>
          </cell>
        </row>
        <row r="39">
          <cell r="AD39">
            <v>865</v>
          </cell>
        </row>
        <row r="40">
          <cell r="AD40">
            <v>53</v>
          </cell>
        </row>
        <row r="41">
          <cell r="AD41">
            <v>197</v>
          </cell>
        </row>
        <row r="42">
          <cell r="AD42">
            <v>110</v>
          </cell>
        </row>
        <row r="43">
          <cell r="AD43">
            <v>10</v>
          </cell>
        </row>
        <row r="44">
          <cell r="AD44">
            <v>285</v>
          </cell>
        </row>
        <row r="45">
          <cell r="AD45">
            <v>290</v>
          </cell>
        </row>
        <row r="46">
          <cell r="AD46">
            <v>128</v>
          </cell>
        </row>
        <row r="47">
          <cell r="AD47">
            <v>85</v>
          </cell>
        </row>
        <row r="48">
          <cell r="AD48">
            <v>96</v>
          </cell>
        </row>
        <row r="49">
          <cell r="AD49">
            <v>184</v>
          </cell>
        </row>
        <row r="50">
          <cell r="AD50">
            <v>201</v>
          </cell>
        </row>
        <row r="51">
          <cell r="AD51">
            <v>62</v>
          </cell>
        </row>
        <row r="52">
          <cell r="AD52">
            <v>176</v>
          </cell>
        </row>
        <row r="53">
          <cell r="AD53">
            <v>142</v>
          </cell>
        </row>
        <row r="54">
          <cell r="AD54">
            <v>277</v>
          </cell>
        </row>
        <row r="55">
          <cell r="AD55">
            <v>95</v>
          </cell>
        </row>
        <row r="56">
          <cell r="AD56">
            <v>326</v>
          </cell>
        </row>
        <row r="57">
          <cell r="AD57">
            <v>89</v>
          </cell>
        </row>
        <row r="58">
          <cell r="AD58">
            <v>283</v>
          </cell>
        </row>
        <row r="59">
          <cell r="AD59">
            <v>394</v>
          </cell>
        </row>
        <row r="79">
          <cell r="N79">
            <v>367</v>
          </cell>
        </row>
        <row r="81">
          <cell r="N81">
            <v>854</v>
          </cell>
        </row>
        <row r="82">
          <cell r="N82">
            <v>60</v>
          </cell>
        </row>
        <row r="83">
          <cell r="N83">
            <v>912</v>
          </cell>
        </row>
        <row r="84">
          <cell r="N84">
            <v>286</v>
          </cell>
        </row>
        <row r="85">
          <cell r="N85">
            <v>208</v>
          </cell>
        </row>
        <row r="86">
          <cell r="N86">
            <v>336</v>
          </cell>
        </row>
        <row r="87">
          <cell r="N87">
            <v>245</v>
          </cell>
        </row>
        <row r="88">
          <cell r="N88">
            <v>344</v>
          </cell>
        </row>
        <row r="89">
          <cell r="N89">
            <v>181</v>
          </cell>
        </row>
        <row r="90">
          <cell r="N90">
            <v>146</v>
          </cell>
        </row>
        <row r="91">
          <cell r="N91">
            <v>616</v>
          </cell>
        </row>
        <row r="92">
          <cell r="N92">
            <v>585</v>
          </cell>
        </row>
        <row r="93">
          <cell r="N93">
            <v>163</v>
          </cell>
        </row>
        <row r="94">
          <cell r="N94">
            <v>248</v>
          </cell>
        </row>
        <row r="95">
          <cell r="N95">
            <v>208</v>
          </cell>
        </row>
        <row r="96">
          <cell r="N96">
            <v>244</v>
          </cell>
        </row>
        <row r="97">
          <cell r="N97">
            <v>189</v>
          </cell>
        </row>
        <row r="98">
          <cell r="N98">
            <v>210</v>
          </cell>
        </row>
        <row r="99">
          <cell r="N99">
            <v>74</v>
          </cell>
        </row>
        <row r="100">
          <cell r="N100">
            <v>240</v>
          </cell>
        </row>
        <row r="101">
          <cell r="N101">
            <v>765</v>
          </cell>
        </row>
        <row r="102">
          <cell r="N102">
            <v>646</v>
          </cell>
        </row>
        <row r="103">
          <cell r="N103">
            <v>209</v>
          </cell>
        </row>
        <row r="104">
          <cell r="N104">
            <v>368</v>
          </cell>
        </row>
        <row r="105">
          <cell r="N105">
            <v>748</v>
          </cell>
        </row>
        <row r="106">
          <cell r="N106">
            <v>144</v>
          </cell>
        </row>
        <row r="107">
          <cell r="N107">
            <v>354</v>
          </cell>
        </row>
        <row r="108">
          <cell r="N108">
            <v>151</v>
          </cell>
        </row>
        <row r="109">
          <cell r="N109">
            <v>210</v>
          </cell>
        </row>
        <row r="110">
          <cell r="N110">
            <v>520</v>
          </cell>
        </row>
        <row r="111">
          <cell r="N111">
            <v>90</v>
          </cell>
        </row>
        <row r="112">
          <cell r="N112">
            <v>812</v>
          </cell>
        </row>
        <row r="113">
          <cell r="N113">
            <v>392</v>
          </cell>
        </row>
        <row r="114">
          <cell r="N114">
            <v>92</v>
          </cell>
        </row>
        <row r="115">
          <cell r="N115">
            <v>1335</v>
          </cell>
        </row>
        <row r="116">
          <cell r="N116">
            <v>606</v>
          </cell>
        </row>
        <row r="117">
          <cell r="N117">
            <v>403</v>
          </cell>
        </row>
        <row r="118">
          <cell r="N118">
            <v>192</v>
          </cell>
        </row>
        <row r="119">
          <cell r="N119">
            <v>104</v>
          </cell>
        </row>
        <row r="120">
          <cell r="N120">
            <v>895</v>
          </cell>
        </row>
        <row r="121">
          <cell r="N121">
            <v>693</v>
          </cell>
        </row>
        <row r="122">
          <cell r="N122">
            <v>94</v>
          </cell>
        </row>
        <row r="123">
          <cell r="N123">
            <v>443</v>
          </cell>
        </row>
        <row r="124">
          <cell r="N124">
            <v>649</v>
          </cell>
        </row>
        <row r="125">
          <cell r="N125">
            <v>542</v>
          </cell>
        </row>
        <row r="126">
          <cell r="N126">
            <v>279</v>
          </cell>
        </row>
        <row r="127">
          <cell r="N127">
            <v>901</v>
          </cell>
        </row>
        <row r="128">
          <cell r="N128">
            <v>229</v>
          </cell>
        </row>
        <row r="129">
          <cell r="N129">
            <v>338</v>
          </cell>
        </row>
        <row r="130">
          <cell r="N130">
            <v>405</v>
          </cell>
        </row>
      </sheetData>
      <sheetData sheetId="3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nt"/>
      <sheetName val="Monthly summary loss"/>
      <sheetName val="Pareto YTD"/>
      <sheetName val="Pareto Data"/>
      <sheetName val="Pareto analysis month "/>
      <sheetName val="Uncaser Downtime Detail "/>
      <sheetName val="Washer Downtime Detail"/>
      <sheetName val="EBI Downtime Detail"/>
      <sheetName val="Filler Downtime Detail"/>
      <sheetName val="Pasteurizer Downtime Detail"/>
      <sheetName val="Labeler Downtime Detail"/>
      <sheetName val="Videojet Downtime Detail "/>
      <sheetName val="Packer Downtime Detail  "/>
      <sheetName val="Carton Errector-sealer Detail"/>
      <sheetName val="Conveyor Downtime (new)"/>
      <sheetName val="Org &amp; Tech Downtime"/>
      <sheetName val="Data Sheet"/>
      <sheetName val="Feb"/>
      <sheetName val="Jan"/>
      <sheetName val="2 weeks Downtime Trend"/>
      <sheetName val="Dec"/>
      <sheetName val="Mar"/>
      <sheetName val="Apr"/>
      <sheetName val="May"/>
      <sheetName val="Jun"/>
      <sheetName val="Jul"/>
      <sheetName val="Aug"/>
      <sheetName val="Sept"/>
      <sheetName val="Oct"/>
      <sheetName val="No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">
          <cell r="AD8">
            <v>174</v>
          </cell>
        </row>
      </sheetData>
      <sheetData sheetId="18">
        <row r="8">
          <cell r="E8">
            <v>0.65972222222222221</v>
          </cell>
          <cell r="AD8">
            <v>189</v>
          </cell>
        </row>
        <row r="9">
          <cell r="AD9">
            <v>194</v>
          </cell>
        </row>
        <row r="10">
          <cell r="AD10">
            <v>47</v>
          </cell>
        </row>
        <row r="11">
          <cell r="AD11">
            <v>82</v>
          </cell>
        </row>
        <row r="12">
          <cell r="AD12">
            <v>68</v>
          </cell>
        </row>
        <row r="13">
          <cell r="AD13">
            <v>57</v>
          </cell>
        </row>
        <row r="14">
          <cell r="AD14">
            <v>128</v>
          </cell>
        </row>
        <row r="15">
          <cell r="AD15">
            <v>436</v>
          </cell>
        </row>
        <row r="16">
          <cell r="AD16">
            <v>125</v>
          </cell>
        </row>
        <row r="17">
          <cell r="AD17">
            <v>21</v>
          </cell>
        </row>
        <row r="18">
          <cell r="AD18">
            <v>361</v>
          </cell>
        </row>
        <row r="19">
          <cell r="AD19">
            <v>83</v>
          </cell>
        </row>
        <row r="20">
          <cell r="AD20">
            <v>226</v>
          </cell>
        </row>
        <row r="21">
          <cell r="AD21">
            <v>140</v>
          </cell>
        </row>
        <row r="22">
          <cell r="AD22">
            <v>336</v>
          </cell>
        </row>
        <row r="23">
          <cell r="AD23">
            <v>26</v>
          </cell>
        </row>
        <row r="24">
          <cell r="AD24">
            <v>234</v>
          </cell>
        </row>
        <row r="25">
          <cell r="AD25">
            <v>196</v>
          </cell>
        </row>
        <row r="26">
          <cell r="AD26">
            <v>148</v>
          </cell>
        </row>
        <row r="27">
          <cell r="AD27">
            <v>166</v>
          </cell>
        </row>
        <row r="28">
          <cell r="AD28">
            <v>137</v>
          </cell>
        </row>
        <row r="29">
          <cell r="AD29">
            <v>199</v>
          </cell>
        </row>
        <row r="30">
          <cell r="AD30">
            <v>213</v>
          </cell>
        </row>
        <row r="31">
          <cell r="AD31">
            <v>102</v>
          </cell>
        </row>
        <row r="32">
          <cell r="AD32">
            <v>186</v>
          </cell>
        </row>
        <row r="33">
          <cell r="AD33">
            <v>68</v>
          </cell>
        </row>
        <row r="34">
          <cell r="AD34">
            <v>398</v>
          </cell>
        </row>
        <row r="35">
          <cell r="AD35">
            <v>41</v>
          </cell>
        </row>
        <row r="36">
          <cell r="AD36">
            <v>66</v>
          </cell>
        </row>
        <row r="37">
          <cell r="AD37">
            <v>339</v>
          </cell>
        </row>
        <row r="38">
          <cell r="AD38">
            <v>269</v>
          </cell>
        </row>
        <row r="39">
          <cell r="AD39">
            <v>253</v>
          </cell>
        </row>
        <row r="40">
          <cell r="AD40">
            <v>63</v>
          </cell>
        </row>
        <row r="41">
          <cell r="AD41">
            <v>171</v>
          </cell>
        </row>
        <row r="42">
          <cell r="AD42">
            <v>56</v>
          </cell>
        </row>
        <row r="43">
          <cell r="AD43">
            <v>181</v>
          </cell>
        </row>
        <row r="69">
          <cell r="N69">
            <v>364</v>
          </cell>
        </row>
        <row r="70">
          <cell r="N70">
            <v>405</v>
          </cell>
        </row>
        <row r="71">
          <cell r="N71">
            <v>174</v>
          </cell>
        </row>
        <row r="72">
          <cell r="N72">
            <v>794</v>
          </cell>
        </row>
        <row r="73">
          <cell r="N73">
            <v>359</v>
          </cell>
        </row>
        <row r="74">
          <cell r="N74">
            <v>400</v>
          </cell>
        </row>
        <row r="75">
          <cell r="N75">
            <v>478</v>
          </cell>
        </row>
        <row r="76">
          <cell r="N76">
            <v>337</v>
          </cell>
        </row>
        <row r="77">
          <cell r="N77">
            <v>205</v>
          </cell>
        </row>
        <row r="78">
          <cell r="N78">
            <v>210</v>
          </cell>
        </row>
        <row r="79">
          <cell r="N79">
            <v>663</v>
          </cell>
        </row>
        <row r="80">
          <cell r="N80">
            <v>47</v>
          </cell>
        </row>
        <row r="81">
          <cell r="N81">
            <v>916</v>
          </cell>
        </row>
        <row r="82">
          <cell r="N82">
            <v>309</v>
          </cell>
        </row>
        <row r="83">
          <cell r="N83">
            <v>79</v>
          </cell>
        </row>
        <row r="84">
          <cell r="N84">
            <v>99</v>
          </cell>
        </row>
        <row r="85">
          <cell r="N85">
            <v>512</v>
          </cell>
        </row>
        <row r="86">
          <cell r="N86">
            <v>155</v>
          </cell>
        </row>
        <row r="87">
          <cell r="N87">
            <v>506</v>
          </cell>
        </row>
        <row r="88">
          <cell r="N88">
            <v>422</v>
          </cell>
        </row>
        <row r="89">
          <cell r="N89">
            <v>150</v>
          </cell>
        </row>
        <row r="90">
          <cell r="N90">
            <v>780</v>
          </cell>
        </row>
        <row r="91">
          <cell r="N91">
            <v>634</v>
          </cell>
        </row>
        <row r="92">
          <cell r="N92">
            <v>109</v>
          </cell>
        </row>
        <row r="93">
          <cell r="N93">
            <v>465</v>
          </cell>
        </row>
        <row r="94">
          <cell r="N94">
            <v>175</v>
          </cell>
        </row>
        <row r="95">
          <cell r="N95">
            <v>319</v>
          </cell>
        </row>
        <row r="96">
          <cell r="N96">
            <v>161</v>
          </cell>
        </row>
        <row r="97">
          <cell r="N97">
            <v>184</v>
          </cell>
        </row>
        <row r="98">
          <cell r="N98">
            <v>528</v>
          </cell>
        </row>
        <row r="99">
          <cell r="N99">
            <v>156</v>
          </cell>
        </row>
        <row r="100">
          <cell r="N100">
            <v>356</v>
          </cell>
        </row>
        <row r="101">
          <cell r="N101">
            <v>274</v>
          </cell>
        </row>
        <row r="102">
          <cell r="N102">
            <v>457</v>
          </cell>
        </row>
        <row r="103">
          <cell r="N103">
            <v>399</v>
          </cell>
        </row>
        <row r="104">
          <cell r="N104">
            <v>155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63D0-A48E-480A-8686-2E80510849B8}">
  <sheetPr>
    <tabColor indexed="11"/>
  </sheetPr>
  <dimension ref="B1:L14"/>
  <sheetViews>
    <sheetView tabSelected="1" workbookViewId="0">
      <selection activeCell="K21" sqref="K21"/>
    </sheetView>
  </sheetViews>
  <sheetFormatPr defaultRowHeight="13.2"/>
  <cols>
    <col min="1" max="1" width="4.21875" customWidth="1"/>
    <col min="2" max="2" width="5.33203125" customWidth="1"/>
    <col min="3" max="3" width="12" customWidth="1"/>
    <col min="4" max="4" width="12.21875" customWidth="1"/>
    <col min="5" max="5" width="2.44140625" customWidth="1"/>
    <col min="6" max="6" width="4.77734375" customWidth="1"/>
    <col min="7" max="7" width="11" customWidth="1"/>
    <col min="8" max="8" width="10.21875" customWidth="1"/>
  </cols>
  <sheetData>
    <row r="1" spans="2:12">
      <c r="C1" s="404" t="s">
        <v>163</v>
      </c>
      <c r="D1" s="404"/>
      <c r="G1" s="404" t="s">
        <v>164</v>
      </c>
      <c r="H1" s="404"/>
    </row>
    <row r="2" spans="2:12" s="402" customFormat="1" ht="39.6">
      <c r="C2" s="403" t="s">
        <v>159</v>
      </c>
      <c r="D2" s="403" t="s">
        <v>160</v>
      </c>
      <c r="G2" s="403" t="s">
        <v>161</v>
      </c>
      <c r="H2" s="403" t="s">
        <v>162</v>
      </c>
      <c r="K2" s="405" t="s">
        <v>165</v>
      </c>
      <c r="L2" s="405" t="s">
        <v>166</v>
      </c>
    </row>
    <row r="3" spans="2:12">
      <c r="B3" t="s">
        <v>148</v>
      </c>
      <c r="C3" s="6">
        <f>January_2025!Q65</f>
        <v>329.91060342686865</v>
      </c>
      <c r="D3" s="6">
        <f>January_2025!R65</f>
        <v>329.91060342686865</v>
      </c>
      <c r="F3" t="s">
        <v>148</v>
      </c>
      <c r="G3" s="6">
        <f>January_2025!Q67</f>
        <v>417.2581658291457</v>
      </c>
      <c r="H3" s="6">
        <f>January_2025!R67</f>
        <v>417.2581658291457</v>
      </c>
      <c r="K3" s="5">
        <f>C3-G3</f>
        <v>-87.347562402277049</v>
      </c>
      <c r="L3" s="5">
        <f>D3-H3</f>
        <v>-87.347562402277049</v>
      </c>
    </row>
    <row r="4" spans="2:12">
      <c r="B4" t="s">
        <v>149</v>
      </c>
      <c r="C4" s="6">
        <f>February_2025!Q63</f>
        <v>297.08261033572239</v>
      </c>
      <c r="D4" s="6">
        <f>February_2025!R63</f>
        <v>309.4903561875264</v>
      </c>
      <c r="F4" t="s">
        <v>149</v>
      </c>
      <c r="G4" s="6">
        <f>February_2025!Q65</f>
        <v>386.44062806673207</v>
      </c>
      <c r="H4" s="6">
        <f>February_2025!R65</f>
        <v>398.29266819664213</v>
      </c>
      <c r="K4" s="5">
        <f t="shared" ref="K4:L14" si="0">C4-G4</f>
        <v>-89.358017731009681</v>
      </c>
      <c r="L4" s="5">
        <f t="shared" si="0"/>
        <v>-88.802312009115724</v>
      </c>
    </row>
    <row r="5" spans="2:12">
      <c r="B5" t="s">
        <v>150</v>
      </c>
      <c r="C5" s="6">
        <f>March_2025!Q62</f>
        <v>258.18731611637787</v>
      </c>
      <c r="D5" s="6">
        <f>March_2025!R62</f>
        <v>290.77686689521533</v>
      </c>
      <c r="E5" s="6"/>
      <c r="F5" t="s">
        <v>150</v>
      </c>
      <c r="G5" s="6">
        <f>March_2025!Q64</f>
        <v>341.12730806608357</v>
      </c>
      <c r="H5" s="6">
        <f>March_2025!R64</f>
        <v>377.78806305433983</v>
      </c>
      <c r="K5" s="5">
        <f t="shared" si="0"/>
        <v>-82.9399919497057</v>
      </c>
      <c r="L5" s="5">
        <f t="shared" si="0"/>
        <v>-87.011196159124495</v>
      </c>
    </row>
    <row r="6" spans="2:12">
      <c r="B6" t="s">
        <v>151</v>
      </c>
      <c r="C6" s="6">
        <f>'April_2025 '!Q54</f>
        <v>281.78819514969331</v>
      </c>
      <c r="D6" s="6">
        <f>'April_2025 '!R54</f>
        <v>288.36402891818506</v>
      </c>
      <c r="F6" t="s">
        <v>151</v>
      </c>
      <c r="G6" s="6">
        <f>'April_2025 '!Q56</f>
        <v>355.54997437211682</v>
      </c>
      <c r="H6" s="6">
        <f>'April_2025 '!R56</f>
        <v>371.68999831337493</v>
      </c>
      <c r="K6" s="5">
        <f t="shared" si="0"/>
        <v>-73.761779222423513</v>
      </c>
      <c r="L6" s="5">
        <f t="shared" si="0"/>
        <v>-83.325969395189873</v>
      </c>
    </row>
    <row r="7" spans="2:12">
      <c r="B7" t="s">
        <v>147</v>
      </c>
      <c r="C7" s="6">
        <f>May_2025!R63</f>
        <v>197.24186209310466</v>
      </c>
      <c r="D7" s="6">
        <f>May_2025!S63</f>
        <v>274.4125572045678</v>
      </c>
      <c r="F7" t="s">
        <v>147</v>
      </c>
      <c r="G7" s="6">
        <f>May_2025!R65</f>
        <v>317.49394332075047</v>
      </c>
      <c r="H7" s="6">
        <f>May_2025!S65</f>
        <v>360.86932067448851</v>
      </c>
      <c r="K7" s="5">
        <f t="shared" si="0"/>
        <v>-120.25208122764582</v>
      </c>
      <c r="L7" s="5">
        <f t="shared" si="0"/>
        <v>-86.456763469920702</v>
      </c>
    </row>
    <row r="8" spans="2:12">
      <c r="B8" t="s">
        <v>152</v>
      </c>
      <c r="C8" s="6">
        <f>June_2025!Q57</f>
        <v>289.34656488549615</v>
      </c>
      <c r="D8" s="6">
        <f>June_2025!R57</f>
        <v>270.76660499600621</v>
      </c>
      <c r="F8" t="s">
        <v>152</v>
      </c>
      <c r="G8" s="6">
        <f>June_2025!Q59</f>
        <v>369.85314924135241</v>
      </c>
      <c r="H8" s="6">
        <f>June_2025!R59</f>
        <v>362.5526080040953</v>
      </c>
      <c r="K8" s="5">
        <f t="shared" si="0"/>
        <v>-80.506584355856262</v>
      </c>
      <c r="L8" s="5">
        <f t="shared" si="0"/>
        <v>-91.786003008089097</v>
      </c>
    </row>
    <row r="9" spans="2:12">
      <c r="B9" t="s">
        <v>153</v>
      </c>
      <c r="C9" s="6">
        <f>July_2025!Q55</f>
        <v>275.49765323025952</v>
      </c>
      <c r="D9" s="6">
        <f>July_2025!R55</f>
        <v>271.54793591446145</v>
      </c>
      <c r="F9" t="s">
        <v>153</v>
      </c>
      <c r="G9" s="6">
        <f>July_2025!Q57</f>
        <v>393.45556705604025</v>
      </c>
      <c r="H9" s="6">
        <f>July_2025!R57</f>
        <v>367.38739850250226</v>
      </c>
      <c r="K9" s="5">
        <f t="shared" si="0"/>
        <v>-117.95791382578074</v>
      </c>
      <c r="L9" s="5">
        <f t="shared" si="0"/>
        <v>-95.839462588040817</v>
      </c>
    </row>
    <row r="10" spans="2:12">
      <c r="B10" t="s">
        <v>154</v>
      </c>
      <c r="C10" s="6">
        <f>August_2025!Q57</f>
        <v>293.59275531247198</v>
      </c>
      <c r="D10" s="6">
        <f>August_2025!R57</f>
        <v>282.80051557958348</v>
      </c>
      <c r="E10" s="6"/>
      <c r="F10" t="s">
        <v>154</v>
      </c>
      <c r="G10" s="6">
        <f>August_2025!Q59</f>
        <v>392.66578726466008</v>
      </c>
      <c r="H10" s="6">
        <f>August_2025!R59</f>
        <v>370.26789923545209</v>
      </c>
      <c r="I10" s="6"/>
      <c r="K10" s="5">
        <f t="shared" si="0"/>
        <v>-99.073031952188103</v>
      </c>
      <c r="L10" s="5">
        <f t="shared" si="0"/>
        <v>-87.467383655868616</v>
      </c>
    </row>
    <row r="11" spans="2:12">
      <c r="B11" t="s">
        <v>155</v>
      </c>
      <c r="C11" s="6">
        <f>September_2025!Q54</f>
        <v>279.47043320704989</v>
      </c>
      <c r="D11" s="6">
        <f>September_2025!R54</f>
        <v>274.62896826290404</v>
      </c>
      <c r="F11" t="s">
        <v>155</v>
      </c>
      <c r="G11" s="6">
        <f>September_2025!Q56</f>
        <v>399.59138012246819</v>
      </c>
      <c r="H11" s="6">
        <f>September_2025!R56</f>
        <v>373.31684471517343</v>
      </c>
      <c r="K11" s="5">
        <f t="shared" si="0"/>
        <v>-120.1209469154183</v>
      </c>
      <c r="L11" s="5">
        <f t="shared" si="0"/>
        <v>-98.687876452269393</v>
      </c>
    </row>
    <row r="12" spans="2:12">
      <c r="B12" t="s">
        <v>156</v>
      </c>
      <c r="C12" s="6">
        <f>October_2025!Q64</f>
        <v>296.95343101697375</v>
      </c>
      <c r="D12" s="6">
        <f>October_2025!R64</f>
        <v>277.09488612463196</v>
      </c>
      <c r="F12" t="s">
        <v>156</v>
      </c>
      <c r="G12" s="6">
        <f>October_2025!Q66</f>
        <v>402.83394833948341</v>
      </c>
      <c r="H12" s="6">
        <f>October_2025!R66</f>
        <v>376.58321990526491</v>
      </c>
      <c r="K12" s="5">
        <f t="shared" si="0"/>
        <v>-105.88051732250966</v>
      </c>
      <c r="L12" s="5">
        <f t="shared" si="0"/>
        <v>-99.488333780632956</v>
      </c>
    </row>
    <row r="13" spans="2:12">
      <c r="B13" t="s">
        <v>157</v>
      </c>
      <c r="C13" s="6">
        <f>November_2025!Q62</f>
        <v>267.0134730538922</v>
      </c>
      <c r="D13" s="6">
        <f>November_2025!R62</f>
        <v>276.20898696572061</v>
      </c>
      <c r="F13" t="s">
        <v>157</v>
      </c>
      <c r="G13" s="6">
        <f>November_2025!Q64</f>
        <v>372.39111523516789</v>
      </c>
      <c r="H13" s="6">
        <f>November_2025!R64</f>
        <v>376.22343999641635</v>
      </c>
      <c r="K13" s="5">
        <f t="shared" si="0"/>
        <v>-105.37764218127569</v>
      </c>
      <c r="L13" s="5">
        <f t="shared" si="0"/>
        <v>-100.01445303069573</v>
      </c>
    </row>
    <row r="14" spans="2:12">
      <c r="B14" t="s">
        <v>158</v>
      </c>
      <c r="C14" s="6">
        <f>December_2025!Q60</f>
        <v>257.40149487865642</v>
      </c>
      <c r="D14" s="406">
        <f>December_2025!S60</f>
        <v>274.21191871288875</v>
      </c>
      <c r="F14" t="s">
        <v>158</v>
      </c>
      <c r="G14" s="6">
        <f>December_2025!Q62</f>
        <v>361.78202412347071</v>
      </c>
      <c r="H14" s="406">
        <f>December_2025!S62</f>
        <v>374.73246326614418</v>
      </c>
      <c r="K14" s="5">
        <f t="shared" si="0"/>
        <v>-104.38052924481428</v>
      </c>
      <c r="L14" s="5">
        <f t="shared" si="0"/>
        <v>-100.52054455325543</v>
      </c>
    </row>
  </sheetData>
  <mergeCells count="2">
    <mergeCell ref="C1:D1"/>
    <mergeCell ref="G1:H1"/>
  </mergeCells>
  <phoneticPr fontId="4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1"/>
    <pageSetUpPr fitToPage="1"/>
  </sheetPr>
  <dimension ref="B1:CA128"/>
  <sheetViews>
    <sheetView topLeftCell="A4" zoomScale="60" zoomScaleNormal="60" zoomScaleSheetLayoutView="80" workbookViewId="0">
      <pane xSplit="2" ySplit="4" topLeftCell="C27" activePane="bottomRight" state="frozen"/>
      <selection activeCell="A4" sqref="A4"/>
      <selection pane="topRight" activeCell="B4" sqref="B4"/>
      <selection pane="bottomLeft" activeCell="A8" sqref="A8"/>
      <selection pane="bottomRight" activeCell="H68" sqref="H68"/>
    </sheetView>
  </sheetViews>
  <sheetFormatPr defaultColWidth="9.109375" defaultRowHeight="18"/>
  <cols>
    <col min="1" max="1" width="2.44140625" style="92" customWidth="1"/>
    <col min="2" max="2" width="9.109375" style="128" customWidth="1"/>
    <col min="3" max="3" width="9.44140625" style="128" customWidth="1"/>
    <col min="4" max="4" width="55.44140625" style="129" customWidth="1"/>
    <col min="5" max="5" width="8.88671875" style="128" customWidth="1"/>
    <col min="6" max="6" width="8.5546875" style="130" customWidth="1"/>
    <col min="7" max="8" width="13.5546875" style="92" customWidth="1"/>
    <col min="9" max="9" width="10.5546875" style="131" customWidth="1"/>
    <col min="10" max="10" width="16.44140625" style="131" bestFit="1" customWidth="1"/>
    <col min="11" max="11" width="13.109375" style="131" customWidth="1"/>
    <col min="12" max="12" width="14" style="131" customWidth="1"/>
    <col min="13" max="13" width="19.109375" style="131" customWidth="1"/>
    <col min="14" max="14" width="16.5546875" style="131" customWidth="1"/>
    <col min="15" max="15" width="9.44140625" style="131" customWidth="1"/>
    <col min="16" max="16" width="21.5546875" style="134" bestFit="1" customWidth="1"/>
    <col min="17" max="17" width="14.6640625" style="112" customWidth="1"/>
    <col min="18" max="18" width="11" style="92" customWidth="1"/>
    <col min="19" max="19" width="9.109375" style="92"/>
    <col min="20" max="20" width="9.88671875" style="92" bestFit="1" customWidth="1"/>
    <col min="21" max="21" width="20.88671875" style="92" customWidth="1"/>
    <col min="22" max="22" width="13.5546875" style="92" customWidth="1"/>
    <col min="23" max="23" width="15.88671875" style="92" customWidth="1"/>
    <col min="24" max="24" width="10.5546875" style="92" customWidth="1"/>
    <col min="25" max="16384" width="9.109375" style="92"/>
  </cols>
  <sheetData>
    <row r="1" spans="2:20">
      <c r="B1" s="339" t="s">
        <v>0</v>
      </c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</row>
    <row r="3" spans="2:20" ht="19.8">
      <c r="B3" s="340" t="s">
        <v>1</v>
      </c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</row>
    <row r="4" spans="2:20" thickBot="1">
      <c r="B4" s="341">
        <v>45658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  <c r="M4" s="341"/>
      <c r="N4" s="341"/>
      <c r="O4" s="341"/>
      <c r="P4" s="341"/>
      <c r="Q4" s="341"/>
    </row>
    <row r="5" spans="2:20" ht="19.2" thickTop="1" thickBot="1">
      <c r="B5" s="93" t="s">
        <v>2</v>
      </c>
      <c r="C5" s="93" t="s">
        <v>3</v>
      </c>
      <c r="D5" s="94" t="s">
        <v>4</v>
      </c>
      <c r="E5" s="93" t="s">
        <v>37</v>
      </c>
      <c r="F5" s="95" t="s">
        <v>12</v>
      </c>
      <c r="G5" s="93" t="s">
        <v>5</v>
      </c>
      <c r="H5" s="93" t="s">
        <v>13</v>
      </c>
      <c r="I5" s="342" t="s">
        <v>26</v>
      </c>
      <c r="J5" s="93" t="s">
        <v>18</v>
      </c>
      <c r="K5" s="93" t="s">
        <v>6</v>
      </c>
      <c r="L5" s="345" t="s">
        <v>22</v>
      </c>
      <c r="M5" s="348" t="s">
        <v>24</v>
      </c>
      <c r="N5" s="348" t="s">
        <v>25</v>
      </c>
      <c r="O5" s="348" t="s">
        <v>23</v>
      </c>
      <c r="P5" s="95" t="s">
        <v>6</v>
      </c>
      <c r="Q5" s="96" t="s">
        <v>9</v>
      </c>
      <c r="R5" s="93" t="s">
        <v>20</v>
      </c>
    </row>
    <row r="6" spans="2:20" ht="16.5" customHeight="1" thickTop="1">
      <c r="B6" s="97"/>
      <c r="C6" s="97"/>
      <c r="D6" s="98"/>
      <c r="E6" s="97" t="s">
        <v>11</v>
      </c>
      <c r="F6" s="99" t="s">
        <v>11</v>
      </c>
      <c r="G6" s="97" t="s">
        <v>6</v>
      </c>
      <c r="H6" s="97" t="s">
        <v>14</v>
      </c>
      <c r="I6" s="343"/>
      <c r="J6" s="97" t="s">
        <v>17</v>
      </c>
      <c r="K6" s="97" t="s">
        <v>17</v>
      </c>
      <c r="L6" s="346"/>
      <c r="M6" s="349"/>
      <c r="N6" s="349"/>
      <c r="O6" s="349"/>
      <c r="P6" s="99" t="s">
        <v>19</v>
      </c>
      <c r="Q6" s="100" t="s">
        <v>10</v>
      </c>
      <c r="R6" s="356" t="s">
        <v>21</v>
      </c>
    </row>
    <row r="7" spans="2:20" ht="18.600000000000001" thickBot="1">
      <c r="B7" s="97"/>
      <c r="C7" s="101"/>
      <c r="D7" s="102"/>
      <c r="E7" s="97"/>
      <c r="F7" s="103" t="s">
        <v>15</v>
      </c>
      <c r="G7" s="101"/>
      <c r="H7" s="101" t="s">
        <v>16</v>
      </c>
      <c r="I7" s="344"/>
      <c r="J7" s="101"/>
      <c r="K7" s="101"/>
      <c r="L7" s="347"/>
      <c r="M7" s="350"/>
      <c r="N7" s="350"/>
      <c r="O7" s="350"/>
      <c r="P7" s="103"/>
      <c r="Q7" s="104"/>
      <c r="R7" s="357"/>
    </row>
    <row r="8" spans="2:20">
      <c r="B8" s="59">
        <v>45659</v>
      </c>
      <c r="C8" s="48">
        <v>1</v>
      </c>
      <c r="D8" s="29" t="s">
        <v>47</v>
      </c>
      <c r="E8" s="354">
        <v>858</v>
      </c>
      <c r="F8" s="39">
        <f>[4]Jan!$N69</f>
        <v>364</v>
      </c>
      <c r="G8" s="17">
        <v>2153</v>
      </c>
      <c r="H8" s="108">
        <f t="shared" ref="H8:H15" si="0">(G8)*24/(F8/60)/17000*100</f>
        <v>50.102133160956697</v>
      </c>
      <c r="I8" s="49"/>
      <c r="J8" s="53">
        <f>71.3+72</f>
        <v>143.30000000000001</v>
      </c>
      <c r="K8" s="108">
        <f t="shared" ref="K8:K14" si="1">(G8)*0.066</f>
        <v>142.09800000000001</v>
      </c>
      <c r="L8" s="108">
        <f t="shared" ref="L8:L15" si="2">J8-K8</f>
        <v>1.2019999999999982</v>
      </c>
      <c r="M8" s="54">
        <f>[4]Jan!AD8</f>
        <v>189</v>
      </c>
      <c r="N8" s="54">
        <f>3.5</f>
        <v>3.5</v>
      </c>
      <c r="O8" s="54"/>
      <c r="P8" s="53">
        <f t="shared" ref="P8:P15" si="3">(J8-K8)/J8*100</f>
        <v>0.83879972086531618</v>
      </c>
      <c r="Q8" s="109">
        <f>(G8)/(F8/60)</f>
        <v>354.8901098901099</v>
      </c>
      <c r="R8" s="16"/>
    </row>
    <row r="9" spans="2:20" ht="18.600000000000001" thickBot="1">
      <c r="B9" s="59">
        <v>45659</v>
      </c>
      <c r="C9" s="48">
        <v>1</v>
      </c>
      <c r="D9" s="29" t="s">
        <v>44</v>
      </c>
      <c r="E9" s="355"/>
      <c r="F9" s="39">
        <f>[4]Jan!$N70</f>
        <v>405</v>
      </c>
      <c r="G9" s="17">
        <v>3344</v>
      </c>
      <c r="H9" s="108">
        <f t="shared" si="0"/>
        <v>69.939869281045759</v>
      </c>
      <c r="I9" s="49"/>
      <c r="J9" s="53">
        <f>99.4+87.1+99.2+101.8-73.2-78</f>
        <v>236.3</v>
      </c>
      <c r="K9" s="108">
        <f t="shared" si="1"/>
        <v>220.70400000000001</v>
      </c>
      <c r="L9" s="108">
        <f t="shared" si="2"/>
        <v>15.596000000000004</v>
      </c>
      <c r="M9" s="54">
        <f>[4]Jan!AD9</f>
        <v>194</v>
      </c>
      <c r="N9" s="54">
        <f>1+3</f>
        <v>4</v>
      </c>
      <c r="O9" s="54"/>
      <c r="P9" s="53">
        <f t="shared" si="3"/>
        <v>6.6000846381718175</v>
      </c>
      <c r="Q9" s="109">
        <f t="shared" ref="Q9:Q15" si="4">(G9)/(F9/60)</f>
        <v>495.40740740740739</v>
      </c>
      <c r="R9" s="16"/>
    </row>
    <row r="10" spans="2:20" ht="18.600000000000001" thickBot="1">
      <c r="B10" s="59">
        <v>3</v>
      </c>
      <c r="C10" s="48">
        <v>2</v>
      </c>
      <c r="D10" s="29" t="s">
        <v>58</v>
      </c>
      <c r="E10" s="215">
        <v>186</v>
      </c>
      <c r="F10" s="39">
        <f>[4]Jan!$N71</f>
        <v>174</v>
      </c>
      <c r="G10" s="17">
        <v>1292</v>
      </c>
      <c r="H10" s="108">
        <f t="shared" si="0"/>
        <v>62.896551724137936</v>
      </c>
      <c r="I10" s="49"/>
      <c r="J10" s="53">
        <f>73.2+78-30.3-35.2</f>
        <v>85.699999999999989</v>
      </c>
      <c r="K10" s="108">
        <f t="shared" si="1"/>
        <v>85.272000000000006</v>
      </c>
      <c r="L10" s="108">
        <f t="shared" si="2"/>
        <v>0.42799999999998306</v>
      </c>
      <c r="M10" s="54">
        <f>[4]Jan!AD10</f>
        <v>47</v>
      </c>
      <c r="N10" s="54">
        <v>9</v>
      </c>
      <c r="O10" s="54"/>
      <c r="P10" s="53">
        <f t="shared" si="3"/>
        <v>0.49941656942821833</v>
      </c>
      <c r="Q10" s="109">
        <f t="shared" si="4"/>
        <v>445.51724137931035</v>
      </c>
      <c r="R10" s="16"/>
      <c r="S10" s="116"/>
      <c r="T10" s="112"/>
    </row>
    <row r="11" spans="2:20">
      <c r="B11" s="59">
        <v>6</v>
      </c>
      <c r="C11" s="48">
        <v>3</v>
      </c>
      <c r="D11" s="29" t="s">
        <v>44</v>
      </c>
      <c r="E11" s="353">
        <v>1440</v>
      </c>
      <c r="F11" s="39">
        <f>[4]Jan!$N72</f>
        <v>794</v>
      </c>
      <c r="G11" s="17">
        <v>5928</v>
      </c>
      <c r="H11" s="108">
        <f t="shared" si="0"/>
        <v>63.241369091717289</v>
      </c>
      <c r="I11" s="49"/>
      <c r="J11" s="53">
        <f>94+96.7+65.5+87.5+54</f>
        <v>397.7</v>
      </c>
      <c r="K11" s="108">
        <f t="shared" si="1"/>
        <v>391.24799999999999</v>
      </c>
      <c r="L11" s="108">
        <f t="shared" si="2"/>
        <v>6.4519999999999982</v>
      </c>
      <c r="M11" s="54">
        <f>[4]Jan!AD11</f>
        <v>82</v>
      </c>
      <c r="N11" s="54">
        <v>25</v>
      </c>
      <c r="O11" s="54"/>
      <c r="P11" s="53">
        <f t="shared" si="3"/>
        <v>1.6223283882323354</v>
      </c>
      <c r="Q11" s="109">
        <f t="shared" si="4"/>
        <v>447.95969773299748</v>
      </c>
      <c r="R11" s="16"/>
      <c r="S11" s="116"/>
      <c r="T11" s="112"/>
    </row>
    <row r="12" spans="2:20" ht="18.600000000000001" thickBot="1">
      <c r="B12" s="59">
        <v>6</v>
      </c>
      <c r="C12" s="48">
        <v>3</v>
      </c>
      <c r="D12" s="29" t="s">
        <v>47</v>
      </c>
      <c r="E12" s="355"/>
      <c r="F12" s="39">
        <f>[4]Jan!$N73</f>
        <v>359</v>
      </c>
      <c r="G12" s="17">
        <v>2487</v>
      </c>
      <c r="H12" s="108">
        <f t="shared" si="0"/>
        <v>58.680648861215786</v>
      </c>
      <c r="I12" s="49"/>
      <c r="J12" s="53">
        <f>95+93-21.5</f>
        <v>166.5</v>
      </c>
      <c r="K12" s="108">
        <f t="shared" si="1"/>
        <v>164.142</v>
      </c>
      <c r="L12" s="108">
        <f t="shared" si="2"/>
        <v>2.3580000000000041</v>
      </c>
      <c r="M12" s="54">
        <f>[4]Jan!AD12</f>
        <v>68</v>
      </c>
      <c r="N12" s="54">
        <v>9</v>
      </c>
      <c r="O12" s="54"/>
      <c r="P12" s="53">
        <f t="shared" si="3"/>
        <v>1.4162162162162186</v>
      </c>
      <c r="Q12" s="109">
        <f t="shared" si="4"/>
        <v>415.65459610027852</v>
      </c>
      <c r="R12" s="16"/>
      <c r="S12" s="116"/>
      <c r="T12" s="112"/>
    </row>
    <row r="13" spans="2:20">
      <c r="B13" s="59">
        <v>45664</v>
      </c>
      <c r="C13" s="48">
        <v>4</v>
      </c>
      <c r="D13" s="29" t="s">
        <v>47</v>
      </c>
      <c r="E13" s="353">
        <v>1440</v>
      </c>
      <c r="F13" s="39">
        <f>[4]Jan!$N74</f>
        <v>400</v>
      </c>
      <c r="G13" s="17">
        <v>3057</v>
      </c>
      <c r="H13" s="108">
        <f t="shared" si="0"/>
        <v>64.736470588235278</v>
      </c>
      <c r="I13" s="184"/>
      <c r="J13" s="175">
        <f>99.4+85+21.5</f>
        <v>205.9</v>
      </c>
      <c r="K13" s="108">
        <f t="shared" si="1"/>
        <v>201.762</v>
      </c>
      <c r="L13" s="108">
        <f t="shared" si="2"/>
        <v>4.1380000000000052</v>
      </c>
      <c r="M13" s="54">
        <f>[4]Jan!AD13</f>
        <v>57</v>
      </c>
      <c r="N13" s="54">
        <v>5</v>
      </c>
      <c r="O13" s="54"/>
      <c r="P13" s="53">
        <f t="shared" si="3"/>
        <v>2.0097134531325911</v>
      </c>
      <c r="Q13" s="109">
        <f t="shared" si="4"/>
        <v>458.54999999999995</v>
      </c>
      <c r="R13" s="16"/>
      <c r="S13" s="116"/>
      <c r="T13" s="112"/>
    </row>
    <row r="14" spans="2:20">
      <c r="B14" s="59">
        <v>45664</v>
      </c>
      <c r="C14" s="48">
        <v>4</v>
      </c>
      <c r="D14" s="29" t="s">
        <v>49</v>
      </c>
      <c r="E14" s="354"/>
      <c r="F14" s="39">
        <f>[4]Jan!$N75</f>
        <v>478</v>
      </c>
      <c r="G14" s="17">
        <v>3335</v>
      </c>
      <c r="H14" s="108">
        <f t="shared" si="0"/>
        <v>59.099187792271721</v>
      </c>
      <c r="I14" s="49"/>
      <c r="J14" s="175">
        <f>91+42.2+90.2</f>
        <v>223.39999999999998</v>
      </c>
      <c r="K14" s="108">
        <f t="shared" si="1"/>
        <v>220.11</v>
      </c>
      <c r="L14" s="108">
        <f t="shared" si="2"/>
        <v>3.2899999999999636</v>
      </c>
      <c r="M14" s="54">
        <f>[4]Jan!AD14</f>
        <v>128</v>
      </c>
      <c r="N14" s="54">
        <v>15</v>
      </c>
      <c r="O14" s="54"/>
      <c r="P14" s="53">
        <f t="shared" si="3"/>
        <v>1.4726947179946124</v>
      </c>
      <c r="Q14" s="109">
        <f t="shared" si="4"/>
        <v>418.61924686192469</v>
      </c>
      <c r="R14" s="16"/>
      <c r="S14" s="116"/>
      <c r="T14" s="112"/>
    </row>
    <row r="15" spans="2:20" ht="18.600000000000001" thickBot="1">
      <c r="B15" s="59">
        <v>45664</v>
      </c>
      <c r="C15" s="48">
        <v>4</v>
      </c>
      <c r="D15" s="29" t="s">
        <v>59</v>
      </c>
      <c r="E15" s="355"/>
      <c r="F15" s="39">
        <f>[4]Jan!$N76</f>
        <v>337</v>
      </c>
      <c r="G15" s="17">
        <v>360</v>
      </c>
      <c r="H15" s="108">
        <f t="shared" si="0"/>
        <v>9.0486995985337764</v>
      </c>
      <c r="I15" s="49"/>
      <c r="J15" s="175">
        <f>99.2+42.3-45-70</f>
        <v>26.5</v>
      </c>
      <c r="K15" s="108">
        <f t="shared" ref="K15:K16" si="5">G15*0.0708</f>
        <v>25.488</v>
      </c>
      <c r="L15" s="108">
        <f t="shared" si="2"/>
        <v>1.0120000000000005</v>
      </c>
      <c r="M15" s="54">
        <f>[4]Jan!AD15</f>
        <v>436</v>
      </c>
      <c r="N15" s="54"/>
      <c r="O15" s="54"/>
      <c r="P15" s="53">
        <f t="shared" si="3"/>
        <v>3.8188679245283033</v>
      </c>
      <c r="Q15" s="109">
        <f t="shared" si="4"/>
        <v>64.09495548961425</v>
      </c>
      <c r="R15" s="16"/>
      <c r="S15" s="116"/>
      <c r="T15" s="112"/>
    </row>
    <row r="16" spans="2:20">
      <c r="B16" s="59">
        <v>45665</v>
      </c>
      <c r="C16" s="48">
        <v>5</v>
      </c>
      <c r="D16" s="29" t="s">
        <v>59</v>
      </c>
      <c r="E16" s="353">
        <v>1440</v>
      </c>
      <c r="F16" s="39">
        <f>[4]Jan!$N77</f>
        <v>205</v>
      </c>
      <c r="G16" s="107">
        <v>1606</v>
      </c>
      <c r="H16" s="108">
        <f t="shared" ref="H16:H43" si="6">(G16)*24/(F16/60)/17000*100</f>
        <v>66.359827833572467</v>
      </c>
      <c r="I16" s="185"/>
      <c r="J16" s="175">
        <f>45+70</f>
        <v>115</v>
      </c>
      <c r="K16" s="108">
        <f t="shared" si="5"/>
        <v>113.70480000000001</v>
      </c>
      <c r="L16" s="108">
        <f>J16-K16</f>
        <v>1.2951999999999941</v>
      </c>
      <c r="M16" s="54">
        <f>[4]Jan!AD16</f>
        <v>125</v>
      </c>
      <c r="N16" s="109"/>
      <c r="O16" s="109"/>
      <c r="P16" s="110">
        <f>(J16-K16)/J16*100</f>
        <v>1.1262608695652123</v>
      </c>
      <c r="Q16" s="109">
        <f t="shared" ref="Q16:Q43" si="7">(G16)/(F16/60)</f>
        <v>470.04878048780489</v>
      </c>
      <c r="R16" s="178"/>
      <c r="S16" s="116"/>
      <c r="T16" s="112"/>
    </row>
    <row r="17" spans="2:79">
      <c r="B17" s="59">
        <v>45665</v>
      </c>
      <c r="C17" s="48">
        <v>5</v>
      </c>
      <c r="D17" s="29" t="s">
        <v>52</v>
      </c>
      <c r="E17" s="354"/>
      <c r="F17" s="39">
        <f>[4]Jan!$N78</f>
        <v>210</v>
      </c>
      <c r="G17" s="107">
        <v>686</v>
      </c>
      <c r="H17" s="108">
        <f t="shared" si="6"/>
        <v>27.670588235294119</v>
      </c>
      <c r="I17" s="185"/>
      <c r="J17" s="175">
        <f>50.7</f>
        <v>50.7</v>
      </c>
      <c r="K17" s="108">
        <f>G17*0.0708</f>
        <v>48.568800000000003</v>
      </c>
      <c r="L17" s="108">
        <f>J17-K17</f>
        <v>2.1311999999999998</v>
      </c>
      <c r="M17" s="54">
        <f>[4]Jan!AD17</f>
        <v>21</v>
      </c>
      <c r="N17" s="109"/>
      <c r="O17" s="109"/>
      <c r="P17" s="110">
        <f>(J17-K17)/J17*100</f>
        <v>4.2035502958579878</v>
      </c>
      <c r="Q17" s="109">
        <f t="shared" si="7"/>
        <v>196</v>
      </c>
      <c r="R17" s="178"/>
      <c r="S17" s="116"/>
      <c r="T17" s="112"/>
    </row>
    <row r="18" spans="2:79">
      <c r="B18" s="59">
        <v>45665</v>
      </c>
      <c r="C18" s="48">
        <v>5</v>
      </c>
      <c r="D18" s="29" t="s">
        <v>45</v>
      </c>
      <c r="E18" s="354"/>
      <c r="F18" s="39">
        <f>[4]Jan!$N79</f>
        <v>663</v>
      </c>
      <c r="G18" s="107">
        <v>4437</v>
      </c>
      <c r="H18" s="108">
        <f t="shared" si="6"/>
        <v>56.687782805429862</v>
      </c>
      <c r="I18" s="109"/>
      <c r="J18" s="175">
        <f>96+97.4+102.8</f>
        <v>296.2</v>
      </c>
      <c r="K18" s="108">
        <f t="shared" ref="K18:K42" si="8">G18*0.066</f>
        <v>292.84200000000004</v>
      </c>
      <c r="L18" s="108">
        <f t="shared" ref="L18:L43" si="9">J18-K18</f>
        <v>3.3579999999999472</v>
      </c>
      <c r="M18" s="54">
        <f>[4]Jan!AD18</f>
        <v>361</v>
      </c>
      <c r="N18" s="109">
        <v>32</v>
      </c>
      <c r="O18" s="109"/>
      <c r="P18" s="110">
        <f>(J18-K18)/J18*100</f>
        <v>1.1336934503713529</v>
      </c>
      <c r="Q18" s="109">
        <f t="shared" si="7"/>
        <v>401.53846153846149</v>
      </c>
      <c r="R18" s="178"/>
      <c r="S18" s="116"/>
      <c r="T18" s="112"/>
    </row>
    <row r="19" spans="2:79" ht="18.600000000000001" thickBot="1">
      <c r="B19" s="59">
        <v>45665</v>
      </c>
      <c r="C19" s="48">
        <v>5</v>
      </c>
      <c r="D19" s="29" t="s">
        <v>44</v>
      </c>
      <c r="E19" s="355"/>
      <c r="F19" s="39">
        <f>[4]Jan!$N80</f>
        <v>47</v>
      </c>
      <c r="G19" s="107">
        <v>356</v>
      </c>
      <c r="H19" s="108">
        <f t="shared" si="6"/>
        <v>64.160200250312897</v>
      </c>
      <c r="I19" s="109"/>
      <c r="J19" s="175">
        <f>98-74</f>
        <v>24</v>
      </c>
      <c r="K19" s="108">
        <f t="shared" si="8"/>
        <v>23.496000000000002</v>
      </c>
      <c r="L19" s="108">
        <f t="shared" si="9"/>
        <v>0.50399999999999778</v>
      </c>
      <c r="M19" s="54">
        <f>[4]Jan!AD19</f>
        <v>83</v>
      </c>
      <c r="N19" s="109"/>
      <c r="O19" s="109"/>
      <c r="P19" s="110">
        <f t="shared" ref="P19:P46" si="10">(J19-K19)/J19*100</f>
        <v>2.0999999999999908</v>
      </c>
      <c r="Q19" s="109">
        <f>(G19)/(F19/60)</f>
        <v>454.468085106383</v>
      </c>
      <c r="R19" s="178"/>
      <c r="S19" s="116"/>
      <c r="T19" s="112"/>
      <c r="CA19" s="117"/>
    </row>
    <row r="20" spans="2:79" ht="18.600000000000001" thickBot="1">
      <c r="B20" s="141">
        <v>45666</v>
      </c>
      <c r="C20" s="114">
        <v>6</v>
      </c>
      <c r="D20" s="29" t="s">
        <v>44</v>
      </c>
      <c r="E20" s="213">
        <v>965</v>
      </c>
      <c r="F20" s="39">
        <f>[4]Jan!$N81</f>
        <v>916</v>
      </c>
      <c r="G20" s="107">
        <v>6459</v>
      </c>
      <c r="H20" s="108">
        <f t="shared" si="6"/>
        <v>59.728743899306444</v>
      </c>
      <c r="I20" s="109"/>
      <c r="J20" s="175">
        <f>74+97.1+82+97+82.5</f>
        <v>432.6</v>
      </c>
      <c r="K20" s="108">
        <f t="shared" si="8"/>
        <v>426.29400000000004</v>
      </c>
      <c r="L20" s="108">
        <f t="shared" si="9"/>
        <v>6.3059999999999832</v>
      </c>
      <c r="M20" s="54">
        <f>[4]Jan!AD20</f>
        <v>226</v>
      </c>
      <c r="N20" s="109"/>
      <c r="O20" s="109"/>
      <c r="P20" s="110">
        <f t="shared" si="10"/>
        <v>1.4576976421636576</v>
      </c>
      <c r="Q20" s="109">
        <f>(G20)/(F20/60)</f>
        <v>423.07860262008734</v>
      </c>
      <c r="R20" s="178"/>
      <c r="S20" s="116"/>
      <c r="T20" s="112"/>
    </row>
    <row r="21" spans="2:79">
      <c r="B21" s="141">
        <v>45673</v>
      </c>
      <c r="C21" s="114">
        <v>7</v>
      </c>
      <c r="D21" s="29" t="s">
        <v>44</v>
      </c>
      <c r="E21" s="351">
        <v>863</v>
      </c>
      <c r="F21" s="39">
        <f>[4]Jan!$N82</f>
        <v>309</v>
      </c>
      <c r="G21" s="107">
        <v>2589</v>
      </c>
      <c r="H21" s="108">
        <f t="shared" si="6"/>
        <v>70.97201599086236</v>
      </c>
      <c r="I21" s="186"/>
      <c r="J21" s="175">
        <f>87.4+94</f>
        <v>181.4</v>
      </c>
      <c r="K21" s="108">
        <f>G21*0.066+(35*0.19)</f>
        <v>177.524</v>
      </c>
      <c r="L21" s="108">
        <f t="shared" si="9"/>
        <v>3.8760000000000048</v>
      </c>
      <c r="M21" s="54">
        <f>[4]Jan!AD21</f>
        <v>140</v>
      </c>
      <c r="N21" s="109">
        <v>35</v>
      </c>
      <c r="O21" s="109">
        <v>35</v>
      </c>
      <c r="P21" s="110">
        <f t="shared" si="10"/>
        <v>2.1367144432194074</v>
      </c>
      <c r="Q21" s="109">
        <f t="shared" si="7"/>
        <v>502.71844660194171</v>
      </c>
      <c r="R21" s="178"/>
      <c r="S21" s="116"/>
      <c r="T21" s="112"/>
    </row>
    <row r="22" spans="2:79" ht="18.600000000000001" thickBot="1">
      <c r="B22" s="141">
        <v>45673</v>
      </c>
      <c r="C22" s="114">
        <v>7</v>
      </c>
      <c r="D22" s="29" t="s">
        <v>47</v>
      </c>
      <c r="E22" s="352"/>
      <c r="F22" s="39">
        <f>[4]Jan!$N83</f>
        <v>79</v>
      </c>
      <c r="G22" s="107">
        <v>509</v>
      </c>
      <c r="H22" s="108">
        <f t="shared" si="6"/>
        <v>54.576321667907671</v>
      </c>
      <c r="I22" s="109"/>
      <c r="J22" s="175">
        <f>93.3-58</f>
        <v>35.299999999999997</v>
      </c>
      <c r="K22" s="108">
        <f>G22*0.066+(5*0.19)</f>
        <v>34.544000000000004</v>
      </c>
      <c r="L22" s="108">
        <f t="shared" si="9"/>
        <v>0.75599999999999312</v>
      </c>
      <c r="M22" s="54">
        <f>[4]Jan!AD22</f>
        <v>336</v>
      </c>
      <c r="N22" s="109"/>
      <c r="O22" s="109">
        <v>5</v>
      </c>
      <c r="P22" s="110">
        <f t="shared" si="10"/>
        <v>2.1416430594900655</v>
      </c>
      <c r="Q22" s="109">
        <f t="shared" si="7"/>
        <v>386.58227848101268</v>
      </c>
      <c r="R22" s="178"/>
      <c r="S22" s="116"/>
      <c r="T22" s="112"/>
    </row>
    <row r="23" spans="2:79">
      <c r="B23" s="141">
        <v>45674</v>
      </c>
      <c r="C23" s="114">
        <v>8</v>
      </c>
      <c r="D23" s="29" t="s">
        <v>47</v>
      </c>
      <c r="E23" s="351">
        <v>717</v>
      </c>
      <c r="F23" s="39">
        <f>[4]Jan!$N84</f>
        <v>99</v>
      </c>
      <c r="G23" s="107">
        <v>846</v>
      </c>
      <c r="H23" s="108">
        <f t="shared" si="6"/>
        <v>72.38502673796792</v>
      </c>
      <c r="I23" s="109"/>
      <c r="J23" s="175">
        <f>58</f>
        <v>58</v>
      </c>
      <c r="K23" s="108">
        <f t="shared" si="8"/>
        <v>55.836000000000006</v>
      </c>
      <c r="L23" s="108">
        <f t="shared" si="9"/>
        <v>2.1639999999999944</v>
      </c>
      <c r="M23" s="54">
        <f>[4]Jan!AD23</f>
        <v>26</v>
      </c>
      <c r="N23" s="109">
        <v>6</v>
      </c>
      <c r="O23" s="109"/>
      <c r="P23" s="110">
        <f t="shared" si="10"/>
        <v>3.7310344827586115</v>
      </c>
      <c r="Q23" s="109">
        <f t="shared" si="7"/>
        <v>512.72727272727275</v>
      </c>
      <c r="R23" s="178"/>
      <c r="S23" s="116"/>
      <c r="T23" s="112"/>
    </row>
    <row r="24" spans="2:79" ht="18.600000000000001" thickBot="1">
      <c r="B24" s="141">
        <v>45674</v>
      </c>
      <c r="C24" s="114">
        <v>8</v>
      </c>
      <c r="D24" s="29" t="s">
        <v>44</v>
      </c>
      <c r="E24" s="352"/>
      <c r="F24" s="39">
        <f>[4]Jan!$N85</f>
        <v>512</v>
      </c>
      <c r="G24" s="107">
        <v>3943</v>
      </c>
      <c r="H24" s="108">
        <f t="shared" si="6"/>
        <v>65.233455882352942</v>
      </c>
      <c r="I24" s="109"/>
      <c r="J24" s="175">
        <f>81.1+96.8+96-9</f>
        <v>264.89999999999998</v>
      </c>
      <c r="K24" s="108">
        <f t="shared" si="8"/>
        <v>260.238</v>
      </c>
      <c r="L24" s="108">
        <f t="shared" si="9"/>
        <v>4.6619999999999777</v>
      </c>
      <c r="M24" s="54">
        <f>[4]Jan!AD24</f>
        <v>234</v>
      </c>
      <c r="N24" s="109"/>
      <c r="O24" s="109"/>
      <c r="P24" s="110">
        <f t="shared" si="10"/>
        <v>1.7599093997734911</v>
      </c>
      <c r="Q24" s="109">
        <f>(G24)/(F24/60)</f>
        <v>462.0703125</v>
      </c>
      <c r="R24" s="178"/>
      <c r="S24" s="116"/>
      <c r="T24" s="112"/>
    </row>
    <row r="25" spans="2:79">
      <c r="B25" s="141">
        <v>45677</v>
      </c>
      <c r="C25" s="114">
        <v>9</v>
      </c>
      <c r="D25" s="29" t="s">
        <v>44</v>
      </c>
      <c r="E25" s="351">
        <v>853</v>
      </c>
      <c r="F25" s="39">
        <f>[4]Jan!$N86</f>
        <v>155</v>
      </c>
      <c r="G25" s="107">
        <v>1575</v>
      </c>
      <c r="H25" s="108">
        <f t="shared" si="6"/>
        <v>86.072106261859588</v>
      </c>
      <c r="I25" s="109"/>
      <c r="J25" s="175">
        <f>9+99</f>
        <v>108</v>
      </c>
      <c r="K25" s="108">
        <f t="shared" si="8"/>
        <v>103.95</v>
      </c>
      <c r="L25" s="108">
        <f t="shared" si="9"/>
        <v>4.0499999999999972</v>
      </c>
      <c r="M25" s="54">
        <f>[4]Jan!AD25</f>
        <v>196</v>
      </c>
      <c r="N25" s="109">
        <v>7</v>
      </c>
      <c r="O25" s="109"/>
      <c r="P25" s="110">
        <f t="shared" si="10"/>
        <v>3.7499999999999969</v>
      </c>
      <c r="Q25" s="109">
        <f>(G25)/(F25/60)</f>
        <v>609.67741935483866</v>
      </c>
      <c r="R25" s="178"/>
      <c r="S25" s="116"/>
      <c r="T25" s="112"/>
    </row>
    <row r="26" spans="2:79" ht="18.600000000000001" thickBot="1">
      <c r="B26" s="141">
        <v>45677</v>
      </c>
      <c r="C26" s="114">
        <v>9</v>
      </c>
      <c r="D26" s="29" t="s">
        <v>47</v>
      </c>
      <c r="E26" s="352"/>
      <c r="F26" s="39">
        <f>[4]Jan!$N87</f>
        <v>506</v>
      </c>
      <c r="G26" s="107">
        <v>3354</v>
      </c>
      <c r="H26" s="108">
        <f>(G26)*24/(F26/60)/17000*100</f>
        <v>56.146942571494996</v>
      </c>
      <c r="I26" s="185"/>
      <c r="J26" s="175">
        <f>89.6+99.6+100.9+99.7-75-90</f>
        <v>224.8</v>
      </c>
      <c r="K26" s="108">
        <f t="shared" si="8"/>
        <v>221.364</v>
      </c>
      <c r="L26" s="108">
        <f t="shared" si="9"/>
        <v>3.436000000000007</v>
      </c>
      <c r="M26" s="54">
        <f>[4]Jan!AD26</f>
        <v>148</v>
      </c>
      <c r="N26" s="109"/>
      <c r="O26" s="109"/>
      <c r="P26" s="110">
        <f t="shared" si="10"/>
        <v>1.5284697508896827</v>
      </c>
      <c r="Q26" s="109">
        <f t="shared" si="7"/>
        <v>397.70750988142294</v>
      </c>
      <c r="R26" s="178"/>
      <c r="S26" s="116"/>
      <c r="T26" s="117"/>
    </row>
    <row r="27" spans="2:79" ht="19.350000000000001" customHeight="1">
      <c r="B27" s="141">
        <v>45678</v>
      </c>
      <c r="C27" s="114">
        <v>10</v>
      </c>
      <c r="D27" s="29" t="s">
        <v>47</v>
      </c>
      <c r="E27" s="351">
        <v>819</v>
      </c>
      <c r="F27" s="39">
        <f>[4]Jan!$N88</f>
        <v>422</v>
      </c>
      <c r="G27" s="107">
        <v>3600</v>
      </c>
      <c r="H27" s="108">
        <f t="shared" si="6"/>
        <v>72.260942291608586</v>
      </c>
      <c r="I27" s="185"/>
      <c r="J27" s="175">
        <f>75+90+75</f>
        <v>240</v>
      </c>
      <c r="K27" s="108">
        <f t="shared" si="8"/>
        <v>237.60000000000002</v>
      </c>
      <c r="L27" s="108">
        <f t="shared" si="9"/>
        <v>2.3999999999999773</v>
      </c>
      <c r="M27" s="54">
        <f>[4]Jan!AD27</f>
        <v>166</v>
      </c>
      <c r="N27" s="109">
        <f>3+6</f>
        <v>9</v>
      </c>
      <c r="O27" s="109"/>
      <c r="P27" s="110">
        <f t="shared" si="10"/>
        <v>0.99999999999999045</v>
      </c>
      <c r="Q27" s="109">
        <f t="shared" si="7"/>
        <v>511.84834123222748</v>
      </c>
      <c r="R27" s="178"/>
      <c r="S27" s="116"/>
      <c r="T27" s="170"/>
    </row>
    <row r="28" spans="2:79" ht="18" customHeight="1" thickBot="1">
      <c r="B28" s="141">
        <v>45678</v>
      </c>
      <c r="C28" s="114">
        <v>10</v>
      </c>
      <c r="D28" s="29" t="s">
        <v>64</v>
      </c>
      <c r="E28" s="352"/>
      <c r="F28" s="39">
        <f>[4]Jan!$N89</f>
        <v>150</v>
      </c>
      <c r="G28" s="107">
        <v>1585</v>
      </c>
      <c r="H28" s="108">
        <f t="shared" si="6"/>
        <v>89.505882352941185</v>
      </c>
      <c r="I28" s="109"/>
      <c r="J28" s="175">
        <f>100.2+96-87</f>
        <v>109.19999999999999</v>
      </c>
      <c r="K28" s="108">
        <f t="shared" si="8"/>
        <v>104.61</v>
      </c>
      <c r="L28" s="108">
        <f t="shared" si="9"/>
        <v>4.5899999999999892</v>
      </c>
      <c r="M28" s="54">
        <f>[4]Jan!AD28</f>
        <v>137</v>
      </c>
      <c r="N28" s="109">
        <v>3</v>
      </c>
      <c r="O28" s="109"/>
      <c r="P28" s="110">
        <f t="shared" si="10"/>
        <v>4.2032967032966937</v>
      </c>
      <c r="Q28" s="109">
        <f t="shared" si="7"/>
        <v>634</v>
      </c>
      <c r="R28" s="178"/>
      <c r="S28" s="116"/>
      <c r="T28" s="170"/>
    </row>
    <row r="29" spans="2:79" ht="16.5" customHeight="1" thickBot="1">
      <c r="B29" s="141">
        <v>45679</v>
      </c>
      <c r="C29" s="114">
        <v>11</v>
      </c>
      <c r="D29" s="29" t="s">
        <v>65</v>
      </c>
      <c r="E29" s="213">
        <v>799</v>
      </c>
      <c r="F29" s="39">
        <f>[4]Jan!$N90</f>
        <v>780</v>
      </c>
      <c r="G29" s="107">
        <v>5884</v>
      </c>
      <c r="H29" s="108">
        <f t="shared" si="6"/>
        <v>63.898642533936645</v>
      </c>
      <c r="I29" s="109"/>
      <c r="J29" s="175">
        <f>97+100.9+99.4+100.8</f>
        <v>398.1</v>
      </c>
      <c r="K29" s="108">
        <f t="shared" si="8"/>
        <v>388.34399999999999</v>
      </c>
      <c r="L29" s="108">
        <f t="shared" si="9"/>
        <v>9.7560000000000286</v>
      </c>
      <c r="M29" s="54">
        <f>[4]Jan!AD29</f>
        <v>199</v>
      </c>
      <c r="N29" s="109">
        <v>10</v>
      </c>
      <c r="O29" s="109"/>
      <c r="P29" s="110">
        <f t="shared" si="10"/>
        <v>2.4506405425772488</v>
      </c>
      <c r="Q29" s="109">
        <f t="shared" si="7"/>
        <v>452.61538461538464</v>
      </c>
      <c r="R29" s="178"/>
      <c r="S29" s="116"/>
      <c r="T29" s="112"/>
    </row>
    <row r="30" spans="2:79">
      <c r="B30" s="141">
        <v>45680</v>
      </c>
      <c r="C30" s="114">
        <v>12</v>
      </c>
      <c r="D30" s="29" t="s">
        <v>64</v>
      </c>
      <c r="E30" s="351">
        <v>834</v>
      </c>
      <c r="F30" s="39">
        <f>[4]Jan!$N91</f>
        <v>634</v>
      </c>
      <c r="G30" s="107">
        <v>4090</v>
      </c>
      <c r="H30" s="108">
        <f t="shared" si="6"/>
        <v>54.644646502133973</v>
      </c>
      <c r="I30" s="109"/>
      <c r="J30" s="175">
        <f>87+94.3+90.4</f>
        <v>271.70000000000005</v>
      </c>
      <c r="K30" s="108">
        <f t="shared" si="8"/>
        <v>269.94</v>
      </c>
      <c r="L30" s="108">
        <f t="shared" si="9"/>
        <v>1.7600000000000477</v>
      </c>
      <c r="M30" s="54">
        <f>[4]Jan!AD30</f>
        <v>213</v>
      </c>
      <c r="N30" s="109"/>
      <c r="O30" s="109"/>
      <c r="P30" s="110">
        <f t="shared" si="10"/>
        <v>0.64777327935224416</v>
      </c>
      <c r="Q30" s="109">
        <f t="shared" si="7"/>
        <v>387.06624605678235</v>
      </c>
      <c r="R30" s="178"/>
      <c r="S30" s="116"/>
      <c r="T30" s="112"/>
    </row>
    <row r="31" spans="2:79" ht="18.600000000000001" thickBot="1">
      <c r="B31" s="141">
        <v>45680</v>
      </c>
      <c r="C31" s="114">
        <v>12</v>
      </c>
      <c r="D31" s="29" t="s">
        <v>44</v>
      </c>
      <c r="E31" s="352"/>
      <c r="F31" s="39">
        <f>[4]Jan!$N92</f>
        <v>109</v>
      </c>
      <c r="G31" s="107">
        <v>419</v>
      </c>
      <c r="H31" s="108">
        <f t="shared" si="6"/>
        <v>32.561252023745283</v>
      </c>
      <c r="I31" s="109"/>
      <c r="J31" s="175">
        <f>97-69</f>
        <v>28</v>
      </c>
      <c r="K31" s="108">
        <f t="shared" si="8"/>
        <v>27.654</v>
      </c>
      <c r="L31" s="108">
        <f t="shared" si="9"/>
        <v>0.34600000000000009</v>
      </c>
      <c r="M31" s="54">
        <f>[4]Jan!AD31</f>
        <v>102</v>
      </c>
      <c r="N31" s="109"/>
      <c r="O31" s="109"/>
      <c r="P31" s="110">
        <f t="shared" si="10"/>
        <v>1.235714285714286</v>
      </c>
      <c r="Q31" s="109">
        <f t="shared" si="7"/>
        <v>230.64220183486239</v>
      </c>
      <c r="R31" s="178"/>
      <c r="S31" s="116"/>
      <c r="T31" s="112"/>
    </row>
    <row r="32" spans="2:79">
      <c r="B32" s="141">
        <v>45681</v>
      </c>
      <c r="C32" s="114">
        <v>13</v>
      </c>
      <c r="D32" s="29" t="s">
        <v>44</v>
      </c>
      <c r="E32" s="351">
        <v>795</v>
      </c>
      <c r="F32" s="39">
        <f>[4]Jan!$N93</f>
        <v>465</v>
      </c>
      <c r="G32" s="107">
        <v>3350</v>
      </c>
      <c r="H32" s="108">
        <f t="shared" si="6"/>
        <v>61.024667931688803</v>
      </c>
      <c r="I32" s="109"/>
      <c r="J32" s="220">
        <f>69+75.1+103.2-15</f>
        <v>232.3</v>
      </c>
      <c r="K32" s="108">
        <f t="shared" si="8"/>
        <v>221.10000000000002</v>
      </c>
      <c r="L32" s="108">
        <f t="shared" si="9"/>
        <v>11.199999999999989</v>
      </c>
      <c r="M32" s="54">
        <f>[4]Jan!AD32</f>
        <v>186</v>
      </c>
      <c r="N32" s="109">
        <v>4</v>
      </c>
      <c r="O32" s="109"/>
      <c r="P32" s="110">
        <f t="shared" si="10"/>
        <v>4.8213517003874253</v>
      </c>
      <c r="Q32" s="109">
        <f t="shared" si="7"/>
        <v>432.25806451612902</v>
      </c>
      <c r="R32" s="178"/>
      <c r="S32" s="116"/>
      <c r="T32" s="112"/>
    </row>
    <row r="33" spans="2:20" ht="18.600000000000001" thickBot="1">
      <c r="B33" s="141">
        <v>45681</v>
      </c>
      <c r="C33" s="114">
        <v>13</v>
      </c>
      <c r="D33" s="29" t="s">
        <v>66</v>
      </c>
      <c r="E33" s="352"/>
      <c r="F33" s="39">
        <f>[4]Jan!$N94</f>
        <v>175</v>
      </c>
      <c r="G33" s="107">
        <v>1602</v>
      </c>
      <c r="H33" s="108">
        <f t="shared" si="6"/>
        <v>77.54218487394958</v>
      </c>
      <c r="I33" s="109"/>
      <c r="J33" s="175">
        <f>107.6</f>
        <v>107.6</v>
      </c>
      <c r="K33" s="108">
        <f t="shared" si="8"/>
        <v>105.732</v>
      </c>
      <c r="L33" s="108">
        <f t="shared" si="9"/>
        <v>1.867999999999995</v>
      </c>
      <c r="M33" s="54">
        <f>[4]Jan!AD33</f>
        <v>68</v>
      </c>
      <c r="N33" s="109">
        <v>7</v>
      </c>
      <c r="O33" s="109"/>
      <c r="P33" s="110">
        <f t="shared" si="10"/>
        <v>1.7360594795538988</v>
      </c>
      <c r="Q33" s="109">
        <f t="shared" si="7"/>
        <v>549.25714285714287</v>
      </c>
      <c r="R33" s="178"/>
      <c r="S33" s="116"/>
      <c r="T33" s="112"/>
    </row>
    <row r="34" spans="2:20">
      <c r="B34" s="141">
        <v>45684</v>
      </c>
      <c r="C34" s="114">
        <v>14</v>
      </c>
      <c r="D34" s="29" t="s">
        <v>47</v>
      </c>
      <c r="E34" s="351">
        <v>887</v>
      </c>
      <c r="F34" s="39">
        <f>[4]Jan!$N95</f>
        <v>319</v>
      </c>
      <c r="G34" s="107">
        <v>2594</v>
      </c>
      <c r="H34" s="108">
        <f t="shared" si="6"/>
        <v>68.879955744053106</v>
      </c>
      <c r="I34" s="109"/>
      <c r="J34" s="175">
        <f>80.3+96.5</f>
        <v>176.8</v>
      </c>
      <c r="K34" s="108">
        <f>G34*0.066+(10*0.19)</f>
        <v>173.10400000000001</v>
      </c>
      <c r="L34" s="108">
        <f t="shared" si="9"/>
        <v>3.695999999999998</v>
      </c>
      <c r="M34" s="54">
        <f>[4]Jan!AD34</f>
        <v>398</v>
      </c>
      <c r="N34" s="109">
        <v>5</v>
      </c>
      <c r="O34" s="109">
        <v>10</v>
      </c>
      <c r="P34" s="110">
        <f t="shared" si="10"/>
        <v>2.0904977375565599</v>
      </c>
      <c r="Q34" s="109">
        <f t="shared" si="7"/>
        <v>487.89968652037618</v>
      </c>
      <c r="R34" s="178"/>
      <c r="S34" s="116"/>
      <c r="T34" s="112"/>
    </row>
    <row r="35" spans="2:20" ht="18.600000000000001" thickBot="1">
      <c r="B35" s="141">
        <v>45684</v>
      </c>
      <c r="C35" s="114">
        <v>14</v>
      </c>
      <c r="D35" s="29" t="s">
        <v>44</v>
      </c>
      <c r="E35" s="352"/>
      <c r="F35" s="39">
        <f>[4]Jan!$N96</f>
        <v>161</v>
      </c>
      <c r="G35" s="107">
        <v>963</v>
      </c>
      <c r="H35" s="108">
        <f t="shared" si="6"/>
        <v>50.665692363902082</v>
      </c>
      <c r="I35" s="109"/>
      <c r="J35" s="175">
        <f>92+93.3-40-72</f>
        <v>73.300000000000011</v>
      </c>
      <c r="K35" s="108">
        <f>G35*0.066+(40*0.19)</f>
        <v>71.158000000000001</v>
      </c>
      <c r="L35" s="108">
        <f t="shared" si="9"/>
        <v>2.1420000000000101</v>
      </c>
      <c r="M35" s="54">
        <f>[4]Jan!AD35</f>
        <v>41</v>
      </c>
      <c r="N35" s="109">
        <f>3+2</f>
        <v>5</v>
      </c>
      <c r="O35" s="109">
        <v>40</v>
      </c>
      <c r="P35" s="110">
        <f t="shared" si="10"/>
        <v>2.9222373806275712</v>
      </c>
      <c r="Q35" s="109">
        <f t="shared" si="7"/>
        <v>358.88198757763979</v>
      </c>
      <c r="R35" s="178"/>
      <c r="S35" s="116"/>
      <c r="T35" s="112"/>
    </row>
    <row r="36" spans="2:20">
      <c r="B36" s="141">
        <v>45685</v>
      </c>
      <c r="C36" s="114">
        <v>15</v>
      </c>
      <c r="D36" s="115" t="s">
        <v>49</v>
      </c>
      <c r="E36" s="351">
        <v>803</v>
      </c>
      <c r="F36" s="39">
        <f>[4]Jan!$N97</f>
        <v>184</v>
      </c>
      <c r="G36" s="107">
        <v>1548</v>
      </c>
      <c r="H36" s="108">
        <f t="shared" si="6"/>
        <v>71.263427109974415</v>
      </c>
      <c r="I36" s="109"/>
      <c r="J36" s="220">
        <f>40+72-7</f>
        <v>105</v>
      </c>
      <c r="K36" s="108">
        <f t="shared" si="8"/>
        <v>102.16800000000001</v>
      </c>
      <c r="L36" s="108">
        <f t="shared" si="9"/>
        <v>2.8319999999999936</v>
      </c>
      <c r="M36" s="54">
        <f>[4]Jan!AD36</f>
        <v>66</v>
      </c>
      <c r="N36" s="109"/>
      <c r="O36" s="109"/>
      <c r="P36" s="110">
        <f t="shared" si="10"/>
        <v>2.6971428571428513</v>
      </c>
      <c r="Q36" s="109">
        <f t="shared" si="7"/>
        <v>504.78260869565213</v>
      </c>
      <c r="R36" s="178"/>
      <c r="S36" s="116"/>
      <c r="T36" s="112"/>
    </row>
    <row r="37" spans="2:20" ht="20.100000000000001" customHeight="1" thickBot="1">
      <c r="B37" s="141">
        <v>45319</v>
      </c>
      <c r="C37" s="114">
        <v>15</v>
      </c>
      <c r="D37" s="115" t="s">
        <v>67</v>
      </c>
      <c r="E37" s="352"/>
      <c r="F37" s="39">
        <f>[4]Jan!$N98</f>
        <v>528</v>
      </c>
      <c r="G37" s="107">
        <v>1895</v>
      </c>
      <c r="H37" s="108">
        <f t="shared" si="6"/>
        <v>30.401069518716579</v>
      </c>
      <c r="I37" s="109"/>
      <c r="J37" s="175">
        <f>98+77.3-43.5</f>
        <v>131.80000000000001</v>
      </c>
      <c r="K37" s="108">
        <f t="shared" si="8"/>
        <v>125.07000000000001</v>
      </c>
      <c r="L37" s="108">
        <f t="shared" si="9"/>
        <v>6.730000000000004</v>
      </c>
      <c r="M37" s="54">
        <f>[4]Jan!AD37</f>
        <v>339</v>
      </c>
      <c r="N37" s="109"/>
      <c r="O37" s="109"/>
      <c r="P37" s="110">
        <f t="shared" si="10"/>
        <v>5.1062215477996986</v>
      </c>
      <c r="Q37" s="109">
        <f t="shared" si="7"/>
        <v>215.34090909090907</v>
      </c>
      <c r="R37" s="178"/>
    </row>
    <row r="38" spans="2:20">
      <c r="B38" s="141">
        <v>45686</v>
      </c>
      <c r="C38" s="114">
        <v>16</v>
      </c>
      <c r="D38" s="115" t="s">
        <v>67</v>
      </c>
      <c r="E38" s="351">
        <v>810</v>
      </c>
      <c r="F38" s="39">
        <f>[4]Jan!$N99</f>
        <v>156</v>
      </c>
      <c r="G38" s="107">
        <v>626</v>
      </c>
      <c r="H38" s="108">
        <f t="shared" si="6"/>
        <v>33.990950226244344</v>
      </c>
      <c r="I38" s="109"/>
      <c r="J38" s="108">
        <f>43.5</f>
        <v>43.5</v>
      </c>
      <c r="K38" s="108">
        <f>G38*0.066</f>
        <v>41.316000000000003</v>
      </c>
      <c r="L38" s="108">
        <f t="shared" si="9"/>
        <v>2.1839999999999975</v>
      </c>
      <c r="M38" s="54">
        <f>[4]Jan!AD38</f>
        <v>269</v>
      </c>
      <c r="N38" s="109"/>
      <c r="O38" s="109"/>
      <c r="P38" s="110">
        <f t="shared" si="10"/>
        <v>5.0206896551724078</v>
      </c>
      <c r="Q38" s="109">
        <f t="shared" si="7"/>
        <v>240.76923076923077</v>
      </c>
      <c r="R38" s="178"/>
    </row>
    <row r="39" spans="2:20" ht="18.600000000000001" thickBot="1">
      <c r="B39" s="141">
        <v>45686</v>
      </c>
      <c r="C39" s="114">
        <v>16</v>
      </c>
      <c r="D39" s="115" t="s">
        <v>68</v>
      </c>
      <c r="E39" s="352"/>
      <c r="F39" s="39">
        <f>[4]Jan!$N100</f>
        <v>356</v>
      </c>
      <c r="G39" s="107">
        <v>2006</v>
      </c>
      <c r="H39" s="108">
        <f>(G39)*24/(F39/60)/17000*100</f>
        <v>47.730337078651687</v>
      </c>
      <c r="I39" s="109"/>
      <c r="J39" s="108">
        <f>95+90+92-70-66</f>
        <v>141</v>
      </c>
      <c r="K39" s="108">
        <f t="shared" si="8"/>
        <v>132.39600000000002</v>
      </c>
      <c r="L39" s="108">
        <f t="shared" si="9"/>
        <v>8.603999999999985</v>
      </c>
      <c r="M39" s="54">
        <f>[4]Jan!AD39</f>
        <v>253</v>
      </c>
      <c r="N39" s="109"/>
      <c r="O39" s="109"/>
      <c r="P39" s="110">
        <f t="shared" si="10"/>
        <v>6.1021276595744567</v>
      </c>
      <c r="Q39" s="109">
        <f t="shared" si="7"/>
        <v>338.08988764044943</v>
      </c>
      <c r="R39" s="178"/>
    </row>
    <row r="40" spans="2:20">
      <c r="B40" s="141">
        <v>45687</v>
      </c>
      <c r="C40" s="114">
        <v>17</v>
      </c>
      <c r="D40" s="115" t="s">
        <v>68</v>
      </c>
      <c r="E40" s="351">
        <v>869</v>
      </c>
      <c r="F40" s="39">
        <f>[4]Jan!$N101</f>
        <v>274</v>
      </c>
      <c r="G40" s="107">
        <v>1979</v>
      </c>
      <c r="H40" s="108">
        <f t="shared" si="6"/>
        <v>61.179905538857881</v>
      </c>
      <c r="I40" s="109"/>
      <c r="J40" s="108">
        <f>70+66</f>
        <v>136</v>
      </c>
      <c r="K40" s="108">
        <f t="shared" si="8"/>
        <v>130.614</v>
      </c>
      <c r="L40" s="108">
        <f t="shared" si="9"/>
        <v>5.3859999999999957</v>
      </c>
      <c r="M40" s="54">
        <f>[4]Jan!AD40</f>
        <v>63</v>
      </c>
      <c r="N40" s="109">
        <v>12</v>
      </c>
      <c r="O40" s="109"/>
      <c r="P40" s="110">
        <f t="shared" si="10"/>
        <v>3.9602941176470554</v>
      </c>
      <c r="Q40" s="109">
        <f t="shared" si="7"/>
        <v>433.35766423357666</v>
      </c>
      <c r="R40" s="178"/>
    </row>
    <row r="41" spans="2:20" ht="18.600000000000001" thickBot="1">
      <c r="B41" s="141">
        <v>45687</v>
      </c>
      <c r="C41" s="114">
        <v>17</v>
      </c>
      <c r="D41" s="115" t="s">
        <v>49</v>
      </c>
      <c r="E41" s="352"/>
      <c r="F41" s="39">
        <f>[4]Jan!$N102</f>
        <v>457</v>
      </c>
      <c r="G41" s="107">
        <v>3609</v>
      </c>
      <c r="H41" s="108">
        <f t="shared" si="6"/>
        <v>66.893551293602798</v>
      </c>
      <c r="I41" s="109"/>
      <c r="J41" s="108">
        <f>90.2+90+100.3-35.8</f>
        <v>244.7</v>
      </c>
      <c r="K41" s="108">
        <f t="shared" si="8"/>
        <v>238.19400000000002</v>
      </c>
      <c r="L41" s="108">
        <f t="shared" si="9"/>
        <v>6.5059999999999718</v>
      </c>
      <c r="M41" s="54">
        <f>[4]Jan!AD41</f>
        <v>171</v>
      </c>
      <c r="N41" s="109">
        <v>10</v>
      </c>
      <c r="O41" s="109"/>
      <c r="P41" s="110">
        <f t="shared" si="10"/>
        <v>2.6587658357171935</v>
      </c>
      <c r="Q41" s="109">
        <f t="shared" si="7"/>
        <v>473.8293216630197</v>
      </c>
      <c r="R41" s="178"/>
    </row>
    <row r="42" spans="2:20">
      <c r="B42" s="141">
        <v>45688</v>
      </c>
      <c r="C42" s="114">
        <v>18</v>
      </c>
      <c r="D42" s="115" t="s">
        <v>49</v>
      </c>
      <c r="E42" s="351">
        <v>730</v>
      </c>
      <c r="F42" s="39">
        <f>[4]Jan!$N103</f>
        <v>399</v>
      </c>
      <c r="G42" s="107">
        <v>3269</v>
      </c>
      <c r="H42" s="108">
        <f t="shared" si="6"/>
        <v>69.399380804953552</v>
      </c>
      <c r="I42" s="109"/>
      <c r="J42" s="108">
        <f>35.8+88.5+95.3</f>
        <v>219.6</v>
      </c>
      <c r="K42" s="108">
        <f t="shared" si="8"/>
        <v>215.75400000000002</v>
      </c>
      <c r="L42" s="108">
        <f t="shared" si="9"/>
        <v>3.8459999999999752</v>
      </c>
      <c r="M42" s="54">
        <f>[4]Jan!AD42</f>
        <v>56</v>
      </c>
      <c r="N42" s="109">
        <f>1+3</f>
        <v>4</v>
      </c>
      <c r="O42" s="109"/>
      <c r="P42" s="110">
        <f t="shared" si="10"/>
        <v>1.7513661202185682</v>
      </c>
      <c r="Q42" s="109">
        <f t="shared" si="7"/>
        <v>491.57894736842104</v>
      </c>
      <c r="R42" s="178"/>
    </row>
    <row r="43" spans="2:20" ht="18.600000000000001" thickBot="1">
      <c r="B43" s="141">
        <v>45688</v>
      </c>
      <c r="C43" s="114">
        <v>18</v>
      </c>
      <c r="D43" s="115" t="s">
        <v>59</v>
      </c>
      <c r="E43" s="352"/>
      <c r="F43" s="39">
        <f>[4]Jan!$N104</f>
        <v>155</v>
      </c>
      <c r="G43" s="107">
        <v>1235</v>
      </c>
      <c r="H43" s="108">
        <f t="shared" si="6"/>
        <v>67.491461100569254</v>
      </c>
      <c r="I43" s="109"/>
      <c r="J43" s="108">
        <f>91.7-4</f>
        <v>87.7</v>
      </c>
      <c r="K43" s="108">
        <f>G43*0.0708</f>
        <v>87.438000000000002</v>
      </c>
      <c r="L43" s="108">
        <f t="shared" si="9"/>
        <v>0.26200000000000045</v>
      </c>
      <c r="M43" s="54">
        <f>[4]Jan!AD43</f>
        <v>181</v>
      </c>
      <c r="N43" s="109">
        <f>1+7.5</f>
        <v>8.5</v>
      </c>
      <c r="O43" s="109"/>
      <c r="P43" s="110">
        <f t="shared" si="10"/>
        <v>0.29874572405929356</v>
      </c>
      <c r="Q43" s="109">
        <f t="shared" si="7"/>
        <v>478.06451612903226</v>
      </c>
      <c r="R43" s="111"/>
    </row>
    <row r="44" spans="2:20" ht="18.600000000000001" thickBot="1">
      <c r="B44" s="141"/>
      <c r="C44" s="114"/>
      <c r="D44" s="115"/>
      <c r="E44" s="212"/>
      <c r="F44" s="39"/>
      <c r="G44" s="107"/>
      <c r="H44" s="108" t="e">
        <f t="shared" ref="H44:H50" si="11">(G44)*24/(F44/60)/17000*100</f>
        <v>#DIV/0!</v>
      </c>
      <c r="I44" s="109"/>
      <c r="J44" s="108"/>
      <c r="K44" s="108">
        <f t="shared" ref="K44:K48" si="12">G44*0.066</f>
        <v>0</v>
      </c>
      <c r="L44" s="108">
        <f t="shared" ref="L44:L48" si="13">J44-K44</f>
        <v>0</v>
      </c>
      <c r="M44" s="54"/>
      <c r="N44" s="109"/>
      <c r="O44" s="109"/>
      <c r="P44" s="110" t="e">
        <f t="shared" si="10"/>
        <v>#DIV/0!</v>
      </c>
      <c r="Q44" s="109" t="e">
        <f t="shared" ref="Q44:Q52" si="14">(G44)/(F44/60)</f>
        <v>#DIV/0!</v>
      </c>
      <c r="R44" s="111"/>
    </row>
    <row r="45" spans="2:20" ht="18.600000000000001" thickBot="1">
      <c r="B45" s="141"/>
      <c r="C45" s="114"/>
      <c r="D45" s="115"/>
      <c r="E45" s="212"/>
      <c r="F45" s="39"/>
      <c r="G45" s="107"/>
      <c r="H45" s="108" t="e">
        <f t="shared" si="11"/>
        <v>#DIV/0!</v>
      </c>
      <c r="I45" s="109"/>
      <c r="J45" s="218"/>
      <c r="K45" s="108">
        <f t="shared" si="12"/>
        <v>0</v>
      </c>
      <c r="L45" s="108">
        <f t="shared" si="13"/>
        <v>0</v>
      </c>
      <c r="M45" s="54"/>
      <c r="N45" s="109"/>
      <c r="O45" s="219"/>
      <c r="P45" s="110" t="e">
        <f t="shared" si="10"/>
        <v>#DIV/0!</v>
      </c>
      <c r="Q45" s="109" t="e">
        <f t="shared" si="14"/>
        <v>#DIV/0!</v>
      </c>
      <c r="R45" s="111"/>
    </row>
    <row r="46" spans="2:20" ht="18.600000000000001" thickBot="1">
      <c r="B46" s="141"/>
      <c r="C46" s="114"/>
      <c r="D46" s="115"/>
      <c r="E46" s="212"/>
      <c r="F46" s="39"/>
      <c r="G46" s="107"/>
      <c r="H46" s="108" t="e">
        <f t="shared" si="11"/>
        <v>#DIV/0!</v>
      </c>
      <c r="I46" s="109"/>
      <c r="J46" s="218"/>
      <c r="K46" s="108">
        <f t="shared" si="12"/>
        <v>0</v>
      </c>
      <c r="L46" s="108">
        <f t="shared" si="13"/>
        <v>0</v>
      </c>
      <c r="M46" s="54"/>
      <c r="N46" s="109"/>
      <c r="O46" s="219"/>
      <c r="P46" s="110" t="e">
        <f t="shared" si="10"/>
        <v>#DIV/0!</v>
      </c>
      <c r="Q46" s="109" t="e">
        <f t="shared" si="14"/>
        <v>#DIV/0!</v>
      </c>
      <c r="R46" s="111"/>
    </row>
    <row r="47" spans="2:20" ht="18.600000000000001" hidden="1" thickBot="1">
      <c r="B47" s="141"/>
      <c r="C47" s="114"/>
      <c r="D47" s="115"/>
      <c r="E47" s="212"/>
      <c r="F47" s="39"/>
      <c r="G47" s="107"/>
      <c r="H47" s="108" t="e">
        <f t="shared" si="11"/>
        <v>#DIV/0!</v>
      </c>
      <c r="I47" s="109"/>
      <c r="J47" s="108"/>
      <c r="K47" s="108">
        <f t="shared" si="12"/>
        <v>0</v>
      </c>
      <c r="L47" s="108">
        <f t="shared" si="13"/>
        <v>0</v>
      </c>
      <c r="M47" s="54"/>
      <c r="N47" s="109"/>
      <c r="O47" s="219"/>
      <c r="P47" s="110" t="e">
        <f t="shared" ref="P47:P52" si="15">(J47-K47)/J47*100</f>
        <v>#DIV/0!</v>
      </c>
      <c r="Q47" s="109" t="e">
        <f t="shared" si="14"/>
        <v>#DIV/0!</v>
      </c>
      <c r="R47" s="111"/>
    </row>
    <row r="48" spans="2:20" ht="18.600000000000001" hidden="1" thickBot="1">
      <c r="B48" s="141"/>
      <c r="C48" s="114"/>
      <c r="D48" s="115"/>
      <c r="E48" s="212"/>
      <c r="F48" s="39"/>
      <c r="G48" s="107"/>
      <c r="H48" s="108" t="e">
        <f t="shared" si="11"/>
        <v>#DIV/0!</v>
      </c>
      <c r="I48" s="109"/>
      <c r="J48" s="108"/>
      <c r="K48" s="108">
        <f t="shared" si="12"/>
        <v>0</v>
      </c>
      <c r="L48" s="108">
        <f t="shared" si="13"/>
        <v>0</v>
      </c>
      <c r="M48" s="54"/>
      <c r="N48" s="109"/>
      <c r="O48" s="219"/>
      <c r="P48" s="110" t="e">
        <f t="shared" si="15"/>
        <v>#DIV/0!</v>
      </c>
      <c r="Q48" s="109" t="e">
        <f t="shared" si="14"/>
        <v>#DIV/0!</v>
      </c>
      <c r="R48" s="111"/>
    </row>
    <row r="49" spans="2:18" ht="18.600000000000001" hidden="1" thickBot="1">
      <c r="B49" s="141"/>
      <c r="C49" s="114"/>
      <c r="D49" s="115"/>
      <c r="E49" s="212"/>
      <c r="F49" s="39"/>
      <c r="G49" s="107"/>
      <c r="H49" s="108" t="e">
        <f t="shared" si="11"/>
        <v>#DIV/0!</v>
      </c>
      <c r="I49" s="109"/>
      <c r="J49" s="108"/>
      <c r="K49" s="108">
        <f>G49*0.066</f>
        <v>0</v>
      </c>
      <c r="L49" s="108">
        <f t="shared" ref="L49:L50" si="16">J49-K49</f>
        <v>0</v>
      </c>
      <c r="M49" s="54"/>
      <c r="N49" s="109"/>
      <c r="O49" s="219"/>
      <c r="P49" s="110" t="e">
        <f t="shared" si="15"/>
        <v>#DIV/0!</v>
      </c>
      <c r="Q49" s="109" t="e">
        <f t="shared" si="14"/>
        <v>#DIV/0!</v>
      </c>
      <c r="R49" s="111"/>
    </row>
    <row r="50" spans="2:18" ht="18.600000000000001" hidden="1" thickBot="1">
      <c r="B50" s="141"/>
      <c r="C50" s="114"/>
      <c r="D50" s="115"/>
      <c r="E50" s="212"/>
      <c r="F50" s="39"/>
      <c r="G50" s="107"/>
      <c r="H50" s="108" t="e">
        <f t="shared" si="11"/>
        <v>#DIV/0!</v>
      </c>
      <c r="I50" s="109"/>
      <c r="J50" s="108"/>
      <c r="K50" s="108">
        <f>G50*0.066</f>
        <v>0</v>
      </c>
      <c r="L50" s="108">
        <f t="shared" si="16"/>
        <v>0</v>
      </c>
      <c r="M50" s="54"/>
      <c r="N50" s="109"/>
      <c r="O50" s="219"/>
      <c r="P50" s="110" t="e">
        <f t="shared" si="15"/>
        <v>#DIV/0!</v>
      </c>
      <c r="Q50" s="109" t="e">
        <f t="shared" si="14"/>
        <v>#DIV/0!</v>
      </c>
      <c r="R50" s="111"/>
    </row>
    <row r="51" spans="2:18" ht="18.600000000000001" hidden="1" thickBot="1">
      <c r="B51" s="141"/>
      <c r="C51" s="114"/>
      <c r="D51" s="115"/>
      <c r="E51" s="213"/>
      <c r="F51" s="39"/>
      <c r="G51" s="107"/>
      <c r="H51" s="108" t="e">
        <f>(G51)*24/(F51/60)/17000*100</f>
        <v>#DIV/0!</v>
      </c>
      <c r="I51" s="109"/>
      <c r="J51" s="108"/>
      <c r="K51" s="108">
        <f t="shared" ref="K51:K54" si="17">G51*0.066</f>
        <v>0</v>
      </c>
      <c r="L51" s="108">
        <f t="shared" ref="L51:L54" si="18">J51-K51</f>
        <v>0</v>
      </c>
      <c r="M51" s="54"/>
      <c r="N51" s="109"/>
      <c r="O51" s="219"/>
      <c r="P51" s="110" t="e">
        <f t="shared" si="15"/>
        <v>#DIV/0!</v>
      </c>
      <c r="Q51" s="109" t="e">
        <f t="shared" si="14"/>
        <v>#DIV/0!</v>
      </c>
      <c r="R51" s="111"/>
    </row>
    <row r="52" spans="2:18" ht="18.600000000000001" hidden="1" thickBot="1">
      <c r="B52" s="113"/>
      <c r="C52" s="105"/>
      <c r="D52" s="115"/>
      <c r="E52" s="212"/>
      <c r="F52" s="39"/>
      <c r="G52" s="107"/>
      <c r="H52" s="108" t="e">
        <f>(G52)*24/(F52/60)/17000*100</f>
        <v>#DIV/0!</v>
      </c>
      <c r="I52" s="109"/>
      <c r="J52" s="108"/>
      <c r="K52" s="108">
        <f t="shared" si="17"/>
        <v>0</v>
      </c>
      <c r="L52" s="108">
        <f t="shared" si="18"/>
        <v>0</v>
      </c>
      <c r="M52" s="54"/>
      <c r="N52" s="109"/>
      <c r="O52" s="219"/>
      <c r="P52" s="110" t="e">
        <f t="shared" si="15"/>
        <v>#DIV/0!</v>
      </c>
      <c r="Q52" s="109" t="e">
        <f t="shared" si="14"/>
        <v>#DIV/0!</v>
      </c>
      <c r="R52" s="111"/>
    </row>
    <row r="53" spans="2:18" ht="18.600000000000001" hidden="1" thickBot="1">
      <c r="B53" s="113"/>
      <c r="C53" s="105"/>
      <c r="D53" s="115"/>
      <c r="E53" s="212"/>
      <c r="F53" s="39"/>
      <c r="G53" s="107"/>
      <c r="H53" s="108" t="e">
        <f t="shared" ref="H53:H61" si="19">(G53)*24/(F53/60)/17000*100</f>
        <v>#DIV/0!</v>
      </c>
      <c r="I53" s="109"/>
      <c r="J53" s="108"/>
      <c r="K53" s="108">
        <f t="shared" si="17"/>
        <v>0</v>
      </c>
      <c r="L53" s="108">
        <f t="shared" si="18"/>
        <v>0</v>
      </c>
      <c r="M53" s="54"/>
      <c r="N53" s="109"/>
      <c r="O53" s="109"/>
      <c r="P53" s="110" t="e">
        <f t="shared" ref="P53:P61" si="20">(J53-K53)/J53*100</f>
        <v>#DIV/0!</v>
      </c>
      <c r="Q53" s="109" t="e">
        <f t="shared" ref="Q53:Q61" si="21">(G53)/(F53/60)</f>
        <v>#DIV/0!</v>
      </c>
      <c r="R53" s="111"/>
    </row>
    <row r="54" spans="2:18" ht="18.600000000000001" hidden="1" thickBot="1">
      <c r="B54" s="113"/>
      <c r="C54" s="105"/>
      <c r="D54" s="115"/>
      <c r="E54" s="212"/>
      <c r="F54" s="39"/>
      <c r="G54" s="107"/>
      <c r="H54" s="108" t="e">
        <f t="shared" si="19"/>
        <v>#DIV/0!</v>
      </c>
      <c r="I54" s="109"/>
      <c r="J54" s="108"/>
      <c r="K54" s="108">
        <f t="shared" si="17"/>
        <v>0</v>
      </c>
      <c r="L54" s="108">
        <f t="shared" si="18"/>
        <v>0</v>
      </c>
      <c r="M54" s="54"/>
      <c r="N54" s="109"/>
      <c r="O54" s="109"/>
      <c r="P54" s="110" t="e">
        <f t="shared" si="20"/>
        <v>#DIV/0!</v>
      </c>
      <c r="Q54" s="109" t="e">
        <f t="shared" si="21"/>
        <v>#DIV/0!</v>
      </c>
      <c r="R54" s="111"/>
    </row>
    <row r="55" spans="2:18" ht="18.600000000000001" hidden="1" thickBot="1">
      <c r="B55" s="113"/>
      <c r="C55" s="105"/>
      <c r="D55" s="115"/>
      <c r="E55" s="212"/>
      <c r="F55" s="39"/>
      <c r="G55" s="107"/>
      <c r="H55" s="108" t="e">
        <f t="shared" si="19"/>
        <v>#DIV/0!</v>
      </c>
      <c r="I55" s="109"/>
      <c r="J55" s="108"/>
      <c r="K55" s="108">
        <f t="shared" ref="K55:K64" si="22">G55*0.066</f>
        <v>0</v>
      </c>
      <c r="L55" s="108">
        <f t="shared" ref="L55:L64" si="23">J55-K55</f>
        <v>0</v>
      </c>
      <c r="M55" s="54"/>
      <c r="N55" s="109"/>
      <c r="O55" s="109"/>
      <c r="P55" s="110" t="e">
        <f t="shared" si="20"/>
        <v>#DIV/0!</v>
      </c>
      <c r="Q55" s="109" t="e">
        <f t="shared" si="21"/>
        <v>#DIV/0!</v>
      </c>
      <c r="R55" s="111"/>
    </row>
    <row r="56" spans="2:18" ht="18.600000000000001" hidden="1" thickBot="1">
      <c r="B56" s="113"/>
      <c r="C56" s="105"/>
      <c r="D56" s="115"/>
      <c r="E56" s="212"/>
      <c r="F56" s="39"/>
      <c r="G56" s="107"/>
      <c r="H56" s="108" t="e">
        <f t="shared" si="19"/>
        <v>#DIV/0!</v>
      </c>
      <c r="I56" s="109"/>
      <c r="J56" s="108"/>
      <c r="K56" s="108">
        <f t="shared" si="22"/>
        <v>0</v>
      </c>
      <c r="L56" s="108">
        <f t="shared" si="23"/>
        <v>0</v>
      </c>
      <c r="M56" s="54"/>
      <c r="N56" s="109"/>
      <c r="O56" s="109"/>
      <c r="P56" s="110" t="e">
        <f t="shared" si="20"/>
        <v>#DIV/0!</v>
      </c>
      <c r="Q56" s="109" t="e">
        <f t="shared" si="21"/>
        <v>#DIV/0!</v>
      </c>
      <c r="R56" s="111"/>
    </row>
    <row r="57" spans="2:18" ht="18.600000000000001" hidden="1" thickBot="1">
      <c r="B57" s="113"/>
      <c r="C57" s="105"/>
      <c r="D57" s="115"/>
      <c r="E57" s="212"/>
      <c r="F57" s="39"/>
      <c r="G57" s="107"/>
      <c r="H57" s="108" t="e">
        <f t="shared" si="19"/>
        <v>#DIV/0!</v>
      </c>
      <c r="I57" s="109"/>
      <c r="J57" s="108"/>
      <c r="K57" s="108">
        <f t="shared" si="22"/>
        <v>0</v>
      </c>
      <c r="L57" s="108">
        <f t="shared" si="23"/>
        <v>0</v>
      </c>
      <c r="M57" s="54"/>
      <c r="N57" s="109"/>
      <c r="O57" s="109"/>
      <c r="P57" s="110" t="e">
        <f t="shared" si="20"/>
        <v>#DIV/0!</v>
      </c>
      <c r="Q57" s="109" t="e">
        <f t="shared" si="21"/>
        <v>#DIV/0!</v>
      </c>
      <c r="R57" s="111"/>
    </row>
    <row r="58" spans="2:18" ht="18.600000000000001" hidden="1" thickBot="1">
      <c r="B58" s="113"/>
      <c r="C58" s="105"/>
      <c r="D58" s="115"/>
      <c r="E58" s="212"/>
      <c r="F58" s="39"/>
      <c r="G58" s="107"/>
      <c r="H58" s="108" t="e">
        <f t="shared" si="19"/>
        <v>#DIV/0!</v>
      </c>
      <c r="I58" s="109"/>
      <c r="J58" s="108"/>
      <c r="K58" s="108">
        <f t="shared" si="22"/>
        <v>0</v>
      </c>
      <c r="L58" s="108">
        <f t="shared" si="23"/>
        <v>0</v>
      </c>
      <c r="M58" s="54"/>
      <c r="N58" s="109"/>
      <c r="O58" s="109"/>
      <c r="P58" s="110" t="e">
        <f t="shared" si="20"/>
        <v>#DIV/0!</v>
      </c>
      <c r="Q58" s="109" t="e">
        <f t="shared" si="21"/>
        <v>#DIV/0!</v>
      </c>
      <c r="R58" s="111"/>
    </row>
    <row r="59" spans="2:18" ht="18.600000000000001" hidden="1" thickBot="1">
      <c r="B59" s="113"/>
      <c r="C59" s="105"/>
      <c r="D59" s="115"/>
      <c r="E59" s="212"/>
      <c r="F59" s="39"/>
      <c r="G59" s="107"/>
      <c r="H59" s="108" t="e">
        <f t="shared" si="19"/>
        <v>#DIV/0!</v>
      </c>
      <c r="I59" s="109"/>
      <c r="J59" s="108"/>
      <c r="K59" s="108">
        <f t="shared" si="22"/>
        <v>0</v>
      </c>
      <c r="L59" s="108">
        <f t="shared" si="23"/>
        <v>0</v>
      </c>
      <c r="M59" s="54"/>
      <c r="N59" s="109"/>
      <c r="O59" s="109"/>
      <c r="P59" s="110" t="e">
        <f t="shared" si="20"/>
        <v>#DIV/0!</v>
      </c>
      <c r="Q59" s="109" t="e">
        <f t="shared" si="21"/>
        <v>#DIV/0!</v>
      </c>
      <c r="R59" s="111"/>
    </row>
    <row r="60" spans="2:18" ht="18.600000000000001" hidden="1" thickBot="1">
      <c r="B60" s="113"/>
      <c r="C60" s="105"/>
      <c r="D60" s="115"/>
      <c r="E60" s="212"/>
      <c r="F60" s="39"/>
      <c r="G60" s="107"/>
      <c r="H60" s="108" t="e">
        <f t="shared" si="19"/>
        <v>#DIV/0!</v>
      </c>
      <c r="I60" s="109"/>
      <c r="J60" s="108"/>
      <c r="K60" s="108">
        <f t="shared" si="22"/>
        <v>0</v>
      </c>
      <c r="L60" s="108">
        <f t="shared" si="23"/>
        <v>0</v>
      </c>
      <c r="M60" s="54"/>
      <c r="N60" s="109"/>
      <c r="O60" s="109"/>
      <c r="P60" s="110" t="e">
        <f t="shared" si="20"/>
        <v>#DIV/0!</v>
      </c>
      <c r="Q60" s="109" t="e">
        <f t="shared" si="21"/>
        <v>#DIV/0!</v>
      </c>
      <c r="R60" s="111"/>
    </row>
    <row r="61" spans="2:18" ht="18.600000000000001" hidden="1" thickBot="1">
      <c r="B61" s="113"/>
      <c r="C61" s="105"/>
      <c r="D61" s="115"/>
      <c r="E61" s="213"/>
      <c r="F61" s="39"/>
      <c r="G61" s="107"/>
      <c r="H61" s="108" t="e">
        <f t="shared" si="19"/>
        <v>#DIV/0!</v>
      </c>
      <c r="I61" s="109"/>
      <c r="J61" s="108"/>
      <c r="K61" s="108">
        <f t="shared" si="22"/>
        <v>0</v>
      </c>
      <c r="L61" s="108">
        <f t="shared" si="23"/>
        <v>0</v>
      </c>
      <c r="M61" s="109"/>
      <c r="N61" s="109"/>
      <c r="O61" s="109"/>
      <c r="P61" s="110" t="e">
        <f t="shared" si="20"/>
        <v>#DIV/0!</v>
      </c>
      <c r="Q61" s="109" t="e">
        <f t="shared" si="21"/>
        <v>#DIV/0!</v>
      </c>
      <c r="R61" s="111"/>
    </row>
    <row r="62" spans="2:18" ht="18.600000000000001" hidden="1" thickBot="1">
      <c r="B62" s="113"/>
      <c r="C62" s="105"/>
      <c r="D62" s="115"/>
      <c r="E62" s="213"/>
      <c r="F62" s="39"/>
      <c r="G62" s="107"/>
      <c r="H62" s="108" t="e">
        <f>(G62)*24/(F62/60)/17000*100</f>
        <v>#DIV/0!</v>
      </c>
      <c r="I62" s="109"/>
      <c r="J62" s="108"/>
      <c r="K62" s="108">
        <f t="shared" si="22"/>
        <v>0</v>
      </c>
      <c r="L62" s="108">
        <f t="shared" si="23"/>
        <v>0</v>
      </c>
      <c r="M62" s="109"/>
      <c r="N62" s="109"/>
      <c r="O62" s="109"/>
      <c r="P62" s="110" t="e">
        <f>(J62-K62)/J62*100</f>
        <v>#DIV/0!</v>
      </c>
      <c r="Q62" s="109" t="e">
        <f>(G62)/(F62/60)</f>
        <v>#DIV/0!</v>
      </c>
      <c r="R62" s="111"/>
    </row>
    <row r="63" spans="2:18" ht="18.600000000000001" hidden="1" thickBot="1">
      <c r="B63" s="113"/>
      <c r="C63" s="105"/>
      <c r="D63" s="115"/>
      <c r="E63" s="213"/>
      <c r="F63" s="39"/>
      <c r="G63" s="107"/>
      <c r="H63" s="108" t="e">
        <f>(G63)*24/(F63/60)/17000*100</f>
        <v>#DIV/0!</v>
      </c>
      <c r="I63" s="109"/>
      <c r="J63" s="108"/>
      <c r="K63" s="108">
        <f t="shared" si="22"/>
        <v>0</v>
      </c>
      <c r="L63" s="108">
        <f t="shared" si="23"/>
        <v>0</v>
      </c>
      <c r="M63" s="109"/>
      <c r="N63" s="109"/>
      <c r="O63" s="109"/>
      <c r="P63" s="110" t="e">
        <f>(J63-K63)/J63*100</f>
        <v>#DIV/0!</v>
      </c>
      <c r="Q63" s="109" t="e">
        <f>(G63)/(F63/60)</f>
        <v>#DIV/0!</v>
      </c>
      <c r="R63" s="111"/>
    </row>
    <row r="64" spans="2:18" ht="18.600000000000001" hidden="1" thickBot="1">
      <c r="B64" s="216"/>
      <c r="C64" s="105"/>
      <c r="D64" s="115"/>
      <c r="E64" s="214"/>
      <c r="F64" s="39"/>
      <c r="G64" s="107"/>
      <c r="H64" s="108" t="e">
        <f>(G64)*24/(F64/60)/17000*100</f>
        <v>#DIV/0!</v>
      </c>
      <c r="I64" s="109"/>
      <c r="J64" s="108"/>
      <c r="K64" s="108">
        <f t="shared" si="22"/>
        <v>0</v>
      </c>
      <c r="L64" s="108">
        <f t="shared" si="23"/>
        <v>0</v>
      </c>
      <c r="M64" s="109"/>
      <c r="N64" s="109"/>
      <c r="O64" s="109"/>
      <c r="P64" s="108" t="e">
        <f>(J64-K64)/J64*100</f>
        <v>#DIV/0!</v>
      </c>
      <c r="Q64" s="109" t="e">
        <f>(G64)/(F64/60)</f>
        <v>#DIV/0!</v>
      </c>
      <c r="R64" s="111"/>
    </row>
    <row r="65" spans="2:18" ht="19.2" thickTop="1" thickBot="1">
      <c r="B65" s="118"/>
      <c r="C65" s="118"/>
      <c r="D65" s="119"/>
      <c r="E65" s="120">
        <f>SUM(E8:E64)</f>
        <v>16108</v>
      </c>
      <c r="F65" s="121">
        <f>SUM(F8:F64)</f>
        <v>12736</v>
      </c>
      <c r="G65" s="169">
        <f>SUM(G8:G64)</f>
        <v>88570</v>
      </c>
      <c r="H65" s="122">
        <f>(G65)*24/(F65/60)/17000*100</f>
        <v>58.907035175879393</v>
      </c>
      <c r="I65" s="123">
        <f>SUM(I8:I35)</f>
        <v>0</v>
      </c>
      <c r="J65" s="122">
        <f>SUM(J8:J64)</f>
        <v>6022.5000000000018</v>
      </c>
      <c r="K65" s="122">
        <f>SUM(K8:K64)</f>
        <v>5881.3775999999998</v>
      </c>
      <c r="L65" s="124">
        <f>J65-K65</f>
        <v>141.12240000000202</v>
      </c>
      <c r="M65" s="125">
        <f>SUM(M8:M64)</f>
        <v>6005</v>
      </c>
      <c r="N65" s="126">
        <f>SUM(N8:N64)</f>
        <v>228</v>
      </c>
      <c r="O65" s="123">
        <f>SUM(O8:O64)</f>
        <v>90</v>
      </c>
      <c r="P65" s="127">
        <f>(J65-K65)/J65</f>
        <v>2.3432528019925607E-2</v>
      </c>
      <c r="Q65" s="396">
        <f>G65/(E65/60)</f>
        <v>329.91060342686865</v>
      </c>
      <c r="R65" s="401">
        <f>(G65)/((E65)/60)</f>
        <v>329.91060342686865</v>
      </c>
    </row>
    <row r="66" spans="2:18" ht="18.600000000000001" thickTop="1">
      <c r="G66" s="128"/>
      <c r="H66" s="128"/>
      <c r="L66" s="132"/>
      <c r="M66" s="132"/>
      <c r="N66" s="133" t="s">
        <v>23</v>
      </c>
      <c r="O66" s="132"/>
      <c r="Q66" s="135"/>
    </row>
    <row r="67" spans="2:18" ht="18.600000000000001" thickBot="1">
      <c r="G67" s="128"/>
      <c r="H67" s="79"/>
      <c r="I67" s="80"/>
      <c r="J67" s="183"/>
      <c r="L67" s="132"/>
      <c r="M67" s="132"/>
      <c r="N67" s="133" t="s">
        <v>31</v>
      </c>
      <c r="O67" s="132">
        <f>O65*2.75</f>
        <v>247.5</v>
      </c>
      <c r="P67" s="398" t="s">
        <v>146</v>
      </c>
      <c r="Q67" s="397">
        <v>417.2581658291457</v>
      </c>
      <c r="R67" s="399">
        <v>417.2581658291457</v>
      </c>
    </row>
    <row r="68" spans="2:18" ht="21" thickTop="1" thickBot="1">
      <c r="G68" s="128"/>
      <c r="H68" s="128"/>
      <c r="J68" s="45" t="s">
        <v>36</v>
      </c>
      <c r="K68" s="169">
        <f>G65+O67</f>
        <v>88817.5</v>
      </c>
      <c r="L68" s="132"/>
      <c r="M68" s="132"/>
      <c r="N68" s="132"/>
      <c r="O68" s="132"/>
      <c r="Q68" s="135"/>
    </row>
    <row r="69" spans="2:18" ht="18.600000000000001" thickTop="1">
      <c r="G69" s="128"/>
      <c r="H69" s="128"/>
      <c r="L69" s="132"/>
      <c r="M69" s="132"/>
      <c r="N69" s="136" t="s">
        <v>32</v>
      </c>
      <c r="O69" s="137"/>
      <c r="Q69" s="135"/>
    </row>
    <row r="70" spans="2:18">
      <c r="G70" s="128"/>
      <c r="H70" s="128"/>
      <c r="L70" s="132"/>
      <c r="M70" s="132"/>
      <c r="N70" s="136" t="s">
        <v>33</v>
      </c>
      <c r="O70" s="137"/>
      <c r="Q70" s="135"/>
    </row>
    <row r="71" spans="2:18">
      <c r="G71" s="128"/>
      <c r="H71" s="128"/>
      <c r="L71" s="132"/>
      <c r="M71" s="132"/>
      <c r="N71" s="136" t="s">
        <v>34</v>
      </c>
      <c r="O71" s="138"/>
      <c r="Q71" s="135"/>
    </row>
    <row r="72" spans="2:18">
      <c r="G72" s="128"/>
      <c r="H72" s="128"/>
      <c r="L72" s="132"/>
      <c r="M72" s="132"/>
      <c r="N72" s="139" t="s">
        <v>35</v>
      </c>
      <c r="O72" s="140">
        <f>SUM(O69:O71)</f>
        <v>0</v>
      </c>
      <c r="Q72" s="135"/>
    </row>
    <row r="73" spans="2:18">
      <c r="G73" s="128"/>
      <c r="H73" s="128"/>
      <c r="L73" s="132"/>
      <c r="M73" s="132"/>
      <c r="N73" s="132"/>
      <c r="O73" s="132"/>
      <c r="Q73" s="135"/>
    </row>
    <row r="74" spans="2:18">
      <c r="G74" s="128"/>
      <c r="H74" s="128"/>
      <c r="L74" s="132"/>
      <c r="M74" s="132"/>
      <c r="N74" s="132"/>
      <c r="O74" s="132"/>
      <c r="Q74" s="135"/>
    </row>
    <row r="75" spans="2:18">
      <c r="G75" s="128"/>
      <c r="H75" s="128"/>
      <c r="L75" s="132"/>
      <c r="M75" s="132"/>
      <c r="N75" s="132"/>
      <c r="O75" s="132"/>
      <c r="Q75" s="135"/>
    </row>
    <row r="76" spans="2:18">
      <c r="G76" s="128"/>
      <c r="H76" s="128"/>
      <c r="L76" s="132"/>
      <c r="M76" s="132"/>
      <c r="N76" s="132"/>
      <c r="O76" s="132"/>
      <c r="Q76" s="135"/>
    </row>
    <row r="77" spans="2:18" ht="22.8">
      <c r="G77" s="128"/>
      <c r="H77" s="128"/>
      <c r="I77" s="182"/>
      <c r="J77" s="182"/>
      <c r="L77" s="132"/>
      <c r="M77" s="132"/>
      <c r="N77" s="132"/>
      <c r="O77" s="132"/>
      <c r="Q77" s="135"/>
    </row>
    <row r="78" spans="2:18">
      <c r="G78" s="128"/>
      <c r="H78" s="128"/>
      <c r="L78" s="132"/>
      <c r="M78" s="132"/>
      <c r="N78" s="132"/>
      <c r="O78" s="132"/>
      <c r="Q78" s="135"/>
    </row>
    <row r="79" spans="2:18">
      <c r="G79" s="128"/>
      <c r="H79" s="128"/>
      <c r="L79" s="132"/>
      <c r="M79" s="132"/>
      <c r="N79" s="132"/>
      <c r="O79" s="132"/>
      <c r="Q79" s="135"/>
    </row>
    <row r="80" spans="2:18">
      <c r="G80" s="128"/>
      <c r="H80" s="128"/>
      <c r="L80" s="132"/>
      <c r="M80" s="132"/>
      <c r="N80" s="132"/>
      <c r="O80" s="132"/>
      <c r="Q80" s="135"/>
    </row>
    <row r="81" spans="7:17">
      <c r="G81" s="128"/>
      <c r="H81" s="128"/>
      <c r="Q81" s="135"/>
    </row>
    <row r="82" spans="7:17">
      <c r="G82" s="128"/>
      <c r="H82" s="128"/>
      <c r="Q82" s="135"/>
    </row>
    <row r="83" spans="7:17">
      <c r="G83" s="128"/>
      <c r="H83" s="128"/>
      <c r="Q83" s="135"/>
    </row>
    <row r="84" spans="7:17">
      <c r="G84" s="128"/>
      <c r="H84" s="128"/>
      <c r="Q84" s="135"/>
    </row>
    <row r="85" spans="7:17">
      <c r="G85" s="128"/>
      <c r="H85" s="128"/>
      <c r="Q85" s="135"/>
    </row>
    <row r="86" spans="7:17">
      <c r="G86" s="128"/>
      <c r="H86" s="128"/>
      <c r="Q86" s="135"/>
    </row>
    <row r="87" spans="7:17">
      <c r="G87" s="128"/>
      <c r="H87" s="128"/>
      <c r="Q87" s="135"/>
    </row>
    <row r="88" spans="7:17">
      <c r="G88" s="128"/>
      <c r="H88" s="128"/>
      <c r="Q88" s="135"/>
    </row>
    <row r="89" spans="7:17">
      <c r="G89" s="128"/>
      <c r="H89" s="128"/>
      <c r="Q89" s="135"/>
    </row>
    <row r="90" spans="7:17">
      <c r="G90" s="128"/>
      <c r="H90" s="128"/>
      <c r="Q90" s="135"/>
    </row>
    <row r="91" spans="7:17">
      <c r="G91" s="128"/>
      <c r="H91" s="128"/>
      <c r="Q91" s="135"/>
    </row>
    <row r="92" spans="7:17">
      <c r="G92" s="128"/>
      <c r="H92" s="128"/>
      <c r="Q92" s="135"/>
    </row>
    <row r="93" spans="7:17">
      <c r="G93" s="128"/>
      <c r="H93" s="128"/>
      <c r="Q93" s="135"/>
    </row>
    <row r="94" spans="7:17">
      <c r="G94" s="128"/>
      <c r="H94" s="128"/>
      <c r="Q94" s="135"/>
    </row>
    <row r="95" spans="7:17">
      <c r="G95" s="128"/>
      <c r="H95" s="128"/>
      <c r="Q95" s="135"/>
    </row>
    <row r="96" spans="7:17">
      <c r="G96" s="128"/>
      <c r="H96" s="128"/>
      <c r="Q96" s="135"/>
    </row>
    <row r="97" spans="7:17">
      <c r="G97" s="128"/>
      <c r="H97" s="128"/>
      <c r="Q97" s="135"/>
    </row>
    <row r="98" spans="7:17">
      <c r="G98" s="128"/>
      <c r="H98" s="128"/>
      <c r="Q98" s="135"/>
    </row>
    <row r="99" spans="7:17">
      <c r="G99" s="128"/>
      <c r="H99" s="128"/>
      <c r="Q99" s="135"/>
    </row>
    <row r="100" spans="7:17">
      <c r="G100" s="128"/>
      <c r="H100" s="128"/>
      <c r="Q100" s="135"/>
    </row>
    <row r="101" spans="7:17">
      <c r="G101" s="128"/>
      <c r="H101" s="128"/>
      <c r="Q101" s="135"/>
    </row>
    <row r="102" spans="7:17">
      <c r="G102" s="128"/>
      <c r="H102" s="128"/>
      <c r="Q102" s="135"/>
    </row>
    <row r="103" spans="7:17">
      <c r="G103" s="128"/>
      <c r="H103" s="128"/>
      <c r="Q103" s="135"/>
    </row>
    <row r="104" spans="7:17">
      <c r="G104" s="128"/>
      <c r="H104" s="128"/>
      <c r="Q104" s="135"/>
    </row>
    <row r="105" spans="7:17">
      <c r="G105" s="128"/>
      <c r="H105" s="128"/>
      <c r="Q105" s="135"/>
    </row>
    <row r="106" spans="7:17">
      <c r="G106" s="128"/>
      <c r="H106" s="128"/>
      <c r="Q106" s="135"/>
    </row>
    <row r="107" spans="7:17">
      <c r="G107" s="128"/>
      <c r="H107" s="128"/>
      <c r="Q107" s="135"/>
    </row>
    <row r="108" spans="7:17">
      <c r="G108" s="128"/>
      <c r="H108" s="128"/>
      <c r="Q108" s="135"/>
    </row>
    <row r="109" spans="7:17">
      <c r="G109" s="128"/>
      <c r="H109" s="128"/>
      <c r="Q109" s="135"/>
    </row>
    <row r="110" spans="7:17">
      <c r="G110" s="128"/>
      <c r="H110" s="128"/>
      <c r="Q110" s="135"/>
    </row>
    <row r="111" spans="7:17">
      <c r="G111" s="128"/>
      <c r="H111" s="128"/>
      <c r="Q111" s="135"/>
    </row>
    <row r="112" spans="7:17">
      <c r="G112" s="128"/>
      <c r="H112" s="128"/>
      <c r="Q112" s="135"/>
    </row>
    <row r="113" spans="7:17">
      <c r="G113" s="128"/>
      <c r="H113" s="128"/>
      <c r="Q113" s="135"/>
    </row>
    <row r="114" spans="7:17">
      <c r="G114" s="128"/>
      <c r="H114" s="128"/>
      <c r="Q114" s="135"/>
    </row>
    <row r="115" spans="7:17">
      <c r="G115" s="128"/>
      <c r="H115" s="128"/>
      <c r="Q115" s="135"/>
    </row>
    <row r="116" spans="7:17">
      <c r="G116" s="128"/>
      <c r="H116" s="128"/>
      <c r="Q116" s="135"/>
    </row>
    <row r="117" spans="7:17">
      <c r="G117" s="128"/>
      <c r="H117" s="128"/>
      <c r="Q117" s="135"/>
    </row>
    <row r="118" spans="7:17">
      <c r="G118" s="128"/>
      <c r="H118" s="128"/>
      <c r="Q118" s="135"/>
    </row>
    <row r="119" spans="7:17">
      <c r="G119" s="128"/>
      <c r="H119" s="128"/>
      <c r="Q119" s="135"/>
    </row>
    <row r="120" spans="7:17">
      <c r="G120" s="128"/>
      <c r="H120" s="128"/>
      <c r="Q120" s="135"/>
    </row>
    <row r="121" spans="7:17">
      <c r="G121" s="128"/>
      <c r="H121" s="128"/>
      <c r="Q121" s="135"/>
    </row>
    <row r="122" spans="7:17">
      <c r="G122" s="128"/>
      <c r="H122" s="128"/>
      <c r="Q122" s="135"/>
    </row>
    <row r="123" spans="7:17">
      <c r="G123" s="128"/>
      <c r="H123" s="128"/>
      <c r="Q123" s="135"/>
    </row>
    <row r="124" spans="7:17">
      <c r="G124" s="128"/>
      <c r="H124" s="128"/>
      <c r="Q124" s="135"/>
    </row>
    <row r="125" spans="7:17">
      <c r="G125" s="128"/>
      <c r="H125" s="128"/>
      <c r="Q125" s="135"/>
    </row>
    <row r="126" spans="7:17">
      <c r="G126" s="128"/>
      <c r="H126" s="128"/>
      <c r="Q126" s="135"/>
    </row>
    <row r="127" spans="7:17">
      <c r="G127" s="128"/>
      <c r="H127" s="128"/>
      <c r="Q127" s="135"/>
    </row>
    <row r="128" spans="7:17">
      <c r="G128" s="128"/>
      <c r="H128" s="128"/>
      <c r="Q128" s="135"/>
    </row>
  </sheetData>
  <autoFilter ref="B5:R72" xr:uid="{00000000-0001-0000-0000-000000000000}"/>
  <mergeCells count="24">
    <mergeCell ref="E42:E43"/>
    <mergeCell ref="E40:E41"/>
    <mergeCell ref="E38:E39"/>
    <mergeCell ref="E16:E19"/>
    <mergeCell ref="R6:R7"/>
    <mergeCell ref="E8:E9"/>
    <mergeCell ref="E11:E12"/>
    <mergeCell ref="E13:E15"/>
    <mergeCell ref="E21:E22"/>
    <mergeCell ref="E23:E24"/>
    <mergeCell ref="E25:E26"/>
    <mergeCell ref="E27:E28"/>
    <mergeCell ref="E30:E31"/>
    <mergeCell ref="E32:E33"/>
    <mergeCell ref="E34:E35"/>
    <mergeCell ref="E36:E37"/>
    <mergeCell ref="B1:Q1"/>
    <mergeCell ref="B3:Q3"/>
    <mergeCell ref="B4:Q4"/>
    <mergeCell ref="I5:I7"/>
    <mergeCell ref="L5:L7"/>
    <mergeCell ref="M5:M7"/>
    <mergeCell ref="N5:N7"/>
    <mergeCell ref="O5:O7"/>
  </mergeCells>
  <conditionalFormatting sqref="I16:I64">
    <cfRule type="cellIs" dxfId="93" priority="28" stopIfTrue="1" operator="lessThan">
      <formula>50</formula>
    </cfRule>
  </conditionalFormatting>
  <conditionalFormatting sqref="P8:P63">
    <cfRule type="cellIs" dxfId="92" priority="1" stopIfTrue="1" operator="greaterThan">
      <formula>1.1</formula>
    </cfRule>
  </conditionalFormatting>
  <pageMargins left="0.7" right="0.7" top="0.75" bottom="0.75" header="0.3" footer="0.3"/>
  <pageSetup scale="49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1"/>
    <pageSetUpPr fitToPage="1"/>
  </sheetPr>
  <dimension ref="B1:CA126"/>
  <sheetViews>
    <sheetView topLeftCell="A4" zoomScale="70" zoomScaleNormal="70" zoomScaleSheetLayoutView="80" workbookViewId="0">
      <pane xSplit="2" ySplit="4" topLeftCell="C46" activePane="bottomRight" state="frozen"/>
      <selection activeCell="A4" sqref="A4"/>
      <selection pane="topRight" activeCell="B4" sqref="B4"/>
      <selection pane="bottomLeft" activeCell="A8" sqref="A8"/>
      <selection pane="bottomRight" activeCell="S66" sqref="S66"/>
    </sheetView>
  </sheetViews>
  <sheetFormatPr defaultRowHeight="13.2"/>
  <cols>
    <col min="1" max="1" width="2.44140625" customWidth="1"/>
    <col min="2" max="2" width="10.44140625" style="1" customWidth="1"/>
    <col min="3" max="3" width="6" style="1" customWidth="1"/>
    <col min="4" max="4" width="53.44140625" style="31" customWidth="1"/>
    <col min="5" max="5" width="8.88671875" style="1" customWidth="1"/>
    <col min="6" max="6" width="8" style="23" bestFit="1" customWidth="1"/>
    <col min="7" max="8" width="13.5546875" customWidth="1"/>
    <col min="9" max="9" width="10.5546875" style="7" customWidth="1"/>
    <col min="10" max="10" width="13" style="7" customWidth="1"/>
    <col min="11" max="11" width="13.109375" style="7" customWidth="1"/>
    <col min="12" max="12" width="14" style="7" customWidth="1"/>
    <col min="13" max="13" width="18.44140625" style="7" customWidth="1"/>
    <col min="14" max="14" width="16.5546875" style="7" customWidth="1"/>
    <col min="15" max="15" width="9.44140625" style="7" customWidth="1"/>
    <col min="16" max="16" width="18.5546875" style="25" bestFit="1" customWidth="1"/>
    <col min="17" max="17" width="12.109375" style="6" customWidth="1"/>
    <col min="18" max="18" width="11" customWidth="1"/>
    <col min="21" max="21" width="20.88671875" customWidth="1"/>
    <col min="22" max="22" width="13.5546875" customWidth="1"/>
    <col min="23" max="23" width="15.88671875" customWidth="1"/>
    <col min="24" max="24" width="10.5546875" customWidth="1"/>
  </cols>
  <sheetData>
    <row r="1" spans="2:20" ht="25.8">
      <c r="B1" s="324" t="s">
        <v>0</v>
      </c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</row>
    <row r="3" spans="2:20" ht="23.4">
      <c r="B3" s="325" t="s">
        <v>1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</row>
    <row r="4" spans="2:20" ht="21" thickBot="1">
      <c r="B4" s="326">
        <v>45706</v>
      </c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</row>
    <row r="5" spans="2:20" ht="16.8" thickTop="1" thickBot="1">
      <c r="B5" s="2" t="s">
        <v>2</v>
      </c>
      <c r="C5" s="2" t="s">
        <v>3</v>
      </c>
      <c r="D5" s="26" t="s">
        <v>4</v>
      </c>
      <c r="E5" s="2" t="s">
        <v>37</v>
      </c>
      <c r="F5" s="19" t="s">
        <v>12</v>
      </c>
      <c r="G5" s="2" t="s">
        <v>5</v>
      </c>
      <c r="H5" s="2" t="s">
        <v>13</v>
      </c>
      <c r="I5" s="327" t="s">
        <v>26</v>
      </c>
      <c r="J5" s="2" t="s">
        <v>18</v>
      </c>
      <c r="K5" s="2" t="s">
        <v>6</v>
      </c>
      <c r="L5" s="330" t="s">
        <v>22</v>
      </c>
      <c r="M5" s="333" t="s">
        <v>24</v>
      </c>
      <c r="N5" s="333" t="s">
        <v>25</v>
      </c>
      <c r="O5" s="333" t="s">
        <v>23</v>
      </c>
      <c r="P5" s="19" t="s">
        <v>6</v>
      </c>
      <c r="Q5" s="4" t="s">
        <v>9</v>
      </c>
      <c r="R5" s="143" t="s">
        <v>20</v>
      </c>
    </row>
    <row r="6" spans="2:20" ht="16.5" customHeight="1" thickTop="1">
      <c r="B6" s="8"/>
      <c r="C6" s="8"/>
      <c r="D6" s="27"/>
      <c r="E6" s="8" t="s">
        <v>11</v>
      </c>
      <c r="F6" s="20" t="s">
        <v>11</v>
      </c>
      <c r="G6" s="8" t="s">
        <v>6</v>
      </c>
      <c r="H6" s="8" t="s">
        <v>14</v>
      </c>
      <c r="I6" s="328"/>
      <c r="J6" s="8" t="s">
        <v>17</v>
      </c>
      <c r="K6" s="8" t="s">
        <v>17</v>
      </c>
      <c r="L6" s="331"/>
      <c r="M6" s="334"/>
      <c r="N6" s="334"/>
      <c r="O6" s="334"/>
      <c r="P6" s="20" t="s">
        <v>19</v>
      </c>
      <c r="Q6" s="9" t="s">
        <v>10</v>
      </c>
      <c r="R6" s="363" t="s">
        <v>21</v>
      </c>
    </row>
    <row r="7" spans="2:20" ht="16.2" thickBot="1">
      <c r="B7" s="10"/>
      <c r="C7" s="10"/>
      <c r="D7" s="28"/>
      <c r="E7" s="8"/>
      <c r="F7" s="21" t="s">
        <v>15</v>
      </c>
      <c r="G7" s="10"/>
      <c r="H7" s="10" t="s">
        <v>16</v>
      </c>
      <c r="I7" s="329"/>
      <c r="J7" s="10"/>
      <c r="K7" s="10"/>
      <c r="L7" s="332"/>
      <c r="M7" s="335"/>
      <c r="N7" s="335"/>
      <c r="O7" s="335"/>
      <c r="P7" s="21"/>
      <c r="Q7" s="11"/>
      <c r="R7" s="364"/>
    </row>
    <row r="8" spans="2:20" s="92" customFormat="1" ht="18">
      <c r="B8" s="141">
        <v>45691</v>
      </c>
      <c r="C8" s="114">
        <v>1</v>
      </c>
      <c r="D8" s="115" t="s">
        <v>59</v>
      </c>
      <c r="E8" s="358">
        <v>1380</v>
      </c>
      <c r="F8" s="217">
        <f>[3]Feb!N68</f>
        <v>273</v>
      </c>
      <c r="G8" s="107">
        <v>2128</v>
      </c>
      <c r="H8" s="108">
        <f>(G8)*24/(F8/60)/17000*100</f>
        <v>66.027149321266961</v>
      </c>
      <c r="I8" s="109"/>
      <c r="J8" s="108">
        <f>4+99.7+99-52</f>
        <v>150.69999999999999</v>
      </c>
      <c r="K8" s="166">
        <f>(G8)*0.0708</f>
        <v>150.66239999999999</v>
      </c>
      <c r="L8" s="108">
        <f>J8-K8</f>
        <v>3.7599999999997635E-2</v>
      </c>
      <c r="M8" s="109">
        <f>[3]Feb!AD8</f>
        <v>90</v>
      </c>
      <c r="N8" s="109">
        <v>6</v>
      </c>
      <c r="O8" s="109"/>
      <c r="P8" s="110">
        <f>(J8-K8)/J8*100</f>
        <v>2.4950232249500756E-2</v>
      </c>
      <c r="Q8" s="109">
        <f>G8/(F8/60)</f>
        <v>467.69230769230774</v>
      </c>
      <c r="R8" s="178"/>
    </row>
    <row r="9" spans="2:20" s="92" customFormat="1" ht="18">
      <c r="B9" s="141">
        <v>45691</v>
      </c>
      <c r="C9" s="114">
        <v>1</v>
      </c>
      <c r="D9" s="115" t="s">
        <v>53</v>
      </c>
      <c r="E9" s="359"/>
      <c r="F9" s="217">
        <f>[3]Feb!N69</f>
        <v>172</v>
      </c>
      <c r="G9" s="107">
        <v>734</v>
      </c>
      <c r="H9" s="108">
        <f t="shared" ref="H9:H41" si="0">(G9)*24/(F9/60)/17000*100</f>
        <v>36.147742818057452</v>
      </c>
      <c r="I9" s="109"/>
      <c r="J9" s="108">
        <v>52</v>
      </c>
      <c r="K9" s="166">
        <f>(G9)*0.0708</f>
        <v>51.967199999999998</v>
      </c>
      <c r="L9" s="108">
        <f t="shared" ref="L9:L23" si="1">J9-K9</f>
        <v>3.2800000000001717E-2</v>
      </c>
      <c r="M9" s="109">
        <f>[3]Feb!AD9</f>
        <v>96</v>
      </c>
      <c r="N9" s="109">
        <v>8</v>
      </c>
      <c r="O9" s="109"/>
      <c r="P9" s="110">
        <f t="shared" ref="P9:P23" si="2">(J9-K9)/J9*100</f>
        <v>6.3076923076926389E-2</v>
      </c>
      <c r="Q9" s="109">
        <f t="shared" ref="Q9:Q23" si="3">G9/(F9/60)</f>
        <v>256.04651162790697</v>
      </c>
      <c r="R9" s="178"/>
      <c r="S9" s="116"/>
      <c r="T9" s="112"/>
    </row>
    <row r="10" spans="2:20" s="92" customFormat="1" ht="18">
      <c r="B10" s="141">
        <v>45691</v>
      </c>
      <c r="C10" s="114">
        <v>1</v>
      </c>
      <c r="D10" s="115" t="s">
        <v>47</v>
      </c>
      <c r="E10" s="360"/>
      <c r="F10" s="217">
        <f>[3]Feb!N70</f>
        <v>682</v>
      </c>
      <c r="G10" s="107">
        <v>4848</v>
      </c>
      <c r="H10" s="108">
        <f t="shared" si="0"/>
        <v>60.213213731240302</v>
      </c>
      <c r="I10" s="109">
        <v>8</v>
      </c>
      <c r="J10" s="108">
        <f>87.6+90+102.8+99-55</f>
        <v>324.39999999999998</v>
      </c>
      <c r="K10" s="166">
        <f t="shared" ref="K10:K23" si="4">(G10)*0.066</f>
        <v>319.96800000000002</v>
      </c>
      <c r="L10" s="108">
        <f t="shared" si="1"/>
        <v>4.4319999999999595</v>
      </c>
      <c r="M10" s="109">
        <f>[3]Feb!AD10</f>
        <v>321</v>
      </c>
      <c r="N10" s="109"/>
      <c r="O10" s="109"/>
      <c r="P10" s="110">
        <f t="shared" si="2"/>
        <v>1.3662145499383354</v>
      </c>
      <c r="Q10" s="109">
        <f t="shared" si="3"/>
        <v>426.51026392961876</v>
      </c>
      <c r="R10" s="178"/>
      <c r="S10" s="116"/>
      <c r="T10" s="112"/>
    </row>
    <row r="11" spans="2:20" s="92" customFormat="1" ht="18">
      <c r="B11" s="141">
        <v>45692</v>
      </c>
      <c r="C11" s="114">
        <v>2</v>
      </c>
      <c r="D11" s="115" t="s">
        <v>47</v>
      </c>
      <c r="E11" s="358">
        <v>1440</v>
      </c>
      <c r="F11" s="217">
        <f>[3]Feb!N71</f>
        <v>97</v>
      </c>
      <c r="G11" s="107">
        <v>792</v>
      </c>
      <c r="H11" s="108">
        <f t="shared" si="0"/>
        <v>69.161916312916915</v>
      </c>
      <c r="I11" s="109"/>
      <c r="J11" s="108">
        <v>55</v>
      </c>
      <c r="K11" s="166">
        <f t="shared" si="4"/>
        <v>52.272000000000006</v>
      </c>
      <c r="L11" s="108">
        <f t="shared" si="1"/>
        <v>2.7279999999999944</v>
      </c>
      <c r="M11" s="109">
        <f>[3]Feb!AD11</f>
        <v>14</v>
      </c>
      <c r="N11" s="109">
        <v>0.5</v>
      </c>
      <c r="O11" s="109"/>
      <c r="P11" s="110">
        <f t="shared" si="2"/>
        <v>4.9599999999999902</v>
      </c>
      <c r="Q11" s="109">
        <f t="shared" si="3"/>
        <v>489.89690721649481</v>
      </c>
      <c r="R11" s="178"/>
      <c r="S11" s="116"/>
      <c r="T11" s="112"/>
    </row>
    <row r="12" spans="2:20" s="92" customFormat="1" ht="18">
      <c r="B12" s="141">
        <v>45692</v>
      </c>
      <c r="C12" s="114">
        <v>2</v>
      </c>
      <c r="D12" s="115" t="s">
        <v>49</v>
      </c>
      <c r="E12" s="360"/>
      <c r="F12" s="217">
        <f>[3]Feb!N72</f>
        <v>1267</v>
      </c>
      <c r="G12" s="107">
        <v>7331</v>
      </c>
      <c r="H12" s="108">
        <f t="shared" si="0"/>
        <v>49.011746134918049</v>
      </c>
      <c r="I12" s="109"/>
      <c r="J12" s="108">
        <f>97.5+95.5+81.8+101.2+100.6+99-82</f>
        <v>493.6</v>
      </c>
      <c r="K12" s="166">
        <f t="shared" si="4"/>
        <v>483.846</v>
      </c>
      <c r="L12" s="108">
        <f t="shared" si="1"/>
        <v>9.7540000000000191</v>
      </c>
      <c r="M12" s="109">
        <f>[3]Feb!AD12</f>
        <v>597</v>
      </c>
      <c r="N12" s="109"/>
      <c r="O12" s="109"/>
      <c r="P12" s="110">
        <f t="shared" si="2"/>
        <v>1.9760940032414951</v>
      </c>
      <c r="Q12" s="109">
        <f>G12/(F12/60)</f>
        <v>347.1665351223362</v>
      </c>
      <c r="R12" s="178"/>
      <c r="S12" s="116"/>
      <c r="T12" s="112"/>
    </row>
    <row r="13" spans="2:20" s="92" customFormat="1" ht="18">
      <c r="B13" s="141">
        <v>45693</v>
      </c>
      <c r="C13" s="114">
        <v>3</v>
      </c>
      <c r="D13" s="115" t="s">
        <v>49</v>
      </c>
      <c r="E13" s="358">
        <v>1440</v>
      </c>
      <c r="F13" s="217">
        <f>[3]Feb!N73</f>
        <v>979</v>
      </c>
      <c r="G13" s="107">
        <v>8093</v>
      </c>
      <c r="H13" s="108">
        <f t="shared" si="0"/>
        <v>70.022952592681605</v>
      </c>
      <c r="I13" s="109">
        <v>11</v>
      </c>
      <c r="J13" s="108">
        <f>82+67+94.7+92.5+107.5+100</f>
        <v>543.70000000000005</v>
      </c>
      <c r="K13" s="166">
        <f t="shared" si="4"/>
        <v>534.13800000000003</v>
      </c>
      <c r="L13" s="108">
        <f t="shared" si="1"/>
        <v>9.5620000000000118</v>
      </c>
      <c r="M13" s="109">
        <f>[3]Feb!AD13</f>
        <v>286</v>
      </c>
      <c r="N13" s="109">
        <f>3+16</f>
        <v>19</v>
      </c>
      <c r="O13" s="109"/>
      <c r="P13" s="110">
        <f t="shared" si="2"/>
        <v>1.7586904542946498</v>
      </c>
      <c r="Q13" s="109">
        <f t="shared" si="3"/>
        <v>495.99591419816142</v>
      </c>
      <c r="R13" s="178"/>
      <c r="S13" s="116"/>
      <c r="T13" s="112"/>
    </row>
    <row r="14" spans="2:20" s="92" customFormat="1" ht="18">
      <c r="B14" s="141">
        <v>45693</v>
      </c>
      <c r="C14" s="114">
        <v>3</v>
      </c>
      <c r="D14" s="115" t="s">
        <v>45</v>
      </c>
      <c r="E14" s="360"/>
      <c r="F14" s="217">
        <f>[3]Feb!N74</f>
        <v>173</v>
      </c>
      <c r="G14" s="107">
        <v>1329</v>
      </c>
      <c r="H14" s="108">
        <f t="shared" si="0"/>
        <v>65.071744304658267</v>
      </c>
      <c r="I14" s="109"/>
      <c r="J14" s="108">
        <f>91.5-3</f>
        <v>88.5</v>
      </c>
      <c r="K14" s="166">
        <f t="shared" si="4"/>
        <v>87.713999999999999</v>
      </c>
      <c r="L14" s="108">
        <f t="shared" si="1"/>
        <v>0.78600000000000136</v>
      </c>
      <c r="M14" s="109">
        <f>[3]Feb!AD14</f>
        <v>124</v>
      </c>
      <c r="N14" s="109">
        <v>6</v>
      </c>
      <c r="O14" s="109"/>
      <c r="P14" s="110">
        <f t="shared" si="2"/>
        <v>0.88813559322034052</v>
      </c>
      <c r="Q14" s="109">
        <f t="shared" si="3"/>
        <v>460.92485549132948</v>
      </c>
      <c r="R14" s="178"/>
      <c r="S14" s="116"/>
      <c r="T14" s="112"/>
    </row>
    <row r="15" spans="2:20" s="92" customFormat="1" ht="18">
      <c r="B15" s="141">
        <v>45694</v>
      </c>
      <c r="C15" s="114">
        <v>4</v>
      </c>
      <c r="D15" s="115" t="s">
        <v>45</v>
      </c>
      <c r="E15" s="358">
        <v>1315</v>
      </c>
      <c r="F15" s="217">
        <f>[3]Feb!N75</f>
        <v>265</v>
      </c>
      <c r="G15" s="107">
        <v>1306</v>
      </c>
      <c r="H15" s="108">
        <f t="shared" si="0"/>
        <v>41.745615982241951</v>
      </c>
      <c r="I15" s="109"/>
      <c r="J15" s="108">
        <f>83.6+3</f>
        <v>86.6</v>
      </c>
      <c r="K15" s="166">
        <f t="shared" si="4"/>
        <v>86.195999999999998</v>
      </c>
      <c r="L15" s="108">
        <f t="shared" si="1"/>
        <v>0.40399999999999636</v>
      </c>
      <c r="M15" s="109">
        <f>[3]Feb!AD15</f>
        <v>144</v>
      </c>
      <c r="N15" s="109">
        <f>5+7</f>
        <v>12</v>
      </c>
      <c r="O15" s="109"/>
      <c r="P15" s="110">
        <f t="shared" si="2"/>
        <v>0.4665127020785178</v>
      </c>
      <c r="Q15" s="109">
        <f t="shared" si="3"/>
        <v>295.69811320754712</v>
      </c>
      <c r="R15" s="178"/>
      <c r="S15" s="116"/>
      <c r="T15" s="112"/>
    </row>
    <row r="16" spans="2:20" s="92" customFormat="1" ht="18">
      <c r="B16" s="141">
        <v>45694</v>
      </c>
      <c r="C16" s="114">
        <v>4</v>
      </c>
      <c r="D16" s="115" t="s">
        <v>69</v>
      </c>
      <c r="E16" s="359"/>
      <c r="F16" s="217">
        <f>[3]Feb!N76</f>
        <v>541</v>
      </c>
      <c r="G16" s="107">
        <v>2854</v>
      </c>
      <c r="H16" s="108">
        <f t="shared" si="0"/>
        <v>44.685875829074696</v>
      </c>
      <c r="I16" s="109"/>
      <c r="J16" s="108">
        <f>97.6+95.4</f>
        <v>193</v>
      </c>
      <c r="K16" s="166">
        <f t="shared" si="4"/>
        <v>188.364</v>
      </c>
      <c r="L16" s="108">
        <f t="shared" si="1"/>
        <v>4.6359999999999957</v>
      </c>
      <c r="M16" s="109">
        <f>[3]Feb!AD16</f>
        <v>297</v>
      </c>
      <c r="N16" s="109">
        <f>4+4</f>
        <v>8</v>
      </c>
      <c r="O16" s="109"/>
      <c r="P16" s="110">
        <f t="shared" si="2"/>
        <v>2.4020725388601014</v>
      </c>
      <c r="Q16" s="109">
        <f t="shared" si="3"/>
        <v>316.5249537892791</v>
      </c>
      <c r="R16" s="178"/>
      <c r="S16" s="116"/>
      <c r="T16" s="112"/>
    </row>
    <row r="17" spans="2:79" s="92" customFormat="1" ht="18">
      <c r="B17" s="141">
        <v>45694</v>
      </c>
      <c r="C17" s="114">
        <v>4</v>
      </c>
      <c r="D17" s="115" t="s">
        <v>47</v>
      </c>
      <c r="E17" s="360"/>
      <c r="F17" s="217">
        <f>[3]Feb!N77</f>
        <v>274</v>
      </c>
      <c r="G17" s="107">
        <v>1865</v>
      </c>
      <c r="H17" s="108">
        <f t="shared" si="0"/>
        <v>57.655646200085883</v>
      </c>
      <c r="I17" s="109"/>
      <c r="J17" s="108">
        <f>98.3+95-70</f>
        <v>123.30000000000001</v>
      </c>
      <c r="K17" s="166">
        <f t="shared" si="4"/>
        <v>123.09</v>
      </c>
      <c r="L17" s="108">
        <f t="shared" si="1"/>
        <v>0.21000000000000796</v>
      </c>
      <c r="M17" s="109">
        <f>[3]Feb!AD17</f>
        <v>151</v>
      </c>
      <c r="N17" s="109">
        <f>9+3</f>
        <v>12</v>
      </c>
      <c r="O17" s="109"/>
      <c r="P17" s="110">
        <f t="shared" si="2"/>
        <v>0.17031630170316947</v>
      </c>
      <c r="Q17" s="109">
        <f t="shared" si="3"/>
        <v>408.39416058394164</v>
      </c>
      <c r="R17" s="178"/>
      <c r="S17" s="116"/>
      <c r="T17" s="112"/>
    </row>
    <row r="18" spans="2:79" s="92" customFormat="1" ht="18">
      <c r="B18" s="141">
        <v>45698</v>
      </c>
      <c r="C18" s="114">
        <v>5</v>
      </c>
      <c r="D18" s="115" t="s">
        <v>47</v>
      </c>
      <c r="E18" s="358">
        <v>1380</v>
      </c>
      <c r="F18" s="217">
        <f>[3]Feb!N78</f>
        <v>586</v>
      </c>
      <c r="G18" s="107">
        <v>2330</v>
      </c>
      <c r="H18" s="108">
        <f t="shared" si="0"/>
        <v>33.679983938968071</v>
      </c>
      <c r="I18" s="109"/>
      <c r="J18" s="107">
        <f>70+91.7</f>
        <v>161.69999999999999</v>
      </c>
      <c r="K18" s="166">
        <f t="shared" si="4"/>
        <v>153.78</v>
      </c>
      <c r="L18" s="108">
        <f t="shared" si="1"/>
        <v>7.9199999999999875</v>
      </c>
      <c r="M18" s="109">
        <f>[3]Feb!AD18</f>
        <v>408</v>
      </c>
      <c r="N18" s="109">
        <v>4</v>
      </c>
      <c r="O18" s="109"/>
      <c r="P18" s="110">
        <f t="shared" si="2"/>
        <v>4.8979591836734624</v>
      </c>
      <c r="Q18" s="109">
        <f t="shared" si="3"/>
        <v>238.56655290102387</v>
      </c>
      <c r="R18" s="178"/>
      <c r="S18" s="116">
        <v>67</v>
      </c>
      <c r="T18" s="112"/>
      <c r="CA18" s="117"/>
    </row>
    <row r="19" spans="2:79" s="92" customFormat="1" ht="18">
      <c r="B19" s="141">
        <v>45698</v>
      </c>
      <c r="C19" s="114">
        <v>5</v>
      </c>
      <c r="D19" s="115" t="s">
        <v>49</v>
      </c>
      <c r="E19" s="360"/>
      <c r="F19" s="217">
        <f>[3]Feb!N79</f>
        <v>601</v>
      </c>
      <c r="G19" s="107">
        <v>3919</v>
      </c>
      <c r="H19" s="108">
        <f t="shared" si="0"/>
        <v>55.235000489380447</v>
      </c>
      <c r="I19" s="109">
        <v>7</v>
      </c>
      <c r="J19" s="108">
        <f>93.5+96+91.2-15</f>
        <v>265.7</v>
      </c>
      <c r="K19" s="166">
        <f t="shared" si="4"/>
        <v>258.654</v>
      </c>
      <c r="L19" s="108">
        <f t="shared" si="1"/>
        <v>7.0459999999999923</v>
      </c>
      <c r="M19" s="109">
        <f>[3]Feb!AD19</f>
        <v>151</v>
      </c>
      <c r="N19" s="109">
        <f>5+7</f>
        <v>12</v>
      </c>
      <c r="O19" s="109"/>
      <c r="P19" s="110">
        <f t="shared" si="2"/>
        <v>2.6518630033872759</v>
      </c>
      <c r="Q19" s="109">
        <f t="shared" si="3"/>
        <v>391.24792013311145</v>
      </c>
      <c r="R19" s="178"/>
      <c r="S19" s="116"/>
      <c r="T19" s="112"/>
    </row>
    <row r="20" spans="2:79" s="92" customFormat="1" ht="18">
      <c r="B20" s="141">
        <v>45699</v>
      </c>
      <c r="C20" s="114">
        <v>6</v>
      </c>
      <c r="D20" s="115" t="s">
        <v>49</v>
      </c>
      <c r="E20" s="358">
        <v>1440</v>
      </c>
      <c r="F20" s="217">
        <f>[3]Feb!N80</f>
        <v>198</v>
      </c>
      <c r="G20" s="107">
        <v>1647</v>
      </c>
      <c r="H20" s="108">
        <f t="shared" si="0"/>
        <v>70.459893048128336</v>
      </c>
      <c r="I20" s="109"/>
      <c r="J20" s="108">
        <f>97.3+15</f>
        <v>112.3</v>
      </c>
      <c r="K20" s="166">
        <f t="shared" si="4"/>
        <v>108.702</v>
      </c>
      <c r="L20" s="108">
        <f t="shared" si="1"/>
        <v>3.597999999999999</v>
      </c>
      <c r="M20" s="109">
        <f>[3]Feb!AD20</f>
        <v>37</v>
      </c>
      <c r="N20" s="109">
        <f>2+11</f>
        <v>13</v>
      </c>
      <c r="O20" s="109"/>
      <c r="P20" s="110">
        <f t="shared" si="2"/>
        <v>3.203918076580587</v>
      </c>
      <c r="Q20" s="109">
        <f t="shared" si="3"/>
        <v>499.09090909090912</v>
      </c>
      <c r="R20" s="178"/>
      <c r="S20" s="116"/>
      <c r="T20" s="112"/>
    </row>
    <row r="21" spans="2:79" s="92" customFormat="1" ht="18">
      <c r="B21" s="141">
        <v>45699</v>
      </c>
      <c r="C21" s="114">
        <v>6</v>
      </c>
      <c r="D21" s="115" t="s">
        <v>47</v>
      </c>
      <c r="E21" s="359"/>
      <c r="F21" s="217">
        <f>[3]Feb!N81</f>
        <v>1046</v>
      </c>
      <c r="G21" s="107">
        <v>8192</v>
      </c>
      <c r="H21" s="108">
        <f t="shared" si="0"/>
        <v>66.339444381959282</v>
      </c>
      <c r="I21" s="109"/>
      <c r="J21" s="108">
        <f>93.6+86.8+97.1+96.2+97.7+79.2</f>
        <v>550.6</v>
      </c>
      <c r="K21" s="166">
        <f t="shared" si="4"/>
        <v>540.67200000000003</v>
      </c>
      <c r="L21" s="108">
        <f t="shared" si="1"/>
        <v>9.9279999999999973</v>
      </c>
      <c r="M21" s="109">
        <f>[3]Feb!AD21</f>
        <v>236</v>
      </c>
      <c r="N21" s="109">
        <v>0</v>
      </c>
      <c r="O21" s="109"/>
      <c r="P21" s="110">
        <f t="shared" si="2"/>
        <v>1.8031238648746815</v>
      </c>
      <c r="Q21" s="109">
        <f t="shared" si="3"/>
        <v>469.90439770554491</v>
      </c>
      <c r="R21" s="178"/>
      <c r="S21" s="116"/>
      <c r="T21" s="112"/>
    </row>
    <row r="22" spans="2:79" s="92" customFormat="1" ht="18">
      <c r="B22" s="141">
        <v>45699</v>
      </c>
      <c r="C22" s="114">
        <v>6</v>
      </c>
      <c r="D22" s="115" t="s">
        <v>49</v>
      </c>
      <c r="E22" s="360"/>
      <c r="F22" s="217">
        <f>[3]Feb!N82</f>
        <v>72</v>
      </c>
      <c r="G22" s="107">
        <v>600</v>
      </c>
      <c r="H22" s="108">
        <f t="shared" si="0"/>
        <v>70.588235294117652</v>
      </c>
      <c r="I22" s="109"/>
      <c r="J22" s="108">
        <f>88.6+100-60-88</f>
        <v>40.599999999999994</v>
      </c>
      <c r="K22" s="166">
        <f t="shared" si="4"/>
        <v>39.6</v>
      </c>
      <c r="L22" s="108">
        <f t="shared" si="1"/>
        <v>0.99999999999999289</v>
      </c>
      <c r="M22" s="109">
        <f>[3]Feb!AD22</f>
        <v>29</v>
      </c>
      <c r="N22" s="109">
        <v>6</v>
      </c>
      <c r="O22" s="109"/>
      <c r="P22" s="110">
        <f t="shared" si="2"/>
        <v>2.463054187192101</v>
      </c>
      <c r="Q22" s="109">
        <f t="shared" si="3"/>
        <v>500</v>
      </c>
      <c r="R22" s="178"/>
      <c r="S22" s="116"/>
      <c r="T22" s="112"/>
    </row>
    <row r="23" spans="2:79" s="92" customFormat="1" ht="18">
      <c r="B23" s="141">
        <v>45700</v>
      </c>
      <c r="C23" s="114">
        <v>7</v>
      </c>
      <c r="D23" s="115" t="s">
        <v>49</v>
      </c>
      <c r="E23" s="358">
        <v>1432</v>
      </c>
      <c r="F23" s="217">
        <f>[3]Feb!N83</f>
        <v>704</v>
      </c>
      <c r="G23" s="107">
        <v>5129</v>
      </c>
      <c r="H23" s="108">
        <f t="shared" si="0"/>
        <v>61.712566844919792</v>
      </c>
      <c r="I23" s="109"/>
      <c r="J23" s="108">
        <f>60+88+88.2+109</f>
        <v>345.2</v>
      </c>
      <c r="K23" s="166">
        <f t="shared" si="4"/>
        <v>338.51400000000001</v>
      </c>
      <c r="L23" s="108">
        <f t="shared" si="1"/>
        <v>6.6859999999999786</v>
      </c>
      <c r="M23" s="109">
        <f>[3]Feb!AD23</f>
        <v>245</v>
      </c>
      <c r="N23" s="109">
        <f>7</f>
        <v>7</v>
      </c>
      <c r="O23" s="109"/>
      <c r="P23" s="110">
        <f t="shared" si="2"/>
        <v>1.936848203939739</v>
      </c>
      <c r="Q23" s="109">
        <f t="shared" si="3"/>
        <v>437.13068181818187</v>
      </c>
      <c r="R23" s="178"/>
      <c r="S23" s="116"/>
      <c r="T23" s="112"/>
    </row>
    <row r="24" spans="2:79" s="92" customFormat="1" ht="18">
      <c r="B24" s="141">
        <v>45700</v>
      </c>
      <c r="C24" s="114">
        <v>7</v>
      </c>
      <c r="D24" s="115" t="s">
        <v>47</v>
      </c>
      <c r="E24" s="360"/>
      <c r="F24" s="217">
        <f>[3]Feb!N84</f>
        <v>571</v>
      </c>
      <c r="G24" s="107">
        <v>4259</v>
      </c>
      <c r="H24" s="108">
        <f t="shared" si="0"/>
        <v>63.180797362727922</v>
      </c>
      <c r="I24" s="109"/>
      <c r="J24" s="108">
        <f>96.6+97.8+97.5</f>
        <v>291.89999999999998</v>
      </c>
      <c r="K24" s="166">
        <f>(G24)*0.066+(25*0.19)</f>
        <v>285.84399999999999</v>
      </c>
      <c r="L24" s="108">
        <f t="shared" ref="L24:L42" si="5">J24-K24</f>
        <v>6.0559999999999832</v>
      </c>
      <c r="M24" s="109">
        <f>[3]Feb!AD24</f>
        <v>157</v>
      </c>
      <c r="N24" s="109">
        <f>4+24</f>
        <v>28</v>
      </c>
      <c r="O24" s="109">
        <v>25</v>
      </c>
      <c r="P24" s="110">
        <f t="shared" ref="P24:P42" si="6">(J24-K24)/J24*100</f>
        <v>2.0746831106543282</v>
      </c>
      <c r="Q24" s="109">
        <f t="shared" ref="Q24:Q42" si="7">G24/(F24/60)</f>
        <v>447.53064798598945</v>
      </c>
      <c r="R24" s="178"/>
      <c r="S24" s="116"/>
      <c r="T24" s="112"/>
    </row>
    <row r="25" spans="2:79" s="92" customFormat="1" ht="18">
      <c r="B25" s="141">
        <v>45701</v>
      </c>
      <c r="C25" s="114">
        <v>8</v>
      </c>
      <c r="D25" s="115" t="s">
        <v>62</v>
      </c>
      <c r="E25" s="358">
        <v>1550</v>
      </c>
      <c r="F25" s="217">
        <f>[3]Feb!N85</f>
        <v>526</v>
      </c>
      <c r="G25" s="107">
        <v>4442</v>
      </c>
      <c r="H25" s="108">
        <f t="shared" si="0"/>
        <v>71.53299038246476</v>
      </c>
      <c r="I25" s="109"/>
      <c r="J25" s="108">
        <f>SUM(100.5,96.8,104.3)</f>
        <v>301.60000000000002</v>
      </c>
      <c r="K25" s="166">
        <f t="shared" ref="K25:K38" si="8">(G25)*0.066</f>
        <v>293.17200000000003</v>
      </c>
      <c r="L25" s="108">
        <f t="shared" si="5"/>
        <v>8.4279999999999973</v>
      </c>
      <c r="M25" s="109">
        <f>[3]Feb!AD25</f>
        <v>205</v>
      </c>
      <c r="N25" s="109">
        <v>5</v>
      </c>
      <c r="O25" s="109"/>
      <c r="P25" s="110">
        <f t="shared" si="6"/>
        <v>2.7944297082228107</v>
      </c>
      <c r="Q25" s="109">
        <f>G25/(F25/60)</f>
        <v>506.69201520912543</v>
      </c>
      <c r="R25" s="178"/>
    </row>
    <row r="26" spans="2:79" s="92" customFormat="1" ht="18">
      <c r="B26" s="141">
        <v>45701</v>
      </c>
      <c r="C26" s="114">
        <v>8</v>
      </c>
      <c r="D26" s="115" t="s">
        <v>45</v>
      </c>
      <c r="E26" s="360"/>
      <c r="F26" s="217">
        <f>[3]Feb!N86</f>
        <v>433</v>
      </c>
      <c r="G26" s="107">
        <v>4017</v>
      </c>
      <c r="H26" s="108">
        <f t="shared" si="0"/>
        <v>78.582801249830183</v>
      </c>
      <c r="I26" s="109"/>
      <c r="J26" s="108">
        <f>SUM(93.8,94.5,79)</f>
        <v>267.3</v>
      </c>
      <c r="K26" s="166">
        <f t="shared" si="8"/>
        <v>265.12200000000001</v>
      </c>
      <c r="L26" s="108">
        <f>J26-K26</f>
        <v>2.1779999999999973</v>
      </c>
      <c r="M26" s="109">
        <f>[3]Feb!AD26</f>
        <v>357</v>
      </c>
      <c r="N26" s="109">
        <v>10</v>
      </c>
      <c r="O26" s="109"/>
      <c r="P26" s="110">
        <f t="shared" si="6"/>
        <v>0.81481481481481366</v>
      </c>
      <c r="Q26" s="109">
        <f>G26/(F26/60)</f>
        <v>556.62817551963053</v>
      </c>
      <c r="R26" s="178"/>
      <c r="S26" s="116"/>
      <c r="T26" s="112"/>
    </row>
    <row r="27" spans="2:79" s="92" customFormat="1" ht="18">
      <c r="B27" s="141">
        <v>45702</v>
      </c>
      <c r="C27" s="114">
        <v>9</v>
      </c>
      <c r="D27" s="115" t="s">
        <v>49</v>
      </c>
      <c r="E27" s="358">
        <v>1213</v>
      </c>
      <c r="F27" s="217">
        <f>[3]Feb!N87</f>
        <v>428</v>
      </c>
      <c r="G27" s="107">
        <v>2401</v>
      </c>
      <c r="H27" s="108">
        <f t="shared" si="0"/>
        <v>47.518416712479386</v>
      </c>
      <c r="I27" s="109"/>
      <c r="J27" s="108">
        <f>72.2+99.2</f>
        <v>171.4</v>
      </c>
      <c r="K27" s="166">
        <f>(G27)*0.066+(46*0.19)</f>
        <v>167.20600000000002</v>
      </c>
      <c r="L27" s="108">
        <f t="shared" si="5"/>
        <v>4.1939999999999884</v>
      </c>
      <c r="M27" s="109">
        <f>[3]Feb!AD27</f>
        <v>354</v>
      </c>
      <c r="N27" s="109">
        <v>0</v>
      </c>
      <c r="O27" s="109">
        <v>46</v>
      </c>
      <c r="P27" s="110">
        <f t="shared" si="6"/>
        <v>2.4469078179696546</v>
      </c>
      <c r="Q27" s="109">
        <f t="shared" si="7"/>
        <v>336.58878504672896</v>
      </c>
      <c r="R27" s="178"/>
      <c r="S27" s="116"/>
      <c r="T27" s="112"/>
    </row>
    <row r="28" spans="2:79" s="92" customFormat="1" ht="18">
      <c r="B28" s="141">
        <v>45702</v>
      </c>
      <c r="C28" s="114">
        <v>9</v>
      </c>
      <c r="D28" s="115" t="s">
        <v>47</v>
      </c>
      <c r="E28" s="360"/>
      <c r="F28" s="217">
        <f>[3]Feb!N88</f>
        <v>512</v>
      </c>
      <c r="G28" s="107">
        <v>2100</v>
      </c>
      <c r="H28" s="108">
        <f t="shared" si="0"/>
        <v>34.742647058823529</v>
      </c>
      <c r="I28" s="109"/>
      <c r="J28" s="108">
        <f>93.5+90.9-43</f>
        <v>141.4</v>
      </c>
      <c r="K28" s="166">
        <f t="shared" si="8"/>
        <v>138.6</v>
      </c>
      <c r="L28" s="108">
        <f t="shared" si="5"/>
        <v>2.8000000000000114</v>
      </c>
      <c r="M28" s="109">
        <f>[3]Feb!AD28</f>
        <v>348</v>
      </c>
      <c r="N28" s="109">
        <v>10</v>
      </c>
      <c r="O28" s="109"/>
      <c r="P28" s="110">
        <f t="shared" si="6"/>
        <v>1.9801980198019882</v>
      </c>
      <c r="Q28" s="109">
        <f t="shared" si="7"/>
        <v>246.09375</v>
      </c>
      <c r="R28" s="178"/>
      <c r="S28" s="116"/>
      <c r="T28" s="112"/>
    </row>
    <row r="29" spans="2:79" s="92" customFormat="1" ht="18">
      <c r="B29" s="141">
        <v>45705</v>
      </c>
      <c r="C29" s="114">
        <v>10</v>
      </c>
      <c r="D29" s="115" t="s">
        <v>47</v>
      </c>
      <c r="E29" s="358">
        <v>1380</v>
      </c>
      <c r="F29" s="217">
        <f>[3]Feb!N89</f>
        <v>260</v>
      </c>
      <c r="G29" s="107">
        <v>631</v>
      </c>
      <c r="H29" s="108">
        <f t="shared" si="0"/>
        <v>20.557466063348418</v>
      </c>
      <c r="I29" s="109">
        <v>44</v>
      </c>
      <c r="J29" s="108">
        <v>43</v>
      </c>
      <c r="K29" s="166">
        <f t="shared" si="8"/>
        <v>41.646000000000001</v>
      </c>
      <c r="L29" s="108">
        <f t="shared" si="5"/>
        <v>1.3539999999999992</v>
      </c>
      <c r="M29" s="109">
        <f>[3]Feb!AD29</f>
        <v>394</v>
      </c>
      <c r="N29" s="109">
        <v>5</v>
      </c>
      <c r="O29" s="109"/>
      <c r="P29" s="110">
        <f t="shared" si="6"/>
        <v>3.1488372093023234</v>
      </c>
      <c r="Q29" s="109">
        <f t="shared" si="7"/>
        <v>145.61538461538461</v>
      </c>
      <c r="R29" s="178"/>
      <c r="S29" s="116"/>
      <c r="T29" s="112"/>
    </row>
    <row r="30" spans="2:79" s="92" customFormat="1" ht="18">
      <c r="B30" s="141">
        <v>45705</v>
      </c>
      <c r="C30" s="114">
        <v>10</v>
      </c>
      <c r="D30" s="115" t="s">
        <v>49</v>
      </c>
      <c r="E30" s="360"/>
      <c r="F30" s="217">
        <f>[3]Feb!N90</f>
        <v>887</v>
      </c>
      <c r="G30" s="107">
        <v>4120</v>
      </c>
      <c r="H30" s="108">
        <f t="shared" si="0"/>
        <v>39.344784136879106</v>
      </c>
      <c r="I30" s="109">
        <v>25</v>
      </c>
      <c r="J30" s="224">
        <f>97.5+104+85.8+92-45-54</f>
        <v>280.3</v>
      </c>
      <c r="K30" s="166">
        <f t="shared" si="8"/>
        <v>271.92</v>
      </c>
      <c r="L30" s="108">
        <f t="shared" si="5"/>
        <v>8.3799999999999955</v>
      </c>
      <c r="M30" s="109">
        <f>[3]Feb!AD30</f>
        <v>424</v>
      </c>
      <c r="N30" s="109">
        <v>29</v>
      </c>
      <c r="O30" s="109"/>
      <c r="P30" s="110">
        <f t="shared" si="6"/>
        <v>2.9896539422047788</v>
      </c>
      <c r="Q30" s="109">
        <f t="shared" si="7"/>
        <v>278.69222096956031</v>
      </c>
      <c r="R30" s="178"/>
      <c r="S30" s="116"/>
      <c r="T30" s="112"/>
    </row>
    <row r="31" spans="2:79" s="92" customFormat="1" ht="18">
      <c r="B31" s="141">
        <v>45706</v>
      </c>
      <c r="C31" s="114">
        <v>11</v>
      </c>
      <c r="D31" s="115" t="s">
        <v>49</v>
      </c>
      <c r="E31" s="358">
        <v>1440</v>
      </c>
      <c r="F31" s="217">
        <f>[3]Feb!N91</f>
        <v>138</v>
      </c>
      <c r="G31" s="107">
        <v>806</v>
      </c>
      <c r="H31" s="108">
        <f t="shared" si="0"/>
        <v>49.473145780051155</v>
      </c>
      <c r="I31" s="109"/>
      <c r="J31" s="108">
        <v>54</v>
      </c>
      <c r="K31" s="166">
        <f t="shared" si="8"/>
        <v>53.196000000000005</v>
      </c>
      <c r="L31" s="108">
        <f t="shared" si="5"/>
        <v>0.80399999999999494</v>
      </c>
      <c r="M31" s="109">
        <f>[3]Feb!AD31</f>
        <v>63</v>
      </c>
      <c r="N31" s="109">
        <v>5</v>
      </c>
      <c r="O31" s="109"/>
      <c r="P31" s="110">
        <f t="shared" si="6"/>
        <v>1.4888888888888796</v>
      </c>
      <c r="Q31" s="109">
        <f>G31/(F31/60)</f>
        <v>350.43478260869568</v>
      </c>
      <c r="R31" s="178"/>
      <c r="S31" s="116"/>
      <c r="T31" s="112"/>
    </row>
    <row r="32" spans="2:79" s="92" customFormat="1" ht="18">
      <c r="B32" s="141">
        <v>45706</v>
      </c>
      <c r="C32" s="114">
        <v>11</v>
      </c>
      <c r="D32" s="115" t="s">
        <v>71</v>
      </c>
      <c r="E32" s="359"/>
      <c r="F32" s="217">
        <f>[3]Feb!N92</f>
        <v>249</v>
      </c>
      <c r="G32" s="107">
        <v>1438</v>
      </c>
      <c r="H32" s="108">
        <f t="shared" si="0"/>
        <v>48.918497519489726</v>
      </c>
      <c r="I32" s="109">
        <v>2</v>
      </c>
      <c r="J32" s="108">
        <v>101</v>
      </c>
      <c r="K32" s="166">
        <f t="shared" si="8"/>
        <v>94.908000000000001</v>
      </c>
      <c r="L32" s="108">
        <f t="shared" si="5"/>
        <v>6.0919999999999987</v>
      </c>
      <c r="M32" s="109">
        <f>[3]Feb!AD32</f>
        <v>343</v>
      </c>
      <c r="N32" s="109">
        <v>10</v>
      </c>
      <c r="O32" s="109"/>
      <c r="P32" s="110">
        <f t="shared" si="6"/>
        <v>6.0316831683168299</v>
      </c>
      <c r="Q32" s="109">
        <f t="shared" si="7"/>
        <v>346.50602409638549</v>
      </c>
      <c r="R32" s="178"/>
      <c r="S32" s="116"/>
      <c r="T32" s="112"/>
    </row>
    <row r="33" spans="2:79" s="92" customFormat="1" ht="18">
      <c r="B33" s="141">
        <v>45706</v>
      </c>
      <c r="C33" s="114">
        <v>11</v>
      </c>
      <c r="D33" s="115" t="s">
        <v>72</v>
      </c>
      <c r="E33" s="359"/>
      <c r="F33" s="217">
        <f>[3]Feb!N93</f>
        <v>485</v>
      </c>
      <c r="G33" s="107">
        <v>2593</v>
      </c>
      <c r="H33" s="108">
        <f t="shared" si="0"/>
        <v>45.287083080654938</v>
      </c>
      <c r="I33" s="109"/>
      <c r="J33" s="108">
        <f>88+89</f>
        <v>177</v>
      </c>
      <c r="K33" s="166">
        <f t="shared" si="8"/>
        <v>171.13800000000001</v>
      </c>
      <c r="L33" s="108">
        <f t="shared" si="5"/>
        <v>5.8619999999999948</v>
      </c>
      <c r="M33" s="109">
        <f>[3]Feb!AD33</f>
        <v>203</v>
      </c>
      <c r="N33" s="109">
        <v>0</v>
      </c>
      <c r="O33" s="109"/>
      <c r="P33" s="110">
        <f t="shared" si="6"/>
        <v>3.3118644067796583</v>
      </c>
      <c r="Q33" s="109">
        <f t="shared" si="7"/>
        <v>320.78350515463916</v>
      </c>
      <c r="R33" s="178"/>
      <c r="S33" s="116"/>
      <c r="T33" s="112"/>
    </row>
    <row r="34" spans="2:79" s="92" customFormat="1" ht="18">
      <c r="B34" s="141">
        <v>45706</v>
      </c>
      <c r="C34" s="114">
        <v>11</v>
      </c>
      <c r="D34" s="115" t="s">
        <v>70</v>
      </c>
      <c r="E34" s="360"/>
      <c r="F34" s="217">
        <f>[3]Feb!N94</f>
        <v>120</v>
      </c>
      <c r="G34" s="107">
        <v>498</v>
      </c>
      <c r="H34" s="108">
        <f t="shared" si="0"/>
        <v>35.152941176470584</v>
      </c>
      <c r="I34" s="109"/>
      <c r="J34" s="108">
        <f>102-66</f>
        <v>36</v>
      </c>
      <c r="K34" s="166">
        <f>(G34)*0.066</f>
        <v>32.868000000000002</v>
      </c>
      <c r="L34" s="108">
        <f t="shared" si="5"/>
        <v>3.1319999999999979</v>
      </c>
      <c r="M34" s="109">
        <f>[3]Feb!AD34</f>
        <v>179</v>
      </c>
      <c r="N34" s="109">
        <v>6</v>
      </c>
      <c r="O34" s="109"/>
      <c r="P34" s="110">
        <f t="shared" si="6"/>
        <v>8.699999999999994</v>
      </c>
      <c r="Q34" s="109">
        <f t="shared" si="7"/>
        <v>249</v>
      </c>
      <c r="R34" s="178"/>
      <c r="S34" s="116"/>
      <c r="T34" s="112"/>
    </row>
    <row r="35" spans="2:79" s="92" customFormat="1" ht="18">
      <c r="B35" s="141">
        <v>45707</v>
      </c>
      <c r="C35" s="114">
        <v>12</v>
      </c>
      <c r="D35" s="115" t="s">
        <v>70</v>
      </c>
      <c r="E35" s="358">
        <v>1440</v>
      </c>
      <c r="F35" s="217">
        <f>[3]Feb!N95</f>
        <v>201</v>
      </c>
      <c r="G35" s="107">
        <v>949</v>
      </c>
      <c r="H35" s="108">
        <f t="shared" si="0"/>
        <v>39.992976294995614</v>
      </c>
      <c r="I35" s="109"/>
      <c r="J35" s="108">
        <v>66</v>
      </c>
      <c r="K35" s="166">
        <f t="shared" si="8"/>
        <v>62.634</v>
      </c>
      <c r="L35" s="108">
        <f t="shared" si="5"/>
        <v>3.3659999999999997</v>
      </c>
      <c r="M35" s="109">
        <f>[3]Feb!AD35</f>
        <v>90</v>
      </c>
      <c r="N35" s="109">
        <v>16</v>
      </c>
      <c r="O35" s="109"/>
      <c r="P35" s="110">
        <f t="shared" si="6"/>
        <v>5.0999999999999996</v>
      </c>
      <c r="Q35" s="109">
        <f t="shared" si="7"/>
        <v>283.28358208955223</v>
      </c>
      <c r="R35" s="178"/>
      <c r="S35" s="116"/>
      <c r="T35" s="112"/>
      <c r="CA35" s="117"/>
    </row>
    <row r="36" spans="2:79" s="92" customFormat="1" ht="18">
      <c r="B36" s="141">
        <v>45707</v>
      </c>
      <c r="C36" s="114">
        <v>12</v>
      </c>
      <c r="D36" s="115" t="s">
        <v>46</v>
      </c>
      <c r="E36" s="359"/>
      <c r="F36" s="217">
        <f>[3]Feb!N96</f>
        <v>593</v>
      </c>
      <c r="G36" s="107">
        <v>3386</v>
      </c>
      <c r="H36" s="108">
        <f t="shared" si="0"/>
        <v>48.366630294613628</v>
      </c>
      <c r="I36" s="109"/>
      <c r="J36" s="53">
        <f>K36*1.02</f>
        <v>227.94552000000002</v>
      </c>
      <c r="K36" s="166">
        <f t="shared" si="8"/>
        <v>223.476</v>
      </c>
      <c r="L36" s="108">
        <f t="shared" si="5"/>
        <v>4.469520000000017</v>
      </c>
      <c r="M36" s="109">
        <f>[3]Feb!AD36</f>
        <v>427</v>
      </c>
      <c r="N36" s="109"/>
      <c r="O36" s="109"/>
      <c r="P36" s="110">
        <f t="shared" si="6"/>
        <v>1.9607843137254974</v>
      </c>
      <c r="Q36" s="109">
        <f t="shared" si="7"/>
        <v>342.59696458684658</v>
      </c>
      <c r="R36" s="178"/>
      <c r="S36" s="116"/>
      <c r="T36" s="112"/>
    </row>
    <row r="37" spans="2:79" ht="18">
      <c r="B37" s="91">
        <v>45707</v>
      </c>
      <c r="C37" s="114">
        <v>12</v>
      </c>
      <c r="D37" s="115" t="s">
        <v>73</v>
      </c>
      <c r="E37" s="360"/>
      <c r="F37" s="217">
        <f>[3]Feb!N97</f>
        <v>268</v>
      </c>
      <c r="G37" s="17">
        <v>1576</v>
      </c>
      <c r="H37" s="108">
        <f t="shared" si="0"/>
        <v>49.812115891132571</v>
      </c>
      <c r="I37" s="165"/>
      <c r="J37" s="167">
        <f>93.7+84.2-70</f>
        <v>107.9</v>
      </c>
      <c r="K37" s="166">
        <f>(G37)*0.066</f>
        <v>104.01600000000001</v>
      </c>
      <c r="L37" s="108">
        <f t="shared" si="5"/>
        <v>3.8840000000000003</v>
      </c>
      <c r="M37" s="109">
        <f>[3]Feb!AD37</f>
        <v>182</v>
      </c>
      <c r="N37" s="109">
        <v>11</v>
      </c>
      <c r="O37" s="109"/>
      <c r="P37" s="110">
        <f t="shared" si="6"/>
        <v>3.5996292863762749</v>
      </c>
      <c r="Q37" s="109">
        <f t="shared" si="7"/>
        <v>352.83582089552237</v>
      </c>
      <c r="R37" s="16"/>
      <c r="S37" s="37"/>
      <c r="T37" s="6"/>
    </row>
    <row r="38" spans="2:79" ht="18">
      <c r="B38" s="91">
        <v>45708</v>
      </c>
      <c r="C38" s="114">
        <v>13</v>
      </c>
      <c r="D38" s="115" t="s">
        <v>73</v>
      </c>
      <c r="E38" s="358">
        <v>1440</v>
      </c>
      <c r="F38" s="217">
        <f>[3]Feb!N98</f>
        <v>196</v>
      </c>
      <c r="G38" s="17">
        <v>1046</v>
      </c>
      <c r="H38" s="108">
        <f t="shared" si="0"/>
        <v>45.205282112845133</v>
      </c>
      <c r="I38" s="165"/>
      <c r="J38" s="167">
        <v>70</v>
      </c>
      <c r="K38" s="166">
        <f t="shared" si="8"/>
        <v>69.036000000000001</v>
      </c>
      <c r="L38" s="108">
        <f t="shared" si="5"/>
        <v>0.96399999999999864</v>
      </c>
      <c r="M38" s="109">
        <f>[3]Feb!AD38</f>
        <v>52</v>
      </c>
      <c r="N38" s="109">
        <v>13</v>
      </c>
      <c r="O38" s="109"/>
      <c r="P38" s="110">
        <f t="shared" si="6"/>
        <v>1.3771428571428552</v>
      </c>
      <c r="Q38" s="109">
        <f t="shared" si="7"/>
        <v>320.20408163265307</v>
      </c>
      <c r="R38" s="16"/>
      <c r="S38" s="37"/>
      <c r="T38" s="6"/>
    </row>
    <row r="39" spans="2:79" ht="18">
      <c r="B39" s="91">
        <v>45708</v>
      </c>
      <c r="C39" s="114">
        <v>13</v>
      </c>
      <c r="D39" s="115" t="s">
        <v>74</v>
      </c>
      <c r="E39" s="359"/>
      <c r="F39" s="217">
        <f>[3]Feb!N99</f>
        <v>391</v>
      </c>
      <c r="G39" s="17">
        <v>2662</v>
      </c>
      <c r="H39" s="108">
        <f t="shared" si="0"/>
        <v>57.66932450729653</v>
      </c>
      <c r="I39" s="165"/>
      <c r="J39" s="167">
        <f>96.2+95.4</f>
        <v>191.60000000000002</v>
      </c>
      <c r="K39" s="166">
        <f>(G39)*0.0708</f>
        <v>188.46960000000001</v>
      </c>
      <c r="L39" s="108">
        <f t="shared" si="5"/>
        <v>3.1304000000000087</v>
      </c>
      <c r="M39" s="109">
        <f>[3]Feb!AD39</f>
        <v>177</v>
      </c>
      <c r="N39" s="109">
        <v>1</v>
      </c>
      <c r="O39" s="109"/>
      <c r="P39" s="110">
        <f t="shared" si="6"/>
        <v>1.6338204592901924</v>
      </c>
      <c r="Q39" s="109">
        <f t="shared" si="7"/>
        <v>408.4910485933504</v>
      </c>
      <c r="R39" s="16"/>
      <c r="S39" s="37"/>
      <c r="T39" s="6"/>
    </row>
    <row r="40" spans="2:79" ht="18">
      <c r="B40" s="91">
        <v>45708</v>
      </c>
      <c r="C40" s="114">
        <v>13</v>
      </c>
      <c r="D40" s="225" t="s">
        <v>77</v>
      </c>
      <c r="E40" s="359"/>
      <c r="F40" s="217">
        <f>[3]Feb!N100</f>
        <v>164</v>
      </c>
      <c r="G40" s="17">
        <v>697</v>
      </c>
      <c r="H40" s="108">
        <f t="shared" si="0"/>
        <v>36</v>
      </c>
      <c r="I40" s="223">
        <v>50</v>
      </c>
      <c r="J40" s="53">
        <f t="shared" ref="J40:J44" si="9">K40*1.02</f>
        <v>46.922040000000003</v>
      </c>
      <c r="K40" s="166">
        <f t="shared" ref="K40:K46" si="10">(G40)*0.066</f>
        <v>46.002000000000002</v>
      </c>
      <c r="L40" s="108">
        <f t="shared" si="5"/>
        <v>0.92004000000000019</v>
      </c>
      <c r="M40" s="109">
        <f>[3]Feb!AD40</f>
        <v>453</v>
      </c>
      <c r="N40" s="109">
        <v>3</v>
      </c>
      <c r="O40" s="109"/>
      <c r="P40" s="110">
        <f t="shared" si="6"/>
        <v>1.9607843137254906</v>
      </c>
      <c r="Q40" s="109">
        <f t="shared" si="7"/>
        <v>255</v>
      </c>
      <c r="R40" s="16"/>
    </row>
    <row r="41" spans="2:79" ht="18">
      <c r="B41" s="91">
        <v>45708</v>
      </c>
      <c r="C41" s="114">
        <v>13</v>
      </c>
      <c r="D41" s="225" t="s">
        <v>76</v>
      </c>
      <c r="E41" s="360"/>
      <c r="F41" s="217">
        <f>[3]Feb!N101</f>
        <v>97</v>
      </c>
      <c r="G41" s="17">
        <v>522</v>
      </c>
      <c r="H41" s="108">
        <f t="shared" si="0"/>
        <v>45.583990297149789</v>
      </c>
      <c r="I41" s="165"/>
      <c r="J41" s="53">
        <f t="shared" si="9"/>
        <v>35.141039999999997</v>
      </c>
      <c r="K41" s="166">
        <f t="shared" si="10"/>
        <v>34.451999999999998</v>
      </c>
      <c r="L41" s="108">
        <f t="shared" si="5"/>
        <v>0.68903999999999854</v>
      </c>
      <c r="M41" s="109">
        <f>[3]Feb!AD41</f>
        <v>40</v>
      </c>
      <c r="N41" s="109">
        <v>2</v>
      </c>
      <c r="O41" s="109"/>
      <c r="P41" s="110">
        <f t="shared" si="6"/>
        <v>1.9607843137254863</v>
      </c>
      <c r="Q41" s="109">
        <f t="shared" si="7"/>
        <v>322.88659793814435</v>
      </c>
      <c r="R41" s="16"/>
    </row>
    <row r="42" spans="2:79" ht="18">
      <c r="B42" s="91">
        <v>45709</v>
      </c>
      <c r="C42" s="114">
        <v>14</v>
      </c>
      <c r="D42" s="225" t="s">
        <v>76</v>
      </c>
      <c r="E42" s="358">
        <v>1260</v>
      </c>
      <c r="F42" s="217">
        <f>[3]Feb!N102</f>
        <v>120</v>
      </c>
      <c r="G42" s="17">
        <v>815</v>
      </c>
      <c r="H42" s="166">
        <f t="shared" ref="H42:H62" si="11">(G42)*24/(F42/60)/17000*100</f>
        <v>57.529411764705884</v>
      </c>
      <c r="I42" s="165"/>
      <c r="J42" s="53">
        <f t="shared" si="9"/>
        <v>54.8658</v>
      </c>
      <c r="K42" s="166">
        <f t="shared" si="10"/>
        <v>53.79</v>
      </c>
      <c r="L42" s="108">
        <f t="shared" si="5"/>
        <v>1.075800000000001</v>
      </c>
      <c r="M42" s="109">
        <f>[3]Feb!AD42</f>
        <v>34</v>
      </c>
      <c r="N42" s="109">
        <v>15</v>
      </c>
      <c r="O42" s="109"/>
      <c r="P42" s="110">
        <f t="shared" si="6"/>
        <v>1.9607843137254919</v>
      </c>
      <c r="Q42" s="109">
        <f t="shared" si="7"/>
        <v>407.5</v>
      </c>
      <c r="R42" s="16"/>
    </row>
    <row r="43" spans="2:79" ht="18">
      <c r="B43" s="91">
        <v>45709</v>
      </c>
      <c r="C43" s="114">
        <v>14</v>
      </c>
      <c r="D43" s="225" t="s">
        <v>75</v>
      </c>
      <c r="E43" s="359"/>
      <c r="F43" s="217">
        <f>[3]Feb!N103</f>
        <v>184</v>
      </c>
      <c r="G43" s="17">
        <v>1358</v>
      </c>
      <c r="H43" s="166">
        <f t="shared" si="11"/>
        <v>62.516624040920711</v>
      </c>
      <c r="I43" s="165"/>
      <c r="J43" s="53">
        <f t="shared" si="9"/>
        <v>91.420559999999995</v>
      </c>
      <c r="K43" s="166">
        <f t="shared" si="10"/>
        <v>89.628</v>
      </c>
      <c r="L43" s="166">
        <f t="shared" ref="L43:L62" si="12">J43-K43</f>
        <v>1.7925599999999946</v>
      </c>
      <c r="M43" s="109">
        <f>[3]Feb!AD43</f>
        <v>91</v>
      </c>
      <c r="N43" s="165">
        <v>15</v>
      </c>
      <c r="O43" s="165"/>
      <c r="P43" s="166">
        <f t="shared" ref="P43:P62" si="13">(J43-K43)/J43*100</f>
        <v>1.9607843137254843</v>
      </c>
      <c r="Q43" s="168">
        <f t="shared" ref="Q43:Q62" si="14">G43/(F43/60)</f>
        <v>442.82608695652169</v>
      </c>
      <c r="R43" s="16"/>
    </row>
    <row r="44" spans="2:79" ht="17.25" customHeight="1">
      <c r="B44" s="91">
        <v>45709</v>
      </c>
      <c r="C44" s="114">
        <v>14</v>
      </c>
      <c r="D44" s="225" t="s">
        <v>78</v>
      </c>
      <c r="E44" s="359"/>
      <c r="F44" s="217">
        <f>[3]Feb!N104</f>
        <v>112</v>
      </c>
      <c r="G44" s="17">
        <v>683</v>
      </c>
      <c r="H44" s="166">
        <f t="shared" si="11"/>
        <v>51.655462184873947</v>
      </c>
      <c r="I44" s="165"/>
      <c r="J44" s="53">
        <f t="shared" si="9"/>
        <v>45.979560000000006</v>
      </c>
      <c r="K44" s="166">
        <f t="shared" si="10"/>
        <v>45.078000000000003</v>
      </c>
      <c r="L44" s="166">
        <f t="shared" si="12"/>
        <v>0.90156000000000347</v>
      </c>
      <c r="M44" s="109">
        <f>[3]Feb!AD44</f>
        <v>74</v>
      </c>
      <c r="N44" s="165">
        <v>11</v>
      </c>
      <c r="O44" s="165"/>
      <c r="P44" s="166">
        <f t="shared" si="13"/>
        <v>1.9607843137254974</v>
      </c>
      <c r="Q44" s="168">
        <f t="shared" si="14"/>
        <v>365.89285714285711</v>
      </c>
      <c r="R44" s="16"/>
    </row>
    <row r="45" spans="2:79" ht="18">
      <c r="B45" s="91">
        <v>45709</v>
      </c>
      <c r="C45" s="114">
        <v>14</v>
      </c>
      <c r="D45" s="115" t="s">
        <v>49</v>
      </c>
      <c r="E45" s="360"/>
      <c r="F45" s="217">
        <f>[3]Feb!N105</f>
        <v>537</v>
      </c>
      <c r="G45" s="17">
        <v>3980</v>
      </c>
      <c r="H45" s="166">
        <f t="shared" si="11"/>
        <v>62.780151166611908</v>
      </c>
      <c r="I45" s="165"/>
      <c r="J45" s="167">
        <f>95+93.5+96.5+93.4-45-63.6</f>
        <v>269.79999999999995</v>
      </c>
      <c r="K45" s="166">
        <f t="shared" si="10"/>
        <v>262.68</v>
      </c>
      <c r="L45" s="166">
        <f t="shared" si="12"/>
        <v>7.1199999999999477</v>
      </c>
      <c r="M45" s="109">
        <f>[3]Feb!AD45</f>
        <v>223</v>
      </c>
      <c r="N45" s="165">
        <f>5+14</f>
        <v>19</v>
      </c>
      <c r="O45" s="165"/>
      <c r="P45" s="166">
        <f t="shared" si="13"/>
        <v>2.6389918458116934</v>
      </c>
      <c r="Q45" s="168">
        <f t="shared" si="14"/>
        <v>444.69273743016765</v>
      </c>
      <c r="R45" s="16"/>
    </row>
    <row r="46" spans="2:79" ht="18">
      <c r="B46" s="91">
        <v>45712</v>
      </c>
      <c r="C46" s="114">
        <v>15</v>
      </c>
      <c r="D46" s="115" t="s">
        <v>49</v>
      </c>
      <c r="E46" s="358">
        <v>1380</v>
      </c>
      <c r="F46" s="217">
        <f>[3]Feb!N106</f>
        <v>371</v>
      </c>
      <c r="G46" s="17">
        <v>1587</v>
      </c>
      <c r="H46" s="166">
        <f t="shared" si="11"/>
        <v>36.234025685745998</v>
      </c>
      <c r="I46" s="165"/>
      <c r="J46" s="167">
        <f>45+63.6</f>
        <v>108.6</v>
      </c>
      <c r="K46" s="166">
        <f t="shared" si="10"/>
        <v>104.742</v>
      </c>
      <c r="L46" s="166">
        <f t="shared" si="12"/>
        <v>3.8579999999999899</v>
      </c>
      <c r="M46" s="109">
        <f>[3]Feb!AD46</f>
        <v>735</v>
      </c>
      <c r="N46" s="165">
        <v>9</v>
      </c>
      <c r="O46" s="165"/>
      <c r="P46" s="166">
        <f t="shared" si="13"/>
        <v>3.5524861878452949</v>
      </c>
      <c r="Q46" s="168">
        <f t="shared" si="14"/>
        <v>256.6576819407008</v>
      </c>
      <c r="R46" s="16"/>
    </row>
    <row r="47" spans="2:79" ht="18">
      <c r="B47" s="91">
        <v>45712</v>
      </c>
      <c r="C47" s="114">
        <v>15</v>
      </c>
      <c r="D47" s="115" t="s">
        <v>47</v>
      </c>
      <c r="E47" s="360"/>
      <c r="F47" s="217">
        <f>[3]Feb!N107</f>
        <v>390</v>
      </c>
      <c r="G47" s="17">
        <v>3124</v>
      </c>
      <c r="H47" s="166">
        <f t="shared" si="11"/>
        <v>67.85158371040724</v>
      </c>
      <c r="I47" s="165"/>
      <c r="J47" s="167">
        <f>93.4+92.5+94.5-70</f>
        <v>210.39999999999998</v>
      </c>
      <c r="K47" s="166">
        <f t="shared" ref="K47:K62" si="15">(G47)*0.066</f>
        <v>206.184</v>
      </c>
      <c r="L47" s="166">
        <f t="shared" si="12"/>
        <v>4.2159999999999798</v>
      </c>
      <c r="M47" s="109">
        <f>[3]Feb!AD47</f>
        <v>137</v>
      </c>
      <c r="N47" s="165">
        <f>3+6</f>
        <v>9</v>
      </c>
      <c r="O47" s="165"/>
      <c r="P47" s="166">
        <f t="shared" si="13"/>
        <v>2.0038022813688121</v>
      </c>
      <c r="Q47" s="168">
        <f t="shared" si="14"/>
        <v>480.61538461538464</v>
      </c>
      <c r="R47" s="16"/>
      <c r="S47" s="142"/>
    </row>
    <row r="48" spans="2:79" ht="18">
      <c r="B48" s="91">
        <v>45713</v>
      </c>
      <c r="C48" s="114">
        <v>16</v>
      </c>
      <c r="D48" s="115" t="s">
        <v>47</v>
      </c>
      <c r="E48" s="358">
        <v>1440</v>
      </c>
      <c r="F48" s="217">
        <f>[3]Feb!N108</f>
        <v>299</v>
      </c>
      <c r="G48" s="17">
        <v>2418</v>
      </c>
      <c r="H48" s="166">
        <f t="shared" si="11"/>
        <v>68.501278772378512</v>
      </c>
      <c r="I48" s="165"/>
      <c r="J48" s="167">
        <f>93+70</f>
        <v>163</v>
      </c>
      <c r="K48" s="166">
        <f t="shared" si="15"/>
        <v>159.58799999999999</v>
      </c>
      <c r="L48" s="166">
        <f t="shared" si="12"/>
        <v>3.4120000000000061</v>
      </c>
      <c r="M48" s="109">
        <f>[3]Feb!AD48</f>
        <v>71</v>
      </c>
      <c r="N48" s="165">
        <f>9+3</f>
        <v>12</v>
      </c>
      <c r="O48" s="165"/>
      <c r="P48" s="166">
        <f t="shared" si="13"/>
        <v>2.0932515337423352</v>
      </c>
      <c r="Q48" s="168">
        <f t="shared" si="14"/>
        <v>485.21739130434781</v>
      </c>
      <c r="R48" s="16"/>
    </row>
    <row r="49" spans="2:18" ht="18">
      <c r="B49" s="91">
        <v>45713</v>
      </c>
      <c r="C49" s="114">
        <v>16</v>
      </c>
      <c r="D49" s="115" t="s">
        <v>49</v>
      </c>
      <c r="E49" s="360"/>
      <c r="F49" s="217">
        <f>[3]Feb!N109</f>
        <v>751</v>
      </c>
      <c r="G49" s="17">
        <v>6297</v>
      </c>
      <c r="H49" s="166">
        <f t="shared" si="11"/>
        <v>71.02435967729302</v>
      </c>
      <c r="I49" s="165"/>
      <c r="J49" s="167">
        <f>99+87.8+98+100+89.2+102.2-75-77</f>
        <v>424.20000000000005</v>
      </c>
      <c r="K49" s="166">
        <f t="shared" si="15"/>
        <v>415.60200000000003</v>
      </c>
      <c r="L49" s="166">
        <f t="shared" si="12"/>
        <v>8.5980000000000132</v>
      </c>
      <c r="M49" s="109">
        <f>[3]Feb!AD49</f>
        <v>473</v>
      </c>
      <c r="N49" s="165"/>
      <c r="O49" s="165"/>
      <c r="P49" s="166">
        <f t="shared" si="13"/>
        <v>2.0268741159830297</v>
      </c>
      <c r="Q49" s="168">
        <f t="shared" si="14"/>
        <v>503.08921438082552</v>
      </c>
      <c r="R49" s="16"/>
    </row>
    <row r="50" spans="2:18" ht="18">
      <c r="B50" s="91">
        <v>45714</v>
      </c>
      <c r="C50" s="114">
        <v>17</v>
      </c>
      <c r="D50" s="115" t="s">
        <v>49</v>
      </c>
      <c r="E50" s="106">
        <v>1440</v>
      </c>
      <c r="F50" s="217">
        <f>[3]Feb!N110</f>
        <v>924</v>
      </c>
      <c r="G50" s="17">
        <v>6251</v>
      </c>
      <c r="H50" s="166">
        <f>(G50)*24/(F50/60)/17000*100</f>
        <v>57.304812834224592</v>
      </c>
      <c r="I50" s="165">
        <v>1</v>
      </c>
      <c r="J50" s="167">
        <f>75+77+97+97.3+105.7+86.2-25-85</f>
        <v>428.20000000000005</v>
      </c>
      <c r="K50" s="166">
        <f>(G50)*0.066+(30*0.19)</f>
        <v>418.26600000000002</v>
      </c>
      <c r="L50" s="166">
        <f>J50-K50</f>
        <v>9.9340000000000259</v>
      </c>
      <c r="M50" s="109">
        <f>[3]Feb!AD50</f>
        <v>836</v>
      </c>
      <c r="N50" s="165">
        <v>92</v>
      </c>
      <c r="O50" s="165">
        <v>30</v>
      </c>
      <c r="P50" s="166">
        <f t="shared" si="13"/>
        <v>2.3199439514245737</v>
      </c>
      <c r="Q50" s="168">
        <f t="shared" si="14"/>
        <v>405.90909090909088</v>
      </c>
      <c r="R50" s="16"/>
    </row>
    <row r="51" spans="2:18" ht="18">
      <c r="B51" s="91">
        <v>45715</v>
      </c>
      <c r="C51" s="114">
        <v>18</v>
      </c>
      <c r="D51" s="115" t="s">
        <v>49</v>
      </c>
      <c r="E51" s="358">
        <v>1440</v>
      </c>
      <c r="F51" s="217">
        <f>[3]Feb!N111</f>
        <v>243</v>
      </c>
      <c r="G51" s="17">
        <v>1576</v>
      </c>
      <c r="H51" s="166">
        <f t="shared" si="11"/>
        <v>54.936819172113296</v>
      </c>
      <c r="I51" s="165"/>
      <c r="J51" s="167">
        <f>25+85</f>
        <v>110</v>
      </c>
      <c r="K51" s="166">
        <f t="shared" si="15"/>
        <v>104.01600000000001</v>
      </c>
      <c r="L51" s="166">
        <f t="shared" si="12"/>
        <v>5.9839999999999947</v>
      </c>
      <c r="M51" s="109">
        <f>[3]Feb!AD51</f>
        <v>85</v>
      </c>
      <c r="N51" s="165">
        <v>8</v>
      </c>
      <c r="O51" s="165"/>
      <c r="P51" s="166">
        <f t="shared" si="13"/>
        <v>5.4399999999999951</v>
      </c>
      <c r="Q51" s="168">
        <f t="shared" si="14"/>
        <v>389.1358024691358</v>
      </c>
      <c r="R51" s="16"/>
    </row>
    <row r="52" spans="2:18" ht="18">
      <c r="B52" s="91">
        <v>45715</v>
      </c>
      <c r="C52" s="114">
        <v>18</v>
      </c>
      <c r="D52" s="115" t="s">
        <v>45</v>
      </c>
      <c r="E52" s="359"/>
      <c r="F52" s="217">
        <f>[3]Feb!N112</f>
        <v>504</v>
      </c>
      <c r="G52" s="17">
        <v>2858</v>
      </c>
      <c r="H52" s="166">
        <f t="shared" si="11"/>
        <v>48.033613445378151</v>
      </c>
      <c r="I52" s="165"/>
      <c r="J52" s="167">
        <f>95.1+94</f>
        <v>189.1</v>
      </c>
      <c r="K52" s="166">
        <f t="shared" si="15"/>
        <v>188.62800000000001</v>
      </c>
      <c r="L52" s="166">
        <f t="shared" si="12"/>
        <v>0.47199999999997999</v>
      </c>
      <c r="M52" s="109">
        <f>[3]Feb!AD52</f>
        <v>189</v>
      </c>
      <c r="N52" s="165">
        <f>5+15</f>
        <v>20</v>
      </c>
      <c r="O52" s="165"/>
      <c r="P52" s="166">
        <f t="shared" si="13"/>
        <v>0.24960338445265995</v>
      </c>
      <c r="Q52" s="168">
        <f t="shared" si="14"/>
        <v>340.23809523809524</v>
      </c>
      <c r="R52" s="16"/>
    </row>
    <row r="53" spans="2:18" ht="18">
      <c r="B53" s="91">
        <v>45715</v>
      </c>
      <c r="C53" s="114">
        <v>18</v>
      </c>
      <c r="D53" s="115" t="s">
        <v>49</v>
      </c>
      <c r="E53" s="360"/>
      <c r="F53" s="217">
        <f>[3]Feb!N113</f>
        <v>438</v>
      </c>
      <c r="G53" s="17">
        <v>1466</v>
      </c>
      <c r="H53" s="166">
        <f t="shared" si="11"/>
        <v>28.35132957292506</v>
      </c>
      <c r="I53" s="165"/>
      <c r="J53" s="167">
        <f>99.4+99.5-98</f>
        <v>100.9</v>
      </c>
      <c r="K53" s="166">
        <f t="shared" si="15"/>
        <v>96.756</v>
      </c>
      <c r="L53" s="166">
        <f t="shared" si="12"/>
        <v>4.1440000000000055</v>
      </c>
      <c r="M53" s="109">
        <f>[3]Feb!AD53</f>
        <v>412</v>
      </c>
      <c r="N53" s="165">
        <v>5</v>
      </c>
      <c r="O53" s="165"/>
      <c r="P53" s="166">
        <f t="shared" si="13"/>
        <v>4.1070366699702729</v>
      </c>
      <c r="Q53" s="168">
        <f t="shared" si="14"/>
        <v>200.82191780821918</v>
      </c>
      <c r="R53" s="16"/>
    </row>
    <row r="54" spans="2:18" ht="18">
      <c r="B54" s="91">
        <v>45716</v>
      </c>
      <c r="C54" s="114">
        <v>19</v>
      </c>
      <c r="D54" s="115" t="s">
        <v>49</v>
      </c>
      <c r="E54" s="358">
        <v>1260</v>
      </c>
      <c r="F54" s="217">
        <f>[3]Feb!N114</f>
        <v>285</v>
      </c>
      <c r="G54" s="17">
        <v>2436</v>
      </c>
      <c r="H54" s="166">
        <f t="shared" si="11"/>
        <v>72.401238390092885</v>
      </c>
      <c r="I54" s="165"/>
      <c r="J54" s="361">
        <f>SUM(98,92.3,74.5)</f>
        <v>264.8</v>
      </c>
      <c r="K54" s="362">
        <f>(G54+G55)*0.066</f>
        <v>259.18200000000002</v>
      </c>
      <c r="L54" s="362">
        <f>J54-K54</f>
        <v>5.617999999999995</v>
      </c>
      <c r="M54" s="109">
        <f>[3]Feb!AD54</f>
        <v>58</v>
      </c>
      <c r="N54" s="165">
        <v>10</v>
      </c>
      <c r="O54" s="165"/>
      <c r="P54" s="362">
        <f>(J54-K54)/J54*100</f>
        <v>2.1216012084592126</v>
      </c>
      <c r="Q54" s="168">
        <f t="shared" si="14"/>
        <v>512.84210526315792</v>
      </c>
      <c r="R54" s="16"/>
    </row>
    <row r="55" spans="2:18" ht="18">
      <c r="B55" s="91">
        <v>45716</v>
      </c>
      <c r="C55" s="114">
        <v>19</v>
      </c>
      <c r="D55" s="115" t="s">
        <v>58</v>
      </c>
      <c r="E55" s="359"/>
      <c r="F55" s="217">
        <f>[3]Feb!N115</f>
        <v>251</v>
      </c>
      <c r="G55" s="17">
        <v>1491</v>
      </c>
      <c r="H55" s="166">
        <f t="shared" si="11"/>
        <v>50.317318959456294</v>
      </c>
      <c r="I55" s="165"/>
      <c r="J55" s="361"/>
      <c r="K55" s="362"/>
      <c r="L55" s="362"/>
      <c r="M55" s="109">
        <f>[3]Feb!AD55</f>
        <v>132</v>
      </c>
      <c r="N55" s="165">
        <v>16</v>
      </c>
      <c r="O55" s="165"/>
      <c r="P55" s="362"/>
      <c r="Q55" s="168">
        <f t="shared" si="14"/>
        <v>356.41434262948206</v>
      </c>
      <c r="R55" s="16"/>
    </row>
    <row r="56" spans="2:18" ht="18">
      <c r="B56" s="91">
        <v>45716</v>
      </c>
      <c r="C56" s="114">
        <v>19</v>
      </c>
      <c r="D56" s="115" t="s">
        <v>47</v>
      </c>
      <c r="E56" s="360"/>
      <c r="F56" s="217">
        <f>[3]Feb!N116</f>
        <v>522</v>
      </c>
      <c r="G56" s="17">
        <v>3681</v>
      </c>
      <c r="H56" s="166">
        <f t="shared" si="11"/>
        <v>59.732251521298174</v>
      </c>
      <c r="I56" s="165"/>
      <c r="J56" s="167">
        <f>SUM(93,93,94.3,88.8)-57.8-57.2</f>
        <v>254.10000000000002</v>
      </c>
      <c r="K56" s="166">
        <f>(G56)*0.066+(20*0.19)</f>
        <v>246.74600000000001</v>
      </c>
      <c r="L56" s="166">
        <f t="shared" si="12"/>
        <v>7.3540000000000134</v>
      </c>
      <c r="M56" s="109">
        <f>[3]Feb!AD56</f>
        <v>137</v>
      </c>
      <c r="N56" s="165">
        <v>23</v>
      </c>
      <c r="O56" s="165">
        <v>20</v>
      </c>
      <c r="P56" s="166">
        <f t="shared" si="13"/>
        <v>2.8941361668634444</v>
      </c>
      <c r="Q56" s="168">
        <f t="shared" si="14"/>
        <v>423.10344827586209</v>
      </c>
      <c r="R56" s="16"/>
    </row>
    <row r="57" spans="2:18" ht="18">
      <c r="B57" s="91"/>
      <c r="C57" s="114"/>
      <c r="D57" s="115"/>
      <c r="E57" s="106"/>
      <c r="F57" s="39"/>
      <c r="G57" s="17"/>
      <c r="H57" s="166" t="e">
        <f t="shared" si="11"/>
        <v>#DIV/0!</v>
      </c>
      <c r="I57" s="165"/>
      <c r="J57" s="167"/>
      <c r="K57" s="166">
        <f t="shared" si="15"/>
        <v>0</v>
      </c>
      <c r="L57" s="166">
        <f t="shared" si="12"/>
        <v>0</v>
      </c>
      <c r="M57" s="165"/>
      <c r="N57" s="165"/>
      <c r="O57" s="165"/>
      <c r="P57" s="166" t="e">
        <f t="shared" si="13"/>
        <v>#DIV/0!</v>
      </c>
      <c r="Q57" s="168" t="e">
        <f t="shared" si="14"/>
        <v>#DIV/0!</v>
      </c>
      <c r="R57" s="16"/>
    </row>
    <row r="58" spans="2:18" ht="18">
      <c r="B58" s="91"/>
      <c r="C58" s="114"/>
      <c r="D58" s="115"/>
      <c r="E58" s="106"/>
      <c r="F58" s="39"/>
      <c r="G58" s="17"/>
      <c r="H58" s="166" t="e">
        <f t="shared" si="11"/>
        <v>#DIV/0!</v>
      </c>
      <c r="I58" s="165"/>
      <c r="J58" s="167"/>
      <c r="K58" s="166">
        <f t="shared" si="15"/>
        <v>0</v>
      </c>
      <c r="L58" s="166">
        <f t="shared" si="12"/>
        <v>0</v>
      </c>
      <c r="M58" s="165"/>
      <c r="N58" s="165"/>
      <c r="O58" s="165"/>
      <c r="P58" s="166" t="e">
        <f t="shared" si="13"/>
        <v>#DIV/0!</v>
      </c>
      <c r="Q58" s="168" t="e">
        <f t="shared" si="14"/>
        <v>#DIV/0!</v>
      </c>
      <c r="R58" s="16"/>
    </row>
    <row r="59" spans="2:18" ht="18">
      <c r="B59" s="91"/>
      <c r="C59" s="114"/>
      <c r="D59" s="115"/>
      <c r="E59" s="106"/>
      <c r="F59" s="39"/>
      <c r="G59" s="17"/>
      <c r="H59" s="166" t="e">
        <f t="shared" si="11"/>
        <v>#DIV/0!</v>
      </c>
      <c r="I59" s="165"/>
      <c r="J59" s="167"/>
      <c r="K59" s="166">
        <f t="shared" si="15"/>
        <v>0</v>
      </c>
      <c r="L59" s="166">
        <f t="shared" si="12"/>
        <v>0</v>
      </c>
      <c r="M59" s="165"/>
      <c r="N59" s="165"/>
      <c r="O59" s="165"/>
      <c r="P59" s="166" t="e">
        <f t="shared" si="13"/>
        <v>#DIV/0!</v>
      </c>
      <c r="Q59" s="168" t="e">
        <f t="shared" si="14"/>
        <v>#DIV/0!</v>
      </c>
      <c r="R59" s="16"/>
    </row>
    <row r="60" spans="2:18" ht="18">
      <c r="B60" s="91"/>
      <c r="C60" s="114"/>
      <c r="D60" s="115"/>
      <c r="E60" s="106"/>
      <c r="F60" s="39"/>
      <c r="G60" s="17"/>
      <c r="H60" s="166" t="e">
        <f t="shared" si="11"/>
        <v>#DIV/0!</v>
      </c>
      <c r="I60" s="165"/>
      <c r="J60" s="167"/>
      <c r="K60" s="166">
        <f t="shared" si="15"/>
        <v>0</v>
      </c>
      <c r="L60" s="166">
        <f t="shared" si="12"/>
        <v>0</v>
      </c>
      <c r="M60" s="165"/>
      <c r="N60" s="165"/>
      <c r="O60" s="165"/>
      <c r="P60" s="166" t="e">
        <f t="shared" si="13"/>
        <v>#DIV/0!</v>
      </c>
      <c r="Q60" s="168" t="e">
        <f t="shared" si="14"/>
        <v>#DIV/0!</v>
      </c>
      <c r="R60" s="16"/>
    </row>
    <row r="61" spans="2:18" ht="18">
      <c r="B61" s="91"/>
      <c r="C61" s="114"/>
      <c r="D61" s="115"/>
      <c r="E61" s="106"/>
      <c r="F61" s="39"/>
      <c r="G61" s="17"/>
      <c r="H61" s="166" t="e">
        <f t="shared" si="11"/>
        <v>#DIV/0!</v>
      </c>
      <c r="I61" s="165"/>
      <c r="J61" s="167"/>
      <c r="K61" s="166">
        <f t="shared" si="15"/>
        <v>0</v>
      </c>
      <c r="L61" s="166">
        <f t="shared" si="12"/>
        <v>0</v>
      </c>
      <c r="M61" s="165"/>
      <c r="N61" s="165"/>
      <c r="O61" s="165"/>
      <c r="P61" s="166" t="e">
        <f t="shared" si="13"/>
        <v>#DIV/0!</v>
      </c>
      <c r="Q61" s="168" t="e">
        <f t="shared" si="14"/>
        <v>#DIV/0!</v>
      </c>
      <c r="R61" s="16"/>
    </row>
    <row r="62" spans="2:18" ht="18.600000000000001" thickBot="1">
      <c r="B62" s="91"/>
      <c r="C62" s="114"/>
      <c r="D62" s="115"/>
      <c r="E62" s="106"/>
      <c r="F62" s="39"/>
      <c r="G62" s="17"/>
      <c r="H62" s="166" t="e">
        <f t="shared" si="11"/>
        <v>#DIV/0!</v>
      </c>
      <c r="I62" s="165"/>
      <c r="J62" s="167"/>
      <c r="K62" s="166">
        <f t="shared" si="15"/>
        <v>0</v>
      </c>
      <c r="L62" s="166">
        <f t="shared" si="12"/>
        <v>0</v>
      </c>
      <c r="M62" s="165"/>
      <c r="N62" s="165"/>
      <c r="O62" s="165"/>
      <c r="P62" s="166" t="e">
        <f t="shared" si="13"/>
        <v>#DIV/0!</v>
      </c>
      <c r="Q62" s="168" t="e">
        <f t="shared" si="14"/>
        <v>#DIV/0!</v>
      </c>
      <c r="R62" s="16"/>
    </row>
    <row r="63" spans="2:18" ht="16.8" thickTop="1" thickBot="1">
      <c r="B63" s="12"/>
      <c r="C63" s="12"/>
      <c r="D63" s="30"/>
      <c r="E63" s="22">
        <f>SUM(E8:E62)</f>
        <v>26510</v>
      </c>
      <c r="F63" s="22">
        <f>SUM(F8:F62)</f>
        <v>20380</v>
      </c>
      <c r="G63" s="145">
        <f>SUM(G8:G62)</f>
        <v>131261</v>
      </c>
      <c r="H63" s="13">
        <f>(G63)*24/(F63/60)/17000*100</f>
        <v>54.556323962362171</v>
      </c>
      <c r="I63" s="14">
        <f>SUM(I8:I62)</f>
        <v>148</v>
      </c>
      <c r="J63" s="13">
        <f>SUM(J8:J62)</f>
        <v>8912.6745199999987</v>
      </c>
      <c r="K63" s="13">
        <f>SUM(K8:K62)</f>
        <v>8712.7312000000002</v>
      </c>
      <c r="L63" s="13">
        <f>J63-K63</f>
        <v>199.94331999999849</v>
      </c>
      <c r="M63" s="52">
        <f>SUM(M8:M62)</f>
        <v>11361</v>
      </c>
      <c r="N63" s="36">
        <f>SUM(N8:N62)</f>
        <v>531.5</v>
      </c>
      <c r="O63" s="14">
        <f>SUM(O8:O62)</f>
        <v>121</v>
      </c>
      <c r="P63" s="24">
        <f>(J63-K63)/J63</f>
        <v>2.2433593816460665E-2</v>
      </c>
      <c r="Q63" s="396">
        <f>G63/(E63/60)</f>
        <v>297.08261033572239</v>
      </c>
      <c r="R63" s="400">
        <f>(G63+January_2025!G65)/((E63+January_2025!E65)/60)</f>
        <v>309.4903561875264</v>
      </c>
    </row>
    <row r="64" spans="2:18" ht="16.8" thickTop="1" thickBot="1">
      <c r="G64" s="1"/>
      <c r="H64" s="1"/>
      <c r="L64" s="18"/>
      <c r="M64" s="18"/>
      <c r="N64" s="40" t="s">
        <v>23</v>
      </c>
      <c r="O64" s="18"/>
      <c r="Q64" s="5"/>
    </row>
    <row r="65" spans="7:18" ht="21" thickTop="1" thickBot="1">
      <c r="G65" s="61"/>
      <c r="H65" s="1"/>
      <c r="K65" s="45" t="s">
        <v>36</v>
      </c>
      <c r="L65" s="15">
        <f>G63+O65</f>
        <v>131593.75</v>
      </c>
      <c r="M65" s="18"/>
      <c r="N65" s="40" t="s">
        <v>31</v>
      </c>
      <c r="O65" s="46">
        <f>O63*2.75</f>
        <v>332.75</v>
      </c>
      <c r="P65" s="398" t="s">
        <v>146</v>
      </c>
      <c r="Q65" s="397">
        <v>386.44062806673207</v>
      </c>
      <c r="R65" s="399">
        <v>398.29266819664213</v>
      </c>
    </row>
    <row r="66" spans="7:18" ht="16.2" thickTop="1">
      <c r="G66" s="1"/>
      <c r="H66" s="1"/>
      <c r="L66" s="18"/>
      <c r="M66" s="18"/>
      <c r="N66" s="18"/>
      <c r="O66" s="18"/>
      <c r="Q66" s="5"/>
    </row>
    <row r="67" spans="7:18" ht="15.6">
      <c r="G67" s="1"/>
      <c r="H67" s="1"/>
      <c r="L67" s="222">
        <f>January_2025!G65+February_2025!G63</f>
        <v>219831</v>
      </c>
      <c r="M67" s="18"/>
      <c r="N67" s="41" t="s">
        <v>32</v>
      </c>
      <c r="O67" s="62">
        <f>O30</f>
        <v>0</v>
      </c>
      <c r="Q67" s="5"/>
    </row>
    <row r="68" spans="7:18" ht="15.6">
      <c r="G68" s="1"/>
      <c r="H68" s="1"/>
      <c r="L68" s="221">
        <f>January_2025!K68+February_2025!L65</f>
        <v>220411.25</v>
      </c>
      <c r="M68" s="18"/>
      <c r="N68" s="41" t="s">
        <v>33</v>
      </c>
      <c r="O68" s="62">
        <f>SUM(O9+O18+O28+O34+O35)</f>
        <v>0</v>
      </c>
      <c r="Q68" s="5"/>
    </row>
    <row r="69" spans="7:18" ht="15.6">
      <c r="G69" s="1"/>
      <c r="H69" s="1"/>
      <c r="L69" s="18"/>
      <c r="M69" s="18"/>
      <c r="N69" s="41" t="s">
        <v>34</v>
      </c>
      <c r="O69" s="42"/>
      <c r="Q69" s="5"/>
    </row>
    <row r="70" spans="7:18" ht="15.6">
      <c r="G70" s="1"/>
      <c r="H70" s="1"/>
      <c r="L70" s="18"/>
      <c r="M70" s="18"/>
      <c r="N70" s="43" t="s">
        <v>35</v>
      </c>
      <c r="O70" s="64">
        <f>O63</f>
        <v>121</v>
      </c>
      <c r="Q70" s="5"/>
    </row>
    <row r="71" spans="7:18" ht="15.6">
      <c r="G71" s="1"/>
      <c r="H71" s="1"/>
      <c r="L71" s="18"/>
      <c r="M71" s="18"/>
      <c r="N71" s="18"/>
      <c r="O71" s="18"/>
      <c r="Q71" s="5"/>
    </row>
    <row r="72" spans="7:18" ht="15.6">
      <c r="G72" s="1"/>
      <c r="H72" s="1"/>
      <c r="L72" s="18"/>
      <c r="M72" s="18"/>
      <c r="N72" s="18"/>
      <c r="O72" s="18"/>
      <c r="Q72" s="5"/>
    </row>
    <row r="73" spans="7:18" ht="15.6">
      <c r="G73" s="1"/>
      <c r="H73" s="1"/>
      <c r="L73" s="18"/>
      <c r="M73" s="18"/>
      <c r="N73" s="18"/>
      <c r="O73" s="18"/>
      <c r="Q73" s="5"/>
    </row>
    <row r="74" spans="7:18" ht="15.6">
      <c r="G74" s="1"/>
      <c r="H74" s="1"/>
      <c r="L74" s="18"/>
      <c r="M74" s="18"/>
      <c r="N74" s="18"/>
      <c r="O74" s="18"/>
      <c r="Q74" s="5"/>
    </row>
    <row r="75" spans="7:18" ht="15.6">
      <c r="G75" s="1"/>
      <c r="H75" s="1"/>
      <c r="L75" s="18"/>
      <c r="M75" s="18"/>
      <c r="N75" s="18"/>
      <c r="O75" s="18"/>
      <c r="Q75" s="5"/>
    </row>
    <row r="76" spans="7:18" ht="15.6">
      <c r="G76" s="1"/>
      <c r="H76" s="1"/>
      <c r="L76" s="18"/>
      <c r="M76" s="18"/>
      <c r="N76" s="18"/>
      <c r="O76" s="18"/>
      <c r="Q76" s="5"/>
    </row>
    <row r="77" spans="7:18" ht="15.6">
      <c r="G77" s="1"/>
      <c r="H77" s="1"/>
      <c r="L77" s="18"/>
      <c r="M77" s="18"/>
      <c r="N77" s="18"/>
      <c r="O77" s="18"/>
      <c r="Q77" s="5"/>
    </row>
    <row r="78" spans="7:18" ht="15.6">
      <c r="G78" s="1"/>
      <c r="H78" s="1"/>
      <c r="L78" s="18"/>
      <c r="M78" s="18"/>
      <c r="N78" s="18"/>
      <c r="O78" s="18"/>
      <c r="Q78" s="5"/>
    </row>
    <row r="79" spans="7:18">
      <c r="G79" s="1"/>
      <c r="H79" s="1"/>
      <c r="Q79" s="5"/>
    </row>
    <row r="80" spans="7:18">
      <c r="G80" s="1"/>
      <c r="H80" s="1"/>
      <c r="Q80" s="5"/>
    </row>
    <row r="81" spans="7:17">
      <c r="G81" s="1"/>
      <c r="H81" s="1"/>
      <c r="Q81" s="5"/>
    </row>
    <row r="82" spans="7:17">
      <c r="G82" s="1"/>
      <c r="H82" s="1"/>
      <c r="Q82" s="5"/>
    </row>
    <row r="83" spans="7:17">
      <c r="G83" s="1"/>
      <c r="H83" s="1"/>
      <c r="Q83" s="5"/>
    </row>
    <row r="84" spans="7:17">
      <c r="G84" s="1"/>
      <c r="H84" s="1"/>
      <c r="Q84" s="5"/>
    </row>
    <row r="85" spans="7:17">
      <c r="G85" s="1"/>
      <c r="H85" s="1"/>
      <c r="Q85" s="5"/>
    </row>
    <row r="86" spans="7:17">
      <c r="G86" s="1"/>
      <c r="H86" s="1"/>
      <c r="Q86" s="5"/>
    </row>
    <row r="87" spans="7:17">
      <c r="G87" s="1"/>
      <c r="H87" s="1"/>
      <c r="Q87" s="5"/>
    </row>
    <row r="88" spans="7:17">
      <c r="G88" s="1"/>
      <c r="H88" s="1"/>
      <c r="Q88" s="5"/>
    </row>
    <row r="89" spans="7:17">
      <c r="G89" s="1"/>
      <c r="H89" s="1"/>
      <c r="Q89" s="5"/>
    </row>
    <row r="90" spans="7:17">
      <c r="G90" s="1"/>
      <c r="H90" s="1"/>
      <c r="Q90" s="5"/>
    </row>
    <row r="91" spans="7:17">
      <c r="G91" s="1"/>
      <c r="H91" s="1"/>
      <c r="Q91" s="5"/>
    </row>
    <row r="92" spans="7:17">
      <c r="G92" s="1"/>
      <c r="H92" s="1"/>
      <c r="Q92" s="5"/>
    </row>
    <row r="93" spans="7:17">
      <c r="G93" s="1"/>
      <c r="H93" s="1"/>
      <c r="Q93" s="5"/>
    </row>
    <row r="94" spans="7:17">
      <c r="G94" s="1"/>
      <c r="H94" s="1"/>
      <c r="Q94" s="5"/>
    </row>
    <row r="95" spans="7:17">
      <c r="G95" s="1"/>
      <c r="H95" s="1"/>
      <c r="Q95" s="5"/>
    </row>
    <row r="96" spans="7:17">
      <c r="G96" s="1"/>
      <c r="H96" s="1"/>
      <c r="Q96" s="5"/>
    </row>
    <row r="97" spans="7:17">
      <c r="G97" s="1"/>
      <c r="H97" s="1"/>
      <c r="Q97" s="5"/>
    </row>
    <row r="98" spans="7:17">
      <c r="G98" s="1"/>
      <c r="H98" s="1"/>
      <c r="Q98" s="5"/>
    </row>
    <row r="99" spans="7:17">
      <c r="G99" s="1"/>
      <c r="H99" s="1"/>
      <c r="Q99" s="5"/>
    </row>
    <row r="100" spans="7:17">
      <c r="G100" s="1"/>
      <c r="H100" s="1"/>
      <c r="Q100" s="5"/>
    </row>
    <row r="101" spans="7:17">
      <c r="G101" s="1"/>
      <c r="H101" s="1"/>
      <c r="Q101" s="5"/>
    </row>
    <row r="102" spans="7:17">
      <c r="G102" s="1"/>
      <c r="H102" s="1"/>
      <c r="Q102" s="5"/>
    </row>
    <row r="103" spans="7:17">
      <c r="G103" s="1"/>
      <c r="H103" s="1"/>
      <c r="Q103" s="5"/>
    </row>
    <row r="104" spans="7:17">
      <c r="G104" s="1"/>
      <c r="H104" s="1"/>
      <c r="Q104" s="5"/>
    </row>
    <row r="105" spans="7:17">
      <c r="G105" s="1"/>
      <c r="H105" s="1"/>
      <c r="Q105" s="5"/>
    </row>
    <row r="106" spans="7:17">
      <c r="G106" s="1"/>
      <c r="H106" s="1"/>
      <c r="Q106" s="5"/>
    </row>
    <row r="107" spans="7:17">
      <c r="G107" s="1"/>
      <c r="H107" s="1"/>
      <c r="Q107" s="5"/>
    </row>
    <row r="108" spans="7:17">
      <c r="G108" s="1"/>
      <c r="H108" s="1"/>
      <c r="Q108" s="5"/>
    </row>
    <row r="109" spans="7:17">
      <c r="G109" s="1"/>
      <c r="H109" s="1"/>
      <c r="Q109" s="5"/>
    </row>
    <row r="110" spans="7:17">
      <c r="G110" s="1"/>
      <c r="H110" s="1"/>
      <c r="Q110" s="5"/>
    </row>
    <row r="111" spans="7:17">
      <c r="G111" s="1"/>
      <c r="H111" s="1"/>
      <c r="Q111" s="5"/>
    </row>
    <row r="112" spans="7:17">
      <c r="G112" s="1"/>
      <c r="H112" s="1"/>
      <c r="Q112" s="5"/>
    </row>
    <row r="113" spans="7:17">
      <c r="G113" s="1"/>
      <c r="H113" s="1"/>
      <c r="Q113" s="5"/>
    </row>
    <row r="114" spans="7:17">
      <c r="G114" s="1"/>
      <c r="H114" s="1"/>
      <c r="Q114" s="5"/>
    </row>
    <row r="115" spans="7:17">
      <c r="G115" s="1"/>
      <c r="H115" s="1"/>
      <c r="Q115" s="5"/>
    </row>
    <row r="116" spans="7:17">
      <c r="G116" s="1"/>
      <c r="H116" s="1"/>
      <c r="Q116" s="5"/>
    </row>
    <row r="117" spans="7:17">
      <c r="G117" s="1"/>
      <c r="H117" s="1"/>
      <c r="Q117" s="5"/>
    </row>
    <row r="118" spans="7:17">
      <c r="G118" s="1"/>
      <c r="H118" s="1"/>
      <c r="Q118" s="5"/>
    </row>
    <row r="119" spans="7:17">
      <c r="G119" s="1"/>
      <c r="H119" s="1"/>
      <c r="Q119" s="5"/>
    </row>
    <row r="120" spans="7:17">
      <c r="G120" s="1"/>
      <c r="H120" s="1"/>
      <c r="Q120" s="5"/>
    </row>
    <row r="121" spans="7:17">
      <c r="G121" s="1"/>
      <c r="H121" s="1"/>
      <c r="Q121" s="5"/>
    </row>
    <row r="122" spans="7:17">
      <c r="G122" s="1"/>
      <c r="H122" s="1"/>
      <c r="Q122" s="5"/>
    </row>
    <row r="123" spans="7:17">
      <c r="G123" s="1"/>
      <c r="H123" s="1"/>
      <c r="Q123" s="5"/>
    </row>
    <row r="124" spans="7:17">
      <c r="G124" s="1"/>
      <c r="H124" s="1"/>
      <c r="Q124" s="5"/>
    </row>
    <row r="125" spans="7:17">
      <c r="G125" s="1"/>
      <c r="H125" s="1"/>
      <c r="Q125" s="5"/>
    </row>
    <row r="126" spans="7:17">
      <c r="G126" s="1"/>
      <c r="H126" s="1"/>
      <c r="Q126" s="5"/>
    </row>
  </sheetData>
  <autoFilter ref="B5:R65" xr:uid="{00000000-0001-0000-0100-000000000000}"/>
  <mergeCells count="31">
    <mergeCell ref="E51:E53"/>
    <mergeCell ref="E48:E49"/>
    <mergeCell ref="E46:E47"/>
    <mergeCell ref="E42:E45"/>
    <mergeCell ref="R6:R7"/>
    <mergeCell ref="E8:E10"/>
    <mergeCell ref="E11:E12"/>
    <mergeCell ref="E15:E17"/>
    <mergeCell ref="E27:E28"/>
    <mergeCell ref="E18:E19"/>
    <mergeCell ref="E20:E22"/>
    <mergeCell ref="E23:E24"/>
    <mergeCell ref="E25:E26"/>
    <mergeCell ref="E13:E14"/>
    <mergeCell ref="E38:E41"/>
    <mergeCell ref="E35:E37"/>
    <mergeCell ref="E31:E34"/>
    <mergeCell ref="E29:E30"/>
    <mergeCell ref="B1:Q1"/>
    <mergeCell ref="B3:Q3"/>
    <mergeCell ref="B4:Q4"/>
    <mergeCell ref="I5:I7"/>
    <mergeCell ref="L5:L7"/>
    <mergeCell ref="M5:M7"/>
    <mergeCell ref="N5:N7"/>
    <mergeCell ref="O5:O7"/>
    <mergeCell ref="E54:E56"/>
    <mergeCell ref="J54:J55"/>
    <mergeCell ref="K54:K55"/>
    <mergeCell ref="L54:L55"/>
    <mergeCell ref="P54:P55"/>
  </mergeCells>
  <conditionalFormatting sqref="I8:I62">
    <cfRule type="cellIs" dxfId="91" priority="2" stopIfTrue="1" operator="lessThan">
      <formula>50</formula>
    </cfRule>
  </conditionalFormatting>
  <conditionalFormatting sqref="P8:P54 P56:P62">
    <cfRule type="cellIs" dxfId="90" priority="1" stopIfTrue="1" operator="greaterThan">
      <formula>1.1</formula>
    </cfRule>
  </conditionalFormatting>
  <pageMargins left="0.25" right="0.25" top="0.75" bottom="0.75" header="0.3" footer="0.3"/>
  <pageSetup scale="43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indexed="11"/>
    <pageSetUpPr fitToPage="1"/>
  </sheetPr>
  <dimension ref="A1:T125"/>
  <sheetViews>
    <sheetView topLeftCell="A4" zoomScale="85" zoomScaleNormal="85" zoomScaleSheetLayoutView="80" workbookViewId="0">
      <pane xSplit="2" ySplit="4" topLeftCell="C38" activePane="bottomRight" state="frozen"/>
      <selection activeCell="A4" sqref="A4"/>
      <selection pane="topRight" activeCell="B4" sqref="B4"/>
      <selection pane="bottomLeft" activeCell="A8" sqref="A8"/>
      <selection pane="bottomRight" activeCell="D67" sqref="D67"/>
    </sheetView>
  </sheetViews>
  <sheetFormatPr defaultRowHeight="13.2"/>
  <cols>
    <col min="1" max="1" width="2.44140625" customWidth="1"/>
    <col min="2" max="2" width="9.109375" style="1" customWidth="1"/>
    <col min="3" max="3" width="6" style="1" customWidth="1"/>
    <col min="4" max="4" width="40.5546875" style="31" customWidth="1"/>
    <col min="5" max="5" width="8.88671875" style="1" customWidth="1"/>
    <col min="6" max="6" width="8.109375" style="23" customWidth="1"/>
    <col min="7" max="8" width="13.5546875" customWidth="1"/>
    <col min="9" max="9" width="10.5546875" style="7" customWidth="1"/>
    <col min="10" max="10" width="11" style="7" customWidth="1"/>
    <col min="11" max="11" width="13.109375" style="7" customWidth="1"/>
    <col min="12" max="12" width="14" style="7" customWidth="1"/>
    <col min="13" max="13" width="16.88671875" style="7" customWidth="1"/>
    <col min="14" max="14" width="16.5546875" style="7" customWidth="1"/>
    <col min="15" max="15" width="9.44140625" style="7" customWidth="1"/>
    <col min="16" max="16" width="17.21875" style="25" bestFit="1" customWidth="1"/>
    <col min="17" max="17" width="13.109375" style="6" customWidth="1"/>
    <col min="18" max="18" width="11" customWidth="1"/>
    <col min="21" max="21" width="20.88671875" customWidth="1"/>
    <col min="22" max="22" width="13.5546875" customWidth="1"/>
    <col min="23" max="23" width="15.88671875" customWidth="1"/>
    <col min="24" max="24" width="10.5546875" customWidth="1"/>
  </cols>
  <sheetData>
    <row r="1" spans="2:18" ht="25.8">
      <c r="B1" s="324" t="s">
        <v>0</v>
      </c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</row>
    <row r="3" spans="2:18" ht="23.4">
      <c r="B3" s="325" t="s">
        <v>1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</row>
    <row r="4" spans="2:18" ht="21" thickBot="1">
      <c r="B4" s="326">
        <v>45717</v>
      </c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</row>
    <row r="5" spans="2:18" ht="16.8" thickTop="1" thickBot="1">
      <c r="B5" s="2" t="s">
        <v>2</v>
      </c>
      <c r="C5" s="2" t="s">
        <v>3</v>
      </c>
      <c r="D5" s="26" t="s">
        <v>4</v>
      </c>
      <c r="E5" s="2" t="s">
        <v>37</v>
      </c>
      <c r="F5" s="19" t="s">
        <v>12</v>
      </c>
      <c r="G5" s="2" t="s">
        <v>5</v>
      </c>
      <c r="H5" s="2" t="s">
        <v>13</v>
      </c>
      <c r="I5" s="327" t="s">
        <v>26</v>
      </c>
      <c r="J5" s="2" t="s">
        <v>18</v>
      </c>
      <c r="K5" s="2" t="s">
        <v>6</v>
      </c>
      <c r="L5" s="330" t="s">
        <v>22</v>
      </c>
      <c r="M5" s="333" t="s">
        <v>24</v>
      </c>
      <c r="N5" s="333" t="s">
        <v>25</v>
      </c>
      <c r="O5" s="333" t="s">
        <v>23</v>
      </c>
      <c r="P5" s="19" t="s">
        <v>6</v>
      </c>
      <c r="Q5" s="4" t="s">
        <v>9</v>
      </c>
      <c r="R5" s="2" t="s">
        <v>20</v>
      </c>
    </row>
    <row r="6" spans="2:18" ht="16.5" customHeight="1" thickTop="1">
      <c r="B6" s="8"/>
      <c r="C6" s="8"/>
      <c r="D6" s="27"/>
      <c r="E6" s="8" t="s">
        <v>11</v>
      </c>
      <c r="F6" s="20" t="s">
        <v>11</v>
      </c>
      <c r="G6" s="8" t="s">
        <v>6</v>
      </c>
      <c r="H6" s="8" t="s">
        <v>14</v>
      </c>
      <c r="I6" s="328"/>
      <c r="J6" s="8" t="s">
        <v>17</v>
      </c>
      <c r="K6" s="8" t="s">
        <v>17</v>
      </c>
      <c r="L6" s="331"/>
      <c r="M6" s="334"/>
      <c r="N6" s="334"/>
      <c r="O6" s="334"/>
      <c r="P6" s="20" t="s">
        <v>19</v>
      </c>
      <c r="Q6" s="9" t="s">
        <v>10</v>
      </c>
      <c r="R6" s="336" t="s">
        <v>21</v>
      </c>
    </row>
    <row r="7" spans="2:18" ht="16.2" thickBot="1">
      <c r="B7" s="8"/>
      <c r="C7" s="8"/>
      <c r="D7" s="28"/>
      <c r="E7" s="8"/>
      <c r="F7" s="21" t="s">
        <v>15</v>
      </c>
      <c r="G7" s="10"/>
      <c r="H7" s="10" t="s">
        <v>16</v>
      </c>
      <c r="I7" s="329"/>
      <c r="J7" s="10"/>
      <c r="K7" s="10"/>
      <c r="L7" s="332"/>
      <c r="M7" s="335"/>
      <c r="N7" s="335"/>
      <c r="O7" s="335"/>
      <c r="P7" s="21"/>
      <c r="Q7" s="11" t="s">
        <v>48</v>
      </c>
      <c r="R7" s="337"/>
    </row>
    <row r="8" spans="2:18" ht="17.399999999999999">
      <c r="B8" s="179">
        <v>45354</v>
      </c>
      <c r="C8" s="87">
        <v>1</v>
      </c>
      <c r="D8" s="115" t="s">
        <v>63</v>
      </c>
      <c r="E8" s="365">
        <v>1380</v>
      </c>
      <c r="F8" s="39">
        <f>[3]Mar!N69</f>
        <v>95</v>
      </c>
      <c r="G8" s="17">
        <v>698</v>
      </c>
      <c r="H8" s="53">
        <f t="shared" ref="H8:H18" si="0">(G8)*24/(F8/60)/17000*100</f>
        <v>62.236532507739938</v>
      </c>
      <c r="I8" s="54"/>
      <c r="J8" s="53">
        <f>K8*1.02</f>
        <v>46.989360000000005</v>
      </c>
      <c r="K8" s="53">
        <f>(G8)*0.066</f>
        <v>46.068000000000005</v>
      </c>
      <c r="L8" s="53">
        <f>J8-K8</f>
        <v>0.92135999999999996</v>
      </c>
      <c r="M8" s="165">
        <f>[3]Mar!AD8</f>
        <v>101</v>
      </c>
      <c r="N8" s="54">
        <v>14</v>
      </c>
      <c r="O8" s="54"/>
      <c r="P8" s="53">
        <f>(J8-K8)/J8*100</f>
        <v>1.9607843137254899</v>
      </c>
      <c r="Q8" s="54">
        <f>(G8)/(F8/60)</f>
        <v>440.84210526315792</v>
      </c>
      <c r="R8" s="16"/>
    </row>
    <row r="9" spans="2:18" ht="15.6">
      <c r="B9" s="179">
        <v>45354</v>
      </c>
      <c r="C9" s="87">
        <v>1</v>
      </c>
      <c r="D9" s="29" t="s">
        <v>79</v>
      </c>
      <c r="E9" s="354"/>
      <c r="F9" s="39">
        <f>[3]Mar!N70</f>
        <v>186</v>
      </c>
      <c r="G9" s="17">
        <v>1290</v>
      </c>
      <c r="H9" s="53">
        <f t="shared" si="0"/>
        <v>58.747628083491456</v>
      </c>
      <c r="I9" s="54"/>
      <c r="J9" s="53">
        <f t="shared" ref="J9:J13" si="1">K9*1.02</f>
        <v>86.842799999999997</v>
      </c>
      <c r="K9" s="53">
        <f t="shared" ref="K9:K61" si="2">(G9)*0.066</f>
        <v>85.14</v>
      </c>
      <c r="L9" s="53">
        <f t="shared" ref="L9:L51" si="3">J9-K9</f>
        <v>1.7027999999999963</v>
      </c>
      <c r="M9" s="165">
        <f>[3]Mar!AD9</f>
        <v>40</v>
      </c>
      <c r="N9" s="54">
        <v>5</v>
      </c>
      <c r="O9" s="54"/>
      <c r="P9" s="53">
        <f t="shared" ref="P9:P51" si="4">(J9-K9)/J9*100</f>
        <v>1.9607843137254859</v>
      </c>
      <c r="Q9" s="54">
        <f t="shared" ref="Q9:Q62" si="5">(G9)/(F9/60)</f>
        <v>416.12903225806451</v>
      </c>
      <c r="R9" s="16"/>
    </row>
    <row r="10" spans="2:18" ht="15.6">
      <c r="B10" s="179">
        <v>45719</v>
      </c>
      <c r="C10" s="87">
        <v>1</v>
      </c>
      <c r="D10" s="29" t="s">
        <v>80</v>
      </c>
      <c r="E10" s="354"/>
      <c r="F10" s="39">
        <f>[3]Mar!N71</f>
        <v>78</v>
      </c>
      <c r="G10" s="17">
        <v>657</v>
      </c>
      <c r="H10" s="53">
        <f t="shared" si="0"/>
        <v>71.348416289592762</v>
      </c>
      <c r="I10" s="54"/>
      <c r="J10" s="53">
        <f t="shared" si="1"/>
        <v>44.229240000000004</v>
      </c>
      <c r="K10" s="53">
        <f t="shared" si="2"/>
        <v>43.362000000000002</v>
      </c>
      <c r="L10" s="53">
        <f t="shared" si="3"/>
        <v>0.86724000000000245</v>
      </c>
      <c r="M10" s="165">
        <f>[3]Mar!AD10</f>
        <v>103</v>
      </c>
      <c r="N10" s="54">
        <v>0</v>
      </c>
      <c r="O10" s="54"/>
      <c r="P10" s="53">
        <f t="shared" si="4"/>
        <v>1.9607843137254957</v>
      </c>
      <c r="Q10" s="54">
        <f t="shared" si="5"/>
        <v>505.38461538461536</v>
      </c>
      <c r="R10" s="16"/>
    </row>
    <row r="11" spans="2:18" ht="15.6">
      <c r="B11" s="179">
        <v>45719</v>
      </c>
      <c r="C11" s="180">
        <v>1</v>
      </c>
      <c r="D11" s="29" t="s">
        <v>83</v>
      </c>
      <c r="E11" s="354"/>
      <c r="F11" s="39">
        <f>[3]Mar!N72</f>
        <v>80</v>
      </c>
      <c r="G11" s="17">
        <v>661</v>
      </c>
      <c r="H11" s="53">
        <f t="shared" si="0"/>
        <v>69.988235294117658</v>
      </c>
      <c r="I11" s="54"/>
      <c r="J11" s="53">
        <f t="shared" si="1"/>
        <v>44.498520000000006</v>
      </c>
      <c r="K11" s="53">
        <f t="shared" si="2"/>
        <v>43.626000000000005</v>
      </c>
      <c r="L11" s="53">
        <f t="shared" si="3"/>
        <v>0.87252000000000152</v>
      </c>
      <c r="M11" s="165">
        <f>[3]Mar!AD11</f>
        <v>13</v>
      </c>
      <c r="N11" s="54">
        <v>0</v>
      </c>
      <c r="O11" s="54"/>
      <c r="P11" s="53">
        <f t="shared" si="4"/>
        <v>1.9607843137254932</v>
      </c>
      <c r="Q11" s="54">
        <f t="shared" si="5"/>
        <v>495.75</v>
      </c>
      <c r="R11" s="16"/>
    </row>
    <row r="12" spans="2:18" ht="15.6">
      <c r="B12" s="179">
        <v>45719</v>
      </c>
      <c r="C12" s="87">
        <v>1</v>
      </c>
      <c r="D12" s="29" t="s">
        <v>81</v>
      </c>
      <c r="E12" s="354"/>
      <c r="F12" s="39">
        <f>[3]Mar!N73</f>
        <v>161</v>
      </c>
      <c r="G12" s="17">
        <v>1393</v>
      </c>
      <c r="H12" s="53">
        <f t="shared" si="0"/>
        <v>73.289002557544762</v>
      </c>
      <c r="I12" s="54"/>
      <c r="J12" s="53">
        <f t="shared" si="1"/>
        <v>93.77676000000001</v>
      </c>
      <c r="K12" s="53">
        <f t="shared" si="2"/>
        <v>91.938000000000002</v>
      </c>
      <c r="L12" s="53">
        <f t="shared" si="3"/>
        <v>1.8387600000000077</v>
      </c>
      <c r="M12" s="165">
        <f>[3]Mar!AD12</f>
        <v>132</v>
      </c>
      <c r="N12" s="54">
        <v>14</v>
      </c>
      <c r="O12" s="54"/>
      <c r="P12" s="53">
        <f t="shared" si="4"/>
        <v>1.9607843137254981</v>
      </c>
      <c r="Q12" s="54">
        <f t="shared" si="5"/>
        <v>519.13043478260875</v>
      </c>
      <c r="R12" s="16"/>
    </row>
    <row r="13" spans="2:18" ht="18">
      <c r="B13" s="179">
        <v>45719</v>
      </c>
      <c r="C13" s="87">
        <v>1</v>
      </c>
      <c r="D13" s="29" t="s">
        <v>82</v>
      </c>
      <c r="E13" s="366"/>
      <c r="F13" s="39">
        <f>[3]Mar!N74</f>
        <v>115</v>
      </c>
      <c r="G13" s="107">
        <v>701</v>
      </c>
      <c r="H13" s="53">
        <f t="shared" si="0"/>
        <v>51.633759590792835</v>
      </c>
      <c r="I13" s="54"/>
      <c r="J13" s="53">
        <f t="shared" si="1"/>
        <v>47.191320000000005</v>
      </c>
      <c r="K13" s="53">
        <f t="shared" si="2"/>
        <v>46.266000000000005</v>
      </c>
      <c r="L13" s="53">
        <f t="shared" si="3"/>
        <v>0.92531999999999925</v>
      </c>
      <c r="M13" s="165">
        <f>[3]Mar!AD13</f>
        <v>113</v>
      </c>
      <c r="N13" s="54">
        <v>5</v>
      </c>
      <c r="O13" s="54"/>
      <c r="P13" s="53">
        <f t="shared" si="4"/>
        <v>1.9607843137254883</v>
      </c>
      <c r="Q13" s="54">
        <f t="shared" si="5"/>
        <v>365.73913043478257</v>
      </c>
      <c r="R13" s="16"/>
    </row>
    <row r="14" spans="2:18" ht="15.6">
      <c r="B14" s="179">
        <v>45720</v>
      </c>
      <c r="C14" s="87">
        <v>2</v>
      </c>
      <c r="D14" s="29" t="s">
        <v>47</v>
      </c>
      <c r="E14" s="365">
        <v>1544</v>
      </c>
      <c r="F14" s="39">
        <f>[3]Mar!N75</f>
        <v>253</v>
      </c>
      <c r="G14" s="17">
        <v>1703</v>
      </c>
      <c r="H14" s="53">
        <f t="shared" si="0"/>
        <v>57.017437805161585</v>
      </c>
      <c r="I14" s="54">
        <v>4</v>
      </c>
      <c r="J14" s="53">
        <f>57.8+57.2</f>
        <v>115</v>
      </c>
      <c r="K14" s="53">
        <f t="shared" si="2"/>
        <v>112.39800000000001</v>
      </c>
      <c r="L14" s="53">
        <f t="shared" si="3"/>
        <v>2.6019999999999897</v>
      </c>
      <c r="M14" s="165">
        <f>[3]Mar!AD14</f>
        <v>332</v>
      </c>
      <c r="N14" s="54">
        <v>4</v>
      </c>
      <c r="O14" s="54"/>
      <c r="P14" s="53">
        <f t="shared" si="4"/>
        <v>2.2626086956521649</v>
      </c>
      <c r="Q14" s="54">
        <f t="shared" si="5"/>
        <v>403.87351778656125</v>
      </c>
      <c r="R14" s="16"/>
    </row>
    <row r="15" spans="2:18" ht="15.6">
      <c r="B15" s="179">
        <v>45720</v>
      </c>
      <c r="C15" s="87">
        <v>2</v>
      </c>
      <c r="D15" s="29" t="s">
        <v>49</v>
      </c>
      <c r="E15" s="354"/>
      <c r="F15" s="39">
        <f>[3]Mar!N76</f>
        <v>760</v>
      </c>
      <c r="G15" s="17">
        <v>5524</v>
      </c>
      <c r="H15" s="53">
        <f t="shared" si="0"/>
        <v>61.567801857585138</v>
      </c>
      <c r="I15" s="54"/>
      <c r="J15" s="53">
        <f>95.5+90.2+92.4+97</f>
        <v>375.1</v>
      </c>
      <c r="K15" s="53">
        <f t="shared" si="2"/>
        <v>364.584</v>
      </c>
      <c r="L15" s="53">
        <f t="shared" si="3"/>
        <v>10.51600000000002</v>
      </c>
      <c r="M15" s="165">
        <f>[3]Mar!AD15</f>
        <v>263</v>
      </c>
      <c r="N15" s="54">
        <v>46</v>
      </c>
      <c r="O15" s="49"/>
      <c r="P15" s="53">
        <f t="shared" si="4"/>
        <v>2.8035190615835828</v>
      </c>
      <c r="Q15" s="54">
        <f t="shared" si="5"/>
        <v>436.10526315789474</v>
      </c>
      <c r="R15" s="16"/>
    </row>
    <row r="16" spans="2:18" ht="15.6">
      <c r="B16" s="226">
        <v>45720</v>
      </c>
      <c r="C16" s="87">
        <v>2</v>
      </c>
      <c r="D16" s="29" t="s">
        <v>60</v>
      </c>
      <c r="E16" s="366"/>
      <c r="F16" s="39">
        <f>[3]Mar!N77</f>
        <v>0</v>
      </c>
      <c r="G16" s="17">
        <v>0</v>
      </c>
      <c r="H16" s="187"/>
      <c r="I16" s="54"/>
      <c r="J16" s="53">
        <v>0</v>
      </c>
      <c r="K16" s="53">
        <f t="shared" si="2"/>
        <v>0</v>
      </c>
      <c r="L16" s="53">
        <f t="shared" si="3"/>
        <v>0</v>
      </c>
      <c r="M16" s="165">
        <f>[3]Mar!AD16</f>
        <v>138</v>
      </c>
      <c r="N16" s="54">
        <v>0</v>
      </c>
      <c r="O16" s="49"/>
      <c r="P16" s="187"/>
      <c r="Q16" s="193"/>
      <c r="R16" s="16"/>
    </row>
    <row r="17" spans="1:18" ht="15.6">
      <c r="B17" s="226">
        <v>45721</v>
      </c>
      <c r="C17" s="87">
        <v>3</v>
      </c>
      <c r="D17" s="29" t="s">
        <v>60</v>
      </c>
      <c r="E17" s="365">
        <v>1440</v>
      </c>
      <c r="F17" s="39">
        <f>[3]Mar!N78</f>
        <v>508</v>
      </c>
      <c r="G17" s="17">
        <v>2856</v>
      </c>
      <c r="H17" s="53">
        <f t="shared" si="0"/>
        <v>47.622047244094489</v>
      </c>
      <c r="I17" s="54">
        <v>11</v>
      </c>
      <c r="J17" s="53">
        <f>100+98.3</f>
        <v>198.3</v>
      </c>
      <c r="K17" s="53">
        <f>(G17)*0.066</f>
        <v>188.49600000000001</v>
      </c>
      <c r="L17" s="53">
        <f t="shared" si="3"/>
        <v>9.804000000000002</v>
      </c>
      <c r="M17" s="165">
        <f>[3]Mar!AD17</f>
        <v>142</v>
      </c>
      <c r="N17" s="54">
        <v>0</v>
      </c>
      <c r="O17" s="54"/>
      <c r="P17" s="53">
        <f>(J17-K17)/J17*100</f>
        <v>4.9440242057488666</v>
      </c>
      <c r="Q17" s="54">
        <f t="shared" si="5"/>
        <v>337.32283464566927</v>
      </c>
      <c r="R17" s="16"/>
    </row>
    <row r="18" spans="1:18" ht="15.6">
      <c r="B18" s="226">
        <v>45721</v>
      </c>
      <c r="C18" s="87">
        <v>3</v>
      </c>
      <c r="D18" s="29" t="s">
        <v>84</v>
      </c>
      <c r="E18" s="354"/>
      <c r="F18" s="39">
        <f>[3]Mar!N79</f>
        <v>339</v>
      </c>
      <c r="G18" s="17">
        <v>1789</v>
      </c>
      <c r="H18" s="53">
        <f t="shared" si="0"/>
        <v>44.701717855283704</v>
      </c>
      <c r="I18" s="54">
        <v>41</v>
      </c>
      <c r="J18" s="53">
        <f>21.7+101</f>
        <v>122.7</v>
      </c>
      <c r="K18" s="53">
        <f>(G18)*0.066</f>
        <v>118.07400000000001</v>
      </c>
      <c r="L18" s="53">
        <f t="shared" si="3"/>
        <v>4.6259999999999906</v>
      </c>
      <c r="M18" s="165">
        <f>[3]Mar!AD18</f>
        <v>185</v>
      </c>
      <c r="N18" s="54">
        <v>11</v>
      </c>
      <c r="O18" s="54"/>
      <c r="P18" s="53">
        <f t="shared" si="4"/>
        <v>3.7701711491442462</v>
      </c>
      <c r="Q18" s="54">
        <f t="shared" si="5"/>
        <v>316.63716814159289</v>
      </c>
      <c r="R18" s="16"/>
    </row>
    <row r="19" spans="1:18" ht="15.6">
      <c r="B19" s="179">
        <v>45721</v>
      </c>
      <c r="C19" s="87">
        <v>3</v>
      </c>
      <c r="D19" s="29" t="s">
        <v>82</v>
      </c>
      <c r="E19" s="354"/>
      <c r="F19" s="39">
        <f>[3]Mar!N80</f>
        <v>116</v>
      </c>
      <c r="G19" s="17">
        <v>584</v>
      </c>
      <c r="H19" s="53">
        <f t="shared" ref="H19:H39" si="6">(G19)*24/(F19/60)/17000*100</f>
        <v>42.64503042596349</v>
      </c>
      <c r="I19" s="54"/>
      <c r="J19" s="53">
        <f t="shared" ref="J19" si="7">K19*1.02</f>
        <v>39.314880000000002</v>
      </c>
      <c r="K19" s="53">
        <f>(G19)*0.066</f>
        <v>38.544000000000004</v>
      </c>
      <c r="L19" s="53">
        <f t="shared" si="3"/>
        <v>0.77087999999999823</v>
      </c>
      <c r="M19" s="165">
        <f>[3]Mar!AD19</f>
        <v>280</v>
      </c>
      <c r="N19" s="54">
        <v>14</v>
      </c>
      <c r="O19" s="54"/>
      <c r="P19" s="53">
        <f t="shared" si="4"/>
        <v>1.9607843137254857</v>
      </c>
      <c r="Q19" s="54">
        <f t="shared" si="5"/>
        <v>302.06896551724139</v>
      </c>
      <c r="R19" s="16"/>
    </row>
    <row r="20" spans="1:18" ht="15.6">
      <c r="B20" s="179">
        <v>45721</v>
      </c>
      <c r="C20" s="87">
        <v>3</v>
      </c>
      <c r="D20" s="29" t="s">
        <v>45</v>
      </c>
      <c r="E20" s="366"/>
      <c r="F20" s="39">
        <f>[3]Mar!N81</f>
        <v>0</v>
      </c>
      <c r="G20" s="17">
        <v>0</v>
      </c>
      <c r="H20" s="187"/>
      <c r="I20" s="193"/>
      <c r="J20" s="53">
        <v>0</v>
      </c>
      <c r="K20" s="53">
        <f t="shared" si="2"/>
        <v>0</v>
      </c>
      <c r="L20" s="53">
        <f t="shared" si="3"/>
        <v>0</v>
      </c>
      <c r="M20" s="165">
        <f>[3]Mar!AD20</f>
        <v>108</v>
      </c>
      <c r="N20" s="54"/>
      <c r="O20" s="54"/>
      <c r="P20" s="187"/>
      <c r="Q20" s="193"/>
      <c r="R20" s="16"/>
    </row>
    <row r="21" spans="1:18" ht="15.6">
      <c r="B21" s="179">
        <v>45722</v>
      </c>
      <c r="C21" s="87">
        <v>4</v>
      </c>
      <c r="D21" s="29" t="s">
        <v>45</v>
      </c>
      <c r="E21" s="365">
        <v>1450</v>
      </c>
      <c r="F21" s="39">
        <f>[3]Mar!N82</f>
        <v>576</v>
      </c>
      <c r="G21" s="17">
        <v>2928</v>
      </c>
      <c r="H21" s="53">
        <f t="shared" si="6"/>
        <v>43.058823529411768</v>
      </c>
      <c r="I21" s="54"/>
      <c r="J21" s="53">
        <f>100+97.3</f>
        <v>197.3</v>
      </c>
      <c r="K21" s="53">
        <f t="shared" si="2"/>
        <v>193.24800000000002</v>
      </c>
      <c r="L21" s="53">
        <f t="shared" si="3"/>
        <v>4.0519999999999925</v>
      </c>
      <c r="M21" s="165">
        <f>[3]Mar!AD21</f>
        <v>289</v>
      </c>
      <c r="N21" s="54">
        <f>8+15</f>
        <v>23</v>
      </c>
      <c r="O21" s="54"/>
      <c r="P21" s="53">
        <f t="shared" si="4"/>
        <v>2.0537252914343598</v>
      </c>
      <c r="Q21" s="54">
        <f t="shared" si="5"/>
        <v>305</v>
      </c>
      <c r="R21" s="16"/>
    </row>
    <row r="22" spans="1:18" ht="15.6">
      <c r="B22" s="179">
        <v>45722</v>
      </c>
      <c r="C22" s="87">
        <v>4</v>
      </c>
      <c r="D22" s="29" t="s">
        <v>62</v>
      </c>
      <c r="E22" s="366"/>
      <c r="F22" s="39">
        <f>[3]Mar!N83</f>
        <v>727</v>
      </c>
      <c r="G22" s="17">
        <v>2887</v>
      </c>
      <c r="H22" s="53">
        <f>(G22)*24/(F22/60)/17000*100</f>
        <v>33.637672950885992</v>
      </c>
      <c r="I22" s="54"/>
      <c r="J22" s="53">
        <f>93.5+102.1</f>
        <v>195.6</v>
      </c>
      <c r="K22" s="53">
        <f t="shared" si="2"/>
        <v>190.542</v>
      </c>
      <c r="L22" s="53">
        <f t="shared" si="3"/>
        <v>5.0579999999999927</v>
      </c>
      <c r="M22" s="165">
        <f>[3]Mar!AD22</f>
        <v>505</v>
      </c>
      <c r="N22" s="54">
        <f>5+1</f>
        <v>6</v>
      </c>
      <c r="O22" s="54"/>
      <c r="P22" s="53">
        <f t="shared" si="4"/>
        <v>2.5858895705521436</v>
      </c>
      <c r="Q22" s="54">
        <f t="shared" si="5"/>
        <v>238.2668500687758</v>
      </c>
      <c r="R22" s="16"/>
    </row>
    <row r="23" spans="1:18" ht="15.6">
      <c r="B23" s="179">
        <v>45723</v>
      </c>
      <c r="C23" s="87">
        <v>5</v>
      </c>
      <c r="D23" s="29" t="s">
        <v>47</v>
      </c>
      <c r="E23" s="60">
        <v>1168</v>
      </c>
      <c r="F23" s="39">
        <f>[3]Mar!N84</f>
        <v>675</v>
      </c>
      <c r="G23" s="17">
        <v>4977</v>
      </c>
      <c r="H23" s="53">
        <f>(G23)*24/(F23/60)/17000*100</f>
        <v>62.456470588235291</v>
      </c>
      <c r="I23" s="54"/>
      <c r="J23" s="53">
        <f>91.7+91+56+90.3+38.4-25</f>
        <v>342.4</v>
      </c>
      <c r="K23" s="53">
        <f>(G23)*0.066+(30*0.019)</f>
        <v>329.05200000000002</v>
      </c>
      <c r="L23" s="53">
        <f t="shared" si="3"/>
        <v>13.347999999999956</v>
      </c>
      <c r="M23" s="165">
        <f>[3]Mar!AD23</f>
        <v>599</v>
      </c>
      <c r="N23" s="54">
        <f>1+8</f>
        <v>9</v>
      </c>
      <c r="O23" s="54">
        <v>30</v>
      </c>
      <c r="P23" s="53">
        <f t="shared" si="4"/>
        <v>3.898364485981296</v>
      </c>
      <c r="Q23" s="54">
        <f t="shared" si="5"/>
        <v>442.4</v>
      </c>
      <c r="R23" s="16"/>
    </row>
    <row r="24" spans="1:18" ht="15.6">
      <c r="B24" s="179">
        <v>45726</v>
      </c>
      <c r="C24" s="87">
        <v>6</v>
      </c>
      <c r="D24" s="29" t="s">
        <v>49</v>
      </c>
      <c r="E24" s="60">
        <v>934</v>
      </c>
      <c r="F24" s="39">
        <f>[3]Mar!N85</f>
        <v>754</v>
      </c>
      <c r="G24" s="17">
        <v>3460</v>
      </c>
      <c r="H24" s="53">
        <f>(G24)*24/(F24/60)/17000*100</f>
        <v>38.870338586362926</v>
      </c>
      <c r="I24" s="54"/>
      <c r="J24" s="53">
        <f>98+92.9+98.2-37</f>
        <v>252.10000000000002</v>
      </c>
      <c r="K24" s="53">
        <f>(G24)*0.066+(70*0.19)</f>
        <v>241.66000000000003</v>
      </c>
      <c r="L24" s="53">
        <f t="shared" si="3"/>
        <v>10.439999999999998</v>
      </c>
      <c r="M24" s="165">
        <f>[3]Mar!AD24</f>
        <v>306</v>
      </c>
      <c r="N24" s="54">
        <v>85</v>
      </c>
      <c r="O24" s="54">
        <v>70</v>
      </c>
      <c r="P24" s="53">
        <f t="shared" si="4"/>
        <v>4.1412138040460125</v>
      </c>
      <c r="Q24" s="54">
        <f t="shared" si="5"/>
        <v>275.33156498673742</v>
      </c>
      <c r="R24" s="16"/>
    </row>
    <row r="25" spans="1:18" ht="15.6">
      <c r="B25" s="179">
        <v>45727</v>
      </c>
      <c r="C25" s="87">
        <v>7</v>
      </c>
      <c r="D25" s="29" t="s">
        <v>49</v>
      </c>
      <c r="E25" s="365">
        <v>850</v>
      </c>
      <c r="F25" s="39">
        <f>[3]Mar!N86</f>
        <v>312</v>
      </c>
      <c r="G25" s="17">
        <v>1640</v>
      </c>
      <c r="H25" s="53">
        <f t="shared" si="6"/>
        <v>44.524886877828052</v>
      </c>
      <c r="I25" s="32"/>
      <c r="J25" s="53">
        <f>37+82</f>
        <v>119</v>
      </c>
      <c r="K25" s="53">
        <f t="shared" si="2"/>
        <v>108.24000000000001</v>
      </c>
      <c r="L25" s="53">
        <f>J25-K25</f>
        <v>10.759999999999991</v>
      </c>
      <c r="M25" s="165">
        <f>[3]Mar!AD25</f>
        <v>83</v>
      </c>
      <c r="N25" s="54">
        <v>86</v>
      </c>
      <c r="O25" s="54"/>
      <c r="P25" s="53">
        <f t="shared" si="4"/>
        <v>9.0420168067226818</v>
      </c>
      <c r="Q25" s="54">
        <f t="shared" si="5"/>
        <v>315.38461538461536</v>
      </c>
      <c r="R25" s="16"/>
    </row>
    <row r="26" spans="1:18" ht="15.6">
      <c r="B26" s="179">
        <v>45727</v>
      </c>
      <c r="C26" s="87">
        <v>7</v>
      </c>
      <c r="D26" s="29" t="s">
        <v>47</v>
      </c>
      <c r="E26" s="354"/>
      <c r="F26" s="39">
        <f>[3]Mar!N87</f>
        <v>78</v>
      </c>
      <c r="G26" s="17">
        <v>359</v>
      </c>
      <c r="H26" s="53">
        <f t="shared" si="6"/>
        <v>38.986425339366512</v>
      </c>
      <c r="I26" s="54"/>
      <c r="J26" s="53">
        <v>25</v>
      </c>
      <c r="K26" s="53">
        <f t="shared" si="2"/>
        <v>23.694000000000003</v>
      </c>
      <c r="L26" s="53">
        <f t="shared" si="3"/>
        <v>1.3059999999999974</v>
      </c>
      <c r="M26" s="165">
        <f>[3]Mar!AD26</f>
        <v>105</v>
      </c>
      <c r="N26" s="54">
        <v>3</v>
      </c>
      <c r="O26" s="54"/>
      <c r="P26" s="53">
        <f t="shared" si="4"/>
        <v>5.2239999999999895</v>
      </c>
      <c r="Q26" s="54">
        <f t="shared" si="5"/>
        <v>276.15384615384613</v>
      </c>
      <c r="R26" s="16"/>
    </row>
    <row r="27" spans="1:18" ht="15.6">
      <c r="B27" s="179">
        <v>45727</v>
      </c>
      <c r="C27" s="87">
        <v>7</v>
      </c>
      <c r="D27" s="29" t="s">
        <v>62</v>
      </c>
      <c r="E27" s="366"/>
      <c r="F27" s="39">
        <f>[3]Mar!N88</f>
        <v>288</v>
      </c>
      <c r="G27" s="17">
        <v>836</v>
      </c>
      <c r="H27" s="53">
        <f t="shared" si="6"/>
        <v>24.588235294117649</v>
      </c>
      <c r="I27" s="54"/>
      <c r="J27" s="53">
        <f>100+100.1-70.9-71</f>
        <v>58.199999999999989</v>
      </c>
      <c r="K27" s="53">
        <f t="shared" si="2"/>
        <v>55.176000000000002</v>
      </c>
      <c r="L27" s="53">
        <f t="shared" si="3"/>
        <v>3.0239999999999867</v>
      </c>
      <c r="M27" s="165">
        <f>[3]Mar!AD27</f>
        <v>208</v>
      </c>
      <c r="N27" s="54">
        <v>11</v>
      </c>
      <c r="O27" s="54"/>
      <c r="P27" s="53">
        <f t="shared" si="4"/>
        <v>5.1958762886597718</v>
      </c>
      <c r="Q27" s="54">
        <f t="shared" si="5"/>
        <v>174.16666666666669</v>
      </c>
      <c r="R27" s="16"/>
    </row>
    <row r="28" spans="1:18" ht="15.6">
      <c r="B28" s="179">
        <v>45728</v>
      </c>
      <c r="C28" s="87">
        <v>8</v>
      </c>
      <c r="D28" s="29" t="s">
        <v>62</v>
      </c>
      <c r="E28" s="60">
        <v>759</v>
      </c>
      <c r="F28" s="39">
        <f>[3]Mar!N89</f>
        <v>334</v>
      </c>
      <c r="G28" s="17">
        <v>2046</v>
      </c>
      <c r="H28" s="53">
        <f>(G28)*24/(F28/60)/17000*100</f>
        <v>51.888693201831636</v>
      </c>
      <c r="I28" s="54"/>
      <c r="J28" s="53">
        <f>70.9+71</f>
        <v>141.9</v>
      </c>
      <c r="K28" s="53">
        <f t="shared" si="2"/>
        <v>135.036</v>
      </c>
      <c r="L28" s="53">
        <f t="shared" si="3"/>
        <v>6.8640000000000043</v>
      </c>
      <c r="M28" s="165">
        <f>[3]Mar!AD28</f>
        <v>497</v>
      </c>
      <c r="N28" s="54">
        <v>30</v>
      </c>
      <c r="O28" s="54"/>
      <c r="P28" s="53">
        <f t="shared" si="4"/>
        <v>4.8372093023255838</v>
      </c>
      <c r="Q28" s="54">
        <f t="shared" si="5"/>
        <v>367.54491017964074</v>
      </c>
      <c r="R28" s="16"/>
    </row>
    <row r="29" spans="1:18" ht="15.6">
      <c r="B29" s="179">
        <v>45729</v>
      </c>
      <c r="C29" s="87">
        <v>9</v>
      </c>
      <c r="D29" s="29" t="s">
        <v>49</v>
      </c>
      <c r="E29" s="60">
        <v>843</v>
      </c>
      <c r="F29" s="39">
        <f>[3]Mar!N90</f>
        <v>678</v>
      </c>
      <c r="G29" s="17">
        <v>5464</v>
      </c>
      <c r="H29" s="53">
        <f t="shared" si="6"/>
        <v>68.264445601249349</v>
      </c>
      <c r="I29" s="54"/>
      <c r="J29" s="53">
        <f>94+93.6+93.4+93-2.4</f>
        <v>371.6</v>
      </c>
      <c r="K29" s="53">
        <f t="shared" si="2"/>
        <v>360.62400000000002</v>
      </c>
      <c r="L29" s="53">
        <f t="shared" si="3"/>
        <v>10.975999999999999</v>
      </c>
      <c r="M29" s="165">
        <f>[3]Mar!AD29</f>
        <v>239</v>
      </c>
      <c r="N29" s="54">
        <f>10.5+16</f>
        <v>26.5</v>
      </c>
      <c r="O29" s="54"/>
      <c r="P29" s="53">
        <f t="shared" si="4"/>
        <v>2.9537136706135625</v>
      </c>
      <c r="Q29" s="54">
        <f t="shared" si="5"/>
        <v>483.53982300884951</v>
      </c>
      <c r="R29" s="16"/>
    </row>
    <row r="30" spans="1:18" ht="15.6">
      <c r="B30" s="91">
        <v>45730</v>
      </c>
      <c r="C30" s="87">
        <v>10</v>
      </c>
      <c r="D30" s="29" t="s">
        <v>47</v>
      </c>
      <c r="E30" s="365">
        <v>717</v>
      </c>
      <c r="F30" s="39">
        <f>[3]Mar!N91</f>
        <v>150</v>
      </c>
      <c r="G30" s="17">
        <v>1410</v>
      </c>
      <c r="H30" s="53">
        <f t="shared" si="6"/>
        <v>79.623529411764707</v>
      </c>
      <c r="I30" s="54"/>
      <c r="J30" s="53">
        <v>95.4</v>
      </c>
      <c r="K30" s="53">
        <f t="shared" si="2"/>
        <v>93.06</v>
      </c>
      <c r="L30" s="53">
        <f t="shared" si="3"/>
        <v>2.3400000000000034</v>
      </c>
      <c r="M30" s="165">
        <f>[3]Mar!AD30</f>
        <v>85</v>
      </c>
      <c r="N30" s="54">
        <f>6+3</f>
        <v>9</v>
      </c>
      <c r="O30" s="54"/>
      <c r="P30" s="53">
        <f t="shared" si="4"/>
        <v>2.4528301886792487</v>
      </c>
      <c r="Q30" s="54">
        <f t="shared" si="5"/>
        <v>564</v>
      </c>
      <c r="R30" s="16"/>
    </row>
    <row r="31" spans="1:18" ht="15.6">
      <c r="B31" s="91">
        <v>45730</v>
      </c>
      <c r="C31" s="180">
        <v>10</v>
      </c>
      <c r="D31" s="29" t="s">
        <v>49</v>
      </c>
      <c r="E31" s="366"/>
      <c r="F31" s="39">
        <f>[3]Mar!N92</f>
        <v>380</v>
      </c>
      <c r="G31" s="17">
        <v>2718</v>
      </c>
      <c r="H31" s="53">
        <f t="shared" si="6"/>
        <v>60.586996904024772</v>
      </c>
      <c r="I31" s="54"/>
      <c r="J31" s="53">
        <f>99.6+93.3+2.4-7.8</f>
        <v>187.49999999999997</v>
      </c>
      <c r="K31" s="53">
        <f t="shared" si="2"/>
        <v>179.38800000000001</v>
      </c>
      <c r="L31" s="53">
        <f t="shared" si="3"/>
        <v>8.1119999999999663</v>
      </c>
      <c r="M31" s="165">
        <f>[3]Mar!AD31</f>
        <v>150</v>
      </c>
      <c r="N31" s="54">
        <v>14</v>
      </c>
      <c r="O31" s="54"/>
      <c r="P31" s="53">
        <f t="shared" si="4"/>
        <v>4.3263999999999827</v>
      </c>
      <c r="Q31" s="54">
        <f t="shared" si="5"/>
        <v>429.15789473684214</v>
      </c>
      <c r="R31" s="16"/>
    </row>
    <row r="32" spans="1:18" ht="15.6">
      <c r="A32" s="227"/>
      <c r="B32" s="181">
        <v>45733</v>
      </c>
      <c r="C32" s="87">
        <v>11</v>
      </c>
      <c r="D32" s="29" t="s">
        <v>49</v>
      </c>
      <c r="E32" s="365">
        <v>1380</v>
      </c>
      <c r="F32" s="39">
        <f>[3]Mar!N93</f>
        <v>415</v>
      </c>
      <c r="G32" s="17">
        <v>1568</v>
      </c>
      <c r="H32" s="53">
        <f t="shared" si="6"/>
        <v>32.004535790219698</v>
      </c>
      <c r="I32" s="54"/>
      <c r="J32" s="53">
        <v>107.8</v>
      </c>
      <c r="K32" s="53">
        <f t="shared" si="2"/>
        <v>103.488</v>
      </c>
      <c r="L32" s="53">
        <f t="shared" si="3"/>
        <v>4.3119999999999976</v>
      </c>
      <c r="M32" s="165">
        <f>[3]Mar!AD32</f>
        <v>1075</v>
      </c>
      <c r="N32" s="54">
        <v>13</v>
      </c>
      <c r="O32" s="54"/>
      <c r="P32" s="53">
        <f t="shared" si="4"/>
        <v>3.9999999999999982</v>
      </c>
      <c r="Q32" s="54">
        <f t="shared" si="5"/>
        <v>226.69879518072287</v>
      </c>
      <c r="R32" s="16"/>
    </row>
    <row r="33" spans="1:20" ht="15.6">
      <c r="A33" s="227"/>
      <c r="B33" s="181">
        <v>45733</v>
      </c>
      <c r="C33" s="87">
        <v>11</v>
      </c>
      <c r="D33" s="29" t="s">
        <v>47</v>
      </c>
      <c r="E33" s="366"/>
      <c r="F33" s="39">
        <f>[3]Mar!N94</f>
        <v>92</v>
      </c>
      <c r="G33" s="17">
        <v>731</v>
      </c>
      <c r="H33" s="53">
        <f t="shared" si="6"/>
        <v>67.304347826086953</v>
      </c>
      <c r="I33" s="54"/>
      <c r="J33" s="53">
        <f>94+79.9-65-60</f>
        <v>48.900000000000006</v>
      </c>
      <c r="K33" s="53">
        <f t="shared" si="2"/>
        <v>48.246000000000002</v>
      </c>
      <c r="L33" s="53">
        <f t="shared" si="3"/>
        <v>0.65400000000000347</v>
      </c>
      <c r="M33" s="165">
        <f>[3]Mar!AD33</f>
        <v>38</v>
      </c>
      <c r="N33" s="54">
        <v>3</v>
      </c>
      <c r="O33" s="54"/>
      <c r="P33" s="53">
        <f t="shared" si="4"/>
        <v>1.3374233128834425</v>
      </c>
      <c r="Q33" s="54">
        <f t="shared" si="5"/>
        <v>476.73913043478257</v>
      </c>
      <c r="R33" s="16"/>
    </row>
    <row r="34" spans="1:20" ht="15.6">
      <c r="A34" s="227"/>
      <c r="B34" s="181">
        <v>45734</v>
      </c>
      <c r="C34" s="87">
        <v>12</v>
      </c>
      <c r="D34" s="29" t="s">
        <v>47</v>
      </c>
      <c r="E34" s="365">
        <v>1440</v>
      </c>
      <c r="F34" s="39">
        <f>[3]Mar!N95</f>
        <v>225</v>
      </c>
      <c r="G34" s="17">
        <v>1880</v>
      </c>
      <c r="H34" s="53">
        <f t="shared" si="6"/>
        <v>70.776470588235298</v>
      </c>
      <c r="I34" s="54"/>
      <c r="J34" s="53">
        <f>65+60</f>
        <v>125</v>
      </c>
      <c r="K34" s="53">
        <f t="shared" si="2"/>
        <v>124.08000000000001</v>
      </c>
      <c r="L34" s="53">
        <f t="shared" si="3"/>
        <v>0.91999999999998749</v>
      </c>
      <c r="M34" s="165">
        <f>[3]Mar!AD34</f>
        <v>59</v>
      </c>
      <c r="N34" s="54">
        <v>5</v>
      </c>
      <c r="O34" s="54"/>
      <c r="P34" s="53">
        <f t="shared" si="4"/>
        <v>0.73599999999999</v>
      </c>
      <c r="Q34" s="54">
        <f t="shared" si="5"/>
        <v>501.33333333333331</v>
      </c>
      <c r="R34" s="16"/>
    </row>
    <row r="35" spans="1:20" ht="15.6">
      <c r="A35" s="227"/>
      <c r="B35" s="181">
        <v>45734</v>
      </c>
      <c r="C35" s="87">
        <v>12</v>
      </c>
      <c r="D35" s="29" t="s">
        <v>49</v>
      </c>
      <c r="E35" s="366"/>
      <c r="F35" s="39">
        <f>[3]Mar!N96</f>
        <v>627</v>
      </c>
      <c r="G35" s="17">
        <v>4631</v>
      </c>
      <c r="H35" s="53">
        <f t="shared" si="6"/>
        <v>62.563467492260074</v>
      </c>
      <c r="I35" s="54"/>
      <c r="J35" s="53">
        <f>97+96+97+100+73-68-81</f>
        <v>314</v>
      </c>
      <c r="K35" s="53">
        <f t="shared" si="2"/>
        <v>305.64600000000002</v>
      </c>
      <c r="L35" s="53">
        <f t="shared" si="3"/>
        <v>8.353999999999985</v>
      </c>
      <c r="M35" s="165">
        <f>[3]Mar!AD35</f>
        <v>659</v>
      </c>
      <c r="N35" s="54">
        <f>5+9</f>
        <v>14</v>
      </c>
      <c r="O35" s="54"/>
      <c r="P35" s="53">
        <f t="shared" si="4"/>
        <v>2.6605095541401225</v>
      </c>
      <c r="Q35" s="54">
        <f t="shared" si="5"/>
        <v>443.15789473684214</v>
      </c>
      <c r="R35" s="16"/>
    </row>
    <row r="36" spans="1:20" ht="15.6">
      <c r="A36" s="227"/>
      <c r="B36" s="181">
        <v>45735</v>
      </c>
      <c r="C36" s="87">
        <v>13</v>
      </c>
      <c r="D36" s="29" t="s">
        <v>49</v>
      </c>
      <c r="E36" s="365">
        <v>1540</v>
      </c>
      <c r="F36" s="39">
        <f>[3]Mar!N97</f>
        <v>103</v>
      </c>
      <c r="G36" s="17">
        <v>864</v>
      </c>
      <c r="H36" s="53">
        <f t="shared" si="6"/>
        <v>71.054254711593373</v>
      </c>
      <c r="I36" s="54"/>
      <c r="J36" s="318">
        <f>68+81</f>
        <v>149</v>
      </c>
      <c r="K36" s="318">
        <f>(G36+G37)*0.066</f>
        <v>146.65200000000002</v>
      </c>
      <c r="L36" s="318">
        <f t="shared" si="3"/>
        <v>2.3479999999999848</v>
      </c>
      <c r="M36" s="165">
        <f>[3]Mar!AD36</f>
        <v>25</v>
      </c>
      <c r="N36" s="54">
        <v>6</v>
      </c>
      <c r="O36" s="54"/>
      <c r="P36" s="318">
        <f t="shared" si="4"/>
        <v>1.5758389261744863</v>
      </c>
      <c r="Q36" s="54">
        <f t="shared" si="5"/>
        <v>503.30097087378641</v>
      </c>
      <c r="R36" s="16"/>
      <c r="S36" s="37"/>
      <c r="T36" s="6"/>
    </row>
    <row r="37" spans="1:20" ht="15.6">
      <c r="A37" s="227"/>
      <c r="B37" s="181">
        <v>45735</v>
      </c>
      <c r="C37" s="87">
        <v>13</v>
      </c>
      <c r="D37" s="29" t="s">
        <v>58</v>
      </c>
      <c r="E37" s="354"/>
      <c r="F37" s="39">
        <f>[3]Mar!N98</f>
        <v>200</v>
      </c>
      <c r="G37" s="17">
        <v>1358</v>
      </c>
      <c r="H37" s="53">
        <f t="shared" si="6"/>
        <v>57.515294117647066</v>
      </c>
      <c r="I37" s="54"/>
      <c r="J37" s="318"/>
      <c r="K37" s="318"/>
      <c r="L37" s="318"/>
      <c r="M37" s="165">
        <f>[3]Mar!AD37</f>
        <v>126</v>
      </c>
      <c r="N37" s="38">
        <v>7</v>
      </c>
      <c r="O37" s="54"/>
      <c r="P37" s="318"/>
      <c r="Q37" s="54">
        <f t="shared" si="5"/>
        <v>407.4</v>
      </c>
      <c r="R37" s="16"/>
    </row>
    <row r="38" spans="1:20" ht="15.6">
      <c r="A38" s="227"/>
      <c r="B38" s="181">
        <v>45735</v>
      </c>
      <c r="C38" s="87">
        <v>13</v>
      </c>
      <c r="D38" s="29" t="s">
        <v>47</v>
      </c>
      <c r="E38" s="366"/>
      <c r="F38" s="39">
        <f>[3]Mar!N99</f>
        <v>1010</v>
      </c>
      <c r="G38" s="17">
        <v>5375</v>
      </c>
      <c r="H38" s="53">
        <f t="shared" si="6"/>
        <v>45.078625509609786</v>
      </c>
      <c r="I38" s="54"/>
      <c r="J38" s="53">
        <f>83.8+92.3+85.1+97.5</f>
        <v>358.7</v>
      </c>
      <c r="K38" s="53">
        <f t="shared" si="2"/>
        <v>354.75</v>
      </c>
      <c r="L38" s="53">
        <f t="shared" si="3"/>
        <v>3.9499999999999886</v>
      </c>
      <c r="M38" s="165">
        <f>[3]Mar!AD38</f>
        <v>534</v>
      </c>
      <c r="N38" s="38">
        <f>5+5</f>
        <v>10</v>
      </c>
      <c r="O38" s="54"/>
      <c r="P38" s="53">
        <f t="shared" si="4"/>
        <v>1.1011987733481987</v>
      </c>
      <c r="Q38" s="54">
        <f t="shared" si="5"/>
        <v>319.30693069306932</v>
      </c>
      <c r="R38" s="16"/>
    </row>
    <row r="39" spans="1:20" ht="15.6">
      <c r="A39" s="227"/>
      <c r="B39" s="91">
        <v>45736</v>
      </c>
      <c r="C39" s="87">
        <v>14</v>
      </c>
      <c r="D39" s="29" t="s">
        <v>45</v>
      </c>
      <c r="E39" s="60">
        <v>1340</v>
      </c>
      <c r="F39" s="39">
        <f>[3]Mar!N100</f>
        <v>1270</v>
      </c>
      <c r="G39" s="17">
        <v>4053</v>
      </c>
      <c r="H39" s="53">
        <f t="shared" si="6"/>
        <v>27.032515053265399</v>
      </c>
      <c r="I39" s="54"/>
      <c r="J39" s="53">
        <f>96+99.4+97.5-25.4</f>
        <v>267.5</v>
      </c>
      <c r="K39" s="53">
        <f t="shared" si="2"/>
        <v>267.49799999999999</v>
      </c>
      <c r="L39" s="53">
        <f t="shared" si="3"/>
        <v>2.0000000000095497E-3</v>
      </c>
      <c r="M39" s="165">
        <f>[3]Mar!AD39</f>
        <v>801</v>
      </c>
      <c r="N39" s="38">
        <v>8</v>
      </c>
      <c r="O39" s="54"/>
      <c r="P39" s="53">
        <f t="shared" si="4"/>
        <v>7.4766355140543919E-4</v>
      </c>
      <c r="Q39" s="54">
        <f t="shared" si="5"/>
        <v>191.4803149606299</v>
      </c>
      <c r="R39" s="16"/>
    </row>
    <row r="40" spans="1:20" ht="15.6">
      <c r="A40" s="227"/>
      <c r="B40" s="91">
        <v>45737</v>
      </c>
      <c r="C40" s="87">
        <v>15</v>
      </c>
      <c r="D40" s="29" t="s">
        <v>45</v>
      </c>
      <c r="E40" s="228">
        <v>312</v>
      </c>
      <c r="F40" s="39">
        <f>[3]Mar!N101</f>
        <v>295</v>
      </c>
      <c r="G40" s="17">
        <v>1771</v>
      </c>
      <c r="H40" s="53">
        <f t="shared" ref="H40:H62" si="8">(G40)*24/(F40/60)/17000*100</f>
        <v>50.852243270189426</v>
      </c>
      <c r="I40" s="54"/>
      <c r="J40" s="53">
        <f>91.7+25.4</f>
        <v>117.1</v>
      </c>
      <c r="K40" s="53">
        <f t="shared" si="2"/>
        <v>116.88600000000001</v>
      </c>
      <c r="L40" s="53">
        <f t="shared" si="3"/>
        <v>0.21399999999998442</v>
      </c>
      <c r="M40" s="165">
        <f>[3]Mar!AD40</f>
        <v>81</v>
      </c>
      <c r="N40" s="54">
        <v>9</v>
      </c>
      <c r="O40" s="54"/>
      <c r="P40" s="53">
        <f t="shared" si="4"/>
        <v>0.18274978650724547</v>
      </c>
      <c r="Q40" s="54">
        <f t="shared" si="5"/>
        <v>360.20338983050846</v>
      </c>
      <c r="R40" s="16"/>
    </row>
    <row r="41" spans="1:20" ht="15.6">
      <c r="A41" s="227"/>
      <c r="B41" s="91">
        <v>45740</v>
      </c>
      <c r="C41" s="87">
        <v>16</v>
      </c>
      <c r="D41" s="29" t="s">
        <v>49</v>
      </c>
      <c r="E41" s="60">
        <v>1380</v>
      </c>
      <c r="F41" s="39">
        <f>[3]Mar!N102</f>
        <v>1265</v>
      </c>
      <c r="G41" s="17">
        <v>1021</v>
      </c>
      <c r="H41" s="53">
        <f t="shared" si="8"/>
        <v>6.8367356428737498</v>
      </c>
      <c r="I41" s="54"/>
      <c r="J41" s="53">
        <f>95+56-72</f>
        <v>79</v>
      </c>
      <c r="K41" s="53">
        <f>(G41)*0.066+((22+28)*0.19)</f>
        <v>76.88600000000001</v>
      </c>
      <c r="L41" s="53">
        <f t="shared" si="3"/>
        <v>2.1139999999999901</v>
      </c>
      <c r="M41" s="165">
        <f>[3]Mar!AD41</f>
        <v>1248</v>
      </c>
      <c r="N41" s="54">
        <f>3+9</f>
        <v>12</v>
      </c>
      <c r="O41" s="54">
        <f>22+28</f>
        <v>50</v>
      </c>
      <c r="P41" s="53">
        <f t="shared" si="4"/>
        <v>2.6759493670885948</v>
      </c>
      <c r="Q41" s="54">
        <f t="shared" si="5"/>
        <v>48.426877470355734</v>
      </c>
      <c r="R41" s="16"/>
    </row>
    <row r="42" spans="1:20" ht="15.6">
      <c r="A42" s="227"/>
      <c r="B42" s="91">
        <v>45741</v>
      </c>
      <c r="C42" s="87">
        <v>17</v>
      </c>
      <c r="D42" s="29" t="s">
        <v>49</v>
      </c>
      <c r="E42" s="365">
        <v>1440</v>
      </c>
      <c r="F42" s="39">
        <f>[3]Mar!N103</f>
        <v>1021</v>
      </c>
      <c r="G42" s="17">
        <v>7792</v>
      </c>
      <c r="H42" s="53">
        <f t="shared" si="8"/>
        <v>64.645272800599187</v>
      </c>
      <c r="I42" s="54"/>
      <c r="J42" s="53">
        <f>72+94.3+98.9+97.8+68+91.2</f>
        <v>522.20000000000005</v>
      </c>
      <c r="K42" s="53">
        <f t="shared" si="2"/>
        <v>514.27200000000005</v>
      </c>
      <c r="L42" s="53">
        <f t="shared" si="3"/>
        <v>7.9279999999999973</v>
      </c>
      <c r="M42" s="165">
        <f>[3]Mar!AD42</f>
        <v>262</v>
      </c>
      <c r="N42" s="54">
        <f>41+4</f>
        <v>45</v>
      </c>
      <c r="O42" s="54"/>
      <c r="P42" s="53">
        <f t="shared" si="4"/>
        <v>1.5181922635005738</v>
      </c>
      <c r="Q42" s="54">
        <f t="shared" si="5"/>
        <v>457.90401567091089</v>
      </c>
      <c r="R42" s="16"/>
    </row>
    <row r="43" spans="1:20" ht="15.6">
      <c r="A43" s="227"/>
      <c r="B43" s="91">
        <v>45741</v>
      </c>
      <c r="C43" s="87">
        <v>17</v>
      </c>
      <c r="D43" s="29" t="s">
        <v>47</v>
      </c>
      <c r="E43" s="366"/>
      <c r="F43" s="39">
        <f>[3]Mar!N104</f>
        <v>299</v>
      </c>
      <c r="G43" s="17">
        <v>1654</v>
      </c>
      <c r="H43" s="53">
        <f t="shared" si="8"/>
        <v>46.857367696242378</v>
      </c>
      <c r="I43" s="54"/>
      <c r="J43" s="53">
        <f>96.5+100.7-14-68</f>
        <v>115.19999999999999</v>
      </c>
      <c r="K43" s="53">
        <f>(G43)*0.066+(25*0.19)</f>
        <v>113.914</v>
      </c>
      <c r="L43" s="53">
        <f t="shared" si="3"/>
        <v>1.2859999999999872</v>
      </c>
      <c r="M43" s="165">
        <f>[3]Mar!AD43</f>
        <v>222</v>
      </c>
      <c r="N43" s="54">
        <f>5+5</f>
        <v>10</v>
      </c>
      <c r="O43" s="54">
        <v>25</v>
      </c>
      <c r="P43" s="53">
        <f t="shared" si="4"/>
        <v>1.1163194444444333</v>
      </c>
      <c r="Q43" s="54">
        <f t="shared" si="5"/>
        <v>331.90635451505017</v>
      </c>
      <c r="R43" s="16"/>
    </row>
    <row r="44" spans="1:20" ht="15.6">
      <c r="A44" s="227"/>
      <c r="B44" s="91">
        <v>45742</v>
      </c>
      <c r="C44" s="87">
        <v>18</v>
      </c>
      <c r="D44" s="29" t="s">
        <v>47</v>
      </c>
      <c r="E44" s="365">
        <v>1440</v>
      </c>
      <c r="F44" s="39">
        <f>[3]Mar!N105</f>
        <v>597</v>
      </c>
      <c r="G44" s="17">
        <v>4013</v>
      </c>
      <c r="H44" s="53">
        <f t="shared" si="8"/>
        <v>56.938811705586758</v>
      </c>
      <c r="I44" s="54"/>
      <c r="J44" s="53">
        <f>SUM(68,14,86.5,99.3)</f>
        <v>267.8</v>
      </c>
      <c r="K44" s="53">
        <f>(G44)*0.066</f>
        <v>264.858</v>
      </c>
      <c r="L44" s="53">
        <f t="shared" si="3"/>
        <v>2.9420000000000073</v>
      </c>
      <c r="M44" s="165">
        <f>[3]Mar!AD44</f>
        <v>199</v>
      </c>
      <c r="N44" s="54">
        <v>8.5</v>
      </c>
      <c r="O44" s="54"/>
      <c r="P44" s="53">
        <f t="shared" si="4"/>
        <v>1.0985810306198682</v>
      </c>
      <c r="Q44" s="54">
        <f t="shared" si="5"/>
        <v>403.3165829145729</v>
      </c>
      <c r="R44" s="16"/>
    </row>
    <row r="45" spans="1:20" s="229" customFormat="1" ht="15.6">
      <c r="B45" s="230">
        <v>45742</v>
      </c>
      <c r="C45" s="231">
        <v>18</v>
      </c>
      <c r="D45" s="232" t="s">
        <v>49</v>
      </c>
      <c r="E45" s="366"/>
      <c r="F45" s="234">
        <f>[3]Mar!N106</f>
        <v>780</v>
      </c>
      <c r="G45" s="235">
        <v>4916</v>
      </c>
      <c r="H45" s="190">
        <f t="shared" si="8"/>
        <v>53.386425339366518</v>
      </c>
      <c r="I45" s="236"/>
      <c r="J45" s="190">
        <f>SUM(93,89,88,65.4,71)-74.8</f>
        <v>331.59999999999997</v>
      </c>
      <c r="K45" s="190">
        <f t="shared" si="2"/>
        <v>324.45600000000002</v>
      </c>
      <c r="L45" s="190">
        <f t="shared" si="3"/>
        <v>7.1439999999999486</v>
      </c>
      <c r="M45" s="237">
        <f>[3]Mar!AD45</f>
        <v>251</v>
      </c>
      <c r="N45" s="236">
        <v>16</v>
      </c>
      <c r="O45" s="236"/>
      <c r="P45" s="190">
        <f t="shared" si="4"/>
        <v>2.1544028950542669</v>
      </c>
      <c r="Q45" s="236">
        <f t="shared" si="5"/>
        <v>378.15384615384613</v>
      </c>
      <c r="R45" s="238"/>
    </row>
    <row r="46" spans="1:20" s="229" customFormat="1" ht="15.6">
      <c r="B46" s="230">
        <v>45743</v>
      </c>
      <c r="C46" s="231">
        <v>19</v>
      </c>
      <c r="D46" s="232" t="s">
        <v>49</v>
      </c>
      <c r="E46" s="233">
        <v>1260</v>
      </c>
      <c r="F46" s="234">
        <f>[3]Mar!N107</f>
        <v>1098</v>
      </c>
      <c r="G46" s="235">
        <v>8119</v>
      </c>
      <c r="H46" s="190">
        <f t="shared" si="8"/>
        <v>62.634522661523626</v>
      </c>
      <c r="I46" s="236"/>
      <c r="J46" s="190">
        <f>74.8+89+99.1+92.6+52+52+82</f>
        <v>541.5</v>
      </c>
      <c r="K46" s="190">
        <f t="shared" si="2"/>
        <v>535.85400000000004</v>
      </c>
      <c r="L46" s="190">
        <f t="shared" si="3"/>
        <v>5.6459999999999582</v>
      </c>
      <c r="M46" s="237">
        <f>[3]Mar!AD46</f>
        <v>371</v>
      </c>
      <c r="N46" s="236">
        <f>6+8.25</f>
        <v>14.25</v>
      </c>
      <c r="O46" s="236"/>
      <c r="P46" s="190">
        <f t="shared" si="4"/>
        <v>1.0426592797783856</v>
      </c>
      <c r="Q46" s="236">
        <f t="shared" si="5"/>
        <v>443.66120218579232</v>
      </c>
      <c r="R46" s="238"/>
    </row>
    <row r="47" spans="1:20" ht="15.6">
      <c r="B47" s="91">
        <v>45744</v>
      </c>
      <c r="C47" s="87">
        <v>20</v>
      </c>
      <c r="D47" s="29" t="s">
        <v>85</v>
      </c>
      <c r="E47" s="60">
        <v>475</v>
      </c>
      <c r="F47" s="39">
        <f>[3]Mar!N108</f>
        <v>433</v>
      </c>
      <c r="G47" s="17">
        <v>2568</v>
      </c>
      <c r="H47" s="53">
        <f t="shared" si="8"/>
        <v>50.236652628718929</v>
      </c>
      <c r="I47" s="54"/>
      <c r="J47" s="53">
        <f>SUM(92.2,90.7)</f>
        <v>182.9</v>
      </c>
      <c r="K47" s="53">
        <f>(G47)*0.0708</f>
        <v>181.81440000000001</v>
      </c>
      <c r="L47" s="53">
        <f t="shared" si="3"/>
        <v>1.0855999999999995</v>
      </c>
      <c r="M47" s="165">
        <f>[3]Mar!AD47</f>
        <v>317</v>
      </c>
      <c r="N47" s="54">
        <v>4</v>
      </c>
      <c r="O47" s="54"/>
      <c r="P47" s="53">
        <f t="shared" si="4"/>
        <v>0.59354838709677393</v>
      </c>
      <c r="Q47" s="54">
        <f t="shared" si="5"/>
        <v>355.84295612009237</v>
      </c>
      <c r="R47" s="16"/>
    </row>
    <row r="48" spans="1:20" ht="15.6">
      <c r="B48" s="91">
        <v>45747</v>
      </c>
      <c r="C48" s="87">
        <v>21</v>
      </c>
      <c r="D48" s="29" t="s">
        <v>47</v>
      </c>
      <c r="E48" s="365">
        <v>1380</v>
      </c>
      <c r="F48" s="39">
        <f>[3]Mar!N109</f>
        <v>969</v>
      </c>
      <c r="G48" s="17">
        <v>5471</v>
      </c>
      <c r="H48" s="53">
        <f>(G48)*24/(F48/60)/17000*100</f>
        <v>47.825168457475876</v>
      </c>
      <c r="I48" s="54"/>
      <c r="J48" s="53">
        <f>SUM(91,89,91,95)</f>
        <v>366</v>
      </c>
      <c r="K48" s="53">
        <f t="shared" si="2"/>
        <v>361.08600000000001</v>
      </c>
      <c r="L48" s="53">
        <f t="shared" si="3"/>
        <v>4.9139999999999873</v>
      </c>
      <c r="M48" s="165">
        <f>[3]Mar!AD48</f>
        <v>555</v>
      </c>
      <c r="N48" s="54">
        <v>16</v>
      </c>
      <c r="O48" s="54"/>
      <c r="P48" s="53">
        <f t="shared" si="4"/>
        <v>1.3426229508196685</v>
      </c>
      <c r="Q48" s="54">
        <f t="shared" si="5"/>
        <v>338.76160990712077</v>
      </c>
      <c r="R48" s="16"/>
    </row>
    <row r="49" spans="2:18" ht="15.6">
      <c r="B49" s="91">
        <v>45747</v>
      </c>
      <c r="C49" s="87">
        <v>21</v>
      </c>
      <c r="D49" s="29" t="s">
        <v>30</v>
      </c>
      <c r="E49" s="366"/>
      <c r="F49" s="39">
        <f>[3]Mar!N110</f>
        <v>180</v>
      </c>
      <c r="G49" s="17">
        <v>940</v>
      </c>
      <c r="H49" s="53">
        <f t="shared" si="8"/>
        <v>44.235294117647058</v>
      </c>
      <c r="I49" s="54"/>
      <c r="J49" s="53">
        <f>SUM(97.5,96.1)-84.8-43</f>
        <v>65.8</v>
      </c>
      <c r="K49" s="53">
        <f>(G49)*0.066</f>
        <v>62.040000000000006</v>
      </c>
      <c r="L49" s="53">
        <f t="shared" si="3"/>
        <v>3.7599999999999909</v>
      </c>
      <c r="M49" s="165">
        <f>[3]Mar!AD49</f>
        <v>68</v>
      </c>
      <c r="N49" s="54">
        <v>5</v>
      </c>
      <c r="O49" s="54"/>
      <c r="P49" s="53">
        <f t="shared" si="4"/>
        <v>5.7142857142857011</v>
      </c>
      <c r="Q49" s="54">
        <f t="shared" si="5"/>
        <v>313.33333333333331</v>
      </c>
      <c r="R49" s="16"/>
    </row>
    <row r="50" spans="2:18" ht="15.6">
      <c r="B50" s="91"/>
      <c r="C50" s="87"/>
      <c r="D50" s="29"/>
      <c r="E50" s="60"/>
      <c r="F50" s="39"/>
      <c r="G50" s="17"/>
      <c r="H50" s="53" t="e">
        <f t="shared" si="8"/>
        <v>#DIV/0!</v>
      </c>
      <c r="I50" s="54"/>
      <c r="J50" s="53"/>
      <c r="K50" s="53">
        <f t="shared" si="2"/>
        <v>0</v>
      </c>
      <c r="L50" s="53">
        <f t="shared" si="3"/>
        <v>0</v>
      </c>
      <c r="M50" s="165"/>
      <c r="N50" s="54"/>
      <c r="O50" s="54"/>
      <c r="P50" s="53" t="e">
        <f t="shared" si="4"/>
        <v>#DIV/0!</v>
      </c>
      <c r="Q50" s="54" t="e">
        <f t="shared" si="5"/>
        <v>#DIV/0!</v>
      </c>
      <c r="R50" s="16"/>
    </row>
    <row r="51" spans="2:18" ht="16.2" thickBot="1">
      <c r="B51" s="91"/>
      <c r="C51" s="87"/>
      <c r="D51" s="29"/>
      <c r="E51" s="60"/>
      <c r="F51" s="39"/>
      <c r="G51" s="17"/>
      <c r="H51" s="53" t="e">
        <f t="shared" si="8"/>
        <v>#DIV/0!</v>
      </c>
      <c r="I51" s="54"/>
      <c r="J51" s="53"/>
      <c r="K51" s="53">
        <f t="shared" si="2"/>
        <v>0</v>
      </c>
      <c r="L51" s="53">
        <f t="shared" si="3"/>
        <v>0</v>
      </c>
      <c r="M51" s="165"/>
      <c r="N51" s="54"/>
      <c r="O51" s="54"/>
      <c r="P51" s="53" t="e">
        <f t="shared" si="4"/>
        <v>#DIV/0!</v>
      </c>
      <c r="Q51" s="54" t="e">
        <f t="shared" si="5"/>
        <v>#DIV/0!</v>
      </c>
      <c r="R51" s="16"/>
    </row>
    <row r="52" spans="2:18" ht="16.2" hidden="1" thickBot="1">
      <c r="B52" s="91"/>
      <c r="C52" s="87"/>
      <c r="D52" s="29"/>
      <c r="E52" s="60"/>
      <c r="F52" s="39"/>
      <c r="G52" s="17"/>
      <c r="H52" s="53" t="e">
        <f t="shared" si="8"/>
        <v>#DIV/0!</v>
      </c>
      <c r="I52" s="54"/>
      <c r="J52" s="53"/>
      <c r="K52" s="53">
        <f t="shared" si="2"/>
        <v>0</v>
      </c>
      <c r="L52" s="53">
        <f t="shared" ref="L52:L61" si="9">J52-K52</f>
        <v>0</v>
      </c>
      <c r="M52" s="165"/>
      <c r="N52" s="54"/>
      <c r="O52" s="54"/>
      <c r="P52" s="53" t="e">
        <f t="shared" ref="P52:P61" si="10">(J52-K52)/J52*100</f>
        <v>#DIV/0!</v>
      </c>
      <c r="Q52" s="54" t="e">
        <f t="shared" si="5"/>
        <v>#DIV/0!</v>
      </c>
      <c r="R52" s="16"/>
    </row>
    <row r="53" spans="2:18" ht="16.2" hidden="1" thickBot="1">
      <c r="B53" s="91"/>
      <c r="C53" s="87"/>
      <c r="D53" s="29"/>
      <c r="E53" s="60"/>
      <c r="F53" s="39"/>
      <c r="G53" s="17"/>
      <c r="H53" s="53" t="e">
        <f t="shared" si="8"/>
        <v>#DIV/0!</v>
      </c>
      <c r="I53" s="54"/>
      <c r="J53" s="53"/>
      <c r="K53" s="53">
        <f t="shared" si="2"/>
        <v>0</v>
      </c>
      <c r="L53" s="53">
        <f t="shared" si="9"/>
        <v>0</v>
      </c>
      <c r="M53" s="165"/>
      <c r="N53" s="54"/>
      <c r="O53" s="54"/>
      <c r="P53" s="53" t="e">
        <f t="shared" si="10"/>
        <v>#DIV/0!</v>
      </c>
      <c r="Q53" s="54" t="e">
        <f t="shared" si="5"/>
        <v>#DIV/0!</v>
      </c>
      <c r="R53" s="16"/>
    </row>
    <row r="54" spans="2:18" ht="16.2" hidden="1" thickBot="1">
      <c r="B54" s="91"/>
      <c r="C54" s="87"/>
      <c r="D54" s="29"/>
      <c r="E54" s="60"/>
      <c r="F54" s="39"/>
      <c r="G54" s="17"/>
      <c r="H54" s="53" t="e">
        <f t="shared" si="8"/>
        <v>#DIV/0!</v>
      </c>
      <c r="I54" s="54"/>
      <c r="J54" s="53"/>
      <c r="K54" s="53">
        <f t="shared" si="2"/>
        <v>0</v>
      </c>
      <c r="L54" s="53">
        <f t="shared" si="9"/>
        <v>0</v>
      </c>
      <c r="M54" s="165"/>
      <c r="N54" s="54"/>
      <c r="O54" s="54"/>
      <c r="P54" s="53" t="e">
        <f t="shared" si="10"/>
        <v>#DIV/0!</v>
      </c>
      <c r="Q54" s="54" t="e">
        <f t="shared" si="5"/>
        <v>#DIV/0!</v>
      </c>
      <c r="R54" s="16"/>
    </row>
    <row r="55" spans="2:18" ht="16.2" hidden="1" thickBot="1">
      <c r="B55" s="91"/>
      <c r="C55" s="87"/>
      <c r="D55" s="29"/>
      <c r="E55" s="60"/>
      <c r="F55" s="39"/>
      <c r="G55" s="17"/>
      <c r="H55" s="53" t="e">
        <f t="shared" si="8"/>
        <v>#DIV/0!</v>
      </c>
      <c r="I55" s="54"/>
      <c r="J55" s="53"/>
      <c r="K55" s="53">
        <f t="shared" si="2"/>
        <v>0</v>
      </c>
      <c r="L55" s="53">
        <f t="shared" si="9"/>
        <v>0</v>
      </c>
      <c r="M55" s="165"/>
      <c r="N55" s="54"/>
      <c r="O55" s="54"/>
      <c r="P55" s="53" t="e">
        <f t="shared" si="10"/>
        <v>#DIV/0!</v>
      </c>
      <c r="Q55" s="54" t="e">
        <f t="shared" si="5"/>
        <v>#DIV/0!</v>
      </c>
      <c r="R55" s="16"/>
    </row>
    <row r="56" spans="2:18" ht="16.2" hidden="1" thickBot="1">
      <c r="B56" s="91"/>
      <c r="C56" s="87"/>
      <c r="D56" s="29"/>
      <c r="E56" s="60"/>
      <c r="F56" s="39"/>
      <c r="G56" s="17"/>
      <c r="H56" s="53" t="e">
        <f t="shared" si="8"/>
        <v>#DIV/0!</v>
      </c>
      <c r="I56" s="54"/>
      <c r="J56" s="53"/>
      <c r="K56" s="53">
        <f t="shared" si="2"/>
        <v>0</v>
      </c>
      <c r="L56" s="53">
        <f t="shared" si="9"/>
        <v>0</v>
      </c>
      <c r="M56" s="165"/>
      <c r="N56" s="54"/>
      <c r="O56" s="54"/>
      <c r="P56" s="53" t="e">
        <f t="shared" si="10"/>
        <v>#DIV/0!</v>
      </c>
      <c r="Q56" s="54" t="e">
        <f t="shared" si="5"/>
        <v>#DIV/0!</v>
      </c>
      <c r="R56" s="16"/>
    </row>
    <row r="57" spans="2:18" ht="16.2" hidden="1" thickBot="1">
      <c r="B57" s="91"/>
      <c r="C57" s="87"/>
      <c r="D57" s="29"/>
      <c r="E57" s="60"/>
      <c r="F57" s="39"/>
      <c r="G57" s="17"/>
      <c r="H57" s="53" t="e">
        <f t="shared" si="8"/>
        <v>#DIV/0!</v>
      </c>
      <c r="I57" s="54"/>
      <c r="J57" s="53"/>
      <c r="K57" s="53">
        <f t="shared" si="2"/>
        <v>0</v>
      </c>
      <c r="L57" s="53">
        <f t="shared" si="9"/>
        <v>0</v>
      </c>
      <c r="M57" s="165"/>
      <c r="N57" s="54"/>
      <c r="O57" s="54"/>
      <c r="P57" s="53" t="e">
        <f t="shared" si="10"/>
        <v>#DIV/0!</v>
      </c>
      <c r="Q57" s="54" t="e">
        <f t="shared" si="5"/>
        <v>#DIV/0!</v>
      </c>
      <c r="R57" s="16"/>
    </row>
    <row r="58" spans="2:18" ht="16.2" hidden="1" thickBot="1">
      <c r="B58" s="91"/>
      <c r="C58" s="87"/>
      <c r="D58" s="29"/>
      <c r="E58" s="60"/>
      <c r="F58" s="39"/>
      <c r="G58" s="17"/>
      <c r="H58" s="53" t="e">
        <f t="shared" si="8"/>
        <v>#DIV/0!</v>
      </c>
      <c r="I58" s="54"/>
      <c r="J58" s="53"/>
      <c r="K58" s="53">
        <f t="shared" si="2"/>
        <v>0</v>
      </c>
      <c r="L58" s="53">
        <f t="shared" si="9"/>
        <v>0</v>
      </c>
      <c r="M58" s="165"/>
      <c r="N58" s="54"/>
      <c r="O58" s="54"/>
      <c r="P58" s="53" t="e">
        <f t="shared" si="10"/>
        <v>#DIV/0!</v>
      </c>
      <c r="Q58" s="54" t="e">
        <f t="shared" si="5"/>
        <v>#DIV/0!</v>
      </c>
      <c r="R58" s="16"/>
    </row>
    <row r="59" spans="2:18" ht="16.2" hidden="1" thickBot="1">
      <c r="B59" s="91"/>
      <c r="C59" s="87"/>
      <c r="D59" s="29"/>
      <c r="E59" s="60"/>
      <c r="F59" s="39"/>
      <c r="G59" s="17"/>
      <c r="H59" s="53" t="e">
        <f>(G59)*24/(F59/60)/17000*100</f>
        <v>#DIV/0!</v>
      </c>
      <c r="I59" s="54"/>
      <c r="J59" s="53"/>
      <c r="K59" s="53">
        <f t="shared" si="2"/>
        <v>0</v>
      </c>
      <c r="L59" s="53">
        <f t="shared" si="9"/>
        <v>0</v>
      </c>
      <c r="M59" s="165"/>
      <c r="N59" s="54"/>
      <c r="O59" s="54"/>
      <c r="P59" s="53" t="e">
        <f t="shared" si="10"/>
        <v>#DIV/0!</v>
      </c>
      <c r="Q59" s="54" t="e">
        <f t="shared" si="5"/>
        <v>#DIV/0!</v>
      </c>
      <c r="R59" s="16"/>
    </row>
    <row r="60" spans="2:18" ht="15.75" hidden="1" customHeight="1">
      <c r="B60" s="91"/>
      <c r="C60" s="87"/>
      <c r="D60" s="29"/>
      <c r="E60" s="60"/>
      <c r="F60" s="39"/>
      <c r="G60" s="17"/>
      <c r="H60" s="53" t="e">
        <f>(G60)*24/(F60/60)/17000*100</f>
        <v>#DIV/0!</v>
      </c>
      <c r="I60" s="54"/>
      <c r="J60" s="53"/>
      <c r="K60" s="53">
        <f t="shared" si="2"/>
        <v>0</v>
      </c>
      <c r="L60" s="53">
        <f t="shared" si="9"/>
        <v>0</v>
      </c>
      <c r="M60" s="54"/>
      <c r="N60" s="54"/>
      <c r="O60" s="54"/>
      <c r="P60" s="53" t="e">
        <f t="shared" si="10"/>
        <v>#DIV/0!</v>
      </c>
      <c r="Q60" s="54" t="e">
        <f t="shared" si="5"/>
        <v>#DIV/0!</v>
      </c>
      <c r="R60" s="16"/>
    </row>
    <row r="61" spans="2:18" ht="16.2" hidden="1" thickBot="1">
      <c r="B61" s="59"/>
      <c r="C61" s="48"/>
      <c r="D61" s="29"/>
      <c r="E61" s="60"/>
      <c r="F61" s="39"/>
      <c r="G61" s="17"/>
      <c r="H61" s="53" t="e">
        <f t="shared" si="8"/>
        <v>#DIV/0!</v>
      </c>
      <c r="I61" s="54"/>
      <c r="J61" s="53"/>
      <c r="K61" s="53">
        <f t="shared" si="2"/>
        <v>0</v>
      </c>
      <c r="L61" s="53">
        <f t="shared" si="9"/>
        <v>0</v>
      </c>
      <c r="M61" s="54"/>
      <c r="N61" s="54"/>
      <c r="O61" s="54"/>
      <c r="P61" s="53" t="e">
        <f t="shared" si="10"/>
        <v>#DIV/0!</v>
      </c>
      <c r="Q61" s="54" t="e">
        <f t="shared" si="5"/>
        <v>#DIV/0!</v>
      </c>
      <c r="R61" s="16"/>
    </row>
    <row r="62" spans="2:18" ht="16.8" thickTop="1" thickBot="1">
      <c r="B62" s="12"/>
      <c r="C62" s="12"/>
      <c r="D62" s="30"/>
      <c r="E62" s="22">
        <f>SUM(E8:E61)</f>
        <v>24472</v>
      </c>
      <c r="F62" s="22">
        <f>SUM(F8:F61)</f>
        <v>18522</v>
      </c>
      <c r="G62" s="15">
        <f>SUM(G8:G59)</f>
        <v>105306</v>
      </c>
      <c r="H62" s="13">
        <f t="shared" si="8"/>
        <v>48.15914937403533</v>
      </c>
      <c r="I62" s="14">
        <f>SUM(I8:I61)</f>
        <v>56</v>
      </c>
      <c r="J62" s="13">
        <f>SUM(J8:J61)</f>
        <v>7159.9428800000005</v>
      </c>
      <c r="K62" s="13">
        <f>SUM(K8:K61)</f>
        <v>6990.6424000000006</v>
      </c>
      <c r="L62" s="13">
        <f>J62-K62</f>
        <v>169.30047999999988</v>
      </c>
      <c r="M62" s="52">
        <f>SUM(M8:M61)</f>
        <v>11907</v>
      </c>
      <c r="N62" s="36">
        <f>SUM(N8:N61)</f>
        <v>621.25</v>
      </c>
      <c r="O62" s="173">
        <f>SUM(O8:O61)</f>
        <v>175</v>
      </c>
      <c r="P62" s="24">
        <f>(J62-K62)/J62</f>
        <v>2.3645507071419523E-2</v>
      </c>
      <c r="Q62" s="396">
        <f>G62/(E62/60)</f>
        <v>258.18731611637787</v>
      </c>
      <c r="R62" s="400">
        <f>(January_2025!G65+February_2025!G63+G62)/((January_2025!E65+February_2025!E63+E62)/60)</f>
        <v>290.77686689521533</v>
      </c>
    </row>
    <row r="63" spans="2:18" ht="16.8" thickTop="1" thickBot="1">
      <c r="G63" s="1"/>
      <c r="H63" s="1"/>
      <c r="L63" s="18"/>
      <c r="M63" s="18"/>
      <c r="N63" s="40" t="s">
        <v>23</v>
      </c>
      <c r="O63" s="18"/>
      <c r="Q63" s="5"/>
    </row>
    <row r="64" spans="2:18" ht="21" thickTop="1" thickBot="1">
      <c r="G64" s="1"/>
      <c r="H64" s="1"/>
      <c r="K64" s="45" t="s">
        <v>36</v>
      </c>
      <c r="L64" s="172">
        <f>G62+O64</f>
        <v>105787.25</v>
      </c>
      <c r="M64" s="18"/>
      <c r="N64" s="40" t="s">
        <v>31</v>
      </c>
      <c r="O64" s="70">
        <f>O62*2.75</f>
        <v>481.25</v>
      </c>
      <c r="P64" s="398" t="s">
        <v>146</v>
      </c>
      <c r="Q64" s="397">
        <v>341.12730806608357</v>
      </c>
      <c r="R64" s="399">
        <v>377.78806305433983</v>
      </c>
    </row>
    <row r="65" spans="7:17" ht="16.2" thickTop="1">
      <c r="G65" s="1"/>
      <c r="H65" s="1"/>
      <c r="L65" s="18"/>
      <c r="M65" s="18"/>
      <c r="N65" s="18"/>
      <c r="O65" s="18"/>
      <c r="Q65" s="5"/>
    </row>
    <row r="66" spans="7:17" ht="15.6">
      <c r="G66" s="1"/>
      <c r="H66" s="1"/>
      <c r="L66" s="18"/>
      <c r="M66" s="18"/>
      <c r="N66" s="18"/>
      <c r="O66" s="18"/>
      <c r="Q66" s="5"/>
    </row>
    <row r="67" spans="7:17" ht="15.6">
      <c r="G67" s="61"/>
      <c r="H67" s="1"/>
      <c r="L67" s="18"/>
      <c r="M67" s="18"/>
      <c r="N67" s="18"/>
      <c r="O67" s="18"/>
      <c r="Q67" s="5"/>
    </row>
    <row r="68" spans="7:17" ht="15.6">
      <c r="G68" s="1"/>
      <c r="H68" s="1"/>
      <c r="L68" s="18"/>
      <c r="M68" s="18"/>
      <c r="N68" s="18"/>
      <c r="O68" s="18"/>
      <c r="Q68" s="5"/>
    </row>
    <row r="69" spans="7:17" ht="15.6">
      <c r="G69" s="1"/>
      <c r="H69" s="1"/>
      <c r="L69" s="18"/>
      <c r="M69" s="18"/>
      <c r="N69" s="18"/>
      <c r="O69" s="18"/>
      <c r="Q69" s="5"/>
    </row>
    <row r="70" spans="7:17" ht="15.6">
      <c r="G70" s="1"/>
      <c r="H70" s="1"/>
      <c r="L70" s="18"/>
      <c r="M70" s="18"/>
      <c r="N70" s="18"/>
      <c r="O70" s="18"/>
      <c r="Q70" s="5"/>
    </row>
    <row r="71" spans="7:17" ht="15.6">
      <c r="G71" s="1"/>
      <c r="H71" s="1"/>
      <c r="L71" s="18"/>
      <c r="M71" s="18"/>
      <c r="N71" s="18"/>
      <c r="O71" s="18"/>
      <c r="Q71" s="5"/>
    </row>
    <row r="72" spans="7:17" ht="15.6">
      <c r="G72" s="1"/>
      <c r="H72" s="1"/>
      <c r="L72" s="18"/>
      <c r="M72" s="18"/>
      <c r="N72" s="18"/>
      <c r="O72" s="18"/>
      <c r="Q72" s="5"/>
    </row>
    <row r="73" spans="7:17" ht="15.6">
      <c r="G73" s="1"/>
      <c r="H73" s="1"/>
      <c r="L73" s="18"/>
      <c r="M73" s="18"/>
      <c r="N73" s="18"/>
      <c r="O73" s="18"/>
      <c r="Q73" s="5"/>
    </row>
    <row r="74" spans="7:17" ht="15.6">
      <c r="G74" s="1"/>
      <c r="H74" s="1"/>
      <c r="L74" s="18"/>
      <c r="M74" s="18"/>
      <c r="N74" s="18"/>
      <c r="O74" s="18"/>
      <c r="Q74" s="5"/>
    </row>
    <row r="75" spans="7:17" ht="15.6">
      <c r="G75" s="1"/>
      <c r="H75" s="1"/>
      <c r="L75" s="18"/>
      <c r="M75" s="18"/>
      <c r="N75" s="18"/>
      <c r="O75" s="18"/>
      <c r="Q75" s="5"/>
    </row>
    <row r="76" spans="7:17" ht="15.6">
      <c r="G76" s="1"/>
      <c r="H76" s="1"/>
      <c r="L76" s="18"/>
      <c r="M76" s="18"/>
      <c r="N76" s="18"/>
      <c r="O76" s="18"/>
      <c r="Q76" s="5"/>
    </row>
    <row r="77" spans="7:17" ht="15.6">
      <c r="G77" s="1"/>
      <c r="H77" s="1"/>
      <c r="L77" s="18"/>
      <c r="M77" s="18"/>
      <c r="N77" s="18"/>
      <c r="O77" s="18"/>
      <c r="Q77" s="5"/>
    </row>
    <row r="78" spans="7:17">
      <c r="G78" s="1"/>
      <c r="H78" s="1"/>
      <c r="Q78" s="5"/>
    </row>
    <row r="79" spans="7:17">
      <c r="G79" s="1"/>
      <c r="H79" s="1"/>
      <c r="Q79" s="5"/>
    </row>
    <row r="80" spans="7:17">
      <c r="G80" s="1"/>
      <c r="H80" s="1"/>
      <c r="Q80" s="5"/>
    </row>
    <row r="81" spans="7:17">
      <c r="G81" s="1"/>
      <c r="H81" s="1"/>
      <c r="Q81" s="5"/>
    </row>
    <row r="82" spans="7:17">
      <c r="G82" s="1"/>
      <c r="H82" s="1"/>
      <c r="Q82" s="5"/>
    </row>
    <row r="83" spans="7:17">
      <c r="G83" s="1"/>
      <c r="H83" s="1"/>
      <c r="Q83" s="5"/>
    </row>
    <row r="84" spans="7:17">
      <c r="G84" s="1"/>
      <c r="H84" s="1"/>
      <c r="Q84" s="5"/>
    </row>
    <row r="85" spans="7:17">
      <c r="G85" s="1"/>
      <c r="H85" s="1"/>
      <c r="Q85" s="5"/>
    </row>
    <row r="86" spans="7:17">
      <c r="G86" s="1"/>
      <c r="H86" s="1"/>
      <c r="Q86" s="5"/>
    </row>
    <row r="87" spans="7:17">
      <c r="G87" s="1"/>
      <c r="H87" s="1"/>
      <c r="Q87" s="5"/>
    </row>
    <row r="88" spans="7:17">
      <c r="G88" s="1"/>
      <c r="H88" s="1"/>
      <c r="Q88" s="5"/>
    </row>
    <row r="89" spans="7:17">
      <c r="G89" s="1"/>
      <c r="H89" s="1"/>
      <c r="Q89" s="5"/>
    </row>
    <row r="90" spans="7:17">
      <c r="G90" s="1"/>
      <c r="H90" s="1"/>
      <c r="Q90" s="5"/>
    </row>
    <row r="91" spans="7:17">
      <c r="G91" s="1"/>
      <c r="H91" s="1"/>
      <c r="Q91" s="5"/>
    </row>
    <row r="92" spans="7:17">
      <c r="G92" s="1"/>
      <c r="H92" s="1"/>
      <c r="Q92" s="5"/>
    </row>
    <row r="93" spans="7:17">
      <c r="G93" s="1"/>
      <c r="H93" s="1"/>
      <c r="Q93" s="5"/>
    </row>
    <row r="94" spans="7:17">
      <c r="G94" s="1"/>
      <c r="H94" s="1"/>
      <c r="Q94" s="5"/>
    </row>
    <row r="95" spans="7:17">
      <c r="G95" s="1"/>
      <c r="H95" s="1"/>
      <c r="Q95" s="5"/>
    </row>
    <row r="96" spans="7:17">
      <c r="G96" s="1"/>
      <c r="H96" s="1"/>
      <c r="Q96" s="5"/>
    </row>
    <row r="97" spans="7:17">
      <c r="G97" s="1"/>
      <c r="H97" s="1"/>
      <c r="Q97" s="5"/>
    </row>
    <row r="98" spans="7:17">
      <c r="G98" s="1"/>
      <c r="H98" s="1"/>
      <c r="Q98" s="5"/>
    </row>
    <row r="99" spans="7:17">
      <c r="G99" s="1"/>
      <c r="H99" s="1"/>
      <c r="Q99" s="5"/>
    </row>
    <row r="100" spans="7:17">
      <c r="G100" s="1"/>
      <c r="H100" s="1"/>
      <c r="Q100" s="5"/>
    </row>
    <row r="101" spans="7:17">
      <c r="G101" s="1"/>
      <c r="H101" s="1"/>
      <c r="Q101" s="5"/>
    </row>
    <row r="102" spans="7:17">
      <c r="G102" s="1"/>
      <c r="H102" s="1"/>
      <c r="Q102" s="5"/>
    </row>
    <row r="103" spans="7:17">
      <c r="G103" s="1"/>
      <c r="H103" s="1"/>
      <c r="Q103" s="5"/>
    </row>
    <row r="104" spans="7:17">
      <c r="G104" s="1"/>
      <c r="H104" s="1"/>
      <c r="Q104" s="5"/>
    </row>
    <row r="105" spans="7:17">
      <c r="G105" s="1"/>
      <c r="H105" s="1"/>
      <c r="Q105" s="5"/>
    </row>
    <row r="106" spans="7:17">
      <c r="G106" s="1"/>
      <c r="H106" s="1"/>
      <c r="Q106" s="5"/>
    </row>
    <row r="107" spans="7:17">
      <c r="G107" s="1"/>
      <c r="H107" s="1"/>
      <c r="Q107" s="5"/>
    </row>
    <row r="108" spans="7:17">
      <c r="G108" s="1"/>
      <c r="H108" s="1"/>
      <c r="Q108" s="5"/>
    </row>
    <row r="109" spans="7:17">
      <c r="G109" s="1"/>
      <c r="H109" s="1"/>
      <c r="Q109" s="5"/>
    </row>
    <row r="110" spans="7:17">
      <c r="G110" s="1"/>
      <c r="H110" s="1"/>
      <c r="Q110" s="5"/>
    </row>
    <row r="111" spans="7:17">
      <c r="G111" s="1"/>
      <c r="H111" s="1"/>
      <c r="Q111" s="5"/>
    </row>
    <row r="112" spans="7:17">
      <c r="G112" s="1"/>
      <c r="H112" s="1"/>
      <c r="Q112" s="5"/>
    </row>
    <row r="113" spans="7:17">
      <c r="G113" s="1"/>
      <c r="H113" s="1"/>
      <c r="Q113" s="5"/>
    </row>
    <row r="114" spans="7:17">
      <c r="G114" s="1"/>
      <c r="H114" s="1"/>
      <c r="Q114" s="5"/>
    </row>
    <row r="115" spans="7:17">
      <c r="G115" s="1"/>
      <c r="H115" s="1"/>
      <c r="Q115" s="5"/>
    </row>
    <row r="116" spans="7:17">
      <c r="G116" s="1"/>
      <c r="H116" s="1"/>
      <c r="Q116" s="5"/>
    </row>
    <row r="117" spans="7:17">
      <c r="G117" s="1"/>
      <c r="H117" s="1"/>
      <c r="Q117" s="5"/>
    </row>
    <row r="118" spans="7:17">
      <c r="G118" s="1"/>
      <c r="H118" s="1"/>
      <c r="Q118" s="5"/>
    </row>
    <row r="119" spans="7:17">
      <c r="G119" s="1"/>
      <c r="H119" s="1"/>
      <c r="Q119" s="5"/>
    </row>
    <row r="120" spans="7:17">
      <c r="G120" s="1"/>
      <c r="H120" s="1"/>
      <c r="Q120" s="5"/>
    </row>
    <row r="121" spans="7:17">
      <c r="G121" s="1"/>
      <c r="H121" s="1"/>
      <c r="Q121" s="5"/>
    </row>
    <row r="122" spans="7:17">
      <c r="G122" s="1"/>
      <c r="H122" s="1"/>
      <c r="Q122" s="5"/>
    </row>
    <row r="123" spans="7:17">
      <c r="G123" s="1"/>
      <c r="H123" s="1"/>
      <c r="Q123" s="5"/>
    </row>
    <row r="124" spans="7:17">
      <c r="G124" s="1"/>
      <c r="H124" s="1"/>
      <c r="Q124" s="5"/>
    </row>
    <row r="125" spans="7:17">
      <c r="G125" s="1"/>
      <c r="H125" s="1"/>
      <c r="Q125" s="5"/>
    </row>
  </sheetData>
  <autoFilter ref="B5:R51" xr:uid="{00000000-0001-0000-0200-000000000000}"/>
  <mergeCells count="25">
    <mergeCell ref="E48:E49"/>
    <mergeCell ref="K36:K37"/>
    <mergeCell ref="L36:L37"/>
    <mergeCell ref="R6:R7"/>
    <mergeCell ref="E25:E27"/>
    <mergeCell ref="E21:E22"/>
    <mergeCell ref="E17:E20"/>
    <mergeCell ref="E14:E16"/>
    <mergeCell ref="E8:E13"/>
    <mergeCell ref="E44:E45"/>
    <mergeCell ref="E42:E43"/>
    <mergeCell ref="E34:E35"/>
    <mergeCell ref="E32:E33"/>
    <mergeCell ref="E30:E31"/>
    <mergeCell ref="E36:E38"/>
    <mergeCell ref="J36:J37"/>
    <mergeCell ref="P36:P37"/>
    <mergeCell ref="B1:Q1"/>
    <mergeCell ref="B3:Q3"/>
    <mergeCell ref="B4:Q4"/>
    <mergeCell ref="I5:I7"/>
    <mergeCell ref="L5:L7"/>
    <mergeCell ref="M5:M7"/>
    <mergeCell ref="N5:N7"/>
    <mergeCell ref="O5:O7"/>
  </mergeCells>
  <conditionalFormatting sqref="I8:I61">
    <cfRule type="cellIs" dxfId="89" priority="21" stopIfTrue="1" operator="lessThan">
      <formula>50</formula>
    </cfRule>
  </conditionalFormatting>
  <conditionalFormatting sqref="P8:P36 P38:P61">
    <cfRule type="cellIs" dxfId="88" priority="1" stopIfTrue="1" operator="greaterThan">
      <formula>1.1</formula>
    </cfRule>
  </conditionalFormatting>
  <pageMargins left="0.25" right="0.25" top="0.75" bottom="0.75" header="0.3" footer="0.3"/>
  <pageSetup scale="55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4827-D1EE-4FF3-80A9-7258E34C7E97}">
  <sheetPr codeName="Sheet4">
    <tabColor indexed="11"/>
    <pageSetUpPr fitToPage="1"/>
  </sheetPr>
  <dimension ref="B1:T117"/>
  <sheetViews>
    <sheetView topLeftCell="A4" zoomScale="80" zoomScaleNormal="80" zoomScaleSheetLayoutView="80" workbookViewId="0">
      <pane xSplit="2" ySplit="4" topLeftCell="C37" activePane="bottomRight" state="frozen"/>
      <selection activeCell="A4" sqref="A4"/>
      <selection pane="topRight" activeCell="B4" sqref="B4"/>
      <selection pane="bottomLeft" activeCell="A8" sqref="A8"/>
      <selection pane="bottomRight" activeCell="R54" sqref="R54"/>
    </sheetView>
  </sheetViews>
  <sheetFormatPr defaultRowHeight="13.2"/>
  <cols>
    <col min="1" max="1" width="2.44140625" customWidth="1"/>
    <col min="2" max="2" width="9.109375" style="1" customWidth="1"/>
    <col min="3" max="3" width="6" style="1" customWidth="1"/>
    <col min="4" max="4" width="34.109375" style="31" customWidth="1"/>
    <col min="5" max="5" width="8.88671875" style="1" customWidth="1"/>
    <col min="6" max="6" width="8.109375" style="23" bestFit="1" customWidth="1"/>
    <col min="7" max="8" width="13.5546875" customWidth="1"/>
    <col min="9" max="9" width="10.5546875" style="7" customWidth="1"/>
    <col min="10" max="10" width="11" style="7" customWidth="1"/>
    <col min="11" max="11" width="13.109375" style="7" customWidth="1"/>
    <col min="12" max="12" width="14" style="7" customWidth="1"/>
    <col min="13" max="13" width="16.88671875" style="7" customWidth="1"/>
    <col min="14" max="14" width="16.5546875" style="7" customWidth="1"/>
    <col min="15" max="15" width="9.44140625" style="7" customWidth="1"/>
    <col min="16" max="16" width="20.6640625" style="25" customWidth="1"/>
    <col min="17" max="17" width="12.109375" style="6" customWidth="1"/>
    <col min="18" max="18" width="11" customWidth="1"/>
    <col min="21" max="21" width="20.88671875" customWidth="1"/>
    <col min="22" max="22" width="13.5546875" customWidth="1"/>
    <col min="23" max="23" width="15.88671875" customWidth="1"/>
    <col min="24" max="24" width="10.5546875" customWidth="1"/>
  </cols>
  <sheetData>
    <row r="1" spans="2:18" ht="25.8">
      <c r="B1" s="324" t="s">
        <v>0</v>
      </c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</row>
    <row r="3" spans="2:18" ht="23.4">
      <c r="B3" s="325" t="s">
        <v>1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</row>
    <row r="4" spans="2:18" ht="21" thickBot="1">
      <c r="B4" s="326">
        <v>45748</v>
      </c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</row>
    <row r="5" spans="2:18" ht="16.8" thickTop="1" thickBot="1">
      <c r="B5" s="2" t="s">
        <v>2</v>
      </c>
      <c r="C5" s="2" t="s">
        <v>3</v>
      </c>
      <c r="D5" s="26" t="s">
        <v>4</v>
      </c>
      <c r="E5" s="2" t="s">
        <v>37</v>
      </c>
      <c r="F5" s="19" t="s">
        <v>12</v>
      </c>
      <c r="G5" s="2" t="s">
        <v>5</v>
      </c>
      <c r="H5" s="2" t="s">
        <v>13</v>
      </c>
      <c r="I5" s="327" t="s">
        <v>26</v>
      </c>
      <c r="J5" s="2" t="s">
        <v>18</v>
      </c>
      <c r="K5" s="2" t="s">
        <v>6</v>
      </c>
      <c r="L5" s="330" t="s">
        <v>22</v>
      </c>
      <c r="M5" s="333" t="s">
        <v>24</v>
      </c>
      <c r="N5" s="333" t="s">
        <v>25</v>
      </c>
      <c r="O5" s="333" t="s">
        <v>23</v>
      </c>
      <c r="P5" s="19" t="s">
        <v>6</v>
      </c>
      <c r="Q5" s="4" t="s">
        <v>9</v>
      </c>
      <c r="R5" s="2" t="s">
        <v>20</v>
      </c>
    </row>
    <row r="6" spans="2:18" ht="16.5" customHeight="1" thickTop="1">
      <c r="B6" s="8"/>
      <c r="C6" s="8"/>
      <c r="D6" s="27"/>
      <c r="E6" s="8" t="s">
        <v>11</v>
      </c>
      <c r="F6" s="20" t="s">
        <v>11</v>
      </c>
      <c r="G6" s="8" t="s">
        <v>6</v>
      </c>
      <c r="H6" s="8" t="s">
        <v>14</v>
      </c>
      <c r="I6" s="328"/>
      <c r="J6" s="8" t="s">
        <v>17</v>
      </c>
      <c r="K6" s="8" t="s">
        <v>17</v>
      </c>
      <c r="L6" s="331"/>
      <c r="M6" s="334"/>
      <c r="N6" s="334"/>
      <c r="O6" s="334"/>
      <c r="P6" s="20" t="s">
        <v>19</v>
      </c>
      <c r="Q6" s="9" t="s">
        <v>10</v>
      </c>
      <c r="R6" s="336" t="s">
        <v>21</v>
      </c>
    </row>
    <row r="7" spans="2:18" ht="16.2" thickBot="1">
      <c r="B7" s="8"/>
      <c r="C7" s="8"/>
      <c r="D7" s="28"/>
      <c r="E7" s="8"/>
      <c r="F7" s="21" t="s">
        <v>15</v>
      </c>
      <c r="G7" s="10"/>
      <c r="H7" s="10" t="s">
        <v>16</v>
      </c>
      <c r="I7" s="329"/>
      <c r="J7" s="10"/>
      <c r="K7" s="10"/>
      <c r="L7" s="332"/>
      <c r="M7" s="334"/>
      <c r="N7" s="335"/>
      <c r="O7" s="335"/>
      <c r="P7" s="21"/>
      <c r="Q7" s="11"/>
      <c r="R7" s="337"/>
    </row>
    <row r="8" spans="2:18" ht="15.6">
      <c r="B8" s="91">
        <v>45748</v>
      </c>
      <c r="C8" s="87">
        <v>1</v>
      </c>
      <c r="D8" s="152" t="s">
        <v>49</v>
      </c>
      <c r="E8" s="367">
        <v>1440</v>
      </c>
      <c r="F8" s="153">
        <f>[3]Apr!P62</f>
        <v>1048</v>
      </c>
      <c r="G8" s="17">
        <v>7510</v>
      </c>
      <c r="H8" s="53">
        <f t="shared" ref="H8:H53" si="0">(G8)*24/(F8/60)/17000*100</f>
        <v>60.700493938033226</v>
      </c>
      <c r="I8" s="54"/>
      <c r="J8" s="187">
        <f>SUM(84.8,43,100,92.6,96,82.2)</f>
        <v>498.59999999999997</v>
      </c>
      <c r="K8" s="53">
        <f>(G8)*0.066</f>
        <v>495.66</v>
      </c>
      <c r="L8" s="53">
        <f>J8-K8</f>
        <v>2.9399999999999409</v>
      </c>
      <c r="M8" s="54">
        <f>[3]Apr!AD8</f>
        <v>179</v>
      </c>
      <c r="N8" s="78">
        <v>6</v>
      </c>
      <c r="O8" s="54"/>
      <c r="P8" s="53">
        <f>(J8-K8)/J8*100</f>
        <v>0.5896510228640075</v>
      </c>
      <c r="Q8" s="54">
        <f t="shared" ref="Q8:Q50" si="1">(G8)/(F8/60)</f>
        <v>429.96183206106872</v>
      </c>
      <c r="R8" s="16"/>
    </row>
    <row r="9" spans="2:18" ht="15.6">
      <c r="B9" s="91">
        <v>45748</v>
      </c>
      <c r="C9" s="87">
        <v>1</v>
      </c>
      <c r="D9" s="152" t="s">
        <v>47</v>
      </c>
      <c r="E9" s="368"/>
      <c r="F9" s="153">
        <f>[3]Apr!P63</f>
        <v>372</v>
      </c>
      <c r="G9" s="17">
        <v>2172</v>
      </c>
      <c r="H9" s="53">
        <f t="shared" si="0"/>
        <v>49.457305502846296</v>
      </c>
      <c r="I9" s="54">
        <v>26</v>
      </c>
      <c r="J9" s="53">
        <f>SUM(96,98)-33.8-12.8</f>
        <v>147.39999999999998</v>
      </c>
      <c r="K9" s="53">
        <f t="shared" ref="K9:K52" si="2">(G9)*0.066</f>
        <v>143.352</v>
      </c>
      <c r="L9" s="53">
        <f t="shared" ref="L9:L14" si="3">J9-K9</f>
        <v>4.0479999999999734</v>
      </c>
      <c r="M9" s="54">
        <f>[3]Apr!AD9</f>
        <v>72</v>
      </c>
      <c r="N9" s="54">
        <v>4</v>
      </c>
      <c r="O9" s="54"/>
      <c r="P9" s="53">
        <f t="shared" ref="P9:P43" si="4">(J9-K9)/J9*100</f>
        <v>2.7462686567164005</v>
      </c>
      <c r="Q9" s="54">
        <f t="shared" si="1"/>
        <v>350.32258064516128</v>
      </c>
      <c r="R9" s="16"/>
    </row>
    <row r="10" spans="2:18" ht="15.6">
      <c r="B10" s="91">
        <v>45749</v>
      </c>
      <c r="C10" s="87">
        <v>2</v>
      </c>
      <c r="D10" s="152" t="s">
        <v>47</v>
      </c>
      <c r="E10" s="189">
        <v>688</v>
      </c>
      <c r="F10" s="153">
        <f>[3]Apr!P64</f>
        <v>628</v>
      </c>
      <c r="G10" s="17">
        <v>3638</v>
      </c>
      <c r="H10" s="53">
        <f t="shared" si="0"/>
        <v>49.07006369426751</v>
      </c>
      <c r="I10" s="54"/>
      <c r="J10" s="53">
        <f>SUM(97,97.2,33.8,12.8)</f>
        <v>240.8</v>
      </c>
      <c r="K10" s="53">
        <f t="shared" si="2"/>
        <v>240.108</v>
      </c>
      <c r="L10" s="53">
        <f t="shared" si="3"/>
        <v>0.69200000000000728</v>
      </c>
      <c r="M10" s="54">
        <f>[3]Apr!AD10</f>
        <v>216</v>
      </c>
      <c r="N10" s="146">
        <f>8+3</f>
        <v>11</v>
      </c>
      <c r="O10" s="54"/>
      <c r="P10" s="53">
        <f t="shared" si="4"/>
        <v>0.28737541528239502</v>
      </c>
      <c r="Q10" s="54">
        <f t="shared" si="1"/>
        <v>347.57961783439492</v>
      </c>
      <c r="R10" s="16"/>
    </row>
    <row r="11" spans="2:18" ht="15.6">
      <c r="B11" s="91">
        <v>45750</v>
      </c>
      <c r="C11" s="87">
        <v>3</v>
      </c>
      <c r="D11" s="152" t="s">
        <v>68</v>
      </c>
      <c r="E11" s="189">
        <v>610</v>
      </c>
      <c r="F11" s="153">
        <f>[3]Apr!P65</f>
        <v>391</v>
      </c>
      <c r="G11" s="17">
        <v>1601</v>
      </c>
      <c r="H11" s="53">
        <f t="shared" si="0"/>
        <v>34.683917556792537</v>
      </c>
      <c r="I11" s="54">
        <v>16</v>
      </c>
      <c r="J11" s="53">
        <f>SUM(91.2,91.5)-72</f>
        <v>110.69999999999999</v>
      </c>
      <c r="K11" s="53">
        <f t="shared" si="2"/>
        <v>105.66600000000001</v>
      </c>
      <c r="L11" s="53">
        <f t="shared" si="3"/>
        <v>5.0339999999999776</v>
      </c>
      <c r="M11" s="54">
        <f>[3]Apr!AD11</f>
        <v>295</v>
      </c>
      <c r="N11" s="146">
        <v>8</v>
      </c>
      <c r="O11" s="54"/>
      <c r="P11" s="53">
        <f t="shared" si="4"/>
        <v>4.5474254742547231</v>
      </c>
      <c r="Q11" s="54">
        <f t="shared" si="1"/>
        <v>245.6777493606138</v>
      </c>
      <c r="R11" s="16"/>
    </row>
    <row r="12" spans="2:18" ht="15.6">
      <c r="B12" s="91">
        <v>45751</v>
      </c>
      <c r="C12" s="87">
        <v>4</v>
      </c>
      <c r="D12" s="152" t="s">
        <v>68</v>
      </c>
      <c r="E12" s="367">
        <v>1207</v>
      </c>
      <c r="F12" s="153">
        <f>[3]Apr!P66</f>
        <v>234</v>
      </c>
      <c r="G12" s="17">
        <v>1050</v>
      </c>
      <c r="H12" s="53">
        <f t="shared" si="0"/>
        <v>38.009049773755663</v>
      </c>
      <c r="I12" s="54"/>
      <c r="J12" s="53">
        <v>72</v>
      </c>
      <c r="K12" s="53">
        <f t="shared" si="2"/>
        <v>69.3</v>
      </c>
      <c r="L12" s="53">
        <f t="shared" si="3"/>
        <v>2.7000000000000028</v>
      </c>
      <c r="M12" s="54">
        <f>[3]Apr!AD12</f>
        <v>106</v>
      </c>
      <c r="N12" s="54">
        <v>6</v>
      </c>
      <c r="O12" s="54"/>
      <c r="P12" s="53">
        <f t="shared" si="4"/>
        <v>3.750000000000004</v>
      </c>
      <c r="Q12" s="54">
        <f t="shared" si="1"/>
        <v>269.23076923076923</v>
      </c>
      <c r="R12" s="16"/>
    </row>
    <row r="13" spans="2:18" ht="15.6">
      <c r="B13" s="91">
        <v>45751</v>
      </c>
      <c r="C13" s="87">
        <v>4</v>
      </c>
      <c r="D13" s="152" t="s">
        <v>72</v>
      </c>
      <c r="E13" s="369"/>
      <c r="F13" s="153">
        <f>[3]Apr!P67</f>
        <v>273</v>
      </c>
      <c r="G13" s="17">
        <v>1254</v>
      </c>
      <c r="H13" s="53">
        <f t="shared" si="0"/>
        <v>38.908855850032317</v>
      </c>
      <c r="I13" s="54"/>
      <c r="J13" s="53">
        <f>SUM(86)</f>
        <v>86</v>
      </c>
      <c r="K13" s="53">
        <f t="shared" si="2"/>
        <v>82.76400000000001</v>
      </c>
      <c r="L13" s="53">
        <f t="shared" si="3"/>
        <v>3.23599999999999</v>
      </c>
      <c r="M13" s="54">
        <f>[3]Apr!AD13</f>
        <v>136</v>
      </c>
      <c r="N13" s="54">
        <v>2</v>
      </c>
      <c r="O13" s="54"/>
      <c r="P13" s="53">
        <f t="shared" si="4"/>
        <v>3.762790697674407</v>
      </c>
      <c r="Q13" s="54">
        <f t="shared" si="1"/>
        <v>275.60439560439562</v>
      </c>
      <c r="R13" s="16"/>
    </row>
    <row r="14" spans="2:18" ht="15.6">
      <c r="B14" s="91">
        <v>45751</v>
      </c>
      <c r="C14" s="87">
        <v>4</v>
      </c>
      <c r="D14" s="152" t="s">
        <v>49</v>
      </c>
      <c r="E14" s="368"/>
      <c r="F14" s="153">
        <f>[3]Apr!P68</f>
        <v>433</v>
      </c>
      <c r="G14" s="17">
        <v>3310</v>
      </c>
      <c r="H14" s="53">
        <f t="shared" si="0"/>
        <v>64.752071729384596</v>
      </c>
      <c r="I14" s="54"/>
      <c r="J14" s="187">
        <f>SUM(94.9,84.5,97.5)-46.7</f>
        <v>230.2</v>
      </c>
      <c r="K14" s="53">
        <f>(G14)*0.066+(45*0.19)</f>
        <v>227.01000000000002</v>
      </c>
      <c r="L14" s="53">
        <f t="shared" si="3"/>
        <v>3.1899999999999693</v>
      </c>
      <c r="M14" s="54">
        <f>[3]Apr!AD14</f>
        <v>206</v>
      </c>
      <c r="N14" s="54">
        <f>4+6</f>
        <v>10</v>
      </c>
      <c r="O14" s="54">
        <v>45</v>
      </c>
      <c r="P14" s="53">
        <f t="shared" si="4"/>
        <v>1.3857515204170154</v>
      </c>
      <c r="Q14" s="54">
        <f t="shared" si="1"/>
        <v>458.66050808314088</v>
      </c>
      <c r="R14" s="16"/>
    </row>
    <row r="15" spans="2:18" ht="15.6">
      <c r="B15" s="91">
        <v>45754</v>
      </c>
      <c r="C15" s="87">
        <v>5</v>
      </c>
      <c r="D15" s="152" t="s">
        <v>49</v>
      </c>
      <c r="E15" s="367">
        <v>1380</v>
      </c>
      <c r="F15" s="153">
        <f>[3]Apr!P69</f>
        <v>1100</v>
      </c>
      <c r="G15" s="17">
        <v>8796</v>
      </c>
      <c r="H15" s="53">
        <f t="shared" si="0"/>
        <v>67.733903743315523</v>
      </c>
      <c r="I15" s="54"/>
      <c r="J15" s="318">
        <f>SUM(97,95.3,104,46.7,92.9,78.7,94.8,100)-96.5</f>
        <v>612.9</v>
      </c>
      <c r="K15" s="318">
        <f>(G15+G16)*0.066</f>
        <v>607.20000000000005</v>
      </c>
      <c r="L15" s="318">
        <f>J15-K15</f>
        <v>5.6999999999999318</v>
      </c>
      <c r="M15" s="54">
        <f>[3]Apr!AD15</f>
        <v>299</v>
      </c>
      <c r="N15" s="319">
        <f>11+4</f>
        <v>15</v>
      </c>
      <c r="O15" s="54"/>
      <c r="P15" s="318">
        <f t="shared" si="4"/>
        <v>0.93000489476259296</v>
      </c>
      <c r="Q15" s="54">
        <f t="shared" si="1"/>
        <v>479.78181818181821</v>
      </c>
      <c r="R15" s="16"/>
    </row>
    <row r="16" spans="2:18" ht="15.6">
      <c r="B16" s="91">
        <v>45754</v>
      </c>
      <c r="C16" s="87">
        <v>5</v>
      </c>
      <c r="D16" s="152" t="s">
        <v>58</v>
      </c>
      <c r="E16" s="368"/>
      <c r="F16" s="153">
        <f>[3]Apr!P70</f>
        <v>97</v>
      </c>
      <c r="G16" s="17">
        <v>404</v>
      </c>
      <c r="H16" s="53">
        <f t="shared" si="0"/>
        <v>35.279563371740444</v>
      </c>
      <c r="I16" s="54"/>
      <c r="J16" s="318"/>
      <c r="K16" s="318"/>
      <c r="L16" s="318"/>
      <c r="M16" s="54">
        <f>[3]Apr!AD16</f>
        <v>56</v>
      </c>
      <c r="N16" s="319"/>
      <c r="O16" s="54"/>
      <c r="P16" s="318"/>
      <c r="Q16" s="54">
        <f t="shared" si="1"/>
        <v>249.89690721649484</v>
      </c>
      <c r="R16" s="16"/>
    </row>
    <row r="17" spans="2:18" ht="15.6">
      <c r="B17" s="91">
        <v>45755</v>
      </c>
      <c r="C17" s="87">
        <v>6</v>
      </c>
      <c r="D17" s="152" t="s">
        <v>58</v>
      </c>
      <c r="E17" s="367">
        <v>1422</v>
      </c>
      <c r="F17" s="153">
        <f>[3]Apr!P71</f>
        <v>487</v>
      </c>
      <c r="G17" s="17">
        <v>2951</v>
      </c>
      <c r="H17" s="53">
        <f t="shared" si="0"/>
        <v>51.327938156782224</v>
      </c>
      <c r="I17" s="54"/>
      <c r="J17" s="53">
        <f>SUM(96.5,100)</f>
        <v>196.5</v>
      </c>
      <c r="K17" s="53">
        <f>(G17)*0.066</f>
        <v>194.76600000000002</v>
      </c>
      <c r="L17" s="53">
        <f t="shared" ref="L17:L53" si="5">J17-K17</f>
        <v>1.7339999999999804</v>
      </c>
      <c r="M17" s="54">
        <f>[3]Apr!AD17</f>
        <v>291</v>
      </c>
      <c r="N17" s="54">
        <v>10</v>
      </c>
      <c r="O17" s="54"/>
      <c r="P17" s="53">
        <f t="shared" si="4"/>
        <v>0.88244274809159318</v>
      </c>
      <c r="Q17" s="54">
        <f t="shared" si="1"/>
        <v>363.57289527720735</v>
      </c>
      <c r="R17" s="16"/>
    </row>
    <row r="18" spans="2:18" ht="18.75" customHeight="1">
      <c r="B18" s="91">
        <v>45755</v>
      </c>
      <c r="C18" s="87">
        <v>6</v>
      </c>
      <c r="D18" s="152" t="s">
        <v>47</v>
      </c>
      <c r="E18" s="368"/>
      <c r="F18" s="153">
        <f>[3]Apr!P72</f>
        <v>711</v>
      </c>
      <c r="G18" s="17">
        <v>3959</v>
      </c>
      <c r="H18" s="53">
        <f t="shared" si="0"/>
        <v>47.166046165301566</v>
      </c>
      <c r="I18" s="54">
        <f>9+70</f>
        <v>79</v>
      </c>
      <c r="J18" s="53">
        <f>SUM(98.9,97.1,103,100.6)-32.8-98</f>
        <v>268.8</v>
      </c>
      <c r="K18" s="53">
        <f>(G18)*0.066+(15*0.19)</f>
        <v>264.14400000000006</v>
      </c>
      <c r="L18" s="53">
        <f>J18-K18</f>
        <v>4.6559999999999491</v>
      </c>
      <c r="M18" s="54">
        <f>[3]Apr!AD18</f>
        <v>304</v>
      </c>
      <c r="N18" s="54">
        <f>14+1</f>
        <v>15</v>
      </c>
      <c r="O18" s="54">
        <v>15</v>
      </c>
      <c r="P18" s="53">
        <f>(J18-K18)/J18*100</f>
        <v>1.7321428571428381</v>
      </c>
      <c r="Q18" s="54">
        <f t="shared" si="1"/>
        <v>334.09282700421943</v>
      </c>
      <c r="R18" s="16"/>
    </row>
    <row r="19" spans="2:18" ht="15.6">
      <c r="B19" s="91">
        <v>45756</v>
      </c>
      <c r="C19" s="87">
        <v>7</v>
      </c>
      <c r="D19" s="152" t="s">
        <v>47</v>
      </c>
      <c r="E19" s="367">
        <v>1423</v>
      </c>
      <c r="F19" s="153">
        <f>[3]Apr!P73</f>
        <v>226</v>
      </c>
      <c r="G19" s="17">
        <v>1975</v>
      </c>
      <c r="H19" s="53">
        <f t="shared" si="0"/>
        <v>74.02394586153045</v>
      </c>
      <c r="I19" s="54"/>
      <c r="J19" s="53">
        <f>SUM(98,32.8)</f>
        <v>130.80000000000001</v>
      </c>
      <c r="K19" s="53">
        <f t="shared" si="2"/>
        <v>130.35</v>
      </c>
      <c r="L19" s="53">
        <f t="shared" si="5"/>
        <v>0.45000000000001705</v>
      </c>
      <c r="M19" s="54">
        <f>[3]Apr!AD19</f>
        <v>75</v>
      </c>
      <c r="N19" s="54">
        <v>2</v>
      </c>
      <c r="O19" s="54"/>
      <c r="P19" s="53">
        <f t="shared" si="4"/>
        <v>0.3440366972477194</v>
      </c>
      <c r="Q19" s="54">
        <f t="shared" si="1"/>
        <v>524.33628318584067</v>
      </c>
      <c r="R19" s="16"/>
    </row>
    <row r="20" spans="2:18" ht="15.6">
      <c r="B20" s="91">
        <v>45756</v>
      </c>
      <c r="C20" s="87">
        <v>7</v>
      </c>
      <c r="D20" s="152" t="s">
        <v>45</v>
      </c>
      <c r="E20" s="369"/>
      <c r="F20" s="153">
        <f>[3]Apr!P74</f>
        <v>638</v>
      </c>
      <c r="G20" s="17">
        <v>3640</v>
      </c>
      <c r="H20" s="53">
        <f t="shared" si="0"/>
        <v>48.327494007007196</v>
      </c>
      <c r="I20" s="54"/>
      <c r="J20" s="53">
        <f>SUM(96.4,47.9,96.2)</f>
        <v>240.5</v>
      </c>
      <c r="K20" s="53">
        <f t="shared" si="2"/>
        <v>240.24</v>
      </c>
      <c r="L20" s="53">
        <f t="shared" si="5"/>
        <v>0.25999999999999091</v>
      </c>
      <c r="M20" s="54">
        <f>[3]Apr!AD20</f>
        <v>236</v>
      </c>
      <c r="N20" s="54">
        <f>4+10</f>
        <v>14</v>
      </c>
      <c r="O20" s="54"/>
      <c r="P20" s="53">
        <f t="shared" si="4"/>
        <v>0.10810810810810434</v>
      </c>
      <c r="Q20" s="54">
        <f t="shared" si="1"/>
        <v>342.31974921630098</v>
      </c>
      <c r="R20" s="16"/>
    </row>
    <row r="21" spans="2:18" ht="15.6">
      <c r="B21" s="91">
        <v>45756</v>
      </c>
      <c r="C21" s="87">
        <v>7</v>
      </c>
      <c r="D21" s="152" t="s">
        <v>62</v>
      </c>
      <c r="E21" s="368"/>
      <c r="F21" s="153">
        <f>[3]Apr!P75</f>
        <v>390</v>
      </c>
      <c r="G21" s="17">
        <v>2087</v>
      </c>
      <c r="H21" s="53">
        <f t="shared" si="0"/>
        <v>45.328506787330319</v>
      </c>
      <c r="I21" s="54"/>
      <c r="J21" s="53">
        <f>SUM(106,98.5)-62.7</f>
        <v>141.80000000000001</v>
      </c>
      <c r="K21" s="53">
        <f t="shared" si="2"/>
        <v>137.74200000000002</v>
      </c>
      <c r="L21" s="53">
        <f t="shared" si="5"/>
        <v>4.0579999999999927</v>
      </c>
      <c r="M21" s="54">
        <f>[3]Apr!AD21</f>
        <v>193</v>
      </c>
      <c r="N21" s="54">
        <v>4</v>
      </c>
      <c r="O21" s="54"/>
      <c r="P21" s="53">
        <f t="shared" si="4"/>
        <v>2.8617771509167786</v>
      </c>
      <c r="Q21" s="54">
        <f t="shared" si="1"/>
        <v>321.07692307692309</v>
      </c>
      <c r="R21" s="16"/>
    </row>
    <row r="22" spans="2:18" ht="15.6">
      <c r="B22" s="91">
        <v>45757</v>
      </c>
      <c r="C22" s="87">
        <v>8</v>
      </c>
      <c r="D22" s="152" t="s">
        <v>62</v>
      </c>
      <c r="E22" s="367">
        <v>1369</v>
      </c>
      <c r="F22" s="153">
        <f>[3]Apr!P76</f>
        <v>139</v>
      </c>
      <c r="G22" s="17">
        <v>940</v>
      </c>
      <c r="H22" s="53">
        <f t="shared" si="0"/>
        <v>57.283114684722804</v>
      </c>
      <c r="I22" s="54"/>
      <c r="J22" s="53">
        <v>62.7</v>
      </c>
      <c r="K22" s="53">
        <f t="shared" si="2"/>
        <v>62.040000000000006</v>
      </c>
      <c r="L22" s="53">
        <f t="shared" si="5"/>
        <v>0.65999999999999659</v>
      </c>
      <c r="M22" s="54">
        <f>[3]Apr!AD22</f>
        <v>50</v>
      </c>
      <c r="N22" s="54">
        <v>2</v>
      </c>
      <c r="O22" s="54"/>
      <c r="P22" s="53">
        <f t="shared" si="4"/>
        <v>1.052631578947363</v>
      </c>
      <c r="Q22" s="54">
        <f t="shared" si="1"/>
        <v>405.75539568345317</v>
      </c>
      <c r="R22" s="16"/>
    </row>
    <row r="23" spans="2:18" ht="15.6">
      <c r="B23" s="91">
        <v>45757</v>
      </c>
      <c r="C23" s="87">
        <v>8</v>
      </c>
      <c r="D23" s="152" t="s">
        <v>49</v>
      </c>
      <c r="E23" s="369"/>
      <c r="F23" s="153">
        <f>[3]Apr!P77</f>
        <v>459</v>
      </c>
      <c r="G23" s="17">
        <v>2938</v>
      </c>
      <c r="H23" s="53">
        <f t="shared" si="0"/>
        <v>54.219146482122248</v>
      </c>
      <c r="I23" s="54"/>
      <c r="J23" s="53">
        <f>SUM(99.3,98.6)</f>
        <v>197.89999999999998</v>
      </c>
      <c r="K23" s="53">
        <f t="shared" si="2"/>
        <v>193.90800000000002</v>
      </c>
      <c r="L23" s="53">
        <f t="shared" si="5"/>
        <v>3.9919999999999618</v>
      </c>
      <c r="M23" s="54">
        <f>[3]Apr!AD23</f>
        <v>179</v>
      </c>
      <c r="N23" s="54">
        <v>14</v>
      </c>
      <c r="O23" s="54"/>
      <c r="P23" s="53">
        <f t="shared" si="4"/>
        <v>2.0171803941384345</v>
      </c>
      <c r="Q23" s="54">
        <f t="shared" si="1"/>
        <v>384.05228758169932</v>
      </c>
      <c r="R23" s="16"/>
    </row>
    <row r="24" spans="2:18" ht="15.6">
      <c r="B24" s="91">
        <v>45757</v>
      </c>
      <c r="C24" s="87">
        <v>8</v>
      </c>
      <c r="D24" s="152" t="s">
        <v>86</v>
      </c>
      <c r="E24" s="368"/>
      <c r="F24" s="153">
        <f>[3]Apr!P78</f>
        <v>174</v>
      </c>
      <c r="G24" s="17">
        <v>891</v>
      </c>
      <c r="H24" s="53">
        <f t="shared" si="0"/>
        <v>43.375253549695742</v>
      </c>
      <c r="I24" s="54"/>
      <c r="J24" s="53">
        <f>K24*1.02</f>
        <v>59.982120000000009</v>
      </c>
      <c r="K24" s="53">
        <f t="shared" si="2"/>
        <v>58.806000000000004</v>
      </c>
      <c r="L24" s="53">
        <f t="shared" si="5"/>
        <v>1.1761200000000045</v>
      </c>
      <c r="M24" s="54">
        <f>[3]Apr!AD24</f>
        <v>358</v>
      </c>
      <c r="N24" s="54">
        <v>15</v>
      </c>
      <c r="O24" s="54"/>
      <c r="P24" s="53">
        <f t="shared" si="4"/>
        <v>1.9607843137254974</v>
      </c>
      <c r="Q24" s="54">
        <f t="shared" si="1"/>
        <v>307.24137931034483</v>
      </c>
      <c r="R24" s="16"/>
    </row>
    <row r="25" spans="2:18" ht="15.6">
      <c r="B25" s="91">
        <v>45761</v>
      </c>
      <c r="C25" s="87">
        <v>9</v>
      </c>
      <c r="D25" s="152" t="s">
        <v>49</v>
      </c>
      <c r="E25" s="367">
        <v>1380</v>
      </c>
      <c r="F25" s="153">
        <f>[3]Apr!P79</f>
        <v>679</v>
      </c>
      <c r="G25" s="17">
        <v>4275</v>
      </c>
      <c r="H25" s="53">
        <f t="shared" si="0"/>
        <v>53.331023130901848</v>
      </c>
      <c r="I25" s="54">
        <f>100+13</f>
        <v>113</v>
      </c>
      <c r="J25" s="53">
        <f>SUM(96.5,94.8,97)</f>
        <v>288.3</v>
      </c>
      <c r="K25" s="53">
        <f t="shared" si="2"/>
        <v>282.15000000000003</v>
      </c>
      <c r="L25" s="53">
        <f t="shared" si="5"/>
        <v>6.1499999999999773</v>
      </c>
      <c r="M25" s="54">
        <f>[3]Apr!AD25</f>
        <v>374</v>
      </c>
      <c r="N25" s="54">
        <v>10</v>
      </c>
      <c r="O25" s="54"/>
      <c r="P25" s="53">
        <f t="shared" si="4"/>
        <v>2.1331945889698152</v>
      </c>
      <c r="Q25" s="54">
        <f t="shared" si="1"/>
        <v>377.76141384388808</v>
      </c>
      <c r="R25" s="16"/>
    </row>
    <row r="26" spans="2:18" ht="15.6">
      <c r="B26" s="91">
        <v>45761</v>
      </c>
      <c r="C26" s="87">
        <v>9</v>
      </c>
      <c r="D26" s="152" t="s">
        <v>47</v>
      </c>
      <c r="E26" s="369"/>
      <c r="F26" s="153">
        <f>[3]Apr!P80</f>
        <v>355</v>
      </c>
      <c r="G26" s="17">
        <v>2798</v>
      </c>
      <c r="H26" s="53">
        <f t="shared" si="0"/>
        <v>66.762551781275889</v>
      </c>
      <c r="I26" s="54"/>
      <c r="J26" s="53">
        <f>SUM(92,95)</f>
        <v>187</v>
      </c>
      <c r="K26" s="53">
        <f t="shared" si="2"/>
        <v>184.66800000000001</v>
      </c>
      <c r="L26" s="53">
        <f t="shared" si="5"/>
        <v>2.3319999999999936</v>
      </c>
      <c r="M26" s="54">
        <f>[3]Apr!AD26</f>
        <v>130</v>
      </c>
      <c r="N26" s="54">
        <v>7</v>
      </c>
      <c r="O26" s="54"/>
      <c r="P26" s="53">
        <f t="shared" si="4"/>
        <v>1.2470588235294084</v>
      </c>
      <c r="Q26" s="54">
        <f t="shared" si="1"/>
        <v>472.9014084507042</v>
      </c>
      <c r="R26" s="16"/>
    </row>
    <row r="27" spans="2:18" ht="15.6">
      <c r="B27" s="91">
        <v>45761</v>
      </c>
      <c r="C27" s="87">
        <v>9</v>
      </c>
      <c r="D27" s="152" t="s">
        <v>49</v>
      </c>
      <c r="E27" s="368"/>
      <c r="F27" s="153">
        <f>[3]Apr!P81</f>
        <v>34</v>
      </c>
      <c r="G27" s="17">
        <v>213</v>
      </c>
      <c r="H27" s="53">
        <f t="shared" si="0"/>
        <v>53.065743944636679</v>
      </c>
      <c r="I27" s="54"/>
      <c r="J27" s="53">
        <f>SUM(97.5,97)-89.7-90.5</f>
        <v>14.299999999999997</v>
      </c>
      <c r="K27" s="53">
        <f t="shared" si="2"/>
        <v>14.058</v>
      </c>
      <c r="L27" s="53">
        <f t="shared" si="5"/>
        <v>0.24199999999999733</v>
      </c>
      <c r="M27" s="54">
        <f>[3]Apr!AD27</f>
        <v>41</v>
      </c>
      <c r="N27" s="54">
        <v>0</v>
      </c>
      <c r="O27" s="54"/>
      <c r="P27" s="53">
        <f t="shared" si="4"/>
        <v>1.6923076923076739</v>
      </c>
      <c r="Q27" s="54">
        <f>(G27)/(F27/60)</f>
        <v>375.88235294117646</v>
      </c>
      <c r="R27" s="16"/>
    </row>
    <row r="28" spans="2:18" ht="15.6">
      <c r="B28" s="91">
        <v>45762</v>
      </c>
      <c r="C28" s="87">
        <v>10</v>
      </c>
      <c r="D28" s="152" t="s">
        <v>49</v>
      </c>
      <c r="E28" s="367">
        <v>1425</v>
      </c>
      <c r="F28" s="153">
        <f>[3]Apr!P82</f>
        <v>636</v>
      </c>
      <c r="G28" s="17">
        <v>5276</v>
      </c>
      <c r="H28" s="53">
        <f t="shared" si="0"/>
        <v>70.268590455049946</v>
      </c>
      <c r="I28" s="54"/>
      <c r="J28" s="318">
        <f>SUM(89.7,90.5,4.8,92.6,97.5)</f>
        <v>375.1</v>
      </c>
      <c r="K28" s="318">
        <f>(G28+G29)*0.066</f>
        <v>369.6</v>
      </c>
      <c r="L28" s="53">
        <f t="shared" si="5"/>
        <v>5.5</v>
      </c>
      <c r="M28" s="54">
        <f>[3]Apr!AD28</f>
        <v>184</v>
      </c>
      <c r="N28" s="54">
        <v>0</v>
      </c>
      <c r="O28" s="54"/>
      <c r="P28" s="318">
        <f t="shared" si="4"/>
        <v>1.4662756598240467</v>
      </c>
      <c r="Q28" s="54">
        <f t="shared" si="1"/>
        <v>497.7358490566038</v>
      </c>
      <c r="R28" s="16"/>
    </row>
    <row r="29" spans="2:18" ht="15.6">
      <c r="B29" s="91">
        <v>45762</v>
      </c>
      <c r="C29" s="87">
        <v>10</v>
      </c>
      <c r="D29" s="152" t="s">
        <v>58</v>
      </c>
      <c r="E29" s="369"/>
      <c r="F29" s="153">
        <f>[3]Apr!P83</f>
        <v>57</v>
      </c>
      <c r="G29" s="17">
        <v>324</v>
      </c>
      <c r="H29" s="53">
        <f t="shared" si="0"/>
        <v>48.14860681114552</v>
      </c>
      <c r="I29" s="54"/>
      <c r="J29" s="318"/>
      <c r="K29" s="318"/>
      <c r="L29" s="53">
        <f t="shared" si="5"/>
        <v>0</v>
      </c>
      <c r="M29" s="54">
        <f>[3]Apr!AD29</f>
        <v>14</v>
      </c>
      <c r="N29" s="54">
        <v>0</v>
      </c>
      <c r="O29" s="54"/>
      <c r="P29" s="318"/>
      <c r="Q29" s="54">
        <f t="shared" si="1"/>
        <v>341.0526315789474</v>
      </c>
      <c r="R29" s="16"/>
    </row>
    <row r="30" spans="2:18" ht="15.6">
      <c r="B30" s="91">
        <v>45762</v>
      </c>
      <c r="C30" s="87">
        <v>10</v>
      </c>
      <c r="D30" s="152" t="s">
        <v>74</v>
      </c>
      <c r="E30" s="368"/>
      <c r="F30" s="153">
        <f>[3]Apr!P84</f>
        <v>451</v>
      </c>
      <c r="G30" s="17">
        <v>1761</v>
      </c>
      <c r="H30" s="53">
        <f t="shared" si="0"/>
        <v>33.074735881048653</v>
      </c>
      <c r="I30" s="54"/>
      <c r="J30" s="53">
        <f>SUM(98.8,96)-50-16.6</f>
        <v>128.20000000000002</v>
      </c>
      <c r="K30" s="53">
        <f>(G30)*0.0708</f>
        <v>124.67880000000001</v>
      </c>
      <c r="L30" s="53">
        <f t="shared" si="5"/>
        <v>3.5212000000000074</v>
      </c>
      <c r="M30" s="54">
        <f>[3]Apr!AD30</f>
        <v>453</v>
      </c>
      <c r="N30" s="54">
        <v>3</v>
      </c>
      <c r="O30" s="54"/>
      <c r="P30" s="53">
        <f t="shared" si="4"/>
        <v>2.7466458658346387</v>
      </c>
      <c r="Q30" s="54">
        <f t="shared" si="1"/>
        <v>234.27937915742794</v>
      </c>
      <c r="R30" s="16"/>
    </row>
    <row r="31" spans="2:18" ht="15.6">
      <c r="B31" s="91">
        <v>45763</v>
      </c>
      <c r="C31" s="87">
        <v>11</v>
      </c>
      <c r="D31" s="152" t="s">
        <v>74</v>
      </c>
      <c r="E31" s="367">
        <v>1442</v>
      </c>
      <c r="F31" s="153">
        <f>[3]Apr!P85</f>
        <v>449</v>
      </c>
      <c r="G31" s="17">
        <v>3062</v>
      </c>
      <c r="H31" s="53">
        <f t="shared" si="0"/>
        <v>57.766015983230702</v>
      </c>
      <c r="I31" s="54"/>
      <c r="J31" s="53">
        <f>SUM(103.1,97.3,16.6)</f>
        <v>216.99999999999997</v>
      </c>
      <c r="K31" s="53">
        <f>(G31)*0.0708</f>
        <v>216.78960000000001</v>
      </c>
      <c r="L31" s="53">
        <f t="shared" si="5"/>
        <v>0.21039999999996439</v>
      </c>
      <c r="M31" s="54">
        <f>[3]Apr!AD31</f>
        <v>208</v>
      </c>
      <c r="N31" s="54">
        <v>7</v>
      </c>
      <c r="O31" s="54"/>
      <c r="P31" s="53">
        <f t="shared" si="4"/>
        <v>9.6958525345605728E-2</v>
      </c>
      <c r="Q31" s="54">
        <f t="shared" si="1"/>
        <v>409.17594654788417</v>
      </c>
      <c r="R31" s="16"/>
    </row>
    <row r="32" spans="2:18" ht="15.6">
      <c r="B32" s="91">
        <v>45763</v>
      </c>
      <c r="C32" s="87">
        <v>11</v>
      </c>
      <c r="D32" s="152" t="s">
        <v>87</v>
      </c>
      <c r="E32" s="369"/>
      <c r="F32" s="153">
        <f>[3]Apr!P86</f>
        <v>97</v>
      </c>
      <c r="G32" s="17">
        <v>665</v>
      </c>
      <c r="H32" s="53">
        <f t="shared" si="0"/>
        <v>58.071558520315349</v>
      </c>
      <c r="I32" s="54"/>
      <c r="J32" s="53">
        <v>50</v>
      </c>
      <c r="K32" s="53">
        <f>(G32)*0.0708</f>
        <v>47.082000000000001</v>
      </c>
      <c r="L32" s="53">
        <f t="shared" si="5"/>
        <v>2.9179999999999993</v>
      </c>
      <c r="M32" s="54">
        <f>[3]Apr!AD32</f>
        <v>22</v>
      </c>
      <c r="N32" s="54">
        <v>1</v>
      </c>
      <c r="O32" s="54"/>
      <c r="P32" s="53">
        <f>(J32-K32)/J32*100</f>
        <v>5.8359999999999985</v>
      </c>
      <c r="Q32" s="54">
        <f t="shared" si="1"/>
        <v>411.34020618556701</v>
      </c>
      <c r="R32" s="16"/>
    </row>
    <row r="33" spans="2:20" ht="15.6">
      <c r="B33" s="91">
        <v>45763</v>
      </c>
      <c r="C33" s="87">
        <v>11</v>
      </c>
      <c r="D33" s="152" t="s">
        <v>88</v>
      </c>
      <c r="E33" s="368"/>
      <c r="F33" s="153">
        <f>[3]Apr!P87</f>
        <v>544</v>
      </c>
      <c r="G33" s="17">
        <v>3498</v>
      </c>
      <c r="H33" s="53">
        <f t="shared" si="0"/>
        <v>54.467128027681667</v>
      </c>
      <c r="I33" s="54"/>
      <c r="J33" s="53">
        <f>K33*1.02</f>
        <v>235.48536000000001</v>
      </c>
      <c r="K33" s="53">
        <f t="shared" si="2"/>
        <v>230.86800000000002</v>
      </c>
      <c r="L33" s="53">
        <f t="shared" si="5"/>
        <v>4.6173599999999908</v>
      </c>
      <c r="M33" s="54">
        <f>[3]Apr!AD33</f>
        <v>395</v>
      </c>
      <c r="N33" s="54">
        <v>6</v>
      </c>
      <c r="O33" s="54"/>
      <c r="P33" s="53">
        <f t="shared" si="4"/>
        <v>1.9607843137254859</v>
      </c>
      <c r="Q33" s="54">
        <f t="shared" si="1"/>
        <v>385.80882352941177</v>
      </c>
      <c r="R33" s="16"/>
    </row>
    <row r="34" spans="2:20" ht="15.6">
      <c r="B34" s="91">
        <v>45764</v>
      </c>
      <c r="C34" s="87">
        <v>12</v>
      </c>
      <c r="D34" s="152" t="s">
        <v>49</v>
      </c>
      <c r="E34" s="367">
        <v>1165</v>
      </c>
      <c r="F34" s="153">
        <f>[3]Apr!P88</f>
        <v>456</v>
      </c>
      <c r="G34" s="17">
        <v>4165</v>
      </c>
      <c r="H34" s="53">
        <f t="shared" si="0"/>
        <v>77.368421052631575</v>
      </c>
      <c r="I34" s="54"/>
      <c r="J34" s="53">
        <f>SUM(72.3,102.3,103.9)</f>
        <v>278.5</v>
      </c>
      <c r="K34" s="53">
        <f t="shared" si="2"/>
        <v>274.89</v>
      </c>
      <c r="L34" s="53">
        <f t="shared" si="5"/>
        <v>3.6100000000000136</v>
      </c>
      <c r="M34" s="54">
        <f>[3]Apr!AD34</f>
        <v>248</v>
      </c>
      <c r="N34" s="54">
        <v>9</v>
      </c>
      <c r="O34" s="54"/>
      <c r="P34" s="53">
        <f t="shared" si="4"/>
        <v>1.29622980251347</v>
      </c>
      <c r="Q34" s="54">
        <f t="shared" si="1"/>
        <v>548.02631578947376</v>
      </c>
      <c r="R34" s="16"/>
    </row>
    <row r="35" spans="2:20" ht="15.6">
      <c r="B35" s="91">
        <v>45764</v>
      </c>
      <c r="C35" s="87">
        <v>12</v>
      </c>
      <c r="D35" s="152" t="s">
        <v>47</v>
      </c>
      <c r="E35" s="368"/>
      <c r="F35" s="153">
        <f>[3]Apr!P89</f>
        <v>519</v>
      </c>
      <c r="G35" s="17">
        <v>3133</v>
      </c>
      <c r="H35" s="53">
        <f t="shared" si="0"/>
        <v>51.133628017681055</v>
      </c>
      <c r="I35" s="54"/>
      <c r="J35" s="53">
        <f>SUM(96,90,95.7)-65</f>
        <v>216.7</v>
      </c>
      <c r="K35" s="53">
        <f>(G35)*0.066+(30*0.19)</f>
        <v>212.47800000000001</v>
      </c>
      <c r="L35" s="53">
        <f t="shared" si="5"/>
        <v>4.22199999999998</v>
      </c>
      <c r="M35" s="54">
        <f>[3]Apr!AD35</f>
        <v>242</v>
      </c>
      <c r="N35" s="54">
        <v>10</v>
      </c>
      <c r="O35" s="54">
        <v>30</v>
      </c>
      <c r="P35" s="53">
        <f t="shared" si="4"/>
        <v>1.9483156437471068</v>
      </c>
      <c r="Q35" s="54">
        <f t="shared" si="1"/>
        <v>362.19653179190749</v>
      </c>
      <c r="R35" s="16"/>
    </row>
    <row r="36" spans="2:20" ht="15.6">
      <c r="B36" s="91">
        <v>45769</v>
      </c>
      <c r="C36" s="87">
        <v>13</v>
      </c>
      <c r="D36" s="152" t="s">
        <v>47</v>
      </c>
      <c r="E36" s="189">
        <v>1440</v>
      </c>
      <c r="F36" s="153">
        <f>[3]Apr!P90</f>
        <v>945</v>
      </c>
      <c r="G36" s="17">
        <v>299</v>
      </c>
      <c r="H36" s="53">
        <f>(G36)*24/(F36/60)/17000*100</f>
        <v>2.680112044817927</v>
      </c>
      <c r="I36" s="54"/>
      <c r="J36" s="53">
        <f>65+92.4-66.7-70</f>
        <v>20.700000000000003</v>
      </c>
      <c r="K36" s="53">
        <f>(G36)*0.066</f>
        <v>19.734000000000002</v>
      </c>
      <c r="L36" s="53">
        <f t="shared" si="5"/>
        <v>0.96600000000000108</v>
      </c>
      <c r="M36" s="54">
        <f>[3]Apr!AD36</f>
        <v>1401</v>
      </c>
      <c r="N36" s="54">
        <v>3</v>
      </c>
      <c r="O36" s="54"/>
      <c r="P36" s="53">
        <f>(J36-K36)/J36*100</f>
        <v>4.6666666666666714</v>
      </c>
      <c r="Q36" s="54">
        <f>(G36)/(F36/60)</f>
        <v>18.984126984126984</v>
      </c>
      <c r="R36" s="16"/>
      <c r="S36" s="37"/>
      <c r="T36" s="6"/>
    </row>
    <row r="37" spans="2:20" ht="15.6">
      <c r="B37" s="91">
        <v>45770</v>
      </c>
      <c r="C37" s="87">
        <v>14</v>
      </c>
      <c r="D37" s="152" t="s">
        <v>47</v>
      </c>
      <c r="E37" s="367">
        <v>1440</v>
      </c>
      <c r="F37" s="153">
        <f>[3]Apr!P91</f>
        <v>391</v>
      </c>
      <c r="G37" s="17">
        <v>2002</v>
      </c>
      <c r="H37" s="53">
        <f>(G37)*24/(F37/60)/17000*100</f>
        <v>43.371144877388296</v>
      </c>
      <c r="I37" s="54"/>
      <c r="J37" s="53">
        <f>66.7+70</f>
        <v>136.69999999999999</v>
      </c>
      <c r="K37" s="53">
        <f>(G37)*0.066</f>
        <v>132.13200000000001</v>
      </c>
      <c r="L37" s="53">
        <f t="shared" si="5"/>
        <v>4.5679999999999836</v>
      </c>
      <c r="M37" s="54">
        <f>[3]Apr!AD37</f>
        <v>979</v>
      </c>
      <c r="N37" s="54">
        <f>3+31</f>
        <v>34</v>
      </c>
      <c r="O37" s="54"/>
      <c r="P37" s="53">
        <f t="shared" si="4"/>
        <v>3.3416239941477568</v>
      </c>
      <c r="Q37" s="54">
        <f>(G37)/(F37/60)</f>
        <v>307.21227621483376</v>
      </c>
      <c r="R37" s="16"/>
    </row>
    <row r="38" spans="2:20" ht="15.6">
      <c r="B38" s="91">
        <v>45770</v>
      </c>
      <c r="C38" s="87">
        <v>14</v>
      </c>
      <c r="D38" s="152" t="s">
        <v>49</v>
      </c>
      <c r="E38" s="368"/>
      <c r="F38" s="153">
        <f>[3]Apr!P92</f>
        <v>167</v>
      </c>
      <c r="G38" s="17">
        <v>811</v>
      </c>
      <c r="H38" s="53">
        <f t="shared" si="0"/>
        <v>41.13561113067982</v>
      </c>
      <c r="I38" s="54"/>
      <c r="J38" s="53">
        <f>77.3+86.7-9.6-96.9</f>
        <v>57.5</v>
      </c>
      <c r="K38" s="53">
        <f t="shared" si="2"/>
        <v>53.526000000000003</v>
      </c>
      <c r="L38" s="53">
        <f t="shared" si="5"/>
        <v>3.9739999999999966</v>
      </c>
      <c r="M38" s="54">
        <f>[3]Apr!AD38</f>
        <v>80</v>
      </c>
      <c r="N38" s="54">
        <v>0</v>
      </c>
      <c r="O38" s="54">
        <v>70</v>
      </c>
      <c r="P38" s="53">
        <f t="shared" si="4"/>
        <v>6.9113043478260803</v>
      </c>
      <c r="Q38" s="54">
        <f t="shared" si="1"/>
        <v>291.37724550898207</v>
      </c>
      <c r="R38" s="16"/>
    </row>
    <row r="39" spans="2:20" ht="15.6">
      <c r="B39" s="91">
        <v>45771</v>
      </c>
      <c r="C39" s="87">
        <v>15</v>
      </c>
      <c r="D39" s="152" t="s">
        <v>49</v>
      </c>
      <c r="E39" s="367">
        <v>1440</v>
      </c>
      <c r="F39" s="153">
        <f>[3]Apr!P93</f>
        <v>974</v>
      </c>
      <c r="G39" s="17">
        <v>1561</v>
      </c>
      <c r="H39" s="53">
        <f t="shared" si="0"/>
        <v>13.575552602971372</v>
      </c>
      <c r="I39" s="54"/>
      <c r="J39" s="53">
        <f>9.6+96.9</f>
        <v>106.5</v>
      </c>
      <c r="K39" s="53">
        <f>(G39)*0.066</f>
        <v>103.02600000000001</v>
      </c>
      <c r="L39" s="53">
        <f t="shared" si="5"/>
        <v>3.4739999999999895</v>
      </c>
      <c r="M39" s="54">
        <f>[3]Apr!AD39</f>
        <v>782</v>
      </c>
      <c r="N39" s="54">
        <f>3+3+2</f>
        <v>8</v>
      </c>
      <c r="O39" s="54"/>
      <c r="P39" s="53">
        <f t="shared" si="4"/>
        <v>3.2619718309859054</v>
      </c>
      <c r="Q39" s="54">
        <f>(G39)/(F39/60)</f>
        <v>96.160164271047222</v>
      </c>
      <c r="R39" s="16"/>
    </row>
    <row r="40" spans="2:20" ht="15.6">
      <c r="B40" s="91">
        <v>45771</v>
      </c>
      <c r="C40" s="87">
        <v>15</v>
      </c>
      <c r="D40" s="152" t="s">
        <v>45</v>
      </c>
      <c r="E40" s="368"/>
      <c r="F40" s="153">
        <f>[3]Apr!P94</f>
        <v>436</v>
      </c>
      <c r="G40" s="17">
        <v>2149</v>
      </c>
      <c r="H40" s="53">
        <f t="shared" si="0"/>
        <v>41.750674581759313</v>
      </c>
      <c r="I40" s="54"/>
      <c r="J40" s="53">
        <f>98.8+96.1-15-38</f>
        <v>141.89999999999998</v>
      </c>
      <c r="K40" s="53">
        <f t="shared" si="2"/>
        <v>141.834</v>
      </c>
      <c r="L40" s="53">
        <f t="shared" si="5"/>
        <v>6.5999999999974079E-2</v>
      </c>
      <c r="M40" s="54">
        <f>[3]Apr!AD40</f>
        <v>160</v>
      </c>
      <c r="N40" s="54">
        <v>8</v>
      </c>
      <c r="O40" s="54"/>
      <c r="P40" s="53">
        <f t="shared" si="4"/>
        <v>4.651162790695848E-2</v>
      </c>
      <c r="Q40" s="54">
        <f t="shared" si="1"/>
        <v>295.73394495412845</v>
      </c>
      <c r="R40" s="16"/>
    </row>
    <row r="41" spans="2:20" ht="15.6">
      <c r="B41" s="91">
        <v>45772</v>
      </c>
      <c r="C41" s="87">
        <v>16</v>
      </c>
      <c r="D41" s="152" t="s">
        <v>45</v>
      </c>
      <c r="E41" s="367">
        <v>1204</v>
      </c>
      <c r="F41" s="153">
        <f>[3]Apr!P95</f>
        <v>127</v>
      </c>
      <c r="G41" s="17">
        <v>801</v>
      </c>
      <c r="H41" s="53">
        <f t="shared" si="0"/>
        <v>53.424733672996759</v>
      </c>
      <c r="I41" s="54"/>
      <c r="J41" s="53">
        <f>15+38</f>
        <v>53</v>
      </c>
      <c r="K41" s="53">
        <f t="shared" si="2"/>
        <v>52.866</v>
      </c>
      <c r="L41" s="53">
        <f>J41-K41</f>
        <v>0.13400000000000034</v>
      </c>
      <c r="M41" s="54">
        <f>[3]Apr!AD41</f>
        <v>10</v>
      </c>
      <c r="N41" s="54">
        <v>9</v>
      </c>
      <c r="O41" s="54"/>
      <c r="P41" s="53">
        <f>(J41-K41)/J41*100</f>
        <v>0.25283018867924589</v>
      </c>
      <c r="Q41" s="54">
        <f t="shared" si="1"/>
        <v>378.42519685039372</v>
      </c>
      <c r="R41" s="16"/>
    </row>
    <row r="42" spans="2:20" ht="15.6">
      <c r="B42" s="91">
        <v>45772</v>
      </c>
      <c r="C42" s="87">
        <v>16</v>
      </c>
      <c r="D42" s="152" t="s">
        <v>64</v>
      </c>
      <c r="E42" s="369"/>
      <c r="F42" s="153">
        <f>[3]Apr!P96</f>
        <v>438</v>
      </c>
      <c r="G42" s="17">
        <v>2939</v>
      </c>
      <c r="H42" s="53">
        <f t="shared" si="0"/>
        <v>56.838033843674459</v>
      </c>
      <c r="I42" s="54"/>
      <c r="J42" s="53">
        <f>98.2+98</f>
        <v>196.2</v>
      </c>
      <c r="K42" s="53">
        <f>(G42)*0.066</f>
        <v>193.97400000000002</v>
      </c>
      <c r="L42" s="53">
        <f t="shared" si="5"/>
        <v>2.2259999999999707</v>
      </c>
      <c r="M42" s="54">
        <f>[3]Apr!AD42</f>
        <v>153</v>
      </c>
      <c r="N42" s="54">
        <v>3</v>
      </c>
      <c r="O42" s="54"/>
      <c r="P42" s="53">
        <f t="shared" si="4"/>
        <v>1.1345565749235325</v>
      </c>
      <c r="Q42" s="54">
        <f t="shared" si="1"/>
        <v>402.60273972602738</v>
      </c>
      <c r="R42" s="16"/>
    </row>
    <row r="43" spans="2:20" ht="15.6">
      <c r="B43" s="91">
        <v>45772</v>
      </c>
      <c r="C43" s="87">
        <v>16</v>
      </c>
      <c r="D43" s="152" t="s">
        <v>30</v>
      </c>
      <c r="E43" s="368"/>
      <c r="F43" s="153">
        <f>[3]Apr!P97</f>
        <v>422</v>
      </c>
      <c r="G43" s="17">
        <v>3003</v>
      </c>
      <c r="H43" s="53">
        <f t="shared" si="0"/>
        <v>60.277669361583499</v>
      </c>
      <c r="I43" s="54"/>
      <c r="J43" s="53">
        <f>99+104</f>
        <v>203</v>
      </c>
      <c r="K43" s="53">
        <f>(G43)*0.066</f>
        <v>198.19800000000001</v>
      </c>
      <c r="L43" s="53">
        <f t="shared" si="5"/>
        <v>4.8019999999999925</v>
      </c>
      <c r="M43" s="54">
        <f>[3]Apr!AD43</f>
        <v>196</v>
      </c>
      <c r="N43" s="54">
        <v>36</v>
      </c>
      <c r="O43" s="54"/>
      <c r="P43" s="53">
        <f t="shared" si="4"/>
        <v>2.3655172413793069</v>
      </c>
      <c r="Q43" s="54">
        <f t="shared" si="1"/>
        <v>426.96682464454977</v>
      </c>
      <c r="R43" s="16"/>
    </row>
    <row r="44" spans="2:20" ht="15.6">
      <c r="B44" s="91">
        <v>45775</v>
      </c>
      <c r="C44" s="87">
        <v>17</v>
      </c>
      <c r="D44" s="152" t="s">
        <v>47</v>
      </c>
      <c r="E44" s="239">
        <v>1380</v>
      </c>
      <c r="F44" s="153">
        <f>[3]Apr!P98</f>
        <v>1124</v>
      </c>
      <c r="G44" s="17">
        <v>7479</v>
      </c>
      <c r="H44" s="53">
        <f t="shared" si="0"/>
        <v>56.362570651036215</v>
      </c>
      <c r="I44" s="54"/>
      <c r="J44" s="53">
        <f>100.3+98+97+81.8+100.5+88.7-62</f>
        <v>504.30000000000007</v>
      </c>
      <c r="K44" s="53">
        <f t="shared" si="2"/>
        <v>493.61400000000003</v>
      </c>
      <c r="L44" s="53">
        <f t="shared" si="5"/>
        <v>10.686000000000035</v>
      </c>
      <c r="M44" s="54">
        <f>[3]Apr!AD44</f>
        <v>403</v>
      </c>
      <c r="N44" s="54">
        <v>77</v>
      </c>
      <c r="O44" s="54"/>
      <c r="P44" s="53">
        <f t="shared" ref="P44:P53" si="6">(J44-K44)/J44*100</f>
        <v>2.1189767995240993</v>
      </c>
      <c r="Q44" s="54">
        <f t="shared" si="1"/>
        <v>399.23487544483982</v>
      </c>
      <c r="R44" s="16"/>
    </row>
    <row r="45" spans="2:20" ht="15.6">
      <c r="B45" s="91">
        <v>45776</v>
      </c>
      <c r="C45" s="87">
        <v>18</v>
      </c>
      <c r="D45" s="152" t="s">
        <v>47</v>
      </c>
      <c r="E45" s="367">
        <v>1440</v>
      </c>
      <c r="F45" s="153">
        <f>[3]Apr!P99</f>
        <v>357</v>
      </c>
      <c r="G45" s="17">
        <v>2311</v>
      </c>
      <c r="H45" s="53">
        <f t="shared" si="0"/>
        <v>54.83341571922886</v>
      </c>
      <c r="I45" s="54"/>
      <c r="J45" s="53">
        <f>62+94.2</f>
        <v>156.19999999999999</v>
      </c>
      <c r="K45" s="53">
        <f t="shared" si="2"/>
        <v>152.52600000000001</v>
      </c>
      <c r="L45" s="53">
        <f t="shared" si="5"/>
        <v>3.6739999999999782</v>
      </c>
      <c r="M45" s="54">
        <f>[3]Apr!AD45</f>
        <v>77</v>
      </c>
      <c r="N45" s="54">
        <v>18</v>
      </c>
      <c r="O45" s="54"/>
      <c r="P45" s="53">
        <f t="shared" si="6"/>
        <v>2.3521126760563242</v>
      </c>
      <c r="Q45" s="54">
        <f t="shared" si="1"/>
        <v>388.40336134453781</v>
      </c>
      <c r="R45" s="16"/>
    </row>
    <row r="46" spans="2:20" ht="15.6">
      <c r="B46" s="91">
        <v>45776</v>
      </c>
      <c r="C46" s="87">
        <v>18</v>
      </c>
      <c r="D46" s="152" t="s">
        <v>49</v>
      </c>
      <c r="E46" s="368"/>
      <c r="F46" s="153">
        <f>[3]Apr!P100</f>
        <v>935</v>
      </c>
      <c r="G46" s="17">
        <v>6649</v>
      </c>
      <c r="H46" s="53">
        <f t="shared" si="0"/>
        <v>60.236300723497962</v>
      </c>
      <c r="I46" s="54"/>
      <c r="J46" s="187">
        <f>99.2+97.6+104+95.5+97-35-15</f>
        <v>443.3</v>
      </c>
      <c r="K46" s="53">
        <f t="shared" si="2"/>
        <v>438.834</v>
      </c>
      <c r="L46" s="53">
        <f t="shared" si="5"/>
        <v>4.4660000000000082</v>
      </c>
      <c r="M46" s="54">
        <f>[3]Apr!AD46</f>
        <v>263</v>
      </c>
      <c r="N46" s="54">
        <v>31</v>
      </c>
      <c r="O46" s="54"/>
      <c r="P46" s="53">
        <f t="shared" si="6"/>
        <v>1.0074441687344931</v>
      </c>
      <c r="Q46" s="54">
        <f t="shared" si="1"/>
        <v>426.67379679144381</v>
      </c>
      <c r="R46" s="16"/>
    </row>
    <row r="47" spans="2:20" ht="15.6">
      <c r="B47" s="91">
        <v>45777</v>
      </c>
      <c r="C47" s="48">
        <v>19</v>
      </c>
      <c r="D47" s="152" t="s">
        <v>49</v>
      </c>
      <c r="E47" s="367">
        <v>1322</v>
      </c>
      <c r="F47" s="153">
        <f>[3]Apr!P101</f>
        <v>440</v>
      </c>
      <c r="G47" s="17">
        <v>3476</v>
      </c>
      <c r="H47" s="53">
        <f t="shared" si="0"/>
        <v>66.917647058823519</v>
      </c>
      <c r="I47" s="54"/>
      <c r="J47" s="187">
        <f>35+95+21.4+100.8-15</f>
        <v>237.2</v>
      </c>
      <c r="K47" s="53">
        <f t="shared" si="2"/>
        <v>229.416</v>
      </c>
      <c r="L47" s="53">
        <f t="shared" si="5"/>
        <v>7.7839999999999918</v>
      </c>
      <c r="M47" s="54">
        <f>[3]Apr!AD47</f>
        <v>40</v>
      </c>
      <c r="N47" s="54">
        <v>51</v>
      </c>
      <c r="O47" s="54"/>
      <c r="P47" s="53">
        <f t="shared" si="6"/>
        <v>3.2816188870151737</v>
      </c>
      <c r="Q47" s="54">
        <f t="shared" si="1"/>
        <v>474</v>
      </c>
      <c r="R47" s="16"/>
    </row>
    <row r="48" spans="2:20" ht="15.6">
      <c r="B48" s="59">
        <v>45777</v>
      </c>
      <c r="C48" s="48">
        <v>19</v>
      </c>
      <c r="D48" s="152" t="s">
        <v>55</v>
      </c>
      <c r="E48" s="369"/>
      <c r="F48" s="153">
        <f>[3]Apr!P102</f>
        <v>551</v>
      </c>
      <c r="G48" s="17">
        <v>3006</v>
      </c>
      <c r="H48" s="53">
        <f t="shared" si="0"/>
        <v>46.211593893455742</v>
      </c>
      <c r="I48" s="54"/>
      <c r="J48" s="53">
        <f>SUM(101,98.2)</f>
        <v>199.2</v>
      </c>
      <c r="K48" s="53">
        <f t="shared" si="2"/>
        <v>198.39600000000002</v>
      </c>
      <c r="L48" s="53">
        <f t="shared" si="5"/>
        <v>0.80399999999997362</v>
      </c>
      <c r="M48" s="54">
        <f>[3]Apr!AD48</f>
        <v>211</v>
      </c>
      <c r="N48" s="54">
        <v>20</v>
      </c>
      <c r="O48" s="54"/>
      <c r="P48" s="53">
        <f t="shared" si="6"/>
        <v>0.40361445783131206</v>
      </c>
      <c r="Q48" s="54">
        <f t="shared" si="1"/>
        <v>327.33212341197822</v>
      </c>
      <c r="R48" s="16"/>
    </row>
    <row r="49" spans="2:19" ht="15.6">
      <c r="B49" s="59">
        <v>45777</v>
      </c>
      <c r="C49" s="48">
        <v>19</v>
      </c>
      <c r="D49" s="152" t="s">
        <v>49</v>
      </c>
      <c r="E49" s="368"/>
      <c r="F49" s="153">
        <f>[3]Apr!P103</f>
        <v>126</v>
      </c>
      <c r="G49" s="17">
        <v>841</v>
      </c>
      <c r="H49" s="53">
        <f t="shared" si="0"/>
        <v>56.537815126050418</v>
      </c>
      <c r="I49" s="54">
        <v>5</v>
      </c>
      <c r="J49" s="187">
        <f>SUM(100,80.8)-30-93.6</f>
        <v>57.200000000000017</v>
      </c>
      <c r="K49" s="53">
        <f>(G49)*0.066</f>
        <v>55.506</v>
      </c>
      <c r="L49" s="53">
        <f t="shared" si="5"/>
        <v>1.6940000000000168</v>
      </c>
      <c r="M49" s="54">
        <f>[3]Apr!AD49</f>
        <v>80</v>
      </c>
      <c r="N49" s="54">
        <f>5+1</f>
        <v>6</v>
      </c>
      <c r="O49" s="54"/>
      <c r="P49" s="53">
        <f t="shared" si="6"/>
        <v>2.9615384615384901</v>
      </c>
      <c r="Q49" s="54">
        <f t="shared" si="1"/>
        <v>400.47619047619048</v>
      </c>
      <c r="R49" s="16"/>
    </row>
    <row r="50" spans="2:19" ht="15.6">
      <c r="B50" s="59"/>
      <c r="C50" s="48"/>
      <c r="D50" s="152"/>
      <c r="E50" s="171"/>
      <c r="F50" s="153">
        <f>[3]Apr!P104</f>
        <v>0</v>
      </c>
      <c r="H50" s="53" t="e">
        <f t="shared" si="0"/>
        <v>#DIV/0!</v>
      </c>
      <c r="I50" s="54"/>
      <c r="J50" s="53"/>
      <c r="K50" s="53">
        <f t="shared" si="2"/>
        <v>0</v>
      </c>
      <c r="L50" s="53">
        <f>J50-K50</f>
        <v>0</v>
      </c>
      <c r="M50" s="54">
        <f>[3]Apr!AD50</f>
        <v>0</v>
      </c>
      <c r="N50" s="54"/>
      <c r="O50" s="54"/>
      <c r="P50" s="53" t="e">
        <f t="shared" si="6"/>
        <v>#DIV/0!</v>
      </c>
      <c r="Q50" s="54" t="e">
        <f t="shared" si="1"/>
        <v>#DIV/0!</v>
      </c>
      <c r="R50" s="16"/>
    </row>
    <row r="51" spans="2:19" ht="15.6">
      <c r="B51" s="59"/>
      <c r="C51" s="48"/>
      <c r="D51" s="152"/>
      <c r="E51" s="171"/>
      <c r="F51" s="153"/>
      <c r="G51" s="17"/>
      <c r="H51" s="53" t="e">
        <f t="shared" si="0"/>
        <v>#DIV/0!</v>
      </c>
      <c r="I51" s="54"/>
      <c r="J51" s="53"/>
      <c r="K51" s="53">
        <f t="shared" si="2"/>
        <v>0</v>
      </c>
      <c r="L51" s="53">
        <f t="shared" si="5"/>
        <v>0</v>
      </c>
      <c r="M51" s="54">
        <f>[3]Apr!AD51</f>
        <v>0</v>
      </c>
      <c r="N51" s="54"/>
      <c r="O51" s="54"/>
      <c r="P51" s="53" t="e">
        <f t="shared" si="6"/>
        <v>#DIV/0!</v>
      </c>
      <c r="Q51" s="54" t="e">
        <f t="shared" ref="Q51:Q53" si="7">(G51)/(F51/60)</f>
        <v>#DIV/0!</v>
      </c>
      <c r="R51" s="16"/>
    </row>
    <row r="52" spans="2:19" ht="15.6">
      <c r="B52" s="59"/>
      <c r="C52" s="48"/>
      <c r="D52" s="152"/>
      <c r="E52" s="47"/>
      <c r="F52" s="153"/>
      <c r="G52" s="17"/>
      <c r="H52" s="53" t="e">
        <f t="shared" si="0"/>
        <v>#DIV/0!</v>
      </c>
      <c r="I52" s="54"/>
      <c r="J52" s="53"/>
      <c r="K52" s="53">
        <f t="shared" si="2"/>
        <v>0</v>
      </c>
      <c r="L52" s="53">
        <f t="shared" si="5"/>
        <v>0</v>
      </c>
      <c r="M52" s="54">
        <f>[3]Apr!AD52</f>
        <v>0</v>
      </c>
      <c r="N52" s="54"/>
      <c r="O52" s="54"/>
      <c r="P52" s="53" t="e">
        <f t="shared" si="6"/>
        <v>#DIV/0!</v>
      </c>
      <c r="Q52" s="54" t="e">
        <f t="shared" si="7"/>
        <v>#DIV/0!</v>
      </c>
      <c r="R52" s="16"/>
    </row>
    <row r="53" spans="2:19" ht="16.2" thickBot="1">
      <c r="B53" s="59"/>
      <c r="C53" s="48"/>
      <c r="D53" s="29"/>
      <c r="E53" s="47"/>
      <c r="F53" s="153"/>
      <c r="G53" s="17"/>
      <c r="H53" s="53" t="e">
        <f t="shared" si="0"/>
        <v>#DIV/0!</v>
      </c>
      <c r="I53" s="54"/>
      <c r="J53" s="53"/>
      <c r="K53" s="53">
        <f t="shared" ref="K53" si="8">(G53)*0.066</f>
        <v>0</v>
      </c>
      <c r="L53" s="53">
        <f t="shared" si="5"/>
        <v>0</v>
      </c>
      <c r="M53" s="54"/>
      <c r="N53" s="54"/>
      <c r="O53" s="54"/>
      <c r="P53" s="53" t="e">
        <f t="shared" si="6"/>
        <v>#DIV/0!</v>
      </c>
      <c r="Q53" s="54" t="e">
        <f t="shared" si="7"/>
        <v>#DIV/0!</v>
      </c>
      <c r="R53" s="16"/>
    </row>
    <row r="54" spans="2:19" ht="16.8" thickTop="1" thickBot="1">
      <c r="B54" s="12"/>
      <c r="C54" s="12"/>
      <c r="D54" s="30"/>
      <c r="E54" s="22">
        <f>SUM(E8:E53)</f>
        <v>24617</v>
      </c>
      <c r="F54" s="22">
        <f>SUM(F8:F53)</f>
        <v>19510</v>
      </c>
      <c r="G54" s="15">
        <f>SUM(G8:G53)</f>
        <v>115613</v>
      </c>
      <c r="H54" s="13">
        <f t="shared" ref="H54" si="9">(G54)*24/(F54/60)/17000*100</f>
        <v>50.195290499592957</v>
      </c>
      <c r="I54" s="14">
        <f>SUM(I8:I53)</f>
        <v>239</v>
      </c>
      <c r="J54" s="13">
        <f>SUM(J8:J53)</f>
        <v>7801.0674799999988</v>
      </c>
      <c r="K54" s="13">
        <f>SUM(K8:K53)</f>
        <v>7673.9004000000023</v>
      </c>
      <c r="L54" s="13">
        <f>J54-K54</f>
        <v>127.16707999999653</v>
      </c>
      <c r="M54" s="52">
        <f>SUM(M8:M53)</f>
        <v>10397</v>
      </c>
      <c r="N54" s="36">
        <f>SUM(N8:N53)</f>
        <v>495</v>
      </c>
      <c r="O54" s="14">
        <f>SUM(O8:O53)</f>
        <v>160</v>
      </c>
      <c r="P54" s="24">
        <f>(J54-K54)/J54</f>
        <v>1.6301240865563768E-2</v>
      </c>
      <c r="Q54" s="396">
        <f>G54/(E54/60)</f>
        <v>281.78819514969331</v>
      </c>
      <c r="R54" s="400">
        <f>(January_2025!G65+February_2025!G63+March_2025!G62+G54)/((January_2025!E65+February_2025!E63+March_2025!E62+E54)/60)</f>
        <v>288.36402891818506</v>
      </c>
    </row>
    <row r="55" spans="2:19" ht="16.8" thickTop="1" thickBot="1">
      <c r="G55" s="1"/>
      <c r="H55" s="1"/>
      <c r="L55" s="18"/>
      <c r="M55" s="18"/>
      <c r="N55" s="40" t="s">
        <v>23</v>
      </c>
      <c r="O55" s="18"/>
      <c r="Q55" s="5"/>
    </row>
    <row r="56" spans="2:19" ht="21" thickTop="1" thickBot="1">
      <c r="G56" s="1"/>
      <c r="H56" s="1"/>
      <c r="K56" s="45" t="s">
        <v>36</v>
      </c>
      <c r="L56" s="15">
        <f>G54+O56</f>
        <v>116053</v>
      </c>
      <c r="M56" s="18"/>
      <c r="N56" s="40" t="s">
        <v>31</v>
      </c>
      <c r="O56" s="18">
        <f>O54*2.75</f>
        <v>440</v>
      </c>
      <c r="P56" s="398" t="s">
        <v>146</v>
      </c>
      <c r="Q56" s="397">
        <v>355.54997437211682</v>
      </c>
      <c r="R56" s="399">
        <v>371.68999831337493</v>
      </c>
    </row>
    <row r="57" spans="2:19" ht="16.2" thickTop="1">
      <c r="G57" s="1"/>
      <c r="H57" s="1"/>
      <c r="L57" s="18"/>
      <c r="M57" s="18"/>
      <c r="N57" s="18"/>
      <c r="O57" s="18"/>
      <c r="Q57" s="5"/>
    </row>
    <row r="58" spans="2:19" ht="15.6">
      <c r="G58" s="1"/>
      <c r="H58" s="1"/>
      <c r="L58" s="18"/>
      <c r="M58" s="18"/>
      <c r="N58" s="18"/>
      <c r="O58" s="18"/>
      <c r="Q58" s="5"/>
    </row>
    <row r="59" spans="2:19" ht="15.6">
      <c r="G59" s="1"/>
      <c r="H59" s="1"/>
      <c r="L59" s="18"/>
      <c r="M59" s="18"/>
      <c r="N59" s="174" t="s">
        <v>33</v>
      </c>
      <c r="O59" s="174">
        <f>O43+O29+O17+O23</f>
        <v>0</v>
      </c>
      <c r="Q59" s="5"/>
    </row>
    <row r="60" spans="2:19" ht="15.6">
      <c r="G60" s="1"/>
      <c r="H60" s="1"/>
      <c r="L60" s="18"/>
      <c r="M60" s="18"/>
      <c r="N60" s="174" t="s">
        <v>32</v>
      </c>
      <c r="O60" s="174">
        <f>O14+O40</f>
        <v>45</v>
      </c>
      <c r="Q60" s="5"/>
    </row>
    <row r="61" spans="2:19" ht="15.6">
      <c r="F61" s="56"/>
      <c r="G61" s="1"/>
      <c r="H61" s="61"/>
      <c r="L61" s="18"/>
      <c r="M61" s="18"/>
      <c r="N61" s="18"/>
      <c r="O61" s="18"/>
      <c r="Q61" s="5"/>
    </row>
    <row r="62" spans="2:19" ht="15.6">
      <c r="G62" s="7"/>
      <c r="H62" s="1"/>
      <c r="L62" s="18"/>
      <c r="M62" s="18"/>
      <c r="N62" s="18"/>
      <c r="O62" s="18"/>
      <c r="Q62" s="5"/>
      <c r="S62" s="240"/>
    </row>
    <row r="63" spans="2:19" ht="15.6">
      <c r="G63" s="1"/>
      <c r="H63" s="1"/>
      <c r="M63" s="18"/>
      <c r="N63" s="18"/>
      <c r="O63" s="18"/>
      <c r="Q63" s="5"/>
    </row>
    <row r="64" spans="2:19" ht="15.6">
      <c r="G64" s="1"/>
      <c r="H64" s="1"/>
      <c r="L64" s="18"/>
      <c r="M64" s="18"/>
      <c r="N64" s="18"/>
      <c r="O64" s="18"/>
      <c r="Q64" s="5"/>
    </row>
    <row r="65" spans="7:17" ht="15.6">
      <c r="G65" s="1"/>
      <c r="H65" s="1"/>
      <c r="L65" s="18"/>
      <c r="M65" s="18"/>
      <c r="N65" s="18"/>
      <c r="O65" s="18"/>
      <c r="Q65" s="5"/>
    </row>
    <row r="66" spans="7:17" ht="15.6">
      <c r="G66" s="1"/>
      <c r="H66" s="1"/>
      <c r="L66" s="18"/>
      <c r="M66" s="18"/>
      <c r="N66" s="18"/>
      <c r="O66" s="18"/>
      <c r="Q66" s="5"/>
    </row>
    <row r="67" spans="7:17" ht="15.6">
      <c r="G67" s="1"/>
      <c r="H67" s="1"/>
      <c r="L67" s="18"/>
      <c r="M67" s="18"/>
      <c r="N67" s="18"/>
      <c r="O67" s="18"/>
      <c r="Q67" s="5"/>
    </row>
    <row r="68" spans="7:17" ht="15.6">
      <c r="G68" s="1"/>
      <c r="H68" s="1"/>
      <c r="L68" s="18"/>
      <c r="M68" s="18"/>
      <c r="N68" s="18"/>
      <c r="O68" s="18"/>
      <c r="Q68" s="5"/>
    </row>
    <row r="69" spans="7:17" ht="15.6">
      <c r="G69" s="1"/>
      <c r="H69" s="1"/>
      <c r="L69" s="18"/>
      <c r="M69" s="18"/>
      <c r="N69" s="18"/>
      <c r="O69" s="18"/>
      <c r="Q69" s="5"/>
    </row>
    <row r="70" spans="7:17">
      <c r="G70" s="1"/>
      <c r="H70" s="1"/>
      <c r="Q70" s="5"/>
    </row>
    <row r="71" spans="7:17">
      <c r="G71" s="1"/>
      <c r="H71" s="1"/>
      <c r="Q71" s="5"/>
    </row>
    <row r="72" spans="7:17">
      <c r="G72" s="1"/>
      <c r="H72" s="1"/>
      <c r="Q72" s="5"/>
    </row>
    <row r="73" spans="7:17">
      <c r="G73" s="1"/>
      <c r="H73" s="1"/>
      <c r="Q73" s="5"/>
    </row>
    <row r="74" spans="7:17">
      <c r="G74" s="1"/>
      <c r="H74" s="1"/>
      <c r="Q74" s="5"/>
    </row>
    <row r="75" spans="7:17">
      <c r="G75" s="1"/>
      <c r="H75" s="1"/>
      <c r="Q75" s="5"/>
    </row>
    <row r="76" spans="7:17">
      <c r="G76" s="1"/>
      <c r="H76" s="1"/>
      <c r="Q76" s="5"/>
    </row>
    <row r="77" spans="7:17">
      <c r="G77" s="1"/>
      <c r="H77" s="1"/>
      <c r="Q77" s="5"/>
    </row>
    <row r="78" spans="7:17">
      <c r="G78" s="1"/>
      <c r="H78" s="1"/>
      <c r="Q78" s="5"/>
    </row>
    <row r="79" spans="7:17">
      <c r="G79" s="1"/>
      <c r="H79" s="1"/>
      <c r="Q79" s="5"/>
    </row>
    <row r="80" spans="7:17">
      <c r="G80" s="1"/>
      <c r="H80" s="1"/>
      <c r="Q80" s="5"/>
    </row>
    <row r="81" spans="7:17">
      <c r="G81" s="1"/>
      <c r="H81" s="1"/>
      <c r="Q81" s="5"/>
    </row>
    <row r="82" spans="7:17">
      <c r="G82" s="1"/>
      <c r="H82" s="1"/>
      <c r="Q82" s="5"/>
    </row>
    <row r="83" spans="7:17">
      <c r="G83" s="1"/>
      <c r="H83" s="1"/>
      <c r="Q83" s="5"/>
    </row>
    <row r="84" spans="7:17">
      <c r="G84" s="1"/>
      <c r="H84" s="1"/>
      <c r="Q84" s="5"/>
    </row>
    <row r="85" spans="7:17">
      <c r="G85" s="1"/>
      <c r="H85" s="1"/>
      <c r="Q85" s="5"/>
    </row>
    <row r="86" spans="7:17">
      <c r="G86" s="1"/>
      <c r="H86" s="1"/>
      <c r="Q86" s="5"/>
    </row>
    <row r="87" spans="7:17">
      <c r="G87" s="1"/>
      <c r="H87" s="1"/>
      <c r="Q87" s="5"/>
    </row>
    <row r="88" spans="7:17">
      <c r="G88" s="1"/>
      <c r="H88" s="1"/>
      <c r="Q88" s="5"/>
    </row>
    <row r="89" spans="7:17">
      <c r="G89" s="1"/>
      <c r="H89" s="1"/>
      <c r="Q89" s="5"/>
    </row>
    <row r="90" spans="7:17">
      <c r="G90" s="1"/>
      <c r="H90" s="1"/>
      <c r="Q90" s="5"/>
    </row>
    <row r="91" spans="7:17">
      <c r="G91" s="1"/>
      <c r="H91" s="1"/>
      <c r="Q91" s="5"/>
    </row>
    <row r="92" spans="7:17">
      <c r="G92" s="1"/>
      <c r="H92" s="1"/>
      <c r="Q92" s="5"/>
    </row>
    <row r="93" spans="7:17">
      <c r="G93" s="1"/>
      <c r="H93" s="1"/>
      <c r="Q93" s="5"/>
    </row>
    <row r="94" spans="7:17">
      <c r="G94" s="1"/>
      <c r="H94" s="1"/>
      <c r="Q94" s="5"/>
    </row>
    <row r="95" spans="7:17">
      <c r="G95" s="1"/>
      <c r="H95" s="1"/>
      <c r="Q95" s="5"/>
    </row>
    <row r="96" spans="7:17">
      <c r="G96" s="1"/>
      <c r="H96" s="1"/>
      <c r="Q96" s="5"/>
    </row>
    <row r="97" spans="7:17">
      <c r="G97" s="1"/>
      <c r="H97" s="1"/>
      <c r="Q97" s="5"/>
    </row>
    <row r="98" spans="7:17">
      <c r="G98" s="1"/>
      <c r="H98" s="1"/>
      <c r="Q98" s="5"/>
    </row>
    <row r="99" spans="7:17">
      <c r="G99" s="1"/>
      <c r="H99" s="1"/>
      <c r="Q99" s="5"/>
    </row>
    <row r="100" spans="7:17">
      <c r="G100" s="1"/>
      <c r="H100" s="1"/>
      <c r="Q100" s="5"/>
    </row>
    <row r="101" spans="7:17">
      <c r="G101" s="1"/>
      <c r="H101" s="1"/>
      <c r="Q101" s="5"/>
    </row>
    <row r="102" spans="7:17">
      <c r="G102" s="1"/>
      <c r="H102" s="1"/>
      <c r="Q102" s="5"/>
    </row>
    <row r="103" spans="7:17">
      <c r="G103" s="1"/>
      <c r="H103" s="1"/>
      <c r="Q103" s="5"/>
    </row>
    <row r="104" spans="7:17">
      <c r="G104" s="1"/>
      <c r="H104" s="1"/>
      <c r="Q104" s="5"/>
    </row>
    <row r="105" spans="7:17">
      <c r="G105" s="1"/>
      <c r="H105" s="1"/>
      <c r="Q105" s="5"/>
    </row>
    <row r="106" spans="7:17">
      <c r="G106" s="1"/>
      <c r="H106" s="1"/>
      <c r="Q106" s="5"/>
    </row>
    <row r="107" spans="7:17">
      <c r="G107" s="1"/>
      <c r="H107" s="1"/>
      <c r="Q107" s="5"/>
    </row>
    <row r="108" spans="7:17">
      <c r="G108" s="1"/>
      <c r="H108" s="1"/>
      <c r="Q108" s="5"/>
    </row>
    <row r="109" spans="7:17">
      <c r="G109" s="1"/>
      <c r="H109" s="1"/>
      <c r="Q109" s="5"/>
    </row>
    <row r="110" spans="7:17">
      <c r="G110" s="1"/>
      <c r="H110" s="1"/>
      <c r="Q110" s="5"/>
    </row>
    <row r="111" spans="7:17">
      <c r="G111" s="1"/>
      <c r="H111" s="1"/>
      <c r="Q111" s="5"/>
    </row>
    <row r="112" spans="7:17">
      <c r="G112" s="1"/>
      <c r="H112" s="1"/>
      <c r="Q112" s="5"/>
    </row>
    <row r="113" spans="7:17">
      <c r="G113" s="1"/>
      <c r="H113" s="1"/>
      <c r="Q113" s="5"/>
    </row>
    <row r="114" spans="7:17">
      <c r="G114" s="1"/>
      <c r="H114" s="1"/>
      <c r="Q114" s="5"/>
    </row>
    <row r="115" spans="7:17">
      <c r="G115" s="1"/>
      <c r="H115" s="1"/>
      <c r="Q115" s="5"/>
    </row>
    <row r="116" spans="7:17">
      <c r="G116" s="1"/>
      <c r="H116" s="1"/>
      <c r="Q116" s="5"/>
    </row>
    <row r="117" spans="7:17">
      <c r="G117" s="1"/>
      <c r="H117" s="1"/>
      <c r="Q117" s="5"/>
    </row>
  </sheetData>
  <autoFilter ref="B5:Q53" xr:uid="{16DD4827-D1EE-4FF3-80A9-7258E34C7E97}"/>
  <mergeCells count="32">
    <mergeCell ref="E47:E49"/>
    <mergeCell ref="K28:K29"/>
    <mergeCell ref="E19:E21"/>
    <mergeCell ref="E22:E24"/>
    <mergeCell ref="E25:E27"/>
    <mergeCell ref="E28:E30"/>
    <mergeCell ref="J28:J29"/>
    <mergeCell ref="E45:E46"/>
    <mergeCell ref="E41:E43"/>
    <mergeCell ref="E39:E40"/>
    <mergeCell ref="E37:E38"/>
    <mergeCell ref="B1:Q1"/>
    <mergeCell ref="B3:Q3"/>
    <mergeCell ref="B4:Q4"/>
    <mergeCell ref="I5:I7"/>
    <mergeCell ref="L5:L7"/>
    <mergeCell ref="M5:M7"/>
    <mergeCell ref="N5:N7"/>
    <mergeCell ref="O5:O7"/>
    <mergeCell ref="R6:R7"/>
    <mergeCell ref="E8:E9"/>
    <mergeCell ref="E12:E14"/>
    <mergeCell ref="J15:J16"/>
    <mergeCell ref="K15:K16"/>
    <mergeCell ref="L15:L16"/>
    <mergeCell ref="P28:P29"/>
    <mergeCell ref="P15:P16"/>
    <mergeCell ref="E34:E35"/>
    <mergeCell ref="N15:N16"/>
    <mergeCell ref="E15:E16"/>
    <mergeCell ref="E31:E33"/>
    <mergeCell ref="E17:E18"/>
  </mergeCells>
  <conditionalFormatting sqref="I8:I53">
    <cfRule type="cellIs" dxfId="87" priority="46" stopIfTrue="1" operator="lessThan">
      <formula>50</formula>
    </cfRule>
  </conditionalFormatting>
  <conditionalFormatting sqref="P8:P15 P17:P28 P30:P53">
    <cfRule type="cellIs" dxfId="86" priority="1" operator="greaterThan">
      <formula>1.84</formula>
    </cfRule>
  </conditionalFormatting>
  <pageMargins left="0.25" right="0.25" top="0.75" bottom="0.75" header="0.3" footer="0.3"/>
  <pageSetup scale="53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1"/>
    <pageSetUpPr fitToPage="1"/>
  </sheetPr>
  <dimension ref="B1:U126"/>
  <sheetViews>
    <sheetView topLeftCell="A4" zoomScale="80" zoomScaleNormal="80" zoomScaleSheetLayoutView="80" workbookViewId="0">
      <pane xSplit="2" ySplit="4" topLeftCell="C35" activePane="bottomRight" state="frozen"/>
      <selection activeCell="A4" sqref="A4"/>
      <selection pane="topRight" activeCell="B4" sqref="B4"/>
      <selection pane="bottomLeft" activeCell="A8" sqref="A8"/>
      <selection pane="bottomRight" activeCell="S63" sqref="S63"/>
    </sheetView>
  </sheetViews>
  <sheetFormatPr defaultRowHeight="13.2"/>
  <cols>
    <col min="1" max="1" width="2.44140625" customWidth="1"/>
    <col min="2" max="2" width="9.109375" style="1" customWidth="1"/>
    <col min="3" max="3" width="6" style="1" customWidth="1"/>
    <col min="4" max="4" width="40.44140625" style="31" customWidth="1"/>
    <col min="5" max="5" width="8.88671875" style="1" customWidth="1"/>
    <col min="6" max="6" width="7.44140625" style="23" customWidth="1"/>
    <col min="7" max="8" width="13.5546875" customWidth="1"/>
    <col min="9" max="9" width="10.5546875" style="7" customWidth="1"/>
    <col min="10" max="10" width="7.88671875" style="7" hidden="1" customWidth="1"/>
    <col min="11" max="11" width="11" style="7" customWidth="1"/>
    <col min="12" max="12" width="13.109375" style="7" customWidth="1"/>
    <col min="13" max="13" width="14" style="7" customWidth="1"/>
    <col min="14" max="14" width="16.88671875" style="7" customWidth="1"/>
    <col min="15" max="15" width="16.5546875" style="7" customWidth="1"/>
    <col min="16" max="16" width="9.44140625" style="7" customWidth="1"/>
    <col min="17" max="17" width="21.44140625" style="25" customWidth="1"/>
    <col min="18" max="18" width="12.109375" style="6" customWidth="1"/>
    <col min="19" max="19" width="11" customWidth="1"/>
    <col min="22" max="22" width="20.88671875" customWidth="1"/>
    <col min="23" max="23" width="13.5546875" customWidth="1"/>
    <col min="24" max="24" width="15.88671875" customWidth="1"/>
    <col min="25" max="25" width="10.5546875" customWidth="1"/>
  </cols>
  <sheetData>
    <row r="1" spans="2:21" ht="25.8">
      <c r="B1" s="324" t="s">
        <v>0</v>
      </c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</row>
    <row r="3" spans="2:21" ht="23.4">
      <c r="B3" s="325" t="s">
        <v>1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</row>
    <row r="4" spans="2:21" ht="21" thickBot="1">
      <c r="B4" s="326">
        <v>45778</v>
      </c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</row>
    <row r="5" spans="2:21" ht="16.8" thickTop="1" thickBot="1">
      <c r="B5" s="2" t="s">
        <v>2</v>
      </c>
      <c r="C5" s="2" t="s">
        <v>3</v>
      </c>
      <c r="D5" s="26" t="s">
        <v>4</v>
      </c>
      <c r="E5" s="2" t="s">
        <v>37</v>
      </c>
      <c r="F5" s="19" t="s">
        <v>12</v>
      </c>
      <c r="G5" s="2" t="s">
        <v>5</v>
      </c>
      <c r="H5" s="2" t="s">
        <v>13</v>
      </c>
      <c r="I5" s="327" t="s">
        <v>26</v>
      </c>
      <c r="J5" s="2" t="s">
        <v>8</v>
      </c>
      <c r="K5" s="2" t="s">
        <v>18</v>
      </c>
      <c r="L5" s="2" t="s">
        <v>6</v>
      </c>
      <c r="M5" s="330" t="s">
        <v>22</v>
      </c>
      <c r="N5" s="333" t="s">
        <v>24</v>
      </c>
      <c r="O5" s="333" t="s">
        <v>25</v>
      </c>
      <c r="P5" s="333" t="s">
        <v>23</v>
      </c>
      <c r="Q5" s="19" t="s">
        <v>6</v>
      </c>
      <c r="R5" s="4" t="s">
        <v>9</v>
      </c>
      <c r="S5" s="2" t="s">
        <v>20</v>
      </c>
    </row>
    <row r="6" spans="2:21" ht="16.5" customHeight="1" thickTop="1">
      <c r="B6" s="8"/>
      <c r="C6" s="8"/>
      <c r="D6" s="27"/>
      <c r="E6" s="8" t="s">
        <v>11</v>
      </c>
      <c r="F6" s="20" t="s">
        <v>11</v>
      </c>
      <c r="G6" s="8" t="s">
        <v>6</v>
      </c>
      <c r="H6" s="8" t="s">
        <v>14</v>
      </c>
      <c r="I6" s="328"/>
      <c r="J6" s="8" t="s">
        <v>7</v>
      </c>
      <c r="K6" s="8" t="s">
        <v>17</v>
      </c>
      <c r="L6" s="8" t="s">
        <v>17</v>
      </c>
      <c r="M6" s="331"/>
      <c r="N6" s="334"/>
      <c r="O6" s="334"/>
      <c r="P6" s="334"/>
      <c r="Q6" s="20" t="s">
        <v>19</v>
      </c>
      <c r="R6" s="9" t="s">
        <v>10</v>
      </c>
      <c r="S6" s="336" t="s">
        <v>21</v>
      </c>
    </row>
    <row r="7" spans="2:21" ht="16.2" thickBot="1">
      <c r="B7" s="10"/>
      <c r="C7" s="10"/>
      <c r="D7" s="28"/>
      <c r="E7" s="8"/>
      <c r="F7" s="21" t="s">
        <v>15</v>
      </c>
      <c r="G7" s="10"/>
      <c r="H7" s="10" t="s">
        <v>16</v>
      </c>
      <c r="I7" s="329"/>
      <c r="J7" s="10" t="s">
        <v>16</v>
      </c>
      <c r="K7" s="10"/>
      <c r="L7" s="10"/>
      <c r="M7" s="332"/>
      <c r="N7" s="335"/>
      <c r="O7" s="335"/>
      <c r="P7" s="335"/>
      <c r="Q7" s="21"/>
      <c r="R7" s="11"/>
      <c r="S7" s="337"/>
    </row>
    <row r="8" spans="2:21" ht="15.6">
      <c r="B8" s="59">
        <v>45779</v>
      </c>
      <c r="C8" s="48">
        <v>1</v>
      </c>
      <c r="D8" s="29" t="s">
        <v>49</v>
      </c>
      <c r="E8" s="365">
        <v>1172</v>
      </c>
      <c r="F8" s="39">
        <f>[3]May!$N71</f>
        <v>93</v>
      </c>
      <c r="G8" s="17">
        <v>502</v>
      </c>
      <c r="H8" s="53">
        <f>(G8)*24/(F8/60)/17000*100</f>
        <v>45.722960151802653</v>
      </c>
      <c r="I8" s="54"/>
      <c r="J8" s="53"/>
      <c r="K8" s="53">
        <f>SUM(93.6)-60</f>
        <v>33.599999999999994</v>
      </c>
      <c r="L8" s="53">
        <f t="shared" ref="L8:L34" si="0">(G8)*0.066</f>
        <v>33.132000000000005</v>
      </c>
      <c r="M8" s="53">
        <f>K8-L8</f>
        <v>0.46799999999998931</v>
      </c>
      <c r="N8" s="54">
        <f>[3]May!$AD8</f>
        <v>118</v>
      </c>
      <c r="O8" s="54">
        <v>5</v>
      </c>
      <c r="P8" s="54"/>
      <c r="Q8" s="50">
        <f>(K8-L8)/K8*100</f>
        <v>1.3928571428571113</v>
      </c>
      <c r="R8" s="54">
        <f>(G8)/(F8/60)</f>
        <v>323.87096774193549</v>
      </c>
      <c r="S8" s="16"/>
    </row>
    <row r="9" spans="2:21" ht="15.6">
      <c r="B9" s="59">
        <v>45779</v>
      </c>
      <c r="C9" s="48">
        <v>1</v>
      </c>
      <c r="D9" s="29" t="s">
        <v>89</v>
      </c>
      <c r="E9" s="354"/>
      <c r="F9" s="39">
        <f>[3]May!$N72</f>
        <v>273</v>
      </c>
      <c r="G9" s="17">
        <v>798</v>
      </c>
      <c r="H9" s="53">
        <f t="shared" ref="H9:H61" si="1">(G9)*24/(F9/60)/17000*100</f>
        <v>24.760180995475114</v>
      </c>
      <c r="I9" s="54"/>
      <c r="J9" s="53"/>
      <c r="K9" s="318">
        <v>102</v>
      </c>
      <c r="L9" s="318">
        <f>(G9+G10)*0.066</f>
        <v>97.614000000000004</v>
      </c>
      <c r="M9" s="53">
        <f t="shared" ref="M9:M34" si="2">K9-L9</f>
        <v>4.3859999999999957</v>
      </c>
      <c r="N9" s="54">
        <f>[3]May!$AD9</f>
        <v>94</v>
      </c>
      <c r="O9" s="319">
        <v>6</v>
      </c>
      <c r="P9" s="54"/>
      <c r="Q9" s="318">
        <f>(K9-L9)/K9*100</f>
        <v>4.2999999999999954</v>
      </c>
      <c r="R9" s="54">
        <f>(G9)/(F9/60)</f>
        <v>175.38461538461539</v>
      </c>
      <c r="S9" s="16"/>
    </row>
    <row r="10" spans="2:21" ht="15.6">
      <c r="B10" s="59">
        <v>45779</v>
      </c>
      <c r="C10" s="48">
        <v>1</v>
      </c>
      <c r="D10" s="29" t="s">
        <v>90</v>
      </c>
      <c r="E10" s="366"/>
      <c r="F10" s="39">
        <f>[3]May!$N73</f>
        <v>130</v>
      </c>
      <c r="G10" s="17">
        <v>681</v>
      </c>
      <c r="H10" s="53">
        <f t="shared" si="1"/>
        <v>44.37285067873303</v>
      </c>
      <c r="I10" s="54"/>
      <c r="J10" s="53"/>
      <c r="K10" s="318"/>
      <c r="L10" s="318"/>
      <c r="M10" s="53">
        <f t="shared" si="2"/>
        <v>0</v>
      </c>
      <c r="N10" s="54">
        <f>[3]May!$AD10</f>
        <v>120</v>
      </c>
      <c r="O10" s="319"/>
      <c r="P10" s="54"/>
      <c r="Q10" s="318"/>
      <c r="R10" s="54">
        <f>(G10)/(F10/60)</f>
        <v>314.30769230769232</v>
      </c>
      <c r="S10" s="16"/>
      <c r="T10" s="37"/>
      <c r="U10" s="6"/>
    </row>
    <row r="11" spans="2:21" ht="15.6">
      <c r="B11" s="59">
        <v>45782</v>
      </c>
      <c r="C11" s="48">
        <v>2</v>
      </c>
      <c r="D11" s="29" t="s">
        <v>91</v>
      </c>
      <c r="E11" s="365">
        <v>1160</v>
      </c>
      <c r="F11" s="370">
        <f>[3]May!$N74</f>
        <v>242</v>
      </c>
      <c r="G11" s="17">
        <v>795</v>
      </c>
      <c r="H11" s="318">
        <f>(G11+G12)*24/(F11/60)/17000*100</f>
        <v>36.892561983471076</v>
      </c>
      <c r="I11" s="54"/>
      <c r="J11" s="53"/>
      <c r="K11" s="318">
        <f>SUM(103)-27</f>
        <v>76</v>
      </c>
      <c r="L11" s="318">
        <f>(G11+G12)*0.066</f>
        <v>69.564000000000007</v>
      </c>
      <c r="M11" s="371">
        <f t="shared" si="2"/>
        <v>6.4359999999999928</v>
      </c>
      <c r="N11" s="54">
        <f>[3]May!$AD11</f>
        <v>512</v>
      </c>
      <c r="O11" s="319">
        <v>7</v>
      </c>
      <c r="P11" s="54"/>
      <c r="Q11" s="318">
        <f t="shared" ref="Q11:Q61" si="3">(K11-L11)/K11*100</f>
        <v>8.4684210526315695</v>
      </c>
      <c r="R11" s="319">
        <f>(G11+G12)/(F11/60)</f>
        <v>261.32231404958679</v>
      </c>
      <c r="S11" s="16"/>
      <c r="T11" s="37"/>
      <c r="U11" s="6"/>
    </row>
    <row r="12" spans="2:21" ht="15.6">
      <c r="B12" s="59">
        <v>45782</v>
      </c>
      <c r="C12" s="48">
        <v>2</v>
      </c>
      <c r="D12" s="29" t="s">
        <v>92</v>
      </c>
      <c r="E12" s="354"/>
      <c r="F12" s="370"/>
      <c r="G12" s="17">
        <v>259</v>
      </c>
      <c r="H12" s="318"/>
      <c r="I12" s="54"/>
      <c r="J12" s="53"/>
      <c r="K12" s="318"/>
      <c r="L12" s="318"/>
      <c r="M12" s="371"/>
      <c r="N12" s="54">
        <f>[3]May!$AD12</f>
        <v>237</v>
      </c>
      <c r="O12" s="319"/>
      <c r="P12" s="54"/>
      <c r="Q12" s="318"/>
      <c r="R12" s="319"/>
      <c r="S12" s="16"/>
      <c r="T12" s="37"/>
      <c r="U12" s="6"/>
    </row>
    <row r="13" spans="2:21" ht="15.6">
      <c r="B13" s="59">
        <v>45782</v>
      </c>
      <c r="C13" s="48">
        <v>2</v>
      </c>
      <c r="D13" s="29" t="s">
        <v>94</v>
      </c>
      <c r="E13" s="354"/>
      <c r="F13" s="370">
        <f>[3]May!$N76</f>
        <v>573</v>
      </c>
      <c r="G13" s="17">
        <v>734</v>
      </c>
      <c r="H13" s="318">
        <f>(G13+G14)*24/(F13/60)/17000*100</f>
        <v>29.314444102248228</v>
      </c>
      <c r="I13" s="54"/>
      <c r="J13" s="53"/>
      <c r="K13" s="318">
        <f>SUM(89,89)-42</f>
        <v>136</v>
      </c>
      <c r="L13" s="318">
        <f>(G13+G14)*0.066</f>
        <v>130.87800000000001</v>
      </c>
      <c r="M13" s="371">
        <f t="shared" si="2"/>
        <v>5.1219999999999857</v>
      </c>
      <c r="N13" s="319">
        <f>[3]May!$AD13</f>
        <v>271</v>
      </c>
      <c r="O13" s="319">
        <f>2+7</f>
        <v>9</v>
      </c>
      <c r="P13" s="54"/>
      <c r="Q13" s="318">
        <f t="shared" si="3"/>
        <v>3.766176470588225</v>
      </c>
      <c r="R13" s="319">
        <f>(G13+G14)/(F13/60)</f>
        <v>207.64397905759159</v>
      </c>
      <c r="S13" s="16"/>
      <c r="T13" s="37"/>
      <c r="U13" s="6"/>
    </row>
    <row r="14" spans="2:21" ht="15.6">
      <c r="B14" s="59">
        <v>45782</v>
      </c>
      <c r="C14" s="48">
        <v>2</v>
      </c>
      <c r="D14" s="29" t="s">
        <v>93</v>
      </c>
      <c r="E14" s="366"/>
      <c r="F14" s="370"/>
      <c r="G14" s="17">
        <v>1249</v>
      </c>
      <c r="H14" s="318"/>
      <c r="I14" s="54"/>
      <c r="J14" s="53"/>
      <c r="K14" s="318"/>
      <c r="L14" s="318"/>
      <c r="M14" s="371"/>
      <c r="N14" s="319"/>
      <c r="O14" s="319"/>
      <c r="P14" s="54"/>
      <c r="Q14" s="318"/>
      <c r="R14" s="319"/>
      <c r="S14" s="16"/>
      <c r="T14" s="37"/>
      <c r="U14" s="6"/>
    </row>
    <row r="15" spans="2:21" ht="15.6">
      <c r="B15" s="59">
        <v>45783</v>
      </c>
      <c r="C15" s="48">
        <v>3</v>
      </c>
      <c r="D15" s="29" t="s">
        <v>95</v>
      </c>
      <c r="E15" s="365">
        <v>1438</v>
      </c>
      <c r="F15" s="39">
        <f>[3]May!$N78</f>
        <v>145</v>
      </c>
      <c r="G15" s="17">
        <v>634</v>
      </c>
      <c r="H15" s="53">
        <f t="shared" si="1"/>
        <v>37.036916835699799</v>
      </c>
      <c r="I15" s="54"/>
      <c r="J15" s="53"/>
      <c r="K15" s="53">
        <v>42</v>
      </c>
      <c r="L15" s="53">
        <f t="shared" si="0"/>
        <v>41.844000000000001</v>
      </c>
      <c r="M15" s="53">
        <f t="shared" si="2"/>
        <v>0.15599999999999881</v>
      </c>
      <c r="N15" s="54">
        <f>[3]May!$AD15</f>
        <v>82</v>
      </c>
      <c r="O15" s="54">
        <f>1+16</f>
        <v>17</v>
      </c>
      <c r="P15" s="54"/>
      <c r="Q15" s="50">
        <f t="shared" si="3"/>
        <v>0.37142857142856861</v>
      </c>
      <c r="R15" s="54">
        <f t="shared" ref="R15:R61" si="4">(G15)/(F15/60)</f>
        <v>262.34482758620692</v>
      </c>
      <c r="S15" s="16"/>
      <c r="T15" s="242"/>
      <c r="U15" s="6"/>
    </row>
    <row r="16" spans="2:21" ht="15.6">
      <c r="B16" s="59">
        <v>45783</v>
      </c>
      <c r="C16" s="48">
        <v>3</v>
      </c>
      <c r="D16" s="29" t="s">
        <v>49</v>
      </c>
      <c r="E16" s="354"/>
      <c r="F16" s="39">
        <f>[3]May!$N79</f>
        <v>1031</v>
      </c>
      <c r="G16" s="17">
        <v>6488</v>
      </c>
      <c r="H16" s="53">
        <f t="shared" si="1"/>
        <v>53.304729845381416</v>
      </c>
      <c r="I16" s="54">
        <f>7+210</f>
        <v>217</v>
      </c>
      <c r="J16" s="53"/>
      <c r="K16" s="53">
        <f>60+99.6+99.3+96.8+84.1</f>
        <v>439.79999999999995</v>
      </c>
      <c r="L16" s="53">
        <f t="shared" si="0"/>
        <v>428.20800000000003</v>
      </c>
      <c r="M16" s="187">
        <f t="shared" si="2"/>
        <v>11.591999999999928</v>
      </c>
      <c r="N16" s="54">
        <f>[3]May!$AD16</f>
        <v>408</v>
      </c>
      <c r="O16" s="54">
        <v>17</v>
      </c>
      <c r="P16" s="54"/>
      <c r="Q16" s="50">
        <f t="shared" si="3"/>
        <v>2.6357435197817027</v>
      </c>
      <c r="R16" s="54">
        <f>(G16)/(F16/60)</f>
        <v>377.57516973811835</v>
      </c>
      <c r="S16" s="16"/>
      <c r="T16" s="37"/>
      <c r="U16" s="6"/>
    </row>
    <row r="17" spans="2:21" ht="15.6">
      <c r="B17" s="59">
        <v>45783</v>
      </c>
      <c r="C17" s="48">
        <v>3</v>
      </c>
      <c r="D17" s="29" t="s">
        <v>92</v>
      </c>
      <c r="E17" s="366"/>
      <c r="F17" s="39">
        <f>[3]May!$N80</f>
        <v>79</v>
      </c>
      <c r="G17" s="17">
        <v>371</v>
      </c>
      <c r="H17" s="53">
        <f t="shared" si="1"/>
        <v>39.77959791511541</v>
      </c>
      <c r="I17" s="54"/>
      <c r="J17" s="53"/>
      <c r="K17" s="53">
        <v>27</v>
      </c>
      <c r="L17" s="53">
        <f t="shared" si="0"/>
        <v>24.486000000000001</v>
      </c>
      <c r="M17" s="53">
        <f t="shared" si="2"/>
        <v>2.5139999999999993</v>
      </c>
      <c r="N17" s="54">
        <f>[3]May!$AD17</f>
        <v>76</v>
      </c>
      <c r="O17" s="54"/>
      <c r="P17" s="54"/>
      <c r="Q17" s="50">
        <f t="shared" si="3"/>
        <v>9.3111111111111082</v>
      </c>
      <c r="R17" s="54">
        <f t="shared" si="4"/>
        <v>281.77215189873419</v>
      </c>
      <c r="S17" s="16"/>
      <c r="T17" s="37"/>
      <c r="U17" s="6"/>
    </row>
    <row r="18" spans="2:21" ht="15.6">
      <c r="B18" s="59">
        <v>45784</v>
      </c>
      <c r="C18" s="48">
        <v>4</v>
      </c>
      <c r="D18" s="29" t="s">
        <v>47</v>
      </c>
      <c r="E18" s="365">
        <v>1442</v>
      </c>
      <c r="F18" s="39">
        <f>[3]May!$N81</f>
        <v>1166</v>
      </c>
      <c r="G18" s="17">
        <v>7121</v>
      </c>
      <c r="H18" s="53">
        <f t="shared" si="1"/>
        <v>51.731611340934315</v>
      </c>
      <c r="I18" s="54"/>
      <c r="J18" s="53"/>
      <c r="K18" s="53">
        <f>99.2+101.1+102+99+75.3</f>
        <v>476.6</v>
      </c>
      <c r="L18" s="53">
        <f t="shared" si="0"/>
        <v>469.98600000000005</v>
      </c>
      <c r="M18" s="53">
        <f t="shared" si="2"/>
        <v>6.6139999999999759</v>
      </c>
      <c r="N18" s="54">
        <f>[3]May!$AD18</f>
        <v>467</v>
      </c>
      <c r="O18" s="54">
        <v>24</v>
      </c>
      <c r="P18" s="54"/>
      <c r="Q18" s="50">
        <f t="shared" si="3"/>
        <v>1.3877465379773344</v>
      </c>
      <c r="R18" s="54">
        <f t="shared" si="4"/>
        <v>366.43224699828471</v>
      </c>
      <c r="S18" s="16"/>
      <c r="T18" s="37"/>
      <c r="U18" s="6"/>
    </row>
    <row r="19" spans="2:21" ht="15.6">
      <c r="B19" s="59">
        <v>45784</v>
      </c>
      <c r="C19" s="48">
        <v>4</v>
      </c>
      <c r="D19" s="198" t="s">
        <v>62</v>
      </c>
      <c r="E19" s="366"/>
      <c r="F19" s="192">
        <f>[3]May!$N82</f>
        <v>0</v>
      </c>
      <c r="G19" s="188">
        <v>0</v>
      </c>
      <c r="H19" s="187" t="e">
        <f>(G19)*24/(F19/60)/17000*100</f>
        <v>#DIV/0!</v>
      </c>
      <c r="I19" s="193"/>
      <c r="J19" s="187"/>
      <c r="K19" s="187">
        <v>0</v>
      </c>
      <c r="L19" s="187">
        <f t="shared" si="0"/>
        <v>0</v>
      </c>
      <c r="M19" s="187">
        <f t="shared" si="2"/>
        <v>0</v>
      </c>
      <c r="N19" s="193">
        <f>[3]May!$AD19</f>
        <v>130</v>
      </c>
      <c r="O19" s="193">
        <v>0</v>
      </c>
      <c r="P19" s="193"/>
      <c r="Q19" s="199" t="e">
        <f>(K19-L19)/K19*100</f>
        <v>#DIV/0!</v>
      </c>
      <c r="R19" s="193" t="e">
        <f t="shared" si="4"/>
        <v>#DIV/0!</v>
      </c>
      <c r="S19" s="313">
        <f>((K20+K19)-(L20+L19))/(K20+K19)*100</f>
        <v>2.5319949811794165</v>
      </c>
      <c r="T19" s="37"/>
      <c r="U19" s="6"/>
    </row>
    <row r="20" spans="2:21" ht="15.6">
      <c r="B20" s="59">
        <v>45785</v>
      </c>
      <c r="C20" s="48">
        <v>5</v>
      </c>
      <c r="D20" s="29" t="s">
        <v>62</v>
      </c>
      <c r="E20" s="365">
        <v>1440</v>
      </c>
      <c r="F20" s="39">
        <f>[3]May!$N83</f>
        <v>1003</v>
      </c>
      <c r="G20" s="17">
        <v>5885</v>
      </c>
      <c r="H20" s="53">
        <f>(G20)*24/(F20/60)/17000*100</f>
        <v>49.700310832209254</v>
      </c>
      <c r="I20" s="54"/>
      <c r="J20" s="53"/>
      <c r="K20" s="53">
        <f>97+100+107+94.5</f>
        <v>398.5</v>
      </c>
      <c r="L20" s="53">
        <f t="shared" si="0"/>
        <v>388.41</v>
      </c>
      <c r="M20" s="187">
        <f t="shared" si="2"/>
        <v>10.089999999999975</v>
      </c>
      <c r="N20" s="54">
        <f>[3]May!$AD20</f>
        <v>504</v>
      </c>
      <c r="O20" s="54">
        <f>4+10+13</f>
        <v>27</v>
      </c>
      <c r="P20" s="54"/>
      <c r="Q20" s="50">
        <f>(K20-L20)/K20*100</f>
        <v>2.5319949811794165</v>
      </c>
      <c r="R20" s="54">
        <f t="shared" si="4"/>
        <v>352.0438683948156</v>
      </c>
      <c r="S20" s="313"/>
      <c r="T20" s="37"/>
      <c r="U20" s="6"/>
    </row>
    <row r="21" spans="2:21" ht="15.6">
      <c r="B21" s="59">
        <v>45785</v>
      </c>
      <c r="C21" s="48">
        <v>5</v>
      </c>
      <c r="D21" s="29" t="s">
        <v>49</v>
      </c>
      <c r="E21" s="366"/>
      <c r="F21" s="39">
        <f>[3]May!$N84</f>
        <v>99</v>
      </c>
      <c r="G21" s="17">
        <v>370</v>
      </c>
      <c r="H21" s="53">
        <f>(G21)*24/(F21/60)/17000*100</f>
        <v>31.657754010695189</v>
      </c>
      <c r="I21" s="54"/>
      <c r="J21" s="53"/>
      <c r="K21" s="53">
        <f>99+101.3-88.3-86.5</f>
        <v>25.500000000000014</v>
      </c>
      <c r="L21" s="53">
        <f t="shared" si="0"/>
        <v>24.42</v>
      </c>
      <c r="M21" s="53">
        <f t="shared" si="2"/>
        <v>1.0800000000000125</v>
      </c>
      <c r="N21" s="54">
        <f>[3]May!$AD21</f>
        <v>134</v>
      </c>
      <c r="O21" s="54">
        <f>3+1</f>
        <v>4</v>
      </c>
      <c r="P21" s="54"/>
      <c r="Q21" s="50">
        <f>(K21-L21)/K21*100</f>
        <v>4.2352941176471059</v>
      </c>
      <c r="R21" s="54">
        <f>(G21)/(F21/60)</f>
        <v>224.24242424242425</v>
      </c>
      <c r="S21" s="372">
        <f>((K22+K21)-(L22+L21))/(K22+K21)*100</f>
        <v>2.3918918918918952</v>
      </c>
      <c r="T21" s="37"/>
      <c r="U21" s="6"/>
    </row>
    <row r="22" spans="2:21" ht="15.6">
      <c r="B22" s="59">
        <v>45786</v>
      </c>
      <c r="C22" s="48">
        <v>6</v>
      </c>
      <c r="D22" s="29" t="s">
        <v>49</v>
      </c>
      <c r="E22" s="365">
        <v>1197</v>
      </c>
      <c r="F22" s="39">
        <f>[3]May!$N85</f>
        <v>956</v>
      </c>
      <c r="G22" s="17">
        <v>6853</v>
      </c>
      <c r="H22" s="53">
        <f>(G22)*24/(F22/60)/17000*100</f>
        <v>60.720649766182625</v>
      </c>
      <c r="I22" s="54"/>
      <c r="J22" s="53"/>
      <c r="K22" s="53">
        <f>88.3+86.5+102+92.3+93.8</f>
        <v>462.90000000000003</v>
      </c>
      <c r="L22" s="53">
        <f t="shared" si="0"/>
        <v>452.298</v>
      </c>
      <c r="M22" s="53">
        <f t="shared" si="2"/>
        <v>10.602000000000032</v>
      </c>
      <c r="N22" s="54">
        <f>[3]May!$AD22</f>
        <v>142</v>
      </c>
      <c r="O22" s="54">
        <f>25+37+18</f>
        <v>80</v>
      </c>
      <c r="P22" s="54"/>
      <c r="Q22" s="50">
        <f t="shared" ref="Q22:Q30" si="5">(K22-L22)/K22*100</f>
        <v>2.2903434867142001</v>
      </c>
      <c r="R22" s="54">
        <f>(G22)/(F22/60)</f>
        <v>430.10460251046027</v>
      </c>
      <c r="S22" s="372"/>
      <c r="T22" s="37"/>
      <c r="U22" s="6"/>
    </row>
    <row r="23" spans="2:21" ht="15.6">
      <c r="B23" s="59">
        <v>45786</v>
      </c>
      <c r="C23" s="48">
        <v>6</v>
      </c>
      <c r="D23" s="29" t="s">
        <v>47</v>
      </c>
      <c r="E23" s="366"/>
      <c r="F23" s="39">
        <f>[3]May!$N86</f>
        <v>127</v>
      </c>
      <c r="G23" s="17">
        <v>1012</v>
      </c>
      <c r="H23" s="53">
        <f t="shared" si="1"/>
        <v>67.497915701713751</v>
      </c>
      <c r="I23" s="54"/>
      <c r="J23" s="53"/>
      <c r="K23" s="53">
        <f>97.6+102.4-60-68</f>
        <v>72</v>
      </c>
      <c r="L23" s="53">
        <f t="shared" si="0"/>
        <v>66.792000000000002</v>
      </c>
      <c r="M23" s="53">
        <f t="shared" si="2"/>
        <v>5.2079999999999984</v>
      </c>
      <c r="N23" s="54">
        <f>[3]May!$AD23</f>
        <v>42</v>
      </c>
      <c r="O23" s="54">
        <v>4</v>
      </c>
      <c r="P23" s="54"/>
      <c r="Q23" s="50">
        <f t="shared" si="5"/>
        <v>7.2333333333333307</v>
      </c>
      <c r="R23" s="54">
        <f t="shared" si="4"/>
        <v>478.11023622047242</v>
      </c>
      <c r="S23" s="16"/>
      <c r="T23" s="37"/>
      <c r="U23" s="6"/>
    </row>
    <row r="24" spans="2:21" ht="15.6">
      <c r="B24" s="59">
        <v>45789</v>
      </c>
      <c r="C24" s="48">
        <v>7</v>
      </c>
      <c r="D24" s="29" t="s">
        <v>47</v>
      </c>
      <c r="E24" s="365">
        <v>1380</v>
      </c>
      <c r="F24" s="39">
        <f>[3]May!$N87</f>
        <v>818</v>
      </c>
      <c r="G24" s="17">
        <v>4674</v>
      </c>
      <c r="H24" s="53">
        <f t="shared" si="1"/>
        <v>48.400402703868828</v>
      </c>
      <c r="I24" s="54"/>
      <c r="J24" s="53"/>
      <c r="K24" s="53">
        <f>60+68+92.3+89</f>
        <v>309.3</v>
      </c>
      <c r="L24" s="53">
        <f t="shared" si="0"/>
        <v>308.48400000000004</v>
      </c>
      <c r="M24" s="53">
        <f t="shared" si="2"/>
        <v>0.81599999999997408</v>
      </c>
      <c r="N24" s="54">
        <f>[3]May!$AD24</f>
        <v>370</v>
      </c>
      <c r="O24" s="54">
        <f>4+10+1</f>
        <v>15</v>
      </c>
      <c r="P24" s="54"/>
      <c r="Q24" s="50">
        <f t="shared" si="5"/>
        <v>0.26382153249271711</v>
      </c>
      <c r="R24" s="54">
        <f t="shared" si="4"/>
        <v>342.83618581907092</v>
      </c>
      <c r="S24" s="16"/>
      <c r="T24" s="37"/>
      <c r="U24" s="6"/>
    </row>
    <row r="25" spans="2:21" ht="15.6">
      <c r="B25" s="59">
        <v>45789</v>
      </c>
      <c r="C25" s="48">
        <v>7</v>
      </c>
      <c r="D25" s="29" t="s">
        <v>49</v>
      </c>
      <c r="E25" s="366"/>
      <c r="F25" s="39">
        <f>[3]May!$N88</f>
        <v>425</v>
      </c>
      <c r="G25" s="17">
        <v>3131</v>
      </c>
      <c r="H25" s="53">
        <f t="shared" si="1"/>
        <v>62.403321799307967</v>
      </c>
      <c r="I25" s="54"/>
      <c r="J25" s="53"/>
      <c r="K25" s="53">
        <f>99.5+100+100.3+85.4-91.8-81</f>
        <v>212.40000000000003</v>
      </c>
      <c r="L25" s="53">
        <f t="shared" si="0"/>
        <v>206.64600000000002</v>
      </c>
      <c r="M25" s="53">
        <f t="shared" si="2"/>
        <v>5.7540000000000191</v>
      </c>
      <c r="N25" s="54">
        <f>[3]May!$AD25</f>
        <v>100</v>
      </c>
      <c r="O25" s="54">
        <f>2</f>
        <v>2</v>
      </c>
      <c r="P25" s="54"/>
      <c r="Q25" s="50">
        <f t="shared" si="5"/>
        <v>2.7090395480226075</v>
      </c>
      <c r="R25" s="54">
        <f t="shared" si="4"/>
        <v>442.02352941176474</v>
      </c>
      <c r="S25" s="313">
        <f>((K26+K25)-(L26+L25))/(K26+K25)*100</f>
        <v>1.5140186915887832</v>
      </c>
      <c r="T25" s="37"/>
      <c r="U25" s="6"/>
    </row>
    <row r="26" spans="2:21" ht="15.6">
      <c r="B26" s="59">
        <v>45790</v>
      </c>
      <c r="C26" s="48">
        <v>8</v>
      </c>
      <c r="D26" s="29" t="s">
        <v>49</v>
      </c>
      <c r="E26" s="365">
        <v>1440</v>
      </c>
      <c r="F26" s="39">
        <f>[3]May!$N89</f>
        <v>348</v>
      </c>
      <c r="G26" s="17">
        <v>2617</v>
      </c>
      <c r="H26" s="53">
        <f t="shared" si="1"/>
        <v>63.699797160243406</v>
      </c>
      <c r="I26" s="54"/>
      <c r="J26" s="53"/>
      <c r="K26" s="53">
        <f>91.8+81</f>
        <v>172.8</v>
      </c>
      <c r="L26" s="53">
        <f t="shared" si="0"/>
        <v>172.72200000000001</v>
      </c>
      <c r="M26" s="53">
        <f t="shared" si="2"/>
        <v>7.8000000000002956E-2</v>
      </c>
      <c r="N26" s="54">
        <f>[3]May!$AD26</f>
        <v>55</v>
      </c>
      <c r="O26" s="54">
        <v>16</v>
      </c>
      <c r="P26" s="54"/>
      <c r="Q26" s="50">
        <f t="shared" si="5"/>
        <v>4.5138888888890595E-2</v>
      </c>
      <c r="R26" s="54">
        <f t="shared" si="4"/>
        <v>451.20689655172413</v>
      </c>
      <c r="S26" s="313"/>
      <c r="T26" s="37"/>
      <c r="U26" s="6"/>
    </row>
    <row r="27" spans="2:21" ht="15.6">
      <c r="B27" s="59">
        <v>45790</v>
      </c>
      <c r="C27" s="48">
        <v>8</v>
      </c>
      <c r="D27" s="198" t="s">
        <v>96</v>
      </c>
      <c r="E27" s="366"/>
      <c r="F27" s="192"/>
      <c r="G27" s="188">
        <v>0</v>
      </c>
      <c r="H27" s="187" t="e">
        <f>(G27)*24/(F27/60)/17000*100</f>
        <v>#DIV/0!</v>
      </c>
      <c r="I27" s="193"/>
      <c r="J27" s="187"/>
      <c r="K27" s="187">
        <v>0</v>
      </c>
      <c r="L27" s="187">
        <f t="shared" si="0"/>
        <v>0</v>
      </c>
      <c r="M27" s="187">
        <f t="shared" si="2"/>
        <v>0</v>
      </c>
      <c r="N27" s="193">
        <f>[3]May!$AD27</f>
        <v>1078</v>
      </c>
      <c r="O27" s="193">
        <v>0</v>
      </c>
      <c r="P27" s="193"/>
      <c r="Q27" s="199" t="e">
        <f t="shared" si="5"/>
        <v>#DIV/0!</v>
      </c>
      <c r="R27" s="193" t="e">
        <f t="shared" si="4"/>
        <v>#DIV/0!</v>
      </c>
      <c r="S27" s="371">
        <f>((K28+K27+K29+K30)-(L28+L27+L29+L30))/(K28+K27+K29+K30)*100</f>
        <v>3.211219512195119</v>
      </c>
      <c r="T27" s="37"/>
      <c r="U27" s="6"/>
    </row>
    <row r="28" spans="2:21" ht="15.6">
      <c r="B28" s="59">
        <v>45791</v>
      </c>
      <c r="C28" s="48">
        <v>9</v>
      </c>
      <c r="D28" s="29" t="s">
        <v>96</v>
      </c>
      <c r="E28" s="47">
        <v>1440</v>
      </c>
      <c r="F28" s="39">
        <f>[3]May!$N91</f>
        <v>550</v>
      </c>
      <c r="G28" s="17">
        <v>578</v>
      </c>
      <c r="H28" s="53">
        <f>(G28)*24/(F28/60)/17000*100</f>
        <v>8.9018181818181823</v>
      </c>
      <c r="I28" s="54"/>
      <c r="J28" s="53"/>
      <c r="K28" s="53">
        <f>SUM(99.2)-51.8</f>
        <v>47.400000000000006</v>
      </c>
      <c r="L28" s="53">
        <f>(G28)*0.0708</f>
        <v>40.922400000000003</v>
      </c>
      <c r="M28" s="53">
        <f t="shared" si="2"/>
        <v>6.4776000000000025</v>
      </c>
      <c r="N28" s="54">
        <f>[3]May!$AD28</f>
        <v>1422</v>
      </c>
      <c r="O28" s="54">
        <v>22</v>
      </c>
      <c r="P28" s="54"/>
      <c r="Q28" s="50">
        <f t="shared" si="5"/>
        <v>13.66582278481013</v>
      </c>
      <c r="R28" s="54">
        <f t="shared" si="4"/>
        <v>63.054545454545462</v>
      </c>
      <c r="S28" s="371"/>
      <c r="T28" s="37"/>
      <c r="U28" s="6"/>
    </row>
    <row r="29" spans="2:21" ht="15.6">
      <c r="B29" s="59">
        <v>45792</v>
      </c>
      <c r="C29" s="48">
        <v>10</v>
      </c>
      <c r="D29" s="29" t="s">
        <v>96</v>
      </c>
      <c r="E29" s="47">
        <v>1440</v>
      </c>
      <c r="F29" s="39">
        <f>[3]May!$N92</f>
        <v>234</v>
      </c>
      <c r="G29" s="17">
        <v>1358</v>
      </c>
      <c r="H29" s="53">
        <f t="shared" si="1"/>
        <v>49.158371040723978</v>
      </c>
      <c r="I29" s="54"/>
      <c r="J29" s="53"/>
      <c r="K29" s="53">
        <f>100.6+98-44-58</f>
        <v>96.6</v>
      </c>
      <c r="L29" s="53">
        <f>(G29)*0.0708</f>
        <v>96.1464</v>
      </c>
      <c r="M29" s="53">
        <f t="shared" si="2"/>
        <v>0.45359999999999445</v>
      </c>
      <c r="N29" s="54">
        <f>[3]May!$AD29</f>
        <v>1222</v>
      </c>
      <c r="O29" s="54">
        <v>10</v>
      </c>
      <c r="P29" s="54"/>
      <c r="Q29" s="50">
        <f t="shared" si="5"/>
        <v>0.46956521739129864</v>
      </c>
      <c r="R29" s="54">
        <f t="shared" si="4"/>
        <v>348.20512820512823</v>
      </c>
      <c r="S29" s="371"/>
      <c r="T29" s="37"/>
      <c r="U29" s="6"/>
    </row>
    <row r="30" spans="2:21" ht="15.6">
      <c r="B30" s="59">
        <v>45793</v>
      </c>
      <c r="C30" s="48">
        <v>11</v>
      </c>
      <c r="D30" s="29" t="s">
        <v>96</v>
      </c>
      <c r="E30" s="365">
        <v>1145</v>
      </c>
      <c r="F30" s="39">
        <f>[3]May!$N93</f>
        <v>192</v>
      </c>
      <c r="G30" s="17">
        <v>1427</v>
      </c>
      <c r="H30" s="53">
        <f t="shared" si="1"/>
        <v>62.955882352941174</v>
      </c>
      <c r="I30" s="54"/>
      <c r="J30" s="53"/>
      <c r="K30" s="53">
        <f>44+58</f>
        <v>102</v>
      </c>
      <c r="L30" s="53">
        <f>(G30)*0.0708</f>
        <v>101.0316</v>
      </c>
      <c r="M30" s="53">
        <f t="shared" si="2"/>
        <v>0.96840000000000259</v>
      </c>
      <c r="N30" s="54">
        <f>[3]May!$AD30</f>
        <v>49</v>
      </c>
      <c r="O30" s="54">
        <v>18</v>
      </c>
      <c r="P30" s="54"/>
      <c r="Q30" s="50">
        <f t="shared" si="5"/>
        <v>0.94941176470588495</v>
      </c>
      <c r="R30" s="54">
        <f t="shared" si="4"/>
        <v>445.9375</v>
      </c>
      <c r="S30" s="371"/>
      <c r="T30" s="37"/>
      <c r="U30" s="6"/>
    </row>
    <row r="31" spans="2:21" ht="15.6">
      <c r="B31" s="59">
        <v>45793</v>
      </c>
      <c r="C31" s="48">
        <v>11</v>
      </c>
      <c r="D31" s="29" t="s">
        <v>97</v>
      </c>
      <c r="E31" s="354"/>
      <c r="F31" s="39">
        <f>[3]May!$N94</f>
        <v>102</v>
      </c>
      <c r="G31" s="17">
        <v>690</v>
      </c>
      <c r="H31" s="53">
        <f t="shared" si="1"/>
        <v>57.301038062283737</v>
      </c>
      <c r="I31" s="54"/>
      <c r="J31" s="53"/>
      <c r="K31" s="53">
        <v>51.8</v>
      </c>
      <c r="L31" s="53">
        <f>(G31)*0.0708</f>
        <v>48.852000000000004</v>
      </c>
      <c r="M31" s="53">
        <f t="shared" si="2"/>
        <v>2.9479999999999933</v>
      </c>
      <c r="N31" s="54">
        <f>[3]May!$AD31</f>
        <v>14</v>
      </c>
      <c r="O31" s="54">
        <v>4</v>
      </c>
      <c r="P31" s="54"/>
      <c r="Q31" s="50">
        <f t="shared" si="3"/>
        <v>5.6911196911196784</v>
      </c>
      <c r="R31" s="54">
        <f t="shared" si="4"/>
        <v>405.88235294117646</v>
      </c>
      <c r="S31" s="371"/>
      <c r="T31" s="37"/>
      <c r="U31" s="6"/>
    </row>
    <row r="32" spans="2:21" ht="15.6">
      <c r="B32" s="59">
        <v>45793</v>
      </c>
      <c r="C32" s="48">
        <v>11</v>
      </c>
      <c r="D32" s="29" t="s">
        <v>47</v>
      </c>
      <c r="E32" s="366"/>
      <c r="F32" s="39">
        <f>[3]May!$N95</f>
        <v>725</v>
      </c>
      <c r="G32" s="17">
        <v>136</v>
      </c>
      <c r="H32" s="53">
        <f t="shared" si="1"/>
        <v>1.588965517241379</v>
      </c>
      <c r="I32" s="54">
        <v>109</v>
      </c>
      <c r="J32" s="53"/>
      <c r="K32" s="53">
        <f>97.3+99-94-89</f>
        <v>13.300000000000011</v>
      </c>
      <c r="L32" s="53">
        <f t="shared" si="0"/>
        <v>8.9760000000000009</v>
      </c>
      <c r="M32" s="53">
        <f t="shared" si="2"/>
        <v>4.3240000000000105</v>
      </c>
      <c r="N32" s="54">
        <f>[3]May!$AD32</f>
        <v>816</v>
      </c>
      <c r="O32" s="54">
        <f>9+14</f>
        <v>23</v>
      </c>
      <c r="P32" s="54"/>
      <c r="Q32" s="50">
        <f t="shared" si="3"/>
        <v>32.511278195488771</v>
      </c>
      <c r="R32" s="54">
        <f t="shared" si="4"/>
        <v>11.255172413793103</v>
      </c>
      <c r="S32" s="16"/>
      <c r="T32" s="37"/>
      <c r="U32" s="6"/>
    </row>
    <row r="33" spans="2:21" ht="15.6">
      <c r="B33" s="59">
        <v>45796</v>
      </c>
      <c r="C33" s="48">
        <v>12</v>
      </c>
      <c r="D33" s="29" t="s">
        <v>47</v>
      </c>
      <c r="E33" s="47">
        <v>1380</v>
      </c>
      <c r="F33" s="39">
        <f>[3]May!$N96</f>
        <v>847</v>
      </c>
      <c r="G33" s="17">
        <v>5270</v>
      </c>
      <c r="H33" s="53">
        <f t="shared" si="1"/>
        <v>52.70365997638725</v>
      </c>
      <c r="I33" s="54"/>
      <c r="J33" s="53"/>
      <c r="K33" s="53">
        <f>94+89+100.3+106.5-28</f>
        <v>361.8</v>
      </c>
      <c r="L33" s="53">
        <f t="shared" si="0"/>
        <v>347.82</v>
      </c>
      <c r="M33" s="53">
        <f t="shared" si="2"/>
        <v>13.980000000000018</v>
      </c>
      <c r="N33" s="54">
        <f>[3]May!$AD33</f>
        <v>870</v>
      </c>
      <c r="O33" s="54">
        <f>25+46</f>
        <v>71</v>
      </c>
      <c r="P33" s="54">
        <v>15</v>
      </c>
      <c r="Q33" s="50">
        <f t="shared" si="3"/>
        <v>3.8640132669983465</v>
      </c>
      <c r="R33" s="54">
        <f t="shared" si="4"/>
        <v>373.31759149940967</v>
      </c>
      <c r="S33" s="313">
        <f>((K34+K33)-(L34+L33))/(K34+K33)*100</f>
        <v>3.7429451000513163</v>
      </c>
      <c r="T33" s="37"/>
      <c r="U33" s="6"/>
    </row>
    <row r="34" spans="2:21" ht="15.6">
      <c r="B34" s="59">
        <v>45797</v>
      </c>
      <c r="C34" s="48">
        <v>13</v>
      </c>
      <c r="D34" s="29" t="s">
        <v>47</v>
      </c>
      <c r="E34" s="365">
        <v>1440</v>
      </c>
      <c r="F34" s="39">
        <f>[3]May!$N97</f>
        <v>51</v>
      </c>
      <c r="G34" s="17">
        <v>415</v>
      </c>
      <c r="H34" s="53">
        <f t="shared" si="1"/>
        <v>68.927335640138409</v>
      </c>
      <c r="I34" s="54"/>
      <c r="J34" s="53"/>
      <c r="K34" s="53">
        <v>28</v>
      </c>
      <c r="L34" s="53">
        <f t="shared" si="0"/>
        <v>27.39</v>
      </c>
      <c r="M34" s="53">
        <f t="shared" si="2"/>
        <v>0.60999999999999943</v>
      </c>
      <c r="N34" s="54">
        <f>[3]May!$AD34</f>
        <v>21</v>
      </c>
      <c r="O34" s="54">
        <v>6</v>
      </c>
      <c r="P34" s="54"/>
      <c r="Q34" s="50">
        <f t="shared" si="3"/>
        <v>2.1785714285714266</v>
      </c>
      <c r="R34" s="54">
        <f t="shared" si="4"/>
        <v>488.23529411764707</v>
      </c>
      <c r="S34" s="313"/>
      <c r="T34" s="37"/>
      <c r="U34" s="6"/>
    </row>
    <row r="35" spans="2:21" ht="15.6">
      <c r="B35" s="59">
        <v>45797</v>
      </c>
      <c r="C35" s="48">
        <v>13</v>
      </c>
      <c r="D35" s="29" t="s">
        <v>49</v>
      </c>
      <c r="E35" s="354"/>
      <c r="F35" s="39">
        <f>[3]May!$N98</f>
        <v>744</v>
      </c>
      <c r="G35" s="17">
        <v>5287</v>
      </c>
      <c r="H35" s="53">
        <f t="shared" si="1"/>
        <v>60.193548387096776</v>
      </c>
      <c r="I35" s="54"/>
      <c r="J35" s="53"/>
      <c r="K35" s="318">
        <f>98.4+99.1+98+95+89</f>
        <v>479.5</v>
      </c>
      <c r="L35" s="318">
        <f>(G35+G36)*0.066+(60*0.066)</f>
        <v>468.93</v>
      </c>
      <c r="M35" s="318">
        <f>K35-L35</f>
        <v>10.569999999999993</v>
      </c>
      <c r="N35" s="54">
        <f>[3]May!$AD35</f>
        <v>299</v>
      </c>
      <c r="O35" s="54">
        <f>3+22</f>
        <v>25</v>
      </c>
      <c r="P35" s="54">
        <v>60</v>
      </c>
      <c r="Q35" s="318">
        <f t="shared" si="3"/>
        <v>2.204379562043794</v>
      </c>
      <c r="R35" s="54">
        <f t="shared" si="4"/>
        <v>426.37096774193549</v>
      </c>
      <c r="S35" s="372">
        <f>((K37+K35+K39)-(L37+L35+L39))/(K37+K35+K39)*100</f>
        <v>2.8512268539633139</v>
      </c>
      <c r="T35" s="37"/>
      <c r="U35" s="6"/>
    </row>
    <row r="36" spans="2:21" ht="15.6">
      <c r="B36" s="59">
        <v>45797</v>
      </c>
      <c r="C36" s="48">
        <v>13</v>
      </c>
      <c r="D36" s="29" t="s">
        <v>98</v>
      </c>
      <c r="E36" s="366"/>
      <c r="F36" s="39">
        <f>[3]May!$N99</f>
        <v>465</v>
      </c>
      <c r="G36" s="17">
        <v>1758</v>
      </c>
      <c r="H36" s="53">
        <f t="shared" si="1"/>
        <v>32.024288425047438</v>
      </c>
      <c r="I36" s="54"/>
      <c r="J36" s="53"/>
      <c r="K36" s="318"/>
      <c r="L36" s="318"/>
      <c r="M36" s="318"/>
      <c r="N36" s="54">
        <f>[3]May!$AD36</f>
        <v>103</v>
      </c>
      <c r="O36" s="54">
        <v>28</v>
      </c>
      <c r="P36" s="54"/>
      <c r="Q36" s="318"/>
      <c r="R36" s="54">
        <f t="shared" si="4"/>
        <v>226.83870967741936</v>
      </c>
      <c r="S36" s="372"/>
      <c r="T36" s="37"/>
      <c r="U36" s="6"/>
    </row>
    <row r="37" spans="2:21" ht="15.6">
      <c r="B37" s="59">
        <v>45798</v>
      </c>
      <c r="C37" s="48">
        <v>14</v>
      </c>
      <c r="D37" s="29" t="s">
        <v>98</v>
      </c>
      <c r="E37" s="365">
        <v>1440</v>
      </c>
      <c r="F37" s="39">
        <f>[3]May!$N100</f>
        <v>481</v>
      </c>
      <c r="G37" s="17">
        <v>2617</v>
      </c>
      <c r="H37" s="53">
        <f t="shared" si="1"/>
        <v>46.086339733398553</v>
      </c>
      <c r="I37" s="54"/>
      <c r="J37" s="53"/>
      <c r="K37" s="318">
        <f>102.2+95.5+96.4+98+89-25</f>
        <v>456.1</v>
      </c>
      <c r="L37" s="318">
        <f>(G37+G38)*0.066</f>
        <v>438.30600000000004</v>
      </c>
      <c r="M37" s="318">
        <f>K37-L37</f>
        <v>17.793999999999983</v>
      </c>
      <c r="N37" s="54">
        <f>[3]May!$AD37</f>
        <v>97</v>
      </c>
      <c r="O37" s="54">
        <v>43</v>
      </c>
      <c r="P37" s="54"/>
      <c r="Q37" s="318">
        <f t="shared" si="3"/>
        <v>3.9013374260030655</v>
      </c>
      <c r="R37" s="54">
        <f t="shared" si="4"/>
        <v>326.44490644490639</v>
      </c>
      <c r="S37" s="372"/>
    </row>
    <row r="38" spans="2:21" ht="15.6">
      <c r="B38" s="59">
        <v>45798</v>
      </c>
      <c r="C38" s="48">
        <v>14</v>
      </c>
      <c r="D38" s="29" t="s">
        <v>49</v>
      </c>
      <c r="E38" s="366"/>
      <c r="F38" s="39">
        <f>[3]May!$N101</f>
        <v>916</v>
      </c>
      <c r="G38" s="17">
        <v>4024</v>
      </c>
      <c r="H38" s="53">
        <f t="shared" si="1"/>
        <v>37.211405086051883</v>
      </c>
      <c r="I38" s="54"/>
      <c r="J38" s="53"/>
      <c r="K38" s="318"/>
      <c r="L38" s="318"/>
      <c r="M38" s="318"/>
      <c r="N38" s="54">
        <f>[3]May!$AD38</f>
        <v>508</v>
      </c>
      <c r="O38" s="54">
        <f>8+9</f>
        <v>17</v>
      </c>
      <c r="P38" s="54"/>
      <c r="Q38" s="318"/>
      <c r="R38" s="54">
        <f>(G38)/(F38/60)</f>
        <v>263.58078602620088</v>
      </c>
      <c r="S38" s="372"/>
    </row>
    <row r="39" spans="2:21" ht="15.6">
      <c r="B39" s="59">
        <v>45799</v>
      </c>
      <c r="C39" s="48">
        <v>15</v>
      </c>
      <c r="D39" s="29" t="s">
        <v>49</v>
      </c>
      <c r="E39" s="47">
        <v>1440</v>
      </c>
      <c r="F39" s="39">
        <f>[3]May!$N102</f>
        <v>321</v>
      </c>
      <c r="G39" s="17">
        <v>2391</v>
      </c>
      <c r="H39" s="53">
        <f t="shared" si="1"/>
        <v>63.094007696536558</v>
      </c>
      <c r="I39" s="54"/>
      <c r="J39" s="53"/>
      <c r="K39" s="53">
        <f>25+104+91.7-60</f>
        <v>160.69999999999999</v>
      </c>
      <c r="L39" s="53">
        <f t="shared" ref="L39:L62" si="6">(G39)*0.066</f>
        <v>157.80600000000001</v>
      </c>
      <c r="M39" s="53">
        <f t="shared" ref="M39:M62" si="7">K39-L39</f>
        <v>2.893999999999977</v>
      </c>
      <c r="N39" s="54">
        <f>[3]May!$AD39</f>
        <v>1184</v>
      </c>
      <c r="O39" s="54">
        <v>18</v>
      </c>
      <c r="P39" s="54"/>
      <c r="Q39" s="50">
        <f t="shared" si="3"/>
        <v>1.800871188550079</v>
      </c>
      <c r="R39" s="54">
        <f t="shared" si="4"/>
        <v>446.9158878504673</v>
      </c>
      <c r="S39" s="372"/>
    </row>
    <row r="40" spans="2:21" ht="15.6">
      <c r="B40" s="59">
        <v>45800</v>
      </c>
      <c r="C40" s="48">
        <v>16</v>
      </c>
      <c r="D40" s="29" t="s">
        <v>49</v>
      </c>
      <c r="E40" s="365">
        <v>1204</v>
      </c>
      <c r="F40" s="39">
        <f>[3]May!$N103</f>
        <v>107</v>
      </c>
      <c r="G40" s="17">
        <v>881</v>
      </c>
      <c r="H40" s="53">
        <f t="shared" si="1"/>
        <v>69.743815283122586</v>
      </c>
      <c r="I40" s="54"/>
      <c r="J40" s="53"/>
      <c r="K40" s="53">
        <v>60</v>
      </c>
      <c r="L40" s="53">
        <f t="shared" si="6"/>
        <v>58.146000000000001</v>
      </c>
      <c r="M40" s="53">
        <f t="shared" si="7"/>
        <v>1.8539999999999992</v>
      </c>
      <c r="N40" s="54">
        <f>[3]May!$AD40</f>
        <v>14</v>
      </c>
      <c r="O40" s="54">
        <v>8</v>
      </c>
      <c r="P40" s="54"/>
      <c r="Q40" s="50">
        <f t="shared" si="3"/>
        <v>3.0899999999999985</v>
      </c>
      <c r="R40" s="54">
        <f t="shared" si="4"/>
        <v>494.01869158878503</v>
      </c>
      <c r="S40" s="372"/>
    </row>
    <row r="41" spans="2:21" ht="15.6">
      <c r="B41" s="59">
        <v>45800</v>
      </c>
      <c r="C41" s="48">
        <v>16</v>
      </c>
      <c r="D41" s="29" t="s">
        <v>47</v>
      </c>
      <c r="E41" s="366"/>
      <c r="F41" s="39">
        <f>[3]May!$N104</f>
        <v>1060</v>
      </c>
      <c r="G41" s="17">
        <v>3943</v>
      </c>
      <c r="H41" s="53">
        <f t="shared" si="1"/>
        <v>31.508990011098774</v>
      </c>
      <c r="I41" s="54"/>
      <c r="J41" s="53"/>
      <c r="K41" s="53">
        <f>SUM(97,97.8,100.6,83.4)-61.3-51.5</f>
        <v>265.99999999999994</v>
      </c>
      <c r="L41" s="53">
        <f t="shared" si="6"/>
        <v>260.238</v>
      </c>
      <c r="M41" s="53">
        <f t="shared" si="7"/>
        <v>5.7619999999999436</v>
      </c>
      <c r="N41" s="54">
        <f>[3]May!$AD41</f>
        <v>589</v>
      </c>
      <c r="O41" s="54">
        <v>58</v>
      </c>
      <c r="P41" s="54"/>
      <c r="Q41" s="50">
        <f t="shared" si="3"/>
        <v>2.1661654135338138</v>
      </c>
      <c r="R41" s="54">
        <f t="shared" si="4"/>
        <v>223.188679245283</v>
      </c>
      <c r="S41" s="373">
        <f>((K42+K41)-(L42+L41))/(K42+K41)*100</f>
        <v>3.5546874999999769</v>
      </c>
      <c r="T41" s="243"/>
    </row>
    <row r="42" spans="2:21" ht="15.6">
      <c r="B42" s="59">
        <v>45803</v>
      </c>
      <c r="C42" s="48">
        <v>17</v>
      </c>
      <c r="D42" s="29" t="s">
        <v>47</v>
      </c>
      <c r="E42" s="365">
        <v>1436</v>
      </c>
      <c r="F42" s="39">
        <f>[3]May!$N105</f>
        <v>827</v>
      </c>
      <c r="G42" s="17">
        <v>4287</v>
      </c>
      <c r="H42" s="53">
        <f>(G42)*24/(F42/60)/17000*100</f>
        <v>43.909808663489578</v>
      </c>
      <c r="I42" s="54"/>
      <c r="J42" s="53"/>
      <c r="K42" s="53">
        <f>SUM(61.3,51.5,81.4,103)</f>
        <v>297.2</v>
      </c>
      <c r="L42" s="53">
        <f>(G42)*0.066</f>
        <v>282.94200000000001</v>
      </c>
      <c r="M42" s="53">
        <f t="shared" si="7"/>
        <v>14.257999999999981</v>
      </c>
      <c r="N42" s="54">
        <f>[3]May!$AD42</f>
        <v>673</v>
      </c>
      <c r="O42" s="54">
        <v>19</v>
      </c>
      <c r="P42" s="54"/>
      <c r="Q42" s="50">
        <f t="shared" ref="Q42:Q43" si="8">(K42-L42)/K42*100</f>
        <v>4.7974427994616358</v>
      </c>
      <c r="R42" s="54">
        <f t="shared" ref="R42:R44" si="9">(G42)/(F42/60)</f>
        <v>311.02781136638453</v>
      </c>
      <c r="S42" s="373"/>
      <c r="T42" s="243"/>
    </row>
    <row r="43" spans="2:21" ht="16.5" customHeight="1">
      <c r="B43" s="59">
        <v>45803</v>
      </c>
      <c r="C43" s="48">
        <v>17</v>
      </c>
      <c r="D43" s="29" t="s">
        <v>54</v>
      </c>
      <c r="E43" s="366"/>
      <c r="F43" s="39">
        <f>[3]May!$N106</f>
        <v>98</v>
      </c>
      <c r="G43" s="17">
        <v>494</v>
      </c>
      <c r="H43" s="53">
        <f t="shared" si="1"/>
        <v>42.698679471788722</v>
      </c>
      <c r="I43" s="54"/>
      <c r="J43" s="53"/>
      <c r="K43" s="53">
        <f>SUM(99.7,93.1)-77.9-82.2</f>
        <v>32.700000000000003</v>
      </c>
      <c r="L43" s="53">
        <f t="shared" si="6"/>
        <v>32.603999999999999</v>
      </c>
      <c r="M43" s="53">
        <f t="shared" si="7"/>
        <v>9.6000000000003638E-2</v>
      </c>
      <c r="N43" s="54">
        <f>[3]May!$AD43</f>
        <v>60</v>
      </c>
      <c r="O43" s="54">
        <f>4+4</f>
        <v>8</v>
      </c>
      <c r="P43" s="54"/>
      <c r="Q43" s="50">
        <f t="shared" si="8"/>
        <v>0.29357798165138727</v>
      </c>
      <c r="R43" s="54">
        <f t="shared" si="9"/>
        <v>302.44897959183675</v>
      </c>
      <c r="S43" s="16"/>
    </row>
    <row r="44" spans="2:21" ht="15.75" customHeight="1">
      <c r="B44" s="59">
        <v>45804</v>
      </c>
      <c r="C44" s="48">
        <v>18</v>
      </c>
      <c r="D44" s="29" t="s">
        <v>49</v>
      </c>
      <c r="E44" s="365">
        <v>1440</v>
      </c>
      <c r="F44" s="39">
        <f>[3]May!$N107</f>
        <v>520</v>
      </c>
      <c r="G44" s="17">
        <v>3425</v>
      </c>
      <c r="H44" s="53">
        <f t="shared" si="1"/>
        <v>55.79185520361991</v>
      </c>
      <c r="I44" s="54"/>
      <c r="J44" s="53"/>
      <c r="K44" s="318">
        <f>101.4+99.1+100+101.3+98.2-95.2-98.2</f>
        <v>306.60000000000002</v>
      </c>
      <c r="L44" s="318">
        <f>(G44+G45)*0.066</f>
        <v>297.858</v>
      </c>
      <c r="M44" s="318">
        <f>K44-L44</f>
        <v>8.7420000000000186</v>
      </c>
      <c r="N44" s="54">
        <f>[3]May!$AD44</f>
        <v>351</v>
      </c>
      <c r="O44" s="54">
        <v>9</v>
      </c>
      <c r="P44" s="54"/>
      <c r="Q44" s="318">
        <f>(K44-L44)/K44*100</f>
        <v>2.8512720156555833</v>
      </c>
      <c r="R44" s="54">
        <f t="shared" si="9"/>
        <v>395.19230769230774</v>
      </c>
      <c r="S44" s="317">
        <f>((K44)-(L44))/(K44)*100</f>
        <v>2.8512720156555833</v>
      </c>
    </row>
    <row r="45" spans="2:21" ht="15.75" customHeight="1">
      <c r="B45" s="59">
        <v>45804</v>
      </c>
      <c r="C45" s="48">
        <v>18</v>
      </c>
      <c r="D45" s="29" t="s">
        <v>99</v>
      </c>
      <c r="E45" s="366"/>
      <c r="F45" s="39">
        <f>[3]May!$N108</f>
        <v>615</v>
      </c>
      <c r="G45" s="17">
        <v>1088</v>
      </c>
      <c r="H45" s="53">
        <f t="shared" si="1"/>
        <v>14.985365853658536</v>
      </c>
      <c r="I45" s="54"/>
      <c r="J45" s="53"/>
      <c r="K45" s="318"/>
      <c r="L45" s="318"/>
      <c r="M45" s="318"/>
      <c r="N45" s="54">
        <f>[3]May!$AD45</f>
        <v>471</v>
      </c>
      <c r="O45" s="54">
        <v>28</v>
      </c>
      <c r="P45" s="54"/>
      <c r="Q45" s="318"/>
      <c r="R45" s="54">
        <f t="shared" si="4"/>
        <v>106.14634146341463</v>
      </c>
      <c r="S45" s="317"/>
    </row>
    <row r="46" spans="2:21" ht="15.75" customHeight="1">
      <c r="B46" s="196">
        <v>45805</v>
      </c>
      <c r="C46" s="197">
        <v>18</v>
      </c>
      <c r="D46" s="198" t="s">
        <v>99</v>
      </c>
      <c r="E46" s="244">
        <v>1440</v>
      </c>
      <c r="F46" s="192">
        <f>[3]May!$N109</f>
        <v>0</v>
      </c>
      <c r="G46" s="188">
        <v>0</v>
      </c>
      <c r="H46" s="187" t="e">
        <f t="shared" si="1"/>
        <v>#DIV/0!</v>
      </c>
      <c r="I46" s="193"/>
      <c r="J46" s="187"/>
      <c r="K46" s="187">
        <v>0</v>
      </c>
      <c r="L46" s="187">
        <f t="shared" si="6"/>
        <v>0</v>
      </c>
      <c r="M46" s="187">
        <f t="shared" si="7"/>
        <v>0</v>
      </c>
      <c r="N46" s="193">
        <f>[3]May!$AD46</f>
        <v>1440</v>
      </c>
      <c r="O46" s="193">
        <v>0</v>
      </c>
      <c r="P46" s="193"/>
      <c r="Q46" s="199" t="e">
        <f t="shared" si="3"/>
        <v>#DIV/0!</v>
      </c>
      <c r="R46" s="193" t="e">
        <f t="shared" si="4"/>
        <v>#DIV/0!</v>
      </c>
      <c r="S46" s="245"/>
    </row>
    <row r="47" spans="2:21" ht="15.75" customHeight="1">
      <c r="B47" s="59">
        <v>45806</v>
      </c>
      <c r="C47" s="48">
        <v>19</v>
      </c>
      <c r="D47" s="29" t="s">
        <v>99</v>
      </c>
      <c r="E47" s="365">
        <v>1440</v>
      </c>
      <c r="F47" s="39">
        <f>[3]May!$N110</f>
        <v>201</v>
      </c>
      <c r="G47" s="17">
        <v>1324</v>
      </c>
      <c r="H47" s="53">
        <f t="shared" si="1"/>
        <v>55.796312554872699</v>
      </c>
      <c r="I47" s="54"/>
      <c r="J47" s="53"/>
      <c r="K47" s="318">
        <f>95.2+98.2-81.8</f>
        <v>111.60000000000001</v>
      </c>
      <c r="L47" s="318">
        <f>(G47+G48)*0.066</f>
        <v>111.078</v>
      </c>
      <c r="M47" s="318">
        <f>K47-L47</f>
        <v>0.52200000000000557</v>
      </c>
      <c r="N47" s="54">
        <f>[3]May!$AD47</f>
        <v>1159</v>
      </c>
      <c r="O47" s="54">
        <v>14</v>
      </c>
      <c r="P47" s="54"/>
      <c r="Q47" s="318">
        <f>(K47-L47)/K47*100</f>
        <v>0.46774193548387594</v>
      </c>
      <c r="R47" s="54">
        <f t="shared" si="4"/>
        <v>395.2238805970149</v>
      </c>
      <c r="S47" s="16"/>
    </row>
    <row r="48" spans="2:21" ht="15.75" customHeight="1">
      <c r="B48" s="59">
        <v>45806</v>
      </c>
      <c r="C48" s="48">
        <v>19</v>
      </c>
      <c r="D48" s="29" t="s">
        <v>49</v>
      </c>
      <c r="E48" s="366"/>
      <c r="F48" s="39">
        <f>[3]May!$N111</f>
        <v>80</v>
      </c>
      <c r="G48" s="17">
        <v>359</v>
      </c>
      <c r="H48" s="53">
        <f t="shared" si="1"/>
        <v>38.011764705882349</v>
      </c>
      <c r="I48" s="54"/>
      <c r="J48" s="53"/>
      <c r="K48" s="318"/>
      <c r="L48" s="318"/>
      <c r="M48" s="318"/>
      <c r="N48" s="54">
        <f>[3]May!$AD48</f>
        <v>52</v>
      </c>
      <c r="O48" s="54"/>
      <c r="P48" s="54"/>
      <c r="Q48" s="318"/>
      <c r="R48" s="54">
        <f t="shared" si="4"/>
        <v>269.25</v>
      </c>
      <c r="S48" s="16"/>
    </row>
    <row r="49" spans="2:19" ht="15.6">
      <c r="B49" s="59">
        <v>45807</v>
      </c>
      <c r="C49" s="48">
        <v>20</v>
      </c>
      <c r="D49" s="29" t="s">
        <v>49</v>
      </c>
      <c r="E49" s="47">
        <v>1216</v>
      </c>
      <c r="F49" s="39">
        <f>[3]May!$N112</f>
        <v>1105</v>
      </c>
      <c r="G49" s="17">
        <v>7994</v>
      </c>
      <c r="H49" s="53">
        <f t="shared" si="1"/>
        <v>61.279531541123234</v>
      </c>
      <c r="I49" s="54">
        <v>5</v>
      </c>
      <c r="J49" s="53"/>
      <c r="K49" s="53">
        <f>SUM(79.2,93.7,100.3,81.8,97.7,94.8)-19</f>
        <v>528.5</v>
      </c>
      <c r="L49" s="53">
        <f t="shared" si="6"/>
        <v>527.60400000000004</v>
      </c>
      <c r="M49" s="53">
        <f t="shared" si="7"/>
        <v>0.89599999999995816</v>
      </c>
      <c r="N49" s="54">
        <f>[3]May!$AD49</f>
        <v>283</v>
      </c>
      <c r="O49" s="54">
        <v>20</v>
      </c>
      <c r="P49" s="54"/>
      <c r="Q49" s="50">
        <f t="shared" si="3"/>
        <v>0.16953642384105169</v>
      </c>
      <c r="R49" s="54">
        <f t="shared" si="4"/>
        <v>434.06334841628956</v>
      </c>
      <c r="S49" s="16"/>
    </row>
    <row r="50" spans="2:19" ht="15.75" customHeight="1" thickBot="1">
      <c r="B50" s="59"/>
      <c r="C50" s="48"/>
      <c r="D50" s="29"/>
      <c r="E50" s="47"/>
      <c r="F50" s="39"/>
      <c r="G50" s="17"/>
      <c r="H50" s="53" t="e">
        <f t="shared" si="1"/>
        <v>#DIV/0!</v>
      </c>
      <c r="I50" s="54"/>
      <c r="J50" s="53"/>
      <c r="K50" s="53"/>
      <c r="L50" s="53">
        <f t="shared" si="6"/>
        <v>0</v>
      </c>
      <c r="M50" s="53">
        <f t="shared" si="7"/>
        <v>0</v>
      </c>
      <c r="N50" s="54">
        <f>[3]May!$AD50</f>
        <v>0</v>
      </c>
      <c r="O50" s="54"/>
      <c r="P50" s="54"/>
      <c r="Q50" s="50" t="e">
        <f t="shared" si="3"/>
        <v>#DIV/0!</v>
      </c>
      <c r="R50" s="54" t="e">
        <f t="shared" si="4"/>
        <v>#DIV/0!</v>
      </c>
      <c r="S50" s="16"/>
    </row>
    <row r="51" spans="2:19" ht="15.75" hidden="1" customHeight="1">
      <c r="B51" s="59"/>
      <c r="C51" s="48"/>
      <c r="D51" s="29"/>
      <c r="E51" s="47"/>
      <c r="F51" s="39"/>
      <c r="G51" s="17"/>
      <c r="H51" s="53" t="e">
        <f t="shared" si="1"/>
        <v>#DIV/0!</v>
      </c>
      <c r="I51" s="54"/>
      <c r="J51" s="53"/>
      <c r="K51" s="53"/>
      <c r="L51" s="53">
        <f t="shared" si="6"/>
        <v>0</v>
      </c>
      <c r="M51" s="53">
        <f t="shared" si="7"/>
        <v>0</v>
      </c>
      <c r="N51" s="54">
        <f>[3]May!$AD51</f>
        <v>0</v>
      </c>
      <c r="O51" s="54"/>
      <c r="P51" s="54"/>
      <c r="Q51" s="50" t="e">
        <f t="shared" si="3"/>
        <v>#DIV/0!</v>
      </c>
      <c r="R51" s="54" t="e">
        <f t="shared" si="4"/>
        <v>#DIV/0!</v>
      </c>
      <c r="S51" s="16"/>
    </row>
    <row r="52" spans="2:19" ht="15.75" hidden="1" customHeight="1">
      <c r="B52" s="59"/>
      <c r="C52" s="48"/>
      <c r="D52" s="29"/>
      <c r="E52" s="47"/>
      <c r="F52" s="39"/>
      <c r="G52" s="17"/>
      <c r="H52" s="53" t="e">
        <f t="shared" si="1"/>
        <v>#DIV/0!</v>
      </c>
      <c r="I52" s="54"/>
      <c r="J52" s="53"/>
      <c r="K52" s="32"/>
      <c r="L52" s="53">
        <f t="shared" si="6"/>
        <v>0</v>
      </c>
      <c r="M52" s="53">
        <f t="shared" si="7"/>
        <v>0</v>
      </c>
      <c r="N52" s="54"/>
      <c r="O52" s="54"/>
      <c r="P52" s="54"/>
      <c r="Q52" s="50" t="e">
        <f t="shared" si="3"/>
        <v>#DIV/0!</v>
      </c>
      <c r="R52" s="54" t="e">
        <f t="shared" si="4"/>
        <v>#DIV/0!</v>
      </c>
      <c r="S52" s="16"/>
    </row>
    <row r="53" spans="2:19" ht="15.75" hidden="1" customHeight="1">
      <c r="B53" s="59"/>
      <c r="C53" s="48"/>
      <c r="D53" s="29"/>
      <c r="E53" s="47"/>
      <c r="F53" s="39"/>
      <c r="G53" s="17"/>
      <c r="H53" s="53" t="e">
        <f t="shared" si="1"/>
        <v>#DIV/0!</v>
      </c>
      <c r="I53" s="54"/>
      <c r="J53" s="53"/>
      <c r="K53" s="32"/>
      <c r="L53" s="53">
        <f t="shared" si="6"/>
        <v>0</v>
      </c>
      <c r="M53" s="53">
        <f t="shared" si="7"/>
        <v>0</v>
      </c>
      <c r="N53" s="54"/>
      <c r="O53" s="54"/>
      <c r="P53" s="54"/>
      <c r="Q53" s="50" t="e">
        <f t="shared" si="3"/>
        <v>#DIV/0!</v>
      </c>
      <c r="R53" s="54" t="e">
        <f t="shared" si="4"/>
        <v>#DIV/0!</v>
      </c>
      <c r="S53" s="16"/>
    </row>
    <row r="54" spans="2:19" ht="15.75" hidden="1" customHeight="1">
      <c r="B54" s="59"/>
      <c r="C54" s="48"/>
      <c r="D54" s="29"/>
      <c r="E54" s="47"/>
      <c r="F54" s="39"/>
      <c r="G54" s="17"/>
      <c r="H54" s="53" t="e">
        <f t="shared" si="1"/>
        <v>#DIV/0!</v>
      </c>
      <c r="I54" s="54"/>
      <c r="J54" s="53"/>
      <c r="K54" s="53"/>
      <c r="L54" s="53">
        <f t="shared" si="6"/>
        <v>0</v>
      </c>
      <c r="M54" s="53">
        <f t="shared" si="7"/>
        <v>0</v>
      </c>
      <c r="N54" s="54"/>
      <c r="O54" s="54"/>
      <c r="P54" s="54"/>
      <c r="Q54" s="50" t="e">
        <f t="shared" si="3"/>
        <v>#DIV/0!</v>
      </c>
      <c r="R54" s="54" t="e">
        <f t="shared" si="4"/>
        <v>#DIV/0!</v>
      </c>
      <c r="S54" s="16"/>
    </row>
    <row r="55" spans="2:19" ht="15.75" hidden="1" customHeight="1">
      <c r="B55" s="59"/>
      <c r="C55" s="48"/>
      <c r="D55" s="29"/>
      <c r="E55" s="47"/>
      <c r="F55" s="39"/>
      <c r="G55" s="17"/>
      <c r="H55" s="53" t="e">
        <f t="shared" si="1"/>
        <v>#DIV/0!</v>
      </c>
      <c r="I55" s="54"/>
      <c r="J55" s="53"/>
      <c r="K55" s="53"/>
      <c r="L55" s="53">
        <f t="shared" si="6"/>
        <v>0</v>
      </c>
      <c r="M55" s="53">
        <f t="shared" si="7"/>
        <v>0</v>
      </c>
      <c r="N55" s="54"/>
      <c r="O55" s="54"/>
      <c r="P55" s="54"/>
      <c r="Q55" s="50" t="e">
        <f t="shared" si="3"/>
        <v>#DIV/0!</v>
      </c>
      <c r="R55" s="54" t="e">
        <f t="shared" si="4"/>
        <v>#DIV/0!</v>
      </c>
      <c r="S55" s="16"/>
    </row>
    <row r="56" spans="2:19" ht="15.75" hidden="1" customHeight="1">
      <c r="B56" s="59"/>
      <c r="C56" s="48"/>
      <c r="D56" s="29"/>
      <c r="E56" s="47"/>
      <c r="F56" s="39"/>
      <c r="G56" s="17"/>
      <c r="H56" s="53" t="e">
        <f t="shared" si="1"/>
        <v>#DIV/0!</v>
      </c>
      <c r="I56" s="54"/>
      <c r="J56" s="53"/>
      <c r="K56" s="53"/>
      <c r="L56" s="53">
        <f t="shared" si="6"/>
        <v>0</v>
      </c>
      <c r="M56" s="53">
        <f t="shared" si="7"/>
        <v>0</v>
      </c>
      <c r="N56" s="54"/>
      <c r="O56" s="54"/>
      <c r="P56" s="54"/>
      <c r="Q56" s="50" t="e">
        <f t="shared" si="3"/>
        <v>#DIV/0!</v>
      </c>
      <c r="R56" s="54" t="e">
        <f t="shared" si="4"/>
        <v>#DIV/0!</v>
      </c>
      <c r="S56" s="16"/>
    </row>
    <row r="57" spans="2:19" ht="15.75" hidden="1" customHeight="1">
      <c r="B57" s="59"/>
      <c r="C57" s="48"/>
      <c r="D57" s="29"/>
      <c r="E57" s="47"/>
      <c r="F57" s="39"/>
      <c r="G57" s="17"/>
      <c r="H57" s="53" t="e">
        <f t="shared" si="1"/>
        <v>#DIV/0!</v>
      </c>
      <c r="I57" s="54"/>
      <c r="J57" s="53"/>
      <c r="K57" s="53"/>
      <c r="L57" s="53">
        <f t="shared" si="6"/>
        <v>0</v>
      </c>
      <c r="M57" s="53">
        <f t="shared" si="7"/>
        <v>0</v>
      </c>
      <c r="N57" s="54"/>
      <c r="O57" s="54"/>
      <c r="P57" s="54"/>
      <c r="Q57" s="50" t="e">
        <f t="shared" si="3"/>
        <v>#DIV/0!</v>
      </c>
      <c r="R57" s="54" t="e">
        <f t="shared" si="4"/>
        <v>#DIV/0!</v>
      </c>
      <c r="S57" s="16"/>
    </row>
    <row r="58" spans="2:19" ht="15.75" hidden="1" customHeight="1">
      <c r="B58" s="59"/>
      <c r="C58" s="48"/>
      <c r="D58" s="29"/>
      <c r="E58" s="47"/>
      <c r="F58" s="39"/>
      <c r="G58" s="17"/>
      <c r="H58" s="53" t="e">
        <f t="shared" si="1"/>
        <v>#DIV/0!</v>
      </c>
      <c r="I58" s="54"/>
      <c r="J58" s="53"/>
      <c r="K58" s="53"/>
      <c r="L58" s="53">
        <f t="shared" si="6"/>
        <v>0</v>
      </c>
      <c r="M58" s="53">
        <f t="shared" si="7"/>
        <v>0</v>
      </c>
      <c r="N58" s="54"/>
      <c r="O58" s="54"/>
      <c r="P58" s="54"/>
      <c r="Q58" s="50" t="e">
        <f t="shared" si="3"/>
        <v>#DIV/0!</v>
      </c>
      <c r="R58" s="54" t="e">
        <f t="shared" si="4"/>
        <v>#DIV/0!</v>
      </c>
      <c r="S58" s="16"/>
    </row>
    <row r="59" spans="2:19" ht="15.75" hidden="1" customHeight="1">
      <c r="B59" s="59"/>
      <c r="C59" s="48"/>
      <c r="D59" s="29"/>
      <c r="E59" s="47"/>
      <c r="F59" s="39"/>
      <c r="G59" s="17"/>
      <c r="H59" s="53" t="e">
        <f t="shared" si="1"/>
        <v>#DIV/0!</v>
      </c>
      <c r="I59" s="54"/>
      <c r="J59" s="53"/>
      <c r="K59" s="53"/>
      <c r="L59" s="53">
        <f t="shared" si="6"/>
        <v>0</v>
      </c>
      <c r="M59" s="53">
        <f t="shared" si="7"/>
        <v>0</v>
      </c>
      <c r="N59" s="54"/>
      <c r="O59" s="54"/>
      <c r="P59" s="54"/>
      <c r="Q59" s="50" t="e">
        <f t="shared" si="3"/>
        <v>#DIV/0!</v>
      </c>
      <c r="R59" s="54" t="e">
        <f t="shared" si="4"/>
        <v>#DIV/0!</v>
      </c>
      <c r="S59" s="16"/>
    </row>
    <row r="60" spans="2:19" ht="15.6" hidden="1">
      <c r="B60" s="59"/>
      <c r="C60" s="48"/>
      <c r="D60" s="29"/>
      <c r="E60" s="47"/>
      <c r="F60" s="39"/>
      <c r="G60" s="17"/>
      <c r="H60" s="53" t="e">
        <f t="shared" si="1"/>
        <v>#DIV/0!</v>
      </c>
      <c r="I60" s="54"/>
      <c r="J60" s="53"/>
      <c r="K60" s="32"/>
      <c r="L60" s="53">
        <f t="shared" si="6"/>
        <v>0</v>
      </c>
      <c r="M60" s="53">
        <f t="shared" si="7"/>
        <v>0</v>
      </c>
      <c r="N60" s="54"/>
      <c r="O60" s="54"/>
      <c r="P60" s="54"/>
      <c r="Q60" s="50" t="e">
        <f t="shared" si="3"/>
        <v>#DIV/0!</v>
      </c>
      <c r="R60" s="54" t="e">
        <f t="shared" si="4"/>
        <v>#DIV/0!</v>
      </c>
      <c r="S60" s="16"/>
    </row>
    <row r="61" spans="2:19" ht="15.6" hidden="1">
      <c r="B61" s="154"/>
      <c r="C61" s="48"/>
      <c r="D61" s="29"/>
      <c r="E61" s="47"/>
      <c r="F61" s="39"/>
      <c r="G61" s="17"/>
      <c r="H61" s="53" t="e">
        <f t="shared" si="1"/>
        <v>#DIV/0!</v>
      </c>
      <c r="I61" s="54"/>
      <c r="J61" s="53"/>
      <c r="K61" s="32"/>
      <c r="L61" s="53">
        <f t="shared" si="6"/>
        <v>0</v>
      </c>
      <c r="M61" s="53">
        <f t="shared" si="7"/>
        <v>0</v>
      </c>
      <c r="N61" s="54"/>
      <c r="O61" s="54"/>
      <c r="P61" s="54"/>
      <c r="Q61" s="50" t="e">
        <f t="shared" si="3"/>
        <v>#DIV/0!</v>
      </c>
      <c r="R61" s="54" t="e">
        <f t="shared" si="4"/>
        <v>#DIV/0!</v>
      </c>
      <c r="S61" s="16"/>
    </row>
    <row r="62" spans="2:19" ht="16.2" hidden="1" thickBot="1">
      <c r="B62" s="155"/>
      <c r="C62" s="156"/>
      <c r="D62" s="29"/>
      <c r="E62" s="47"/>
      <c r="F62" s="153"/>
      <c r="G62" s="17"/>
      <c r="H62" s="53"/>
      <c r="I62" s="54"/>
      <c r="J62" s="53"/>
      <c r="K62" s="53"/>
      <c r="L62" s="53">
        <f t="shared" si="6"/>
        <v>0</v>
      </c>
      <c r="M62" s="53">
        <f t="shared" si="7"/>
        <v>0</v>
      </c>
      <c r="N62" s="54"/>
      <c r="O62" s="54"/>
      <c r="P62" s="54"/>
      <c r="Q62" s="50"/>
      <c r="R62" s="54"/>
      <c r="S62" s="16"/>
    </row>
    <row r="63" spans="2:19" ht="16.8" thickTop="1" thickBot="1">
      <c r="B63" s="12"/>
      <c r="C63" s="12"/>
      <c r="D63" s="30"/>
      <c r="E63" s="22">
        <f>SUM(E8:E61)</f>
        <v>28570</v>
      </c>
      <c r="F63" s="52">
        <f>SUM(F8:F61)</f>
        <v>17749</v>
      </c>
      <c r="G63" s="15">
        <f>SUM(G8:G61)</f>
        <v>93920</v>
      </c>
      <c r="H63" s="65">
        <f>(G63)*24/(F63/60)/17000*100</f>
        <v>44.822674351164771</v>
      </c>
      <c r="I63" s="14">
        <f>SUM(I8:I35)</f>
        <v>326</v>
      </c>
      <c r="J63" s="13"/>
      <c r="K63" s="13">
        <f>SUM(K8:K61)</f>
        <v>6386.2000000000016</v>
      </c>
      <c r="L63" s="13">
        <f>SUM(L8:L61)</f>
        <v>6222.1344000000008</v>
      </c>
      <c r="M63" s="51">
        <f>K63-L63</f>
        <v>164.06560000000081</v>
      </c>
      <c r="N63" s="14">
        <f>SUM(N8:N61)</f>
        <v>16637</v>
      </c>
      <c r="O63" s="36">
        <f>SUM(O8:O61)</f>
        <v>682</v>
      </c>
      <c r="P63" s="14">
        <f>SUM(P8:P61)</f>
        <v>75</v>
      </c>
      <c r="Q63" s="241">
        <f>(K63-L63)/K63</f>
        <v>2.569064545426087E-2</v>
      </c>
      <c r="R63" s="396">
        <f>G63/(E63/60)</f>
        <v>197.24186209310466</v>
      </c>
      <c r="S63" s="400">
        <f>(January_2025!G65+February_2025!G63+March_2025!G62+'April_2025 '!G54+G63)/((January_2025!F65+February_2025!E63+March_2025!E62+'April_2025 '!E54+E63)/60)</f>
        <v>274.4125572045678</v>
      </c>
    </row>
    <row r="64" spans="2:19" ht="16.8" thickTop="1" thickBot="1">
      <c r="G64" s="1"/>
      <c r="H64" s="1"/>
      <c r="M64" s="18"/>
      <c r="N64" s="18"/>
      <c r="O64" s="40" t="s">
        <v>23</v>
      </c>
      <c r="P64" s="18"/>
      <c r="R64" s="5"/>
    </row>
    <row r="65" spans="7:19" ht="21" thickTop="1" thickBot="1">
      <c r="G65" s="1"/>
      <c r="H65" s="1"/>
      <c r="L65" s="45" t="s">
        <v>36</v>
      </c>
      <c r="M65" s="15">
        <f>G63+P65</f>
        <v>94126.25</v>
      </c>
      <c r="N65" s="18"/>
      <c r="O65" s="40" t="s">
        <v>31</v>
      </c>
      <c r="P65" s="67">
        <f>P63*2.75</f>
        <v>206.25</v>
      </c>
      <c r="Q65" s="398" t="s">
        <v>146</v>
      </c>
      <c r="R65" s="397">
        <v>317.49394332075047</v>
      </c>
      <c r="S65" s="399">
        <v>360.86932067448851</v>
      </c>
    </row>
    <row r="66" spans="7:19" ht="16.2" thickTop="1">
      <c r="G66" s="1"/>
      <c r="H66" s="69"/>
      <c r="M66" s="18"/>
      <c r="N66" s="18"/>
      <c r="O66" s="18"/>
      <c r="P66" s="18"/>
      <c r="R66" s="5"/>
    </row>
    <row r="67" spans="7:19" ht="15.6">
      <c r="G67" s="1"/>
      <c r="H67" s="1"/>
      <c r="M67" s="18"/>
      <c r="N67" s="18"/>
      <c r="O67" s="18" t="s">
        <v>30</v>
      </c>
      <c r="P67" s="18"/>
      <c r="R67" s="5"/>
    </row>
    <row r="68" spans="7:19" ht="15.6">
      <c r="G68" s="1"/>
      <c r="H68" s="1"/>
      <c r="M68" s="18"/>
      <c r="N68" s="18"/>
      <c r="O68" s="18" t="s">
        <v>27</v>
      </c>
      <c r="P68" s="18"/>
      <c r="R68" s="5"/>
    </row>
    <row r="69" spans="7:19" ht="15.6">
      <c r="G69" s="1"/>
      <c r="H69" s="1"/>
      <c r="M69" s="18"/>
      <c r="N69" s="18"/>
      <c r="O69" s="18"/>
      <c r="P69" s="18"/>
      <c r="R69" s="5"/>
    </row>
    <row r="70" spans="7:19" ht="15.6">
      <c r="G70" s="1"/>
      <c r="H70" s="1"/>
      <c r="M70" s="18"/>
      <c r="N70" s="18"/>
      <c r="O70" s="18"/>
      <c r="P70" s="18"/>
      <c r="R70" s="5"/>
    </row>
    <row r="71" spans="7:19" ht="15.6">
      <c r="G71" s="1"/>
      <c r="H71" s="1"/>
      <c r="M71" s="18"/>
      <c r="N71" s="18"/>
      <c r="O71" s="18"/>
      <c r="P71" s="18"/>
      <c r="R71" s="5"/>
    </row>
    <row r="72" spans="7:19" ht="15.6">
      <c r="G72" s="1"/>
      <c r="H72" s="1"/>
      <c r="M72" s="18"/>
      <c r="N72" s="18"/>
      <c r="O72" s="18"/>
      <c r="P72" s="18"/>
      <c r="R72" s="5"/>
    </row>
    <row r="73" spans="7:19" ht="15.6">
      <c r="G73" s="1"/>
      <c r="H73" s="1"/>
      <c r="M73" s="18"/>
      <c r="N73" s="18"/>
      <c r="O73" s="18"/>
      <c r="P73" s="18"/>
      <c r="R73" s="5"/>
    </row>
    <row r="74" spans="7:19" ht="15.6">
      <c r="G74" s="1"/>
      <c r="H74" s="1"/>
      <c r="M74" s="18"/>
      <c r="N74" s="18"/>
      <c r="O74" s="18"/>
      <c r="P74" s="18"/>
      <c r="R74" s="5"/>
    </row>
    <row r="75" spans="7:19" ht="15.6">
      <c r="G75" s="1"/>
      <c r="H75" s="1"/>
      <c r="M75" s="18"/>
      <c r="N75" s="18"/>
      <c r="O75" s="18"/>
      <c r="P75" s="18"/>
      <c r="R75" s="5"/>
    </row>
    <row r="76" spans="7:19" ht="15.6">
      <c r="G76" s="1"/>
      <c r="H76" s="1"/>
      <c r="M76" s="18"/>
      <c r="N76" s="18"/>
      <c r="O76" s="18"/>
      <c r="P76" s="18"/>
      <c r="R76" s="5"/>
    </row>
    <row r="77" spans="7:19" ht="15.6">
      <c r="G77" s="1"/>
      <c r="H77" s="1"/>
      <c r="M77" s="18"/>
      <c r="N77" s="18"/>
      <c r="O77" s="18"/>
      <c r="P77" s="18"/>
      <c r="R77" s="5"/>
    </row>
    <row r="78" spans="7:19" ht="15.6">
      <c r="G78" s="1"/>
      <c r="H78" s="1"/>
      <c r="M78" s="18"/>
      <c r="N78" s="18"/>
      <c r="O78" s="18"/>
      <c r="P78" s="18"/>
      <c r="R78" s="5"/>
    </row>
    <row r="79" spans="7:19">
      <c r="G79" s="1"/>
      <c r="H79" s="1"/>
      <c r="R79" s="5"/>
    </row>
    <row r="80" spans="7:19">
      <c r="G80" s="1"/>
      <c r="H80" s="1"/>
      <c r="R80" s="5"/>
    </row>
    <row r="81" spans="7:18">
      <c r="G81" s="1"/>
      <c r="H81" s="1"/>
      <c r="R81" s="5"/>
    </row>
    <row r="82" spans="7:18">
      <c r="G82" s="1"/>
      <c r="H82" s="1"/>
      <c r="R82" s="5"/>
    </row>
    <row r="83" spans="7:18">
      <c r="G83" s="1"/>
      <c r="H83" s="1"/>
      <c r="R83" s="5"/>
    </row>
    <row r="84" spans="7:18">
      <c r="G84" s="1"/>
      <c r="H84" s="1"/>
      <c r="R84" s="5"/>
    </row>
    <row r="85" spans="7:18">
      <c r="G85" s="1"/>
      <c r="H85" s="1"/>
      <c r="R85" s="5"/>
    </row>
    <row r="86" spans="7:18">
      <c r="G86" s="1"/>
      <c r="H86" s="1"/>
      <c r="R86" s="5"/>
    </row>
    <row r="87" spans="7:18">
      <c r="G87" s="1"/>
      <c r="H87" s="1"/>
      <c r="R87" s="5"/>
    </row>
    <row r="88" spans="7:18">
      <c r="G88" s="1"/>
      <c r="H88" s="1"/>
      <c r="R88" s="5"/>
    </row>
    <row r="89" spans="7:18">
      <c r="G89" s="1"/>
      <c r="H89" s="1"/>
      <c r="R89" s="5"/>
    </row>
    <row r="90" spans="7:18">
      <c r="G90" s="1"/>
      <c r="H90" s="1"/>
      <c r="R90" s="5"/>
    </row>
    <row r="91" spans="7:18">
      <c r="G91" s="1"/>
      <c r="H91" s="1"/>
      <c r="R91" s="5"/>
    </row>
    <row r="92" spans="7:18">
      <c r="G92" s="1"/>
      <c r="H92" s="1"/>
      <c r="R92" s="5"/>
    </row>
    <row r="93" spans="7:18">
      <c r="G93" s="1"/>
      <c r="H93" s="1"/>
      <c r="R93" s="5"/>
    </row>
    <row r="94" spans="7:18">
      <c r="G94" s="1"/>
      <c r="H94" s="1"/>
      <c r="R94" s="5"/>
    </row>
    <row r="95" spans="7:18">
      <c r="G95" s="1"/>
      <c r="H95" s="1"/>
      <c r="R95" s="5"/>
    </row>
    <row r="96" spans="7:18">
      <c r="G96" s="1"/>
      <c r="H96" s="1"/>
      <c r="R96" s="5"/>
    </row>
    <row r="97" spans="7:18">
      <c r="G97" s="1"/>
      <c r="H97" s="1"/>
      <c r="R97" s="5"/>
    </row>
    <row r="98" spans="7:18">
      <c r="G98" s="1"/>
      <c r="H98" s="1"/>
      <c r="R98" s="5"/>
    </row>
    <row r="99" spans="7:18">
      <c r="G99" s="1"/>
      <c r="H99" s="1"/>
      <c r="R99" s="5"/>
    </row>
    <row r="100" spans="7:18">
      <c r="G100" s="1"/>
      <c r="H100" s="1"/>
      <c r="R100" s="5"/>
    </row>
    <row r="101" spans="7:18">
      <c r="G101" s="1"/>
      <c r="H101" s="1"/>
      <c r="R101" s="5"/>
    </row>
    <row r="102" spans="7:18">
      <c r="G102" s="1"/>
      <c r="H102" s="1"/>
      <c r="R102" s="5"/>
    </row>
    <row r="103" spans="7:18">
      <c r="G103" s="1"/>
      <c r="H103" s="1"/>
      <c r="R103" s="5"/>
    </row>
    <row r="104" spans="7:18">
      <c r="G104" s="1"/>
      <c r="H104" s="1"/>
      <c r="R104" s="5"/>
    </row>
    <row r="105" spans="7:18">
      <c r="G105" s="1"/>
      <c r="H105" s="1"/>
      <c r="R105" s="5"/>
    </row>
    <row r="106" spans="7:18">
      <c r="G106" s="1"/>
      <c r="H106" s="1"/>
      <c r="R106" s="5"/>
    </row>
    <row r="107" spans="7:18">
      <c r="G107" s="1"/>
      <c r="H107" s="1"/>
      <c r="R107" s="5"/>
    </row>
    <row r="108" spans="7:18">
      <c r="G108" s="1"/>
      <c r="H108" s="1"/>
      <c r="R108" s="5"/>
    </row>
    <row r="109" spans="7:18">
      <c r="G109" s="1"/>
      <c r="H109" s="1"/>
      <c r="R109" s="5"/>
    </row>
    <row r="110" spans="7:18">
      <c r="G110" s="1"/>
      <c r="H110" s="1"/>
      <c r="R110" s="5"/>
    </row>
    <row r="111" spans="7:18">
      <c r="G111" s="1"/>
      <c r="H111" s="1"/>
      <c r="R111" s="5"/>
    </row>
    <row r="112" spans="7:18">
      <c r="G112" s="1"/>
      <c r="H112" s="1"/>
      <c r="R112" s="5"/>
    </row>
    <row r="113" spans="7:18">
      <c r="G113" s="1"/>
      <c r="H113" s="1"/>
      <c r="R113" s="5"/>
    </row>
    <row r="114" spans="7:18">
      <c r="G114" s="1"/>
      <c r="H114" s="1"/>
      <c r="R114" s="5"/>
    </row>
    <row r="115" spans="7:18">
      <c r="G115" s="1"/>
      <c r="H115" s="1"/>
      <c r="R115" s="5"/>
    </row>
    <row r="116" spans="7:18">
      <c r="G116" s="1"/>
      <c r="H116" s="1"/>
      <c r="R116" s="5"/>
    </row>
    <row r="117" spans="7:18">
      <c r="G117" s="1"/>
      <c r="H117" s="1"/>
      <c r="R117" s="5"/>
    </row>
    <row r="118" spans="7:18">
      <c r="G118" s="1"/>
      <c r="H118" s="1"/>
      <c r="R118" s="5"/>
    </row>
    <row r="119" spans="7:18">
      <c r="G119" s="1"/>
      <c r="H119" s="1"/>
      <c r="R119" s="5"/>
    </row>
    <row r="120" spans="7:18">
      <c r="G120" s="1"/>
      <c r="H120" s="1"/>
      <c r="R120" s="5"/>
    </row>
    <row r="121" spans="7:18">
      <c r="G121" s="1"/>
      <c r="H121" s="1"/>
      <c r="R121" s="5"/>
    </row>
    <row r="122" spans="7:18">
      <c r="G122" s="1"/>
      <c r="H122" s="1"/>
      <c r="R122" s="5"/>
    </row>
    <row r="123" spans="7:18">
      <c r="G123" s="1"/>
      <c r="H123" s="1"/>
      <c r="R123" s="5"/>
    </row>
    <row r="124" spans="7:18">
      <c r="G124" s="1"/>
      <c r="H124" s="1"/>
      <c r="R124" s="5"/>
    </row>
    <row r="125" spans="7:18">
      <c r="G125" s="1"/>
      <c r="H125" s="1"/>
      <c r="R125" s="5"/>
    </row>
    <row r="126" spans="7:18">
      <c r="G126" s="1"/>
      <c r="H126" s="1"/>
      <c r="R126" s="5"/>
    </row>
  </sheetData>
  <autoFilter ref="B5:R65" xr:uid="{00000000-0001-0000-0400-000000000000}"/>
  <mergeCells count="69">
    <mergeCell ref="S44:S45"/>
    <mergeCell ref="E44:E45"/>
    <mergeCell ref="K44:K45"/>
    <mergeCell ref="L44:L45"/>
    <mergeCell ref="M44:M45"/>
    <mergeCell ref="Q44:Q45"/>
    <mergeCell ref="M37:M38"/>
    <mergeCell ref="S33:S34"/>
    <mergeCell ref="E34:E36"/>
    <mergeCell ref="K35:K36"/>
    <mergeCell ref="L35:L36"/>
    <mergeCell ref="M35:M36"/>
    <mergeCell ref="Q35:Q36"/>
    <mergeCell ref="S35:S40"/>
    <mergeCell ref="Q37:Q38"/>
    <mergeCell ref="E40:E41"/>
    <mergeCell ref="S41:S42"/>
    <mergeCell ref="E42:E43"/>
    <mergeCell ref="E37:E38"/>
    <mergeCell ref="L37:L38"/>
    <mergeCell ref="K37:K38"/>
    <mergeCell ref="S27:S31"/>
    <mergeCell ref="E30:E32"/>
    <mergeCell ref="H11:H12"/>
    <mergeCell ref="H13:H14"/>
    <mergeCell ref="K13:K14"/>
    <mergeCell ref="M11:M12"/>
    <mergeCell ref="E22:E23"/>
    <mergeCell ref="E26:E27"/>
    <mergeCell ref="O11:O12"/>
    <mergeCell ref="O13:O14"/>
    <mergeCell ref="S25:S26"/>
    <mergeCell ref="E24:E25"/>
    <mergeCell ref="E20:E21"/>
    <mergeCell ref="S19:S20"/>
    <mergeCell ref="S21:S22"/>
    <mergeCell ref="K11:K12"/>
    <mergeCell ref="S6:S7"/>
    <mergeCell ref="E18:E19"/>
    <mergeCell ref="E15:E17"/>
    <mergeCell ref="Q11:Q12"/>
    <mergeCell ref="R11:R12"/>
    <mergeCell ref="R13:R14"/>
    <mergeCell ref="Q13:Q14"/>
    <mergeCell ref="L13:L14"/>
    <mergeCell ref="L11:L12"/>
    <mergeCell ref="E11:E14"/>
    <mergeCell ref="F11:F12"/>
    <mergeCell ref="F13:F14"/>
    <mergeCell ref="Q9:Q10"/>
    <mergeCell ref="M13:M14"/>
    <mergeCell ref="N13:N14"/>
    <mergeCell ref="E8:E10"/>
    <mergeCell ref="O9:O10"/>
    <mergeCell ref="B1:R1"/>
    <mergeCell ref="B3:R3"/>
    <mergeCell ref="B4:R4"/>
    <mergeCell ref="I5:I7"/>
    <mergeCell ref="M5:M7"/>
    <mergeCell ref="N5:N7"/>
    <mergeCell ref="O5:O7"/>
    <mergeCell ref="P5:P7"/>
    <mergeCell ref="K9:K10"/>
    <mergeCell ref="L9:L10"/>
    <mergeCell ref="E47:E48"/>
    <mergeCell ref="K47:K48"/>
    <mergeCell ref="L47:L48"/>
    <mergeCell ref="M47:M48"/>
    <mergeCell ref="Q47:Q48"/>
  </mergeCells>
  <conditionalFormatting sqref="I8 I35:I62">
    <cfRule type="cellIs" dxfId="85" priority="20" stopIfTrue="1" operator="lessThan">
      <formula>50</formula>
    </cfRule>
  </conditionalFormatting>
  <conditionalFormatting sqref="Q8:Q35 Q37 Q39:Q44 Q46:Q47 Q49:Q63">
    <cfRule type="cellIs" dxfId="84" priority="7" operator="greaterThan">
      <formula>1.8</formula>
    </cfRule>
  </conditionalFormatting>
  <conditionalFormatting sqref="S19 S21">
    <cfRule type="cellIs" dxfId="83" priority="6" operator="greaterThan">
      <formula>1.8</formula>
    </cfRule>
  </conditionalFormatting>
  <conditionalFormatting sqref="S25">
    <cfRule type="cellIs" dxfId="82" priority="5" operator="greaterThan">
      <formula>1.8</formula>
    </cfRule>
  </conditionalFormatting>
  <conditionalFormatting sqref="S27">
    <cfRule type="cellIs" dxfId="81" priority="4" operator="greaterThan">
      <formula>1.8</formula>
    </cfRule>
  </conditionalFormatting>
  <conditionalFormatting sqref="S33 S35">
    <cfRule type="cellIs" dxfId="80" priority="3" operator="greaterThan">
      <formula>1.8</formula>
    </cfRule>
  </conditionalFormatting>
  <conditionalFormatting sqref="S41">
    <cfRule type="cellIs" dxfId="79" priority="2" operator="greaterThan">
      <formula>1.8</formula>
    </cfRule>
  </conditionalFormatting>
  <conditionalFormatting sqref="S44">
    <cfRule type="cellIs" dxfId="78" priority="1" operator="greaterThan">
      <formula>1.8</formula>
    </cfRule>
  </conditionalFormatting>
  <pageMargins left="0.25" right="0.25" top="0.75" bottom="0.75" header="0.3" footer="0.3"/>
  <pageSetup paperSize="5" scale="45" orientation="portrait" horizontalDpi="4294967295" verticalDpi="4294967295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AE01-2ED9-4C55-AF02-3179AF7BDDD0}">
  <sheetPr codeName="Sheet6">
    <tabColor indexed="11"/>
    <pageSetUpPr fitToPage="1"/>
  </sheetPr>
  <dimension ref="B1:T120"/>
  <sheetViews>
    <sheetView topLeftCell="A4" zoomScale="85" zoomScaleNormal="85" zoomScaleSheetLayoutView="80" workbookViewId="0">
      <pane xSplit="2" ySplit="4" topLeftCell="C46" activePane="bottomRight" state="frozen"/>
      <selection activeCell="A4" sqref="A4"/>
      <selection pane="topRight" activeCell="B4" sqref="B4"/>
      <selection pane="bottomLeft" activeCell="A8" sqref="A8"/>
      <selection pane="bottomRight" activeCell="R57" sqref="R57"/>
    </sheetView>
  </sheetViews>
  <sheetFormatPr defaultRowHeight="13.2"/>
  <cols>
    <col min="1" max="1" width="2.44140625" customWidth="1"/>
    <col min="2" max="2" width="9.109375" style="1" customWidth="1"/>
    <col min="3" max="3" width="6" style="1" customWidth="1"/>
    <col min="4" max="4" width="41.88671875" style="31" customWidth="1"/>
    <col min="5" max="5" width="8.88671875" style="1" customWidth="1"/>
    <col min="6" max="6" width="7.5546875" style="23" customWidth="1"/>
    <col min="7" max="8" width="13.5546875" customWidth="1"/>
    <col min="9" max="9" width="16.44140625" style="7" bestFit="1" customWidth="1"/>
    <col min="10" max="10" width="11" style="7" customWidth="1"/>
    <col min="11" max="11" width="13.109375" style="7" customWidth="1"/>
    <col min="12" max="12" width="14" style="7" customWidth="1"/>
    <col min="13" max="13" width="16.88671875" style="7" customWidth="1"/>
    <col min="14" max="14" width="16.5546875" style="7" customWidth="1"/>
    <col min="15" max="15" width="9.44140625" style="7" customWidth="1"/>
    <col min="16" max="16" width="16.44140625" style="25" customWidth="1"/>
    <col min="17" max="17" width="12.109375" style="6" customWidth="1"/>
    <col min="18" max="18" width="11" customWidth="1"/>
    <col min="21" max="21" width="20.88671875" customWidth="1"/>
    <col min="22" max="22" width="13.5546875" customWidth="1"/>
    <col min="23" max="23" width="15.88671875" customWidth="1"/>
    <col min="24" max="24" width="10.5546875" customWidth="1"/>
  </cols>
  <sheetData>
    <row r="1" spans="2:20" ht="25.8">
      <c r="B1" s="324" t="s">
        <v>0</v>
      </c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</row>
    <row r="3" spans="2:20" ht="23.4">
      <c r="B3" s="325" t="s">
        <v>1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</row>
    <row r="4" spans="2:20" ht="21" thickBot="1">
      <c r="B4" s="326">
        <v>45809</v>
      </c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</row>
    <row r="5" spans="2:20" ht="16.8" thickTop="1" thickBot="1">
      <c r="B5" s="2" t="s">
        <v>2</v>
      </c>
      <c r="C5" s="2" t="s">
        <v>3</v>
      </c>
      <c r="D5" s="26" t="s">
        <v>4</v>
      </c>
      <c r="E5" s="2" t="s">
        <v>37</v>
      </c>
      <c r="F5" s="19" t="s">
        <v>12</v>
      </c>
      <c r="G5" s="2" t="s">
        <v>5</v>
      </c>
      <c r="H5" s="2" t="s">
        <v>13</v>
      </c>
      <c r="I5" s="327" t="s">
        <v>26</v>
      </c>
      <c r="J5" s="2" t="s">
        <v>18</v>
      </c>
      <c r="K5" s="2" t="s">
        <v>6</v>
      </c>
      <c r="L5" s="330" t="s">
        <v>22</v>
      </c>
      <c r="M5" s="333" t="s">
        <v>24</v>
      </c>
      <c r="N5" s="333" t="s">
        <v>25</v>
      </c>
      <c r="O5" s="333" t="s">
        <v>23</v>
      </c>
      <c r="P5" s="19" t="s">
        <v>6</v>
      </c>
      <c r="Q5" s="4" t="s">
        <v>9</v>
      </c>
      <c r="R5" s="2" t="s">
        <v>20</v>
      </c>
    </row>
    <row r="6" spans="2:20" ht="16.5" customHeight="1" thickTop="1">
      <c r="B6" s="8"/>
      <c r="C6" s="8"/>
      <c r="D6" s="27"/>
      <c r="E6" s="8" t="s">
        <v>11</v>
      </c>
      <c r="F6" s="20" t="s">
        <v>11</v>
      </c>
      <c r="G6" s="8" t="s">
        <v>6</v>
      </c>
      <c r="H6" s="8" t="s">
        <v>14</v>
      </c>
      <c r="I6" s="328"/>
      <c r="J6" s="8" t="s">
        <v>17</v>
      </c>
      <c r="K6" s="8" t="s">
        <v>17</v>
      </c>
      <c r="L6" s="331"/>
      <c r="M6" s="334"/>
      <c r="N6" s="334"/>
      <c r="O6" s="334"/>
      <c r="P6" s="20" t="s">
        <v>19</v>
      </c>
      <c r="Q6" s="9" t="s">
        <v>10</v>
      </c>
      <c r="R6" s="336" t="s">
        <v>21</v>
      </c>
    </row>
    <row r="7" spans="2:20" ht="16.2" thickBot="1">
      <c r="B7" s="10"/>
      <c r="C7" s="10"/>
      <c r="D7" s="28"/>
      <c r="E7" s="8"/>
      <c r="F7" s="21" t="s">
        <v>15</v>
      </c>
      <c r="G7" s="10"/>
      <c r="H7" s="10" t="s">
        <v>16</v>
      </c>
      <c r="I7" s="329"/>
      <c r="J7" s="10"/>
      <c r="K7" s="10"/>
      <c r="L7" s="332"/>
      <c r="M7" s="335"/>
      <c r="N7" s="335"/>
      <c r="O7" s="335"/>
      <c r="P7" s="21"/>
      <c r="Q7" s="11"/>
      <c r="R7" s="337"/>
    </row>
    <row r="8" spans="2:20" ht="15.6">
      <c r="B8" s="91">
        <v>45445</v>
      </c>
      <c r="C8" s="87">
        <v>1</v>
      </c>
      <c r="D8" s="29" t="s">
        <v>74</v>
      </c>
      <c r="E8" s="365">
        <v>1380</v>
      </c>
      <c r="F8" s="39">
        <f>[3]Jun!$N65</f>
        <v>613</v>
      </c>
      <c r="G8" s="17">
        <v>4044</v>
      </c>
      <c r="H8" s="53">
        <f>(G8)*24/(F8/60)/17000*100</f>
        <v>55.881009500047973</v>
      </c>
      <c r="I8" s="54">
        <v>9</v>
      </c>
      <c r="J8" s="264">
        <f>SUM(100.8,95,95.8)</f>
        <v>291.60000000000002</v>
      </c>
      <c r="K8" s="53">
        <f>(G8)*0.0708</f>
        <v>286.3152</v>
      </c>
      <c r="L8" s="53">
        <f t="shared" ref="L8:L35" si="0">J8-K8</f>
        <v>5.2848000000000184</v>
      </c>
      <c r="M8" s="54">
        <f>[3]Jun!$AD8</f>
        <v>217</v>
      </c>
      <c r="N8" s="54">
        <v>24</v>
      </c>
      <c r="O8" s="54"/>
      <c r="P8" s="50">
        <f t="shared" ref="P8" si="1">(J8-K8)/J8*100</f>
        <v>1.8123456790123518</v>
      </c>
      <c r="Q8" s="54">
        <f t="shared" ref="Q8:Q57" si="2">(G8)/(F8/60)</f>
        <v>395.82381729200654</v>
      </c>
      <c r="R8" s="16"/>
    </row>
    <row r="9" spans="2:20" ht="15.6">
      <c r="B9" s="91">
        <v>45445</v>
      </c>
      <c r="C9" s="87">
        <v>1</v>
      </c>
      <c r="D9" s="29" t="s">
        <v>47</v>
      </c>
      <c r="E9" s="366"/>
      <c r="F9" s="39">
        <f>[3]Jun!$N66</f>
        <v>344</v>
      </c>
      <c r="G9" s="17">
        <v>2565</v>
      </c>
      <c r="H9" s="53">
        <f t="shared" ref="H9:H11" si="3">(G9)*24/(F9/60)/17000*100</f>
        <v>63.16005471956224</v>
      </c>
      <c r="I9" s="54">
        <v>13</v>
      </c>
      <c r="J9" s="53">
        <f>SUM(94,105.7,100)-64-65</f>
        <v>170.7</v>
      </c>
      <c r="K9" s="53">
        <f t="shared" ref="K9:K31" si="4">(G9)*0.066</f>
        <v>169.29000000000002</v>
      </c>
      <c r="L9" s="53">
        <f t="shared" ref="L9:L34" si="5">J9-K9</f>
        <v>1.4099999999999682</v>
      </c>
      <c r="M9" s="54">
        <f>[3]Jun!$AD9</f>
        <v>311</v>
      </c>
      <c r="N9" s="54">
        <v>41</v>
      </c>
      <c r="O9" s="54"/>
      <c r="P9" s="50">
        <f t="shared" ref="P9:P40" si="6">(J9-K9)/J9*100</f>
        <v>0.82601054481544722</v>
      </c>
      <c r="Q9" s="54">
        <f t="shared" ref="Q9:Q40" si="7">(G9)/(F9/60)</f>
        <v>447.38372093023253</v>
      </c>
      <c r="R9" s="313">
        <f>((J11+J9+J10)-(K11+K9+K10))/(J11+J9+J10)*100</f>
        <v>1.7094848551846058</v>
      </c>
    </row>
    <row r="10" spans="2:20" ht="15.6">
      <c r="B10" s="91">
        <v>45811</v>
      </c>
      <c r="C10" s="87">
        <v>2</v>
      </c>
      <c r="D10" s="29" t="s">
        <v>47</v>
      </c>
      <c r="E10" s="47">
        <v>1440</v>
      </c>
      <c r="F10" s="39">
        <f>[3]Jun!$N67</f>
        <v>1388</v>
      </c>
      <c r="G10" s="17">
        <v>9769</v>
      </c>
      <c r="H10" s="53">
        <f t="shared" si="3"/>
        <v>59.617562298694693</v>
      </c>
      <c r="I10" s="54">
        <v>24</v>
      </c>
      <c r="J10" s="187">
        <f>SUM(64,65,99.7,103,100,98,95,98,76.6)-69.5-4.7-60.7</f>
        <v>664.4</v>
      </c>
      <c r="K10" s="53">
        <f>(G10)*0.066+(35*0.19)</f>
        <v>651.404</v>
      </c>
      <c r="L10" s="187">
        <f t="shared" si="5"/>
        <v>12.995999999999981</v>
      </c>
      <c r="M10" s="54">
        <f>[3]Jun!$AD10</f>
        <v>316</v>
      </c>
      <c r="N10" s="54">
        <v>56</v>
      </c>
      <c r="O10" s="54">
        <v>35</v>
      </c>
      <c r="P10" s="50">
        <f t="shared" si="6"/>
        <v>1.9560505719446089</v>
      </c>
      <c r="Q10" s="54">
        <f t="shared" si="7"/>
        <v>422.29106628242079</v>
      </c>
      <c r="R10" s="313"/>
      <c r="S10" s="37"/>
      <c r="T10" s="6"/>
    </row>
    <row r="11" spans="2:20" ht="15.6">
      <c r="B11" s="91">
        <v>45812</v>
      </c>
      <c r="C11" s="87">
        <v>3</v>
      </c>
      <c r="D11" s="29" t="s">
        <v>47</v>
      </c>
      <c r="E11" s="365">
        <v>1440</v>
      </c>
      <c r="F11" s="39">
        <f>[3]Jun!$N68</f>
        <v>166</v>
      </c>
      <c r="G11" s="17">
        <v>1037</v>
      </c>
      <c r="H11" s="53">
        <f t="shared" si="3"/>
        <v>52.915662650602414</v>
      </c>
      <c r="I11" s="54">
        <v>8</v>
      </c>
      <c r="J11" s="53">
        <v>69.5</v>
      </c>
      <c r="K11" s="53">
        <f t="shared" si="4"/>
        <v>68.442000000000007</v>
      </c>
      <c r="L11" s="53">
        <f t="shared" si="5"/>
        <v>1.0579999999999927</v>
      </c>
      <c r="M11" s="54">
        <f>[3]Jun!$AD11</f>
        <v>28</v>
      </c>
      <c r="N11" s="54">
        <v>9</v>
      </c>
      <c r="O11" s="54"/>
      <c r="P11" s="50">
        <f t="shared" si="6"/>
        <v>1.5223021582733709</v>
      </c>
      <c r="Q11" s="54">
        <f t="shared" si="7"/>
        <v>374.81927710843377</v>
      </c>
      <c r="R11" s="313"/>
      <c r="S11" s="37"/>
      <c r="T11" s="6"/>
    </row>
    <row r="12" spans="2:20" ht="15.6">
      <c r="B12" s="91">
        <v>45812</v>
      </c>
      <c r="C12" s="87">
        <v>3</v>
      </c>
      <c r="D12" s="29" t="s">
        <v>49</v>
      </c>
      <c r="E12" s="354"/>
      <c r="F12" s="39">
        <f>[3]Jun!$N69</f>
        <v>684</v>
      </c>
      <c r="G12" s="17">
        <v>3568</v>
      </c>
      <c r="H12" s="53">
        <f t="shared" ref="H12:H40" si="8">(G12)*24/(F12/60)/17000*100</f>
        <v>44.185758513931887</v>
      </c>
      <c r="I12" s="54"/>
      <c r="J12" s="318">
        <f>SUM(84.3,95.5,98,92,95)-26.2-94</f>
        <v>344.6</v>
      </c>
      <c r="K12" s="318">
        <f>(G12+G13)*0.066+(45*0.19)</f>
        <v>338.55</v>
      </c>
      <c r="L12" s="318">
        <f>J12-K12</f>
        <v>6.0500000000000114</v>
      </c>
      <c r="M12" s="54">
        <f>[3]Jun!$AD12</f>
        <v>314</v>
      </c>
      <c r="N12" s="54">
        <v>23</v>
      </c>
      <c r="O12" s="54">
        <v>45</v>
      </c>
      <c r="P12" s="318">
        <f t="shared" si="6"/>
        <v>1.7556587347649482</v>
      </c>
      <c r="Q12" s="54">
        <f t="shared" si="7"/>
        <v>312.98245614035085</v>
      </c>
      <c r="R12" s="317">
        <f>((J14+J12+J15)-(K14+K12+K15))/(J14+J12+J15)*100</f>
        <v>1.702237521514625</v>
      </c>
      <c r="S12" s="37"/>
      <c r="T12" s="6"/>
    </row>
    <row r="13" spans="2:20" ht="15.6">
      <c r="B13" s="91">
        <v>45812</v>
      </c>
      <c r="C13" s="87">
        <v>3</v>
      </c>
      <c r="D13" s="29" t="s">
        <v>99</v>
      </c>
      <c r="E13" s="366"/>
      <c r="F13" s="39">
        <f>[3]Jun!$N70</f>
        <v>489</v>
      </c>
      <c r="G13" s="17">
        <v>1432</v>
      </c>
      <c r="H13" s="53">
        <f t="shared" si="8"/>
        <v>24.805485384337782</v>
      </c>
      <c r="I13" s="54">
        <v>10</v>
      </c>
      <c r="J13" s="318"/>
      <c r="K13" s="318"/>
      <c r="L13" s="318"/>
      <c r="M13" s="54">
        <f>[3]Jun!$AD13</f>
        <v>283</v>
      </c>
      <c r="N13" s="54">
        <v>32</v>
      </c>
      <c r="O13" s="54"/>
      <c r="P13" s="318"/>
      <c r="Q13" s="54">
        <f t="shared" si="7"/>
        <v>175.70552147239263</v>
      </c>
      <c r="R13" s="317"/>
      <c r="S13" s="37"/>
      <c r="T13" s="6"/>
    </row>
    <row r="14" spans="2:20" ht="15.6">
      <c r="B14" s="91">
        <v>45813</v>
      </c>
      <c r="C14" s="87">
        <v>4</v>
      </c>
      <c r="D14" s="29" t="s">
        <v>99</v>
      </c>
      <c r="E14" s="365">
        <v>1440</v>
      </c>
      <c r="F14" s="39">
        <f>[3]Jun!$N71</f>
        <v>47</v>
      </c>
      <c r="G14" s="17">
        <v>388</v>
      </c>
      <c r="H14" s="53">
        <f t="shared" si="8"/>
        <v>69.927409261576969</v>
      </c>
      <c r="I14" s="54">
        <v>37</v>
      </c>
      <c r="J14" s="53">
        <v>26.2</v>
      </c>
      <c r="K14" s="53">
        <f t="shared" si="4"/>
        <v>25.608000000000001</v>
      </c>
      <c r="L14" s="53">
        <f t="shared" si="5"/>
        <v>0.59199999999999875</v>
      </c>
      <c r="M14" s="54">
        <f>[3]Jun!$AD14</f>
        <v>19</v>
      </c>
      <c r="N14" s="54">
        <v>5</v>
      </c>
      <c r="O14" s="54"/>
      <c r="P14" s="50">
        <f>(J14-K14)/J14*100</f>
        <v>2.2595419847328198</v>
      </c>
      <c r="Q14" s="54">
        <f t="shared" si="7"/>
        <v>495.31914893617022</v>
      </c>
      <c r="R14" s="317"/>
      <c r="S14" s="37"/>
      <c r="T14" s="6"/>
    </row>
    <row r="15" spans="2:20" ht="15.6">
      <c r="B15" s="91">
        <v>45813</v>
      </c>
      <c r="C15" s="87">
        <v>4</v>
      </c>
      <c r="D15" s="29" t="s">
        <v>49</v>
      </c>
      <c r="E15" s="354"/>
      <c r="F15" s="39">
        <f>[3]Jun!$N72</f>
        <v>234</v>
      </c>
      <c r="G15" s="17">
        <v>1405</v>
      </c>
      <c r="H15" s="53">
        <f t="shared" si="8"/>
        <v>50.859728506787327</v>
      </c>
      <c r="I15" s="54"/>
      <c r="J15" s="53">
        <v>94</v>
      </c>
      <c r="K15" s="53">
        <f>(G15)*0.066</f>
        <v>92.73</v>
      </c>
      <c r="L15" s="53">
        <f>J15-K15</f>
        <v>1.269999999999996</v>
      </c>
      <c r="M15" s="54">
        <f>[3]Jun!$AD15</f>
        <v>75</v>
      </c>
      <c r="N15" s="54">
        <v>9</v>
      </c>
      <c r="O15" s="54"/>
      <c r="P15" s="50">
        <f t="shared" si="6"/>
        <v>1.3510638297872297</v>
      </c>
      <c r="Q15" s="54">
        <f t="shared" si="7"/>
        <v>360.25641025641028</v>
      </c>
      <c r="R15" s="317"/>
      <c r="S15" s="37"/>
      <c r="T15" s="6"/>
    </row>
    <row r="16" spans="2:20" ht="15.6">
      <c r="B16" s="91">
        <v>45813</v>
      </c>
      <c r="C16" s="87">
        <v>4</v>
      </c>
      <c r="D16" s="29" t="s">
        <v>62</v>
      </c>
      <c r="E16" s="354"/>
      <c r="F16" s="39">
        <f>[3]Jun!$N73</f>
        <v>736</v>
      </c>
      <c r="G16" s="17">
        <v>4326</v>
      </c>
      <c r="H16" s="53">
        <f t="shared" si="8"/>
        <v>49.787723785166236</v>
      </c>
      <c r="I16" s="54"/>
      <c r="J16" s="53">
        <f>SUM(98.2,97,99.3)</f>
        <v>294.5</v>
      </c>
      <c r="K16" s="53">
        <f t="shared" si="4"/>
        <v>285.51600000000002</v>
      </c>
      <c r="L16" s="53">
        <f t="shared" si="5"/>
        <v>8.9839999999999804</v>
      </c>
      <c r="M16" s="54">
        <f>[3]Jun!$AD16</f>
        <v>374</v>
      </c>
      <c r="N16" s="54">
        <v>36</v>
      </c>
      <c r="O16" s="54"/>
      <c r="P16" s="50">
        <f t="shared" si="6"/>
        <v>3.0505942275042379</v>
      </c>
      <c r="Q16" s="54">
        <f t="shared" si="7"/>
        <v>352.66304347826082</v>
      </c>
      <c r="R16" s="16"/>
      <c r="S16" s="37"/>
      <c r="T16" s="6"/>
    </row>
    <row r="17" spans="2:20" ht="15.6">
      <c r="B17" s="91">
        <v>45813</v>
      </c>
      <c r="C17" s="87">
        <v>4</v>
      </c>
      <c r="D17" s="29" t="s">
        <v>45</v>
      </c>
      <c r="E17" s="366"/>
      <c r="F17" s="39">
        <f>[3]Jun!$N74</f>
        <v>215</v>
      </c>
      <c r="G17" s="17">
        <v>1405</v>
      </c>
      <c r="H17" s="53">
        <f t="shared" si="8"/>
        <v>55.354309165526672</v>
      </c>
      <c r="I17" s="54">
        <v>15</v>
      </c>
      <c r="J17" s="53">
        <f>SUM(77.9+82.2)-64.2</f>
        <v>95.90000000000002</v>
      </c>
      <c r="K17" s="53">
        <f>(G17)*0.066</f>
        <v>92.73</v>
      </c>
      <c r="L17" s="53">
        <f t="shared" si="5"/>
        <v>3.1700000000000159</v>
      </c>
      <c r="M17" s="54">
        <f>[3]Jun!$AD17</f>
        <v>56</v>
      </c>
      <c r="N17" s="54">
        <v>12</v>
      </c>
      <c r="O17" s="54"/>
      <c r="P17" s="50">
        <f>(J17-K17)/J17*100</f>
        <v>3.3055265901981392</v>
      </c>
      <c r="Q17" s="54">
        <f t="shared" si="7"/>
        <v>392.09302325581393</v>
      </c>
      <c r="R17" s="314">
        <f>((J17+J18)-(K17+K18))/(J17+J18)*100</f>
        <v>2.1748906933166943</v>
      </c>
      <c r="S17" s="37"/>
      <c r="T17" s="6"/>
    </row>
    <row r="18" spans="2:20" ht="15.6">
      <c r="B18" s="91">
        <v>45814</v>
      </c>
      <c r="C18" s="87">
        <v>5</v>
      </c>
      <c r="D18" s="29" t="s">
        <v>45</v>
      </c>
      <c r="E18" s="365">
        <v>1289</v>
      </c>
      <c r="F18" s="39">
        <f>[3]Jun!$N75</f>
        <v>270</v>
      </c>
      <c r="G18" s="17">
        <v>968</v>
      </c>
      <c r="H18" s="53">
        <f t="shared" si="8"/>
        <v>30.368627450980394</v>
      </c>
      <c r="I18" s="54">
        <v>7.18</v>
      </c>
      <c r="J18" s="53">
        <v>64.2</v>
      </c>
      <c r="K18" s="53">
        <f t="shared" si="4"/>
        <v>63.888000000000005</v>
      </c>
      <c r="L18" s="53">
        <f t="shared" si="5"/>
        <v>0.31199999999999761</v>
      </c>
      <c r="M18" s="54">
        <f>[3]Jun!$AD18</f>
        <v>121</v>
      </c>
      <c r="N18" s="54">
        <v>21</v>
      </c>
      <c r="O18" s="54"/>
      <c r="P18" s="50">
        <f t="shared" si="6"/>
        <v>0.48598130841121123</v>
      </c>
      <c r="Q18" s="54">
        <f t="shared" si="7"/>
        <v>215.11111111111111</v>
      </c>
      <c r="R18" s="314"/>
      <c r="S18" s="37"/>
      <c r="T18" s="6"/>
    </row>
    <row r="19" spans="2:20" ht="15.6">
      <c r="B19" s="91">
        <v>45814</v>
      </c>
      <c r="C19" s="87">
        <v>5</v>
      </c>
      <c r="D19" s="29" t="s">
        <v>72</v>
      </c>
      <c r="E19" s="366"/>
      <c r="F19" s="39">
        <f>[3]Jun!$N76</f>
        <v>687</v>
      </c>
      <c r="G19" s="17">
        <v>3031</v>
      </c>
      <c r="H19" s="53">
        <f t="shared" si="8"/>
        <v>37.371692781916266</v>
      </c>
      <c r="I19" s="54">
        <v>7</v>
      </c>
      <c r="J19" s="53">
        <f>SUM(85,88,85)-48.5</f>
        <v>209.5</v>
      </c>
      <c r="K19" s="53">
        <f>(G19)*0.066</f>
        <v>200.04600000000002</v>
      </c>
      <c r="L19" s="53">
        <f t="shared" si="5"/>
        <v>9.4539999999999793</v>
      </c>
      <c r="M19" s="54">
        <f>[3]Jun!$AD19</f>
        <v>438</v>
      </c>
      <c r="N19" s="54">
        <v>0</v>
      </c>
      <c r="O19" s="54"/>
      <c r="P19" s="50">
        <f t="shared" si="6"/>
        <v>4.5126491646777938</v>
      </c>
      <c r="Q19" s="54">
        <f t="shared" si="7"/>
        <v>264.71615720524017</v>
      </c>
      <c r="R19" s="16"/>
      <c r="S19" s="37"/>
      <c r="T19" s="6"/>
    </row>
    <row r="20" spans="2:20" ht="15.6">
      <c r="B20" s="91">
        <v>45818</v>
      </c>
      <c r="C20" s="87">
        <v>6</v>
      </c>
      <c r="D20" s="29" t="s">
        <v>49</v>
      </c>
      <c r="E20" s="47">
        <v>1380</v>
      </c>
      <c r="F20" s="39">
        <f>[3]Jun!$N77</f>
        <v>1119</v>
      </c>
      <c r="G20" s="17">
        <v>6335</v>
      </c>
      <c r="H20" s="53">
        <f t="shared" si="8"/>
        <v>47.954581296325507</v>
      </c>
      <c r="I20" s="54">
        <v>26</v>
      </c>
      <c r="J20" s="53">
        <f>SUM(100,96,99.8,79,99.8,99)-70.8-77.9</f>
        <v>424.9</v>
      </c>
      <c r="K20" s="53">
        <f t="shared" si="4"/>
        <v>418.11</v>
      </c>
      <c r="L20" s="53">
        <f t="shared" si="5"/>
        <v>6.7899999999999636</v>
      </c>
      <c r="M20" s="54">
        <f>[3]Jun!$AD20</f>
        <v>615</v>
      </c>
      <c r="N20" s="54">
        <v>25</v>
      </c>
      <c r="O20" s="54"/>
      <c r="P20" s="50">
        <f t="shared" si="6"/>
        <v>1.5980230642504034</v>
      </c>
      <c r="Q20" s="54">
        <f t="shared" si="7"/>
        <v>339.67828418230567</v>
      </c>
      <c r="R20" s="321">
        <f>((J20+J21+J23)-(K20+K21+K23))/(J20+J21+J23)*100</f>
        <v>1.8480986209778343</v>
      </c>
      <c r="S20" s="37"/>
      <c r="T20" s="6"/>
    </row>
    <row r="21" spans="2:20" ht="15" customHeight="1">
      <c r="B21" s="91">
        <v>45819</v>
      </c>
      <c r="C21" s="87">
        <v>7</v>
      </c>
      <c r="D21" s="29" t="s">
        <v>49</v>
      </c>
      <c r="E21" s="365">
        <v>1427</v>
      </c>
      <c r="F21" s="39">
        <f>[3]Jun!$N78</f>
        <v>509</v>
      </c>
      <c r="G21" s="17">
        <v>3490</v>
      </c>
      <c r="H21" s="53">
        <f t="shared" si="8"/>
        <v>58.07927886282215</v>
      </c>
      <c r="I21" s="54">
        <v>5</v>
      </c>
      <c r="J21" s="318">
        <f>SUM(70.8,77.9,82,104.3,99,96,100.3)-73-72</f>
        <v>485.29999999999995</v>
      </c>
      <c r="K21" s="318">
        <f>(G21+G22)*0.066</f>
        <v>475.99200000000002</v>
      </c>
      <c r="L21" s="318">
        <f t="shared" si="5"/>
        <v>9.3079999999999359</v>
      </c>
      <c r="M21" s="54">
        <f>[3]Jun!$AD21</f>
        <v>170</v>
      </c>
      <c r="N21" s="319">
        <v>14</v>
      </c>
      <c r="O21" s="54"/>
      <c r="P21" s="318">
        <f t="shared" si="6"/>
        <v>1.9179888728621339</v>
      </c>
      <c r="Q21" s="54">
        <f t="shared" si="7"/>
        <v>411.39489194499021</v>
      </c>
      <c r="R21" s="321"/>
      <c r="S21" s="37"/>
      <c r="T21" s="6"/>
    </row>
    <row r="22" spans="2:20" ht="15.6">
      <c r="B22" s="91">
        <v>45819</v>
      </c>
      <c r="C22" s="87">
        <v>7</v>
      </c>
      <c r="D22" s="29" t="s">
        <v>99</v>
      </c>
      <c r="E22" s="366"/>
      <c r="F22" s="39">
        <f>[3]Jun!$N79</f>
        <v>795</v>
      </c>
      <c r="G22" s="17">
        <v>3722</v>
      </c>
      <c r="H22" s="53">
        <f t="shared" si="8"/>
        <v>39.657269700332961</v>
      </c>
      <c r="I22" s="54"/>
      <c r="J22" s="318"/>
      <c r="K22" s="318"/>
      <c r="L22" s="318"/>
      <c r="M22" s="54">
        <f>[3]Jun!$AD22</f>
        <v>356</v>
      </c>
      <c r="N22" s="319"/>
      <c r="O22" s="54"/>
      <c r="P22" s="318"/>
      <c r="Q22" s="54">
        <f t="shared" si="7"/>
        <v>280.90566037735852</v>
      </c>
      <c r="R22" s="321"/>
      <c r="S22" s="37"/>
      <c r="T22" s="6"/>
    </row>
    <row r="23" spans="2:20" ht="15.6">
      <c r="B23" s="91">
        <v>45820</v>
      </c>
      <c r="C23" s="87">
        <v>8</v>
      </c>
      <c r="D23" s="29" t="s">
        <v>99</v>
      </c>
      <c r="E23" s="365">
        <v>1440</v>
      </c>
      <c r="F23" s="39">
        <f>[3]Jun!$N80</f>
        <v>121</v>
      </c>
      <c r="G23" s="17">
        <v>688</v>
      </c>
      <c r="H23" s="53">
        <f t="shared" si="8"/>
        <v>48.163344676713663</v>
      </c>
      <c r="I23" s="54"/>
      <c r="J23" s="53">
        <f>73+72-98</f>
        <v>47</v>
      </c>
      <c r="K23" s="53">
        <f>(G23)*0.066</f>
        <v>45.408000000000001</v>
      </c>
      <c r="L23" s="53">
        <f t="shared" si="5"/>
        <v>1.5919999999999987</v>
      </c>
      <c r="M23" s="54">
        <f>[3]Jun!$AD23</f>
        <v>142</v>
      </c>
      <c r="N23" s="54">
        <v>6</v>
      </c>
      <c r="O23" s="54"/>
      <c r="P23" s="50">
        <f t="shared" si="6"/>
        <v>3.3872340425531888</v>
      </c>
      <c r="Q23" s="54">
        <f t="shared" si="7"/>
        <v>341.15702479338842</v>
      </c>
      <c r="R23" s="321"/>
      <c r="S23" s="37"/>
      <c r="T23" s="6"/>
    </row>
    <row r="24" spans="2:20" ht="15.6">
      <c r="B24" s="91">
        <v>45820</v>
      </c>
      <c r="C24" s="87">
        <v>8</v>
      </c>
      <c r="D24" s="29" t="s">
        <v>72</v>
      </c>
      <c r="E24" s="354"/>
      <c r="F24" s="39">
        <f>[3]Jun!$N81</f>
        <v>155</v>
      </c>
      <c r="G24" s="17">
        <v>694</v>
      </c>
      <c r="H24" s="53">
        <f t="shared" si="8"/>
        <v>37.926375711574948</v>
      </c>
      <c r="I24" s="54">
        <v>8</v>
      </c>
      <c r="J24" s="53">
        <v>48.2</v>
      </c>
      <c r="K24" s="53">
        <f>(G24)*0.066</f>
        <v>45.804000000000002</v>
      </c>
      <c r="L24" s="53">
        <f t="shared" si="5"/>
        <v>2.3960000000000008</v>
      </c>
      <c r="M24" s="54">
        <f>[3]Jun!$AD24</f>
        <v>177</v>
      </c>
      <c r="N24" s="54">
        <f>8+4</f>
        <v>12</v>
      </c>
      <c r="O24" s="54"/>
      <c r="P24" s="50">
        <f t="shared" si="6"/>
        <v>4.970954356846474</v>
      </c>
      <c r="Q24" s="54">
        <f t="shared" si="7"/>
        <v>268.64516129032256</v>
      </c>
      <c r="R24" s="16"/>
      <c r="S24" s="37"/>
      <c r="T24" s="6"/>
    </row>
    <row r="25" spans="2:20" ht="15.6">
      <c r="B25" s="91">
        <v>45820</v>
      </c>
      <c r="C25" s="87">
        <v>8</v>
      </c>
      <c r="D25" s="29" t="s">
        <v>49</v>
      </c>
      <c r="E25" s="366"/>
      <c r="F25" s="39">
        <f>[3]Jun!$N82</f>
        <v>733</v>
      </c>
      <c r="G25" s="17">
        <v>3767</v>
      </c>
      <c r="H25" s="53">
        <f t="shared" si="8"/>
        <v>43.531658775379185</v>
      </c>
      <c r="I25" s="54">
        <v>1</v>
      </c>
      <c r="J25" s="53">
        <f>SUM(98,99,96,100.8)-65.8-72.6</f>
        <v>255.4</v>
      </c>
      <c r="K25" s="53">
        <f t="shared" si="4"/>
        <v>248.62200000000001</v>
      </c>
      <c r="L25" s="53">
        <f t="shared" si="5"/>
        <v>6.7779999999999916</v>
      </c>
      <c r="M25" s="54">
        <f>[3]Jun!$AD25</f>
        <v>480</v>
      </c>
      <c r="N25" s="54">
        <f>26+30</f>
        <v>56</v>
      </c>
      <c r="O25" s="54"/>
      <c r="P25" s="50">
        <f t="shared" si="6"/>
        <v>2.6538762725137008</v>
      </c>
      <c r="Q25" s="54">
        <f t="shared" si="7"/>
        <v>308.34924965893589</v>
      </c>
      <c r="R25" s="322">
        <f>((J25+J26)-(K25+K26))/(J25+J26)*100</f>
        <v>1.9894425675675727</v>
      </c>
      <c r="S25" s="37"/>
      <c r="T25" s="6"/>
    </row>
    <row r="26" spans="2:20" ht="15.6">
      <c r="B26" s="91">
        <v>45821</v>
      </c>
      <c r="C26" s="87">
        <v>9</v>
      </c>
      <c r="D26" s="29" t="s">
        <v>49</v>
      </c>
      <c r="E26" s="365">
        <v>1253</v>
      </c>
      <c r="F26" s="39">
        <f>[3]Jun!$N83</f>
        <v>640</v>
      </c>
      <c r="G26" s="17">
        <v>3266</v>
      </c>
      <c r="H26" s="53">
        <f t="shared" si="8"/>
        <v>43.226470588235294</v>
      </c>
      <c r="I26" s="54"/>
      <c r="J26" s="53">
        <f>SUM(65.8,72.6,79.8)</f>
        <v>218.2</v>
      </c>
      <c r="K26" s="53">
        <f t="shared" si="4"/>
        <v>215.55600000000001</v>
      </c>
      <c r="L26" s="53">
        <f t="shared" si="5"/>
        <v>2.643999999999977</v>
      </c>
      <c r="M26" s="54">
        <f>[3]Jun!$AD26</f>
        <v>354</v>
      </c>
      <c r="N26" s="54">
        <v>37</v>
      </c>
      <c r="O26" s="54"/>
      <c r="P26" s="50">
        <f t="shared" si="6"/>
        <v>1.2117323556370196</v>
      </c>
      <c r="Q26" s="54">
        <f t="shared" si="7"/>
        <v>306.1875</v>
      </c>
      <c r="R26" s="322"/>
      <c r="S26" s="37"/>
      <c r="T26" s="6"/>
    </row>
    <row r="27" spans="2:20" ht="15.6">
      <c r="B27" s="91">
        <v>45821</v>
      </c>
      <c r="C27" s="87">
        <v>9</v>
      </c>
      <c r="D27" s="29" t="s">
        <v>45</v>
      </c>
      <c r="E27" s="366"/>
      <c r="F27" s="39">
        <f>[3]Jun!$N84</f>
        <v>505</v>
      </c>
      <c r="G27" s="17">
        <v>2970</v>
      </c>
      <c r="H27" s="53">
        <f t="shared" si="8"/>
        <v>49.817122888759471</v>
      </c>
      <c r="I27" s="54">
        <v>14</v>
      </c>
      <c r="J27" s="53">
        <f>SUM(98.4,99)</f>
        <v>197.4</v>
      </c>
      <c r="K27" s="53">
        <f t="shared" si="4"/>
        <v>196.02</v>
      </c>
      <c r="L27" s="53">
        <f t="shared" si="5"/>
        <v>1.3799999999999955</v>
      </c>
      <c r="M27" s="54">
        <f>[3]Jun!$AD27</f>
        <v>157</v>
      </c>
      <c r="N27" s="54">
        <f>6+15</f>
        <v>21</v>
      </c>
      <c r="O27" s="54"/>
      <c r="P27" s="50">
        <f t="shared" si="6"/>
        <v>0.69908814589665413</v>
      </c>
      <c r="Q27" s="54">
        <f t="shared" si="7"/>
        <v>352.87128712871288</v>
      </c>
      <c r="R27" s="16"/>
      <c r="S27" s="37"/>
      <c r="T27" s="6"/>
    </row>
    <row r="28" spans="2:20" ht="15.6">
      <c r="B28" s="91">
        <v>45824</v>
      </c>
      <c r="C28" s="87">
        <v>10</v>
      </c>
      <c r="D28" s="29" t="s">
        <v>64</v>
      </c>
      <c r="E28" s="365">
        <v>1380</v>
      </c>
      <c r="F28" s="39">
        <f>[3]Jun!$N85</f>
        <v>425</v>
      </c>
      <c r="G28" s="17">
        <v>2914</v>
      </c>
      <c r="H28" s="53">
        <f>(G28)*24/(F28/60)/17000*100</f>
        <v>58.078339100346021</v>
      </c>
      <c r="I28" s="54">
        <v>1</v>
      </c>
      <c r="J28" s="53">
        <f>SUM(98.5,98.8)</f>
        <v>197.3</v>
      </c>
      <c r="K28" s="53">
        <f t="shared" si="4"/>
        <v>192.32400000000001</v>
      </c>
      <c r="L28" s="53">
        <f t="shared" si="5"/>
        <v>4.9759999999999991</v>
      </c>
      <c r="M28" s="54">
        <f>[3]Jun!$AD28</f>
        <v>350</v>
      </c>
      <c r="N28" s="54">
        <f>11+6</f>
        <v>17</v>
      </c>
      <c r="O28" s="54"/>
      <c r="P28" s="50">
        <f t="shared" si="6"/>
        <v>2.5220476431829697</v>
      </c>
      <c r="Q28" s="54">
        <f t="shared" si="7"/>
        <v>411.38823529411769</v>
      </c>
      <c r="R28" s="16"/>
      <c r="S28" s="37"/>
      <c r="T28" s="6"/>
    </row>
    <row r="29" spans="2:20" ht="15.6">
      <c r="B29" s="91">
        <v>45824</v>
      </c>
      <c r="C29" s="87">
        <v>10</v>
      </c>
      <c r="D29" s="29" t="s">
        <v>47</v>
      </c>
      <c r="E29" s="366"/>
      <c r="F29" s="39">
        <f>[3]Jun!$N86</f>
        <v>531</v>
      </c>
      <c r="G29" s="17">
        <v>3156</v>
      </c>
      <c r="H29" s="53">
        <f t="shared" si="8"/>
        <v>50.344965104685947</v>
      </c>
      <c r="I29" s="54"/>
      <c r="J29" s="53">
        <f>SUM(99.5,99,97.4,96)-90.6-87.7</f>
        <v>213.59999999999997</v>
      </c>
      <c r="K29" s="53">
        <f>(G29)*0.066</f>
        <v>208.29600000000002</v>
      </c>
      <c r="L29" s="53">
        <f t="shared" si="5"/>
        <v>5.3039999999999452</v>
      </c>
      <c r="M29" s="54">
        <f>[3]Jun!$AD29</f>
        <v>287</v>
      </c>
      <c r="N29" s="54">
        <v>14</v>
      </c>
      <c r="O29" s="54"/>
      <c r="P29" s="50">
        <f t="shared" si="6"/>
        <v>2.4831460674157051</v>
      </c>
      <c r="Q29" s="54">
        <f t="shared" si="7"/>
        <v>356.61016949152543</v>
      </c>
      <c r="R29" s="374">
        <f>((J29+J30)-(K29+K30))/(J29+J30)*100</f>
        <v>1.1032594524119785</v>
      </c>
      <c r="S29" s="37"/>
      <c r="T29" s="6"/>
    </row>
    <row r="30" spans="2:20" ht="15.6">
      <c r="B30" s="91">
        <v>45825</v>
      </c>
      <c r="C30" s="87">
        <v>11</v>
      </c>
      <c r="D30" s="29" t="s">
        <v>47</v>
      </c>
      <c r="E30" s="47">
        <v>1386</v>
      </c>
      <c r="F30" s="39">
        <f>[3]Jun!$N87</f>
        <v>1300</v>
      </c>
      <c r="G30" s="17">
        <v>8337</v>
      </c>
      <c r="H30" s="53">
        <f t="shared" si="8"/>
        <v>54.322533936651574</v>
      </c>
      <c r="I30" s="54"/>
      <c r="J30" s="53">
        <f>SUM(87.7,90.6,94.8,96,82.3,102)</f>
        <v>553.40000000000009</v>
      </c>
      <c r="K30" s="53">
        <f>(G30)*0.066</f>
        <v>550.24200000000008</v>
      </c>
      <c r="L30" s="53">
        <f t="shared" si="5"/>
        <v>3.1580000000000155</v>
      </c>
      <c r="M30" s="54">
        <f>[3]Jun!$AD30</f>
        <v>376</v>
      </c>
      <c r="N30" s="54">
        <f>12+10+16+1</f>
        <v>39</v>
      </c>
      <c r="O30" s="54"/>
      <c r="P30" s="50">
        <f t="shared" si="6"/>
        <v>0.57065413805565857</v>
      </c>
      <c r="Q30" s="54">
        <f t="shared" si="7"/>
        <v>384.78461538461534</v>
      </c>
      <c r="R30" s="374"/>
      <c r="S30" s="37"/>
      <c r="T30" s="6"/>
    </row>
    <row r="31" spans="2:20" ht="15.6">
      <c r="B31" s="91">
        <v>45826</v>
      </c>
      <c r="C31" s="87">
        <v>12</v>
      </c>
      <c r="D31" s="29" t="s">
        <v>49</v>
      </c>
      <c r="E31" s="365">
        <v>1394</v>
      </c>
      <c r="F31" s="39">
        <f>[3]Jun!$N88</f>
        <v>872</v>
      </c>
      <c r="G31" s="17">
        <v>5574</v>
      </c>
      <c r="H31" s="53">
        <f t="shared" si="8"/>
        <v>54.145709660010787</v>
      </c>
      <c r="I31" s="54"/>
      <c r="J31" s="53">
        <f>97+74.2+102.5+101.3</f>
        <v>375</v>
      </c>
      <c r="K31" s="53">
        <f t="shared" si="4"/>
        <v>367.88400000000001</v>
      </c>
      <c r="L31" s="53">
        <f t="shared" si="5"/>
        <v>7.1159999999999854</v>
      </c>
      <c r="M31" s="54">
        <f>[3]Jun!$AD31</f>
        <v>340</v>
      </c>
      <c r="N31" s="54">
        <f>1+17</f>
        <v>18</v>
      </c>
      <c r="O31" s="54"/>
      <c r="P31" s="50">
        <f t="shared" si="6"/>
        <v>1.8975999999999962</v>
      </c>
      <c r="Q31" s="54">
        <f t="shared" si="7"/>
        <v>383.53211009174311</v>
      </c>
      <c r="R31" s="16"/>
      <c r="S31" s="37"/>
      <c r="T31" s="6"/>
    </row>
    <row r="32" spans="2:20" ht="15.6">
      <c r="B32" s="91">
        <v>45826</v>
      </c>
      <c r="C32" s="87">
        <v>12</v>
      </c>
      <c r="D32" s="29" t="s">
        <v>74</v>
      </c>
      <c r="E32" s="366"/>
      <c r="F32" s="39">
        <f>[3]Jun!$N89</f>
        <v>105</v>
      </c>
      <c r="G32" s="17">
        <v>1111</v>
      </c>
      <c r="H32" s="53">
        <f t="shared" si="8"/>
        <v>89.626890756302529</v>
      </c>
      <c r="I32" s="54">
        <f>(2*70)+12</f>
        <v>152</v>
      </c>
      <c r="J32" s="264">
        <f>89.7-10</f>
        <v>79.7</v>
      </c>
      <c r="K32" s="53">
        <f>(G32)*0.0708</f>
        <v>78.658799999999999</v>
      </c>
      <c r="L32" s="53">
        <f t="shared" si="5"/>
        <v>1.0412000000000035</v>
      </c>
      <c r="M32" s="54">
        <f>[3]Jun!$AD32</f>
        <v>316</v>
      </c>
      <c r="N32" s="54">
        <v>7</v>
      </c>
      <c r="O32" s="246"/>
      <c r="P32" s="50">
        <f>(J32-K32)/J32*100</f>
        <v>1.3063989962358888</v>
      </c>
      <c r="Q32" s="54">
        <f t="shared" si="7"/>
        <v>634.85714285714289</v>
      </c>
      <c r="R32" s="374">
        <f>((J32+J33+J34)-(K32+K33+K34))/(J32+J33+J34)*100</f>
        <v>2.3797448782373372</v>
      </c>
      <c r="S32" s="37"/>
      <c r="T32" s="6"/>
    </row>
    <row r="33" spans="2:20" ht="15.6">
      <c r="B33" s="91">
        <v>45828</v>
      </c>
      <c r="C33" s="87">
        <v>13</v>
      </c>
      <c r="D33" s="29" t="s">
        <v>74</v>
      </c>
      <c r="E33" s="365">
        <v>1260</v>
      </c>
      <c r="F33" s="39">
        <f>[3]Jun!$N90</f>
        <v>141</v>
      </c>
      <c r="G33" s="17">
        <v>1330</v>
      </c>
      <c r="H33" s="53">
        <f t="shared" si="8"/>
        <v>79.899874843554443</v>
      </c>
      <c r="I33" s="54"/>
      <c r="J33" s="264">
        <f>6.1+91.7</f>
        <v>97.8</v>
      </c>
      <c r="K33" s="53">
        <f>(G33)*0.0708</f>
        <v>94.164000000000001</v>
      </c>
      <c r="L33" s="53">
        <f t="shared" si="5"/>
        <v>3.6359999999999957</v>
      </c>
      <c r="M33" s="54">
        <f>[3]Jun!$AD33</f>
        <v>143</v>
      </c>
      <c r="N33" s="54">
        <v>25</v>
      </c>
      <c r="O33" s="54"/>
      <c r="P33" s="50">
        <f t="shared" si="6"/>
        <v>3.7177914110429406</v>
      </c>
      <c r="Q33" s="54">
        <f t="shared" si="7"/>
        <v>565.95744680851067</v>
      </c>
      <c r="R33" s="374"/>
      <c r="S33" s="37"/>
      <c r="T33" s="6"/>
    </row>
    <row r="34" spans="2:20" ht="15.6">
      <c r="B34" s="91">
        <v>45828</v>
      </c>
      <c r="C34" s="87">
        <v>13</v>
      </c>
      <c r="D34" s="29" t="s">
        <v>87</v>
      </c>
      <c r="E34" s="354"/>
      <c r="F34" s="39">
        <f>[3]Jun!$N91</f>
        <v>183</v>
      </c>
      <c r="G34" s="17">
        <v>1126</v>
      </c>
      <c r="H34" s="53">
        <f t="shared" si="8"/>
        <v>52.119575699132113</v>
      </c>
      <c r="I34" s="54">
        <v>70</v>
      </c>
      <c r="J34" s="264">
        <v>81.2</v>
      </c>
      <c r="K34" s="53">
        <f>(G34)*0.0708</f>
        <v>79.720799999999997</v>
      </c>
      <c r="L34" s="53">
        <f t="shared" si="5"/>
        <v>1.4792000000000058</v>
      </c>
      <c r="M34" s="54">
        <f>[3]Jun!$AD34</f>
        <v>56</v>
      </c>
      <c r="N34" s="54">
        <v>8</v>
      </c>
      <c r="O34" s="54"/>
      <c r="P34" s="50">
        <f t="shared" si="6"/>
        <v>1.8216748768472977</v>
      </c>
      <c r="Q34" s="54">
        <f t="shared" si="7"/>
        <v>369.18032786885249</v>
      </c>
      <c r="R34" s="374"/>
      <c r="S34" s="37"/>
      <c r="T34" s="6"/>
    </row>
    <row r="35" spans="2:20" ht="15.6">
      <c r="B35" s="91">
        <v>45828</v>
      </c>
      <c r="C35" s="87">
        <v>13</v>
      </c>
      <c r="D35" s="29" t="s">
        <v>62</v>
      </c>
      <c r="E35" s="366"/>
      <c r="F35" s="39">
        <f>[3]Jun!$N92</f>
        <v>420</v>
      </c>
      <c r="G35" s="17">
        <v>2896</v>
      </c>
      <c r="H35" s="53">
        <f t="shared" si="8"/>
        <v>58.406722689075629</v>
      </c>
      <c r="I35" s="54"/>
      <c r="J35" s="53">
        <f>SUM(99.4,97)</f>
        <v>196.4</v>
      </c>
      <c r="K35" s="53">
        <f>(G35)*0.066</f>
        <v>191.136</v>
      </c>
      <c r="L35" s="53">
        <f t="shared" si="0"/>
        <v>5.26400000000001</v>
      </c>
      <c r="M35" s="54">
        <f>[3]Jun!$AD35</f>
        <v>273</v>
      </c>
      <c r="N35" s="54">
        <f>13+11</f>
        <v>24</v>
      </c>
      <c r="O35" s="54"/>
      <c r="P35" s="50">
        <f t="shared" si="6"/>
        <v>2.6802443991853409</v>
      </c>
      <c r="Q35" s="54">
        <f t="shared" si="7"/>
        <v>413.71428571428572</v>
      </c>
      <c r="R35" s="16"/>
      <c r="S35" s="37"/>
      <c r="T35" s="6"/>
    </row>
    <row r="36" spans="2:20" ht="15.6">
      <c r="B36" s="91">
        <v>45831</v>
      </c>
      <c r="C36" s="87">
        <v>14</v>
      </c>
      <c r="D36" s="29" t="s">
        <v>45</v>
      </c>
      <c r="E36" s="365">
        <v>1380</v>
      </c>
      <c r="F36" s="39">
        <f>[3]Jun!$N93</f>
        <v>909</v>
      </c>
      <c r="G36" s="17">
        <v>5652</v>
      </c>
      <c r="H36" s="53">
        <f t="shared" si="8"/>
        <v>52.668608037274311</v>
      </c>
      <c r="I36" s="54">
        <f>280+25</f>
        <v>305</v>
      </c>
      <c r="J36" s="53">
        <f>SUM(96.5,101.4,74.8,100.5)</f>
        <v>373.2</v>
      </c>
      <c r="K36" s="53">
        <f>(G36)*0.066</f>
        <v>373.03200000000004</v>
      </c>
      <c r="L36" s="53">
        <f t="shared" ref="L36:L41" si="9">J36-K36</f>
        <v>0.16799999999994952</v>
      </c>
      <c r="M36" s="54">
        <f>[3]Jun!$AD36</f>
        <v>251</v>
      </c>
      <c r="N36" s="54">
        <f>18+17+38</f>
        <v>73</v>
      </c>
      <c r="O36" s="175"/>
      <c r="P36" s="50">
        <f t="shared" si="6"/>
        <v>4.5016077170404484E-2</v>
      </c>
      <c r="Q36" s="54">
        <f t="shared" si="7"/>
        <v>373.06930693069307</v>
      </c>
      <c r="R36" s="16"/>
      <c r="S36" s="37"/>
      <c r="T36" s="6"/>
    </row>
    <row r="37" spans="2:20" ht="15.6">
      <c r="B37" s="91">
        <v>45831</v>
      </c>
      <c r="C37" s="87">
        <v>14</v>
      </c>
      <c r="D37" s="29" t="s">
        <v>44</v>
      </c>
      <c r="E37" s="366"/>
      <c r="F37" s="39">
        <f>[3]Jun!$N94</f>
        <v>82</v>
      </c>
      <c r="G37" s="17">
        <v>1558</v>
      </c>
      <c r="H37" s="53">
        <f t="shared" si="8"/>
        <v>160.94117647058823</v>
      </c>
      <c r="I37" s="54"/>
      <c r="J37" s="53">
        <f>SUM(98.4,106.8)-99.9</f>
        <v>105.29999999999998</v>
      </c>
      <c r="K37" s="53">
        <f>(G37)*0.066</f>
        <v>102.828</v>
      </c>
      <c r="L37" s="53">
        <f>J37-K37</f>
        <v>2.47199999999998</v>
      </c>
      <c r="M37" s="54">
        <f>[3]Jun!$AD37</f>
        <v>193</v>
      </c>
      <c r="N37" s="54">
        <v>1</v>
      </c>
      <c r="O37" s="175"/>
      <c r="P37" s="50">
        <f t="shared" si="6"/>
        <v>2.3475783475783287</v>
      </c>
      <c r="Q37" s="54">
        <f t="shared" si="7"/>
        <v>1140</v>
      </c>
      <c r="R37" s="374">
        <f>((J37+J38+J39)-(K37+K38+K39))/(J37+J38+J39)*100</f>
        <v>1.9060233364869072</v>
      </c>
      <c r="S37" s="37"/>
      <c r="T37" s="6"/>
    </row>
    <row r="38" spans="2:20" ht="15.6">
      <c r="B38" s="91">
        <v>45832</v>
      </c>
      <c r="C38" s="87">
        <v>15</v>
      </c>
      <c r="D38" s="29" t="s">
        <v>49</v>
      </c>
      <c r="E38" s="47">
        <v>1440</v>
      </c>
      <c r="F38" s="39">
        <f>[3]Jun!$N95</f>
        <v>709</v>
      </c>
      <c r="G38" s="17">
        <v>5572</v>
      </c>
      <c r="H38" s="53">
        <f t="shared" si="8"/>
        <v>66.569982576951801</v>
      </c>
      <c r="I38" s="54"/>
      <c r="J38" s="53">
        <f>SUM(95,99.9,107.5,33.8,100.9)-45-8.2</f>
        <v>383.90000000000003</v>
      </c>
      <c r="K38" s="53">
        <f>(G38)*0.066+(50*0.19)</f>
        <v>377.25200000000001</v>
      </c>
      <c r="L38" s="53">
        <f>J38-K38</f>
        <v>6.6480000000000246</v>
      </c>
      <c r="M38" s="54">
        <f>[3]Jun!$AD38</f>
        <v>829</v>
      </c>
      <c r="N38" s="54">
        <f>13+3+3</f>
        <v>19</v>
      </c>
      <c r="O38" s="54">
        <v>50</v>
      </c>
      <c r="P38" s="50">
        <f t="shared" si="6"/>
        <v>1.7317009637926606</v>
      </c>
      <c r="Q38" s="54">
        <f t="shared" si="7"/>
        <v>471.53737658674191</v>
      </c>
      <c r="R38" s="374"/>
      <c r="S38" s="37"/>
      <c r="T38" s="6"/>
    </row>
    <row r="39" spans="2:20" ht="15.6">
      <c r="B39" s="91">
        <v>45833</v>
      </c>
      <c r="C39" s="87">
        <v>16</v>
      </c>
      <c r="D39" s="29" t="s">
        <v>49</v>
      </c>
      <c r="E39" s="365">
        <v>1440</v>
      </c>
      <c r="F39" s="39">
        <f>[3]Jun!$N96</f>
        <v>262</v>
      </c>
      <c r="G39" s="17">
        <v>2152</v>
      </c>
      <c r="H39" s="53">
        <f t="shared" si="8"/>
        <v>69.575213291423452</v>
      </c>
      <c r="I39" s="54"/>
      <c r="J39" s="53">
        <f>SUM(45+8.2+91.8)</f>
        <v>145</v>
      </c>
      <c r="K39" s="53">
        <f t="shared" ref="K39:K41" si="10">(G39)*0.066</f>
        <v>142.03200000000001</v>
      </c>
      <c r="L39" s="53">
        <f t="shared" si="9"/>
        <v>2.9679999999999893</v>
      </c>
      <c r="M39" s="54">
        <f>[3]Jun!$AD39</f>
        <v>31</v>
      </c>
      <c r="N39" s="54">
        <v>13</v>
      </c>
      <c r="O39" s="54"/>
      <c r="P39" s="50">
        <f t="shared" si="6"/>
        <v>2.0468965517241302</v>
      </c>
      <c r="Q39" s="54">
        <f t="shared" si="7"/>
        <v>492.82442748091609</v>
      </c>
      <c r="R39" s="374"/>
      <c r="S39" s="37"/>
      <c r="T39" s="6"/>
    </row>
    <row r="40" spans="2:20" ht="17.25" customHeight="1">
      <c r="B40" s="91">
        <v>45833</v>
      </c>
      <c r="C40" s="87">
        <v>16</v>
      </c>
      <c r="D40" s="115" t="s">
        <v>47</v>
      </c>
      <c r="E40" s="366"/>
      <c r="F40" s="39">
        <f>[3]Jun!$N97</f>
        <v>1082</v>
      </c>
      <c r="G40" s="17">
        <v>7898</v>
      </c>
      <c r="H40" s="53">
        <f t="shared" si="8"/>
        <v>61.830596933782743</v>
      </c>
      <c r="I40" s="54"/>
      <c r="J40" s="53">
        <f>92.5+101.5+97+101.3+94+82.6-37</f>
        <v>531.9</v>
      </c>
      <c r="K40" s="53">
        <f>(G40)*0.066+(30*0.19)</f>
        <v>526.96800000000007</v>
      </c>
      <c r="L40" s="53">
        <f t="shared" si="9"/>
        <v>4.9319999999999027</v>
      </c>
      <c r="M40" s="54">
        <f>[3]Jun!$AD40</f>
        <v>299</v>
      </c>
      <c r="N40" s="54">
        <f>1+7+10</f>
        <v>18</v>
      </c>
      <c r="O40" s="54">
        <v>30</v>
      </c>
      <c r="P40" s="50">
        <f t="shared" si="6"/>
        <v>0.92724196277493942</v>
      </c>
      <c r="Q40" s="54">
        <f t="shared" si="7"/>
        <v>437.96672828096115</v>
      </c>
      <c r="R40" s="371">
        <f>((J40+J41)-(K40+K41))/(J40+J41)*100</f>
        <v>0.8739673053260445</v>
      </c>
    </row>
    <row r="41" spans="2:20" ht="17.399999999999999">
      <c r="B41" s="59">
        <v>45834</v>
      </c>
      <c r="C41" s="48">
        <v>17</v>
      </c>
      <c r="D41" s="115" t="s">
        <v>47</v>
      </c>
      <c r="E41" s="365">
        <v>1440</v>
      </c>
      <c r="F41" s="39">
        <f>[3]Jun!$N98</f>
        <v>75</v>
      </c>
      <c r="G41" s="17">
        <v>560</v>
      </c>
      <c r="H41" s="53">
        <f>(G41)*24/(F41/60)/17000*100</f>
        <v>63.247058823529414</v>
      </c>
      <c r="J41" s="53">
        <v>37</v>
      </c>
      <c r="K41" s="53">
        <f t="shared" si="10"/>
        <v>36.96</v>
      </c>
      <c r="L41" s="53">
        <f t="shared" si="9"/>
        <v>3.9999999999999147E-2</v>
      </c>
      <c r="M41" s="54">
        <f>[3]Jun!$AD41</f>
        <v>8</v>
      </c>
      <c r="N41" s="54">
        <v>3</v>
      </c>
      <c r="O41" s="54"/>
      <c r="P41" s="50">
        <f t="shared" ref="P41:P56" si="11">(J41-K41)/J41*100</f>
        <v>0.10810810810810581</v>
      </c>
      <c r="Q41" s="54">
        <f t="shared" si="2"/>
        <v>448</v>
      </c>
      <c r="R41" s="371"/>
    </row>
    <row r="42" spans="2:20" ht="17.399999999999999">
      <c r="B42" s="59">
        <v>45834</v>
      </c>
      <c r="C42" s="48">
        <v>17</v>
      </c>
      <c r="D42" s="115" t="s">
        <v>49</v>
      </c>
      <c r="E42" s="354"/>
      <c r="F42" s="39">
        <f>[3]Jun!$N99</f>
        <v>928</v>
      </c>
      <c r="G42" s="17">
        <v>6248</v>
      </c>
      <c r="H42" s="53">
        <f>(G42)*24/(F42/60)/17000*100</f>
        <v>57.030425963488838</v>
      </c>
      <c r="I42" s="54"/>
      <c r="J42" s="318">
        <f>98.9+99.5+101+85.2+97+100+83-82-79.7</f>
        <v>502.89999999999992</v>
      </c>
      <c r="K42" s="318">
        <f>(G42+G43+G44)*0.066</f>
        <v>489.32400000000001</v>
      </c>
      <c r="L42" s="318">
        <f>J42-K42</f>
        <v>13.575999999999908</v>
      </c>
      <c r="M42" s="54">
        <f>[3]Jun!$AD42</f>
        <v>448</v>
      </c>
      <c r="N42" s="54">
        <f>3+9</f>
        <v>12</v>
      </c>
      <c r="O42" s="54"/>
      <c r="P42" s="318">
        <f>(J42-K42)/J42*100</f>
        <v>2.6995426526148161</v>
      </c>
      <c r="Q42" s="54">
        <f t="shared" si="2"/>
        <v>403.9655172413793</v>
      </c>
      <c r="R42" s="375">
        <f>((J42+J43+J45)-(K42+K43+K45))/(J42+J43+J45)*100</f>
        <v>2.0515544041450733</v>
      </c>
    </row>
    <row r="43" spans="2:20" ht="17.399999999999999">
      <c r="B43" s="59">
        <v>45834</v>
      </c>
      <c r="C43" s="48">
        <v>17</v>
      </c>
      <c r="D43" s="115" t="s">
        <v>58</v>
      </c>
      <c r="E43" s="354"/>
      <c r="F43" s="39">
        <f>[3]Jun!$N100</f>
        <v>190</v>
      </c>
      <c r="G43" s="17">
        <v>879</v>
      </c>
      <c r="H43" s="53">
        <f>(G43)*24/(F43/60)/17000*100</f>
        <v>39.187616099071207</v>
      </c>
      <c r="I43" s="54"/>
      <c r="J43" s="318"/>
      <c r="K43" s="318"/>
      <c r="L43" s="318"/>
      <c r="M43" s="54">
        <f>[3]Jun!$AD43</f>
        <v>98</v>
      </c>
      <c r="N43" s="54">
        <v>8</v>
      </c>
      <c r="O43" s="54"/>
      <c r="P43" s="318"/>
      <c r="Q43" s="54">
        <f t="shared" si="2"/>
        <v>277.57894736842104</v>
      </c>
      <c r="R43" s="375"/>
    </row>
    <row r="44" spans="2:20" ht="17.399999999999999">
      <c r="B44" s="91">
        <v>45834</v>
      </c>
      <c r="C44" s="48">
        <v>17</v>
      </c>
      <c r="D44" s="115" t="s">
        <v>49</v>
      </c>
      <c r="E44" s="366"/>
      <c r="F44" s="39">
        <f>[3]Jun!$N101</f>
        <v>34</v>
      </c>
      <c r="G44" s="17">
        <v>287</v>
      </c>
      <c r="H44" s="53">
        <f>(G44)*24/(F44/60)/17000*100</f>
        <v>71.501730103806224</v>
      </c>
      <c r="I44" s="54"/>
      <c r="J44" s="318"/>
      <c r="K44" s="318"/>
      <c r="L44" s="318"/>
      <c r="M44" s="54">
        <f>[3]Jun!$AD44</f>
        <v>10</v>
      </c>
      <c r="N44" s="54">
        <v>0</v>
      </c>
      <c r="O44" s="54"/>
      <c r="P44" s="318"/>
      <c r="Q44" s="54">
        <f t="shared" si="2"/>
        <v>506.47058823529414</v>
      </c>
      <c r="R44" s="375"/>
    </row>
    <row r="45" spans="2:20" ht="17.399999999999999" customHeight="1">
      <c r="B45" s="91">
        <v>45835</v>
      </c>
      <c r="C45" s="48">
        <v>18</v>
      </c>
      <c r="D45" s="115" t="s">
        <v>49</v>
      </c>
      <c r="E45" s="365">
        <v>1211</v>
      </c>
      <c r="F45" s="39">
        <f>[3]Jun!$N102</f>
        <v>572</v>
      </c>
      <c r="G45" s="17">
        <v>4006</v>
      </c>
      <c r="H45" s="53">
        <f t="shared" ref="H45:H57" si="12">(G45)*24/(F45/60)/17000*100</f>
        <v>59.323735088440976</v>
      </c>
      <c r="I45" s="54"/>
      <c r="J45" s="318">
        <f>SUM(82,79.7,107.4)</f>
        <v>269.10000000000002</v>
      </c>
      <c r="K45" s="318">
        <f>(G45+G46)*0.066</f>
        <v>266.83800000000002</v>
      </c>
      <c r="L45" s="318">
        <f>J45-K45</f>
        <v>2.2620000000000005</v>
      </c>
      <c r="M45" s="54">
        <f>[3]Jun!$AD45</f>
        <v>99</v>
      </c>
      <c r="N45" s="54">
        <f>17+8</f>
        <v>25</v>
      </c>
      <c r="O45" s="54"/>
      <c r="P45" s="318">
        <f>(J45-K45)/J45*100</f>
        <v>0.84057971014492761</v>
      </c>
      <c r="Q45" s="54">
        <f t="shared" si="2"/>
        <v>420.20979020979024</v>
      </c>
      <c r="R45" s="375"/>
    </row>
    <row r="46" spans="2:20" ht="16.5" customHeight="1">
      <c r="B46" s="91">
        <v>45835</v>
      </c>
      <c r="C46" s="48">
        <v>18</v>
      </c>
      <c r="D46" s="115" t="s">
        <v>58</v>
      </c>
      <c r="E46" s="354"/>
      <c r="F46" s="39">
        <f>[3]Jun!$N103</f>
        <v>14</v>
      </c>
      <c r="G46" s="17">
        <v>37</v>
      </c>
      <c r="H46" s="53">
        <f t="shared" si="12"/>
        <v>22.386554621848738</v>
      </c>
      <c r="I46" s="54"/>
      <c r="J46" s="318"/>
      <c r="K46" s="318"/>
      <c r="L46" s="318"/>
      <c r="M46" s="54">
        <f>[3]Jun!$AD46</f>
        <v>27</v>
      </c>
      <c r="N46" s="54">
        <v>1</v>
      </c>
      <c r="O46" s="54"/>
      <c r="P46" s="318"/>
      <c r="Q46" s="54">
        <f t="shared" si="2"/>
        <v>158.57142857142856</v>
      </c>
      <c r="R46" s="375"/>
    </row>
    <row r="47" spans="2:20" ht="15.75" customHeight="1">
      <c r="B47" s="91">
        <v>45835</v>
      </c>
      <c r="C47" s="48">
        <v>18</v>
      </c>
      <c r="D47" s="115" t="s">
        <v>100</v>
      </c>
      <c r="E47" s="366"/>
      <c r="F47" s="39">
        <f>[3]Jun!$N104</f>
        <v>375</v>
      </c>
      <c r="G47" s="17">
        <v>2051</v>
      </c>
      <c r="H47" s="53">
        <f t="shared" si="12"/>
        <v>46.328470588235291</v>
      </c>
      <c r="I47" s="54"/>
      <c r="J47" s="53">
        <f>SUM(102.7,100)-65.5</f>
        <v>137.19999999999999</v>
      </c>
      <c r="K47" s="53">
        <f>(G47)*0.066</f>
        <v>135.36600000000001</v>
      </c>
      <c r="L47" s="53">
        <f>J47-K47</f>
        <v>1.8339999999999748</v>
      </c>
      <c r="M47" s="54">
        <f>[3]Jun!$AD47</f>
        <v>336</v>
      </c>
      <c r="N47" s="54">
        <v>16</v>
      </c>
      <c r="O47" s="54"/>
      <c r="P47" s="50">
        <f t="shared" si="11"/>
        <v>1.3367346938775326</v>
      </c>
      <c r="Q47" s="54">
        <f t="shared" si="2"/>
        <v>328.16</v>
      </c>
      <c r="R47" s="316">
        <f>((J47+J48)-(K47+K48))/(J47+J48)*100</f>
        <v>2.2210162802170603</v>
      </c>
    </row>
    <row r="48" spans="2:20" ht="15.75" customHeight="1">
      <c r="B48" s="59">
        <v>45838</v>
      </c>
      <c r="C48" s="48">
        <v>19</v>
      </c>
      <c r="D48" s="115" t="s">
        <v>100</v>
      </c>
      <c r="E48" s="365">
        <v>1380</v>
      </c>
      <c r="F48" s="39">
        <f>[3]Jun!$N105</f>
        <v>121</v>
      </c>
      <c r="G48" s="17">
        <v>952</v>
      </c>
      <c r="H48" s="53">
        <f t="shared" si="12"/>
        <v>66.644628099173559</v>
      </c>
      <c r="I48" s="54"/>
      <c r="J48" s="53">
        <v>65.5</v>
      </c>
      <c r="K48" s="53">
        <f t="shared" ref="K48:K56" si="13">(G48)*0.066</f>
        <v>62.832000000000001</v>
      </c>
      <c r="L48" s="53">
        <f t="shared" ref="L48:L57" si="14">J48-K48</f>
        <v>2.6679999999999993</v>
      </c>
      <c r="M48" s="54">
        <f>[3]Jun!$AD48</f>
        <v>104</v>
      </c>
      <c r="N48" s="54">
        <v>21</v>
      </c>
      <c r="O48" s="54"/>
      <c r="P48" s="50">
        <f t="shared" si="11"/>
        <v>4.0732824427480905</v>
      </c>
      <c r="Q48" s="54">
        <f t="shared" si="2"/>
        <v>472.06611570247935</v>
      </c>
      <c r="R48" s="316"/>
    </row>
    <row r="49" spans="2:18" ht="15.75" customHeight="1">
      <c r="B49" s="59">
        <v>45838</v>
      </c>
      <c r="C49" s="48">
        <v>19</v>
      </c>
      <c r="D49" s="115" t="s">
        <v>47</v>
      </c>
      <c r="E49" s="366"/>
      <c r="F49" s="39">
        <f>[3]Jun!$N106</f>
        <v>717</v>
      </c>
      <c r="G49" s="17">
        <v>3182</v>
      </c>
      <c r="H49" s="53">
        <f t="shared" si="12"/>
        <v>37.591927147428009</v>
      </c>
      <c r="I49" s="54"/>
      <c r="J49" s="53">
        <f>SUM(96.4,99.7,98.1,100.5)-73.9-81.4-27.1</f>
        <v>212.30000000000007</v>
      </c>
      <c r="K49" s="53">
        <f t="shared" si="13"/>
        <v>210.012</v>
      </c>
      <c r="L49" s="53">
        <f t="shared" si="14"/>
        <v>2.2880000000000678</v>
      </c>
      <c r="M49" s="54">
        <f>[3]Jun!$AD49</f>
        <v>745</v>
      </c>
      <c r="N49" s="54">
        <f>13+14</f>
        <v>27</v>
      </c>
      <c r="O49" s="54"/>
      <c r="P49" s="50">
        <f t="shared" si="11"/>
        <v>1.0777202072539176</v>
      </c>
      <c r="Q49" s="54">
        <f t="shared" si="2"/>
        <v>266.2761506276151</v>
      </c>
      <c r="R49" s="16"/>
    </row>
    <row r="50" spans="2:18" ht="15.75" customHeight="1">
      <c r="B50" s="59"/>
      <c r="C50" s="48"/>
      <c r="D50" s="29"/>
      <c r="E50" s="47"/>
      <c r="F50" s="39"/>
      <c r="G50" s="17"/>
      <c r="H50" s="53" t="e">
        <f t="shared" si="12"/>
        <v>#DIV/0!</v>
      </c>
      <c r="I50" s="54"/>
      <c r="J50" s="53"/>
      <c r="K50" s="53">
        <f t="shared" si="13"/>
        <v>0</v>
      </c>
      <c r="L50" s="53">
        <f t="shared" si="14"/>
        <v>0</v>
      </c>
      <c r="M50" s="54"/>
      <c r="N50" s="54"/>
      <c r="O50" s="54"/>
      <c r="P50" s="50" t="e">
        <f t="shared" si="11"/>
        <v>#DIV/0!</v>
      </c>
      <c r="Q50" s="54" t="e">
        <f t="shared" si="2"/>
        <v>#DIV/0!</v>
      </c>
      <c r="R50" s="16"/>
    </row>
    <row r="51" spans="2:18" ht="15.75" customHeight="1">
      <c r="B51" s="59"/>
      <c r="C51" s="48"/>
      <c r="D51" s="29"/>
      <c r="E51" s="47"/>
      <c r="F51" s="39"/>
      <c r="G51" s="17"/>
      <c r="H51" s="53" t="e">
        <f t="shared" si="12"/>
        <v>#DIV/0!</v>
      </c>
      <c r="I51" s="54"/>
      <c r="J51" s="53"/>
      <c r="K51" s="53">
        <f t="shared" si="13"/>
        <v>0</v>
      </c>
      <c r="L51" s="53">
        <f t="shared" si="14"/>
        <v>0</v>
      </c>
      <c r="M51" s="54"/>
      <c r="N51" s="54"/>
      <c r="O51" s="54"/>
      <c r="P51" s="50" t="e">
        <f t="shared" si="11"/>
        <v>#DIV/0!</v>
      </c>
      <c r="Q51" s="54" t="e">
        <f t="shared" si="2"/>
        <v>#DIV/0!</v>
      </c>
      <c r="R51" s="16"/>
    </row>
    <row r="52" spans="2:18" ht="15.6">
      <c r="B52" s="59"/>
      <c r="C52" s="48"/>
      <c r="D52" s="29"/>
      <c r="E52" s="47"/>
      <c r="F52" s="39"/>
      <c r="G52" s="17"/>
      <c r="H52" s="53" t="e">
        <f t="shared" si="12"/>
        <v>#DIV/0!</v>
      </c>
      <c r="I52" s="54"/>
      <c r="J52" s="53"/>
      <c r="K52" s="53">
        <f t="shared" si="13"/>
        <v>0</v>
      </c>
      <c r="L52" s="53">
        <f t="shared" si="14"/>
        <v>0</v>
      </c>
      <c r="M52" s="54"/>
      <c r="N52" s="54"/>
      <c r="O52" s="54"/>
      <c r="P52" s="50" t="e">
        <f t="shared" si="11"/>
        <v>#DIV/0!</v>
      </c>
      <c r="Q52" s="54" t="e">
        <f t="shared" si="2"/>
        <v>#DIV/0!</v>
      </c>
      <c r="R52" s="16"/>
    </row>
    <row r="53" spans="2:18" ht="15.75" customHeight="1">
      <c r="B53" s="59"/>
      <c r="C53" s="48"/>
      <c r="D53" s="29"/>
      <c r="E53" s="47"/>
      <c r="F53" s="39"/>
      <c r="G53" s="17"/>
      <c r="H53" s="53" t="e">
        <f t="shared" si="12"/>
        <v>#DIV/0!</v>
      </c>
      <c r="I53" s="54"/>
      <c r="J53" s="53"/>
      <c r="K53" s="53">
        <f t="shared" si="13"/>
        <v>0</v>
      </c>
      <c r="L53" s="53">
        <f t="shared" si="14"/>
        <v>0</v>
      </c>
      <c r="M53" s="54"/>
      <c r="N53" s="54"/>
      <c r="O53" s="54"/>
      <c r="P53" s="50" t="e">
        <f t="shared" si="11"/>
        <v>#DIV/0!</v>
      </c>
      <c r="Q53" s="54" t="e">
        <f t="shared" si="2"/>
        <v>#DIV/0!</v>
      </c>
      <c r="R53" s="16"/>
    </row>
    <row r="54" spans="2:18" ht="15.75" customHeight="1">
      <c r="B54" s="59"/>
      <c r="C54" s="48"/>
      <c r="D54" s="29"/>
      <c r="E54" s="47"/>
      <c r="F54" s="39"/>
      <c r="G54" s="17"/>
      <c r="H54" s="53" t="e">
        <f t="shared" si="12"/>
        <v>#DIV/0!</v>
      </c>
      <c r="I54" s="54"/>
      <c r="J54" s="53"/>
      <c r="K54" s="53">
        <f t="shared" si="13"/>
        <v>0</v>
      </c>
      <c r="L54" s="53">
        <f t="shared" si="14"/>
        <v>0</v>
      </c>
      <c r="M54" s="54"/>
      <c r="N54" s="54"/>
      <c r="O54" s="54"/>
      <c r="P54" s="50" t="e">
        <f t="shared" si="11"/>
        <v>#DIV/0!</v>
      </c>
      <c r="Q54" s="54" t="e">
        <f t="shared" si="2"/>
        <v>#DIV/0!</v>
      </c>
      <c r="R54" s="16"/>
    </row>
    <row r="55" spans="2:18" ht="22.5" customHeight="1">
      <c r="B55" s="59"/>
      <c r="C55" s="48"/>
      <c r="D55" s="29"/>
      <c r="E55" s="47"/>
      <c r="F55" s="39"/>
      <c r="G55" s="17"/>
      <c r="H55" s="53" t="e">
        <f t="shared" si="12"/>
        <v>#DIV/0!</v>
      </c>
      <c r="I55" s="54"/>
      <c r="J55" s="53"/>
      <c r="K55" s="53">
        <f t="shared" si="13"/>
        <v>0</v>
      </c>
      <c r="L55" s="53">
        <f t="shared" si="14"/>
        <v>0</v>
      </c>
      <c r="M55" s="54"/>
      <c r="N55" s="54"/>
      <c r="O55" s="54"/>
      <c r="P55" s="50" t="e">
        <f t="shared" si="11"/>
        <v>#DIV/0!</v>
      </c>
      <c r="Q55" s="54" t="e">
        <f t="shared" si="2"/>
        <v>#DIV/0!</v>
      </c>
      <c r="R55" s="16"/>
    </row>
    <row r="56" spans="2:18" ht="16.2" thickBot="1">
      <c r="B56" s="3"/>
      <c r="C56" s="48"/>
      <c r="D56" s="29"/>
      <c r="E56" s="47"/>
      <c r="F56" s="39"/>
      <c r="G56" s="17"/>
      <c r="H56" s="53" t="e">
        <f t="shared" si="12"/>
        <v>#DIV/0!</v>
      </c>
      <c r="I56" s="54"/>
      <c r="J56" s="53"/>
      <c r="K56" s="53">
        <f t="shared" si="13"/>
        <v>0</v>
      </c>
      <c r="L56" s="53">
        <f t="shared" si="14"/>
        <v>0</v>
      </c>
      <c r="M56" s="54"/>
      <c r="N56" s="54"/>
      <c r="O56" s="54"/>
      <c r="P56" s="50" t="e">
        <f t="shared" si="11"/>
        <v>#DIV/0!</v>
      </c>
      <c r="Q56" s="54" t="e">
        <f t="shared" si="2"/>
        <v>#DIV/0!</v>
      </c>
      <c r="R56" s="16"/>
    </row>
    <row r="57" spans="2:18" ht="16.8" thickTop="1" thickBot="1">
      <c r="B57" s="12"/>
      <c r="C57" s="12"/>
      <c r="D57" s="30"/>
      <c r="E57" s="22">
        <f>SUM(E8:E56)</f>
        <v>26200</v>
      </c>
      <c r="F57" s="22">
        <f>SUM(F8:F56)</f>
        <v>20497</v>
      </c>
      <c r="G57" s="15">
        <f>SUM(G8:G56)</f>
        <v>126348</v>
      </c>
      <c r="H57" s="13">
        <f t="shared" si="12"/>
        <v>52.214562245837989</v>
      </c>
      <c r="I57" s="14">
        <f>SUM(I8:I56)</f>
        <v>712.18000000000006</v>
      </c>
      <c r="J57" s="13">
        <f>SUM(J8:J56)</f>
        <v>8559.1999999999989</v>
      </c>
      <c r="K57" s="13">
        <f>SUM(K8:K56)</f>
        <v>8405.9008000000013</v>
      </c>
      <c r="L57" s="51">
        <f t="shared" si="14"/>
        <v>153.29919999999765</v>
      </c>
      <c r="M57" s="14">
        <f>SUM(M8:M56)</f>
        <v>10622</v>
      </c>
      <c r="N57" s="36">
        <f>SUM(N8:N56)</f>
        <v>828</v>
      </c>
      <c r="O57" s="14">
        <f>SUM(O8:O56)</f>
        <v>160</v>
      </c>
      <c r="P57" s="24">
        <f>(J57-K57)/J57</f>
        <v>1.791045892139425E-2</v>
      </c>
      <c r="Q57" s="396">
        <f>G57/(E57/60)</f>
        <v>289.34656488549615</v>
      </c>
      <c r="R57" s="400">
        <f>(January_2025!G65+February_2025!G63+March_2025!G62+'April_2025 '!G54+May_2025!G63+G57)/((January_2025!E65+February_2025!E63+March_2025!E62+'April_2025 '!E54+May_2025!E63+E57)/60)</f>
        <v>270.76660499600621</v>
      </c>
    </row>
    <row r="58" spans="2:18" ht="16.8" thickTop="1" thickBot="1">
      <c r="G58" s="1"/>
      <c r="H58" s="1"/>
      <c r="L58" s="18"/>
      <c r="M58" s="18"/>
      <c r="N58" s="40" t="s">
        <v>23</v>
      </c>
      <c r="O58" s="18"/>
      <c r="Q58" s="5"/>
    </row>
    <row r="59" spans="2:18" ht="21" thickTop="1" thickBot="1">
      <c r="G59" s="1"/>
      <c r="H59" s="1"/>
      <c r="K59" s="45" t="s">
        <v>36</v>
      </c>
      <c r="L59" s="15">
        <f>G57+O59</f>
        <v>126788</v>
      </c>
      <c r="M59" s="18"/>
      <c r="N59" s="40" t="s">
        <v>31</v>
      </c>
      <c r="O59" s="86">
        <f>O57*2.75</f>
        <v>440</v>
      </c>
      <c r="P59" s="398" t="s">
        <v>146</v>
      </c>
      <c r="Q59" s="397">
        <v>369.85314924135241</v>
      </c>
      <c r="R59" s="399">
        <v>362.5526080040953</v>
      </c>
    </row>
    <row r="60" spans="2:18" ht="16.2" thickTop="1">
      <c r="G60" s="1"/>
      <c r="H60" s="1"/>
      <c r="L60" s="18"/>
      <c r="M60" s="18"/>
      <c r="N60" s="18"/>
      <c r="O60" s="18"/>
      <c r="Q60" s="5"/>
    </row>
    <row r="61" spans="2:18" s="83" customFormat="1" ht="15.6">
      <c r="B61" s="81"/>
      <c r="C61" s="81"/>
      <c r="D61" s="82"/>
      <c r="E61" s="61"/>
      <c r="F61" s="23"/>
      <c r="G61" s="1"/>
      <c r="H61" s="1"/>
      <c r="I61" s="7"/>
      <c r="J61" s="7"/>
      <c r="K61" s="25"/>
      <c r="L61" s="18"/>
      <c r="M61" s="18"/>
      <c r="N61" s="18" t="s">
        <v>30</v>
      </c>
      <c r="O61" s="18"/>
      <c r="P61" s="25"/>
      <c r="Q61" s="74"/>
    </row>
    <row r="62" spans="2:18" ht="15.6">
      <c r="E62" s="61"/>
      <c r="G62" s="1"/>
      <c r="H62" s="1"/>
      <c r="L62" s="18"/>
      <c r="M62" s="18"/>
      <c r="N62" s="18" t="s">
        <v>27</v>
      </c>
      <c r="O62" s="18"/>
      <c r="Q62" s="5"/>
    </row>
    <row r="63" spans="2:18" ht="15.6">
      <c r="G63" s="1"/>
      <c r="H63" s="1"/>
      <c r="L63" s="18">
        <f>35*2.75</f>
        <v>96.25</v>
      </c>
      <c r="M63" s="18"/>
      <c r="N63" s="18"/>
      <c r="O63" s="18"/>
      <c r="Q63" s="5"/>
    </row>
    <row r="64" spans="2:18" ht="15.6">
      <c r="G64" s="1"/>
      <c r="H64" s="1"/>
      <c r="L64" s="18"/>
      <c r="M64" s="18"/>
      <c r="N64" s="18"/>
      <c r="O64" s="18"/>
      <c r="Q64" s="5"/>
    </row>
    <row r="65" spans="7:17" ht="15.6">
      <c r="G65" s="85" t="s">
        <v>39</v>
      </c>
      <c r="H65" s="84">
        <f>January_2025!K68+February_2025!L65+March_2025!L64+'April_2025 '!L56+May_2025!M65+L59</f>
        <v>663165.75</v>
      </c>
      <c r="I65" s="157">
        <f>January_2025!G65+February_2025!G63+March_2025!G62+'April_2025 '!G54+May_2025!G63+G57</f>
        <v>661018</v>
      </c>
      <c r="L65" s="18"/>
      <c r="M65" s="18"/>
      <c r="N65" s="18"/>
      <c r="O65" s="18"/>
      <c r="Q65" s="5"/>
    </row>
    <row r="66" spans="7:17" ht="15.6">
      <c r="G66" s="1"/>
      <c r="H66" s="148" t="s">
        <v>40</v>
      </c>
      <c r="I66" s="148" t="s">
        <v>41</v>
      </c>
      <c r="L66" s="18"/>
      <c r="M66" s="18"/>
      <c r="N66" s="18"/>
      <c r="O66" s="18"/>
      <c r="Q66" s="5"/>
    </row>
    <row r="67" spans="7:17" ht="15.6">
      <c r="G67" s="1"/>
      <c r="H67" s="1"/>
      <c r="L67" s="18"/>
      <c r="M67" s="18"/>
      <c r="N67" s="18"/>
      <c r="O67" s="18"/>
      <c r="Q67" s="5"/>
    </row>
    <row r="68" spans="7:17" ht="15.6">
      <c r="G68" s="1"/>
      <c r="H68" s="1"/>
      <c r="L68" s="18"/>
      <c r="M68" s="18"/>
      <c r="N68" s="18"/>
      <c r="O68" s="18"/>
      <c r="Q68" s="5"/>
    </row>
    <row r="69" spans="7:17" ht="15.6">
      <c r="G69" s="1"/>
      <c r="H69" s="1"/>
      <c r="L69" s="18"/>
      <c r="M69" s="18"/>
      <c r="N69" s="18"/>
      <c r="O69" s="18"/>
      <c r="Q69" s="5"/>
    </row>
    <row r="70" spans="7:17" ht="15.6">
      <c r="G70" s="1"/>
      <c r="H70" s="1"/>
      <c r="L70" s="18"/>
      <c r="M70" s="18"/>
      <c r="N70" s="18"/>
      <c r="O70" s="18"/>
      <c r="Q70" s="5"/>
    </row>
    <row r="71" spans="7:17" ht="15.6">
      <c r="G71" s="1"/>
      <c r="H71" s="1"/>
      <c r="L71" s="18"/>
      <c r="M71" s="18"/>
      <c r="N71" s="18"/>
      <c r="O71" s="18"/>
      <c r="Q71" s="5"/>
    </row>
    <row r="72" spans="7:17" ht="15.6">
      <c r="G72" s="1"/>
      <c r="H72" s="1"/>
      <c r="L72" s="18"/>
      <c r="M72" s="18"/>
      <c r="N72" s="18"/>
      <c r="O72" s="18"/>
      <c r="Q72" s="5"/>
    </row>
    <row r="73" spans="7:17">
      <c r="G73" s="1"/>
      <c r="H73" s="1"/>
      <c r="Q73" s="5"/>
    </row>
    <row r="74" spans="7:17">
      <c r="G74" s="1"/>
      <c r="H74" s="1"/>
      <c r="Q74" s="5"/>
    </row>
    <row r="75" spans="7:17">
      <c r="G75" s="1"/>
      <c r="H75" s="1"/>
      <c r="Q75" s="5"/>
    </row>
    <row r="76" spans="7:17">
      <c r="G76" s="1"/>
      <c r="H76" s="1"/>
      <c r="Q76" s="5"/>
    </row>
    <row r="77" spans="7:17">
      <c r="G77" s="1"/>
      <c r="H77" s="1"/>
      <c r="Q77" s="5"/>
    </row>
    <row r="78" spans="7:17">
      <c r="G78" s="1"/>
      <c r="H78" s="1"/>
      <c r="Q78" s="5"/>
    </row>
    <row r="79" spans="7:17">
      <c r="G79" s="1"/>
      <c r="H79" s="1"/>
      <c r="Q79" s="5"/>
    </row>
    <row r="80" spans="7:17">
      <c r="G80" s="1"/>
      <c r="H80" s="1"/>
      <c r="Q80" s="5"/>
    </row>
    <row r="81" spans="7:17">
      <c r="G81" s="1"/>
      <c r="H81" s="1"/>
      <c r="Q81" s="5"/>
    </row>
    <row r="82" spans="7:17">
      <c r="G82" s="1"/>
      <c r="H82" s="1"/>
      <c r="Q82" s="5"/>
    </row>
    <row r="83" spans="7:17">
      <c r="G83" s="1"/>
      <c r="H83" s="1"/>
      <c r="Q83" s="5"/>
    </row>
    <row r="84" spans="7:17">
      <c r="G84" s="1"/>
      <c r="H84" s="1"/>
      <c r="Q84" s="5"/>
    </row>
    <row r="85" spans="7:17">
      <c r="G85" s="1"/>
      <c r="H85" s="1"/>
      <c r="Q85" s="5"/>
    </row>
    <row r="86" spans="7:17">
      <c r="G86" s="1"/>
      <c r="H86" s="1"/>
      <c r="Q86" s="5"/>
    </row>
    <row r="87" spans="7:17">
      <c r="G87" s="1"/>
      <c r="H87" s="1"/>
      <c r="Q87" s="5"/>
    </row>
    <row r="88" spans="7:17">
      <c r="G88" s="1"/>
      <c r="H88" s="1"/>
      <c r="Q88" s="5"/>
    </row>
    <row r="89" spans="7:17">
      <c r="G89" s="1"/>
      <c r="H89" s="1"/>
      <c r="Q89" s="5"/>
    </row>
    <row r="90" spans="7:17">
      <c r="G90" s="1"/>
      <c r="H90" s="1"/>
      <c r="Q90" s="5"/>
    </row>
    <row r="91" spans="7:17">
      <c r="G91" s="1"/>
      <c r="H91" s="1"/>
      <c r="Q91" s="5"/>
    </row>
    <row r="92" spans="7:17">
      <c r="G92" s="1"/>
      <c r="H92" s="1"/>
      <c r="Q92" s="5"/>
    </row>
    <row r="93" spans="7:17">
      <c r="G93" s="1"/>
      <c r="H93" s="1"/>
      <c r="Q93" s="5"/>
    </row>
    <row r="94" spans="7:17">
      <c r="G94" s="1"/>
      <c r="H94" s="1"/>
      <c r="Q94" s="5"/>
    </row>
    <row r="95" spans="7:17">
      <c r="G95" s="1"/>
      <c r="H95" s="1"/>
      <c r="Q95" s="5"/>
    </row>
    <row r="96" spans="7:17">
      <c r="G96" s="1"/>
      <c r="H96" s="1"/>
      <c r="Q96" s="5"/>
    </row>
    <row r="97" spans="7:17">
      <c r="G97" s="1"/>
      <c r="H97" s="1"/>
      <c r="Q97" s="5"/>
    </row>
    <row r="98" spans="7:17">
      <c r="G98" s="1"/>
      <c r="H98" s="1"/>
      <c r="Q98" s="5"/>
    </row>
    <row r="99" spans="7:17">
      <c r="G99" s="1"/>
      <c r="H99" s="1"/>
      <c r="Q99" s="5"/>
    </row>
    <row r="100" spans="7:17">
      <c r="G100" s="1"/>
      <c r="H100" s="1"/>
      <c r="Q100" s="5"/>
    </row>
    <row r="101" spans="7:17">
      <c r="G101" s="1"/>
      <c r="H101" s="1"/>
      <c r="Q101" s="5"/>
    </row>
    <row r="102" spans="7:17">
      <c r="G102" s="1"/>
      <c r="H102" s="1"/>
      <c r="Q102" s="5"/>
    </row>
    <row r="103" spans="7:17">
      <c r="G103" s="1"/>
      <c r="H103" s="1"/>
      <c r="Q103" s="5"/>
    </row>
    <row r="104" spans="7:17">
      <c r="G104" s="1"/>
      <c r="H104" s="1"/>
      <c r="Q104" s="5"/>
    </row>
    <row r="105" spans="7:17">
      <c r="G105" s="1"/>
      <c r="H105" s="1"/>
      <c r="Q105" s="5"/>
    </row>
    <row r="106" spans="7:17">
      <c r="G106" s="1"/>
      <c r="H106" s="1"/>
      <c r="Q106" s="5"/>
    </row>
    <row r="107" spans="7:17">
      <c r="G107" s="1"/>
      <c r="H107" s="1"/>
      <c r="Q107" s="5"/>
    </row>
    <row r="108" spans="7:17">
      <c r="G108" s="1"/>
      <c r="H108" s="1"/>
      <c r="Q108" s="5"/>
    </row>
    <row r="109" spans="7:17">
      <c r="G109" s="1"/>
      <c r="H109" s="1"/>
      <c r="Q109" s="5"/>
    </row>
    <row r="110" spans="7:17">
      <c r="G110" s="1"/>
      <c r="H110" s="1"/>
      <c r="Q110" s="5"/>
    </row>
    <row r="111" spans="7:17">
      <c r="G111" s="1"/>
      <c r="H111" s="1"/>
      <c r="Q111" s="5"/>
    </row>
    <row r="112" spans="7:17">
      <c r="G112" s="1"/>
      <c r="H112" s="1"/>
      <c r="Q112" s="5"/>
    </row>
    <row r="113" spans="7:17">
      <c r="G113" s="1"/>
      <c r="H113" s="1"/>
      <c r="Q113" s="5"/>
    </row>
    <row r="114" spans="7:17">
      <c r="G114" s="1"/>
      <c r="H114" s="1"/>
      <c r="Q114" s="5"/>
    </row>
    <row r="115" spans="7:17">
      <c r="G115" s="1"/>
      <c r="H115" s="1"/>
      <c r="Q115" s="5"/>
    </row>
    <row r="116" spans="7:17">
      <c r="G116" s="1"/>
      <c r="H116" s="1"/>
      <c r="Q116" s="5"/>
    </row>
    <row r="117" spans="7:17">
      <c r="G117" s="1"/>
      <c r="H117" s="1"/>
      <c r="Q117" s="5"/>
    </row>
    <row r="118" spans="7:17">
      <c r="G118" s="1"/>
      <c r="H118" s="1"/>
      <c r="Q118" s="5"/>
    </row>
    <row r="119" spans="7:17">
      <c r="G119" s="1"/>
      <c r="H119" s="1"/>
      <c r="Q119" s="5"/>
    </row>
    <row r="120" spans="7:17">
      <c r="G120" s="1"/>
      <c r="H120" s="1"/>
      <c r="Q120" s="5"/>
    </row>
  </sheetData>
  <autoFilter ref="B5:Q59" xr:uid="{03ACAE01-2ED9-4C55-AF02-3179AF7BDDD0}"/>
  <mergeCells count="52">
    <mergeCell ref="E48:E49"/>
    <mergeCell ref="R47:R48"/>
    <mergeCell ref="R40:R41"/>
    <mergeCell ref="E39:E40"/>
    <mergeCell ref="R32:R34"/>
    <mergeCell ref="E41:E44"/>
    <mergeCell ref="K42:K44"/>
    <mergeCell ref="L42:L44"/>
    <mergeCell ref="J42:J44"/>
    <mergeCell ref="P42:P44"/>
    <mergeCell ref="R42:R46"/>
    <mergeCell ref="E45:E47"/>
    <mergeCell ref="J45:J46"/>
    <mergeCell ref="K45:K46"/>
    <mergeCell ref="L45:L46"/>
    <mergeCell ref="P45:P46"/>
    <mergeCell ref="L21:L22"/>
    <mergeCell ref="J21:J22"/>
    <mergeCell ref="E36:E37"/>
    <mergeCell ref="E33:E35"/>
    <mergeCell ref="R20:R23"/>
    <mergeCell ref="P21:P22"/>
    <mergeCell ref="R37:R39"/>
    <mergeCell ref="E18:E19"/>
    <mergeCell ref="K12:K13"/>
    <mergeCell ref="L12:L13"/>
    <mergeCell ref="E11:E13"/>
    <mergeCell ref="E14:E17"/>
    <mergeCell ref="B1:Q1"/>
    <mergeCell ref="B3:Q3"/>
    <mergeCell ref="B4:Q4"/>
    <mergeCell ref="I5:I7"/>
    <mergeCell ref="L5:L7"/>
    <mergeCell ref="M5:M7"/>
    <mergeCell ref="N5:N7"/>
    <mergeCell ref="O5:O7"/>
    <mergeCell ref="R6:R7"/>
    <mergeCell ref="P12:P13"/>
    <mergeCell ref="E8:E9"/>
    <mergeCell ref="J12:J13"/>
    <mergeCell ref="E31:E32"/>
    <mergeCell ref="R29:R30"/>
    <mergeCell ref="E28:E29"/>
    <mergeCell ref="E26:E27"/>
    <mergeCell ref="E23:E25"/>
    <mergeCell ref="E21:E22"/>
    <mergeCell ref="N21:N22"/>
    <mergeCell ref="K21:K22"/>
    <mergeCell ref="R17:R18"/>
    <mergeCell ref="R9:R11"/>
    <mergeCell ref="R12:R15"/>
    <mergeCell ref="R25:R26"/>
  </mergeCells>
  <conditionalFormatting sqref="I8:I40 I42:I56">
    <cfRule type="cellIs" dxfId="77" priority="25" stopIfTrue="1" operator="lessThan">
      <formula>50</formula>
    </cfRule>
  </conditionalFormatting>
  <conditionalFormatting sqref="P8:P40">
    <cfRule type="cellIs" dxfId="76" priority="5" operator="greaterThan">
      <formula>1.8</formula>
    </cfRule>
  </conditionalFormatting>
  <conditionalFormatting sqref="P41:P42 P45 P47:P56">
    <cfRule type="cellIs" dxfId="75" priority="13" stopIfTrue="1" operator="greaterThan">
      <formula>1.1</formula>
    </cfRule>
  </conditionalFormatting>
  <conditionalFormatting sqref="R9 R12">
    <cfRule type="cellIs" dxfId="74" priority="12" operator="greaterThan">
      <formula>1.8</formula>
    </cfRule>
  </conditionalFormatting>
  <conditionalFormatting sqref="R17">
    <cfRule type="cellIs" dxfId="73" priority="10" operator="greaterThan">
      <formula>1.8</formula>
    </cfRule>
  </conditionalFormatting>
  <conditionalFormatting sqref="R20">
    <cfRule type="cellIs" dxfId="72" priority="9" operator="greaterThan">
      <formula>1.8</formula>
    </cfRule>
  </conditionalFormatting>
  <conditionalFormatting sqref="R25">
    <cfRule type="cellIs" dxfId="71" priority="8" operator="greaterThan">
      <formula>1.8</formula>
    </cfRule>
  </conditionalFormatting>
  <conditionalFormatting sqref="R29">
    <cfRule type="cellIs" dxfId="70" priority="7" operator="greaterThan">
      <formula>1.8</formula>
    </cfRule>
  </conditionalFormatting>
  <conditionalFormatting sqref="R32">
    <cfRule type="cellIs" dxfId="69" priority="6" operator="greaterThan">
      <formula>1.8</formula>
    </cfRule>
  </conditionalFormatting>
  <conditionalFormatting sqref="R37">
    <cfRule type="cellIs" dxfId="68" priority="4" operator="greaterThan">
      <formula>1.8</formula>
    </cfRule>
  </conditionalFormatting>
  <conditionalFormatting sqref="R40 R42">
    <cfRule type="cellIs" dxfId="67" priority="3" operator="greaterThan">
      <formula>1.8</formula>
    </cfRule>
  </conditionalFormatting>
  <conditionalFormatting sqref="R47">
    <cfRule type="cellIs" dxfId="66" priority="1" operator="greaterThan">
      <formula>1.8</formula>
    </cfRule>
  </conditionalFormatting>
  <pageMargins left="0.25" right="0.25" top="0.75" bottom="0.75" header="0.3" footer="0.3"/>
  <pageSetup scale="58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indexed="11"/>
    <pageSetUpPr fitToPage="1"/>
  </sheetPr>
  <dimension ref="B1:T118"/>
  <sheetViews>
    <sheetView topLeftCell="A4" zoomScale="80" zoomScaleNormal="80" zoomScaleSheetLayoutView="80" workbookViewId="0">
      <pane xSplit="2" ySplit="4" topLeftCell="D42" activePane="bottomRight" state="frozen"/>
      <selection activeCell="A4" sqref="A4"/>
      <selection pane="topRight" activeCell="B4" sqref="B4"/>
      <selection pane="bottomLeft" activeCell="A8" sqref="A8"/>
      <selection pane="bottomRight" activeCell="R55" sqref="R55"/>
    </sheetView>
  </sheetViews>
  <sheetFormatPr defaultRowHeight="13.2"/>
  <cols>
    <col min="1" max="1" width="2.44140625" customWidth="1"/>
    <col min="2" max="2" width="9.109375" style="206" customWidth="1"/>
    <col min="3" max="3" width="7" style="206" customWidth="1"/>
    <col min="4" max="4" width="58.6640625" style="211" customWidth="1"/>
    <col min="5" max="5" width="8.88671875" style="1" customWidth="1"/>
    <col min="6" max="6" width="7.5546875" style="23" customWidth="1"/>
    <col min="7" max="8" width="13.5546875" customWidth="1"/>
    <col min="9" max="9" width="16.44140625" style="7" bestFit="1" customWidth="1"/>
    <col min="10" max="10" width="11" style="7" customWidth="1"/>
    <col min="11" max="11" width="13.109375" style="7" customWidth="1"/>
    <col min="12" max="12" width="14" style="7" customWidth="1"/>
    <col min="13" max="13" width="16.88671875" style="7" customWidth="1"/>
    <col min="14" max="14" width="16.5546875" style="207" customWidth="1"/>
    <col min="15" max="15" width="9.44140625" style="207" customWidth="1"/>
    <col min="16" max="16" width="18.5546875" style="25" customWidth="1"/>
    <col min="17" max="17" width="15" style="6" customWidth="1"/>
    <col min="18" max="18" width="11" customWidth="1"/>
    <col min="21" max="21" width="20.88671875" customWidth="1"/>
    <col min="22" max="22" width="13.5546875" customWidth="1"/>
    <col min="23" max="23" width="15.88671875" customWidth="1"/>
    <col min="24" max="24" width="10.5546875" customWidth="1"/>
  </cols>
  <sheetData>
    <row r="1" spans="2:20" ht="25.8">
      <c r="B1" s="324" t="s">
        <v>0</v>
      </c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</row>
    <row r="3" spans="2:20" ht="23.4">
      <c r="B3" s="325" t="s">
        <v>1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</row>
    <row r="4" spans="2:20" ht="21" thickBot="1">
      <c r="B4" s="326">
        <v>45839</v>
      </c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</row>
    <row r="5" spans="2:20" ht="17.25" customHeight="1" thickTop="1" thickBot="1">
      <c r="B5" s="2" t="s">
        <v>2</v>
      </c>
      <c r="C5" s="2" t="s">
        <v>3</v>
      </c>
      <c r="D5" s="26" t="s">
        <v>4</v>
      </c>
      <c r="E5" s="2" t="s">
        <v>37</v>
      </c>
      <c r="F5" s="19" t="s">
        <v>12</v>
      </c>
      <c r="G5" s="2" t="s">
        <v>5</v>
      </c>
      <c r="H5" s="2" t="s">
        <v>13</v>
      </c>
      <c r="I5" s="327" t="s">
        <v>26</v>
      </c>
      <c r="J5" s="2" t="s">
        <v>18</v>
      </c>
      <c r="K5" s="2" t="s">
        <v>6</v>
      </c>
      <c r="L5" s="330" t="s">
        <v>22</v>
      </c>
      <c r="M5" s="333" t="s">
        <v>24</v>
      </c>
      <c r="N5" s="333" t="s">
        <v>25</v>
      </c>
      <c r="O5" s="333" t="s">
        <v>23</v>
      </c>
      <c r="P5" s="19" t="s">
        <v>6</v>
      </c>
      <c r="Q5" s="4" t="s">
        <v>9</v>
      </c>
      <c r="R5" s="2" t="s">
        <v>20</v>
      </c>
    </row>
    <row r="6" spans="2:20" ht="16.5" customHeight="1" thickTop="1">
      <c r="B6" s="8"/>
      <c r="C6" s="8"/>
      <c r="D6" s="27"/>
      <c r="E6" s="8" t="s">
        <v>11</v>
      </c>
      <c r="F6" s="20" t="s">
        <v>11</v>
      </c>
      <c r="G6" s="8" t="s">
        <v>6</v>
      </c>
      <c r="H6" s="8" t="s">
        <v>14</v>
      </c>
      <c r="I6" s="328"/>
      <c r="J6" s="8" t="s">
        <v>17</v>
      </c>
      <c r="K6" s="8" t="s">
        <v>17</v>
      </c>
      <c r="L6" s="331"/>
      <c r="M6" s="334"/>
      <c r="N6" s="334"/>
      <c r="O6" s="334"/>
      <c r="P6" s="20" t="s">
        <v>19</v>
      </c>
      <c r="Q6" s="9" t="s">
        <v>10</v>
      </c>
      <c r="R6" s="336" t="s">
        <v>21</v>
      </c>
    </row>
    <row r="7" spans="2:20" ht="16.2" thickBot="1">
      <c r="B7" s="10"/>
      <c r="C7" s="10"/>
      <c r="D7" s="28"/>
      <c r="E7" s="8"/>
      <c r="F7" s="21" t="s">
        <v>15</v>
      </c>
      <c r="G7" s="10"/>
      <c r="H7" s="10" t="s">
        <v>16</v>
      </c>
      <c r="I7" s="329"/>
      <c r="J7" s="10"/>
      <c r="K7" s="10"/>
      <c r="L7" s="332"/>
      <c r="M7" s="335"/>
      <c r="N7" s="335"/>
      <c r="O7" s="335"/>
      <c r="P7" s="21"/>
      <c r="Q7" s="11"/>
      <c r="R7" s="337"/>
    </row>
    <row r="8" spans="2:20" ht="15.6">
      <c r="B8" s="91">
        <v>45839</v>
      </c>
      <c r="C8" s="87">
        <v>1</v>
      </c>
      <c r="D8" s="29" t="s">
        <v>47</v>
      </c>
      <c r="E8" s="47">
        <v>1440</v>
      </c>
      <c r="F8" s="39">
        <f>[3]Jul!$N67</f>
        <v>1313</v>
      </c>
      <c r="G8" s="17">
        <v>3782</v>
      </c>
      <c r="H8" s="53">
        <f t="shared" ref="H8:H53" si="0">(G8)*24/(F8/60)/17000*100</f>
        <v>24.398906859011692</v>
      </c>
      <c r="I8" s="191"/>
      <c r="J8" s="255">
        <f>73.9+81.4+27.1+97.7+71.5-92</f>
        <v>259.60000000000002</v>
      </c>
      <c r="K8" s="53">
        <f t="shared" ref="K8:K12" si="1">(G8)*0.066</f>
        <v>249.61200000000002</v>
      </c>
      <c r="L8" s="53">
        <f t="shared" ref="L8:L48" si="2">J8-K8</f>
        <v>9.9879999999999995</v>
      </c>
      <c r="M8" s="54">
        <f>[3]Jul!$AD8</f>
        <v>889</v>
      </c>
      <c r="N8" s="54">
        <f>41+24+6</f>
        <v>71</v>
      </c>
      <c r="O8" s="54"/>
      <c r="P8" s="50">
        <f>(J8-K8)/J8*100</f>
        <v>3.8474576271186436</v>
      </c>
      <c r="Q8" s="38">
        <f t="shared" ref="Q8:Q47" si="3">G8/(F8/60)</f>
        <v>172.82559025133284</v>
      </c>
      <c r="R8" s="316">
        <f>((J8+J9)-(K8+K9))/(J8+J9)*100</f>
        <v>3.5716723549488032</v>
      </c>
    </row>
    <row r="9" spans="2:20" ht="15.6">
      <c r="B9" s="91">
        <v>45840</v>
      </c>
      <c r="C9" s="87">
        <v>2</v>
      </c>
      <c r="D9" s="29" t="s">
        <v>47</v>
      </c>
      <c r="E9" s="365">
        <v>1440</v>
      </c>
      <c r="F9" s="39">
        <f>[3]Jul!$N68</f>
        <v>163</v>
      </c>
      <c r="G9" s="17">
        <v>1355</v>
      </c>
      <c r="H9" s="53">
        <f t="shared" si="0"/>
        <v>70.415012630819191</v>
      </c>
      <c r="I9" s="68"/>
      <c r="J9" s="53">
        <v>92</v>
      </c>
      <c r="K9" s="53">
        <f t="shared" si="1"/>
        <v>89.43</v>
      </c>
      <c r="L9" s="53">
        <f t="shared" si="2"/>
        <v>2.5699999999999932</v>
      </c>
      <c r="M9" s="54">
        <f>[3]Jul!$AD9</f>
        <v>23</v>
      </c>
      <c r="N9" s="54">
        <v>8</v>
      </c>
      <c r="O9" s="54"/>
      <c r="P9" s="50">
        <f t="shared" ref="P9:P18" si="4">(J9-K9)/J9*100</f>
        <v>2.7934782608695579</v>
      </c>
      <c r="Q9" s="38">
        <f t="shared" si="3"/>
        <v>498.77300613496931</v>
      </c>
      <c r="R9" s="316"/>
      <c r="S9" s="37"/>
      <c r="T9" s="6"/>
    </row>
    <row r="10" spans="2:20" ht="15.6">
      <c r="B10" s="91">
        <v>45840</v>
      </c>
      <c r="C10" s="87">
        <v>2</v>
      </c>
      <c r="D10" s="29" t="s">
        <v>49</v>
      </c>
      <c r="E10" s="354"/>
      <c r="F10" s="39">
        <f>[3]Jul!$N69</f>
        <v>528</v>
      </c>
      <c r="G10" s="17">
        <v>3730</v>
      </c>
      <c r="H10" s="53">
        <f t="shared" si="0"/>
        <v>59.839572192513366</v>
      </c>
      <c r="I10" s="68"/>
      <c r="J10" s="53">
        <f>SUM(99.2,99.5,95.1)-28-14</f>
        <v>251.79999999999995</v>
      </c>
      <c r="K10" s="53">
        <f t="shared" si="1"/>
        <v>246.18</v>
      </c>
      <c r="L10" s="53">
        <f t="shared" si="2"/>
        <v>5.6199999999999477</v>
      </c>
      <c r="M10" s="54">
        <f>[3]Jul!$AD10</f>
        <v>150</v>
      </c>
      <c r="N10" s="54">
        <v>2</v>
      </c>
      <c r="O10" s="54"/>
      <c r="P10" s="50">
        <f t="shared" si="4"/>
        <v>2.2319301032565324</v>
      </c>
      <c r="Q10" s="38">
        <f t="shared" si="3"/>
        <v>423.86363636363632</v>
      </c>
      <c r="R10" s="16"/>
      <c r="S10" s="37"/>
      <c r="T10" s="6"/>
    </row>
    <row r="11" spans="2:20" ht="15.6">
      <c r="B11" s="91">
        <v>45840</v>
      </c>
      <c r="C11" s="180">
        <v>2</v>
      </c>
      <c r="D11" s="29" t="s">
        <v>101</v>
      </c>
      <c r="E11" s="354"/>
      <c r="F11" s="39">
        <f>[3]Jul!$N70</f>
        <v>160</v>
      </c>
      <c r="G11" s="17">
        <v>1399</v>
      </c>
      <c r="H11" s="53">
        <f t="shared" si="0"/>
        <v>74.064705882352939</v>
      </c>
      <c r="I11" s="68"/>
      <c r="J11" s="7">
        <v>95.8</v>
      </c>
      <c r="K11" s="53">
        <f t="shared" si="1"/>
        <v>92.334000000000003</v>
      </c>
      <c r="L11" s="53">
        <f t="shared" si="2"/>
        <v>3.465999999999994</v>
      </c>
      <c r="M11" s="54">
        <f>[3]Jul!$AD11</f>
        <v>150</v>
      </c>
      <c r="N11" s="54">
        <f>11</f>
        <v>11</v>
      </c>
      <c r="O11" s="54"/>
      <c r="P11" s="50">
        <f t="shared" si="4"/>
        <v>3.6179540709812046</v>
      </c>
      <c r="Q11" s="38">
        <f t="shared" si="3"/>
        <v>524.625</v>
      </c>
      <c r="R11" s="16"/>
      <c r="S11" s="37"/>
      <c r="T11" s="6"/>
    </row>
    <row r="12" spans="2:20" ht="15.6">
      <c r="B12" s="91">
        <v>45840</v>
      </c>
      <c r="C12" s="87">
        <v>2</v>
      </c>
      <c r="D12" s="29" t="s">
        <v>102</v>
      </c>
      <c r="E12" s="366"/>
      <c r="F12" s="39">
        <f>[3]Jul!$N71</f>
        <v>294</v>
      </c>
      <c r="G12" s="17">
        <v>2033</v>
      </c>
      <c r="H12" s="53">
        <f t="shared" si="0"/>
        <v>58.573829531812713</v>
      </c>
      <c r="I12" s="68"/>
      <c r="J12" s="53">
        <f>SUM(99,100.3)-62.4</f>
        <v>136.9</v>
      </c>
      <c r="K12" s="53">
        <f t="shared" si="1"/>
        <v>134.178</v>
      </c>
      <c r="L12" s="53">
        <f t="shared" si="2"/>
        <v>2.7220000000000084</v>
      </c>
      <c r="M12" s="54">
        <f>[3]Jul!$AD12</f>
        <v>118</v>
      </c>
      <c r="N12" s="54">
        <f>4</f>
        <v>4</v>
      </c>
      <c r="O12" s="54"/>
      <c r="P12" s="50">
        <f t="shared" si="4"/>
        <v>1.9883126369612918</v>
      </c>
      <c r="Q12" s="38">
        <f t="shared" si="3"/>
        <v>414.89795918367344</v>
      </c>
      <c r="R12" s="313">
        <f>((J12+J13)-(K12+K13))/(J12+J13)*100</f>
        <v>2.7717009533366785</v>
      </c>
      <c r="S12" s="37"/>
      <c r="T12" s="6"/>
    </row>
    <row r="13" spans="2:20" ht="15.6">
      <c r="B13" s="91">
        <v>45841</v>
      </c>
      <c r="C13" s="180">
        <v>3</v>
      </c>
      <c r="D13" s="29" t="s">
        <v>102</v>
      </c>
      <c r="E13" s="365">
        <v>1435</v>
      </c>
      <c r="F13" s="370">
        <f>[3]Jul!$N72</f>
        <v>133</v>
      </c>
      <c r="G13" s="17">
        <v>490</v>
      </c>
      <c r="H13" s="318">
        <f t="shared" si="0"/>
        <v>31.207430340557273</v>
      </c>
      <c r="I13" s="68"/>
      <c r="J13" s="318">
        <v>62.4</v>
      </c>
      <c r="K13" s="318">
        <f>(G13+G14)*0.066</f>
        <v>59.598000000000006</v>
      </c>
      <c r="L13" s="318">
        <f t="shared" si="2"/>
        <v>2.8019999999999925</v>
      </c>
      <c r="M13" s="319">
        <f>[3]Jul!$AD13</f>
        <v>35</v>
      </c>
      <c r="N13" s="54">
        <f>3</f>
        <v>3</v>
      </c>
      <c r="O13" s="54"/>
      <c r="P13" s="318">
        <f t="shared" si="4"/>
        <v>4.4903846153846034</v>
      </c>
      <c r="Q13" s="319">
        <f>(G13+G14)/(F13/60)</f>
        <v>407.36842105263156</v>
      </c>
      <c r="R13" s="313"/>
      <c r="S13" s="37"/>
      <c r="T13" s="6"/>
    </row>
    <row r="14" spans="2:20" ht="15.6">
      <c r="B14" s="91">
        <v>45841</v>
      </c>
      <c r="C14" s="87">
        <v>3</v>
      </c>
      <c r="D14" s="29" t="s">
        <v>56</v>
      </c>
      <c r="E14" s="354"/>
      <c r="F14" s="370"/>
      <c r="G14" s="17">
        <v>413</v>
      </c>
      <c r="H14" s="318"/>
      <c r="I14" s="68">
        <v>13</v>
      </c>
      <c r="J14" s="318"/>
      <c r="K14" s="318"/>
      <c r="L14" s="318"/>
      <c r="M14" s="319"/>
      <c r="N14" s="54">
        <f>5</f>
        <v>5</v>
      </c>
      <c r="O14" s="54"/>
      <c r="P14" s="318"/>
      <c r="Q14" s="319"/>
      <c r="R14" s="313"/>
      <c r="S14" s="37"/>
      <c r="T14" s="6"/>
    </row>
    <row r="15" spans="2:20" ht="17.25" customHeight="1">
      <c r="B15" s="91">
        <v>45841</v>
      </c>
      <c r="C15" s="180">
        <v>3</v>
      </c>
      <c r="D15" s="29" t="s">
        <v>50</v>
      </c>
      <c r="E15" s="354"/>
      <c r="F15" s="39">
        <f>[3]Jul!$N73</f>
        <v>298</v>
      </c>
      <c r="G15" s="17">
        <v>959</v>
      </c>
      <c r="H15" s="53">
        <f t="shared" si="0"/>
        <v>27.25937623371496</v>
      </c>
      <c r="I15" s="68">
        <v>3</v>
      </c>
      <c r="J15" s="318">
        <f>SUM(97.5,86.8,100)</f>
        <v>284.3</v>
      </c>
      <c r="K15" s="318">
        <f>(G15+G16)*0.066</f>
        <v>279.97200000000004</v>
      </c>
      <c r="L15" s="318">
        <f t="shared" si="2"/>
        <v>4.3279999999999745</v>
      </c>
      <c r="M15" s="54">
        <f>[3]Jul!$AD14</f>
        <v>150</v>
      </c>
      <c r="N15" s="319">
        <f>8+8</f>
        <v>16</v>
      </c>
      <c r="O15" s="54"/>
      <c r="P15" s="318">
        <f t="shared" si="4"/>
        <v>1.522335561027075</v>
      </c>
      <c r="Q15" s="38">
        <f t="shared" si="3"/>
        <v>193.08724832214764</v>
      </c>
      <c r="R15" s="316">
        <f>((J15+J16)-(K15+K16))/(J15+J16)*100</f>
        <v>1.522335561027075</v>
      </c>
      <c r="S15" s="37"/>
      <c r="T15" s="6"/>
    </row>
    <row r="16" spans="2:20" ht="15.6" customHeight="1">
      <c r="B16" s="91">
        <v>45841</v>
      </c>
      <c r="C16" s="87">
        <v>3</v>
      </c>
      <c r="D16" s="29" t="s">
        <v>51</v>
      </c>
      <c r="E16" s="366"/>
      <c r="F16" s="39">
        <f>[3]Jul!$N74</f>
        <v>358</v>
      </c>
      <c r="G16" s="17">
        <v>3283</v>
      </c>
      <c r="H16" s="53">
        <f t="shared" si="0"/>
        <v>77.678606638185997</v>
      </c>
      <c r="I16" s="68"/>
      <c r="J16" s="318"/>
      <c r="K16" s="318"/>
      <c r="L16" s="318"/>
      <c r="M16" s="54">
        <f>[3]Jul!$AD15</f>
        <v>229</v>
      </c>
      <c r="N16" s="319"/>
      <c r="O16" s="54"/>
      <c r="P16" s="318"/>
      <c r="Q16" s="38">
        <f t="shared" si="3"/>
        <v>550.2234636871508</v>
      </c>
      <c r="R16" s="316"/>
      <c r="S16" s="37"/>
      <c r="T16" s="6"/>
    </row>
    <row r="17" spans="2:20" ht="15.75" customHeight="1">
      <c r="B17" s="91">
        <v>45842</v>
      </c>
      <c r="C17" s="87">
        <v>4</v>
      </c>
      <c r="D17" s="29" t="s">
        <v>49</v>
      </c>
      <c r="E17" s="365">
        <v>1230</v>
      </c>
      <c r="F17" s="39">
        <f>[3]Jul!$N75</f>
        <v>690</v>
      </c>
      <c r="G17" s="17">
        <v>5631</v>
      </c>
      <c r="H17" s="53">
        <f t="shared" si="0"/>
        <v>69.127365728900259</v>
      </c>
      <c r="I17" s="68">
        <v>18</v>
      </c>
      <c r="J17" s="53">
        <f>SUM(97.5,82.4,101,98.9)</f>
        <v>379.79999999999995</v>
      </c>
      <c r="K17" s="53">
        <f t="shared" ref="K17:K54" si="5">(G17)*0.066</f>
        <v>371.64600000000002</v>
      </c>
      <c r="L17" s="53">
        <f t="shared" si="2"/>
        <v>8.1539999999999395</v>
      </c>
      <c r="M17" s="54">
        <f>[3]Jul!$AD16</f>
        <v>175</v>
      </c>
      <c r="N17" s="54">
        <f>22+24</f>
        <v>46</v>
      </c>
      <c r="O17" s="54"/>
      <c r="P17" s="50">
        <f t="shared" si="4"/>
        <v>2.1469194312796054</v>
      </c>
      <c r="Q17" s="38">
        <f t="shared" si="3"/>
        <v>489.6521739130435</v>
      </c>
      <c r="R17" s="16"/>
      <c r="S17" s="37"/>
      <c r="T17" s="6"/>
    </row>
    <row r="18" spans="2:20" ht="15.75" customHeight="1">
      <c r="B18" s="91">
        <v>45842</v>
      </c>
      <c r="C18" s="87">
        <v>4</v>
      </c>
      <c r="D18" s="29" t="s">
        <v>62</v>
      </c>
      <c r="E18" s="366"/>
      <c r="F18" s="39">
        <f>[3]Jul!$N76</f>
        <v>330</v>
      </c>
      <c r="G18" s="17">
        <v>2312</v>
      </c>
      <c r="H18" s="53">
        <f t="shared" si="0"/>
        <v>59.345454545454544</v>
      </c>
      <c r="I18" s="68"/>
      <c r="J18" s="53">
        <f>SUM(98.5,99.9)-41.8</f>
        <v>156.60000000000002</v>
      </c>
      <c r="K18" s="53">
        <f t="shared" si="5"/>
        <v>152.59200000000001</v>
      </c>
      <c r="L18" s="53">
        <f t="shared" si="2"/>
        <v>4.0080000000000098</v>
      </c>
      <c r="M18" s="54">
        <f>[3]Jul!$AD17</f>
        <v>204</v>
      </c>
      <c r="N18" s="54">
        <v>32</v>
      </c>
      <c r="O18" s="54"/>
      <c r="P18" s="50">
        <f t="shared" si="4"/>
        <v>2.5593869731800827</v>
      </c>
      <c r="Q18" s="38">
        <f t="shared" si="3"/>
        <v>420.36363636363637</v>
      </c>
      <c r="R18" s="371">
        <f>((J18+J19)-(K18+K19))/(J18+J19)*100</f>
        <v>2.454635303419638</v>
      </c>
      <c r="S18" s="37"/>
      <c r="T18" s="6"/>
    </row>
    <row r="19" spans="2:20" ht="18.75" customHeight="1">
      <c r="B19" s="91">
        <v>45845</v>
      </c>
      <c r="C19" s="90">
        <v>5</v>
      </c>
      <c r="D19" s="29" t="s">
        <v>62</v>
      </c>
      <c r="E19" s="47">
        <v>1373</v>
      </c>
      <c r="F19" s="39">
        <f>[3]Jul!$N77</f>
        <v>1112</v>
      </c>
      <c r="G19" s="17">
        <v>5165</v>
      </c>
      <c r="H19" s="53">
        <f t="shared" si="0"/>
        <v>39.344054168429956</v>
      </c>
      <c r="I19" s="68">
        <v>17</v>
      </c>
      <c r="J19" s="53">
        <f>SUM(41.8,100.5,104,103)</f>
        <v>349.3</v>
      </c>
      <c r="K19" s="53">
        <f t="shared" si="5"/>
        <v>340.89000000000004</v>
      </c>
      <c r="L19" s="53">
        <f t="shared" si="2"/>
        <v>8.4099999999999682</v>
      </c>
      <c r="M19" s="54">
        <f>[3]Jul!$AD18</f>
        <v>755</v>
      </c>
      <c r="N19" s="54">
        <f>25+7+9</f>
        <v>41</v>
      </c>
      <c r="O19" s="54"/>
      <c r="P19" s="50">
        <f t="shared" ref="P19:P47" si="6">(J19-K19)/J19*100</f>
        <v>2.4076724878327993</v>
      </c>
      <c r="Q19" s="38">
        <f t="shared" si="3"/>
        <v>278.6870503597122</v>
      </c>
      <c r="R19" s="371"/>
      <c r="S19" s="37"/>
      <c r="T19" s="6"/>
    </row>
    <row r="20" spans="2:20" ht="18.75" customHeight="1">
      <c r="B20" s="91">
        <v>45846</v>
      </c>
      <c r="C20" s="180">
        <v>6</v>
      </c>
      <c r="D20" s="29" t="s">
        <v>103</v>
      </c>
      <c r="E20" s="377">
        <v>1385</v>
      </c>
      <c r="F20" s="39">
        <f>[3]Jul!$N78</f>
        <v>295</v>
      </c>
      <c r="G20" s="17">
        <v>2924</v>
      </c>
      <c r="H20" s="53">
        <f t="shared" si="0"/>
        <v>83.959322033898303</v>
      </c>
      <c r="I20" s="68"/>
      <c r="J20" s="53">
        <f>SUM(98.3,98)</f>
        <v>196.3</v>
      </c>
      <c r="K20" s="53">
        <f t="shared" si="5"/>
        <v>192.98400000000001</v>
      </c>
      <c r="L20" s="53">
        <f t="shared" si="2"/>
        <v>3.3160000000000025</v>
      </c>
      <c r="M20" s="54">
        <f>[3]Jul!$AD19</f>
        <v>234</v>
      </c>
      <c r="N20" s="54">
        <f>5+2</f>
        <v>7</v>
      </c>
      <c r="O20" s="54"/>
      <c r="P20" s="50">
        <f t="shared" si="6"/>
        <v>1.6892511462047899</v>
      </c>
      <c r="Q20" s="38">
        <f t="shared" si="3"/>
        <v>594.71186440677957</v>
      </c>
      <c r="R20" s="16"/>
      <c r="S20" s="37"/>
      <c r="T20" s="6"/>
    </row>
    <row r="21" spans="2:20" ht="15.75" customHeight="1">
      <c r="B21" s="91">
        <v>45846</v>
      </c>
      <c r="C21" s="180">
        <v>6</v>
      </c>
      <c r="D21" s="29" t="s">
        <v>88</v>
      </c>
      <c r="E21" s="378"/>
      <c r="F21" s="39">
        <f>[3]Jul!$N79</f>
        <v>130</v>
      </c>
      <c r="G21" s="17">
        <v>977</v>
      </c>
      <c r="H21" s="53">
        <f t="shared" si="0"/>
        <v>63.659728506787339</v>
      </c>
      <c r="I21" s="68">
        <v>254</v>
      </c>
      <c r="J21" s="53">
        <f>K21*1.02</f>
        <v>65.771640000000005</v>
      </c>
      <c r="K21" s="53">
        <f t="shared" si="5"/>
        <v>64.481999999999999</v>
      </c>
      <c r="L21" s="53">
        <f t="shared" si="2"/>
        <v>1.2896400000000057</v>
      </c>
      <c r="M21" s="54">
        <f>[3]Jul!$AD20</f>
        <v>437</v>
      </c>
      <c r="N21" s="54">
        <v>8</v>
      </c>
      <c r="O21" s="54"/>
      <c r="P21" s="50">
        <f t="shared" si="6"/>
        <v>1.9607843137254988</v>
      </c>
      <c r="Q21" s="38">
        <f t="shared" si="3"/>
        <v>450.92307692307696</v>
      </c>
      <c r="R21" s="376">
        <f>((J21+J22)-(K21+K22))/(J21+J22)*100</f>
        <v>1.9607843137254877</v>
      </c>
      <c r="S21" s="37"/>
      <c r="T21" s="6"/>
    </row>
    <row r="22" spans="2:20" ht="15.75" customHeight="1">
      <c r="B22" s="249">
        <v>45847</v>
      </c>
      <c r="C22" s="90">
        <v>7</v>
      </c>
      <c r="D22" s="29" t="s">
        <v>88</v>
      </c>
      <c r="E22" s="365">
        <v>1440</v>
      </c>
      <c r="F22" s="39">
        <f>[3]Jul!$N80</f>
        <v>321</v>
      </c>
      <c r="G22" s="17">
        <v>2629</v>
      </c>
      <c r="H22" s="53">
        <f t="shared" si="0"/>
        <v>69.37438152831227</v>
      </c>
      <c r="I22" s="68"/>
      <c r="J22" s="53">
        <f>K22*1.02</f>
        <v>176.98428000000001</v>
      </c>
      <c r="K22" s="53">
        <f t="shared" si="5"/>
        <v>173.51400000000001</v>
      </c>
      <c r="L22" s="53">
        <f t="shared" si="2"/>
        <v>3.4702800000000025</v>
      </c>
      <c r="M22" s="54">
        <f>[3]Jul!$AD21</f>
        <v>210</v>
      </c>
      <c r="N22" s="54">
        <f>10+5</f>
        <v>15</v>
      </c>
      <c r="O22" s="54"/>
      <c r="P22" s="50">
        <f t="shared" si="6"/>
        <v>1.9607843137254917</v>
      </c>
      <c r="Q22" s="38">
        <f t="shared" si="3"/>
        <v>491.40186915887853</v>
      </c>
      <c r="R22" s="376"/>
      <c r="S22" s="37"/>
      <c r="T22" s="6"/>
    </row>
    <row r="23" spans="2:20" ht="15.75" customHeight="1">
      <c r="B23" s="249">
        <v>45847</v>
      </c>
      <c r="C23" s="90">
        <v>7</v>
      </c>
      <c r="D23" s="29" t="s">
        <v>104</v>
      </c>
      <c r="E23" s="366"/>
      <c r="F23" s="39">
        <f>[3]Jul!$N81</f>
        <v>362</v>
      </c>
      <c r="G23" s="17">
        <v>2476</v>
      </c>
      <c r="H23" s="53">
        <f t="shared" si="0"/>
        <v>57.936951576210596</v>
      </c>
      <c r="I23" s="68"/>
      <c r="J23" s="53">
        <f>K23*1.02</f>
        <v>166.68432000000001</v>
      </c>
      <c r="K23" s="53">
        <f>(G23)*0.066</f>
        <v>163.416</v>
      </c>
      <c r="L23" s="53">
        <f t="shared" si="2"/>
        <v>3.268320000000017</v>
      </c>
      <c r="M23" s="54">
        <f>[3]Jul!$AD22</f>
        <v>552</v>
      </c>
      <c r="N23" s="54">
        <f>10+6</f>
        <v>16</v>
      </c>
      <c r="O23" s="54"/>
      <c r="P23" s="50">
        <f t="shared" si="6"/>
        <v>1.9607843137255003</v>
      </c>
      <c r="Q23" s="38">
        <f t="shared" si="3"/>
        <v>410.38674033149169</v>
      </c>
      <c r="R23" s="317">
        <f>((J23+J24)-(K23+K24))/(J23+J24)*100</f>
        <v>1.9607843137254994</v>
      </c>
      <c r="S23" s="37"/>
      <c r="T23" s="6"/>
    </row>
    <row r="24" spans="2:20" ht="15.75" customHeight="1">
      <c r="B24" s="249">
        <v>45848</v>
      </c>
      <c r="C24" s="90">
        <v>8</v>
      </c>
      <c r="D24" s="29" t="s">
        <v>104</v>
      </c>
      <c r="E24" s="365">
        <v>1430</v>
      </c>
      <c r="F24" s="39">
        <f>[3]Jul!$N82</f>
        <v>163</v>
      </c>
      <c r="G24" s="17">
        <v>921</v>
      </c>
      <c r="H24" s="53">
        <f t="shared" si="0"/>
        <v>47.861421869361244</v>
      </c>
      <c r="I24" s="68">
        <v>117</v>
      </c>
      <c r="J24" s="53">
        <f>K24*1.02</f>
        <v>62.001720000000006</v>
      </c>
      <c r="K24" s="53">
        <f t="shared" si="5"/>
        <v>60.786000000000001</v>
      </c>
      <c r="L24" s="53">
        <f t="shared" si="2"/>
        <v>1.2157200000000046</v>
      </c>
      <c r="M24" s="54">
        <f>[3]Jul!$AD23</f>
        <v>39</v>
      </c>
      <c r="N24" s="54">
        <v>21</v>
      </c>
      <c r="O24" s="54"/>
      <c r="P24" s="50">
        <f t="shared" si="6"/>
        <v>1.9607843137254974</v>
      </c>
      <c r="Q24" s="38">
        <f t="shared" si="3"/>
        <v>339.01840490797542</v>
      </c>
      <c r="R24" s="317"/>
      <c r="S24" s="37"/>
      <c r="T24" s="6"/>
    </row>
    <row r="25" spans="2:20" ht="15.75" customHeight="1">
      <c r="B25" s="250">
        <v>45848</v>
      </c>
      <c r="C25" s="180">
        <v>8</v>
      </c>
      <c r="D25" s="29" t="s">
        <v>49</v>
      </c>
      <c r="E25" s="354"/>
      <c r="F25" s="39">
        <f>[3]Jul!$N83</f>
        <v>393</v>
      </c>
      <c r="G25" s="17">
        <v>2808</v>
      </c>
      <c r="H25" s="53">
        <f t="shared" si="0"/>
        <v>60.522676246070951</v>
      </c>
      <c r="I25" s="68">
        <v>505</v>
      </c>
      <c r="J25" s="53">
        <f>SUM(98,90.5)</f>
        <v>188.5</v>
      </c>
      <c r="K25" s="53">
        <f t="shared" si="5"/>
        <v>185.328</v>
      </c>
      <c r="L25" s="53">
        <f t="shared" si="2"/>
        <v>3.171999999999997</v>
      </c>
      <c r="M25" s="54">
        <f>[3]Jul!$AD24</f>
        <v>156</v>
      </c>
      <c r="N25" s="54">
        <f>3+1</f>
        <v>4</v>
      </c>
      <c r="O25" s="54"/>
      <c r="P25" s="50">
        <f t="shared" si="6"/>
        <v>1.6827586206896537</v>
      </c>
      <c r="Q25" s="38">
        <f t="shared" si="3"/>
        <v>428.70229007633588</v>
      </c>
      <c r="R25" s="16"/>
      <c r="S25" s="37"/>
      <c r="T25" s="6"/>
    </row>
    <row r="26" spans="2:20" ht="15.75" customHeight="1">
      <c r="B26" s="91">
        <v>45848</v>
      </c>
      <c r="C26" s="87">
        <v>8</v>
      </c>
      <c r="D26" s="29" t="s">
        <v>47</v>
      </c>
      <c r="E26" s="366"/>
      <c r="F26" s="39">
        <f>[3]Jul!$N84</f>
        <v>698</v>
      </c>
      <c r="G26" s="17">
        <v>4025</v>
      </c>
      <c r="H26" s="53">
        <f t="shared" si="0"/>
        <v>48.845440755098601</v>
      </c>
      <c r="I26" s="68"/>
      <c r="J26" s="53">
        <f>SUM(99,94,90,87.4)-41.5-60</f>
        <v>268.89999999999998</v>
      </c>
      <c r="K26" s="53">
        <f t="shared" si="5"/>
        <v>265.65000000000003</v>
      </c>
      <c r="L26" s="53">
        <f t="shared" si="2"/>
        <v>3.2499999999999432</v>
      </c>
      <c r="M26" s="54">
        <f>[3]Jul!$AD25</f>
        <v>311</v>
      </c>
      <c r="N26" s="54">
        <v>10</v>
      </c>
      <c r="O26" s="54"/>
      <c r="P26" s="50">
        <f t="shared" si="6"/>
        <v>1.2086277426552412</v>
      </c>
      <c r="Q26" s="38">
        <f t="shared" si="3"/>
        <v>345.98853868194846</v>
      </c>
      <c r="R26" s="312">
        <f>((J26+J27)-(K26+K27))/(J26+J27)*100</f>
        <v>1.3741900647947942</v>
      </c>
      <c r="S26" s="37"/>
      <c r="T26" s="6"/>
    </row>
    <row r="27" spans="2:20" ht="16.95" customHeight="1">
      <c r="B27" s="91">
        <v>45849</v>
      </c>
      <c r="C27" s="87">
        <v>9</v>
      </c>
      <c r="D27" s="29" t="s">
        <v>47</v>
      </c>
      <c r="E27" s="365">
        <v>1250</v>
      </c>
      <c r="F27" s="39">
        <f>[3]Jul!$N85</f>
        <v>296</v>
      </c>
      <c r="G27" s="17">
        <v>1510</v>
      </c>
      <c r="H27" s="53">
        <f t="shared" si="0"/>
        <v>43.211446740858506</v>
      </c>
      <c r="I27" s="68"/>
      <c r="J27" s="53">
        <f>SUM(41.5,60)</f>
        <v>101.5</v>
      </c>
      <c r="K27" s="53">
        <f t="shared" si="5"/>
        <v>99.660000000000011</v>
      </c>
      <c r="L27" s="53">
        <f t="shared" si="2"/>
        <v>1.8399999999999892</v>
      </c>
      <c r="M27" s="54">
        <f>[3]Jul!$AD26</f>
        <v>137</v>
      </c>
      <c r="N27" s="54">
        <v>13</v>
      </c>
      <c r="O27" s="54"/>
      <c r="P27" s="50">
        <f t="shared" si="6"/>
        <v>1.8128078817733884</v>
      </c>
      <c r="Q27" s="38">
        <f t="shared" si="3"/>
        <v>306.08108108108104</v>
      </c>
      <c r="R27" s="312"/>
      <c r="S27" s="37"/>
      <c r="T27" s="6"/>
    </row>
    <row r="28" spans="2:20" ht="18.75" customHeight="1">
      <c r="B28" s="91">
        <v>45849</v>
      </c>
      <c r="C28" s="87">
        <v>9</v>
      </c>
      <c r="D28" s="29" t="s">
        <v>49</v>
      </c>
      <c r="E28" s="366"/>
      <c r="F28" s="39">
        <f>[3]Jul!$N86</f>
        <v>337</v>
      </c>
      <c r="G28" s="17">
        <v>2792</v>
      </c>
      <c r="H28" s="53">
        <f t="shared" si="0"/>
        <v>70.177692441961952</v>
      </c>
      <c r="I28" s="68">
        <v>6</v>
      </c>
      <c r="J28" s="53">
        <f>SUM(100.8,95.5)-7.5</f>
        <v>188.8</v>
      </c>
      <c r="K28" s="53">
        <f t="shared" si="5"/>
        <v>184.27200000000002</v>
      </c>
      <c r="L28" s="53">
        <f t="shared" si="2"/>
        <v>4.5279999999999916</v>
      </c>
      <c r="M28" s="54">
        <f>[3]Jul!$AD27</f>
        <v>576</v>
      </c>
      <c r="N28" s="54">
        <f>4+10</f>
        <v>14</v>
      </c>
      <c r="O28" s="54"/>
      <c r="P28" s="50">
        <f t="shared" si="6"/>
        <v>2.3983050847457581</v>
      </c>
      <c r="Q28" s="38">
        <f t="shared" si="3"/>
        <v>497.09198813056383</v>
      </c>
      <c r="R28" s="317">
        <f>((J30+J28+J31+J29)-(K30+K28+K31+K29))/(J30+J28+J31+J29)*100</f>
        <v>2.2109202994275465</v>
      </c>
      <c r="S28" s="37"/>
      <c r="T28" s="6"/>
    </row>
    <row r="29" spans="2:20" ht="15.75" customHeight="1">
      <c r="B29" s="91">
        <v>45852</v>
      </c>
      <c r="C29" s="87">
        <v>10</v>
      </c>
      <c r="D29" s="29" t="s">
        <v>49</v>
      </c>
      <c r="E29" s="47">
        <v>1380</v>
      </c>
      <c r="F29" s="39">
        <f>[3]Jul!$N87</f>
        <v>792</v>
      </c>
      <c r="G29" s="17">
        <v>6093</v>
      </c>
      <c r="H29" s="53">
        <f t="shared" si="0"/>
        <v>65.16577540106951</v>
      </c>
      <c r="I29" s="68"/>
      <c r="J29" s="53">
        <f>SUM(7.5,99.4,97.8,95,99.8,76.9)-66.5</f>
        <v>409.9</v>
      </c>
      <c r="K29" s="53">
        <f t="shared" si="5"/>
        <v>402.13800000000003</v>
      </c>
      <c r="L29" s="53">
        <f t="shared" si="2"/>
        <v>7.7619999999999436</v>
      </c>
      <c r="M29" s="54">
        <f>[3]Jul!$AD28</f>
        <v>711</v>
      </c>
      <c r="N29" s="54">
        <f>4+7</f>
        <v>11</v>
      </c>
      <c r="O29" s="54"/>
      <c r="P29" s="50">
        <f t="shared" si="6"/>
        <v>1.893632593315429</v>
      </c>
      <c r="Q29" s="38">
        <f t="shared" si="3"/>
        <v>461.59090909090912</v>
      </c>
      <c r="R29" s="317"/>
      <c r="S29" s="37"/>
      <c r="T29" s="6"/>
    </row>
    <row r="30" spans="2:20" ht="15.75" customHeight="1">
      <c r="B30" s="91">
        <v>45853</v>
      </c>
      <c r="C30" s="87">
        <v>11</v>
      </c>
      <c r="D30" s="29" t="s">
        <v>49</v>
      </c>
      <c r="E30" s="47">
        <v>1440</v>
      </c>
      <c r="F30" s="39">
        <f>[3]Jul!$N88</f>
        <v>1379</v>
      </c>
      <c r="G30" s="17">
        <v>9610</v>
      </c>
      <c r="H30" s="53">
        <f t="shared" si="0"/>
        <v>59.02998762956959</v>
      </c>
      <c r="I30" s="68">
        <v>5</v>
      </c>
      <c r="J30" s="53">
        <f>SUM(66.5,98.8,98,98.7,91.8,96.7,98.4,71,102)-66.8-48-58</f>
        <v>649.1</v>
      </c>
      <c r="K30" s="53">
        <f t="shared" si="5"/>
        <v>634.26</v>
      </c>
      <c r="L30" s="53">
        <f t="shared" si="2"/>
        <v>14.840000000000032</v>
      </c>
      <c r="M30" s="54">
        <f>[3]Jul!$AD29</f>
        <v>342</v>
      </c>
      <c r="N30" s="54">
        <f>8+4</f>
        <v>12</v>
      </c>
      <c r="O30" s="54"/>
      <c r="P30" s="50">
        <f t="shared" si="6"/>
        <v>2.286242489600991</v>
      </c>
      <c r="Q30" s="38">
        <f t="shared" si="3"/>
        <v>418.12907904278461</v>
      </c>
      <c r="R30" s="317"/>
      <c r="S30" s="37"/>
      <c r="T30" s="6"/>
    </row>
    <row r="31" spans="2:20" ht="15.75" customHeight="1">
      <c r="B31" s="91">
        <v>45854</v>
      </c>
      <c r="C31" s="87">
        <v>12</v>
      </c>
      <c r="D31" s="29" t="s">
        <v>49</v>
      </c>
      <c r="E31" s="365">
        <v>1440</v>
      </c>
      <c r="F31" s="39">
        <f>[3]Jul!$N89</f>
        <v>174</v>
      </c>
      <c r="G31" s="17">
        <v>1694</v>
      </c>
      <c r="H31" s="53">
        <f t="shared" si="0"/>
        <v>82.466531440162271</v>
      </c>
      <c r="I31" s="68">
        <v>473</v>
      </c>
      <c r="J31" s="53">
        <f>66.8+48</f>
        <v>114.8</v>
      </c>
      <c r="K31" s="53">
        <f t="shared" si="5"/>
        <v>111.804</v>
      </c>
      <c r="L31" s="53">
        <f t="shared" si="2"/>
        <v>2.9959999999999951</v>
      </c>
      <c r="M31" s="54">
        <f>[3]Jul!$AD30</f>
        <v>49</v>
      </c>
      <c r="N31" s="54">
        <v>7</v>
      </c>
      <c r="O31" s="54"/>
      <c r="P31" s="50">
        <f t="shared" si="6"/>
        <v>2.6097560975609713</v>
      </c>
      <c r="Q31" s="38">
        <f t="shared" si="3"/>
        <v>584.13793103448279</v>
      </c>
      <c r="R31" s="317"/>
      <c r="S31" s="37"/>
      <c r="T31" s="6"/>
    </row>
    <row r="32" spans="2:20" ht="15.75" customHeight="1">
      <c r="B32" s="91">
        <v>45854</v>
      </c>
      <c r="C32" s="87">
        <v>12</v>
      </c>
      <c r="D32" s="29" t="s">
        <v>47</v>
      </c>
      <c r="E32" s="354"/>
      <c r="F32" s="39">
        <f>[3]Jul!$N90</f>
        <v>390</v>
      </c>
      <c r="G32" s="17">
        <v>2834</v>
      </c>
      <c r="H32" s="53">
        <f t="shared" si="0"/>
        <v>61.55294117647059</v>
      </c>
      <c r="I32" s="68"/>
      <c r="J32" s="53">
        <f>SUM(94.7,95.5)</f>
        <v>190.2</v>
      </c>
      <c r="K32" s="53">
        <f t="shared" si="5"/>
        <v>187.04400000000001</v>
      </c>
      <c r="L32" s="53">
        <f t="shared" si="2"/>
        <v>3.1559999999999775</v>
      </c>
      <c r="M32" s="54">
        <f>[3]Jul!$AD31</f>
        <v>118</v>
      </c>
      <c r="N32" s="54">
        <f>4+2</f>
        <v>6</v>
      </c>
      <c r="O32" s="54"/>
      <c r="P32" s="50">
        <f t="shared" si="6"/>
        <v>1.6593059936908399</v>
      </c>
      <c r="Q32" s="38">
        <f t="shared" si="3"/>
        <v>436</v>
      </c>
      <c r="R32" s="16"/>
      <c r="S32" s="37"/>
      <c r="T32" s="6"/>
    </row>
    <row r="33" spans="2:20" ht="15.75" customHeight="1">
      <c r="B33" s="91">
        <v>45854</v>
      </c>
      <c r="C33" s="87">
        <v>12</v>
      </c>
      <c r="D33" s="29" t="s">
        <v>105</v>
      </c>
      <c r="E33" s="366"/>
      <c r="F33" s="39">
        <f>[3]Jul!$N91</f>
        <v>573</v>
      </c>
      <c r="G33" s="17">
        <v>3730</v>
      </c>
      <c r="H33" s="53">
        <f t="shared" si="0"/>
        <v>55.140129350169374</v>
      </c>
      <c r="I33" s="68">
        <v>12</v>
      </c>
      <c r="J33" s="53">
        <f>SUM(98.3,97.5,96)-23.4</f>
        <v>268.40000000000003</v>
      </c>
      <c r="K33" s="53">
        <f>(G33)*0.0708</f>
        <v>264.084</v>
      </c>
      <c r="L33" s="53">
        <f t="shared" si="2"/>
        <v>4.3160000000000309</v>
      </c>
      <c r="M33" s="54">
        <f>[3]Jul!$AD32</f>
        <v>298</v>
      </c>
      <c r="N33" s="54">
        <f>29+3</f>
        <v>32</v>
      </c>
      <c r="O33" s="54"/>
      <c r="P33" s="50">
        <f t="shared" si="6"/>
        <v>1.6080476900149145</v>
      </c>
      <c r="Q33" s="38">
        <f t="shared" si="3"/>
        <v>390.57591623036649</v>
      </c>
      <c r="R33" s="381">
        <f>((J33+J34)-(K33+K34))/(J33+J34)*100</f>
        <v>1.637737763124542</v>
      </c>
      <c r="S33" s="37"/>
      <c r="T33" s="6"/>
    </row>
    <row r="34" spans="2:20" ht="15.75" customHeight="1">
      <c r="B34" s="91">
        <v>45855</v>
      </c>
      <c r="C34" s="87">
        <v>13</v>
      </c>
      <c r="D34" s="29" t="s">
        <v>105</v>
      </c>
      <c r="E34" s="365">
        <v>1440</v>
      </c>
      <c r="F34" s="39">
        <f>[3]Jul!$N92</f>
        <v>222</v>
      </c>
      <c r="G34" s="54">
        <v>1748</v>
      </c>
      <c r="H34" s="53">
        <f t="shared" si="0"/>
        <v>66.69634340222575</v>
      </c>
      <c r="I34" s="68"/>
      <c r="J34" s="53">
        <f>SUM(23.4,102.5)</f>
        <v>125.9</v>
      </c>
      <c r="K34" s="53">
        <f>(G34)*0.0708</f>
        <v>123.75840000000001</v>
      </c>
      <c r="L34" s="53">
        <f t="shared" si="2"/>
        <v>2.1415999999999968</v>
      </c>
      <c r="M34" s="54">
        <f>[3]Jul!$AD33</f>
        <v>143</v>
      </c>
      <c r="N34" s="54">
        <v>15</v>
      </c>
      <c r="O34" s="54"/>
      <c r="P34" s="50">
        <f t="shared" si="6"/>
        <v>1.7010325655281944</v>
      </c>
      <c r="Q34" s="38">
        <f t="shared" si="3"/>
        <v>472.43243243243239</v>
      </c>
      <c r="R34" s="381"/>
      <c r="S34" s="37"/>
      <c r="T34" s="6"/>
    </row>
    <row r="35" spans="2:20" ht="16.5" customHeight="1">
      <c r="B35" s="91">
        <v>45855</v>
      </c>
      <c r="C35" s="87">
        <v>13</v>
      </c>
      <c r="D35" s="29" t="s">
        <v>45</v>
      </c>
      <c r="E35" s="366"/>
      <c r="F35" s="39">
        <f>[3]Jul!$N93</f>
        <v>887</v>
      </c>
      <c r="G35" s="54">
        <v>4523</v>
      </c>
      <c r="H35" s="53">
        <f t="shared" si="0"/>
        <v>43.193315206578689</v>
      </c>
      <c r="I35" s="68"/>
      <c r="J35" s="187">
        <f>SUM(83.7,95.5,95.2,98.8,4)-78.3</f>
        <v>298.89999999999998</v>
      </c>
      <c r="K35" s="53">
        <f>(G35)*0.066</f>
        <v>298.51800000000003</v>
      </c>
      <c r="L35" s="53">
        <f t="shared" si="2"/>
        <v>0.38199999999994816</v>
      </c>
      <c r="M35" s="54">
        <f>[3]Jul!$AD34</f>
        <v>379</v>
      </c>
      <c r="N35" s="54">
        <f>33+15</f>
        <v>48</v>
      </c>
      <c r="O35" s="54"/>
      <c r="P35" s="50">
        <f>(J35-K35)/J35*100</f>
        <v>0.12780194044829313</v>
      </c>
      <c r="Q35" s="38">
        <f t="shared" si="3"/>
        <v>305.95264937993238</v>
      </c>
      <c r="R35" s="380">
        <f>((J35+J36)-(K35+K36))/(J35+J36)*100</f>
        <v>0.10763520678683698</v>
      </c>
      <c r="S35" s="37"/>
      <c r="T35" s="6"/>
    </row>
    <row r="36" spans="2:20" ht="15.6">
      <c r="B36" s="91">
        <v>45856</v>
      </c>
      <c r="C36" s="87">
        <v>14</v>
      </c>
      <c r="D36" s="29" t="s">
        <v>45</v>
      </c>
      <c r="E36" s="365">
        <v>1260</v>
      </c>
      <c r="F36" s="39">
        <f>[3]Jul!$N94</f>
        <v>200</v>
      </c>
      <c r="G36" s="54">
        <v>1186</v>
      </c>
      <c r="H36" s="53">
        <f t="shared" si="0"/>
        <v>50.230588235294114</v>
      </c>
      <c r="I36" s="68"/>
      <c r="J36" s="187">
        <v>78.3</v>
      </c>
      <c r="K36" s="53">
        <f t="shared" si="5"/>
        <v>78.27600000000001</v>
      </c>
      <c r="L36" s="53">
        <f t="shared" si="2"/>
        <v>2.3999999999986699E-2</v>
      </c>
      <c r="M36" s="54">
        <f>[3]Jul!$AD35</f>
        <v>53</v>
      </c>
      <c r="N36" s="54">
        <v>44</v>
      </c>
      <c r="O36" s="54"/>
      <c r="P36" s="50">
        <f t="shared" si="6"/>
        <v>3.0651340996151598E-2</v>
      </c>
      <c r="Q36" s="38">
        <f t="shared" si="3"/>
        <v>355.8</v>
      </c>
      <c r="R36" s="380"/>
    </row>
    <row r="37" spans="2:20" ht="15.6">
      <c r="B37" s="91">
        <v>45856</v>
      </c>
      <c r="C37" s="87">
        <v>14</v>
      </c>
      <c r="D37" s="29" t="s">
        <v>57</v>
      </c>
      <c r="E37" s="354"/>
      <c r="F37" s="39">
        <f>[3]Jul!$N95</f>
        <v>325</v>
      </c>
      <c r="G37" s="54">
        <v>1466</v>
      </c>
      <c r="H37" s="53">
        <f t="shared" si="0"/>
        <v>38.208868778280539</v>
      </c>
      <c r="I37" s="68">
        <f>4+70</f>
        <v>74</v>
      </c>
      <c r="J37" s="53">
        <v>101.7</v>
      </c>
      <c r="K37" s="53">
        <f>(G37)*0.066</f>
        <v>96.756</v>
      </c>
      <c r="L37" s="53">
        <f>J37-K37</f>
        <v>4.9440000000000026</v>
      </c>
      <c r="M37" s="54">
        <f>[3]Jul!$AD36</f>
        <v>218</v>
      </c>
      <c r="N37" s="54">
        <f>15+3</f>
        <v>18</v>
      </c>
      <c r="O37" s="54"/>
      <c r="P37" s="50">
        <f t="shared" si="6"/>
        <v>4.8613569321533951</v>
      </c>
      <c r="Q37" s="38">
        <f t="shared" si="3"/>
        <v>270.64615384615382</v>
      </c>
      <c r="R37" s="16"/>
    </row>
    <row r="38" spans="2:20" ht="15.6">
      <c r="B38" s="91">
        <v>45856</v>
      </c>
      <c r="C38" s="87">
        <v>14</v>
      </c>
      <c r="D38" s="29" t="s">
        <v>106</v>
      </c>
      <c r="E38" s="366"/>
      <c r="F38" s="39">
        <f>[3]Jul!$N96</f>
        <v>440</v>
      </c>
      <c r="G38" s="54">
        <v>2066</v>
      </c>
      <c r="H38" s="53">
        <f t="shared" si="0"/>
        <v>39.773262032085569</v>
      </c>
      <c r="I38" s="68"/>
      <c r="J38" s="53">
        <f>SUM(80.8,99.2,74)-52.2-62</f>
        <v>139.80000000000001</v>
      </c>
      <c r="K38" s="53">
        <f>(G38)*0.066</f>
        <v>136.35599999999999</v>
      </c>
      <c r="L38" s="53">
        <f t="shared" si="2"/>
        <v>3.4440000000000168</v>
      </c>
      <c r="M38" s="54">
        <f>[3]Jul!$AD37</f>
        <v>191</v>
      </c>
      <c r="N38" s="54">
        <v>12</v>
      </c>
      <c r="O38" s="54"/>
      <c r="P38" s="50">
        <f t="shared" si="6"/>
        <v>2.4635193133047331</v>
      </c>
      <c r="Q38" s="38">
        <f t="shared" si="3"/>
        <v>281.72727272727275</v>
      </c>
      <c r="R38" s="314">
        <f>((J38+J39)-(K38+K39))/(J38+J39)*100</f>
        <v>2.09133858267717</v>
      </c>
    </row>
    <row r="39" spans="2:20" ht="15.6">
      <c r="B39" s="91">
        <v>45859</v>
      </c>
      <c r="C39" s="87">
        <v>15</v>
      </c>
      <c r="D39" s="29" t="s">
        <v>106</v>
      </c>
      <c r="E39" s="365">
        <v>1380</v>
      </c>
      <c r="F39" s="39">
        <f>[3]Jul!$N97</f>
        <v>361</v>
      </c>
      <c r="G39" s="54">
        <v>1702</v>
      </c>
      <c r="H39" s="53">
        <f t="shared" si="0"/>
        <v>39.936125142577808</v>
      </c>
      <c r="I39" s="68">
        <v>12</v>
      </c>
      <c r="J39" s="53">
        <f>SUM(52.2,62)</f>
        <v>114.2</v>
      </c>
      <c r="K39" s="53">
        <f t="shared" si="5"/>
        <v>112.33200000000001</v>
      </c>
      <c r="L39" s="53">
        <f t="shared" si="2"/>
        <v>1.867999999999995</v>
      </c>
      <c r="M39" s="54">
        <f>[3]Jul!$AD38</f>
        <v>181</v>
      </c>
      <c r="N39" s="54">
        <v>3</v>
      </c>
      <c r="O39" s="54"/>
      <c r="P39" s="50">
        <f t="shared" si="6"/>
        <v>1.6357267950963177</v>
      </c>
      <c r="Q39" s="38">
        <f t="shared" si="3"/>
        <v>282.88088642659278</v>
      </c>
      <c r="R39" s="314"/>
    </row>
    <row r="40" spans="2:20" ht="15.6">
      <c r="B40" s="91">
        <v>45859</v>
      </c>
      <c r="C40" s="87">
        <v>15</v>
      </c>
      <c r="D40" s="29" t="s">
        <v>49</v>
      </c>
      <c r="E40" s="366"/>
      <c r="F40" s="39">
        <f>[3]Jul!$N98</f>
        <v>520</v>
      </c>
      <c r="G40" s="54">
        <v>2911</v>
      </c>
      <c r="H40" s="53">
        <f t="shared" si="0"/>
        <v>47.41900452488688</v>
      </c>
      <c r="I40" s="68">
        <v>221</v>
      </c>
      <c r="J40" s="53">
        <f>SUM(100,90.9,98.6)-92.8</f>
        <v>196.7</v>
      </c>
      <c r="K40" s="53">
        <f t="shared" si="5"/>
        <v>192.126</v>
      </c>
      <c r="L40" s="53">
        <f t="shared" si="2"/>
        <v>4.5739999999999839</v>
      </c>
      <c r="M40" s="54">
        <f>[3]Jul!$AD39</f>
        <v>588</v>
      </c>
      <c r="N40" s="54">
        <v>2</v>
      </c>
      <c r="O40" s="54"/>
      <c r="P40" s="50">
        <f t="shared" si="6"/>
        <v>2.3253685815963312</v>
      </c>
      <c r="Q40" s="38">
        <f t="shared" si="3"/>
        <v>335.88461538461542</v>
      </c>
      <c r="R40" s="376">
        <f>((J40+J41)-(K40+K41))/(J40+J41)*100</f>
        <v>1.6242274412855289</v>
      </c>
    </row>
    <row r="41" spans="2:20" ht="16.5" customHeight="1">
      <c r="B41" s="91">
        <v>45860</v>
      </c>
      <c r="C41" s="87">
        <v>16</v>
      </c>
      <c r="D41" s="29" t="s">
        <v>49</v>
      </c>
      <c r="E41" s="47">
        <v>1398</v>
      </c>
      <c r="F41" s="39">
        <f>[3]Jul!$N99</f>
        <v>1393</v>
      </c>
      <c r="G41" s="54">
        <v>11421</v>
      </c>
      <c r="H41" s="53">
        <f t="shared" si="0"/>
        <v>69.449094210548552</v>
      </c>
      <c r="I41" s="68"/>
      <c r="J41" s="53">
        <f>SUM(92.8,90,99,100.4,100.3,99.6,93,99)</f>
        <v>774.1</v>
      </c>
      <c r="K41" s="53">
        <f>(G41)*0.066+ (48*0.19)</f>
        <v>762.90600000000006</v>
      </c>
      <c r="L41" s="53">
        <f t="shared" si="2"/>
        <v>11.19399999999996</v>
      </c>
      <c r="M41" s="54">
        <f>[3]Jul!$AD40</f>
        <v>225</v>
      </c>
      <c r="N41" s="54">
        <f>8+12+3</f>
        <v>23</v>
      </c>
      <c r="O41" s="54">
        <v>48</v>
      </c>
      <c r="P41" s="50">
        <f t="shared" si="6"/>
        <v>1.4460663996899574</v>
      </c>
      <c r="Q41" s="38">
        <f t="shared" si="3"/>
        <v>491.93108399138555</v>
      </c>
      <c r="R41" s="376"/>
    </row>
    <row r="42" spans="2:20" ht="15.6">
      <c r="B42" s="91">
        <v>45861</v>
      </c>
      <c r="C42" s="87">
        <v>17</v>
      </c>
      <c r="D42" s="29" t="s">
        <v>61</v>
      </c>
      <c r="E42" s="365">
        <v>1440</v>
      </c>
      <c r="F42" s="39">
        <f>[3]Jul!$N100</f>
        <v>193</v>
      </c>
      <c r="G42" s="54">
        <v>1380</v>
      </c>
      <c r="H42" s="53">
        <f t="shared" si="0"/>
        <v>60.566900335263639</v>
      </c>
      <c r="I42" s="68">
        <v>11</v>
      </c>
      <c r="J42" s="53">
        <v>92.9</v>
      </c>
      <c r="K42" s="53">
        <f t="shared" si="5"/>
        <v>91.08</v>
      </c>
      <c r="L42" s="53">
        <f t="shared" si="2"/>
        <v>1.8200000000000074</v>
      </c>
      <c r="M42" s="54">
        <f>[3]Jul!$AD41</f>
        <v>199</v>
      </c>
      <c r="N42" s="54">
        <v>8</v>
      </c>
      <c r="O42" s="54"/>
      <c r="P42" s="50">
        <f t="shared" si="6"/>
        <v>1.959095801937575</v>
      </c>
      <c r="Q42" s="38">
        <f t="shared" si="3"/>
        <v>429.01554404145077</v>
      </c>
      <c r="R42" s="16"/>
    </row>
    <row r="43" spans="2:20" ht="15.6">
      <c r="B43" s="91">
        <v>45861</v>
      </c>
      <c r="C43" s="87">
        <v>17</v>
      </c>
      <c r="D43" s="29" t="s">
        <v>107</v>
      </c>
      <c r="E43" s="354"/>
      <c r="F43" s="39">
        <f>[3]Jul!$N101</f>
        <v>165</v>
      </c>
      <c r="G43" s="54">
        <v>1359</v>
      </c>
      <c r="H43" s="53">
        <f t="shared" si="0"/>
        <v>69.766844919786095</v>
      </c>
      <c r="I43" s="68">
        <v>7</v>
      </c>
      <c r="J43" s="256">
        <v>92.5</v>
      </c>
      <c r="K43" s="53">
        <f t="shared" si="5"/>
        <v>89.694000000000003</v>
      </c>
      <c r="L43" s="53">
        <f t="shared" si="2"/>
        <v>2.8059999999999974</v>
      </c>
      <c r="M43" s="54">
        <f>[3]Jul!$AD42</f>
        <v>33</v>
      </c>
      <c r="N43" s="54">
        <v>2</v>
      </c>
      <c r="O43" s="54"/>
      <c r="P43" s="50">
        <f t="shared" si="6"/>
        <v>3.0335135135135105</v>
      </c>
      <c r="Q43" s="38">
        <f t="shared" si="3"/>
        <v>494.18181818181819</v>
      </c>
      <c r="R43" s="16"/>
    </row>
    <row r="44" spans="2:20" ht="16.5" customHeight="1">
      <c r="B44" s="91">
        <v>45861</v>
      </c>
      <c r="C44" s="87">
        <v>17</v>
      </c>
      <c r="D44" s="29" t="s">
        <v>47</v>
      </c>
      <c r="E44" s="366"/>
      <c r="F44" s="39">
        <f>[3]Jul!$N102</f>
        <v>746</v>
      </c>
      <c r="G44" s="54">
        <v>4563</v>
      </c>
      <c r="H44" s="53">
        <f t="shared" si="0"/>
        <v>51.811386216685065</v>
      </c>
      <c r="I44" s="68">
        <v>11</v>
      </c>
      <c r="J44" s="53">
        <f>SUM(82.8,99.9,99.9,100)-60</f>
        <v>322.60000000000002</v>
      </c>
      <c r="K44" s="53">
        <f>(G44)*0.066+ (72*0.19)</f>
        <v>314.83800000000002</v>
      </c>
      <c r="L44" s="53">
        <f t="shared" si="2"/>
        <v>7.7620000000000005</v>
      </c>
      <c r="M44" s="54">
        <f>[3]Jul!$AD43</f>
        <v>352</v>
      </c>
      <c r="N44" s="54">
        <f>3+2</f>
        <v>5</v>
      </c>
      <c r="O44" s="54">
        <v>72</v>
      </c>
      <c r="P44" s="50">
        <f t="shared" si="6"/>
        <v>2.4060756354618724</v>
      </c>
      <c r="Q44" s="38">
        <f t="shared" si="3"/>
        <v>366.99731903485252</v>
      </c>
      <c r="R44" s="312">
        <f>((J44+J45)-(K44+K45))/(J44+J45)*100</f>
        <v>1.2601382188029566</v>
      </c>
    </row>
    <row r="45" spans="2:20" ht="15.75" customHeight="1">
      <c r="B45" s="91">
        <v>45862</v>
      </c>
      <c r="C45" s="87">
        <v>18</v>
      </c>
      <c r="D45" s="29" t="s">
        <v>47</v>
      </c>
      <c r="E45" s="365">
        <v>1432</v>
      </c>
      <c r="F45" s="39">
        <f>[3]Jul!$N103</f>
        <v>965</v>
      </c>
      <c r="G45" s="54">
        <v>6703</v>
      </c>
      <c r="H45" s="53">
        <f t="shared" si="0"/>
        <v>58.837671441633653</v>
      </c>
      <c r="I45" s="68"/>
      <c r="J45" s="53">
        <f>SUM(60,96.2,100.2,91,96.9)</f>
        <v>444.29999999999995</v>
      </c>
      <c r="K45" s="53">
        <f t="shared" si="5"/>
        <v>442.39800000000002</v>
      </c>
      <c r="L45" s="53">
        <f t="shared" si="2"/>
        <v>1.90199999999993</v>
      </c>
      <c r="M45" s="54">
        <f>[3]Jul!$AD44</f>
        <v>226</v>
      </c>
      <c r="N45" s="54">
        <f>1+10+15</f>
        <v>26</v>
      </c>
      <c r="O45" s="54"/>
      <c r="P45" s="50">
        <f t="shared" si="6"/>
        <v>0.42808912896689855</v>
      </c>
      <c r="Q45" s="38">
        <f t="shared" si="3"/>
        <v>416.76683937823839</v>
      </c>
      <c r="R45" s="312"/>
    </row>
    <row r="46" spans="2:20" ht="15.75" customHeight="1">
      <c r="B46" s="91">
        <v>45862</v>
      </c>
      <c r="C46" s="87">
        <v>18</v>
      </c>
      <c r="D46" s="29" t="s">
        <v>49</v>
      </c>
      <c r="E46" s="366"/>
      <c r="F46" s="39">
        <f>[3]Jul!$N104</f>
        <v>410</v>
      </c>
      <c r="G46" s="54">
        <v>3297</v>
      </c>
      <c r="H46" s="53">
        <f t="shared" si="0"/>
        <v>68.115925394548057</v>
      </c>
      <c r="I46" s="68"/>
      <c r="J46" s="53">
        <f>SUM(94.6,93,95.8,97.2)-59.6-92.5</f>
        <v>228.49999999999994</v>
      </c>
      <c r="K46" s="53">
        <f>(G46)*0.066+(24*0.19)</f>
        <v>222.16200000000001</v>
      </c>
      <c r="L46" s="53">
        <f t="shared" si="2"/>
        <v>6.337999999999937</v>
      </c>
      <c r="M46" s="54">
        <f>[3]Jul!$AD45</f>
        <v>76</v>
      </c>
      <c r="N46" s="54">
        <v>15</v>
      </c>
      <c r="O46" s="54">
        <v>24</v>
      </c>
      <c r="P46" s="50">
        <f t="shared" si="6"/>
        <v>2.7737417943106952</v>
      </c>
      <c r="Q46" s="38">
        <f t="shared" si="3"/>
        <v>482.48780487804879</v>
      </c>
      <c r="R46" s="380">
        <f>((J46+J47)-(K46+K47))/(J46+J47)*100</f>
        <v>2.1131279020683715</v>
      </c>
    </row>
    <row r="47" spans="2:20" ht="15.75" customHeight="1">
      <c r="B47" s="91">
        <v>45863</v>
      </c>
      <c r="C47" s="87">
        <v>19</v>
      </c>
      <c r="D47" s="29" t="s">
        <v>49</v>
      </c>
      <c r="E47" s="365">
        <v>1253</v>
      </c>
      <c r="F47" s="39">
        <f>[3]Jul!$N105</f>
        <v>438</v>
      </c>
      <c r="G47" s="54">
        <v>3661</v>
      </c>
      <c r="H47" s="53">
        <f t="shared" si="0"/>
        <v>70.800966962127305</v>
      </c>
      <c r="I47" s="68"/>
      <c r="J47" s="53">
        <f>SUM(59.6,92.5,93.2)</f>
        <v>245.3</v>
      </c>
      <c r="K47" s="53">
        <f t="shared" si="5"/>
        <v>241.626</v>
      </c>
      <c r="L47" s="53">
        <f t="shared" si="2"/>
        <v>3.6740000000000066</v>
      </c>
      <c r="M47" s="54">
        <f>[3]Jul!$AD46</f>
        <v>108</v>
      </c>
      <c r="N47" s="54">
        <f>4+14</f>
        <v>18</v>
      </c>
      <c r="O47" s="54"/>
      <c r="P47" s="50">
        <f t="shared" si="6"/>
        <v>1.4977578475336348</v>
      </c>
      <c r="Q47" s="38">
        <f t="shared" si="3"/>
        <v>501.50684931506851</v>
      </c>
      <c r="R47" s="380"/>
    </row>
    <row r="48" spans="2:20" ht="15.75" customHeight="1">
      <c r="B48" s="91">
        <v>45863</v>
      </c>
      <c r="C48" s="87">
        <v>19</v>
      </c>
      <c r="D48" s="29" t="s">
        <v>47</v>
      </c>
      <c r="E48" s="366"/>
      <c r="F48" s="39">
        <f>[3]Jul!$N106</f>
        <v>428</v>
      </c>
      <c r="G48" s="54">
        <v>4703</v>
      </c>
      <c r="H48" s="53">
        <f t="shared" si="0"/>
        <v>93.077515118196814</v>
      </c>
      <c r="I48" s="68">
        <v>1</v>
      </c>
      <c r="J48" s="53">
        <f>SUM(91.8,96.3,100.8,99.2)-72.2</f>
        <v>315.89999999999998</v>
      </c>
      <c r="K48" s="53">
        <f t="shared" si="5"/>
        <v>310.39800000000002</v>
      </c>
      <c r="L48" s="53">
        <f t="shared" si="2"/>
        <v>5.5019999999999527</v>
      </c>
      <c r="M48" s="54">
        <f>[3]Jul!$AD47</f>
        <v>210</v>
      </c>
      <c r="N48" s="54">
        <v>5</v>
      </c>
      <c r="O48" s="54"/>
      <c r="P48" s="50">
        <f>(J48-K48)/J48*100</f>
        <v>1.7416904083570601</v>
      </c>
      <c r="Q48" s="38">
        <f t="shared" ref="Q48:Q55" si="7">G48/(F48/60)</f>
        <v>659.29906542056074</v>
      </c>
      <c r="R48" s="16"/>
    </row>
    <row r="49" spans="2:18" ht="15.75" customHeight="1">
      <c r="B49" s="91">
        <v>45866</v>
      </c>
      <c r="C49" s="87">
        <v>20</v>
      </c>
      <c r="D49" s="29" t="s">
        <v>47</v>
      </c>
      <c r="E49" s="47">
        <v>1380</v>
      </c>
      <c r="F49" s="39">
        <f>[3]Jul!$N107</f>
        <v>584</v>
      </c>
      <c r="G49" s="54">
        <v>2744</v>
      </c>
      <c r="H49" s="53">
        <f t="shared" si="0"/>
        <v>39.800161160354556</v>
      </c>
      <c r="I49" s="68"/>
      <c r="J49" s="53">
        <f>SUM(98,91,72.2)-75.2</f>
        <v>186</v>
      </c>
      <c r="K49" s="53">
        <f t="shared" si="5"/>
        <v>181.10400000000001</v>
      </c>
      <c r="L49" s="53">
        <f>J49-K49</f>
        <v>4.8959999999999866</v>
      </c>
      <c r="M49" s="54">
        <f>[3]Jul!$AD48</f>
        <v>2032</v>
      </c>
      <c r="N49" s="54">
        <f>6+8</f>
        <v>14</v>
      </c>
      <c r="O49" s="54"/>
      <c r="P49" s="50">
        <f>(J49-K49)/J49*100</f>
        <v>2.632258064516122</v>
      </c>
      <c r="Q49" s="38">
        <f t="shared" si="7"/>
        <v>281.91780821917808</v>
      </c>
      <c r="R49" s="16"/>
    </row>
    <row r="50" spans="2:18" s="275" customFormat="1" ht="15.75" customHeight="1">
      <c r="B50" s="266">
        <v>45867</v>
      </c>
      <c r="C50" s="267"/>
      <c r="D50" s="379" t="s">
        <v>108</v>
      </c>
      <c r="E50" s="268"/>
      <c r="F50" s="269"/>
      <c r="G50" s="270"/>
      <c r="H50" s="265"/>
      <c r="I50" s="271"/>
      <c r="J50" s="265"/>
      <c r="K50" s="265"/>
      <c r="L50" s="265"/>
      <c r="M50" s="270">
        <f>[3]Jul!$AD49</f>
        <v>1440</v>
      </c>
      <c r="N50" s="270"/>
      <c r="O50" s="270"/>
      <c r="P50" s="272"/>
      <c r="Q50" s="273"/>
      <c r="R50" s="274"/>
    </row>
    <row r="51" spans="2:18" s="275" customFormat="1" ht="15.75" customHeight="1">
      <c r="B51" s="266">
        <v>45868</v>
      </c>
      <c r="C51" s="267"/>
      <c r="D51" s="379"/>
      <c r="E51" s="268"/>
      <c r="F51" s="269"/>
      <c r="G51" s="270"/>
      <c r="H51" s="265"/>
      <c r="I51" s="271"/>
      <c r="J51" s="265"/>
      <c r="K51" s="265"/>
      <c r="L51" s="265"/>
      <c r="M51" s="270">
        <f>[3]Jul!$AD50</f>
        <v>1440</v>
      </c>
      <c r="N51" s="270"/>
      <c r="O51" s="270"/>
      <c r="P51" s="272"/>
      <c r="Q51" s="273"/>
      <c r="R51" s="274"/>
    </row>
    <row r="52" spans="2:18" ht="15.75" customHeight="1">
      <c r="B52" s="91">
        <v>45869</v>
      </c>
      <c r="C52" s="87">
        <v>21</v>
      </c>
      <c r="D52" s="29" t="s">
        <v>62</v>
      </c>
      <c r="E52" s="47">
        <v>1310</v>
      </c>
      <c r="F52" s="39">
        <f>[3]Jul!$N108</f>
        <v>330</v>
      </c>
      <c r="G52" s="54">
        <v>2039</v>
      </c>
      <c r="H52" s="53">
        <f t="shared" si="0"/>
        <v>52.337967914438508</v>
      </c>
      <c r="I52" s="68"/>
      <c r="J52" s="53">
        <f>SUM(98.8,101.7)-62</f>
        <v>138.5</v>
      </c>
      <c r="K52" s="53">
        <f t="shared" si="5"/>
        <v>134.57400000000001</v>
      </c>
      <c r="L52" s="53">
        <f>J52-K52</f>
        <v>3.9259999999999877</v>
      </c>
      <c r="M52" s="54">
        <f>[3]Jul!$AD51</f>
        <v>178</v>
      </c>
      <c r="N52" s="54">
        <v>9</v>
      </c>
      <c r="O52" s="54"/>
      <c r="P52" s="50">
        <f>(J52-K52)/J52*100</f>
        <v>2.8346570397111823</v>
      </c>
      <c r="Q52" s="38">
        <f t="shared" si="7"/>
        <v>370.72727272727275</v>
      </c>
      <c r="R52" s="16"/>
    </row>
    <row r="53" spans="2:18" ht="15.75" customHeight="1">
      <c r="B53" s="91"/>
      <c r="C53" s="87"/>
      <c r="D53" s="29"/>
      <c r="E53" s="47"/>
      <c r="F53" s="253"/>
      <c r="G53" s="54"/>
      <c r="H53" s="53" t="e">
        <f t="shared" si="0"/>
        <v>#DIV/0!</v>
      </c>
      <c r="I53" s="68"/>
      <c r="J53" s="53"/>
      <c r="K53" s="53">
        <f t="shared" si="5"/>
        <v>0</v>
      </c>
      <c r="L53" s="53">
        <f>J53-K53</f>
        <v>0</v>
      </c>
      <c r="M53" s="54">
        <f>[3]Jul!$AD52</f>
        <v>0</v>
      </c>
      <c r="N53" s="54"/>
      <c r="O53" s="54"/>
      <c r="P53" s="50" t="e">
        <f>(J53-K53)/J53*100</f>
        <v>#DIV/0!</v>
      </c>
      <c r="Q53" s="38" t="e">
        <f t="shared" si="7"/>
        <v>#DIV/0!</v>
      </c>
      <c r="R53" s="16"/>
    </row>
    <row r="54" spans="2:18" ht="16.2" thickBot="1">
      <c r="B54" s="251"/>
      <c r="C54" s="87"/>
      <c r="D54" s="29"/>
      <c r="E54" s="47"/>
      <c r="F54" s="254"/>
      <c r="G54" s="54"/>
      <c r="H54" s="53"/>
      <c r="I54" s="38"/>
      <c r="J54" s="151"/>
      <c r="K54" s="53">
        <f t="shared" si="5"/>
        <v>0</v>
      </c>
      <c r="L54" s="53">
        <f>J54-K54</f>
        <v>0</v>
      </c>
      <c r="M54" s="54">
        <f>[3]Jul!$AD53</f>
        <v>0</v>
      </c>
      <c r="N54" s="257"/>
      <c r="O54" s="53"/>
      <c r="P54" s="50" t="e">
        <f>(J54-K54)/J54*100</f>
        <v>#DIV/0!</v>
      </c>
      <c r="Q54" s="38" t="e">
        <f t="shared" si="7"/>
        <v>#DIV/0!</v>
      </c>
      <c r="R54" s="16"/>
    </row>
    <row r="55" spans="2:18" ht="16.8" thickTop="1" thickBot="1">
      <c r="B55" s="252"/>
      <c r="C55" s="252"/>
      <c r="D55" s="30"/>
      <c r="E55" s="22">
        <f>SUM(E8:E54)</f>
        <v>28976</v>
      </c>
      <c r="F55" s="22">
        <f>SUM(F8:F54)</f>
        <v>20289</v>
      </c>
      <c r="G55" s="15">
        <f>SUM(G8:G54)</f>
        <v>133047</v>
      </c>
      <c r="H55" s="13">
        <f>(G55)*24/(F55/60)/17000*100</f>
        <v>55.546668290264499</v>
      </c>
      <c r="I55" s="14">
        <f>SUM(I8:I34)</f>
        <v>1423</v>
      </c>
      <c r="J55" s="13">
        <f>SUM(J8:J54)</f>
        <v>9012.4419600000001</v>
      </c>
      <c r="K55" s="13">
        <f>SUM(K8:K54)</f>
        <v>8834.7564000000002</v>
      </c>
      <c r="L55" s="51">
        <f>J55-K55</f>
        <v>177.6855599999999</v>
      </c>
      <c r="M55" s="14">
        <f>SUM(M8:M54)</f>
        <v>15320</v>
      </c>
      <c r="N55" s="14"/>
      <c r="O55" s="14">
        <f t="shared" ref="O55" si="8">SUM(O8:O54)</f>
        <v>144</v>
      </c>
      <c r="P55" s="24">
        <f>(J55-K55)/J55</f>
        <v>1.9715584387519306E-2</v>
      </c>
      <c r="Q55" s="396">
        <f>G55/(E55/60)</f>
        <v>275.49765323025952</v>
      </c>
      <c r="R55" s="400">
        <f>(January_2025!G65+February_2025!G63+March_2025!G62+'April_2025 '!G54+May_2025!G63+June_2025!G57+July_2025!G55)/((January_2025!E65+February_2025!E63+March_2025!E62+'April_2025 '!E54+May_2025!E63+June_2025!E57+E55)/60)</f>
        <v>271.54793591446145</v>
      </c>
    </row>
    <row r="56" spans="2:18" ht="16.8" thickTop="1" thickBot="1">
      <c r="B56" s="1"/>
      <c r="C56" s="1"/>
      <c r="D56" s="31"/>
      <c r="G56" s="1"/>
      <c r="H56" s="1"/>
      <c r="L56" s="18"/>
      <c r="M56" s="18"/>
      <c r="N56" s="40" t="s">
        <v>23</v>
      </c>
      <c r="O56" s="18"/>
      <c r="Q56" s="5"/>
    </row>
    <row r="57" spans="2:18" ht="21" thickTop="1" thickBot="1">
      <c r="B57" s="1"/>
      <c r="C57" s="1"/>
      <c r="D57" s="31"/>
      <c r="G57" s="61"/>
      <c r="H57" s="1"/>
      <c r="K57" s="45" t="s">
        <v>36</v>
      </c>
      <c r="L57" s="15">
        <f>G55+(O55*2.75)</f>
        <v>133443</v>
      </c>
      <c r="M57" s="18"/>
      <c r="N57" s="40" t="s">
        <v>31</v>
      </c>
      <c r="O57" s="86">
        <f>O55*2.75</f>
        <v>396</v>
      </c>
      <c r="P57" s="398" t="s">
        <v>146</v>
      </c>
      <c r="Q57" s="397">
        <v>393.45556705604025</v>
      </c>
      <c r="R57" s="399">
        <v>367.38739850250226</v>
      </c>
    </row>
    <row r="58" spans="2:18" ht="16.2" thickTop="1">
      <c r="B58" s="1"/>
      <c r="C58" s="1"/>
      <c r="D58" s="31"/>
      <c r="G58" s="1"/>
      <c r="H58" s="7"/>
      <c r="L58" s="18"/>
      <c r="M58" s="18"/>
      <c r="N58" s="18"/>
      <c r="O58" s="18"/>
      <c r="Q58" s="5"/>
    </row>
    <row r="59" spans="2:18" ht="15.6">
      <c r="B59" s="1"/>
      <c r="C59" s="1"/>
      <c r="D59" s="31"/>
      <c r="G59" s="1"/>
      <c r="H59" s="1"/>
      <c r="L59" s="18"/>
      <c r="M59" s="18"/>
      <c r="N59" s="18"/>
      <c r="O59" s="18"/>
      <c r="Q59" s="5"/>
    </row>
    <row r="60" spans="2:18" ht="15.6">
      <c r="B60" s="1"/>
      <c r="C60" s="1"/>
      <c r="D60" s="31"/>
      <c r="G60" s="1"/>
      <c r="H60" s="1"/>
      <c r="L60" s="18"/>
      <c r="M60" s="18"/>
      <c r="N60" s="18" t="s">
        <v>27</v>
      </c>
      <c r="O60" s="18">
        <f>O10+O27+O36+O44</f>
        <v>72</v>
      </c>
      <c r="Q60" s="69"/>
      <c r="R60" s="18"/>
    </row>
    <row r="61" spans="2:18" ht="15.6">
      <c r="B61" s="1"/>
      <c r="C61" s="1"/>
      <c r="D61" s="31"/>
      <c r="G61" s="89" t="s">
        <v>39</v>
      </c>
      <c r="H61" s="247">
        <f>June_2025!H65+L57</f>
        <v>796608.75</v>
      </c>
      <c r="I61" s="247">
        <f>June_2025!I65+G55</f>
        <v>794065</v>
      </c>
      <c r="L61" s="18"/>
      <c r="M61" s="18"/>
      <c r="N61" s="18" t="s">
        <v>42</v>
      </c>
      <c r="O61" s="18">
        <f>O39</f>
        <v>0</v>
      </c>
      <c r="Q61" s="5"/>
    </row>
    <row r="62" spans="2:18" ht="15.6">
      <c r="B62" s="1"/>
      <c r="C62" s="1"/>
      <c r="D62" s="31"/>
      <c r="G62" s="1"/>
      <c r="H62" s="248" t="s">
        <v>40</v>
      </c>
      <c r="I62" s="248" t="s">
        <v>41</v>
      </c>
      <c r="L62" s="18"/>
      <c r="M62" s="18"/>
      <c r="N62" s="18" t="s">
        <v>30</v>
      </c>
      <c r="O62" s="18">
        <f>O9+O19+O25</f>
        <v>0</v>
      </c>
      <c r="Q62" s="5"/>
    </row>
    <row r="63" spans="2:18" ht="15.6">
      <c r="B63" s="1"/>
      <c r="C63" s="1"/>
      <c r="D63" s="31"/>
      <c r="G63" s="1"/>
      <c r="H63" s="1"/>
      <c r="L63" s="18"/>
      <c r="M63" s="18"/>
      <c r="N63" s="18"/>
      <c r="O63" s="18">
        <f>SUM(O60:O62)</f>
        <v>72</v>
      </c>
      <c r="Q63" s="5"/>
    </row>
    <row r="64" spans="2:18" ht="15.6">
      <c r="B64" s="1"/>
      <c r="C64" s="1"/>
      <c r="D64" s="31"/>
      <c r="G64" s="1"/>
      <c r="H64" s="1"/>
      <c r="L64" s="18"/>
      <c r="M64" s="18"/>
      <c r="N64" s="18"/>
      <c r="O64" s="18"/>
      <c r="Q64" s="5"/>
    </row>
    <row r="65" spans="2:17" ht="15.6">
      <c r="B65" s="1"/>
      <c r="C65" s="1"/>
      <c r="D65" s="31"/>
      <c r="G65" s="1"/>
      <c r="H65" s="1"/>
      <c r="L65" s="18"/>
      <c r="M65" s="18"/>
      <c r="N65" s="18"/>
      <c r="O65" s="18"/>
      <c r="Q65" s="5"/>
    </row>
    <row r="66" spans="2:17" ht="15.6">
      <c r="B66" s="1"/>
      <c r="C66" s="1"/>
      <c r="D66" s="31"/>
      <c r="G66" s="1"/>
      <c r="H66" s="1"/>
      <c r="L66" s="18"/>
      <c r="M66" s="18"/>
      <c r="N66" s="18"/>
      <c r="O66" s="18"/>
      <c r="Q66" s="5"/>
    </row>
    <row r="67" spans="2:17" ht="15.6">
      <c r="B67" s="1"/>
      <c r="C67" s="1"/>
      <c r="D67" s="31"/>
      <c r="G67" s="1"/>
      <c r="H67" s="1"/>
      <c r="L67" s="18"/>
      <c r="M67" s="18"/>
      <c r="N67" s="18"/>
      <c r="O67" s="18"/>
      <c r="Q67" s="5"/>
    </row>
    <row r="68" spans="2:17" ht="15.6">
      <c r="B68" s="1"/>
      <c r="C68" s="1"/>
      <c r="D68" s="31"/>
      <c r="G68" s="1"/>
      <c r="H68" s="1"/>
      <c r="L68" s="18"/>
      <c r="M68" s="18"/>
      <c r="N68" s="18"/>
      <c r="O68" s="18"/>
      <c r="Q68" s="5"/>
    </row>
    <row r="69" spans="2:17" ht="15.6">
      <c r="B69" s="1"/>
      <c r="C69" s="1"/>
      <c r="D69" s="31"/>
      <c r="G69" s="1"/>
      <c r="H69" s="1"/>
      <c r="L69" s="18"/>
      <c r="M69" s="18"/>
      <c r="N69" s="18"/>
      <c r="O69" s="18"/>
      <c r="Q69" s="5"/>
    </row>
    <row r="70" spans="2:17" ht="15.6">
      <c r="B70" s="1"/>
      <c r="C70" s="1"/>
      <c r="D70" s="31"/>
      <c r="G70" s="1"/>
      <c r="H70" s="1"/>
      <c r="L70" s="18"/>
      <c r="M70" s="18"/>
      <c r="N70" s="18"/>
      <c r="O70" s="18"/>
      <c r="Q70" s="5"/>
    </row>
    <row r="71" spans="2:17">
      <c r="B71" s="1"/>
      <c r="C71" s="1"/>
      <c r="D71" s="31"/>
      <c r="G71" s="1"/>
      <c r="H71" s="1"/>
      <c r="N71" s="7"/>
      <c r="O71" s="7"/>
      <c r="Q71" s="5"/>
    </row>
    <row r="72" spans="2:17">
      <c r="B72" s="1"/>
      <c r="C72" s="1"/>
      <c r="D72" s="31"/>
      <c r="G72" s="1"/>
      <c r="H72" s="1"/>
      <c r="N72" s="7"/>
      <c r="O72" s="7"/>
      <c r="Q72" s="5"/>
    </row>
    <row r="73" spans="2:17">
      <c r="B73" s="1"/>
      <c r="C73" s="1"/>
      <c r="D73" s="31"/>
      <c r="G73" s="1"/>
      <c r="H73" s="1"/>
      <c r="N73" s="7"/>
      <c r="O73" s="7"/>
      <c r="Q73" s="5"/>
    </row>
    <row r="74" spans="2:17">
      <c r="B74" s="1"/>
      <c r="C74" s="1"/>
      <c r="D74" s="31"/>
      <c r="G74" s="1"/>
      <c r="H74" s="1"/>
      <c r="N74" s="7"/>
      <c r="O74" s="7"/>
      <c r="Q74" s="5"/>
    </row>
    <row r="75" spans="2:17">
      <c r="B75" s="1"/>
      <c r="C75" s="1"/>
      <c r="D75" s="31"/>
      <c r="G75" s="1"/>
      <c r="H75" s="1"/>
      <c r="N75" s="7"/>
      <c r="O75" s="7"/>
      <c r="Q75" s="5"/>
    </row>
    <row r="76" spans="2:17">
      <c r="B76" s="1"/>
      <c r="C76" s="1"/>
      <c r="D76" s="31"/>
      <c r="G76" s="1"/>
      <c r="H76" s="1"/>
      <c r="N76" s="7"/>
      <c r="O76" s="7"/>
      <c r="Q76" s="5"/>
    </row>
    <row r="77" spans="2:17">
      <c r="B77" s="1"/>
      <c r="C77" s="1"/>
      <c r="D77" s="31"/>
      <c r="G77" s="1"/>
      <c r="H77" s="1"/>
      <c r="N77" s="7"/>
      <c r="O77" s="7"/>
      <c r="Q77" s="5"/>
    </row>
    <row r="78" spans="2:17">
      <c r="B78" s="1"/>
      <c r="C78" s="1"/>
      <c r="D78" s="31"/>
      <c r="G78" s="1"/>
      <c r="H78" s="1"/>
      <c r="N78" s="7"/>
      <c r="O78" s="7"/>
      <c r="Q78" s="5"/>
    </row>
    <row r="79" spans="2:17">
      <c r="B79" s="1"/>
      <c r="C79" s="1"/>
      <c r="D79" s="31"/>
      <c r="G79" s="1"/>
      <c r="H79" s="1"/>
      <c r="N79" s="7"/>
      <c r="O79" s="7"/>
      <c r="Q79" s="5"/>
    </row>
    <row r="80" spans="2:17">
      <c r="B80" s="1"/>
      <c r="C80" s="1"/>
      <c r="D80" s="31"/>
      <c r="G80" s="1"/>
      <c r="H80" s="1"/>
      <c r="N80" s="7"/>
      <c r="O80" s="7"/>
      <c r="Q80" s="5"/>
    </row>
    <row r="81" spans="2:17">
      <c r="B81" s="1"/>
      <c r="C81" s="1"/>
      <c r="D81" s="31"/>
      <c r="G81" s="1"/>
      <c r="H81" s="1"/>
      <c r="N81" s="7"/>
      <c r="O81" s="7"/>
      <c r="Q81" s="5"/>
    </row>
    <row r="82" spans="2:17">
      <c r="B82" s="1"/>
      <c r="C82" s="1"/>
      <c r="D82" s="31"/>
      <c r="G82" s="1"/>
      <c r="H82" s="1"/>
      <c r="N82" s="7"/>
      <c r="O82" s="7"/>
      <c r="Q82" s="5"/>
    </row>
    <row r="83" spans="2:17">
      <c r="B83" s="1"/>
      <c r="C83" s="1"/>
      <c r="D83" s="31"/>
      <c r="G83" s="1"/>
      <c r="H83" s="1"/>
      <c r="N83" s="7"/>
      <c r="O83" s="7"/>
      <c r="Q83" s="5"/>
    </row>
    <row r="84" spans="2:17">
      <c r="B84" s="1"/>
      <c r="C84" s="1"/>
      <c r="D84" s="31"/>
      <c r="G84" s="1"/>
      <c r="H84" s="1"/>
      <c r="N84" s="7"/>
      <c r="O84" s="7"/>
      <c r="Q84" s="5"/>
    </row>
    <row r="85" spans="2:17">
      <c r="B85" s="1"/>
      <c r="C85" s="1"/>
      <c r="D85" s="31"/>
      <c r="G85" s="1"/>
      <c r="H85" s="1"/>
      <c r="N85" s="7"/>
      <c r="O85" s="7"/>
      <c r="Q85" s="5"/>
    </row>
    <row r="86" spans="2:17">
      <c r="B86" s="1"/>
      <c r="C86" s="1"/>
      <c r="D86" s="31"/>
      <c r="G86" s="1"/>
      <c r="H86" s="1"/>
      <c r="N86" s="7"/>
      <c r="O86" s="7"/>
      <c r="Q86" s="5"/>
    </row>
    <row r="87" spans="2:17">
      <c r="B87" s="1"/>
      <c r="C87" s="1"/>
      <c r="D87" s="31"/>
      <c r="G87" s="1"/>
      <c r="H87" s="1"/>
      <c r="N87" s="7"/>
      <c r="O87" s="7"/>
      <c r="Q87" s="5"/>
    </row>
    <row r="88" spans="2:17">
      <c r="B88" s="1"/>
      <c r="C88" s="1"/>
      <c r="D88" s="31"/>
      <c r="G88" s="1"/>
      <c r="H88" s="1"/>
      <c r="N88" s="7"/>
      <c r="O88" s="7"/>
      <c r="Q88" s="5"/>
    </row>
    <row r="89" spans="2:17">
      <c r="B89" s="1"/>
      <c r="C89" s="1"/>
      <c r="D89" s="31"/>
      <c r="G89" s="1"/>
      <c r="H89" s="1"/>
      <c r="N89" s="7"/>
      <c r="O89" s="7"/>
      <c r="Q89" s="5"/>
    </row>
    <row r="90" spans="2:17">
      <c r="B90" s="1"/>
      <c r="C90" s="1"/>
      <c r="D90" s="31"/>
      <c r="G90" s="1"/>
      <c r="H90" s="1"/>
      <c r="N90" s="7"/>
      <c r="O90" s="7"/>
      <c r="Q90" s="5"/>
    </row>
    <row r="91" spans="2:17">
      <c r="B91" s="1"/>
      <c r="C91" s="1"/>
      <c r="D91" s="31"/>
      <c r="G91" s="1"/>
      <c r="H91" s="1"/>
      <c r="N91" s="7"/>
      <c r="O91" s="7"/>
      <c r="Q91" s="5"/>
    </row>
    <row r="92" spans="2:17">
      <c r="B92" s="1"/>
      <c r="C92" s="1"/>
      <c r="D92" s="31"/>
      <c r="G92" s="1"/>
      <c r="H92" s="1"/>
      <c r="N92" s="7"/>
      <c r="O92" s="7"/>
      <c r="Q92" s="5"/>
    </row>
    <row r="93" spans="2:17">
      <c r="B93" s="1"/>
      <c r="C93" s="1"/>
      <c r="D93" s="31"/>
      <c r="G93" s="1"/>
      <c r="H93" s="1"/>
      <c r="N93" s="7"/>
      <c r="O93" s="7"/>
      <c r="Q93" s="5"/>
    </row>
    <row r="94" spans="2:17">
      <c r="B94" s="1"/>
      <c r="C94" s="1"/>
      <c r="D94" s="31"/>
      <c r="G94" s="1"/>
      <c r="H94" s="1"/>
      <c r="N94" s="7"/>
      <c r="O94" s="7"/>
      <c r="Q94" s="5"/>
    </row>
    <row r="95" spans="2:17">
      <c r="B95" s="1"/>
      <c r="C95" s="1"/>
      <c r="D95" s="31"/>
      <c r="G95" s="1"/>
      <c r="H95" s="1"/>
      <c r="N95" s="7"/>
      <c r="O95" s="7"/>
      <c r="Q95" s="5"/>
    </row>
    <row r="96" spans="2:17">
      <c r="B96" s="1"/>
      <c r="C96" s="1"/>
      <c r="D96" s="31"/>
      <c r="G96" s="1"/>
      <c r="H96" s="1"/>
      <c r="N96" s="7"/>
      <c r="O96" s="7"/>
      <c r="Q96" s="5"/>
    </row>
    <row r="97" spans="2:17">
      <c r="B97" s="1"/>
      <c r="C97" s="1"/>
      <c r="D97" s="31"/>
      <c r="G97" s="1"/>
      <c r="H97" s="1"/>
      <c r="N97" s="7"/>
      <c r="O97" s="7"/>
      <c r="Q97" s="5"/>
    </row>
    <row r="98" spans="2:17">
      <c r="B98" s="1"/>
      <c r="C98" s="1"/>
      <c r="D98" s="31"/>
      <c r="G98" s="1"/>
      <c r="H98" s="1"/>
      <c r="N98" s="7"/>
      <c r="O98" s="7"/>
      <c r="Q98" s="5"/>
    </row>
    <row r="99" spans="2:17">
      <c r="B99" s="1"/>
      <c r="C99" s="1"/>
      <c r="D99" s="31"/>
      <c r="G99" s="1"/>
      <c r="H99" s="1"/>
      <c r="N99" s="7"/>
      <c r="O99" s="7"/>
      <c r="Q99" s="5"/>
    </row>
    <row r="100" spans="2:17">
      <c r="B100" s="1"/>
      <c r="C100" s="1"/>
      <c r="D100" s="31"/>
      <c r="G100" s="1"/>
      <c r="H100" s="1"/>
      <c r="N100" s="7"/>
      <c r="O100" s="7"/>
      <c r="Q100" s="5"/>
    </row>
    <row r="101" spans="2:17">
      <c r="B101" s="1"/>
      <c r="C101" s="1"/>
      <c r="D101" s="31"/>
      <c r="G101" s="1"/>
      <c r="H101" s="1"/>
      <c r="N101" s="7"/>
      <c r="O101" s="7"/>
      <c r="Q101" s="5"/>
    </row>
    <row r="102" spans="2:17">
      <c r="B102" s="1"/>
      <c r="C102" s="1"/>
      <c r="D102" s="31"/>
      <c r="G102" s="1"/>
      <c r="H102" s="1"/>
      <c r="N102" s="7"/>
      <c r="O102" s="7"/>
      <c r="Q102" s="5"/>
    </row>
    <row r="103" spans="2:17">
      <c r="B103" s="1"/>
      <c r="C103" s="1"/>
      <c r="D103" s="31"/>
      <c r="G103" s="1"/>
      <c r="H103" s="1"/>
      <c r="N103" s="7"/>
      <c r="O103" s="7"/>
      <c r="Q103" s="5"/>
    </row>
    <row r="104" spans="2:17">
      <c r="B104" s="1"/>
      <c r="C104" s="1"/>
      <c r="D104" s="31"/>
      <c r="G104" s="1"/>
      <c r="H104" s="1"/>
      <c r="N104" s="7"/>
      <c r="O104" s="7"/>
      <c r="Q104" s="5"/>
    </row>
    <row r="105" spans="2:17">
      <c r="B105" s="1"/>
      <c r="C105" s="1"/>
      <c r="D105" s="31"/>
      <c r="G105" s="1"/>
      <c r="H105" s="1"/>
      <c r="N105" s="7"/>
      <c r="O105" s="7"/>
      <c r="Q105" s="5"/>
    </row>
    <row r="106" spans="2:17">
      <c r="B106" s="1"/>
      <c r="C106" s="1"/>
      <c r="D106" s="31"/>
      <c r="G106" s="1"/>
      <c r="H106" s="1"/>
      <c r="N106" s="7"/>
      <c r="O106" s="7"/>
      <c r="Q106" s="5"/>
    </row>
    <row r="107" spans="2:17">
      <c r="B107" s="1"/>
      <c r="C107" s="1"/>
      <c r="D107" s="31"/>
      <c r="G107" s="1"/>
      <c r="H107" s="1"/>
      <c r="N107" s="7"/>
      <c r="O107" s="7"/>
      <c r="Q107" s="5"/>
    </row>
    <row r="108" spans="2:17">
      <c r="B108" s="1"/>
      <c r="C108" s="1"/>
      <c r="D108" s="31"/>
      <c r="G108" s="1"/>
      <c r="H108" s="1"/>
      <c r="N108" s="7"/>
      <c r="O108" s="7"/>
      <c r="Q108" s="5"/>
    </row>
    <row r="109" spans="2:17">
      <c r="B109" s="1"/>
      <c r="C109" s="1"/>
      <c r="D109" s="31"/>
      <c r="G109" s="1"/>
      <c r="H109" s="1"/>
      <c r="N109" s="7"/>
      <c r="O109" s="7"/>
      <c r="Q109" s="5"/>
    </row>
    <row r="110" spans="2:17">
      <c r="B110" s="1"/>
      <c r="C110" s="1"/>
      <c r="D110" s="31"/>
      <c r="G110" s="1"/>
      <c r="H110" s="1"/>
      <c r="N110" s="7"/>
      <c r="O110" s="7"/>
      <c r="Q110" s="5"/>
    </row>
    <row r="111" spans="2:17">
      <c r="B111" s="1"/>
      <c r="C111" s="1"/>
      <c r="D111" s="31"/>
      <c r="G111" s="1"/>
      <c r="H111" s="1"/>
      <c r="N111" s="7"/>
      <c r="O111" s="7"/>
      <c r="Q111" s="5"/>
    </row>
    <row r="112" spans="2:17">
      <c r="B112" s="1"/>
      <c r="C112" s="1"/>
      <c r="D112" s="31"/>
      <c r="G112" s="1"/>
      <c r="H112" s="1"/>
      <c r="N112" s="7"/>
      <c r="O112" s="7"/>
      <c r="Q112" s="5"/>
    </row>
    <row r="113" spans="2:17">
      <c r="B113" s="1"/>
      <c r="C113" s="1"/>
      <c r="D113" s="31"/>
      <c r="G113" s="1"/>
      <c r="H113" s="1"/>
      <c r="N113" s="7"/>
      <c r="O113" s="7"/>
      <c r="Q113" s="5"/>
    </row>
    <row r="114" spans="2:17">
      <c r="B114" s="1"/>
      <c r="C114" s="1"/>
      <c r="D114" s="31"/>
      <c r="G114" s="1"/>
      <c r="H114" s="1"/>
      <c r="N114" s="7"/>
      <c r="O114" s="7"/>
      <c r="Q114" s="5"/>
    </row>
    <row r="115" spans="2:17">
      <c r="B115" s="1"/>
      <c r="C115" s="1"/>
      <c r="D115" s="31"/>
      <c r="G115" s="1"/>
      <c r="H115" s="1"/>
      <c r="N115" s="7"/>
      <c r="O115" s="7"/>
      <c r="Q115" s="5"/>
    </row>
    <row r="116" spans="2:17">
      <c r="B116" s="1"/>
      <c r="C116" s="1"/>
      <c r="D116" s="31"/>
      <c r="G116" s="1"/>
      <c r="H116" s="1"/>
      <c r="N116" s="7"/>
      <c r="O116" s="7"/>
      <c r="Q116" s="5"/>
    </row>
    <row r="117" spans="2:17">
      <c r="G117" s="1"/>
      <c r="H117" s="1"/>
      <c r="Q117" s="5"/>
    </row>
    <row r="118" spans="2:17">
      <c r="G118" s="1"/>
      <c r="H118" s="1"/>
      <c r="Q118" s="5"/>
    </row>
  </sheetData>
  <autoFilter ref="B5:Q55" xr:uid="{00000000-0001-0000-0600-000000000000}"/>
  <mergeCells count="51">
    <mergeCell ref="D50:D51"/>
    <mergeCell ref="E45:E46"/>
    <mergeCell ref="R44:R45"/>
    <mergeCell ref="E34:E35"/>
    <mergeCell ref="R35:R36"/>
    <mergeCell ref="R33:R34"/>
    <mergeCell ref="E31:E33"/>
    <mergeCell ref="E42:E44"/>
    <mergeCell ref="R40:R41"/>
    <mergeCell ref="E39:E40"/>
    <mergeCell ref="R38:R39"/>
    <mergeCell ref="E36:E38"/>
    <mergeCell ref="R46:R47"/>
    <mergeCell ref="E47:E48"/>
    <mergeCell ref="R8:R9"/>
    <mergeCell ref="E9:E12"/>
    <mergeCell ref="R12:R14"/>
    <mergeCell ref="H13:H14"/>
    <mergeCell ref="Q13:Q14"/>
    <mergeCell ref="L13:L14"/>
    <mergeCell ref="P13:P14"/>
    <mergeCell ref="M13:M14"/>
    <mergeCell ref="F13:F14"/>
    <mergeCell ref="E13:E16"/>
    <mergeCell ref="J13:J14"/>
    <mergeCell ref="K13:K14"/>
    <mergeCell ref="J15:J16"/>
    <mergeCell ref="K15:K16"/>
    <mergeCell ref="R15:R16"/>
    <mergeCell ref="N15:N16"/>
    <mergeCell ref="R6:R7"/>
    <mergeCell ref="B1:Q1"/>
    <mergeCell ref="B3:Q3"/>
    <mergeCell ref="B4:Q4"/>
    <mergeCell ref="I5:I7"/>
    <mergeCell ref="L5:L7"/>
    <mergeCell ref="M5:M7"/>
    <mergeCell ref="N5:N7"/>
    <mergeCell ref="O5:O7"/>
    <mergeCell ref="L15:L16"/>
    <mergeCell ref="P15:P16"/>
    <mergeCell ref="E24:E26"/>
    <mergeCell ref="R26:R27"/>
    <mergeCell ref="E27:E28"/>
    <mergeCell ref="R28:R31"/>
    <mergeCell ref="E22:E23"/>
    <mergeCell ref="R21:R22"/>
    <mergeCell ref="R23:R24"/>
    <mergeCell ref="E20:E21"/>
    <mergeCell ref="R18:R19"/>
    <mergeCell ref="E17:E18"/>
  </mergeCells>
  <conditionalFormatting sqref="I8:I54">
    <cfRule type="cellIs" dxfId="65" priority="89" stopIfTrue="1" operator="lessThan">
      <formula>50</formula>
    </cfRule>
  </conditionalFormatting>
  <conditionalFormatting sqref="J8">
    <cfRule type="cellIs" dxfId="64" priority="16" stopIfTrue="1" operator="lessThan">
      <formula>50</formula>
    </cfRule>
  </conditionalFormatting>
  <conditionalFormatting sqref="P8:P13 P15 P17:P54">
    <cfRule type="cellIs" dxfId="63" priority="85" stopIfTrue="1" operator="greaterThan">
      <formula>1.8</formula>
    </cfRule>
  </conditionalFormatting>
  <conditionalFormatting sqref="R8">
    <cfRule type="cellIs" dxfId="62" priority="15" operator="greaterThan">
      <formula>1.8</formula>
    </cfRule>
  </conditionalFormatting>
  <conditionalFormatting sqref="R12">
    <cfRule type="cellIs" dxfId="61" priority="13" operator="greaterThan">
      <formula>1.8</formula>
    </cfRule>
  </conditionalFormatting>
  <conditionalFormatting sqref="R15">
    <cfRule type="cellIs" dxfId="60" priority="12" operator="greaterThan">
      <formula>1.8</formula>
    </cfRule>
  </conditionalFormatting>
  <conditionalFormatting sqref="R18">
    <cfRule type="cellIs" dxfId="59" priority="11" operator="greaterThan">
      <formula>1.8</formula>
    </cfRule>
  </conditionalFormatting>
  <conditionalFormatting sqref="R21 R23">
    <cfRule type="cellIs" dxfId="58" priority="10" operator="greaterThan">
      <formula>1.8</formula>
    </cfRule>
  </conditionalFormatting>
  <conditionalFormatting sqref="R26">
    <cfRule type="cellIs" dxfId="57" priority="9" operator="greaterThan">
      <formula>1.8</formula>
    </cfRule>
  </conditionalFormatting>
  <conditionalFormatting sqref="R28">
    <cfRule type="cellIs" dxfId="56" priority="7" operator="greaterThan">
      <formula>1.8</formula>
    </cfRule>
  </conditionalFormatting>
  <conditionalFormatting sqref="R33">
    <cfRule type="cellIs" dxfId="55" priority="6" operator="greaterThan">
      <formula>1.8</formula>
    </cfRule>
  </conditionalFormatting>
  <conditionalFormatting sqref="R35">
    <cfRule type="cellIs" dxfId="54" priority="5" operator="greaterThan">
      <formula>1.8</formula>
    </cfRule>
  </conditionalFormatting>
  <conditionalFormatting sqref="R38">
    <cfRule type="cellIs" dxfId="53" priority="4" operator="greaterThan">
      <formula>1.8</formula>
    </cfRule>
  </conditionalFormatting>
  <conditionalFormatting sqref="R40">
    <cfRule type="cellIs" dxfId="52" priority="3" operator="greaterThan">
      <formula>1.8</formula>
    </cfRule>
  </conditionalFormatting>
  <conditionalFormatting sqref="R44">
    <cfRule type="cellIs" dxfId="51" priority="2" operator="greaterThan">
      <formula>1.8</formula>
    </cfRule>
  </conditionalFormatting>
  <conditionalFormatting sqref="R46">
    <cfRule type="cellIs" dxfId="50" priority="1" operator="greaterThan">
      <formula>1.8</formula>
    </cfRule>
  </conditionalFormatting>
  <pageMargins left="0.25" right="0.25" top="0.75" bottom="0.75" header="0.3" footer="0.3"/>
  <pageSetup scale="53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1"/>
    <pageSetUpPr fitToPage="1"/>
  </sheetPr>
  <dimension ref="B1:V120"/>
  <sheetViews>
    <sheetView topLeftCell="A4" zoomScale="80" zoomScaleNormal="80" zoomScaleSheetLayoutView="80" workbookViewId="0">
      <pane xSplit="2" ySplit="4" topLeftCell="C40" activePane="bottomRight" state="frozen"/>
      <selection activeCell="A4" sqref="A4"/>
      <selection pane="topRight" activeCell="B4" sqref="B4"/>
      <selection pane="bottomLeft" activeCell="A8" sqref="A8"/>
      <selection pane="bottomRight" activeCell="R57" sqref="R57"/>
    </sheetView>
  </sheetViews>
  <sheetFormatPr defaultRowHeight="13.2"/>
  <cols>
    <col min="1" max="1" width="2.44140625" customWidth="1"/>
    <col min="2" max="2" width="9.109375" style="206" customWidth="1"/>
    <col min="3" max="3" width="7" style="206" customWidth="1"/>
    <col min="4" max="4" width="53.88671875" style="211" customWidth="1"/>
    <col min="5" max="5" width="13" style="1" customWidth="1"/>
    <col min="6" max="6" width="7.5546875" style="23" customWidth="1"/>
    <col min="7" max="7" width="13.5546875" style="200" customWidth="1"/>
    <col min="8" max="8" width="13.5546875" customWidth="1"/>
    <col min="9" max="9" width="10.5546875" style="7" customWidth="1"/>
    <col min="10" max="10" width="11" style="7" customWidth="1"/>
    <col min="11" max="11" width="13.109375" style="7" customWidth="1"/>
    <col min="12" max="12" width="14" style="7" customWidth="1"/>
    <col min="13" max="13" width="16.88671875" style="7" customWidth="1"/>
    <col min="14" max="14" width="16.5546875" style="7" customWidth="1"/>
    <col min="15" max="15" width="9.44140625" style="207" customWidth="1"/>
    <col min="16" max="16" width="18.44140625" style="25" customWidth="1"/>
    <col min="17" max="17" width="12.109375" style="74" customWidth="1"/>
    <col min="18" max="18" width="11" customWidth="1"/>
    <col min="21" max="21" width="20.88671875" customWidth="1"/>
    <col min="22" max="22" width="13.5546875" customWidth="1"/>
    <col min="23" max="23" width="15.88671875" customWidth="1"/>
    <col min="24" max="24" width="10.5546875" customWidth="1"/>
  </cols>
  <sheetData>
    <row r="1" spans="2:19" ht="25.8">
      <c r="B1" s="324" t="s">
        <v>0</v>
      </c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</row>
    <row r="3" spans="2:19" ht="23.4">
      <c r="B3" s="325" t="s">
        <v>1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</row>
    <row r="4" spans="2:19" ht="21" thickBot="1">
      <c r="B4" s="326">
        <v>45870</v>
      </c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</row>
    <row r="5" spans="2:19" ht="16.8" thickTop="1" thickBot="1">
      <c r="B5" s="203" t="s">
        <v>2</v>
      </c>
      <c r="C5" s="203" t="s">
        <v>3</v>
      </c>
      <c r="D5" s="208" t="s">
        <v>4</v>
      </c>
      <c r="E5" s="2" t="s">
        <v>37</v>
      </c>
      <c r="F5" s="19" t="s">
        <v>12</v>
      </c>
      <c r="G5" s="203" t="s">
        <v>5</v>
      </c>
      <c r="H5" s="2" t="s">
        <v>13</v>
      </c>
      <c r="I5" s="327" t="s">
        <v>26</v>
      </c>
      <c r="J5" s="2" t="s">
        <v>18</v>
      </c>
      <c r="K5" s="2" t="s">
        <v>6</v>
      </c>
      <c r="L5" s="330" t="s">
        <v>22</v>
      </c>
      <c r="M5" s="333" t="s">
        <v>24</v>
      </c>
      <c r="N5" s="333" t="s">
        <v>25</v>
      </c>
      <c r="O5" s="383" t="s">
        <v>23</v>
      </c>
      <c r="P5" s="19" t="s">
        <v>6</v>
      </c>
      <c r="Q5" s="71" t="s">
        <v>9</v>
      </c>
      <c r="R5" s="2" t="s">
        <v>20</v>
      </c>
    </row>
    <row r="6" spans="2:19" ht="16.5" customHeight="1" thickTop="1">
      <c r="B6" s="204"/>
      <c r="C6" s="204"/>
      <c r="D6" s="209"/>
      <c r="E6" s="8" t="s">
        <v>11</v>
      </c>
      <c r="F6" s="20" t="s">
        <v>11</v>
      </c>
      <c r="G6" s="204" t="s">
        <v>6</v>
      </c>
      <c r="H6" s="8" t="s">
        <v>14</v>
      </c>
      <c r="I6" s="328"/>
      <c r="J6" s="8" t="s">
        <v>17</v>
      </c>
      <c r="K6" s="8" t="s">
        <v>17</v>
      </c>
      <c r="L6" s="331"/>
      <c r="M6" s="334"/>
      <c r="N6" s="334"/>
      <c r="O6" s="384"/>
      <c r="P6" s="20" t="s">
        <v>19</v>
      </c>
      <c r="Q6" s="72" t="s">
        <v>10</v>
      </c>
      <c r="R6" s="336" t="s">
        <v>21</v>
      </c>
    </row>
    <row r="7" spans="2:19" ht="16.2" thickBot="1">
      <c r="B7" s="205"/>
      <c r="C7" s="205"/>
      <c r="D7" s="210"/>
      <c r="E7" s="8"/>
      <c r="F7" s="21" t="s">
        <v>15</v>
      </c>
      <c r="G7" s="205"/>
      <c r="H7" s="10" t="s">
        <v>16</v>
      </c>
      <c r="I7" s="329"/>
      <c r="J7" s="10"/>
      <c r="K7" s="10"/>
      <c r="L7" s="332"/>
      <c r="M7" s="335"/>
      <c r="N7" s="335"/>
      <c r="O7" s="385"/>
      <c r="P7" s="21"/>
      <c r="Q7" s="73"/>
      <c r="R7" s="337"/>
    </row>
    <row r="8" spans="2:19" ht="15.6">
      <c r="B8" s="258">
        <v>45873</v>
      </c>
      <c r="C8" s="259">
        <v>1</v>
      </c>
      <c r="D8" s="260" t="s">
        <v>62</v>
      </c>
      <c r="E8" s="310">
        <v>1380</v>
      </c>
      <c r="F8" s="153">
        <f>[3]Aug!$N75</f>
        <v>844</v>
      </c>
      <c r="G8" s="17">
        <v>3730</v>
      </c>
      <c r="H8" s="53">
        <f>(G8)*24/(F8/60)/17000*100</f>
        <v>37.435182603847231</v>
      </c>
      <c r="I8" s="68">
        <v>609</v>
      </c>
      <c r="J8" s="256">
        <f>SUM(97.6,62,94.9)</f>
        <v>254.5</v>
      </c>
      <c r="K8" s="53">
        <f>(G8)*0.066</f>
        <v>246.18</v>
      </c>
      <c r="L8" s="53">
        <f>J8-K8</f>
        <v>8.3199999999999932</v>
      </c>
      <c r="M8" s="54">
        <f>[3]Aug!$AD8</f>
        <v>464</v>
      </c>
      <c r="N8" s="54">
        <f>2+1+8</f>
        <v>11</v>
      </c>
      <c r="O8" s="54"/>
      <c r="P8" s="50">
        <f t="shared" ref="P8:P46" si="0">(J8-K8)/J8*100</f>
        <v>3.2691552062868343</v>
      </c>
      <c r="Q8" s="38">
        <f t="shared" ref="Q8:Q47" si="1">G8/(F8/60)</f>
        <v>265.16587677725119</v>
      </c>
      <c r="R8" s="16"/>
    </row>
    <row r="9" spans="2:19" ht="15.6">
      <c r="B9" s="249">
        <v>45873</v>
      </c>
      <c r="C9" s="90">
        <v>1</v>
      </c>
      <c r="D9" s="260" t="s">
        <v>49</v>
      </c>
      <c r="E9" s="311"/>
      <c r="F9" s="153">
        <f>[3]Aug!$N76</f>
        <v>420</v>
      </c>
      <c r="G9" s="17">
        <v>3514</v>
      </c>
      <c r="H9" s="53">
        <f t="shared" ref="H9:H26" si="2">(G9)*24/(F9/60)/17000*100</f>
        <v>70.870588235294122</v>
      </c>
      <c r="I9" s="68">
        <v>14</v>
      </c>
      <c r="J9" s="256">
        <f>SUM(95.5,99.7,100.3,94.2)-74.3-60</f>
        <v>255.39999999999998</v>
      </c>
      <c r="K9" s="53">
        <f>(G9)*0.066+ (110*0.19)</f>
        <v>252.82400000000001</v>
      </c>
      <c r="L9" s="53">
        <f t="shared" ref="L9:L56" si="3">J9-K9</f>
        <v>2.575999999999965</v>
      </c>
      <c r="M9" s="54">
        <f>[3]Aug!$AD9</f>
        <v>107</v>
      </c>
      <c r="N9" s="54">
        <v>4</v>
      </c>
      <c r="O9" s="54">
        <v>110</v>
      </c>
      <c r="P9" s="50">
        <f>(J9-K9)/J9*100</f>
        <v>1.0086139389193287</v>
      </c>
      <c r="Q9" s="38">
        <f t="shared" si="1"/>
        <v>502</v>
      </c>
      <c r="R9" s="381">
        <f>((J10+J9)-(K10+K9))/(J10+J9)*100</f>
        <v>1.622916666666659</v>
      </c>
      <c r="S9" s="37"/>
    </row>
    <row r="10" spans="2:19" ht="15.75" customHeight="1">
      <c r="B10" s="249">
        <v>45874</v>
      </c>
      <c r="C10" s="90">
        <v>2</v>
      </c>
      <c r="D10" s="260" t="s">
        <v>49</v>
      </c>
      <c r="E10" s="47">
        <v>1411</v>
      </c>
      <c r="F10" s="153">
        <f>[3]Aug!$N77</f>
        <v>1243</v>
      </c>
      <c r="G10" s="17">
        <v>10306</v>
      </c>
      <c r="H10" s="53">
        <f t="shared" si="2"/>
        <v>70.231602858359764</v>
      </c>
      <c r="I10" s="68"/>
      <c r="J10" s="53">
        <f>SUM(60,74.3,101,93.2,90.4,94.4,99.6,91.7)</f>
        <v>704.6</v>
      </c>
      <c r="K10" s="53">
        <f>(G10)*0.066+(60*0.19)</f>
        <v>691.596</v>
      </c>
      <c r="L10" s="53">
        <f t="shared" si="3"/>
        <v>13.004000000000019</v>
      </c>
      <c r="M10" s="54">
        <f>[3]Aug!$AD10</f>
        <v>329</v>
      </c>
      <c r="N10" s="54">
        <f>7+3+5</f>
        <v>15</v>
      </c>
      <c r="O10" s="54">
        <v>60</v>
      </c>
      <c r="P10" s="50">
        <f t="shared" si="0"/>
        <v>1.8455861481691767</v>
      </c>
      <c r="Q10" s="38">
        <f t="shared" si="1"/>
        <v>497.47385358004829</v>
      </c>
      <c r="R10" s="381"/>
      <c r="S10" s="37"/>
    </row>
    <row r="11" spans="2:19" ht="15.75" customHeight="1">
      <c r="B11" s="91">
        <v>45875</v>
      </c>
      <c r="C11" s="87">
        <v>3</v>
      </c>
      <c r="D11" s="260" t="s">
        <v>27</v>
      </c>
      <c r="E11" s="310">
        <v>1434</v>
      </c>
      <c r="F11" s="153">
        <f>[3]Aug!$N78</f>
        <v>163</v>
      </c>
      <c r="G11" s="17">
        <v>1121</v>
      </c>
      <c r="H11" s="53">
        <f t="shared" si="2"/>
        <v>58.254781667268141</v>
      </c>
      <c r="I11" s="68">
        <v>221</v>
      </c>
      <c r="J11" s="53">
        <f>SUM(75.2)</f>
        <v>75.2</v>
      </c>
      <c r="K11" s="53">
        <f t="shared" ref="K11:K18" si="4">(G11)*0.066</f>
        <v>73.986000000000004</v>
      </c>
      <c r="L11" s="53">
        <f t="shared" si="3"/>
        <v>1.2139999999999986</v>
      </c>
      <c r="M11" s="54">
        <f>[3]Aug!$AD11</f>
        <v>76</v>
      </c>
      <c r="N11" s="54">
        <v>4</v>
      </c>
      <c r="O11" s="54"/>
      <c r="P11" s="50">
        <f t="shared" si="0"/>
        <v>1.6143617021276577</v>
      </c>
      <c r="Q11" s="38">
        <f t="shared" si="1"/>
        <v>412.63803680981596</v>
      </c>
      <c r="R11" s="16"/>
      <c r="S11" s="37"/>
    </row>
    <row r="12" spans="2:19" ht="15.75" customHeight="1">
      <c r="B12" s="91">
        <v>45875</v>
      </c>
      <c r="C12" s="87">
        <v>3</v>
      </c>
      <c r="D12" s="260" t="s">
        <v>45</v>
      </c>
      <c r="E12" s="311"/>
      <c r="F12" s="153">
        <f>[3]Aug!$N79</f>
        <v>512</v>
      </c>
      <c r="G12" s="17">
        <v>5820</v>
      </c>
      <c r="H12" s="53">
        <f t="shared" si="2"/>
        <v>96.286764705882348</v>
      </c>
      <c r="I12" s="68"/>
      <c r="J12" s="53">
        <f>SUM(95,100.8,100.3,88.3)</f>
        <v>384.40000000000003</v>
      </c>
      <c r="K12" s="53">
        <f t="shared" si="4"/>
        <v>384.12</v>
      </c>
      <c r="L12" s="53">
        <f t="shared" si="3"/>
        <v>0.28000000000002956</v>
      </c>
      <c r="M12" s="54">
        <f>[3]Aug!$AD12</f>
        <v>582</v>
      </c>
      <c r="N12" s="54">
        <f>14+7+4</f>
        <v>25</v>
      </c>
      <c r="O12" s="54"/>
      <c r="P12" s="50">
        <f t="shared" si="0"/>
        <v>7.2840790842879699E-2</v>
      </c>
      <c r="Q12" s="38">
        <f t="shared" si="1"/>
        <v>682.03125</v>
      </c>
      <c r="R12" s="16"/>
      <c r="S12" s="37"/>
    </row>
    <row r="13" spans="2:19" ht="15.75" customHeight="1">
      <c r="B13" s="91">
        <v>45876</v>
      </c>
      <c r="C13" s="87">
        <v>4</v>
      </c>
      <c r="D13" s="260" t="s">
        <v>109</v>
      </c>
      <c r="E13" s="310">
        <v>1440</v>
      </c>
      <c r="F13" s="153">
        <f>[3]Aug!$N80</f>
        <v>368</v>
      </c>
      <c r="G13" s="17">
        <v>2631</v>
      </c>
      <c r="H13" s="53">
        <f t="shared" si="2"/>
        <v>60.560102301790288</v>
      </c>
      <c r="I13" s="68"/>
      <c r="J13" s="53">
        <f>SUM(98.1,89.8)</f>
        <v>187.89999999999998</v>
      </c>
      <c r="K13" s="53">
        <f>(G13)*0.0708</f>
        <v>186.2748</v>
      </c>
      <c r="L13" s="53">
        <f t="shared" si="3"/>
        <v>1.6251999999999782</v>
      </c>
      <c r="M13" s="54">
        <f>[3]Aug!$AD13</f>
        <v>198</v>
      </c>
      <c r="N13" s="54">
        <v>30</v>
      </c>
      <c r="O13" s="54"/>
      <c r="P13" s="50">
        <f t="shared" si="0"/>
        <v>0.8649281532730061</v>
      </c>
      <c r="Q13" s="38">
        <f t="shared" si="1"/>
        <v>428.96739130434781</v>
      </c>
      <c r="R13" s="16"/>
      <c r="S13" s="37"/>
    </row>
    <row r="14" spans="2:19" ht="15.75" customHeight="1">
      <c r="B14" s="91">
        <v>45876</v>
      </c>
      <c r="C14" s="87">
        <v>4</v>
      </c>
      <c r="D14" s="260" t="s">
        <v>49</v>
      </c>
      <c r="E14" s="311"/>
      <c r="F14" s="153">
        <f>[3]Aug!$N81</f>
        <v>758</v>
      </c>
      <c r="G14" s="17">
        <v>5878</v>
      </c>
      <c r="H14" s="53">
        <f t="shared" si="2"/>
        <v>65.686171038336184</v>
      </c>
      <c r="I14" s="68"/>
      <c r="J14" s="53">
        <f>SUM(100,98,99,96,90.7)-87.1</f>
        <v>396.6</v>
      </c>
      <c r="K14" s="53">
        <f t="shared" si="4"/>
        <v>387.94800000000004</v>
      </c>
      <c r="L14" s="53">
        <f t="shared" si="3"/>
        <v>8.6519999999999868</v>
      </c>
      <c r="M14" s="54">
        <f>[3]Aug!$AD14</f>
        <v>284</v>
      </c>
      <c r="N14" s="54">
        <v>4</v>
      </c>
      <c r="O14" s="54"/>
      <c r="P14" s="50">
        <f t="shared" si="0"/>
        <v>2.1815431164901629</v>
      </c>
      <c r="Q14" s="38">
        <f t="shared" si="1"/>
        <v>465.2770448548813</v>
      </c>
      <c r="R14" s="320">
        <f>((J15+J14)-(K15+K14))/(J15+J14)*100</f>
        <v>1.7639944713199591</v>
      </c>
      <c r="S14" s="37"/>
    </row>
    <row r="15" spans="2:19" ht="15.75" customHeight="1">
      <c r="B15" s="91">
        <v>45877</v>
      </c>
      <c r="C15" s="87">
        <v>5</v>
      </c>
      <c r="D15" s="260" t="s">
        <v>49</v>
      </c>
      <c r="E15" s="310">
        <v>1254</v>
      </c>
      <c r="F15" s="153">
        <f>[3]Aug!$N82</f>
        <v>321</v>
      </c>
      <c r="G15" s="17">
        <v>2737</v>
      </c>
      <c r="H15" s="53">
        <f t="shared" si="2"/>
        <v>72.224299065420567</v>
      </c>
      <c r="I15" s="68">
        <v>620</v>
      </c>
      <c r="J15" s="53">
        <f>SUM(87.1,95.1)</f>
        <v>182.2</v>
      </c>
      <c r="K15" s="53">
        <f t="shared" si="4"/>
        <v>180.642</v>
      </c>
      <c r="L15" s="53">
        <f t="shared" si="3"/>
        <v>1.5579999999999927</v>
      </c>
      <c r="M15" s="54">
        <f>[3]Aug!$AD15</f>
        <v>61</v>
      </c>
      <c r="N15" s="54">
        <v>4</v>
      </c>
      <c r="O15" s="54"/>
      <c r="P15" s="50">
        <f t="shared" si="0"/>
        <v>0.85510428100987534</v>
      </c>
      <c r="Q15" s="38">
        <f t="shared" si="1"/>
        <v>511.58878504672901</v>
      </c>
      <c r="R15" s="320"/>
      <c r="S15" s="37"/>
    </row>
    <row r="16" spans="2:19" ht="15.75" customHeight="1">
      <c r="B16" s="91">
        <v>45877</v>
      </c>
      <c r="C16" s="87">
        <v>5</v>
      </c>
      <c r="D16" s="260" t="s">
        <v>27</v>
      </c>
      <c r="E16" s="311"/>
      <c r="F16" s="153">
        <f>[3]Aug!$N83</f>
        <v>696</v>
      </c>
      <c r="G16" s="17">
        <v>5643</v>
      </c>
      <c r="H16" s="53">
        <f t="shared" si="2"/>
        <v>68.677484787018244</v>
      </c>
      <c r="I16" s="68"/>
      <c r="J16" s="53">
        <f>SUM(86,95,104,92.8)</f>
        <v>377.8</v>
      </c>
      <c r="K16" s="53">
        <f t="shared" si="4"/>
        <v>372.43800000000005</v>
      </c>
      <c r="L16" s="53">
        <f t="shared" si="3"/>
        <v>5.3619999999999663</v>
      </c>
      <c r="M16" s="54">
        <f>[3]Aug!$AD16</f>
        <v>249</v>
      </c>
      <c r="N16" s="54">
        <f>10+2</f>
        <v>12</v>
      </c>
      <c r="O16" s="54"/>
      <c r="P16" s="50">
        <f t="shared" si="0"/>
        <v>1.4192694547379476</v>
      </c>
      <c r="Q16" s="38">
        <f t="shared" si="1"/>
        <v>486.4655172413793</v>
      </c>
      <c r="R16" s="16"/>
      <c r="S16" s="37"/>
    </row>
    <row r="17" spans="2:22" ht="15.75" customHeight="1">
      <c r="B17" s="91">
        <v>45882</v>
      </c>
      <c r="C17" s="87">
        <v>6</v>
      </c>
      <c r="D17" s="260" t="s">
        <v>64</v>
      </c>
      <c r="E17" s="310">
        <v>1440</v>
      </c>
      <c r="F17" s="153">
        <f>[3]Aug!$N84</f>
        <v>410</v>
      </c>
      <c r="G17" s="17">
        <v>2825</v>
      </c>
      <c r="H17" s="53">
        <f t="shared" si="2"/>
        <v>58.364418938307026</v>
      </c>
      <c r="I17" s="68"/>
      <c r="J17" s="53">
        <f>SUM(94,95.3)</f>
        <v>189.3</v>
      </c>
      <c r="K17" s="53">
        <f t="shared" si="4"/>
        <v>186.45000000000002</v>
      </c>
      <c r="L17" s="53">
        <f t="shared" si="3"/>
        <v>2.8499999999999943</v>
      </c>
      <c r="M17" s="54">
        <f>[3]Aug!$AD17</f>
        <v>716</v>
      </c>
      <c r="N17" s="54">
        <f>4+26</f>
        <v>30</v>
      </c>
      <c r="O17" s="54"/>
      <c r="P17" s="50">
        <f t="shared" si="0"/>
        <v>1.5055467511885865</v>
      </c>
      <c r="Q17" s="38">
        <f t="shared" si="1"/>
        <v>413.41463414634148</v>
      </c>
      <c r="R17" s="16"/>
      <c r="S17" s="37"/>
    </row>
    <row r="18" spans="2:22" ht="15.75" customHeight="1">
      <c r="B18" s="91">
        <v>45882</v>
      </c>
      <c r="C18" s="87">
        <v>6</v>
      </c>
      <c r="D18" s="260" t="s">
        <v>49</v>
      </c>
      <c r="E18" s="311"/>
      <c r="F18" s="153">
        <f>[3]Aug!$N85</f>
        <v>363</v>
      </c>
      <c r="G18" s="17">
        <v>1620</v>
      </c>
      <c r="H18" s="53">
        <f t="shared" si="2"/>
        <v>37.802625182304325</v>
      </c>
      <c r="I18" s="68"/>
      <c r="J18" s="53">
        <f>SUM(99.7,105.5)-26-68.9</f>
        <v>110.29999999999998</v>
      </c>
      <c r="K18" s="53">
        <f t="shared" si="4"/>
        <v>106.92</v>
      </c>
      <c r="L18" s="53">
        <f t="shared" si="3"/>
        <v>3.3799999999999812</v>
      </c>
      <c r="M18" s="54">
        <f>[3]Aug!$AD18</f>
        <v>282</v>
      </c>
      <c r="N18" s="54">
        <v>5</v>
      </c>
      <c r="O18" s="54"/>
      <c r="P18" s="50">
        <f t="shared" si="0"/>
        <v>3.0643699002719691</v>
      </c>
      <c r="Q18" s="38">
        <f t="shared" si="1"/>
        <v>267.76859504132233</v>
      </c>
      <c r="R18" s="316">
        <f>((J19+J18)-(K19+K18))/(J19+J18)*100</f>
        <v>3.1254858411993132</v>
      </c>
      <c r="S18" s="37"/>
      <c r="V18" t="s">
        <v>28</v>
      </c>
    </row>
    <row r="19" spans="2:22" ht="15.75" customHeight="1">
      <c r="B19" s="91">
        <v>45883</v>
      </c>
      <c r="C19" s="87">
        <v>7</v>
      </c>
      <c r="D19" s="260" t="s">
        <v>49</v>
      </c>
      <c r="E19" s="310">
        <v>1434</v>
      </c>
      <c r="F19" s="153">
        <f>[3]Aug!$N86</f>
        <v>933</v>
      </c>
      <c r="G19" s="17">
        <v>3667</v>
      </c>
      <c r="H19" s="53">
        <f t="shared" si="2"/>
        <v>33.292226215244938</v>
      </c>
      <c r="I19" s="68"/>
      <c r="J19" s="53">
        <f>SUM(26,68.9,91,92)-28</f>
        <v>249.89999999999998</v>
      </c>
      <c r="K19" s="53">
        <f>(G19)*0.066</f>
        <v>242.02200000000002</v>
      </c>
      <c r="L19" s="53">
        <f t="shared" si="3"/>
        <v>7.8779999999999575</v>
      </c>
      <c r="M19" s="54">
        <f>[3]Aug!$AD19</f>
        <v>563</v>
      </c>
      <c r="N19" s="54">
        <f>12+14</f>
        <v>26</v>
      </c>
      <c r="O19" s="54"/>
      <c r="P19" s="50">
        <f t="shared" si="0"/>
        <v>3.1524609843937408</v>
      </c>
      <c r="Q19" s="38">
        <f t="shared" si="1"/>
        <v>235.81993569131831</v>
      </c>
      <c r="R19" s="316"/>
      <c r="S19" s="37"/>
      <c r="V19" t="s">
        <v>29</v>
      </c>
    </row>
    <row r="20" spans="2:22" ht="15.75" customHeight="1">
      <c r="B20" s="91">
        <v>45883</v>
      </c>
      <c r="C20" s="87">
        <v>7</v>
      </c>
      <c r="D20" s="260" t="s">
        <v>27</v>
      </c>
      <c r="E20" s="311"/>
      <c r="F20" s="153">
        <f>[3]Aug!$N87</f>
        <v>405</v>
      </c>
      <c r="G20" s="17">
        <v>3290</v>
      </c>
      <c r="H20" s="53">
        <f t="shared" si="2"/>
        <v>68.810457516339866</v>
      </c>
      <c r="I20" s="68"/>
      <c r="J20" s="53">
        <f>SUM(94,93.1,83.6,100.3)-87.5-63.8</f>
        <v>219.7</v>
      </c>
      <c r="K20" s="53">
        <f>(G20)*0.066</f>
        <v>217.14000000000001</v>
      </c>
      <c r="L20" s="53">
        <f t="shared" si="3"/>
        <v>2.5599999999999739</v>
      </c>
      <c r="M20" s="54">
        <f>[3]Aug!$AD20</f>
        <v>75</v>
      </c>
      <c r="N20" s="54">
        <v>3</v>
      </c>
      <c r="O20" s="54"/>
      <c r="P20" s="50">
        <f t="shared" si="0"/>
        <v>1.1652253072371297</v>
      </c>
      <c r="Q20" s="38">
        <f t="shared" si="1"/>
        <v>487.40740740740739</v>
      </c>
      <c r="R20" s="322">
        <f>((J21+J20)-(K21+K20))/(J21+J20)*100</f>
        <v>1.0830935251798444</v>
      </c>
      <c r="S20" s="37"/>
    </row>
    <row r="21" spans="2:22" ht="15.75" customHeight="1">
      <c r="B21" s="249">
        <v>45884</v>
      </c>
      <c r="C21" s="90">
        <v>8</v>
      </c>
      <c r="D21" s="152" t="s">
        <v>27</v>
      </c>
      <c r="E21" s="310">
        <v>1254</v>
      </c>
      <c r="F21" s="153">
        <f>[3]Aug!$N88</f>
        <v>626</v>
      </c>
      <c r="G21" s="17">
        <v>5043</v>
      </c>
      <c r="H21" s="53">
        <f t="shared" si="2"/>
        <v>68.238301071227212</v>
      </c>
      <c r="I21" s="68"/>
      <c r="J21" s="53">
        <f>SUM(87.5,63.8,87,98)</f>
        <v>336.3</v>
      </c>
      <c r="K21" s="53">
        <f t="shared" ref="K21:K56" si="5">(G21)*0.066</f>
        <v>332.83800000000002</v>
      </c>
      <c r="L21" s="53">
        <f t="shared" si="3"/>
        <v>3.4619999999999891</v>
      </c>
      <c r="M21" s="54">
        <f>[3]Aug!$AD21</f>
        <v>121</v>
      </c>
      <c r="N21" s="54">
        <f>8+3</f>
        <v>11</v>
      </c>
      <c r="O21" s="54"/>
      <c r="P21" s="50">
        <f t="shared" si="0"/>
        <v>1.029438001784118</v>
      </c>
      <c r="Q21" s="38">
        <f t="shared" si="1"/>
        <v>483.35463258785944</v>
      </c>
      <c r="R21" s="322"/>
      <c r="S21" s="37"/>
    </row>
    <row r="22" spans="2:22" ht="15.75" customHeight="1">
      <c r="B22" s="249">
        <v>45884</v>
      </c>
      <c r="C22" s="90">
        <v>8</v>
      </c>
      <c r="D22" s="152" t="s">
        <v>49</v>
      </c>
      <c r="E22" s="311"/>
      <c r="F22" s="153">
        <f>[3]Aug!$N89</f>
        <v>461</v>
      </c>
      <c r="G22" s="17">
        <v>3790</v>
      </c>
      <c r="H22" s="53">
        <f t="shared" si="2"/>
        <v>69.638892433329076</v>
      </c>
      <c r="I22" s="68"/>
      <c r="J22" s="53">
        <f>SUM(94.7,94,93.5,99.8)-45.7-68.2-13</f>
        <v>255.10000000000002</v>
      </c>
      <c r="K22" s="53">
        <f>(G22)*0.066</f>
        <v>250.14000000000001</v>
      </c>
      <c r="L22" s="53">
        <f t="shared" si="3"/>
        <v>4.960000000000008</v>
      </c>
      <c r="M22" s="54">
        <f>[3]Aug!$AD22</f>
        <v>79</v>
      </c>
      <c r="N22" s="54">
        <v>4</v>
      </c>
      <c r="O22" s="54"/>
      <c r="P22" s="50">
        <f t="shared" si="0"/>
        <v>1.9443355546844405</v>
      </c>
      <c r="Q22" s="38">
        <f t="shared" si="1"/>
        <v>493.27548806941428</v>
      </c>
      <c r="R22" s="374">
        <f>((J23+J22)-(K23+K22))/(J23+J22)*100</f>
        <v>2.2162601626016252</v>
      </c>
      <c r="S22" s="37"/>
    </row>
    <row r="23" spans="2:22" ht="15.75" customHeight="1">
      <c r="B23" s="91">
        <v>45887</v>
      </c>
      <c r="C23" s="87">
        <v>9</v>
      </c>
      <c r="D23" s="152" t="s">
        <v>49</v>
      </c>
      <c r="E23" s="310">
        <v>1380</v>
      </c>
      <c r="F23" s="153">
        <f>[3]Aug!$N90</f>
        <v>190</v>
      </c>
      <c r="G23" s="17">
        <v>1677</v>
      </c>
      <c r="H23" s="53">
        <f t="shared" si="2"/>
        <v>74.764086687306502</v>
      </c>
      <c r="I23" s="68"/>
      <c r="J23" s="53">
        <f>SUM(45.7,68.2)</f>
        <v>113.9</v>
      </c>
      <c r="K23" s="53">
        <f t="shared" si="5"/>
        <v>110.682</v>
      </c>
      <c r="L23" s="53">
        <f t="shared" si="3"/>
        <v>3.2180000000000035</v>
      </c>
      <c r="M23" s="54">
        <f>[3]Aug!$AD23</f>
        <v>50</v>
      </c>
      <c r="N23" s="54">
        <v>20</v>
      </c>
      <c r="O23" s="54"/>
      <c r="P23" s="50">
        <f t="shared" si="0"/>
        <v>2.8252853380158061</v>
      </c>
      <c r="Q23" s="38">
        <f t="shared" si="1"/>
        <v>529.57894736842104</v>
      </c>
      <c r="R23" s="374"/>
      <c r="S23" s="37"/>
    </row>
    <row r="24" spans="2:22" ht="15" customHeight="1">
      <c r="B24" s="91">
        <v>45887</v>
      </c>
      <c r="C24" s="87">
        <v>9</v>
      </c>
      <c r="D24" s="152" t="s">
        <v>110</v>
      </c>
      <c r="E24" s="315"/>
      <c r="F24" s="153">
        <f>[3]Aug!$N91</f>
        <v>153</v>
      </c>
      <c r="G24" s="188">
        <v>949</v>
      </c>
      <c r="H24" s="53">
        <f t="shared" si="2"/>
        <v>52.539792387543251</v>
      </c>
      <c r="I24" s="68"/>
      <c r="J24" s="318">
        <v>100.5</v>
      </c>
      <c r="K24" s="318">
        <f>(G24+G25)*0.066</f>
        <v>95.304000000000002</v>
      </c>
      <c r="L24" s="318">
        <f t="shared" si="3"/>
        <v>5.195999999999998</v>
      </c>
      <c r="M24" s="54">
        <f>[3]Aug!$AD24</f>
        <v>34</v>
      </c>
      <c r="N24" s="319">
        <f>3+11</f>
        <v>14</v>
      </c>
      <c r="O24" s="54"/>
      <c r="P24" s="318">
        <f t="shared" si="0"/>
        <v>5.1701492537313412</v>
      </c>
      <c r="Q24" s="38">
        <f t="shared" si="1"/>
        <v>372.15686274509807</v>
      </c>
      <c r="R24" s="16"/>
      <c r="S24" s="37"/>
    </row>
    <row r="25" spans="2:22" ht="15.75" customHeight="1">
      <c r="B25" s="91">
        <v>45887</v>
      </c>
      <c r="C25" s="87">
        <v>9</v>
      </c>
      <c r="D25" s="152" t="s">
        <v>56</v>
      </c>
      <c r="E25" s="315"/>
      <c r="F25" s="153">
        <f>[3]Aug!$N92</f>
        <v>155</v>
      </c>
      <c r="G25" s="188">
        <v>495</v>
      </c>
      <c r="H25" s="53">
        <f t="shared" si="2"/>
        <v>27.051233396584433</v>
      </c>
      <c r="I25" s="68"/>
      <c r="J25" s="318"/>
      <c r="K25" s="318"/>
      <c r="L25" s="318"/>
      <c r="M25" s="54">
        <f>[3]Aug!$AD25</f>
        <v>72</v>
      </c>
      <c r="N25" s="319"/>
      <c r="O25" s="54"/>
      <c r="P25" s="318"/>
      <c r="Q25" s="38">
        <f t="shared" si="1"/>
        <v>191.61290322580643</v>
      </c>
      <c r="R25" s="16"/>
      <c r="S25" s="37"/>
    </row>
    <row r="26" spans="2:22" ht="15.75" customHeight="1">
      <c r="B26" s="91">
        <v>45887</v>
      </c>
      <c r="C26" s="87">
        <v>9</v>
      </c>
      <c r="D26" s="152" t="s">
        <v>50</v>
      </c>
      <c r="E26" s="315"/>
      <c r="F26" s="153">
        <f>[3]Aug!$N93</f>
        <v>94</v>
      </c>
      <c r="G26" s="17">
        <v>214</v>
      </c>
      <c r="H26" s="53">
        <f t="shared" si="2"/>
        <v>19.284105131414268</v>
      </c>
      <c r="I26" s="68"/>
      <c r="J26" s="318">
        <f>SUM(85.2,82.1)</f>
        <v>167.3</v>
      </c>
      <c r="K26" s="318">
        <f>(G26+G27)*0.066</f>
        <v>163.548</v>
      </c>
      <c r="L26" s="318">
        <f t="shared" si="3"/>
        <v>3.7520000000000095</v>
      </c>
      <c r="M26" s="54">
        <f>[3]Aug!$AD26</f>
        <v>115</v>
      </c>
      <c r="N26" s="319">
        <f>1+4</f>
        <v>5</v>
      </c>
      <c r="O26" s="54"/>
      <c r="P26" s="318">
        <f t="shared" si="0"/>
        <v>2.2426778242677878</v>
      </c>
      <c r="Q26" s="38">
        <f t="shared" si="1"/>
        <v>136.59574468085106</v>
      </c>
      <c r="R26" s="16"/>
      <c r="S26" s="37"/>
    </row>
    <row r="27" spans="2:22" ht="15.75" customHeight="1">
      <c r="B27" s="91">
        <v>45887</v>
      </c>
      <c r="C27" s="87">
        <v>9</v>
      </c>
      <c r="D27" s="152" t="s">
        <v>51</v>
      </c>
      <c r="E27" s="311"/>
      <c r="F27" s="153">
        <f>[3]Aug!$N94</f>
        <v>396</v>
      </c>
      <c r="G27" s="188">
        <v>2264</v>
      </c>
      <c r="H27" s="53">
        <f>(G27)*24/(F27/60)/17000*100</f>
        <v>48.427807486631025</v>
      </c>
      <c r="I27" s="68">
        <v>2075</v>
      </c>
      <c r="J27" s="318"/>
      <c r="K27" s="318"/>
      <c r="L27" s="318">
        <f t="shared" si="3"/>
        <v>0</v>
      </c>
      <c r="M27" s="54">
        <f>[3]Aug!$AD27</f>
        <v>150</v>
      </c>
      <c r="N27" s="319"/>
      <c r="O27" s="54"/>
      <c r="P27" s="318"/>
      <c r="Q27" s="38">
        <f t="shared" si="1"/>
        <v>343.03030303030306</v>
      </c>
      <c r="R27" s="16"/>
      <c r="S27" s="37"/>
    </row>
    <row r="28" spans="2:22" ht="15.75" customHeight="1">
      <c r="B28" s="91">
        <v>45888</v>
      </c>
      <c r="C28" s="87">
        <v>10</v>
      </c>
      <c r="D28" s="152" t="s">
        <v>68</v>
      </c>
      <c r="E28" s="310">
        <v>1440</v>
      </c>
      <c r="F28" s="153">
        <f>[3]Aug!$N95</f>
        <v>787</v>
      </c>
      <c r="G28" s="188">
        <v>2008</v>
      </c>
      <c r="H28" s="53">
        <f t="shared" ref="H28:H55" si="6">(G28)*24/(F28/60)/17000*100</f>
        <v>21.612377606697063</v>
      </c>
      <c r="I28" s="68">
        <v>1</v>
      </c>
      <c r="J28" s="53">
        <f>SUM(70,70)</f>
        <v>140</v>
      </c>
      <c r="K28" s="53">
        <f>(G28)*0.066</f>
        <v>132.52800000000002</v>
      </c>
      <c r="L28" s="53">
        <f>J28-K28</f>
        <v>7.47199999999998</v>
      </c>
      <c r="M28" s="54">
        <f>[3]Aug!$AD28</f>
        <v>821</v>
      </c>
      <c r="N28" s="54">
        <f>11+9</f>
        <v>20</v>
      </c>
      <c r="O28" s="54"/>
      <c r="P28" s="50">
        <f t="shared" ref="P28" si="7">(J28-K28)/J28*100</f>
        <v>5.337142857142843</v>
      </c>
      <c r="Q28" s="38">
        <f t="shared" ref="Q28" si="8">G28/(F28/60)</f>
        <v>153.0876747141042</v>
      </c>
      <c r="R28" s="16"/>
      <c r="S28" s="37"/>
    </row>
    <row r="29" spans="2:22" ht="15.75" customHeight="1">
      <c r="B29" s="249">
        <v>45888</v>
      </c>
      <c r="C29" s="90">
        <v>10</v>
      </c>
      <c r="D29" s="152" t="s">
        <v>111</v>
      </c>
      <c r="E29" s="311"/>
      <c r="F29" s="153">
        <f>[3]Aug!$N96</f>
        <v>246</v>
      </c>
      <c r="G29" s="17">
        <v>1095</v>
      </c>
      <c r="H29" s="53">
        <f t="shared" si="6"/>
        <v>37.704447632711627</v>
      </c>
      <c r="I29" s="68">
        <v>1</v>
      </c>
      <c r="J29" s="53">
        <f>SUM(71.7,66)-62.5</f>
        <v>75.199999999999989</v>
      </c>
      <c r="K29" s="53">
        <f>(G29)*0.066</f>
        <v>72.27000000000001</v>
      </c>
      <c r="L29" s="53">
        <f t="shared" si="3"/>
        <v>2.9299999999999784</v>
      </c>
      <c r="M29" s="54">
        <f>[3]Aug!$AD29</f>
        <v>158</v>
      </c>
      <c r="N29" s="54">
        <v>4</v>
      </c>
      <c r="O29" s="54"/>
      <c r="P29" s="50">
        <f>(J29-K29)/J29*100</f>
        <v>3.896276595744653</v>
      </c>
      <c r="Q29" s="38">
        <f t="shared" ref="Q29:Q43" si="9">G29/(F29/60)</f>
        <v>267.07317073170736</v>
      </c>
      <c r="R29" s="381">
        <f>((J30+J29)-(K30+K29))/(J30+J29)*100</f>
        <v>3.660130718954222</v>
      </c>
      <c r="S29" s="37"/>
    </row>
    <row r="30" spans="2:22" ht="15.75" customHeight="1">
      <c r="B30" s="91">
        <v>45889</v>
      </c>
      <c r="C30" s="87">
        <v>11</v>
      </c>
      <c r="D30" s="152" t="s">
        <v>111</v>
      </c>
      <c r="E30" s="310">
        <v>1431</v>
      </c>
      <c r="F30" s="153">
        <f>[3]Aug!$N97</f>
        <v>169</v>
      </c>
      <c r="G30" s="17">
        <v>915</v>
      </c>
      <c r="H30" s="53">
        <f>(G30)*24/(F30/60)/17000*100</f>
        <v>45.86146884789418</v>
      </c>
      <c r="I30" s="68"/>
      <c r="J30" s="53">
        <v>62.5</v>
      </c>
      <c r="K30" s="53">
        <f t="shared" si="5"/>
        <v>60.39</v>
      </c>
      <c r="L30" s="53">
        <f t="shared" si="3"/>
        <v>2.1099999999999994</v>
      </c>
      <c r="M30" s="54">
        <f>[3]Aug!$AD30</f>
        <v>64</v>
      </c>
      <c r="N30" s="54">
        <v>13</v>
      </c>
      <c r="O30" s="54"/>
      <c r="P30" s="50">
        <f t="shared" ref="P30:P43" si="10">(J30-K30)/J30*100</f>
        <v>3.375999999999999</v>
      </c>
      <c r="Q30" s="38">
        <f t="shared" si="9"/>
        <v>324.85207100591714</v>
      </c>
      <c r="R30" s="381"/>
      <c r="S30" s="37"/>
    </row>
    <row r="31" spans="2:22" ht="15.75" customHeight="1">
      <c r="B31" s="91">
        <v>45889</v>
      </c>
      <c r="C31" s="87">
        <v>11</v>
      </c>
      <c r="D31" s="152" t="s">
        <v>96</v>
      </c>
      <c r="E31" s="311"/>
      <c r="F31" s="153">
        <f>[3]Aug!$N98</f>
        <v>901</v>
      </c>
      <c r="G31" s="17">
        <v>6788</v>
      </c>
      <c r="H31" s="53">
        <f>(G31)*24/(F31/60)/17000*100</f>
        <v>63.816151987987205</v>
      </c>
      <c r="I31" s="68"/>
      <c r="J31" s="53">
        <f>SUM(99.5,100,98.2,88.2,99.6)</f>
        <v>485.5</v>
      </c>
      <c r="K31" s="53">
        <f>(G31)*0.0708</f>
        <v>480.59039999999999</v>
      </c>
      <c r="L31" s="53">
        <f t="shared" si="3"/>
        <v>4.9096000000000117</v>
      </c>
      <c r="M31" s="54">
        <f>[3]Aug!$AD31</f>
        <v>317</v>
      </c>
      <c r="N31" s="54">
        <f>3+18+3</f>
        <v>24</v>
      </c>
      <c r="O31" s="54"/>
      <c r="P31" s="50">
        <f t="shared" si="10"/>
        <v>1.0112461380020623</v>
      </c>
      <c r="Q31" s="38">
        <f t="shared" si="9"/>
        <v>452.03107658157597</v>
      </c>
      <c r="R31" s="16"/>
      <c r="S31" s="37"/>
    </row>
    <row r="32" spans="2:22" ht="15.75" customHeight="1">
      <c r="B32" s="196">
        <v>45889</v>
      </c>
      <c r="C32" s="197">
        <v>11</v>
      </c>
      <c r="D32" s="288" t="s">
        <v>30</v>
      </c>
      <c r="E32" s="244"/>
      <c r="F32" s="153">
        <f>[3]Aug!$N99</f>
        <v>0</v>
      </c>
      <c r="G32" s="188">
        <v>0</v>
      </c>
      <c r="H32" s="187" t="e">
        <f t="shared" si="6"/>
        <v>#DIV/0!</v>
      </c>
      <c r="I32" s="289"/>
      <c r="J32" s="187"/>
      <c r="K32" s="187">
        <f t="shared" si="5"/>
        <v>0</v>
      </c>
      <c r="L32" s="187">
        <f t="shared" si="3"/>
        <v>0</v>
      </c>
      <c r="M32" s="193">
        <f>[3]Aug!$AD32</f>
        <v>109</v>
      </c>
      <c r="N32" s="193"/>
      <c r="O32" s="193"/>
      <c r="P32" s="199" t="e">
        <f t="shared" si="10"/>
        <v>#DIV/0!</v>
      </c>
      <c r="Q32" s="290" t="e">
        <f t="shared" si="9"/>
        <v>#DIV/0!</v>
      </c>
      <c r="R32" s="16"/>
      <c r="S32" s="37"/>
    </row>
    <row r="33" spans="2:19" ht="15.75" customHeight="1">
      <c r="B33" s="91">
        <v>45890</v>
      </c>
      <c r="C33" s="87">
        <v>12</v>
      </c>
      <c r="D33" s="152" t="s">
        <v>30</v>
      </c>
      <c r="E33" s="310">
        <v>1440</v>
      </c>
      <c r="F33" s="153">
        <f>[3]Aug!$N100</f>
        <v>825</v>
      </c>
      <c r="G33" s="17">
        <v>6276</v>
      </c>
      <c r="H33" s="53">
        <f t="shared" si="6"/>
        <v>64.43807486631016</v>
      </c>
      <c r="I33" s="68"/>
      <c r="J33" s="53">
        <f>SUM(99.2,102,107.4,101.1,14)</f>
        <v>423.70000000000005</v>
      </c>
      <c r="K33" s="53">
        <f>(G33)*0.066</f>
        <v>414.21600000000001</v>
      </c>
      <c r="L33" s="53">
        <f t="shared" si="3"/>
        <v>9.4840000000000373</v>
      </c>
      <c r="M33" s="54">
        <f>[3]Aug!$AD33</f>
        <v>291</v>
      </c>
      <c r="N33" s="54">
        <f>8+12</f>
        <v>20</v>
      </c>
      <c r="O33" s="54"/>
      <c r="P33" s="50">
        <f t="shared" si="10"/>
        <v>2.2383762095822601</v>
      </c>
      <c r="Q33" s="38">
        <f t="shared" si="9"/>
        <v>456.43636363636364</v>
      </c>
      <c r="R33" s="16"/>
      <c r="S33" s="37"/>
    </row>
    <row r="34" spans="2:19" ht="15.75" customHeight="1">
      <c r="B34" s="249">
        <v>45890</v>
      </c>
      <c r="C34" s="90">
        <v>12</v>
      </c>
      <c r="D34" s="152" t="s">
        <v>27</v>
      </c>
      <c r="E34" s="311"/>
      <c r="F34" s="153">
        <f>[3]Aug!$N101</f>
        <v>363</v>
      </c>
      <c r="G34" s="17">
        <v>2959</v>
      </c>
      <c r="H34" s="53">
        <f t="shared" si="6"/>
        <v>69.048128342245988</v>
      </c>
      <c r="I34" s="68"/>
      <c r="J34" s="53">
        <f>SUM(99,95.8,101.8,85.7)-89-93</f>
        <v>200.3</v>
      </c>
      <c r="K34" s="53">
        <f t="shared" si="5"/>
        <v>195.29400000000001</v>
      </c>
      <c r="L34" s="53">
        <f t="shared" si="3"/>
        <v>5.0060000000000002</v>
      </c>
      <c r="M34" s="54">
        <f>[3]Aug!$AD34</f>
        <v>129</v>
      </c>
      <c r="N34" s="54">
        <v>4</v>
      </c>
      <c r="O34" s="54"/>
      <c r="P34" s="50">
        <f t="shared" si="10"/>
        <v>2.4992511233150276</v>
      </c>
      <c r="Q34" s="38">
        <f t="shared" si="9"/>
        <v>489.09090909090912</v>
      </c>
      <c r="R34" s="376">
        <f>((J35+J34)-(K35+K34))/(J35+J34)*100</f>
        <v>2.4070102014125028</v>
      </c>
      <c r="S34" s="37"/>
    </row>
    <row r="35" spans="2:19" ht="15.75" customHeight="1">
      <c r="B35" s="249">
        <v>45891</v>
      </c>
      <c r="C35" s="90">
        <v>13</v>
      </c>
      <c r="D35" s="152" t="s">
        <v>27</v>
      </c>
      <c r="E35" s="310">
        <v>1440</v>
      </c>
      <c r="F35" s="153">
        <f>[3]Aug!$N102</f>
        <v>398</v>
      </c>
      <c r="G35" s="17">
        <v>2694</v>
      </c>
      <c r="H35" s="53">
        <f t="shared" si="6"/>
        <v>57.336092225835053</v>
      </c>
      <c r="I35" s="68"/>
      <c r="J35" s="53">
        <f>SUM(89,93)</f>
        <v>182</v>
      </c>
      <c r="K35" s="53">
        <f t="shared" si="5"/>
        <v>177.804</v>
      </c>
      <c r="L35" s="53">
        <f t="shared" si="3"/>
        <v>4.195999999999998</v>
      </c>
      <c r="M35" s="54">
        <f>[3]Aug!$AD35</f>
        <v>126</v>
      </c>
      <c r="N35" s="54">
        <f>10+2</f>
        <v>12</v>
      </c>
      <c r="O35" s="54"/>
      <c r="P35" s="50">
        <f t="shared" si="10"/>
        <v>2.3054945054945044</v>
      </c>
      <c r="Q35" s="38">
        <f t="shared" si="9"/>
        <v>406.13065326633165</v>
      </c>
      <c r="R35" s="376"/>
      <c r="S35" s="37"/>
    </row>
    <row r="36" spans="2:19" ht="15.75" customHeight="1">
      <c r="B36" s="249">
        <v>45891</v>
      </c>
      <c r="C36" s="90">
        <v>13</v>
      </c>
      <c r="D36" s="152" t="s">
        <v>49</v>
      </c>
      <c r="E36" s="311"/>
      <c r="F36" s="153">
        <f>[3]Aug!$N103</f>
        <v>121</v>
      </c>
      <c r="G36" s="17">
        <v>617</v>
      </c>
      <c r="H36" s="53">
        <f t="shared" si="6"/>
        <v>43.192999513855128</v>
      </c>
      <c r="I36" s="68"/>
      <c r="J36" s="53">
        <f>SUM(96.2,96.5)-73.5-77.9</f>
        <v>41.299999999999983</v>
      </c>
      <c r="K36" s="53">
        <f>(G36)*0.066</f>
        <v>40.722000000000001</v>
      </c>
      <c r="L36" s="53">
        <f t="shared" si="3"/>
        <v>0.57799999999998164</v>
      </c>
      <c r="M36" s="54">
        <f>[3]Aug!$AD36</f>
        <v>778</v>
      </c>
      <c r="N36" s="54">
        <v>1</v>
      </c>
      <c r="O36" s="54"/>
      <c r="P36" s="50">
        <f t="shared" si="10"/>
        <v>1.3995157384987456</v>
      </c>
      <c r="Q36" s="38">
        <f t="shared" si="9"/>
        <v>305.95041322314052</v>
      </c>
      <c r="R36" s="16"/>
    </row>
    <row r="37" spans="2:19" s="275" customFormat="1" ht="15.75" customHeight="1">
      <c r="B37" s="291">
        <v>45894</v>
      </c>
      <c r="C37" s="292"/>
      <c r="D37" s="293" t="s">
        <v>112</v>
      </c>
      <c r="E37" s="268"/>
      <c r="F37" s="294">
        <f>[3]Aug!$N104</f>
        <v>0</v>
      </c>
      <c r="G37" s="295"/>
      <c r="H37" s="265" t="e">
        <f t="shared" si="6"/>
        <v>#DIV/0!</v>
      </c>
      <c r="I37" s="271"/>
      <c r="J37" s="265"/>
      <c r="K37" s="265">
        <f t="shared" si="5"/>
        <v>0</v>
      </c>
      <c r="L37" s="265">
        <f t="shared" si="3"/>
        <v>0</v>
      </c>
      <c r="M37" s="270">
        <f>[3]Aug!$AD37</f>
        <v>1380</v>
      </c>
      <c r="N37" s="270"/>
      <c r="O37" s="270"/>
      <c r="P37" s="272" t="e">
        <f t="shared" si="10"/>
        <v>#DIV/0!</v>
      </c>
      <c r="Q37" s="273" t="e">
        <f t="shared" si="9"/>
        <v>#DIV/0!</v>
      </c>
      <c r="R37" s="274"/>
    </row>
    <row r="38" spans="2:19" s="275" customFormat="1" ht="15.75" customHeight="1">
      <c r="B38" s="291">
        <v>45895</v>
      </c>
      <c r="C38" s="292"/>
      <c r="D38" s="293" t="s">
        <v>112</v>
      </c>
      <c r="E38" s="268"/>
      <c r="F38" s="294">
        <f>[3]Aug!$N105</f>
        <v>0</v>
      </c>
      <c r="G38" s="295"/>
      <c r="H38" s="265" t="e">
        <f t="shared" si="6"/>
        <v>#DIV/0!</v>
      </c>
      <c r="I38" s="271"/>
      <c r="J38" s="265"/>
      <c r="K38" s="265">
        <f t="shared" si="5"/>
        <v>0</v>
      </c>
      <c r="L38" s="265">
        <f t="shared" si="3"/>
        <v>0</v>
      </c>
      <c r="M38" s="270">
        <f>[3]Aug!$AD38</f>
        <v>1440</v>
      </c>
      <c r="N38" s="270"/>
      <c r="O38" s="270"/>
      <c r="P38" s="272" t="e">
        <f t="shared" si="10"/>
        <v>#DIV/0!</v>
      </c>
      <c r="Q38" s="273" t="e">
        <f t="shared" si="9"/>
        <v>#DIV/0!</v>
      </c>
      <c r="R38" s="274"/>
    </row>
    <row r="39" spans="2:19" ht="15.75" customHeight="1">
      <c r="B39" s="249">
        <v>45896</v>
      </c>
      <c r="C39" s="90">
        <v>14</v>
      </c>
      <c r="D39" s="152" t="s">
        <v>98</v>
      </c>
      <c r="E39" s="47">
        <v>1440</v>
      </c>
      <c r="F39" s="153">
        <f>[3]Aug!$N106</f>
        <v>1204</v>
      </c>
      <c r="G39" s="188">
        <v>3606</v>
      </c>
      <c r="H39" s="53">
        <f t="shared" si="6"/>
        <v>25.369552472151653</v>
      </c>
      <c r="I39" s="68"/>
      <c r="J39" s="53">
        <f>SUM(73.5,77.9,96.6,105.1)-64-44.1</f>
        <v>245.00000000000003</v>
      </c>
      <c r="K39" s="53">
        <f t="shared" si="5"/>
        <v>237.99600000000001</v>
      </c>
      <c r="L39" s="53">
        <f t="shared" si="3"/>
        <v>7.0040000000000191</v>
      </c>
      <c r="M39" s="54">
        <f>[3]Aug!$AD39</f>
        <v>893</v>
      </c>
      <c r="N39" s="54">
        <f>9+8</f>
        <v>17</v>
      </c>
      <c r="O39" s="54"/>
      <c r="P39" s="50">
        <f t="shared" si="10"/>
        <v>2.8587755102040893</v>
      </c>
      <c r="Q39" s="38">
        <f t="shared" si="9"/>
        <v>179.70099667774087</v>
      </c>
      <c r="R39" s="321">
        <f>((J40+J39)-(K40+K39))/(J40+J39)*100</f>
        <v>1.6610720086627027</v>
      </c>
    </row>
    <row r="40" spans="2:19" ht="15.75" customHeight="1">
      <c r="B40" s="249">
        <v>45897</v>
      </c>
      <c r="C40" s="90">
        <v>15</v>
      </c>
      <c r="D40" s="152" t="s">
        <v>98</v>
      </c>
      <c r="E40" s="310">
        <v>1434</v>
      </c>
      <c r="F40" s="153">
        <f>[3]Aug!$N107</f>
        <v>163</v>
      </c>
      <c r="G40" s="17">
        <v>838</v>
      </c>
      <c r="H40" s="53">
        <f t="shared" si="6"/>
        <v>43.548177553229877</v>
      </c>
      <c r="I40" s="68"/>
      <c r="J40" s="318">
        <f>SUM(64,44.1,97,99,96.7,93)</f>
        <v>493.8</v>
      </c>
      <c r="K40" s="318">
        <f>(G40+G41)*0.066</f>
        <v>488.53200000000004</v>
      </c>
      <c r="L40" s="318">
        <f t="shared" si="3"/>
        <v>5.2679999999999723</v>
      </c>
      <c r="M40" s="54">
        <f>[3]Aug!$AD40</f>
        <v>56</v>
      </c>
      <c r="N40" s="54">
        <v>3</v>
      </c>
      <c r="O40" s="54"/>
      <c r="P40" s="318">
        <f>(J40-K40)/J40*100</f>
        <v>1.066828675577151</v>
      </c>
      <c r="Q40" s="38">
        <f t="shared" si="9"/>
        <v>308.46625766871165</v>
      </c>
      <c r="R40" s="321"/>
    </row>
    <row r="41" spans="2:19" ht="15.75" customHeight="1">
      <c r="B41" s="249">
        <v>45897</v>
      </c>
      <c r="C41" s="90">
        <v>15</v>
      </c>
      <c r="D41" s="152" t="s">
        <v>49</v>
      </c>
      <c r="E41" s="315"/>
      <c r="F41" s="153">
        <f>[3]Aug!$N108</f>
        <v>981</v>
      </c>
      <c r="G41" s="17">
        <v>6564</v>
      </c>
      <c r="H41" s="53">
        <f t="shared" si="6"/>
        <v>56.677819751753901</v>
      </c>
      <c r="I41" s="68"/>
      <c r="J41" s="318"/>
      <c r="K41" s="318"/>
      <c r="L41" s="318"/>
      <c r="M41" s="54">
        <f>[3]Aug!$AD41</f>
        <v>385</v>
      </c>
      <c r="N41" s="54">
        <f>7+3+1</f>
        <v>11</v>
      </c>
      <c r="O41" s="54"/>
      <c r="P41" s="318"/>
      <c r="Q41" s="38">
        <f t="shared" si="9"/>
        <v>401.46788990825684</v>
      </c>
      <c r="R41" s="321"/>
    </row>
    <row r="42" spans="2:19" ht="15.75" customHeight="1">
      <c r="B42" s="91">
        <v>45897</v>
      </c>
      <c r="C42" s="87">
        <v>15</v>
      </c>
      <c r="D42" s="152" t="s">
        <v>45</v>
      </c>
      <c r="E42" s="311"/>
      <c r="F42" s="153">
        <f>[3]Aug!$N109</f>
        <v>184</v>
      </c>
      <c r="G42" s="17">
        <v>1401</v>
      </c>
      <c r="H42" s="53">
        <f t="shared" si="6"/>
        <v>64.496163682864449</v>
      </c>
      <c r="I42" s="68"/>
      <c r="J42" s="53">
        <f>SUM(97.8,96.6)-101.7</f>
        <v>92.699999999999974</v>
      </c>
      <c r="K42" s="53">
        <f t="shared" si="5"/>
        <v>92.466000000000008</v>
      </c>
      <c r="L42" s="53">
        <f t="shared" si="3"/>
        <v>0.23399999999996624</v>
      </c>
      <c r="M42" s="54">
        <f>[3]Aug!$AD42</f>
        <v>96</v>
      </c>
      <c r="N42" s="54">
        <v>2</v>
      </c>
      <c r="O42" s="54"/>
      <c r="P42" s="50">
        <f t="shared" si="10"/>
        <v>0.25242718446598306</v>
      </c>
      <c r="Q42" s="38">
        <f t="shared" si="9"/>
        <v>456.8478260869565</v>
      </c>
      <c r="R42" s="382">
        <f>((J43+J42)-(K43+K42))/(J43+J42)*100</f>
        <v>0.52469135802468203</v>
      </c>
    </row>
    <row r="43" spans="2:19" ht="15.75" customHeight="1">
      <c r="B43" s="91">
        <v>45898</v>
      </c>
      <c r="C43" s="87">
        <v>16</v>
      </c>
      <c r="D43" s="152" t="s">
        <v>45</v>
      </c>
      <c r="E43" s="310">
        <v>1254</v>
      </c>
      <c r="F43" s="153">
        <f>[3]Aug!$N110</f>
        <v>178</v>
      </c>
      <c r="G43" s="17">
        <v>1529</v>
      </c>
      <c r="H43" s="53">
        <f t="shared" si="6"/>
        <v>72.761401189689352</v>
      </c>
      <c r="I43" s="68"/>
      <c r="J43" s="53">
        <v>101.7</v>
      </c>
      <c r="K43" s="53">
        <f t="shared" si="5"/>
        <v>100.914</v>
      </c>
      <c r="L43" s="53">
        <f t="shared" si="3"/>
        <v>0.78600000000000136</v>
      </c>
      <c r="M43" s="54">
        <f>[3]Aug!$AD43</f>
        <v>77</v>
      </c>
      <c r="N43" s="54">
        <v>4</v>
      </c>
      <c r="O43" s="54"/>
      <c r="P43" s="50">
        <f t="shared" si="10"/>
        <v>0.77286135693215474</v>
      </c>
      <c r="Q43" s="38">
        <f t="shared" si="9"/>
        <v>515.39325842696633</v>
      </c>
      <c r="R43" s="382"/>
    </row>
    <row r="44" spans="2:19" ht="15.75" customHeight="1">
      <c r="B44" s="91">
        <v>45898</v>
      </c>
      <c r="C44" s="87">
        <v>16</v>
      </c>
      <c r="D44" s="152" t="s">
        <v>49</v>
      </c>
      <c r="E44" s="311"/>
      <c r="F44" s="153">
        <f>[3]Aug!$N111</f>
        <v>647</v>
      </c>
      <c r="G44" s="17">
        <v>4644</v>
      </c>
      <c r="H44" s="53">
        <f t="shared" si="6"/>
        <v>60.799709064460409</v>
      </c>
      <c r="I44" s="68"/>
      <c r="J44" s="53">
        <f>SUM(94.5,78.9,89.4,72,50.5)-71.6</f>
        <v>313.70000000000005</v>
      </c>
      <c r="K44" s="53">
        <f t="shared" si="5"/>
        <v>306.50400000000002</v>
      </c>
      <c r="L44" s="53">
        <f t="shared" si="3"/>
        <v>7.1960000000000264</v>
      </c>
      <c r="M44" s="54">
        <f>[3]Aug!$AD44</f>
        <v>465</v>
      </c>
      <c r="N44" s="54">
        <f>7+14+5</f>
        <v>26</v>
      </c>
      <c r="O44" s="54"/>
      <c r="P44" s="53">
        <f>(J44-(K44+K45))/J44*100</f>
        <v>2.2939113802996571</v>
      </c>
      <c r="Q44" s="38">
        <f t="shared" si="1"/>
        <v>430.66460587326122</v>
      </c>
      <c r="R44" s="16"/>
    </row>
    <row r="45" spans="2:19" ht="15.75" customHeight="1">
      <c r="B45" s="91"/>
      <c r="C45" s="87"/>
      <c r="D45" s="152"/>
      <c r="E45" s="47"/>
      <c r="F45" s="153"/>
      <c r="G45" s="17"/>
      <c r="H45" s="53" t="e">
        <f t="shared" si="6"/>
        <v>#DIV/0!</v>
      </c>
      <c r="I45" s="68"/>
      <c r="J45" s="32"/>
      <c r="K45" s="53">
        <f t="shared" si="5"/>
        <v>0</v>
      </c>
      <c r="L45" s="53">
        <f t="shared" si="3"/>
        <v>0</v>
      </c>
      <c r="M45" s="54">
        <f>[3]Aug!$AD45</f>
        <v>0</v>
      </c>
      <c r="N45" s="54"/>
      <c r="O45" s="54"/>
      <c r="P45" s="50" t="e">
        <f t="shared" si="0"/>
        <v>#DIV/0!</v>
      </c>
      <c r="Q45" s="38" t="e">
        <f t="shared" si="1"/>
        <v>#DIV/0!</v>
      </c>
      <c r="R45" s="16"/>
    </row>
    <row r="46" spans="2:19" ht="15.75" customHeight="1">
      <c r="B46" s="249"/>
      <c r="C46" s="90"/>
      <c r="D46" s="152"/>
      <c r="E46" s="47"/>
      <c r="F46" s="153"/>
      <c r="G46" s="17"/>
      <c r="H46" s="53" t="e">
        <f t="shared" si="6"/>
        <v>#DIV/0!</v>
      </c>
      <c r="I46" s="68"/>
      <c r="J46" s="53"/>
      <c r="K46" s="53">
        <f t="shared" si="5"/>
        <v>0</v>
      </c>
      <c r="L46" s="53">
        <f t="shared" si="3"/>
        <v>0</v>
      </c>
      <c r="M46" s="54"/>
      <c r="N46" s="54"/>
      <c r="O46" s="54"/>
      <c r="P46" s="50" t="e">
        <f t="shared" si="0"/>
        <v>#DIV/0!</v>
      </c>
      <c r="Q46" s="38" t="e">
        <f t="shared" si="1"/>
        <v>#DIV/0!</v>
      </c>
      <c r="R46" s="16"/>
    </row>
    <row r="47" spans="2:19" ht="15.75" customHeight="1">
      <c r="B47" s="249"/>
      <c r="C47" s="90"/>
      <c r="D47" s="152"/>
      <c r="E47" s="47"/>
      <c r="F47" s="153"/>
      <c r="G47" s="17"/>
      <c r="H47" s="53" t="e">
        <f t="shared" si="6"/>
        <v>#DIV/0!</v>
      </c>
      <c r="I47" s="68"/>
      <c r="J47" s="53"/>
      <c r="K47" s="53">
        <f t="shared" si="5"/>
        <v>0</v>
      </c>
      <c r="L47" s="53">
        <f t="shared" si="3"/>
        <v>0</v>
      </c>
      <c r="M47" s="54"/>
      <c r="N47" s="54"/>
      <c r="O47" s="54"/>
      <c r="P47" s="50" t="e">
        <f t="shared" ref="P47:P56" si="11">(J47-K47)/J47*100</f>
        <v>#DIV/0!</v>
      </c>
      <c r="Q47" s="38" t="e">
        <f t="shared" si="1"/>
        <v>#DIV/0!</v>
      </c>
      <c r="R47" s="16"/>
    </row>
    <row r="48" spans="2:19" ht="15.75" customHeight="1">
      <c r="B48" s="249"/>
      <c r="C48" s="90"/>
      <c r="D48" s="152"/>
      <c r="E48" s="47"/>
      <c r="F48" s="153"/>
      <c r="G48" s="17"/>
      <c r="H48" s="53" t="e">
        <f>(G48)*24/(F48/60)/17000*100</f>
        <v>#DIV/0!</v>
      </c>
      <c r="I48" s="68"/>
      <c r="J48" s="53"/>
      <c r="K48" s="53">
        <f t="shared" si="5"/>
        <v>0</v>
      </c>
      <c r="L48" s="53">
        <f t="shared" si="3"/>
        <v>0</v>
      </c>
      <c r="M48" s="54"/>
      <c r="N48" s="54"/>
      <c r="O48" s="54"/>
      <c r="P48" s="50" t="e">
        <f t="shared" si="11"/>
        <v>#DIV/0!</v>
      </c>
      <c r="Q48" s="38" t="e">
        <f t="shared" ref="Q48:Q57" si="12">G48/(F48/60)</f>
        <v>#DIV/0!</v>
      </c>
      <c r="R48" s="16"/>
    </row>
    <row r="49" spans="2:22" ht="15.75" customHeight="1">
      <c r="B49" s="91"/>
      <c r="C49" s="90"/>
      <c r="D49" s="261"/>
      <c r="E49" s="47"/>
      <c r="F49" s="153"/>
      <c r="G49" s="17"/>
      <c r="H49" s="53" t="e">
        <f>(G49)*24/(F49/60)/17000*100</f>
        <v>#DIV/0!</v>
      </c>
      <c r="I49" s="68"/>
      <c r="J49" s="53"/>
      <c r="K49" s="53">
        <f t="shared" si="5"/>
        <v>0</v>
      </c>
      <c r="L49" s="53">
        <f t="shared" si="3"/>
        <v>0</v>
      </c>
      <c r="M49" s="54"/>
      <c r="N49" s="54"/>
      <c r="O49" s="54"/>
      <c r="P49" s="50" t="e">
        <f t="shared" si="11"/>
        <v>#DIV/0!</v>
      </c>
      <c r="Q49" s="38" t="e">
        <f t="shared" si="12"/>
        <v>#DIV/0!</v>
      </c>
      <c r="R49" s="16"/>
    </row>
    <row r="50" spans="2:22" ht="15.75" customHeight="1">
      <c r="B50" s="91"/>
      <c r="C50" s="90"/>
      <c r="D50" s="261"/>
      <c r="E50" s="47"/>
      <c r="F50" s="153"/>
      <c r="G50" s="17"/>
      <c r="H50" s="53" t="e">
        <f t="shared" si="6"/>
        <v>#DIV/0!</v>
      </c>
      <c r="I50" s="68"/>
      <c r="J50" s="53"/>
      <c r="K50" s="53">
        <f t="shared" si="5"/>
        <v>0</v>
      </c>
      <c r="L50" s="53">
        <f t="shared" si="3"/>
        <v>0</v>
      </c>
      <c r="M50" s="54"/>
      <c r="N50" s="54"/>
      <c r="O50" s="54"/>
      <c r="P50" s="50" t="e">
        <f t="shared" si="11"/>
        <v>#DIV/0!</v>
      </c>
      <c r="Q50" s="38" t="e">
        <f t="shared" si="12"/>
        <v>#DIV/0!</v>
      </c>
      <c r="R50" s="16"/>
      <c r="V50" s="142" t="s">
        <v>113</v>
      </c>
    </row>
    <row r="51" spans="2:22" ht="15.75" customHeight="1">
      <c r="B51" s="249"/>
      <c r="C51" s="90"/>
      <c r="D51" s="152"/>
      <c r="E51" s="47"/>
      <c r="F51" s="153"/>
      <c r="G51" s="17"/>
      <c r="H51" s="53" t="e">
        <f t="shared" si="6"/>
        <v>#DIV/0!</v>
      </c>
      <c r="I51" s="68"/>
      <c r="J51" s="53"/>
      <c r="K51" s="53">
        <f t="shared" si="5"/>
        <v>0</v>
      </c>
      <c r="L51" s="53">
        <f t="shared" si="3"/>
        <v>0</v>
      </c>
      <c r="M51" s="54"/>
      <c r="N51" s="54"/>
      <c r="O51" s="54"/>
      <c r="P51" s="50" t="e">
        <f t="shared" si="11"/>
        <v>#DIV/0!</v>
      </c>
      <c r="Q51" s="38" t="e">
        <f t="shared" si="12"/>
        <v>#DIV/0!</v>
      </c>
      <c r="R51" s="16"/>
    </row>
    <row r="52" spans="2:22" ht="15.75" customHeight="1">
      <c r="B52" s="249"/>
      <c r="C52" s="90"/>
      <c r="D52" s="152"/>
      <c r="E52" s="47"/>
      <c r="F52" s="153"/>
      <c r="G52" s="17"/>
      <c r="H52" s="53" t="e">
        <f t="shared" si="6"/>
        <v>#DIV/0!</v>
      </c>
      <c r="I52" s="68"/>
      <c r="J52" s="53"/>
      <c r="K52" s="53">
        <f t="shared" si="5"/>
        <v>0</v>
      </c>
      <c r="L52" s="53">
        <f t="shared" si="3"/>
        <v>0</v>
      </c>
      <c r="M52" s="54"/>
      <c r="N52" s="54"/>
      <c r="O52" s="54"/>
      <c r="P52" s="50" t="e">
        <f t="shared" si="11"/>
        <v>#DIV/0!</v>
      </c>
      <c r="Q52" s="38" t="e">
        <f t="shared" si="12"/>
        <v>#DIV/0!</v>
      </c>
      <c r="R52" s="16"/>
    </row>
    <row r="53" spans="2:22" ht="15.75" customHeight="1">
      <c r="B53" s="91"/>
      <c r="C53" s="180"/>
      <c r="D53" s="152"/>
      <c r="E53" s="47"/>
      <c r="F53" s="153"/>
      <c r="G53" s="17"/>
      <c r="H53" s="53" t="e">
        <f t="shared" si="6"/>
        <v>#DIV/0!</v>
      </c>
      <c r="I53" s="68"/>
      <c r="J53" s="53"/>
      <c r="K53" s="53">
        <f t="shared" si="5"/>
        <v>0</v>
      </c>
      <c r="L53" s="53">
        <f t="shared" si="3"/>
        <v>0</v>
      </c>
      <c r="M53" s="54"/>
      <c r="N53" s="54"/>
      <c r="O53" s="54"/>
      <c r="P53" s="50" t="e">
        <f t="shared" si="11"/>
        <v>#DIV/0!</v>
      </c>
      <c r="Q53" s="38" t="e">
        <f t="shared" si="12"/>
        <v>#DIV/0!</v>
      </c>
      <c r="R53" s="16"/>
    </row>
    <row r="54" spans="2:22" ht="15.75" customHeight="1">
      <c r="B54" s="91"/>
      <c r="C54" s="87"/>
      <c r="D54" s="152"/>
      <c r="E54" s="47"/>
      <c r="F54" s="153"/>
      <c r="G54" s="17"/>
      <c r="H54" s="53" t="e">
        <f t="shared" si="6"/>
        <v>#DIV/0!</v>
      </c>
      <c r="I54" s="68"/>
      <c r="J54" s="53"/>
      <c r="K54" s="53">
        <f t="shared" si="5"/>
        <v>0</v>
      </c>
      <c r="L54" s="53">
        <f t="shared" si="3"/>
        <v>0</v>
      </c>
      <c r="M54" s="54"/>
      <c r="N54" s="54"/>
      <c r="O54" s="54"/>
      <c r="P54" s="50" t="e">
        <f t="shared" si="11"/>
        <v>#DIV/0!</v>
      </c>
      <c r="Q54" s="38" t="e">
        <f t="shared" si="12"/>
        <v>#DIV/0!</v>
      </c>
      <c r="R54" s="16"/>
    </row>
    <row r="55" spans="2:22" ht="15.75" customHeight="1">
      <c r="B55" s="91"/>
      <c r="C55" s="87"/>
      <c r="D55" s="152"/>
      <c r="E55" s="47"/>
      <c r="F55" s="153"/>
      <c r="G55" s="17"/>
      <c r="H55" s="53" t="e">
        <f t="shared" si="6"/>
        <v>#DIV/0!</v>
      </c>
      <c r="I55" s="68"/>
      <c r="J55" s="53"/>
      <c r="K55" s="53">
        <f t="shared" si="5"/>
        <v>0</v>
      </c>
      <c r="L55" s="53">
        <f t="shared" si="3"/>
        <v>0</v>
      </c>
      <c r="M55" s="54"/>
      <c r="N55" s="54"/>
      <c r="O55" s="54"/>
      <c r="P55" s="50" t="e">
        <f t="shared" si="11"/>
        <v>#DIV/0!</v>
      </c>
      <c r="Q55" s="38" t="e">
        <f t="shared" si="12"/>
        <v>#DIV/0!</v>
      </c>
      <c r="R55" s="16"/>
    </row>
    <row r="56" spans="2:22" ht="16.2" thickBot="1">
      <c r="B56" s="262"/>
      <c r="C56" s="87"/>
      <c r="D56" s="29"/>
      <c r="E56" s="47"/>
      <c r="F56" s="39"/>
      <c r="G56" s="17"/>
      <c r="H56" s="53" t="e">
        <f>(G56)*24/(F56/60)/17000*100</f>
        <v>#DIV/0!</v>
      </c>
      <c r="I56" s="38"/>
      <c r="J56" s="194"/>
      <c r="K56" s="53">
        <f t="shared" si="5"/>
        <v>0</v>
      </c>
      <c r="L56" s="53">
        <f t="shared" si="3"/>
        <v>0</v>
      </c>
      <c r="M56" s="54"/>
      <c r="N56" s="54"/>
      <c r="O56" s="54"/>
      <c r="P56" s="50" t="e">
        <f t="shared" si="11"/>
        <v>#DIV/0!</v>
      </c>
      <c r="Q56" s="38" t="e">
        <f t="shared" si="12"/>
        <v>#DIV/0!</v>
      </c>
      <c r="R56" s="16"/>
    </row>
    <row r="57" spans="2:22" ht="16.8" thickTop="1" thickBot="1">
      <c r="B57" s="252"/>
      <c r="C57" s="252"/>
      <c r="D57" s="30"/>
      <c r="E57" s="22">
        <f>SUM(E8:E56)</f>
        <v>22306</v>
      </c>
      <c r="F57" s="22">
        <f>SUM(F8:F55)</f>
        <v>16678</v>
      </c>
      <c r="G57" s="15">
        <f>SUM(G8:G56)</f>
        <v>109148</v>
      </c>
      <c r="H57" s="13">
        <f>(G57)*24/(F57/60)/17000*100</f>
        <v>55.435169966775547</v>
      </c>
      <c r="I57" s="14">
        <f>SUM(I8:I34)</f>
        <v>3541</v>
      </c>
      <c r="J57" s="13">
        <f>SUM(J8:J56)</f>
        <v>7418.3</v>
      </c>
      <c r="K57" s="13">
        <f>SUM(K8:K56)</f>
        <v>7281.2792000000009</v>
      </c>
      <c r="L57" s="51">
        <f>J57-K57</f>
        <v>137.02079999999933</v>
      </c>
      <c r="M57" s="52">
        <f>SUM(M8:M55)</f>
        <v>12192</v>
      </c>
      <c r="N57" s="36">
        <f>SUM(N8:N56)</f>
        <v>388</v>
      </c>
      <c r="O57" s="14">
        <f>SUM(O8:O56)</f>
        <v>170</v>
      </c>
      <c r="P57" s="24">
        <f>(J57-K57)/J57</f>
        <v>1.8470646913713293E-2</v>
      </c>
      <c r="Q57" s="396">
        <f>G57/(E57/60)</f>
        <v>293.59275531247198</v>
      </c>
      <c r="R57" s="400">
        <f>(January_2025!G65+February_2025!G63+March_2025!G62+'April_2025 '!G54+May_2025!G63+June_2025!G57+July_2025!G55+G57)/((January_2025!E65+February_2025!F63+March_2025!E62+'April_2025 '!E54+May_2025!E63+June_2025!E57+July_2025!E55+E57)/60)</f>
        <v>282.80051557958348</v>
      </c>
    </row>
    <row r="58" spans="2:22" ht="16.8" thickTop="1" thickBot="1">
      <c r="B58" s="1"/>
      <c r="C58" s="1"/>
      <c r="D58" s="31"/>
      <c r="G58" s="1"/>
      <c r="H58" s="1"/>
      <c r="L58" s="18"/>
      <c r="M58" s="18"/>
      <c r="N58" s="18" t="s">
        <v>23</v>
      </c>
      <c r="O58" s="18"/>
      <c r="R58" s="304"/>
    </row>
    <row r="59" spans="2:22" ht="21" thickTop="1" thickBot="1">
      <c r="B59" s="1"/>
      <c r="C59" s="1"/>
      <c r="D59" s="31"/>
      <c r="G59" s="1"/>
      <c r="H59" s="1"/>
      <c r="K59" s="45" t="s">
        <v>36</v>
      </c>
      <c r="L59" s="15">
        <f>G57+O59</f>
        <v>109615.5</v>
      </c>
      <c r="M59" s="18"/>
      <c r="N59" s="18" t="s">
        <v>31</v>
      </c>
      <c r="O59" s="18">
        <f>O57*2.75</f>
        <v>467.5</v>
      </c>
      <c r="P59" s="398" t="s">
        <v>146</v>
      </c>
      <c r="Q59" s="397">
        <v>392.66578726466008</v>
      </c>
      <c r="R59" s="399">
        <v>370.26789923545209</v>
      </c>
    </row>
    <row r="60" spans="2:22" ht="16.2" thickTop="1">
      <c r="B60" s="1"/>
      <c r="C60" s="1"/>
      <c r="D60" s="31"/>
      <c r="G60" s="1"/>
      <c r="H60" s="1"/>
      <c r="L60" s="18"/>
      <c r="M60" s="18"/>
      <c r="N60" s="18"/>
      <c r="O60" s="18"/>
    </row>
    <row r="61" spans="2:22" ht="15.6">
      <c r="B61" s="1"/>
      <c r="C61" s="1"/>
      <c r="D61" s="31"/>
      <c r="G61" s="1"/>
      <c r="H61" s="1"/>
      <c r="L61" s="18"/>
      <c r="M61" s="18"/>
      <c r="N61" s="41" t="s">
        <v>32</v>
      </c>
      <c r="O61" s="62">
        <f>O34</f>
        <v>0</v>
      </c>
      <c r="P61" s="57"/>
      <c r="Q61" s="263"/>
    </row>
    <row r="62" spans="2:22" ht="15.6">
      <c r="B62" s="1"/>
      <c r="C62" s="1"/>
      <c r="D62" s="31"/>
      <c r="G62" s="1"/>
      <c r="H62" s="1"/>
      <c r="L62" s="18"/>
      <c r="M62" s="18"/>
      <c r="N62" s="41" t="s">
        <v>33</v>
      </c>
      <c r="O62" s="62">
        <f>O37+O21+O19+O15</f>
        <v>0</v>
      </c>
      <c r="P62" s="57"/>
      <c r="Q62" s="263"/>
    </row>
    <row r="63" spans="2:22" ht="15.6">
      <c r="B63" s="1"/>
      <c r="C63" s="1"/>
      <c r="D63" s="31"/>
      <c r="G63" s="1"/>
      <c r="H63" s="1"/>
      <c r="L63" s="18"/>
      <c r="M63" s="18"/>
      <c r="N63" s="41" t="s">
        <v>34</v>
      </c>
      <c r="O63" s="42"/>
    </row>
    <row r="64" spans="2:22" ht="15.6">
      <c r="B64" s="1"/>
      <c r="C64" s="1"/>
      <c r="D64" s="31"/>
      <c r="G64" s="1"/>
      <c r="H64" s="1"/>
      <c r="L64" s="18"/>
      <c r="M64" s="18"/>
      <c r="N64" s="41" t="s">
        <v>35</v>
      </c>
      <c r="O64" s="42">
        <f>SUM(O61:O63)</f>
        <v>0</v>
      </c>
    </row>
    <row r="65" spans="2:15" ht="15.6">
      <c r="B65" s="1"/>
      <c r="C65" s="1"/>
      <c r="D65" s="31"/>
      <c r="G65" s="1"/>
      <c r="H65" s="1"/>
      <c r="L65" s="18"/>
      <c r="M65" s="18"/>
      <c r="N65" s="18"/>
      <c r="O65" s="18"/>
    </row>
    <row r="66" spans="2:15" ht="16.2" thickBot="1">
      <c r="B66" s="1"/>
      <c r="C66" s="1"/>
      <c r="D66" s="31"/>
      <c r="G66" s="1"/>
      <c r="H66" s="1"/>
      <c r="L66" s="18"/>
      <c r="M66" s="18"/>
      <c r="N66" s="18"/>
      <c r="O66" s="18"/>
    </row>
    <row r="67" spans="2:15" ht="16.8" thickTop="1" thickBot="1">
      <c r="B67" s="1"/>
      <c r="C67" s="1"/>
      <c r="D67" s="31"/>
      <c r="F67" s="23">
        <v>21461</v>
      </c>
      <c r="G67" s="13">
        <f>G57</f>
        <v>109148</v>
      </c>
      <c r="H67" s="13">
        <f>(G67)*24/(F67/60)/17000*100</f>
        <v>43.080367396947125</v>
      </c>
      <c r="L67" s="18"/>
      <c r="M67" s="18"/>
      <c r="N67" s="18"/>
      <c r="O67" s="18"/>
    </row>
    <row r="68" spans="2:15" ht="16.2" thickTop="1">
      <c r="B68" s="1"/>
      <c r="C68" s="1"/>
      <c r="D68" s="31"/>
      <c r="G68" s="1"/>
      <c r="H68" s="1"/>
      <c r="L68" s="18"/>
      <c r="M68" s="18"/>
      <c r="N68" s="18"/>
      <c r="O68" s="18"/>
    </row>
    <row r="69" spans="2:15" ht="15.6">
      <c r="B69" s="1"/>
      <c r="C69" s="1"/>
      <c r="D69" s="31"/>
      <c r="G69" s="1"/>
      <c r="H69" s="1"/>
      <c r="L69" s="18"/>
      <c r="M69" s="18"/>
      <c r="N69" s="18"/>
      <c r="O69" s="18"/>
    </row>
    <row r="70" spans="2:15" ht="15.6">
      <c r="B70" s="1"/>
      <c r="C70" s="1"/>
      <c r="D70" s="31"/>
      <c r="G70" s="1"/>
      <c r="H70" s="1"/>
      <c r="L70" s="18"/>
      <c r="M70" s="18"/>
      <c r="N70" s="18"/>
      <c r="O70" s="18"/>
    </row>
    <row r="71" spans="2:15" ht="15.6">
      <c r="B71" s="1"/>
      <c r="C71" s="1"/>
      <c r="D71" s="31"/>
      <c r="G71" s="1"/>
      <c r="H71" s="1"/>
      <c r="L71" s="18"/>
      <c r="M71" s="18"/>
      <c r="N71" s="18"/>
      <c r="O71" s="18"/>
    </row>
    <row r="72" spans="2:15" ht="15.6">
      <c r="B72" s="1"/>
      <c r="C72" s="1"/>
      <c r="D72" s="31"/>
      <c r="G72" s="1"/>
      <c r="H72" s="1"/>
      <c r="L72" s="18"/>
      <c r="M72" s="18"/>
      <c r="N72" s="18"/>
      <c r="O72" s="18"/>
    </row>
    <row r="73" spans="2:15">
      <c r="B73" s="1"/>
      <c r="C73" s="1"/>
      <c r="D73" s="31"/>
      <c r="G73" s="1"/>
      <c r="H73" s="1"/>
      <c r="O73" s="7"/>
    </row>
    <row r="74" spans="2:15">
      <c r="B74" s="1"/>
      <c r="C74" s="1"/>
      <c r="D74" s="31"/>
      <c r="G74" s="1"/>
      <c r="H74" s="1"/>
      <c r="O74" s="7"/>
    </row>
    <row r="75" spans="2:15">
      <c r="B75" s="1"/>
      <c r="C75" s="1"/>
      <c r="D75" s="31"/>
      <c r="G75" s="1"/>
      <c r="H75" s="1"/>
      <c r="O75" s="7"/>
    </row>
    <row r="76" spans="2:15">
      <c r="B76" s="1"/>
      <c r="C76" s="1"/>
      <c r="D76" s="31"/>
      <c r="G76" s="1"/>
      <c r="H76" s="1"/>
      <c r="O76" s="7"/>
    </row>
    <row r="77" spans="2:15">
      <c r="B77" s="1"/>
      <c r="C77" s="1"/>
      <c r="D77" s="31"/>
      <c r="G77" s="1"/>
      <c r="H77" s="1"/>
      <c r="O77" s="7"/>
    </row>
    <row r="78" spans="2:15">
      <c r="B78" s="1"/>
      <c r="C78" s="1"/>
      <c r="D78" s="31"/>
      <c r="G78" s="1"/>
      <c r="H78" s="1"/>
      <c r="O78" s="7"/>
    </row>
    <row r="79" spans="2:15">
      <c r="B79" s="1"/>
      <c r="C79" s="1"/>
      <c r="D79" s="31"/>
      <c r="G79" s="1"/>
      <c r="H79" s="1"/>
      <c r="O79" s="7"/>
    </row>
    <row r="80" spans="2:15">
      <c r="B80" s="1"/>
      <c r="C80" s="1"/>
      <c r="D80" s="31"/>
      <c r="G80" s="1"/>
      <c r="H80" s="1"/>
      <c r="O80" s="7"/>
    </row>
    <row r="81" spans="2:15">
      <c r="B81" s="1"/>
      <c r="C81" s="1"/>
      <c r="D81" s="31"/>
      <c r="G81" s="1"/>
      <c r="H81" s="1"/>
      <c r="O81" s="7"/>
    </row>
    <row r="82" spans="2:15">
      <c r="B82" s="1"/>
      <c r="C82" s="1"/>
      <c r="D82" s="31"/>
      <c r="G82" s="1"/>
      <c r="H82" s="1"/>
      <c r="O82" s="7"/>
    </row>
    <row r="83" spans="2:15">
      <c r="B83" s="1"/>
      <c r="C83" s="1"/>
      <c r="D83" s="31"/>
      <c r="G83" s="1"/>
      <c r="H83" s="1"/>
      <c r="O83" s="7"/>
    </row>
    <row r="84" spans="2:15">
      <c r="B84" s="1"/>
      <c r="C84" s="1"/>
      <c r="D84" s="31"/>
      <c r="G84" s="1"/>
      <c r="H84" s="1"/>
      <c r="O84" s="7"/>
    </row>
    <row r="85" spans="2:15">
      <c r="B85" s="1"/>
      <c r="C85" s="1"/>
      <c r="D85" s="31"/>
      <c r="G85" s="1"/>
      <c r="H85" s="1"/>
      <c r="O85" s="7"/>
    </row>
    <row r="86" spans="2:15">
      <c r="B86" s="1"/>
      <c r="C86" s="1"/>
      <c r="D86" s="31"/>
      <c r="G86" s="1"/>
      <c r="H86" s="1"/>
      <c r="O86" s="7"/>
    </row>
    <row r="87" spans="2:15">
      <c r="B87" s="1"/>
      <c r="C87" s="1"/>
      <c r="D87" s="31"/>
      <c r="G87" s="1"/>
      <c r="H87" s="1"/>
      <c r="O87" s="7"/>
    </row>
    <row r="88" spans="2:15">
      <c r="B88" s="1"/>
      <c r="C88" s="1"/>
      <c r="D88" s="31"/>
      <c r="G88" s="1"/>
      <c r="H88" s="1"/>
      <c r="O88" s="7"/>
    </row>
    <row r="89" spans="2:15">
      <c r="B89" s="1"/>
      <c r="C89" s="1"/>
      <c r="D89" s="31"/>
      <c r="G89" s="1"/>
      <c r="H89" s="1"/>
      <c r="O89" s="7"/>
    </row>
    <row r="90" spans="2:15">
      <c r="B90" s="1"/>
      <c r="C90" s="1"/>
      <c r="D90" s="31"/>
      <c r="G90" s="1"/>
      <c r="H90" s="1"/>
      <c r="O90" s="7"/>
    </row>
    <row r="91" spans="2:15">
      <c r="B91" s="1"/>
      <c r="C91" s="1"/>
      <c r="D91" s="31"/>
      <c r="G91" s="1"/>
      <c r="H91" s="1"/>
      <c r="O91" s="7"/>
    </row>
    <row r="92" spans="2:15">
      <c r="B92" s="1"/>
      <c r="C92" s="1"/>
      <c r="D92" s="31"/>
      <c r="G92" s="1"/>
      <c r="H92" s="1"/>
      <c r="O92" s="7"/>
    </row>
    <row r="93" spans="2:15">
      <c r="B93" s="1"/>
      <c r="C93" s="1"/>
      <c r="D93" s="31"/>
      <c r="G93" s="1"/>
      <c r="H93" s="1"/>
      <c r="O93" s="7"/>
    </row>
    <row r="94" spans="2:15">
      <c r="B94" s="1"/>
      <c r="C94" s="1"/>
      <c r="D94" s="31"/>
      <c r="G94" s="1"/>
      <c r="H94" s="1"/>
      <c r="O94" s="7"/>
    </row>
    <row r="95" spans="2:15">
      <c r="B95" s="1"/>
      <c r="C95" s="1"/>
      <c r="D95" s="31"/>
      <c r="G95" s="1"/>
      <c r="H95" s="1"/>
      <c r="O95" s="7"/>
    </row>
    <row r="96" spans="2:15">
      <c r="B96" s="1"/>
      <c r="C96" s="1"/>
      <c r="D96" s="31"/>
      <c r="G96" s="1"/>
      <c r="H96" s="1"/>
      <c r="O96" s="7"/>
    </row>
    <row r="97" spans="2:15">
      <c r="B97" s="1"/>
      <c r="C97" s="1"/>
      <c r="D97" s="31"/>
      <c r="G97" s="1"/>
      <c r="H97" s="1"/>
      <c r="O97" s="7"/>
    </row>
    <row r="98" spans="2:15">
      <c r="B98" s="1"/>
      <c r="C98" s="1"/>
      <c r="D98" s="31"/>
      <c r="G98" s="1"/>
      <c r="H98" s="1"/>
      <c r="O98" s="7"/>
    </row>
    <row r="99" spans="2:15">
      <c r="B99" s="1"/>
      <c r="C99" s="1"/>
      <c r="D99" s="31"/>
      <c r="G99" s="1"/>
      <c r="H99" s="1"/>
      <c r="O99" s="7"/>
    </row>
    <row r="100" spans="2:15">
      <c r="B100" s="1"/>
      <c r="C100" s="1"/>
      <c r="D100" s="31"/>
      <c r="G100" s="1"/>
      <c r="H100" s="1"/>
      <c r="O100" s="7"/>
    </row>
    <row r="101" spans="2:15">
      <c r="B101" s="1"/>
      <c r="C101" s="1"/>
      <c r="D101" s="31"/>
      <c r="G101" s="1"/>
      <c r="H101" s="1"/>
      <c r="O101" s="7"/>
    </row>
    <row r="102" spans="2:15">
      <c r="B102" s="1"/>
      <c r="C102" s="1"/>
      <c r="D102" s="31"/>
      <c r="G102" s="1"/>
      <c r="H102" s="1"/>
      <c r="O102" s="7"/>
    </row>
    <row r="103" spans="2:15">
      <c r="B103" s="1"/>
      <c r="C103" s="1"/>
      <c r="D103" s="31"/>
      <c r="G103" s="1"/>
      <c r="H103" s="1"/>
      <c r="O103" s="7"/>
    </row>
    <row r="104" spans="2:15">
      <c r="B104" s="1"/>
      <c r="C104" s="1"/>
      <c r="D104" s="31"/>
      <c r="G104" s="1"/>
      <c r="H104" s="1"/>
      <c r="O104" s="7"/>
    </row>
    <row r="105" spans="2:15">
      <c r="B105" s="1"/>
      <c r="C105" s="1"/>
      <c r="D105" s="31"/>
      <c r="G105" s="1"/>
      <c r="H105" s="1"/>
      <c r="O105" s="7"/>
    </row>
    <row r="106" spans="2:15">
      <c r="B106" s="1"/>
      <c r="C106" s="1"/>
      <c r="D106" s="31"/>
      <c r="G106" s="1"/>
      <c r="H106" s="1"/>
      <c r="O106" s="7"/>
    </row>
    <row r="107" spans="2:15">
      <c r="B107" s="1"/>
      <c r="C107" s="1"/>
      <c r="D107" s="31"/>
      <c r="G107" s="1"/>
      <c r="H107" s="1"/>
      <c r="O107" s="7"/>
    </row>
    <row r="108" spans="2:15">
      <c r="B108" s="1"/>
      <c r="C108" s="1"/>
      <c r="D108" s="31"/>
      <c r="G108" s="1"/>
      <c r="H108" s="1"/>
      <c r="O108" s="7"/>
    </row>
    <row r="109" spans="2:15">
      <c r="B109" s="1"/>
      <c r="C109" s="1"/>
      <c r="D109" s="31"/>
      <c r="G109" s="1"/>
      <c r="H109" s="1"/>
      <c r="O109" s="7"/>
    </row>
    <row r="110" spans="2:15">
      <c r="B110" s="1"/>
      <c r="C110" s="1"/>
      <c r="D110" s="31"/>
      <c r="G110" s="1"/>
      <c r="H110" s="1"/>
      <c r="O110" s="7"/>
    </row>
    <row r="111" spans="2:15">
      <c r="B111" s="1"/>
      <c r="C111" s="1"/>
      <c r="D111" s="31"/>
      <c r="G111" s="1"/>
      <c r="H111" s="1"/>
      <c r="O111" s="7"/>
    </row>
    <row r="112" spans="2:15">
      <c r="B112" s="1"/>
      <c r="C112" s="1"/>
      <c r="D112" s="31"/>
      <c r="G112" s="1"/>
      <c r="H112" s="1"/>
      <c r="O112" s="7"/>
    </row>
    <row r="113" spans="2:15">
      <c r="B113" s="1"/>
      <c r="C113" s="1"/>
      <c r="D113" s="31"/>
      <c r="G113" s="1"/>
      <c r="H113" s="1"/>
      <c r="O113" s="7"/>
    </row>
    <row r="114" spans="2:15">
      <c r="B114" s="1"/>
      <c r="C114" s="1"/>
      <c r="D114" s="31"/>
      <c r="G114" s="1"/>
      <c r="H114" s="1"/>
      <c r="O114" s="7"/>
    </row>
    <row r="115" spans="2:15">
      <c r="B115" s="1"/>
      <c r="C115" s="1"/>
      <c r="D115" s="31"/>
      <c r="G115" s="1"/>
      <c r="H115" s="1"/>
      <c r="O115" s="7"/>
    </row>
    <row r="116" spans="2:15">
      <c r="B116" s="1"/>
      <c r="C116" s="1"/>
      <c r="D116" s="31"/>
      <c r="G116" s="1"/>
      <c r="H116" s="1"/>
      <c r="O116" s="7"/>
    </row>
    <row r="117" spans="2:15">
      <c r="B117" s="1"/>
      <c r="C117" s="1"/>
      <c r="D117" s="31"/>
      <c r="G117" s="1"/>
      <c r="H117" s="1"/>
      <c r="O117" s="7"/>
    </row>
    <row r="118" spans="2:15">
      <c r="B118" s="1"/>
      <c r="C118" s="1"/>
      <c r="D118" s="31"/>
      <c r="G118" s="1"/>
      <c r="H118" s="1"/>
      <c r="O118" s="7"/>
    </row>
    <row r="119" spans="2:15">
      <c r="G119" s="206"/>
      <c r="H119" s="1"/>
    </row>
    <row r="120" spans="2:15">
      <c r="G120" s="206"/>
      <c r="H120" s="1"/>
    </row>
  </sheetData>
  <autoFilter ref="B7:V59" xr:uid="{00000000-0001-0000-0700-000000000000}"/>
  <mergeCells count="46">
    <mergeCell ref="R6:R7"/>
    <mergeCell ref="P24:P25"/>
    <mergeCell ref="P26:P27"/>
    <mergeCell ref="L24:L25"/>
    <mergeCell ref="L26:L27"/>
    <mergeCell ref="R9:R10"/>
    <mergeCell ref="R20:R21"/>
    <mergeCell ref="R22:R23"/>
    <mergeCell ref="E33:E34"/>
    <mergeCell ref="B1:Q1"/>
    <mergeCell ref="B3:Q3"/>
    <mergeCell ref="B4:Q4"/>
    <mergeCell ref="I5:I7"/>
    <mergeCell ref="L5:L7"/>
    <mergeCell ref="M5:M7"/>
    <mergeCell ref="N5:N7"/>
    <mergeCell ref="O5:O7"/>
    <mergeCell ref="E8:E9"/>
    <mergeCell ref="E11:E12"/>
    <mergeCell ref="E13:E14"/>
    <mergeCell ref="E15:E16"/>
    <mergeCell ref="E17:E18"/>
    <mergeCell ref="R34:R35"/>
    <mergeCell ref="R29:R30"/>
    <mergeCell ref="E19:E20"/>
    <mergeCell ref="R18:R19"/>
    <mergeCell ref="R14:R15"/>
    <mergeCell ref="N24:N25"/>
    <mergeCell ref="K24:K25"/>
    <mergeCell ref="E35:E36"/>
    <mergeCell ref="E21:E22"/>
    <mergeCell ref="E23:E27"/>
    <mergeCell ref="J24:J25"/>
    <mergeCell ref="J26:J27"/>
    <mergeCell ref="K26:K27"/>
    <mergeCell ref="N26:N27"/>
    <mergeCell ref="E28:E29"/>
    <mergeCell ref="E30:E31"/>
    <mergeCell ref="P40:P41"/>
    <mergeCell ref="R39:R41"/>
    <mergeCell ref="R42:R43"/>
    <mergeCell ref="E40:E42"/>
    <mergeCell ref="J40:J41"/>
    <mergeCell ref="K40:K41"/>
    <mergeCell ref="L40:L41"/>
    <mergeCell ref="E43:E44"/>
  </mergeCells>
  <conditionalFormatting sqref="I8:I56">
    <cfRule type="cellIs" dxfId="49" priority="14" stopIfTrue="1" operator="lessThan">
      <formula>50</formula>
    </cfRule>
  </conditionalFormatting>
  <conditionalFormatting sqref="P8:P24 P26 P28:P40 P42:P56">
    <cfRule type="cellIs" dxfId="48" priority="10" stopIfTrue="1" operator="greaterThan">
      <formula>1.8</formula>
    </cfRule>
  </conditionalFormatting>
  <conditionalFormatting sqref="R9">
    <cfRule type="cellIs" dxfId="47" priority="5" operator="greaterThan">
      <formula>1.8</formula>
    </cfRule>
  </conditionalFormatting>
  <conditionalFormatting sqref="R14">
    <cfRule type="cellIs" dxfId="46" priority="6" operator="greaterThan">
      <formula>1.8</formula>
    </cfRule>
  </conditionalFormatting>
  <conditionalFormatting sqref="R18 R20 R22">
    <cfRule type="cellIs" dxfId="45" priority="7" operator="greaterThan">
      <formula>1.8</formula>
    </cfRule>
  </conditionalFormatting>
  <conditionalFormatting sqref="R29">
    <cfRule type="cellIs" dxfId="44" priority="4" operator="greaterThan">
      <formula>1.8</formula>
    </cfRule>
  </conditionalFormatting>
  <conditionalFormatting sqref="R34">
    <cfRule type="cellIs" dxfId="43" priority="3" operator="greaterThan">
      <formula>1.8</formula>
    </cfRule>
  </conditionalFormatting>
  <conditionalFormatting sqref="R39">
    <cfRule type="cellIs" dxfId="42" priority="2" operator="greaterThan">
      <formula>1.8</formula>
    </cfRule>
  </conditionalFormatting>
  <conditionalFormatting sqref="R42">
    <cfRule type="cellIs" dxfId="41" priority="1" operator="greaterThan">
      <formula>1.8</formula>
    </cfRule>
  </conditionalFormatting>
  <pageMargins left="0.25" right="0.25" top="0.75" bottom="0.75" header="0.3" footer="0.3"/>
  <pageSetup scale="51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1"/>
    <pageSetUpPr fitToPage="1"/>
  </sheetPr>
  <dimension ref="A1:XFD117"/>
  <sheetViews>
    <sheetView topLeftCell="A4" zoomScale="80" zoomScaleNormal="80" zoomScaleSheetLayoutView="80" workbookViewId="0">
      <pane xSplit="2" ySplit="4" topLeftCell="C43" activePane="bottomRight" state="frozen"/>
      <selection activeCell="A4" sqref="A4"/>
      <selection pane="topRight" activeCell="B4" sqref="B4"/>
      <selection pane="bottomLeft" activeCell="A8" sqref="A8"/>
      <selection pane="bottomRight" activeCell="R54" sqref="R54"/>
    </sheetView>
  </sheetViews>
  <sheetFormatPr defaultRowHeight="13.2"/>
  <cols>
    <col min="1" max="1" width="2.44140625" customWidth="1"/>
    <col min="2" max="2" width="9.109375" style="81" customWidth="1"/>
    <col min="3" max="3" width="7" style="1" customWidth="1"/>
    <col min="4" max="4" width="42.109375" style="31" bestFit="1" customWidth="1"/>
    <col min="5" max="5" width="13" style="1" customWidth="1"/>
    <col min="6" max="6" width="7.5546875" style="23" customWidth="1"/>
    <col min="7" max="8" width="13.5546875" customWidth="1"/>
    <col min="9" max="9" width="10.5546875" style="7" customWidth="1"/>
    <col min="10" max="10" width="11" style="7" customWidth="1"/>
    <col min="11" max="11" width="13.109375" style="7" customWidth="1"/>
    <col min="12" max="12" width="14" style="7" customWidth="1"/>
    <col min="13" max="13" width="16.88671875" style="7" customWidth="1"/>
    <col min="14" max="14" width="16.5546875" style="7" customWidth="1"/>
    <col min="15" max="15" width="9.44140625" style="7" customWidth="1"/>
    <col min="16" max="16" width="19.109375" style="25" customWidth="1"/>
    <col min="17" max="17" width="12.109375" style="6" customWidth="1"/>
    <col min="18" max="18" width="11" customWidth="1"/>
    <col min="19" max="19" width="9.109375" customWidth="1"/>
    <col min="21" max="21" width="20.88671875" customWidth="1"/>
    <col min="22" max="22" width="13.5546875" customWidth="1"/>
    <col min="23" max="23" width="15.88671875" customWidth="1"/>
    <col min="24" max="24" width="10.5546875" customWidth="1"/>
  </cols>
  <sheetData>
    <row r="1" spans="1:16384" ht="25.8">
      <c r="B1" s="276" t="s">
        <v>0</v>
      </c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</row>
    <row r="3" spans="1:16384" ht="23.4">
      <c r="B3" s="277" t="s">
        <v>1</v>
      </c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</row>
    <row r="4" spans="1:16384" ht="21" thickBot="1">
      <c r="A4" s="326">
        <v>45901</v>
      </c>
      <c r="B4" s="326"/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>
        <v>45901</v>
      </c>
      <c r="R4" s="326"/>
      <c r="S4" s="326"/>
      <c r="T4" s="326"/>
      <c r="U4" s="326"/>
      <c r="V4" s="326"/>
      <c r="W4" s="326"/>
      <c r="X4" s="326"/>
      <c r="Y4" s="326"/>
      <c r="Z4" s="326"/>
      <c r="AA4" s="326"/>
      <c r="AB4" s="326"/>
      <c r="AC4" s="326"/>
      <c r="AD4" s="326"/>
      <c r="AE4" s="326"/>
      <c r="AF4" s="326"/>
      <c r="AG4" s="326">
        <v>45870</v>
      </c>
      <c r="AH4" s="326"/>
      <c r="AI4" s="326"/>
      <c r="AJ4" s="326"/>
      <c r="AK4" s="326"/>
      <c r="AL4" s="326"/>
      <c r="AM4" s="326"/>
      <c r="AN4" s="326"/>
      <c r="AO4" s="326"/>
      <c r="AP4" s="326"/>
      <c r="AQ4" s="326"/>
      <c r="AR4" s="326"/>
      <c r="AS4" s="326"/>
      <c r="AT4" s="326"/>
      <c r="AU4" s="326"/>
      <c r="AV4" s="326"/>
      <c r="AW4" s="326">
        <v>45870</v>
      </c>
      <c r="AX4" s="326"/>
      <c r="AY4" s="326"/>
      <c r="AZ4" s="326"/>
      <c r="BA4" s="326"/>
      <c r="BB4" s="326"/>
      <c r="BC4" s="326"/>
      <c r="BD4" s="326"/>
      <c r="BE4" s="326"/>
      <c r="BF4" s="326"/>
      <c r="BG4" s="326"/>
      <c r="BH4" s="326"/>
      <c r="BI4" s="326"/>
      <c r="BJ4" s="326"/>
      <c r="BK4" s="326"/>
      <c r="BL4" s="326"/>
      <c r="BM4" s="326">
        <v>45870</v>
      </c>
      <c r="BN4" s="326"/>
      <c r="BO4" s="326"/>
      <c r="BP4" s="326"/>
      <c r="BQ4" s="326"/>
      <c r="BR4" s="326"/>
      <c r="BS4" s="326"/>
      <c r="BT4" s="326"/>
      <c r="BU4" s="326"/>
      <c r="BV4" s="326"/>
      <c r="BW4" s="326"/>
      <c r="BX4" s="326"/>
      <c r="BY4" s="326"/>
      <c r="BZ4" s="326"/>
      <c r="CA4" s="326"/>
      <c r="CB4" s="326"/>
      <c r="CC4" s="326">
        <v>45870</v>
      </c>
      <c r="CD4" s="326"/>
      <c r="CE4" s="326"/>
      <c r="CF4" s="326"/>
      <c r="CG4" s="326"/>
      <c r="CH4" s="326"/>
      <c r="CI4" s="326"/>
      <c r="CJ4" s="326"/>
      <c r="CK4" s="326"/>
      <c r="CL4" s="326"/>
      <c r="CM4" s="326"/>
      <c r="CN4" s="326"/>
      <c r="CO4" s="326"/>
      <c r="CP4" s="326"/>
      <c r="CQ4" s="326"/>
      <c r="CR4" s="326"/>
      <c r="CS4" s="326">
        <v>45870</v>
      </c>
      <c r="CT4" s="326"/>
      <c r="CU4" s="326"/>
      <c r="CV4" s="326"/>
      <c r="CW4" s="326"/>
      <c r="CX4" s="326"/>
      <c r="CY4" s="326"/>
      <c r="CZ4" s="326"/>
      <c r="DA4" s="326"/>
      <c r="DB4" s="326"/>
      <c r="DC4" s="326"/>
      <c r="DD4" s="326"/>
      <c r="DE4" s="326"/>
      <c r="DF4" s="326"/>
      <c r="DG4" s="326"/>
      <c r="DH4" s="326"/>
      <c r="DI4" s="326">
        <v>45870</v>
      </c>
      <c r="DJ4" s="326"/>
      <c r="DK4" s="326"/>
      <c r="DL4" s="326"/>
      <c r="DM4" s="326"/>
      <c r="DN4" s="326"/>
      <c r="DO4" s="326"/>
      <c r="DP4" s="326"/>
      <c r="DQ4" s="326"/>
      <c r="DR4" s="326"/>
      <c r="DS4" s="326"/>
      <c r="DT4" s="326"/>
      <c r="DU4" s="326"/>
      <c r="DV4" s="326"/>
      <c r="DW4" s="326"/>
      <c r="DX4" s="326"/>
      <c r="DY4" s="326">
        <v>45870</v>
      </c>
      <c r="DZ4" s="326"/>
      <c r="EA4" s="326"/>
      <c r="EB4" s="326"/>
      <c r="EC4" s="326"/>
      <c r="ED4" s="326"/>
      <c r="EE4" s="326"/>
      <c r="EF4" s="326"/>
      <c r="EG4" s="326"/>
      <c r="EH4" s="326"/>
      <c r="EI4" s="326"/>
      <c r="EJ4" s="326"/>
      <c r="EK4" s="326"/>
      <c r="EL4" s="326"/>
      <c r="EM4" s="326"/>
      <c r="EN4" s="326"/>
      <c r="EO4" s="326">
        <v>45870</v>
      </c>
      <c r="EP4" s="326"/>
      <c r="EQ4" s="326"/>
      <c r="ER4" s="326"/>
      <c r="ES4" s="326"/>
      <c r="ET4" s="326"/>
      <c r="EU4" s="326"/>
      <c r="EV4" s="326"/>
      <c r="EW4" s="326"/>
      <c r="EX4" s="326"/>
      <c r="EY4" s="326"/>
      <c r="EZ4" s="326"/>
      <c r="FA4" s="326"/>
      <c r="FB4" s="326"/>
      <c r="FC4" s="326"/>
      <c r="FD4" s="326"/>
      <c r="FE4" s="326">
        <v>45870</v>
      </c>
      <c r="FF4" s="326"/>
      <c r="FG4" s="326"/>
      <c r="FH4" s="326"/>
      <c r="FI4" s="326"/>
      <c r="FJ4" s="326"/>
      <c r="FK4" s="326"/>
      <c r="FL4" s="326"/>
      <c r="FM4" s="326"/>
      <c r="FN4" s="326"/>
      <c r="FO4" s="326"/>
      <c r="FP4" s="326"/>
      <c r="FQ4" s="326"/>
      <c r="FR4" s="326"/>
      <c r="FS4" s="326"/>
      <c r="FT4" s="326"/>
      <c r="FU4" s="326">
        <v>45870</v>
      </c>
      <c r="FV4" s="326"/>
      <c r="FW4" s="326"/>
      <c r="FX4" s="326"/>
      <c r="FY4" s="326"/>
      <c r="FZ4" s="326"/>
      <c r="GA4" s="326"/>
      <c r="GB4" s="326"/>
      <c r="GC4" s="326"/>
      <c r="GD4" s="326"/>
      <c r="GE4" s="326"/>
      <c r="GF4" s="326"/>
      <c r="GG4" s="326"/>
      <c r="GH4" s="326"/>
      <c r="GI4" s="326"/>
      <c r="GJ4" s="326"/>
      <c r="GK4" s="326">
        <v>45870</v>
      </c>
      <c r="GL4" s="326"/>
      <c r="GM4" s="326"/>
      <c r="GN4" s="326"/>
      <c r="GO4" s="326"/>
      <c r="GP4" s="326"/>
      <c r="GQ4" s="326"/>
      <c r="GR4" s="326"/>
      <c r="GS4" s="326"/>
      <c r="GT4" s="326"/>
      <c r="GU4" s="326"/>
      <c r="GV4" s="326"/>
      <c r="GW4" s="326"/>
      <c r="GX4" s="326"/>
      <c r="GY4" s="326"/>
      <c r="GZ4" s="326"/>
      <c r="HA4" s="326">
        <v>45870</v>
      </c>
      <c r="HB4" s="326"/>
      <c r="HC4" s="326"/>
      <c r="HD4" s="326"/>
      <c r="HE4" s="326"/>
      <c r="HF4" s="326"/>
      <c r="HG4" s="326"/>
      <c r="HH4" s="326"/>
      <c r="HI4" s="326"/>
      <c r="HJ4" s="326"/>
      <c r="HK4" s="326"/>
      <c r="HL4" s="326"/>
      <c r="HM4" s="326"/>
      <c r="HN4" s="326"/>
      <c r="HO4" s="326"/>
      <c r="HP4" s="326"/>
      <c r="HQ4" s="326">
        <v>45870</v>
      </c>
      <c r="HR4" s="326"/>
      <c r="HS4" s="326"/>
      <c r="HT4" s="326"/>
      <c r="HU4" s="326"/>
      <c r="HV4" s="326"/>
      <c r="HW4" s="326"/>
      <c r="HX4" s="326"/>
      <c r="HY4" s="326"/>
      <c r="HZ4" s="326"/>
      <c r="IA4" s="326"/>
      <c r="IB4" s="326"/>
      <c r="IC4" s="326"/>
      <c r="ID4" s="326"/>
      <c r="IE4" s="326"/>
      <c r="IF4" s="326"/>
      <c r="IG4" s="326">
        <v>45870</v>
      </c>
      <c r="IH4" s="326"/>
      <c r="II4" s="326"/>
      <c r="IJ4" s="326"/>
      <c r="IK4" s="326"/>
      <c r="IL4" s="326"/>
      <c r="IM4" s="326"/>
      <c r="IN4" s="326"/>
      <c r="IO4" s="326"/>
      <c r="IP4" s="326"/>
      <c r="IQ4" s="326"/>
      <c r="IR4" s="326"/>
      <c r="IS4" s="326"/>
      <c r="IT4" s="326"/>
      <c r="IU4" s="326"/>
      <c r="IV4" s="326"/>
      <c r="IW4" s="326">
        <v>45870</v>
      </c>
      <c r="IX4" s="326"/>
      <c r="IY4" s="326"/>
      <c r="IZ4" s="326"/>
      <c r="JA4" s="326"/>
      <c r="JB4" s="326"/>
      <c r="JC4" s="326"/>
      <c r="JD4" s="326"/>
      <c r="JE4" s="326"/>
      <c r="JF4" s="326"/>
      <c r="JG4" s="326"/>
      <c r="JH4" s="326"/>
      <c r="JI4" s="326"/>
      <c r="JJ4" s="326"/>
      <c r="JK4" s="326"/>
      <c r="JL4" s="326"/>
      <c r="JM4" s="326">
        <v>45870</v>
      </c>
      <c r="JN4" s="326"/>
      <c r="JO4" s="326"/>
      <c r="JP4" s="326"/>
      <c r="JQ4" s="326"/>
      <c r="JR4" s="326"/>
      <c r="JS4" s="326"/>
      <c r="JT4" s="326"/>
      <c r="JU4" s="326"/>
      <c r="JV4" s="326"/>
      <c r="JW4" s="326"/>
      <c r="JX4" s="326"/>
      <c r="JY4" s="326"/>
      <c r="JZ4" s="326"/>
      <c r="KA4" s="326"/>
      <c r="KB4" s="326"/>
      <c r="KC4" s="326">
        <v>45870</v>
      </c>
      <c r="KD4" s="326"/>
      <c r="KE4" s="326"/>
      <c r="KF4" s="326"/>
      <c r="KG4" s="326"/>
      <c r="KH4" s="326"/>
      <c r="KI4" s="326"/>
      <c r="KJ4" s="326"/>
      <c r="KK4" s="326"/>
      <c r="KL4" s="326"/>
      <c r="KM4" s="326"/>
      <c r="KN4" s="326"/>
      <c r="KO4" s="326"/>
      <c r="KP4" s="326"/>
      <c r="KQ4" s="326"/>
      <c r="KR4" s="326"/>
      <c r="KS4" s="326">
        <v>45870</v>
      </c>
      <c r="KT4" s="326"/>
      <c r="KU4" s="326"/>
      <c r="KV4" s="326"/>
      <c r="KW4" s="326"/>
      <c r="KX4" s="326"/>
      <c r="KY4" s="326"/>
      <c r="KZ4" s="326"/>
      <c r="LA4" s="326"/>
      <c r="LB4" s="326"/>
      <c r="LC4" s="326"/>
      <c r="LD4" s="326"/>
      <c r="LE4" s="326"/>
      <c r="LF4" s="326"/>
      <c r="LG4" s="326"/>
      <c r="LH4" s="326"/>
      <c r="LI4" s="326">
        <v>45870</v>
      </c>
      <c r="LJ4" s="326"/>
      <c r="LK4" s="326"/>
      <c r="LL4" s="326"/>
      <c r="LM4" s="326"/>
      <c r="LN4" s="326"/>
      <c r="LO4" s="326"/>
      <c r="LP4" s="326"/>
      <c r="LQ4" s="326"/>
      <c r="LR4" s="326"/>
      <c r="LS4" s="326"/>
      <c r="LT4" s="326"/>
      <c r="LU4" s="326"/>
      <c r="LV4" s="326"/>
      <c r="LW4" s="326"/>
      <c r="LX4" s="326"/>
      <c r="LY4" s="326">
        <v>45870</v>
      </c>
      <c r="LZ4" s="326"/>
      <c r="MA4" s="326"/>
      <c r="MB4" s="326"/>
      <c r="MC4" s="326"/>
      <c r="MD4" s="326"/>
      <c r="ME4" s="326"/>
      <c r="MF4" s="326"/>
      <c r="MG4" s="326"/>
      <c r="MH4" s="326"/>
      <c r="MI4" s="326"/>
      <c r="MJ4" s="326"/>
      <c r="MK4" s="326"/>
      <c r="ML4" s="326"/>
      <c r="MM4" s="326"/>
      <c r="MN4" s="326"/>
      <c r="MO4" s="326">
        <v>45870</v>
      </c>
      <c r="MP4" s="326"/>
      <c r="MQ4" s="326"/>
      <c r="MR4" s="326"/>
      <c r="MS4" s="326"/>
      <c r="MT4" s="326"/>
      <c r="MU4" s="326"/>
      <c r="MV4" s="326"/>
      <c r="MW4" s="326"/>
      <c r="MX4" s="326"/>
      <c r="MY4" s="326"/>
      <c r="MZ4" s="326"/>
      <c r="NA4" s="326"/>
      <c r="NB4" s="326"/>
      <c r="NC4" s="326"/>
      <c r="ND4" s="326"/>
      <c r="NE4" s="326">
        <v>45870</v>
      </c>
      <c r="NF4" s="326"/>
      <c r="NG4" s="326"/>
      <c r="NH4" s="326"/>
      <c r="NI4" s="326"/>
      <c r="NJ4" s="326"/>
      <c r="NK4" s="326"/>
      <c r="NL4" s="326"/>
      <c r="NM4" s="326"/>
      <c r="NN4" s="326"/>
      <c r="NO4" s="326"/>
      <c r="NP4" s="326"/>
      <c r="NQ4" s="326"/>
      <c r="NR4" s="326"/>
      <c r="NS4" s="326"/>
      <c r="NT4" s="326"/>
      <c r="NU4" s="326">
        <v>45870</v>
      </c>
      <c r="NV4" s="326"/>
      <c r="NW4" s="326"/>
      <c r="NX4" s="326"/>
      <c r="NY4" s="326"/>
      <c r="NZ4" s="326"/>
      <c r="OA4" s="326"/>
      <c r="OB4" s="326"/>
      <c r="OC4" s="326"/>
      <c r="OD4" s="326"/>
      <c r="OE4" s="326"/>
      <c r="OF4" s="326"/>
      <c r="OG4" s="326"/>
      <c r="OH4" s="326"/>
      <c r="OI4" s="326"/>
      <c r="OJ4" s="326"/>
      <c r="OK4" s="326">
        <v>45870</v>
      </c>
      <c r="OL4" s="326"/>
      <c r="OM4" s="326"/>
      <c r="ON4" s="326"/>
      <c r="OO4" s="326"/>
      <c r="OP4" s="326"/>
      <c r="OQ4" s="326"/>
      <c r="OR4" s="326"/>
      <c r="OS4" s="326"/>
      <c r="OT4" s="326"/>
      <c r="OU4" s="326"/>
      <c r="OV4" s="326"/>
      <c r="OW4" s="326"/>
      <c r="OX4" s="326"/>
      <c r="OY4" s="326"/>
      <c r="OZ4" s="326"/>
      <c r="PA4" s="326">
        <v>45870</v>
      </c>
      <c r="PB4" s="326"/>
      <c r="PC4" s="326"/>
      <c r="PD4" s="326"/>
      <c r="PE4" s="326"/>
      <c r="PF4" s="326"/>
      <c r="PG4" s="326"/>
      <c r="PH4" s="326"/>
      <c r="PI4" s="326"/>
      <c r="PJ4" s="326"/>
      <c r="PK4" s="326"/>
      <c r="PL4" s="326"/>
      <c r="PM4" s="326"/>
      <c r="PN4" s="326"/>
      <c r="PO4" s="326"/>
      <c r="PP4" s="326"/>
      <c r="PQ4" s="326">
        <v>45870</v>
      </c>
      <c r="PR4" s="326"/>
      <c r="PS4" s="326"/>
      <c r="PT4" s="326"/>
      <c r="PU4" s="326"/>
      <c r="PV4" s="326"/>
      <c r="PW4" s="326"/>
      <c r="PX4" s="326"/>
      <c r="PY4" s="326"/>
      <c r="PZ4" s="326"/>
      <c r="QA4" s="326"/>
      <c r="QB4" s="326"/>
      <c r="QC4" s="326"/>
      <c r="QD4" s="326"/>
      <c r="QE4" s="326"/>
      <c r="QF4" s="326"/>
      <c r="QG4" s="326">
        <v>45870</v>
      </c>
      <c r="QH4" s="326"/>
      <c r="QI4" s="326"/>
      <c r="QJ4" s="326"/>
      <c r="QK4" s="326"/>
      <c r="QL4" s="326"/>
      <c r="QM4" s="326"/>
      <c r="QN4" s="326"/>
      <c r="QO4" s="326"/>
      <c r="QP4" s="326"/>
      <c r="QQ4" s="326"/>
      <c r="QR4" s="326"/>
      <c r="QS4" s="326"/>
      <c r="QT4" s="326"/>
      <c r="QU4" s="326"/>
      <c r="QV4" s="326"/>
      <c r="QW4" s="326">
        <v>45870</v>
      </c>
      <c r="QX4" s="326"/>
      <c r="QY4" s="326"/>
      <c r="QZ4" s="326"/>
      <c r="RA4" s="326"/>
      <c r="RB4" s="326"/>
      <c r="RC4" s="326"/>
      <c r="RD4" s="326"/>
      <c r="RE4" s="326"/>
      <c r="RF4" s="326"/>
      <c r="RG4" s="326"/>
      <c r="RH4" s="326"/>
      <c r="RI4" s="326"/>
      <c r="RJ4" s="326"/>
      <c r="RK4" s="326"/>
      <c r="RL4" s="326"/>
      <c r="RM4" s="326">
        <v>45870</v>
      </c>
      <c r="RN4" s="326"/>
      <c r="RO4" s="326"/>
      <c r="RP4" s="326"/>
      <c r="RQ4" s="326"/>
      <c r="RR4" s="326"/>
      <c r="RS4" s="326"/>
      <c r="RT4" s="326"/>
      <c r="RU4" s="326"/>
      <c r="RV4" s="326"/>
      <c r="RW4" s="326"/>
      <c r="RX4" s="326"/>
      <c r="RY4" s="326"/>
      <c r="RZ4" s="326"/>
      <c r="SA4" s="326"/>
      <c r="SB4" s="326"/>
      <c r="SC4" s="326">
        <v>45870</v>
      </c>
      <c r="SD4" s="326"/>
      <c r="SE4" s="326"/>
      <c r="SF4" s="326"/>
      <c r="SG4" s="326"/>
      <c r="SH4" s="326"/>
      <c r="SI4" s="326"/>
      <c r="SJ4" s="326"/>
      <c r="SK4" s="326"/>
      <c r="SL4" s="326"/>
      <c r="SM4" s="326"/>
      <c r="SN4" s="326"/>
      <c r="SO4" s="326"/>
      <c r="SP4" s="326"/>
      <c r="SQ4" s="326"/>
      <c r="SR4" s="326"/>
      <c r="SS4" s="326">
        <v>45870</v>
      </c>
      <c r="ST4" s="326"/>
      <c r="SU4" s="326"/>
      <c r="SV4" s="326"/>
      <c r="SW4" s="326"/>
      <c r="SX4" s="326"/>
      <c r="SY4" s="326"/>
      <c r="SZ4" s="326"/>
      <c r="TA4" s="326"/>
      <c r="TB4" s="326"/>
      <c r="TC4" s="326"/>
      <c r="TD4" s="326"/>
      <c r="TE4" s="326"/>
      <c r="TF4" s="326"/>
      <c r="TG4" s="326"/>
      <c r="TH4" s="326"/>
      <c r="TI4" s="326">
        <v>45870</v>
      </c>
      <c r="TJ4" s="326"/>
      <c r="TK4" s="326"/>
      <c r="TL4" s="326"/>
      <c r="TM4" s="326"/>
      <c r="TN4" s="326"/>
      <c r="TO4" s="326"/>
      <c r="TP4" s="326"/>
      <c r="TQ4" s="326"/>
      <c r="TR4" s="326"/>
      <c r="TS4" s="326"/>
      <c r="TT4" s="326"/>
      <c r="TU4" s="326"/>
      <c r="TV4" s="326"/>
      <c r="TW4" s="326"/>
      <c r="TX4" s="326"/>
      <c r="TY4" s="326">
        <v>45870</v>
      </c>
      <c r="TZ4" s="326"/>
      <c r="UA4" s="326"/>
      <c r="UB4" s="326"/>
      <c r="UC4" s="326"/>
      <c r="UD4" s="326"/>
      <c r="UE4" s="326"/>
      <c r="UF4" s="326"/>
      <c r="UG4" s="326"/>
      <c r="UH4" s="326"/>
      <c r="UI4" s="326"/>
      <c r="UJ4" s="326"/>
      <c r="UK4" s="326"/>
      <c r="UL4" s="326"/>
      <c r="UM4" s="326"/>
      <c r="UN4" s="326"/>
      <c r="UO4" s="326">
        <v>45870</v>
      </c>
      <c r="UP4" s="326"/>
      <c r="UQ4" s="326"/>
      <c r="UR4" s="326"/>
      <c r="US4" s="326"/>
      <c r="UT4" s="326"/>
      <c r="UU4" s="326"/>
      <c r="UV4" s="326"/>
      <c r="UW4" s="326"/>
      <c r="UX4" s="326"/>
      <c r="UY4" s="326"/>
      <c r="UZ4" s="326"/>
      <c r="VA4" s="326"/>
      <c r="VB4" s="326"/>
      <c r="VC4" s="326"/>
      <c r="VD4" s="326"/>
      <c r="VE4" s="326">
        <v>45870</v>
      </c>
      <c r="VF4" s="326"/>
      <c r="VG4" s="326"/>
      <c r="VH4" s="326"/>
      <c r="VI4" s="326"/>
      <c r="VJ4" s="326"/>
      <c r="VK4" s="326"/>
      <c r="VL4" s="326"/>
      <c r="VM4" s="326"/>
      <c r="VN4" s="326"/>
      <c r="VO4" s="326"/>
      <c r="VP4" s="326"/>
      <c r="VQ4" s="326"/>
      <c r="VR4" s="326"/>
      <c r="VS4" s="326"/>
      <c r="VT4" s="326"/>
      <c r="VU4" s="326">
        <v>45870</v>
      </c>
      <c r="VV4" s="326"/>
      <c r="VW4" s="326"/>
      <c r="VX4" s="326"/>
      <c r="VY4" s="326"/>
      <c r="VZ4" s="326"/>
      <c r="WA4" s="326"/>
      <c r="WB4" s="326"/>
      <c r="WC4" s="326"/>
      <c r="WD4" s="326"/>
      <c r="WE4" s="326"/>
      <c r="WF4" s="326"/>
      <c r="WG4" s="326"/>
      <c r="WH4" s="326"/>
      <c r="WI4" s="326"/>
      <c r="WJ4" s="326"/>
      <c r="WK4" s="326">
        <v>45870</v>
      </c>
      <c r="WL4" s="326"/>
      <c r="WM4" s="326"/>
      <c r="WN4" s="326"/>
      <c r="WO4" s="326"/>
      <c r="WP4" s="326"/>
      <c r="WQ4" s="326"/>
      <c r="WR4" s="326"/>
      <c r="WS4" s="326"/>
      <c r="WT4" s="326"/>
      <c r="WU4" s="326"/>
      <c r="WV4" s="326"/>
      <c r="WW4" s="326"/>
      <c r="WX4" s="326"/>
      <c r="WY4" s="326"/>
      <c r="WZ4" s="326"/>
      <c r="XA4" s="326">
        <v>45870</v>
      </c>
      <c r="XB4" s="326"/>
      <c r="XC4" s="326"/>
      <c r="XD4" s="326"/>
      <c r="XE4" s="326"/>
      <c r="XF4" s="326"/>
      <c r="XG4" s="326"/>
      <c r="XH4" s="326"/>
      <c r="XI4" s="326"/>
      <c r="XJ4" s="326"/>
      <c r="XK4" s="326"/>
      <c r="XL4" s="326"/>
      <c r="XM4" s="326"/>
      <c r="XN4" s="326"/>
      <c r="XO4" s="326"/>
      <c r="XP4" s="326"/>
      <c r="XQ4" s="326">
        <v>45870</v>
      </c>
      <c r="XR4" s="326"/>
      <c r="XS4" s="326"/>
      <c r="XT4" s="326"/>
      <c r="XU4" s="326"/>
      <c r="XV4" s="326"/>
      <c r="XW4" s="326"/>
      <c r="XX4" s="326"/>
      <c r="XY4" s="326"/>
      <c r="XZ4" s="326"/>
      <c r="YA4" s="326"/>
      <c r="YB4" s="326"/>
      <c r="YC4" s="326"/>
      <c r="YD4" s="326"/>
      <c r="YE4" s="326"/>
      <c r="YF4" s="326"/>
      <c r="YG4" s="326">
        <v>45870</v>
      </c>
      <c r="YH4" s="326"/>
      <c r="YI4" s="326"/>
      <c r="YJ4" s="326"/>
      <c r="YK4" s="326"/>
      <c r="YL4" s="326"/>
      <c r="YM4" s="326"/>
      <c r="YN4" s="326"/>
      <c r="YO4" s="326"/>
      <c r="YP4" s="326"/>
      <c r="YQ4" s="326"/>
      <c r="YR4" s="326"/>
      <c r="YS4" s="326"/>
      <c r="YT4" s="326"/>
      <c r="YU4" s="326"/>
      <c r="YV4" s="326"/>
      <c r="YW4" s="326">
        <v>45870</v>
      </c>
      <c r="YX4" s="326"/>
      <c r="YY4" s="326"/>
      <c r="YZ4" s="326"/>
      <c r="ZA4" s="326"/>
      <c r="ZB4" s="326"/>
      <c r="ZC4" s="326"/>
      <c r="ZD4" s="326"/>
      <c r="ZE4" s="326"/>
      <c r="ZF4" s="326"/>
      <c r="ZG4" s="326"/>
      <c r="ZH4" s="326"/>
      <c r="ZI4" s="326"/>
      <c r="ZJ4" s="326"/>
      <c r="ZK4" s="326"/>
      <c r="ZL4" s="326"/>
      <c r="ZM4" s="326">
        <v>45870</v>
      </c>
      <c r="ZN4" s="326"/>
      <c r="ZO4" s="326"/>
      <c r="ZP4" s="326"/>
      <c r="ZQ4" s="326"/>
      <c r="ZR4" s="326"/>
      <c r="ZS4" s="326"/>
      <c r="ZT4" s="326"/>
      <c r="ZU4" s="326"/>
      <c r="ZV4" s="326"/>
      <c r="ZW4" s="326"/>
      <c r="ZX4" s="326"/>
      <c r="ZY4" s="326"/>
      <c r="ZZ4" s="326"/>
      <c r="AAA4" s="326"/>
      <c r="AAB4" s="326"/>
      <c r="AAC4" s="326">
        <v>45870</v>
      </c>
      <c r="AAD4" s="326"/>
      <c r="AAE4" s="326"/>
      <c r="AAF4" s="326"/>
      <c r="AAG4" s="326"/>
      <c r="AAH4" s="326"/>
      <c r="AAI4" s="326"/>
      <c r="AAJ4" s="326"/>
      <c r="AAK4" s="326"/>
      <c r="AAL4" s="326"/>
      <c r="AAM4" s="326"/>
      <c r="AAN4" s="326"/>
      <c r="AAO4" s="326"/>
      <c r="AAP4" s="326"/>
      <c r="AAQ4" s="326"/>
      <c r="AAR4" s="326"/>
      <c r="AAS4" s="326">
        <v>45870</v>
      </c>
      <c r="AAT4" s="326"/>
      <c r="AAU4" s="326"/>
      <c r="AAV4" s="326"/>
      <c r="AAW4" s="326"/>
      <c r="AAX4" s="326"/>
      <c r="AAY4" s="326"/>
      <c r="AAZ4" s="326"/>
      <c r="ABA4" s="326"/>
      <c r="ABB4" s="326"/>
      <c r="ABC4" s="326"/>
      <c r="ABD4" s="326"/>
      <c r="ABE4" s="326"/>
      <c r="ABF4" s="326"/>
      <c r="ABG4" s="326"/>
      <c r="ABH4" s="326"/>
      <c r="ABI4" s="326">
        <v>45870</v>
      </c>
      <c r="ABJ4" s="326"/>
      <c r="ABK4" s="326"/>
      <c r="ABL4" s="326"/>
      <c r="ABM4" s="326"/>
      <c r="ABN4" s="326"/>
      <c r="ABO4" s="326"/>
      <c r="ABP4" s="326"/>
      <c r="ABQ4" s="326"/>
      <c r="ABR4" s="326"/>
      <c r="ABS4" s="326"/>
      <c r="ABT4" s="326"/>
      <c r="ABU4" s="326"/>
      <c r="ABV4" s="326"/>
      <c r="ABW4" s="326"/>
      <c r="ABX4" s="326"/>
      <c r="ABY4" s="326">
        <v>45870</v>
      </c>
      <c r="ABZ4" s="326"/>
      <c r="ACA4" s="326"/>
      <c r="ACB4" s="326"/>
      <c r="ACC4" s="326"/>
      <c r="ACD4" s="326"/>
      <c r="ACE4" s="326"/>
      <c r="ACF4" s="326"/>
      <c r="ACG4" s="326"/>
      <c r="ACH4" s="326"/>
      <c r="ACI4" s="326"/>
      <c r="ACJ4" s="326"/>
      <c r="ACK4" s="326"/>
      <c r="ACL4" s="326"/>
      <c r="ACM4" s="326"/>
      <c r="ACN4" s="326"/>
      <c r="ACO4" s="326">
        <v>45870</v>
      </c>
      <c r="ACP4" s="326"/>
      <c r="ACQ4" s="326"/>
      <c r="ACR4" s="326"/>
      <c r="ACS4" s="326"/>
      <c r="ACT4" s="326"/>
      <c r="ACU4" s="326"/>
      <c r="ACV4" s="326"/>
      <c r="ACW4" s="326"/>
      <c r="ACX4" s="326"/>
      <c r="ACY4" s="326"/>
      <c r="ACZ4" s="326"/>
      <c r="ADA4" s="326"/>
      <c r="ADB4" s="326"/>
      <c r="ADC4" s="326"/>
      <c r="ADD4" s="326"/>
      <c r="ADE4" s="326">
        <v>45870</v>
      </c>
      <c r="ADF4" s="326"/>
      <c r="ADG4" s="326"/>
      <c r="ADH4" s="326"/>
      <c r="ADI4" s="326"/>
      <c r="ADJ4" s="326"/>
      <c r="ADK4" s="326"/>
      <c r="ADL4" s="326"/>
      <c r="ADM4" s="326"/>
      <c r="ADN4" s="326"/>
      <c r="ADO4" s="326"/>
      <c r="ADP4" s="326"/>
      <c r="ADQ4" s="326"/>
      <c r="ADR4" s="326"/>
      <c r="ADS4" s="326"/>
      <c r="ADT4" s="326"/>
      <c r="ADU4" s="326">
        <v>45870</v>
      </c>
      <c r="ADV4" s="326"/>
      <c r="ADW4" s="326"/>
      <c r="ADX4" s="326"/>
      <c r="ADY4" s="326"/>
      <c r="ADZ4" s="326"/>
      <c r="AEA4" s="326"/>
      <c r="AEB4" s="326"/>
      <c r="AEC4" s="326"/>
      <c r="AED4" s="326"/>
      <c r="AEE4" s="326"/>
      <c r="AEF4" s="326"/>
      <c r="AEG4" s="326"/>
      <c r="AEH4" s="326"/>
      <c r="AEI4" s="326"/>
      <c r="AEJ4" s="326"/>
      <c r="AEK4" s="326">
        <v>45870</v>
      </c>
      <c r="AEL4" s="326"/>
      <c r="AEM4" s="326"/>
      <c r="AEN4" s="326"/>
      <c r="AEO4" s="326"/>
      <c r="AEP4" s="326"/>
      <c r="AEQ4" s="326"/>
      <c r="AER4" s="326"/>
      <c r="AES4" s="326"/>
      <c r="AET4" s="326"/>
      <c r="AEU4" s="326"/>
      <c r="AEV4" s="326"/>
      <c r="AEW4" s="326"/>
      <c r="AEX4" s="326"/>
      <c r="AEY4" s="326"/>
      <c r="AEZ4" s="326"/>
      <c r="AFA4" s="326">
        <v>45870</v>
      </c>
      <c r="AFB4" s="326"/>
      <c r="AFC4" s="326"/>
      <c r="AFD4" s="326"/>
      <c r="AFE4" s="326"/>
      <c r="AFF4" s="326"/>
      <c r="AFG4" s="326"/>
      <c r="AFH4" s="326"/>
      <c r="AFI4" s="326"/>
      <c r="AFJ4" s="326"/>
      <c r="AFK4" s="326"/>
      <c r="AFL4" s="326"/>
      <c r="AFM4" s="326"/>
      <c r="AFN4" s="326"/>
      <c r="AFO4" s="326"/>
      <c r="AFP4" s="326"/>
      <c r="AFQ4" s="326">
        <v>45870</v>
      </c>
      <c r="AFR4" s="326"/>
      <c r="AFS4" s="326"/>
      <c r="AFT4" s="326"/>
      <c r="AFU4" s="326"/>
      <c r="AFV4" s="326"/>
      <c r="AFW4" s="326"/>
      <c r="AFX4" s="326"/>
      <c r="AFY4" s="326"/>
      <c r="AFZ4" s="326"/>
      <c r="AGA4" s="326"/>
      <c r="AGB4" s="326"/>
      <c r="AGC4" s="326"/>
      <c r="AGD4" s="326"/>
      <c r="AGE4" s="326"/>
      <c r="AGF4" s="326"/>
      <c r="AGG4" s="326">
        <v>45870</v>
      </c>
      <c r="AGH4" s="326"/>
      <c r="AGI4" s="326"/>
      <c r="AGJ4" s="326"/>
      <c r="AGK4" s="326"/>
      <c r="AGL4" s="326"/>
      <c r="AGM4" s="326"/>
      <c r="AGN4" s="326"/>
      <c r="AGO4" s="326"/>
      <c r="AGP4" s="326"/>
      <c r="AGQ4" s="326"/>
      <c r="AGR4" s="326"/>
      <c r="AGS4" s="326"/>
      <c r="AGT4" s="326"/>
      <c r="AGU4" s="326"/>
      <c r="AGV4" s="326"/>
      <c r="AGW4" s="326">
        <v>45870</v>
      </c>
      <c r="AGX4" s="326"/>
      <c r="AGY4" s="326"/>
      <c r="AGZ4" s="326"/>
      <c r="AHA4" s="326"/>
      <c r="AHB4" s="326"/>
      <c r="AHC4" s="326"/>
      <c r="AHD4" s="326"/>
      <c r="AHE4" s="326"/>
      <c r="AHF4" s="326"/>
      <c r="AHG4" s="326"/>
      <c r="AHH4" s="326"/>
      <c r="AHI4" s="326"/>
      <c r="AHJ4" s="326"/>
      <c r="AHK4" s="326"/>
      <c r="AHL4" s="326"/>
      <c r="AHM4" s="326">
        <v>45870</v>
      </c>
      <c r="AHN4" s="326"/>
      <c r="AHO4" s="326"/>
      <c r="AHP4" s="326"/>
      <c r="AHQ4" s="326"/>
      <c r="AHR4" s="326"/>
      <c r="AHS4" s="326"/>
      <c r="AHT4" s="326"/>
      <c r="AHU4" s="326"/>
      <c r="AHV4" s="326"/>
      <c r="AHW4" s="326"/>
      <c r="AHX4" s="326"/>
      <c r="AHY4" s="326"/>
      <c r="AHZ4" s="326"/>
      <c r="AIA4" s="326"/>
      <c r="AIB4" s="326"/>
      <c r="AIC4" s="326">
        <v>45870</v>
      </c>
      <c r="AID4" s="326"/>
      <c r="AIE4" s="326"/>
      <c r="AIF4" s="326"/>
      <c r="AIG4" s="326"/>
      <c r="AIH4" s="326"/>
      <c r="AII4" s="326"/>
      <c r="AIJ4" s="326"/>
      <c r="AIK4" s="326"/>
      <c r="AIL4" s="326"/>
      <c r="AIM4" s="326"/>
      <c r="AIN4" s="326"/>
      <c r="AIO4" s="326"/>
      <c r="AIP4" s="326"/>
      <c r="AIQ4" s="326"/>
      <c r="AIR4" s="326"/>
      <c r="AIS4" s="326">
        <v>45870</v>
      </c>
      <c r="AIT4" s="326"/>
      <c r="AIU4" s="326"/>
      <c r="AIV4" s="326"/>
      <c r="AIW4" s="326"/>
      <c r="AIX4" s="326"/>
      <c r="AIY4" s="326"/>
      <c r="AIZ4" s="326"/>
      <c r="AJA4" s="326"/>
      <c r="AJB4" s="326"/>
      <c r="AJC4" s="326"/>
      <c r="AJD4" s="326"/>
      <c r="AJE4" s="326"/>
      <c r="AJF4" s="326"/>
      <c r="AJG4" s="326"/>
      <c r="AJH4" s="326"/>
      <c r="AJI4" s="326">
        <v>45870</v>
      </c>
      <c r="AJJ4" s="326"/>
      <c r="AJK4" s="326"/>
      <c r="AJL4" s="326"/>
      <c r="AJM4" s="326"/>
      <c r="AJN4" s="326"/>
      <c r="AJO4" s="326"/>
      <c r="AJP4" s="326"/>
      <c r="AJQ4" s="326"/>
      <c r="AJR4" s="326"/>
      <c r="AJS4" s="326"/>
      <c r="AJT4" s="326"/>
      <c r="AJU4" s="326"/>
      <c r="AJV4" s="326"/>
      <c r="AJW4" s="326"/>
      <c r="AJX4" s="326"/>
      <c r="AJY4" s="326">
        <v>45870</v>
      </c>
      <c r="AJZ4" s="326"/>
      <c r="AKA4" s="326"/>
      <c r="AKB4" s="326"/>
      <c r="AKC4" s="326"/>
      <c r="AKD4" s="326"/>
      <c r="AKE4" s="326"/>
      <c r="AKF4" s="326"/>
      <c r="AKG4" s="326"/>
      <c r="AKH4" s="326"/>
      <c r="AKI4" s="326"/>
      <c r="AKJ4" s="326"/>
      <c r="AKK4" s="326"/>
      <c r="AKL4" s="326"/>
      <c r="AKM4" s="326"/>
      <c r="AKN4" s="326"/>
      <c r="AKO4" s="326">
        <v>45870</v>
      </c>
      <c r="AKP4" s="326"/>
      <c r="AKQ4" s="326"/>
      <c r="AKR4" s="326"/>
      <c r="AKS4" s="326"/>
      <c r="AKT4" s="326"/>
      <c r="AKU4" s="326"/>
      <c r="AKV4" s="326"/>
      <c r="AKW4" s="326"/>
      <c r="AKX4" s="326"/>
      <c r="AKY4" s="326"/>
      <c r="AKZ4" s="326"/>
      <c r="ALA4" s="326"/>
      <c r="ALB4" s="326"/>
      <c r="ALC4" s="326"/>
      <c r="ALD4" s="326"/>
      <c r="ALE4" s="326">
        <v>45870</v>
      </c>
      <c r="ALF4" s="326"/>
      <c r="ALG4" s="326"/>
      <c r="ALH4" s="326"/>
      <c r="ALI4" s="326"/>
      <c r="ALJ4" s="326"/>
      <c r="ALK4" s="326"/>
      <c r="ALL4" s="326"/>
      <c r="ALM4" s="326"/>
      <c r="ALN4" s="326"/>
      <c r="ALO4" s="326"/>
      <c r="ALP4" s="326"/>
      <c r="ALQ4" s="326"/>
      <c r="ALR4" s="326"/>
      <c r="ALS4" s="326"/>
      <c r="ALT4" s="326"/>
      <c r="ALU4" s="326">
        <v>45870</v>
      </c>
      <c r="ALV4" s="326"/>
      <c r="ALW4" s="326"/>
      <c r="ALX4" s="326"/>
      <c r="ALY4" s="326"/>
      <c r="ALZ4" s="326"/>
      <c r="AMA4" s="326"/>
      <c r="AMB4" s="326"/>
      <c r="AMC4" s="326"/>
      <c r="AMD4" s="326"/>
      <c r="AME4" s="326"/>
      <c r="AMF4" s="326"/>
      <c r="AMG4" s="326"/>
      <c r="AMH4" s="326"/>
      <c r="AMI4" s="326"/>
      <c r="AMJ4" s="326"/>
      <c r="AMK4" s="326">
        <v>45870</v>
      </c>
      <c r="AML4" s="326"/>
      <c r="AMM4" s="326"/>
      <c r="AMN4" s="326"/>
      <c r="AMO4" s="326"/>
      <c r="AMP4" s="326"/>
      <c r="AMQ4" s="326"/>
      <c r="AMR4" s="326"/>
      <c r="AMS4" s="326"/>
      <c r="AMT4" s="326"/>
      <c r="AMU4" s="326"/>
      <c r="AMV4" s="326"/>
      <c r="AMW4" s="326"/>
      <c r="AMX4" s="326"/>
      <c r="AMY4" s="326"/>
      <c r="AMZ4" s="326"/>
      <c r="ANA4" s="326">
        <v>45870</v>
      </c>
      <c r="ANB4" s="326"/>
      <c r="ANC4" s="326"/>
      <c r="AND4" s="326"/>
      <c r="ANE4" s="326"/>
      <c r="ANF4" s="326"/>
      <c r="ANG4" s="326"/>
      <c r="ANH4" s="326"/>
      <c r="ANI4" s="326"/>
      <c r="ANJ4" s="326"/>
      <c r="ANK4" s="326"/>
      <c r="ANL4" s="326"/>
      <c r="ANM4" s="326"/>
      <c r="ANN4" s="326"/>
      <c r="ANO4" s="326"/>
      <c r="ANP4" s="326"/>
      <c r="ANQ4" s="326">
        <v>45870</v>
      </c>
      <c r="ANR4" s="326"/>
      <c r="ANS4" s="326"/>
      <c r="ANT4" s="326"/>
      <c r="ANU4" s="326"/>
      <c r="ANV4" s="326"/>
      <c r="ANW4" s="326"/>
      <c r="ANX4" s="326"/>
      <c r="ANY4" s="326"/>
      <c r="ANZ4" s="326"/>
      <c r="AOA4" s="326"/>
      <c r="AOB4" s="326"/>
      <c r="AOC4" s="326"/>
      <c r="AOD4" s="326"/>
      <c r="AOE4" s="326"/>
      <c r="AOF4" s="326"/>
      <c r="AOG4" s="326">
        <v>45870</v>
      </c>
      <c r="AOH4" s="326"/>
      <c r="AOI4" s="326"/>
      <c r="AOJ4" s="326"/>
      <c r="AOK4" s="326"/>
      <c r="AOL4" s="326"/>
      <c r="AOM4" s="326"/>
      <c r="AON4" s="326"/>
      <c r="AOO4" s="326"/>
      <c r="AOP4" s="326"/>
      <c r="AOQ4" s="326"/>
      <c r="AOR4" s="326"/>
      <c r="AOS4" s="326"/>
      <c r="AOT4" s="326"/>
      <c r="AOU4" s="326"/>
      <c r="AOV4" s="326"/>
      <c r="AOW4" s="326">
        <v>45870</v>
      </c>
      <c r="AOX4" s="326"/>
      <c r="AOY4" s="326"/>
      <c r="AOZ4" s="326"/>
      <c r="APA4" s="326"/>
      <c r="APB4" s="326"/>
      <c r="APC4" s="326"/>
      <c r="APD4" s="326"/>
      <c r="APE4" s="326"/>
      <c r="APF4" s="326"/>
      <c r="APG4" s="326"/>
      <c r="APH4" s="326"/>
      <c r="API4" s="326"/>
      <c r="APJ4" s="326"/>
      <c r="APK4" s="326"/>
      <c r="APL4" s="326"/>
      <c r="APM4" s="326">
        <v>45870</v>
      </c>
      <c r="APN4" s="326"/>
      <c r="APO4" s="326"/>
      <c r="APP4" s="326"/>
      <c r="APQ4" s="326"/>
      <c r="APR4" s="326"/>
      <c r="APS4" s="326"/>
      <c r="APT4" s="326"/>
      <c r="APU4" s="326"/>
      <c r="APV4" s="326"/>
      <c r="APW4" s="326"/>
      <c r="APX4" s="326"/>
      <c r="APY4" s="326"/>
      <c r="APZ4" s="326"/>
      <c r="AQA4" s="326"/>
      <c r="AQB4" s="326"/>
      <c r="AQC4" s="326">
        <v>45870</v>
      </c>
      <c r="AQD4" s="326"/>
      <c r="AQE4" s="326"/>
      <c r="AQF4" s="326"/>
      <c r="AQG4" s="326"/>
      <c r="AQH4" s="326"/>
      <c r="AQI4" s="326"/>
      <c r="AQJ4" s="326"/>
      <c r="AQK4" s="326"/>
      <c r="AQL4" s="326"/>
      <c r="AQM4" s="326"/>
      <c r="AQN4" s="326"/>
      <c r="AQO4" s="326"/>
      <c r="AQP4" s="326"/>
      <c r="AQQ4" s="326"/>
      <c r="AQR4" s="326"/>
      <c r="AQS4" s="326">
        <v>45870</v>
      </c>
      <c r="AQT4" s="326"/>
      <c r="AQU4" s="326"/>
      <c r="AQV4" s="326"/>
      <c r="AQW4" s="326"/>
      <c r="AQX4" s="326"/>
      <c r="AQY4" s="326"/>
      <c r="AQZ4" s="326"/>
      <c r="ARA4" s="326"/>
      <c r="ARB4" s="326"/>
      <c r="ARC4" s="326"/>
      <c r="ARD4" s="326"/>
      <c r="ARE4" s="326"/>
      <c r="ARF4" s="326"/>
      <c r="ARG4" s="326"/>
      <c r="ARH4" s="326"/>
      <c r="ARI4" s="326">
        <v>45870</v>
      </c>
      <c r="ARJ4" s="326"/>
      <c r="ARK4" s="326"/>
      <c r="ARL4" s="326"/>
      <c r="ARM4" s="326"/>
      <c r="ARN4" s="326"/>
      <c r="ARO4" s="326"/>
      <c r="ARP4" s="326"/>
      <c r="ARQ4" s="326"/>
      <c r="ARR4" s="326"/>
      <c r="ARS4" s="326"/>
      <c r="ART4" s="326"/>
      <c r="ARU4" s="326"/>
      <c r="ARV4" s="326"/>
      <c r="ARW4" s="326"/>
      <c r="ARX4" s="326"/>
      <c r="ARY4" s="326">
        <v>45870</v>
      </c>
      <c r="ARZ4" s="326"/>
      <c r="ASA4" s="326"/>
      <c r="ASB4" s="326"/>
      <c r="ASC4" s="326"/>
      <c r="ASD4" s="326"/>
      <c r="ASE4" s="326"/>
      <c r="ASF4" s="326"/>
      <c r="ASG4" s="326"/>
      <c r="ASH4" s="326"/>
      <c r="ASI4" s="326"/>
      <c r="ASJ4" s="326"/>
      <c r="ASK4" s="326"/>
      <c r="ASL4" s="326"/>
      <c r="ASM4" s="326"/>
      <c r="ASN4" s="326"/>
      <c r="ASO4" s="326">
        <v>45870</v>
      </c>
      <c r="ASP4" s="326"/>
      <c r="ASQ4" s="326"/>
      <c r="ASR4" s="326"/>
      <c r="ASS4" s="326"/>
      <c r="AST4" s="326"/>
      <c r="ASU4" s="326"/>
      <c r="ASV4" s="326"/>
      <c r="ASW4" s="326"/>
      <c r="ASX4" s="326"/>
      <c r="ASY4" s="326"/>
      <c r="ASZ4" s="326"/>
      <c r="ATA4" s="326"/>
      <c r="ATB4" s="326"/>
      <c r="ATC4" s="326"/>
      <c r="ATD4" s="326"/>
      <c r="ATE4" s="326">
        <v>45870</v>
      </c>
      <c r="ATF4" s="326"/>
      <c r="ATG4" s="326"/>
      <c r="ATH4" s="326"/>
      <c r="ATI4" s="326"/>
      <c r="ATJ4" s="326"/>
      <c r="ATK4" s="326"/>
      <c r="ATL4" s="326"/>
      <c r="ATM4" s="326"/>
      <c r="ATN4" s="326"/>
      <c r="ATO4" s="326"/>
      <c r="ATP4" s="326"/>
      <c r="ATQ4" s="326"/>
      <c r="ATR4" s="326"/>
      <c r="ATS4" s="326"/>
      <c r="ATT4" s="326"/>
      <c r="ATU4" s="326">
        <v>45870</v>
      </c>
      <c r="ATV4" s="326"/>
      <c r="ATW4" s="326"/>
      <c r="ATX4" s="326"/>
      <c r="ATY4" s="326"/>
      <c r="ATZ4" s="326"/>
      <c r="AUA4" s="326"/>
      <c r="AUB4" s="326"/>
      <c r="AUC4" s="326"/>
      <c r="AUD4" s="326"/>
      <c r="AUE4" s="326"/>
      <c r="AUF4" s="326"/>
      <c r="AUG4" s="326"/>
      <c r="AUH4" s="326"/>
      <c r="AUI4" s="326"/>
      <c r="AUJ4" s="326"/>
      <c r="AUK4" s="326">
        <v>45870</v>
      </c>
      <c r="AUL4" s="326"/>
      <c r="AUM4" s="326"/>
      <c r="AUN4" s="326"/>
      <c r="AUO4" s="326"/>
      <c r="AUP4" s="326"/>
      <c r="AUQ4" s="326"/>
      <c r="AUR4" s="326"/>
      <c r="AUS4" s="326"/>
      <c r="AUT4" s="326"/>
      <c r="AUU4" s="326"/>
      <c r="AUV4" s="326"/>
      <c r="AUW4" s="326"/>
      <c r="AUX4" s="326"/>
      <c r="AUY4" s="326"/>
      <c r="AUZ4" s="326"/>
      <c r="AVA4" s="326">
        <v>45870</v>
      </c>
      <c r="AVB4" s="326"/>
      <c r="AVC4" s="326"/>
      <c r="AVD4" s="326"/>
      <c r="AVE4" s="326"/>
      <c r="AVF4" s="326"/>
      <c r="AVG4" s="326"/>
      <c r="AVH4" s="326"/>
      <c r="AVI4" s="326"/>
      <c r="AVJ4" s="326"/>
      <c r="AVK4" s="326"/>
      <c r="AVL4" s="326"/>
      <c r="AVM4" s="326"/>
      <c r="AVN4" s="326"/>
      <c r="AVO4" s="326"/>
      <c r="AVP4" s="326"/>
      <c r="AVQ4" s="326">
        <v>45870</v>
      </c>
      <c r="AVR4" s="326"/>
      <c r="AVS4" s="326"/>
      <c r="AVT4" s="326"/>
      <c r="AVU4" s="326"/>
      <c r="AVV4" s="326"/>
      <c r="AVW4" s="326"/>
      <c r="AVX4" s="326"/>
      <c r="AVY4" s="326"/>
      <c r="AVZ4" s="326"/>
      <c r="AWA4" s="326"/>
      <c r="AWB4" s="326"/>
      <c r="AWC4" s="326"/>
      <c r="AWD4" s="326"/>
      <c r="AWE4" s="326"/>
      <c r="AWF4" s="326"/>
      <c r="AWG4" s="326">
        <v>45870</v>
      </c>
      <c r="AWH4" s="326"/>
      <c r="AWI4" s="326"/>
      <c r="AWJ4" s="326"/>
      <c r="AWK4" s="326"/>
      <c r="AWL4" s="326"/>
      <c r="AWM4" s="326"/>
      <c r="AWN4" s="326"/>
      <c r="AWO4" s="326"/>
      <c r="AWP4" s="326"/>
      <c r="AWQ4" s="326"/>
      <c r="AWR4" s="326"/>
      <c r="AWS4" s="326"/>
      <c r="AWT4" s="326"/>
      <c r="AWU4" s="326"/>
      <c r="AWV4" s="326"/>
      <c r="AWW4" s="326">
        <v>45870</v>
      </c>
      <c r="AWX4" s="326"/>
      <c r="AWY4" s="326"/>
      <c r="AWZ4" s="326"/>
      <c r="AXA4" s="326"/>
      <c r="AXB4" s="326"/>
      <c r="AXC4" s="326"/>
      <c r="AXD4" s="326"/>
      <c r="AXE4" s="326"/>
      <c r="AXF4" s="326"/>
      <c r="AXG4" s="326"/>
      <c r="AXH4" s="326"/>
      <c r="AXI4" s="326"/>
      <c r="AXJ4" s="326"/>
      <c r="AXK4" s="326"/>
      <c r="AXL4" s="326"/>
      <c r="AXM4" s="326">
        <v>45870</v>
      </c>
      <c r="AXN4" s="326"/>
      <c r="AXO4" s="326"/>
      <c r="AXP4" s="326"/>
      <c r="AXQ4" s="326"/>
      <c r="AXR4" s="326"/>
      <c r="AXS4" s="326"/>
      <c r="AXT4" s="326"/>
      <c r="AXU4" s="326"/>
      <c r="AXV4" s="326"/>
      <c r="AXW4" s="326"/>
      <c r="AXX4" s="326"/>
      <c r="AXY4" s="326"/>
      <c r="AXZ4" s="326"/>
      <c r="AYA4" s="326"/>
      <c r="AYB4" s="326"/>
      <c r="AYC4" s="326">
        <v>45870</v>
      </c>
      <c r="AYD4" s="326"/>
      <c r="AYE4" s="326"/>
      <c r="AYF4" s="326"/>
      <c r="AYG4" s="326"/>
      <c r="AYH4" s="326"/>
      <c r="AYI4" s="326"/>
      <c r="AYJ4" s="326"/>
      <c r="AYK4" s="326"/>
      <c r="AYL4" s="326"/>
      <c r="AYM4" s="326"/>
      <c r="AYN4" s="326"/>
      <c r="AYO4" s="326"/>
      <c r="AYP4" s="326"/>
      <c r="AYQ4" s="326"/>
      <c r="AYR4" s="326"/>
      <c r="AYS4" s="326">
        <v>45870</v>
      </c>
      <c r="AYT4" s="326"/>
      <c r="AYU4" s="326"/>
      <c r="AYV4" s="326"/>
      <c r="AYW4" s="326"/>
      <c r="AYX4" s="326"/>
      <c r="AYY4" s="326"/>
      <c r="AYZ4" s="326"/>
      <c r="AZA4" s="326"/>
      <c r="AZB4" s="326"/>
      <c r="AZC4" s="326"/>
      <c r="AZD4" s="326"/>
      <c r="AZE4" s="326"/>
      <c r="AZF4" s="326"/>
      <c r="AZG4" s="326"/>
      <c r="AZH4" s="326"/>
      <c r="AZI4" s="326">
        <v>45870</v>
      </c>
      <c r="AZJ4" s="326"/>
      <c r="AZK4" s="326"/>
      <c r="AZL4" s="326"/>
      <c r="AZM4" s="326"/>
      <c r="AZN4" s="326"/>
      <c r="AZO4" s="326"/>
      <c r="AZP4" s="326"/>
      <c r="AZQ4" s="326"/>
      <c r="AZR4" s="326"/>
      <c r="AZS4" s="326"/>
      <c r="AZT4" s="326"/>
      <c r="AZU4" s="326"/>
      <c r="AZV4" s="326"/>
      <c r="AZW4" s="326"/>
      <c r="AZX4" s="326"/>
      <c r="AZY4" s="326">
        <v>45870</v>
      </c>
      <c r="AZZ4" s="326"/>
      <c r="BAA4" s="326"/>
      <c r="BAB4" s="326"/>
      <c r="BAC4" s="326"/>
      <c r="BAD4" s="326"/>
      <c r="BAE4" s="326"/>
      <c r="BAF4" s="326"/>
      <c r="BAG4" s="326"/>
      <c r="BAH4" s="326"/>
      <c r="BAI4" s="326"/>
      <c r="BAJ4" s="326"/>
      <c r="BAK4" s="326"/>
      <c r="BAL4" s="326"/>
      <c r="BAM4" s="326"/>
      <c r="BAN4" s="326"/>
      <c r="BAO4" s="326">
        <v>45870</v>
      </c>
      <c r="BAP4" s="326"/>
      <c r="BAQ4" s="326"/>
      <c r="BAR4" s="326"/>
      <c r="BAS4" s="326"/>
      <c r="BAT4" s="326"/>
      <c r="BAU4" s="326"/>
      <c r="BAV4" s="326"/>
      <c r="BAW4" s="326"/>
      <c r="BAX4" s="326"/>
      <c r="BAY4" s="326"/>
      <c r="BAZ4" s="326"/>
      <c r="BBA4" s="326"/>
      <c r="BBB4" s="326"/>
      <c r="BBC4" s="326"/>
      <c r="BBD4" s="326"/>
      <c r="BBE4" s="326">
        <v>45870</v>
      </c>
      <c r="BBF4" s="326"/>
      <c r="BBG4" s="326"/>
      <c r="BBH4" s="326"/>
      <c r="BBI4" s="326"/>
      <c r="BBJ4" s="326"/>
      <c r="BBK4" s="326"/>
      <c r="BBL4" s="326"/>
      <c r="BBM4" s="326"/>
      <c r="BBN4" s="326"/>
      <c r="BBO4" s="326"/>
      <c r="BBP4" s="326"/>
      <c r="BBQ4" s="326"/>
      <c r="BBR4" s="326"/>
      <c r="BBS4" s="326"/>
      <c r="BBT4" s="326"/>
      <c r="BBU4" s="326">
        <v>45870</v>
      </c>
      <c r="BBV4" s="326"/>
      <c r="BBW4" s="326"/>
      <c r="BBX4" s="326"/>
      <c r="BBY4" s="326"/>
      <c r="BBZ4" s="326"/>
      <c r="BCA4" s="326"/>
      <c r="BCB4" s="326"/>
      <c r="BCC4" s="326"/>
      <c r="BCD4" s="326"/>
      <c r="BCE4" s="326"/>
      <c r="BCF4" s="326"/>
      <c r="BCG4" s="326"/>
      <c r="BCH4" s="326"/>
      <c r="BCI4" s="326"/>
      <c r="BCJ4" s="326"/>
      <c r="BCK4" s="326">
        <v>45870</v>
      </c>
      <c r="BCL4" s="326"/>
      <c r="BCM4" s="326"/>
      <c r="BCN4" s="326"/>
      <c r="BCO4" s="326"/>
      <c r="BCP4" s="326"/>
      <c r="BCQ4" s="326"/>
      <c r="BCR4" s="326"/>
      <c r="BCS4" s="326"/>
      <c r="BCT4" s="326"/>
      <c r="BCU4" s="326"/>
      <c r="BCV4" s="326"/>
      <c r="BCW4" s="326"/>
      <c r="BCX4" s="326"/>
      <c r="BCY4" s="326"/>
      <c r="BCZ4" s="326"/>
      <c r="BDA4" s="326">
        <v>45870</v>
      </c>
      <c r="BDB4" s="326"/>
      <c r="BDC4" s="326"/>
      <c r="BDD4" s="326"/>
      <c r="BDE4" s="326"/>
      <c r="BDF4" s="326"/>
      <c r="BDG4" s="326"/>
      <c r="BDH4" s="326"/>
      <c r="BDI4" s="326"/>
      <c r="BDJ4" s="326"/>
      <c r="BDK4" s="326"/>
      <c r="BDL4" s="326"/>
      <c r="BDM4" s="326"/>
      <c r="BDN4" s="326"/>
      <c r="BDO4" s="326"/>
      <c r="BDP4" s="326"/>
      <c r="BDQ4" s="326">
        <v>45870</v>
      </c>
      <c r="BDR4" s="326"/>
      <c r="BDS4" s="326"/>
      <c r="BDT4" s="326"/>
      <c r="BDU4" s="326"/>
      <c r="BDV4" s="326"/>
      <c r="BDW4" s="326"/>
      <c r="BDX4" s="326"/>
      <c r="BDY4" s="326"/>
      <c r="BDZ4" s="326"/>
      <c r="BEA4" s="326"/>
      <c r="BEB4" s="326"/>
      <c r="BEC4" s="326"/>
      <c r="BED4" s="326"/>
      <c r="BEE4" s="326"/>
      <c r="BEF4" s="326"/>
      <c r="BEG4" s="326">
        <v>45870</v>
      </c>
      <c r="BEH4" s="326"/>
      <c r="BEI4" s="326"/>
      <c r="BEJ4" s="326"/>
      <c r="BEK4" s="326"/>
      <c r="BEL4" s="326"/>
      <c r="BEM4" s="326"/>
      <c r="BEN4" s="326"/>
      <c r="BEO4" s="326"/>
      <c r="BEP4" s="326"/>
      <c r="BEQ4" s="326"/>
      <c r="BER4" s="326"/>
      <c r="BES4" s="326"/>
      <c r="BET4" s="326"/>
      <c r="BEU4" s="326"/>
      <c r="BEV4" s="326"/>
      <c r="BEW4" s="326">
        <v>45870</v>
      </c>
      <c r="BEX4" s="326"/>
      <c r="BEY4" s="326"/>
      <c r="BEZ4" s="326"/>
      <c r="BFA4" s="326"/>
      <c r="BFB4" s="326"/>
      <c r="BFC4" s="326"/>
      <c r="BFD4" s="326"/>
      <c r="BFE4" s="326"/>
      <c r="BFF4" s="326"/>
      <c r="BFG4" s="326"/>
      <c r="BFH4" s="326"/>
      <c r="BFI4" s="326"/>
      <c r="BFJ4" s="326"/>
      <c r="BFK4" s="326"/>
      <c r="BFL4" s="326"/>
      <c r="BFM4" s="326">
        <v>45870</v>
      </c>
      <c r="BFN4" s="326"/>
      <c r="BFO4" s="326"/>
      <c r="BFP4" s="326"/>
      <c r="BFQ4" s="326"/>
      <c r="BFR4" s="326"/>
      <c r="BFS4" s="326"/>
      <c r="BFT4" s="326"/>
      <c r="BFU4" s="326"/>
      <c r="BFV4" s="326"/>
      <c r="BFW4" s="326"/>
      <c r="BFX4" s="326"/>
      <c r="BFY4" s="326"/>
      <c r="BFZ4" s="326"/>
      <c r="BGA4" s="326"/>
      <c r="BGB4" s="326"/>
      <c r="BGC4" s="326">
        <v>45870</v>
      </c>
      <c r="BGD4" s="326"/>
      <c r="BGE4" s="326"/>
      <c r="BGF4" s="326"/>
      <c r="BGG4" s="326"/>
      <c r="BGH4" s="326"/>
      <c r="BGI4" s="326"/>
      <c r="BGJ4" s="326"/>
      <c r="BGK4" s="326"/>
      <c r="BGL4" s="326"/>
      <c r="BGM4" s="326"/>
      <c r="BGN4" s="326"/>
      <c r="BGO4" s="326"/>
      <c r="BGP4" s="326"/>
      <c r="BGQ4" s="326"/>
      <c r="BGR4" s="326"/>
      <c r="BGS4" s="326">
        <v>45870</v>
      </c>
      <c r="BGT4" s="326"/>
      <c r="BGU4" s="326"/>
      <c r="BGV4" s="326"/>
      <c r="BGW4" s="326"/>
      <c r="BGX4" s="326"/>
      <c r="BGY4" s="326"/>
      <c r="BGZ4" s="326"/>
      <c r="BHA4" s="326"/>
      <c r="BHB4" s="326"/>
      <c r="BHC4" s="326"/>
      <c r="BHD4" s="326"/>
      <c r="BHE4" s="326"/>
      <c r="BHF4" s="326"/>
      <c r="BHG4" s="326"/>
      <c r="BHH4" s="326"/>
      <c r="BHI4" s="326">
        <v>45870</v>
      </c>
      <c r="BHJ4" s="326"/>
      <c r="BHK4" s="326"/>
      <c r="BHL4" s="326"/>
      <c r="BHM4" s="326"/>
      <c r="BHN4" s="326"/>
      <c r="BHO4" s="326"/>
      <c r="BHP4" s="326"/>
      <c r="BHQ4" s="326"/>
      <c r="BHR4" s="326"/>
      <c r="BHS4" s="326"/>
      <c r="BHT4" s="326"/>
      <c r="BHU4" s="326"/>
      <c r="BHV4" s="326"/>
      <c r="BHW4" s="326"/>
      <c r="BHX4" s="326"/>
      <c r="BHY4" s="326">
        <v>45870</v>
      </c>
      <c r="BHZ4" s="326"/>
      <c r="BIA4" s="326"/>
      <c r="BIB4" s="326"/>
      <c r="BIC4" s="326"/>
      <c r="BID4" s="326"/>
      <c r="BIE4" s="326"/>
      <c r="BIF4" s="326"/>
      <c r="BIG4" s="326"/>
      <c r="BIH4" s="326"/>
      <c r="BII4" s="326"/>
      <c r="BIJ4" s="326"/>
      <c r="BIK4" s="326"/>
      <c r="BIL4" s="326"/>
      <c r="BIM4" s="326"/>
      <c r="BIN4" s="326"/>
      <c r="BIO4" s="326">
        <v>45870</v>
      </c>
      <c r="BIP4" s="326"/>
      <c r="BIQ4" s="326"/>
      <c r="BIR4" s="326"/>
      <c r="BIS4" s="326"/>
      <c r="BIT4" s="326"/>
      <c r="BIU4" s="326"/>
      <c r="BIV4" s="326"/>
      <c r="BIW4" s="326"/>
      <c r="BIX4" s="326"/>
      <c r="BIY4" s="326"/>
      <c r="BIZ4" s="326"/>
      <c r="BJA4" s="326"/>
      <c r="BJB4" s="326"/>
      <c r="BJC4" s="326"/>
      <c r="BJD4" s="326"/>
      <c r="BJE4" s="326">
        <v>45870</v>
      </c>
      <c r="BJF4" s="326"/>
      <c r="BJG4" s="326"/>
      <c r="BJH4" s="326"/>
      <c r="BJI4" s="326"/>
      <c r="BJJ4" s="326"/>
      <c r="BJK4" s="326"/>
      <c r="BJL4" s="326"/>
      <c r="BJM4" s="326"/>
      <c r="BJN4" s="326"/>
      <c r="BJO4" s="326"/>
      <c r="BJP4" s="326"/>
      <c r="BJQ4" s="326"/>
      <c r="BJR4" s="326"/>
      <c r="BJS4" s="326"/>
      <c r="BJT4" s="326"/>
      <c r="BJU4" s="326">
        <v>45870</v>
      </c>
      <c r="BJV4" s="326"/>
      <c r="BJW4" s="326"/>
      <c r="BJX4" s="326"/>
      <c r="BJY4" s="326"/>
      <c r="BJZ4" s="326"/>
      <c r="BKA4" s="326"/>
      <c r="BKB4" s="326"/>
      <c r="BKC4" s="326"/>
      <c r="BKD4" s="326"/>
      <c r="BKE4" s="326"/>
      <c r="BKF4" s="326"/>
      <c r="BKG4" s="326"/>
      <c r="BKH4" s="326"/>
      <c r="BKI4" s="326"/>
      <c r="BKJ4" s="326"/>
      <c r="BKK4" s="326">
        <v>45870</v>
      </c>
      <c r="BKL4" s="326"/>
      <c r="BKM4" s="326"/>
      <c r="BKN4" s="326"/>
      <c r="BKO4" s="326"/>
      <c r="BKP4" s="326"/>
      <c r="BKQ4" s="326"/>
      <c r="BKR4" s="326"/>
      <c r="BKS4" s="326"/>
      <c r="BKT4" s="326"/>
      <c r="BKU4" s="326"/>
      <c r="BKV4" s="326"/>
      <c r="BKW4" s="326"/>
      <c r="BKX4" s="326"/>
      <c r="BKY4" s="326"/>
      <c r="BKZ4" s="326"/>
      <c r="BLA4" s="326">
        <v>45870</v>
      </c>
      <c r="BLB4" s="326"/>
      <c r="BLC4" s="326"/>
      <c r="BLD4" s="326"/>
      <c r="BLE4" s="326"/>
      <c r="BLF4" s="326"/>
      <c r="BLG4" s="326"/>
      <c r="BLH4" s="326"/>
      <c r="BLI4" s="326"/>
      <c r="BLJ4" s="326"/>
      <c r="BLK4" s="326"/>
      <c r="BLL4" s="326"/>
      <c r="BLM4" s="326"/>
      <c r="BLN4" s="326"/>
      <c r="BLO4" s="326"/>
      <c r="BLP4" s="326"/>
      <c r="BLQ4" s="326">
        <v>45870</v>
      </c>
      <c r="BLR4" s="326"/>
      <c r="BLS4" s="326"/>
      <c r="BLT4" s="326"/>
      <c r="BLU4" s="326"/>
      <c r="BLV4" s="326"/>
      <c r="BLW4" s="326"/>
      <c r="BLX4" s="326"/>
      <c r="BLY4" s="326"/>
      <c r="BLZ4" s="326"/>
      <c r="BMA4" s="326"/>
      <c r="BMB4" s="326"/>
      <c r="BMC4" s="326"/>
      <c r="BMD4" s="326"/>
      <c r="BME4" s="326"/>
      <c r="BMF4" s="326"/>
      <c r="BMG4" s="326">
        <v>45870</v>
      </c>
      <c r="BMH4" s="326"/>
      <c r="BMI4" s="326"/>
      <c r="BMJ4" s="326"/>
      <c r="BMK4" s="326"/>
      <c r="BML4" s="326"/>
      <c r="BMM4" s="326"/>
      <c r="BMN4" s="326"/>
      <c r="BMO4" s="326"/>
      <c r="BMP4" s="326"/>
      <c r="BMQ4" s="326"/>
      <c r="BMR4" s="326"/>
      <c r="BMS4" s="326"/>
      <c r="BMT4" s="326"/>
      <c r="BMU4" s="326"/>
      <c r="BMV4" s="326"/>
      <c r="BMW4" s="326">
        <v>45870</v>
      </c>
      <c r="BMX4" s="326"/>
      <c r="BMY4" s="326"/>
      <c r="BMZ4" s="326"/>
      <c r="BNA4" s="326"/>
      <c r="BNB4" s="326"/>
      <c r="BNC4" s="326"/>
      <c r="BND4" s="326"/>
      <c r="BNE4" s="326"/>
      <c r="BNF4" s="326"/>
      <c r="BNG4" s="326"/>
      <c r="BNH4" s="326"/>
      <c r="BNI4" s="326"/>
      <c r="BNJ4" s="326"/>
      <c r="BNK4" s="326"/>
      <c r="BNL4" s="326"/>
      <c r="BNM4" s="326">
        <v>45870</v>
      </c>
      <c r="BNN4" s="326"/>
      <c r="BNO4" s="326"/>
      <c r="BNP4" s="326"/>
      <c r="BNQ4" s="326"/>
      <c r="BNR4" s="326"/>
      <c r="BNS4" s="326"/>
      <c r="BNT4" s="326"/>
      <c r="BNU4" s="326"/>
      <c r="BNV4" s="326"/>
      <c r="BNW4" s="326"/>
      <c r="BNX4" s="326"/>
      <c r="BNY4" s="326"/>
      <c r="BNZ4" s="326"/>
      <c r="BOA4" s="326"/>
      <c r="BOB4" s="326"/>
      <c r="BOC4" s="326">
        <v>45870</v>
      </c>
      <c r="BOD4" s="326"/>
      <c r="BOE4" s="326"/>
      <c r="BOF4" s="326"/>
      <c r="BOG4" s="326"/>
      <c r="BOH4" s="326"/>
      <c r="BOI4" s="326"/>
      <c r="BOJ4" s="326"/>
      <c r="BOK4" s="326"/>
      <c r="BOL4" s="326"/>
      <c r="BOM4" s="326"/>
      <c r="BON4" s="326"/>
      <c r="BOO4" s="326"/>
      <c r="BOP4" s="326"/>
      <c r="BOQ4" s="326"/>
      <c r="BOR4" s="326"/>
      <c r="BOS4" s="326">
        <v>45870</v>
      </c>
      <c r="BOT4" s="326"/>
      <c r="BOU4" s="326"/>
      <c r="BOV4" s="326"/>
      <c r="BOW4" s="326"/>
      <c r="BOX4" s="326"/>
      <c r="BOY4" s="326"/>
      <c r="BOZ4" s="326"/>
      <c r="BPA4" s="326"/>
      <c r="BPB4" s="326"/>
      <c r="BPC4" s="326"/>
      <c r="BPD4" s="326"/>
      <c r="BPE4" s="326"/>
      <c r="BPF4" s="326"/>
      <c r="BPG4" s="326"/>
      <c r="BPH4" s="326"/>
      <c r="BPI4" s="326">
        <v>45870</v>
      </c>
      <c r="BPJ4" s="326"/>
      <c r="BPK4" s="326"/>
      <c r="BPL4" s="326"/>
      <c r="BPM4" s="326"/>
      <c r="BPN4" s="326"/>
      <c r="BPO4" s="326"/>
      <c r="BPP4" s="326"/>
      <c r="BPQ4" s="326"/>
      <c r="BPR4" s="326"/>
      <c r="BPS4" s="326"/>
      <c r="BPT4" s="326"/>
      <c r="BPU4" s="326"/>
      <c r="BPV4" s="326"/>
      <c r="BPW4" s="326"/>
      <c r="BPX4" s="326"/>
      <c r="BPY4" s="326">
        <v>45870</v>
      </c>
      <c r="BPZ4" s="326"/>
      <c r="BQA4" s="326"/>
      <c r="BQB4" s="326"/>
      <c r="BQC4" s="326"/>
      <c r="BQD4" s="326"/>
      <c r="BQE4" s="326"/>
      <c r="BQF4" s="326"/>
      <c r="BQG4" s="326"/>
      <c r="BQH4" s="326"/>
      <c r="BQI4" s="326"/>
      <c r="BQJ4" s="326"/>
      <c r="BQK4" s="326"/>
      <c r="BQL4" s="326"/>
      <c r="BQM4" s="326"/>
      <c r="BQN4" s="326"/>
      <c r="BQO4" s="326">
        <v>45870</v>
      </c>
      <c r="BQP4" s="326"/>
      <c r="BQQ4" s="326"/>
      <c r="BQR4" s="326"/>
      <c r="BQS4" s="326"/>
      <c r="BQT4" s="326"/>
      <c r="BQU4" s="326"/>
      <c r="BQV4" s="326"/>
      <c r="BQW4" s="326"/>
      <c r="BQX4" s="326"/>
      <c r="BQY4" s="326"/>
      <c r="BQZ4" s="326"/>
      <c r="BRA4" s="326"/>
      <c r="BRB4" s="326"/>
      <c r="BRC4" s="326"/>
      <c r="BRD4" s="326"/>
      <c r="BRE4" s="326">
        <v>45870</v>
      </c>
      <c r="BRF4" s="326"/>
      <c r="BRG4" s="326"/>
      <c r="BRH4" s="326"/>
      <c r="BRI4" s="326"/>
      <c r="BRJ4" s="326"/>
      <c r="BRK4" s="326"/>
      <c r="BRL4" s="326"/>
      <c r="BRM4" s="326"/>
      <c r="BRN4" s="326"/>
      <c r="BRO4" s="326"/>
      <c r="BRP4" s="326"/>
      <c r="BRQ4" s="326"/>
      <c r="BRR4" s="326"/>
      <c r="BRS4" s="326"/>
      <c r="BRT4" s="326"/>
      <c r="BRU4" s="326">
        <v>45870</v>
      </c>
      <c r="BRV4" s="326"/>
      <c r="BRW4" s="326"/>
      <c r="BRX4" s="326"/>
      <c r="BRY4" s="326"/>
      <c r="BRZ4" s="326"/>
      <c r="BSA4" s="326"/>
      <c r="BSB4" s="326"/>
      <c r="BSC4" s="326"/>
      <c r="BSD4" s="326"/>
      <c r="BSE4" s="326"/>
      <c r="BSF4" s="326"/>
      <c r="BSG4" s="326"/>
      <c r="BSH4" s="326"/>
      <c r="BSI4" s="326"/>
      <c r="BSJ4" s="326"/>
      <c r="BSK4" s="326">
        <v>45870</v>
      </c>
      <c r="BSL4" s="326"/>
      <c r="BSM4" s="326"/>
      <c r="BSN4" s="326"/>
      <c r="BSO4" s="326"/>
      <c r="BSP4" s="326"/>
      <c r="BSQ4" s="326"/>
      <c r="BSR4" s="326"/>
      <c r="BSS4" s="326"/>
      <c r="BST4" s="326"/>
      <c r="BSU4" s="326"/>
      <c r="BSV4" s="326"/>
      <c r="BSW4" s="326"/>
      <c r="BSX4" s="326"/>
      <c r="BSY4" s="326"/>
      <c r="BSZ4" s="326"/>
      <c r="BTA4" s="326">
        <v>45870</v>
      </c>
      <c r="BTB4" s="326"/>
      <c r="BTC4" s="326"/>
      <c r="BTD4" s="326"/>
      <c r="BTE4" s="326"/>
      <c r="BTF4" s="326"/>
      <c r="BTG4" s="326"/>
      <c r="BTH4" s="326"/>
      <c r="BTI4" s="326"/>
      <c r="BTJ4" s="326"/>
      <c r="BTK4" s="326"/>
      <c r="BTL4" s="326"/>
      <c r="BTM4" s="326"/>
      <c r="BTN4" s="326"/>
      <c r="BTO4" s="326"/>
      <c r="BTP4" s="326"/>
      <c r="BTQ4" s="326">
        <v>45870</v>
      </c>
      <c r="BTR4" s="326"/>
      <c r="BTS4" s="326"/>
      <c r="BTT4" s="326"/>
      <c r="BTU4" s="326"/>
      <c r="BTV4" s="326"/>
      <c r="BTW4" s="326"/>
      <c r="BTX4" s="326"/>
      <c r="BTY4" s="326"/>
      <c r="BTZ4" s="326"/>
      <c r="BUA4" s="326"/>
      <c r="BUB4" s="326"/>
      <c r="BUC4" s="326"/>
      <c r="BUD4" s="326"/>
      <c r="BUE4" s="326"/>
      <c r="BUF4" s="326"/>
      <c r="BUG4" s="326">
        <v>45870</v>
      </c>
      <c r="BUH4" s="326"/>
      <c r="BUI4" s="326"/>
      <c r="BUJ4" s="326"/>
      <c r="BUK4" s="326"/>
      <c r="BUL4" s="326"/>
      <c r="BUM4" s="326"/>
      <c r="BUN4" s="326"/>
      <c r="BUO4" s="326"/>
      <c r="BUP4" s="326"/>
      <c r="BUQ4" s="326"/>
      <c r="BUR4" s="326"/>
      <c r="BUS4" s="326"/>
      <c r="BUT4" s="326"/>
      <c r="BUU4" s="326"/>
      <c r="BUV4" s="326"/>
      <c r="BUW4" s="326">
        <v>45870</v>
      </c>
      <c r="BUX4" s="326"/>
      <c r="BUY4" s="326"/>
      <c r="BUZ4" s="326"/>
      <c r="BVA4" s="326"/>
      <c r="BVB4" s="326"/>
      <c r="BVC4" s="326"/>
      <c r="BVD4" s="326"/>
      <c r="BVE4" s="326"/>
      <c r="BVF4" s="326"/>
      <c r="BVG4" s="326"/>
      <c r="BVH4" s="326"/>
      <c r="BVI4" s="326"/>
      <c r="BVJ4" s="326"/>
      <c r="BVK4" s="326"/>
      <c r="BVL4" s="326"/>
      <c r="BVM4" s="326">
        <v>45870</v>
      </c>
      <c r="BVN4" s="326"/>
      <c r="BVO4" s="326"/>
      <c r="BVP4" s="326"/>
      <c r="BVQ4" s="326"/>
      <c r="BVR4" s="326"/>
      <c r="BVS4" s="326"/>
      <c r="BVT4" s="326"/>
      <c r="BVU4" s="326"/>
      <c r="BVV4" s="326"/>
      <c r="BVW4" s="326"/>
      <c r="BVX4" s="326"/>
      <c r="BVY4" s="326"/>
      <c r="BVZ4" s="326"/>
      <c r="BWA4" s="326"/>
      <c r="BWB4" s="326"/>
      <c r="BWC4" s="326">
        <v>45870</v>
      </c>
      <c r="BWD4" s="326"/>
      <c r="BWE4" s="326"/>
      <c r="BWF4" s="326"/>
      <c r="BWG4" s="326"/>
      <c r="BWH4" s="326"/>
      <c r="BWI4" s="326"/>
      <c r="BWJ4" s="326"/>
      <c r="BWK4" s="326"/>
      <c r="BWL4" s="326"/>
      <c r="BWM4" s="326"/>
      <c r="BWN4" s="326"/>
      <c r="BWO4" s="326"/>
      <c r="BWP4" s="326"/>
      <c r="BWQ4" s="326"/>
      <c r="BWR4" s="326"/>
      <c r="BWS4" s="326">
        <v>45870</v>
      </c>
      <c r="BWT4" s="326"/>
      <c r="BWU4" s="326"/>
      <c r="BWV4" s="326"/>
      <c r="BWW4" s="326"/>
      <c r="BWX4" s="326"/>
      <c r="BWY4" s="326"/>
      <c r="BWZ4" s="326"/>
      <c r="BXA4" s="326"/>
      <c r="BXB4" s="326"/>
      <c r="BXC4" s="326"/>
      <c r="BXD4" s="326"/>
      <c r="BXE4" s="326"/>
      <c r="BXF4" s="326"/>
      <c r="BXG4" s="326"/>
      <c r="BXH4" s="326"/>
      <c r="BXI4" s="326">
        <v>45870</v>
      </c>
      <c r="BXJ4" s="326"/>
      <c r="BXK4" s="326"/>
      <c r="BXL4" s="326"/>
      <c r="BXM4" s="326"/>
      <c r="BXN4" s="326"/>
      <c r="BXO4" s="326"/>
      <c r="BXP4" s="326"/>
      <c r="BXQ4" s="326"/>
      <c r="BXR4" s="326"/>
      <c r="BXS4" s="326"/>
      <c r="BXT4" s="326"/>
      <c r="BXU4" s="326"/>
      <c r="BXV4" s="326"/>
      <c r="BXW4" s="326"/>
      <c r="BXX4" s="326"/>
      <c r="BXY4" s="326">
        <v>45870</v>
      </c>
      <c r="BXZ4" s="326"/>
      <c r="BYA4" s="326"/>
      <c r="BYB4" s="326"/>
      <c r="BYC4" s="326"/>
      <c r="BYD4" s="326"/>
      <c r="BYE4" s="326"/>
      <c r="BYF4" s="326"/>
      <c r="BYG4" s="326"/>
      <c r="BYH4" s="326"/>
      <c r="BYI4" s="326"/>
      <c r="BYJ4" s="326"/>
      <c r="BYK4" s="326"/>
      <c r="BYL4" s="326"/>
      <c r="BYM4" s="326"/>
      <c r="BYN4" s="326"/>
      <c r="BYO4" s="326">
        <v>45870</v>
      </c>
      <c r="BYP4" s="326"/>
      <c r="BYQ4" s="326"/>
      <c r="BYR4" s="326"/>
      <c r="BYS4" s="326"/>
      <c r="BYT4" s="326"/>
      <c r="BYU4" s="326"/>
      <c r="BYV4" s="326"/>
      <c r="BYW4" s="326"/>
      <c r="BYX4" s="326"/>
      <c r="BYY4" s="326"/>
      <c r="BYZ4" s="326"/>
      <c r="BZA4" s="326"/>
      <c r="BZB4" s="326"/>
      <c r="BZC4" s="326"/>
      <c r="BZD4" s="326"/>
      <c r="BZE4" s="326">
        <v>45870</v>
      </c>
      <c r="BZF4" s="326"/>
      <c r="BZG4" s="326"/>
      <c r="BZH4" s="326"/>
      <c r="BZI4" s="326"/>
      <c r="BZJ4" s="326"/>
      <c r="BZK4" s="326"/>
      <c r="BZL4" s="326"/>
      <c r="BZM4" s="326"/>
      <c r="BZN4" s="326"/>
      <c r="BZO4" s="326"/>
      <c r="BZP4" s="326"/>
      <c r="BZQ4" s="326"/>
      <c r="BZR4" s="326"/>
      <c r="BZS4" s="326"/>
      <c r="BZT4" s="326"/>
      <c r="BZU4" s="326">
        <v>45870</v>
      </c>
      <c r="BZV4" s="326"/>
      <c r="BZW4" s="326"/>
      <c r="BZX4" s="326"/>
      <c r="BZY4" s="326"/>
      <c r="BZZ4" s="326"/>
      <c r="CAA4" s="326"/>
      <c r="CAB4" s="326"/>
      <c r="CAC4" s="326"/>
      <c r="CAD4" s="326"/>
      <c r="CAE4" s="326"/>
      <c r="CAF4" s="326"/>
      <c r="CAG4" s="326"/>
      <c r="CAH4" s="326"/>
      <c r="CAI4" s="326"/>
      <c r="CAJ4" s="326"/>
      <c r="CAK4" s="326">
        <v>45870</v>
      </c>
      <c r="CAL4" s="326"/>
      <c r="CAM4" s="326"/>
      <c r="CAN4" s="326"/>
      <c r="CAO4" s="326"/>
      <c r="CAP4" s="326"/>
      <c r="CAQ4" s="326"/>
      <c r="CAR4" s="326"/>
      <c r="CAS4" s="326"/>
      <c r="CAT4" s="326"/>
      <c r="CAU4" s="326"/>
      <c r="CAV4" s="326"/>
      <c r="CAW4" s="326"/>
      <c r="CAX4" s="326"/>
      <c r="CAY4" s="326"/>
      <c r="CAZ4" s="326"/>
      <c r="CBA4" s="326">
        <v>45870</v>
      </c>
      <c r="CBB4" s="326"/>
      <c r="CBC4" s="326"/>
      <c r="CBD4" s="326"/>
      <c r="CBE4" s="326"/>
      <c r="CBF4" s="326"/>
      <c r="CBG4" s="326"/>
      <c r="CBH4" s="326"/>
      <c r="CBI4" s="326"/>
      <c r="CBJ4" s="326"/>
      <c r="CBK4" s="326"/>
      <c r="CBL4" s="326"/>
      <c r="CBM4" s="326"/>
      <c r="CBN4" s="326"/>
      <c r="CBO4" s="326"/>
      <c r="CBP4" s="326"/>
      <c r="CBQ4" s="326">
        <v>45870</v>
      </c>
      <c r="CBR4" s="326"/>
      <c r="CBS4" s="326"/>
      <c r="CBT4" s="326"/>
      <c r="CBU4" s="326"/>
      <c r="CBV4" s="326"/>
      <c r="CBW4" s="326"/>
      <c r="CBX4" s="326"/>
      <c r="CBY4" s="326"/>
      <c r="CBZ4" s="326"/>
      <c r="CCA4" s="326"/>
      <c r="CCB4" s="326"/>
      <c r="CCC4" s="326"/>
      <c r="CCD4" s="326"/>
      <c r="CCE4" s="326"/>
      <c r="CCF4" s="326"/>
      <c r="CCG4" s="326">
        <v>45870</v>
      </c>
      <c r="CCH4" s="326"/>
      <c r="CCI4" s="326"/>
      <c r="CCJ4" s="326"/>
      <c r="CCK4" s="326"/>
      <c r="CCL4" s="326"/>
      <c r="CCM4" s="326"/>
      <c r="CCN4" s="326"/>
      <c r="CCO4" s="326"/>
      <c r="CCP4" s="326"/>
      <c r="CCQ4" s="326"/>
      <c r="CCR4" s="326"/>
      <c r="CCS4" s="326"/>
      <c r="CCT4" s="326"/>
      <c r="CCU4" s="326"/>
      <c r="CCV4" s="326"/>
      <c r="CCW4" s="326">
        <v>45870</v>
      </c>
      <c r="CCX4" s="326"/>
      <c r="CCY4" s="326"/>
      <c r="CCZ4" s="326"/>
      <c r="CDA4" s="326"/>
      <c r="CDB4" s="326"/>
      <c r="CDC4" s="326"/>
      <c r="CDD4" s="326"/>
      <c r="CDE4" s="326"/>
      <c r="CDF4" s="326"/>
      <c r="CDG4" s="326"/>
      <c r="CDH4" s="326"/>
      <c r="CDI4" s="326"/>
      <c r="CDJ4" s="326"/>
      <c r="CDK4" s="326"/>
      <c r="CDL4" s="326"/>
      <c r="CDM4" s="326">
        <v>45870</v>
      </c>
      <c r="CDN4" s="326"/>
      <c r="CDO4" s="326"/>
      <c r="CDP4" s="326"/>
      <c r="CDQ4" s="326"/>
      <c r="CDR4" s="326"/>
      <c r="CDS4" s="326"/>
      <c r="CDT4" s="326"/>
      <c r="CDU4" s="326"/>
      <c r="CDV4" s="326"/>
      <c r="CDW4" s="326"/>
      <c r="CDX4" s="326"/>
      <c r="CDY4" s="326"/>
      <c r="CDZ4" s="326"/>
      <c r="CEA4" s="326"/>
      <c r="CEB4" s="326"/>
      <c r="CEC4" s="326">
        <v>45870</v>
      </c>
      <c r="CED4" s="326"/>
      <c r="CEE4" s="326"/>
      <c r="CEF4" s="326"/>
      <c r="CEG4" s="326"/>
      <c r="CEH4" s="326"/>
      <c r="CEI4" s="326"/>
      <c r="CEJ4" s="326"/>
      <c r="CEK4" s="326"/>
      <c r="CEL4" s="326"/>
      <c r="CEM4" s="326"/>
      <c r="CEN4" s="326"/>
      <c r="CEO4" s="326"/>
      <c r="CEP4" s="326"/>
      <c r="CEQ4" s="326"/>
      <c r="CER4" s="326"/>
      <c r="CES4" s="326">
        <v>45870</v>
      </c>
      <c r="CET4" s="326"/>
      <c r="CEU4" s="326"/>
      <c r="CEV4" s="326"/>
      <c r="CEW4" s="326"/>
      <c r="CEX4" s="326"/>
      <c r="CEY4" s="326"/>
      <c r="CEZ4" s="326"/>
      <c r="CFA4" s="326"/>
      <c r="CFB4" s="326"/>
      <c r="CFC4" s="326"/>
      <c r="CFD4" s="326"/>
      <c r="CFE4" s="326"/>
      <c r="CFF4" s="326"/>
      <c r="CFG4" s="326"/>
      <c r="CFH4" s="326"/>
      <c r="CFI4" s="326">
        <v>45870</v>
      </c>
      <c r="CFJ4" s="326"/>
      <c r="CFK4" s="326"/>
      <c r="CFL4" s="326"/>
      <c r="CFM4" s="326"/>
      <c r="CFN4" s="326"/>
      <c r="CFO4" s="326"/>
      <c r="CFP4" s="326"/>
      <c r="CFQ4" s="326"/>
      <c r="CFR4" s="326"/>
      <c r="CFS4" s="326"/>
      <c r="CFT4" s="326"/>
      <c r="CFU4" s="326"/>
      <c r="CFV4" s="326"/>
      <c r="CFW4" s="326"/>
      <c r="CFX4" s="326"/>
      <c r="CFY4" s="326">
        <v>45870</v>
      </c>
      <c r="CFZ4" s="326"/>
      <c r="CGA4" s="326"/>
      <c r="CGB4" s="326"/>
      <c r="CGC4" s="326"/>
      <c r="CGD4" s="326"/>
      <c r="CGE4" s="326"/>
      <c r="CGF4" s="326"/>
      <c r="CGG4" s="326"/>
      <c r="CGH4" s="326"/>
      <c r="CGI4" s="326"/>
      <c r="CGJ4" s="326"/>
      <c r="CGK4" s="326"/>
      <c r="CGL4" s="326"/>
      <c r="CGM4" s="326"/>
      <c r="CGN4" s="326"/>
      <c r="CGO4" s="326">
        <v>45870</v>
      </c>
      <c r="CGP4" s="326"/>
      <c r="CGQ4" s="326"/>
      <c r="CGR4" s="326"/>
      <c r="CGS4" s="326"/>
      <c r="CGT4" s="326"/>
      <c r="CGU4" s="326"/>
      <c r="CGV4" s="326"/>
      <c r="CGW4" s="326"/>
      <c r="CGX4" s="326"/>
      <c r="CGY4" s="326"/>
      <c r="CGZ4" s="326"/>
      <c r="CHA4" s="326"/>
      <c r="CHB4" s="326"/>
      <c r="CHC4" s="326"/>
      <c r="CHD4" s="326"/>
      <c r="CHE4" s="326">
        <v>45870</v>
      </c>
      <c r="CHF4" s="326"/>
      <c r="CHG4" s="326"/>
      <c r="CHH4" s="326"/>
      <c r="CHI4" s="326"/>
      <c r="CHJ4" s="326"/>
      <c r="CHK4" s="326"/>
      <c r="CHL4" s="326"/>
      <c r="CHM4" s="326"/>
      <c r="CHN4" s="326"/>
      <c r="CHO4" s="326"/>
      <c r="CHP4" s="326"/>
      <c r="CHQ4" s="326"/>
      <c r="CHR4" s="326"/>
      <c r="CHS4" s="326"/>
      <c r="CHT4" s="326"/>
      <c r="CHU4" s="326">
        <v>45870</v>
      </c>
      <c r="CHV4" s="326"/>
      <c r="CHW4" s="326"/>
      <c r="CHX4" s="326"/>
      <c r="CHY4" s="326"/>
      <c r="CHZ4" s="326"/>
      <c r="CIA4" s="326"/>
      <c r="CIB4" s="326"/>
      <c r="CIC4" s="326"/>
      <c r="CID4" s="326"/>
      <c r="CIE4" s="326"/>
      <c r="CIF4" s="326"/>
      <c r="CIG4" s="326"/>
      <c r="CIH4" s="326"/>
      <c r="CII4" s="326"/>
      <c r="CIJ4" s="326"/>
      <c r="CIK4" s="326">
        <v>45870</v>
      </c>
      <c r="CIL4" s="326"/>
      <c r="CIM4" s="326"/>
      <c r="CIN4" s="326"/>
      <c r="CIO4" s="326"/>
      <c r="CIP4" s="326"/>
      <c r="CIQ4" s="326"/>
      <c r="CIR4" s="326"/>
      <c r="CIS4" s="326"/>
      <c r="CIT4" s="326"/>
      <c r="CIU4" s="326"/>
      <c r="CIV4" s="326"/>
      <c r="CIW4" s="326"/>
      <c r="CIX4" s="326"/>
      <c r="CIY4" s="326"/>
      <c r="CIZ4" s="326"/>
      <c r="CJA4" s="326">
        <v>45870</v>
      </c>
      <c r="CJB4" s="326"/>
      <c r="CJC4" s="326"/>
      <c r="CJD4" s="326"/>
      <c r="CJE4" s="326"/>
      <c r="CJF4" s="326"/>
      <c r="CJG4" s="326"/>
      <c r="CJH4" s="326"/>
      <c r="CJI4" s="326"/>
      <c r="CJJ4" s="326"/>
      <c r="CJK4" s="326"/>
      <c r="CJL4" s="326"/>
      <c r="CJM4" s="326"/>
      <c r="CJN4" s="326"/>
      <c r="CJO4" s="326"/>
      <c r="CJP4" s="326"/>
      <c r="CJQ4" s="326">
        <v>45870</v>
      </c>
      <c r="CJR4" s="326"/>
      <c r="CJS4" s="326"/>
      <c r="CJT4" s="326"/>
      <c r="CJU4" s="326"/>
      <c r="CJV4" s="326"/>
      <c r="CJW4" s="326"/>
      <c r="CJX4" s="326"/>
      <c r="CJY4" s="326"/>
      <c r="CJZ4" s="326"/>
      <c r="CKA4" s="326"/>
      <c r="CKB4" s="326"/>
      <c r="CKC4" s="326"/>
      <c r="CKD4" s="326"/>
      <c r="CKE4" s="326"/>
      <c r="CKF4" s="326"/>
      <c r="CKG4" s="326">
        <v>45870</v>
      </c>
      <c r="CKH4" s="326"/>
      <c r="CKI4" s="326"/>
      <c r="CKJ4" s="326"/>
      <c r="CKK4" s="326"/>
      <c r="CKL4" s="326"/>
      <c r="CKM4" s="326"/>
      <c r="CKN4" s="326"/>
      <c r="CKO4" s="326"/>
      <c r="CKP4" s="326"/>
      <c r="CKQ4" s="326"/>
      <c r="CKR4" s="326"/>
      <c r="CKS4" s="326"/>
      <c r="CKT4" s="326"/>
      <c r="CKU4" s="326"/>
      <c r="CKV4" s="326"/>
      <c r="CKW4" s="326">
        <v>45870</v>
      </c>
      <c r="CKX4" s="326"/>
      <c r="CKY4" s="326"/>
      <c r="CKZ4" s="326"/>
      <c r="CLA4" s="326"/>
      <c r="CLB4" s="326"/>
      <c r="CLC4" s="326"/>
      <c r="CLD4" s="326"/>
      <c r="CLE4" s="326"/>
      <c r="CLF4" s="326"/>
      <c r="CLG4" s="326"/>
      <c r="CLH4" s="326"/>
      <c r="CLI4" s="326"/>
      <c r="CLJ4" s="326"/>
      <c r="CLK4" s="326"/>
      <c r="CLL4" s="326"/>
      <c r="CLM4" s="326">
        <v>45870</v>
      </c>
      <c r="CLN4" s="326"/>
      <c r="CLO4" s="326"/>
      <c r="CLP4" s="326"/>
      <c r="CLQ4" s="326"/>
      <c r="CLR4" s="326"/>
      <c r="CLS4" s="326"/>
      <c r="CLT4" s="326"/>
      <c r="CLU4" s="326"/>
      <c r="CLV4" s="326"/>
      <c r="CLW4" s="326"/>
      <c r="CLX4" s="326"/>
      <c r="CLY4" s="326"/>
      <c r="CLZ4" s="326"/>
      <c r="CMA4" s="326"/>
      <c r="CMB4" s="326"/>
      <c r="CMC4" s="326">
        <v>45870</v>
      </c>
      <c r="CMD4" s="326"/>
      <c r="CME4" s="326"/>
      <c r="CMF4" s="326"/>
      <c r="CMG4" s="326"/>
      <c r="CMH4" s="326"/>
      <c r="CMI4" s="326"/>
      <c r="CMJ4" s="326"/>
      <c r="CMK4" s="326"/>
      <c r="CML4" s="326"/>
      <c r="CMM4" s="326"/>
      <c r="CMN4" s="326"/>
      <c r="CMO4" s="326"/>
      <c r="CMP4" s="326"/>
      <c r="CMQ4" s="326"/>
      <c r="CMR4" s="326"/>
      <c r="CMS4" s="326">
        <v>45870</v>
      </c>
      <c r="CMT4" s="326"/>
      <c r="CMU4" s="326"/>
      <c r="CMV4" s="326"/>
      <c r="CMW4" s="326"/>
      <c r="CMX4" s="326"/>
      <c r="CMY4" s="326"/>
      <c r="CMZ4" s="326"/>
      <c r="CNA4" s="326"/>
      <c r="CNB4" s="326"/>
      <c r="CNC4" s="326"/>
      <c r="CND4" s="326"/>
      <c r="CNE4" s="326"/>
      <c r="CNF4" s="326"/>
      <c r="CNG4" s="326"/>
      <c r="CNH4" s="326"/>
      <c r="CNI4" s="326">
        <v>45870</v>
      </c>
      <c r="CNJ4" s="326"/>
      <c r="CNK4" s="326"/>
      <c r="CNL4" s="326"/>
      <c r="CNM4" s="326"/>
      <c r="CNN4" s="326"/>
      <c r="CNO4" s="326"/>
      <c r="CNP4" s="326"/>
      <c r="CNQ4" s="326"/>
      <c r="CNR4" s="326"/>
      <c r="CNS4" s="326"/>
      <c r="CNT4" s="326"/>
      <c r="CNU4" s="326"/>
      <c r="CNV4" s="326"/>
      <c r="CNW4" s="326"/>
      <c r="CNX4" s="326"/>
      <c r="CNY4" s="326">
        <v>45870</v>
      </c>
      <c r="CNZ4" s="326"/>
      <c r="COA4" s="326"/>
      <c r="COB4" s="326"/>
      <c r="COC4" s="326"/>
      <c r="COD4" s="326"/>
      <c r="COE4" s="326"/>
      <c r="COF4" s="326"/>
      <c r="COG4" s="326"/>
      <c r="COH4" s="326"/>
      <c r="COI4" s="326"/>
      <c r="COJ4" s="326"/>
      <c r="COK4" s="326"/>
      <c r="COL4" s="326"/>
      <c r="COM4" s="326"/>
      <c r="CON4" s="326"/>
      <c r="COO4" s="326">
        <v>45870</v>
      </c>
      <c r="COP4" s="326"/>
      <c r="COQ4" s="326"/>
      <c r="COR4" s="326"/>
      <c r="COS4" s="326"/>
      <c r="COT4" s="326"/>
      <c r="COU4" s="326"/>
      <c r="COV4" s="326"/>
      <c r="COW4" s="326"/>
      <c r="COX4" s="326"/>
      <c r="COY4" s="326"/>
      <c r="COZ4" s="326"/>
      <c r="CPA4" s="326"/>
      <c r="CPB4" s="326"/>
      <c r="CPC4" s="326"/>
      <c r="CPD4" s="326"/>
      <c r="CPE4" s="326">
        <v>45870</v>
      </c>
      <c r="CPF4" s="326"/>
      <c r="CPG4" s="326"/>
      <c r="CPH4" s="326"/>
      <c r="CPI4" s="326"/>
      <c r="CPJ4" s="326"/>
      <c r="CPK4" s="326"/>
      <c r="CPL4" s="326"/>
      <c r="CPM4" s="326"/>
      <c r="CPN4" s="326"/>
      <c r="CPO4" s="326"/>
      <c r="CPP4" s="326"/>
      <c r="CPQ4" s="326"/>
      <c r="CPR4" s="326"/>
      <c r="CPS4" s="326"/>
      <c r="CPT4" s="326"/>
      <c r="CPU4" s="326">
        <v>45870</v>
      </c>
      <c r="CPV4" s="326"/>
      <c r="CPW4" s="326"/>
      <c r="CPX4" s="326"/>
      <c r="CPY4" s="326"/>
      <c r="CPZ4" s="326"/>
      <c r="CQA4" s="326"/>
      <c r="CQB4" s="326"/>
      <c r="CQC4" s="326"/>
      <c r="CQD4" s="326"/>
      <c r="CQE4" s="326"/>
      <c r="CQF4" s="326"/>
      <c r="CQG4" s="326"/>
      <c r="CQH4" s="326"/>
      <c r="CQI4" s="326"/>
      <c r="CQJ4" s="326"/>
      <c r="CQK4" s="326">
        <v>45870</v>
      </c>
      <c r="CQL4" s="326"/>
      <c r="CQM4" s="326"/>
      <c r="CQN4" s="326"/>
      <c r="CQO4" s="326"/>
      <c r="CQP4" s="326"/>
      <c r="CQQ4" s="326"/>
      <c r="CQR4" s="326"/>
      <c r="CQS4" s="326"/>
      <c r="CQT4" s="326"/>
      <c r="CQU4" s="326"/>
      <c r="CQV4" s="326"/>
      <c r="CQW4" s="326"/>
      <c r="CQX4" s="326"/>
      <c r="CQY4" s="326"/>
      <c r="CQZ4" s="326"/>
      <c r="CRA4" s="326">
        <v>45870</v>
      </c>
      <c r="CRB4" s="326"/>
      <c r="CRC4" s="326"/>
      <c r="CRD4" s="326"/>
      <c r="CRE4" s="326"/>
      <c r="CRF4" s="326"/>
      <c r="CRG4" s="326"/>
      <c r="CRH4" s="326"/>
      <c r="CRI4" s="326"/>
      <c r="CRJ4" s="326"/>
      <c r="CRK4" s="326"/>
      <c r="CRL4" s="326"/>
      <c r="CRM4" s="326"/>
      <c r="CRN4" s="326"/>
      <c r="CRO4" s="326"/>
      <c r="CRP4" s="326"/>
      <c r="CRQ4" s="326">
        <v>45870</v>
      </c>
      <c r="CRR4" s="326"/>
      <c r="CRS4" s="326"/>
      <c r="CRT4" s="326"/>
      <c r="CRU4" s="326"/>
      <c r="CRV4" s="326"/>
      <c r="CRW4" s="326"/>
      <c r="CRX4" s="326"/>
      <c r="CRY4" s="326"/>
      <c r="CRZ4" s="326"/>
      <c r="CSA4" s="326"/>
      <c r="CSB4" s="326"/>
      <c r="CSC4" s="326"/>
      <c r="CSD4" s="326"/>
      <c r="CSE4" s="326"/>
      <c r="CSF4" s="326"/>
      <c r="CSG4" s="326">
        <v>45870</v>
      </c>
      <c r="CSH4" s="326"/>
      <c r="CSI4" s="326"/>
      <c r="CSJ4" s="326"/>
      <c r="CSK4" s="326"/>
      <c r="CSL4" s="326"/>
      <c r="CSM4" s="326"/>
      <c r="CSN4" s="326"/>
      <c r="CSO4" s="326"/>
      <c r="CSP4" s="326"/>
      <c r="CSQ4" s="326"/>
      <c r="CSR4" s="326"/>
      <c r="CSS4" s="326"/>
      <c r="CST4" s="326"/>
      <c r="CSU4" s="326"/>
      <c r="CSV4" s="326"/>
      <c r="CSW4" s="326">
        <v>45870</v>
      </c>
      <c r="CSX4" s="326"/>
      <c r="CSY4" s="326"/>
      <c r="CSZ4" s="326"/>
      <c r="CTA4" s="326"/>
      <c r="CTB4" s="326"/>
      <c r="CTC4" s="326"/>
      <c r="CTD4" s="326"/>
      <c r="CTE4" s="326"/>
      <c r="CTF4" s="326"/>
      <c r="CTG4" s="326"/>
      <c r="CTH4" s="326"/>
      <c r="CTI4" s="326"/>
      <c r="CTJ4" s="326"/>
      <c r="CTK4" s="326"/>
      <c r="CTL4" s="326"/>
      <c r="CTM4" s="326">
        <v>45870</v>
      </c>
      <c r="CTN4" s="326"/>
      <c r="CTO4" s="326"/>
      <c r="CTP4" s="326"/>
      <c r="CTQ4" s="326"/>
      <c r="CTR4" s="326"/>
      <c r="CTS4" s="326"/>
      <c r="CTT4" s="326"/>
      <c r="CTU4" s="326"/>
      <c r="CTV4" s="326"/>
      <c r="CTW4" s="326"/>
      <c r="CTX4" s="326"/>
      <c r="CTY4" s="326"/>
      <c r="CTZ4" s="326"/>
      <c r="CUA4" s="326"/>
      <c r="CUB4" s="326"/>
      <c r="CUC4" s="326">
        <v>45870</v>
      </c>
      <c r="CUD4" s="326"/>
      <c r="CUE4" s="326"/>
      <c r="CUF4" s="326"/>
      <c r="CUG4" s="326"/>
      <c r="CUH4" s="326"/>
      <c r="CUI4" s="326"/>
      <c r="CUJ4" s="326"/>
      <c r="CUK4" s="326"/>
      <c r="CUL4" s="326"/>
      <c r="CUM4" s="326"/>
      <c r="CUN4" s="326"/>
      <c r="CUO4" s="326"/>
      <c r="CUP4" s="326"/>
      <c r="CUQ4" s="326"/>
      <c r="CUR4" s="326"/>
      <c r="CUS4" s="326">
        <v>45870</v>
      </c>
      <c r="CUT4" s="326"/>
      <c r="CUU4" s="326"/>
      <c r="CUV4" s="326"/>
      <c r="CUW4" s="326"/>
      <c r="CUX4" s="326"/>
      <c r="CUY4" s="326"/>
      <c r="CUZ4" s="326"/>
      <c r="CVA4" s="326"/>
      <c r="CVB4" s="326"/>
      <c r="CVC4" s="326"/>
      <c r="CVD4" s="326"/>
      <c r="CVE4" s="326"/>
      <c r="CVF4" s="326"/>
      <c r="CVG4" s="326"/>
      <c r="CVH4" s="326"/>
      <c r="CVI4" s="326">
        <v>45870</v>
      </c>
      <c r="CVJ4" s="326"/>
      <c r="CVK4" s="326"/>
      <c r="CVL4" s="326"/>
      <c r="CVM4" s="326"/>
      <c r="CVN4" s="326"/>
      <c r="CVO4" s="326"/>
      <c r="CVP4" s="326"/>
      <c r="CVQ4" s="326"/>
      <c r="CVR4" s="326"/>
      <c r="CVS4" s="326"/>
      <c r="CVT4" s="326"/>
      <c r="CVU4" s="326"/>
      <c r="CVV4" s="326"/>
      <c r="CVW4" s="326"/>
      <c r="CVX4" s="326"/>
      <c r="CVY4" s="326">
        <v>45870</v>
      </c>
      <c r="CVZ4" s="326"/>
      <c r="CWA4" s="326"/>
      <c r="CWB4" s="326"/>
      <c r="CWC4" s="326"/>
      <c r="CWD4" s="326"/>
      <c r="CWE4" s="326"/>
      <c r="CWF4" s="326"/>
      <c r="CWG4" s="326"/>
      <c r="CWH4" s="326"/>
      <c r="CWI4" s="326"/>
      <c r="CWJ4" s="326"/>
      <c r="CWK4" s="326"/>
      <c r="CWL4" s="326"/>
      <c r="CWM4" s="326"/>
      <c r="CWN4" s="326"/>
      <c r="CWO4" s="326">
        <v>45870</v>
      </c>
      <c r="CWP4" s="326"/>
      <c r="CWQ4" s="326"/>
      <c r="CWR4" s="326"/>
      <c r="CWS4" s="326"/>
      <c r="CWT4" s="326"/>
      <c r="CWU4" s="326"/>
      <c r="CWV4" s="326"/>
      <c r="CWW4" s="326"/>
      <c r="CWX4" s="326"/>
      <c r="CWY4" s="326"/>
      <c r="CWZ4" s="326"/>
      <c r="CXA4" s="326"/>
      <c r="CXB4" s="326"/>
      <c r="CXC4" s="326"/>
      <c r="CXD4" s="326"/>
      <c r="CXE4" s="326">
        <v>45870</v>
      </c>
      <c r="CXF4" s="326"/>
      <c r="CXG4" s="326"/>
      <c r="CXH4" s="326"/>
      <c r="CXI4" s="326"/>
      <c r="CXJ4" s="326"/>
      <c r="CXK4" s="326"/>
      <c r="CXL4" s="326"/>
      <c r="CXM4" s="326"/>
      <c r="CXN4" s="326"/>
      <c r="CXO4" s="326"/>
      <c r="CXP4" s="326"/>
      <c r="CXQ4" s="326"/>
      <c r="CXR4" s="326"/>
      <c r="CXS4" s="326"/>
      <c r="CXT4" s="326"/>
      <c r="CXU4" s="326">
        <v>45870</v>
      </c>
      <c r="CXV4" s="326"/>
      <c r="CXW4" s="326"/>
      <c r="CXX4" s="326"/>
      <c r="CXY4" s="326"/>
      <c r="CXZ4" s="326"/>
      <c r="CYA4" s="326"/>
      <c r="CYB4" s="326"/>
      <c r="CYC4" s="326"/>
      <c r="CYD4" s="326"/>
      <c r="CYE4" s="326"/>
      <c r="CYF4" s="326"/>
      <c r="CYG4" s="326"/>
      <c r="CYH4" s="326"/>
      <c r="CYI4" s="326"/>
      <c r="CYJ4" s="326"/>
      <c r="CYK4" s="326">
        <v>45870</v>
      </c>
      <c r="CYL4" s="326"/>
      <c r="CYM4" s="326"/>
      <c r="CYN4" s="326"/>
      <c r="CYO4" s="326"/>
      <c r="CYP4" s="326"/>
      <c r="CYQ4" s="326"/>
      <c r="CYR4" s="326"/>
      <c r="CYS4" s="326"/>
      <c r="CYT4" s="326"/>
      <c r="CYU4" s="326"/>
      <c r="CYV4" s="326"/>
      <c r="CYW4" s="326"/>
      <c r="CYX4" s="326"/>
      <c r="CYY4" s="326"/>
      <c r="CYZ4" s="326"/>
      <c r="CZA4" s="326">
        <v>45870</v>
      </c>
      <c r="CZB4" s="326"/>
      <c r="CZC4" s="326"/>
      <c r="CZD4" s="326"/>
      <c r="CZE4" s="326"/>
      <c r="CZF4" s="326"/>
      <c r="CZG4" s="326"/>
      <c r="CZH4" s="326"/>
      <c r="CZI4" s="326"/>
      <c r="CZJ4" s="326"/>
      <c r="CZK4" s="326"/>
      <c r="CZL4" s="326"/>
      <c r="CZM4" s="326"/>
      <c r="CZN4" s="326"/>
      <c r="CZO4" s="326"/>
      <c r="CZP4" s="326"/>
      <c r="CZQ4" s="326">
        <v>45870</v>
      </c>
      <c r="CZR4" s="326"/>
      <c r="CZS4" s="326"/>
      <c r="CZT4" s="326"/>
      <c r="CZU4" s="326"/>
      <c r="CZV4" s="326"/>
      <c r="CZW4" s="326"/>
      <c r="CZX4" s="326"/>
      <c r="CZY4" s="326"/>
      <c r="CZZ4" s="326"/>
      <c r="DAA4" s="326"/>
      <c r="DAB4" s="326"/>
      <c r="DAC4" s="326"/>
      <c r="DAD4" s="326"/>
      <c r="DAE4" s="326"/>
      <c r="DAF4" s="326"/>
      <c r="DAG4" s="326">
        <v>45870</v>
      </c>
      <c r="DAH4" s="326"/>
      <c r="DAI4" s="326"/>
      <c r="DAJ4" s="326"/>
      <c r="DAK4" s="326"/>
      <c r="DAL4" s="326"/>
      <c r="DAM4" s="326"/>
      <c r="DAN4" s="326"/>
      <c r="DAO4" s="326"/>
      <c r="DAP4" s="326"/>
      <c r="DAQ4" s="326"/>
      <c r="DAR4" s="326"/>
      <c r="DAS4" s="326"/>
      <c r="DAT4" s="326"/>
      <c r="DAU4" s="326"/>
      <c r="DAV4" s="326"/>
      <c r="DAW4" s="326">
        <v>45870</v>
      </c>
      <c r="DAX4" s="326"/>
      <c r="DAY4" s="326"/>
      <c r="DAZ4" s="326"/>
      <c r="DBA4" s="326"/>
      <c r="DBB4" s="326"/>
      <c r="DBC4" s="326"/>
      <c r="DBD4" s="326"/>
      <c r="DBE4" s="326"/>
      <c r="DBF4" s="326"/>
      <c r="DBG4" s="326"/>
      <c r="DBH4" s="326"/>
      <c r="DBI4" s="326"/>
      <c r="DBJ4" s="326"/>
      <c r="DBK4" s="326"/>
      <c r="DBL4" s="326"/>
      <c r="DBM4" s="326">
        <v>45870</v>
      </c>
      <c r="DBN4" s="326"/>
      <c r="DBO4" s="326"/>
      <c r="DBP4" s="326"/>
      <c r="DBQ4" s="326"/>
      <c r="DBR4" s="326"/>
      <c r="DBS4" s="326"/>
      <c r="DBT4" s="326"/>
      <c r="DBU4" s="326"/>
      <c r="DBV4" s="326"/>
      <c r="DBW4" s="326"/>
      <c r="DBX4" s="326"/>
      <c r="DBY4" s="326"/>
      <c r="DBZ4" s="326"/>
      <c r="DCA4" s="326"/>
      <c r="DCB4" s="326"/>
      <c r="DCC4" s="326">
        <v>45870</v>
      </c>
      <c r="DCD4" s="326"/>
      <c r="DCE4" s="326"/>
      <c r="DCF4" s="326"/>
      <c r="DCG4" s="326"/>
      <c r="DCH4" s="326"/>
      <c r="DCI4" s="326"/>
      <c r="DCJ4" s="326"/>
      <c r="DCK4" s="326"/>
      <c r="DCL4" s="326"/>
      <c r="DCM4" s="326"/>
      <c r="DCN4" s="326"/>
      <c r="DCO4" s="326"/>
      <c r="DCP4" s="326"/>
      <c r="DCQ4" s="326"/>
      <c r="DCR4" s="326"/>
      <c r="DCS4" s="326">
        <v>45870</v>
      </c>
      <c r="DCT4" s="326"/>
      <c r="DCU4" s="326"/>
      <c r="DCV4" s="326"/>
      <c r="DCW4" s="326"/>
      <c r="DCX4" s="326"/>
      <c r="DCY4" s="326"/>
      <c r="DCZ4" s="326"/>
      <c r="DDA4" s="326"/>
      <c r="DDB4" s="326"/>
      <c r="DDC4" s="326"/>
      <c r="DDD4" s="326"/>
      <c r="DDE4" s="326"/>
      <c r="DDF4" s="326"/>
      <c r="DDG4" s="326"/>
      <c r="DDH4" s="326"/>
      <c r="DDI4" s="326">
        <v>45870</v>
      </c>
      <c r="DDJ4" s="326"/>
      <c r="DDK4" s="326"/>
      <c r="DDL4" s="326"/>
      <c r="DDM4" s="326"/>
      <c r="DDN4" s="326"/>
      <c r="DDO4" s="326"/>
      <c r="DDP4" s="326"/>
      <c r="DDQ4" s="326"/>
      <c r="DDR4" s="326"/>
      <c r="DDS4" s="326"/>
      <c r="DDT4" s="326"/>
      <c r="DDU4" s="326"/>
      <c r="DDV4" s="326"/>
      <c r="DDW4" s="326"/>
      <c r="DDX4" s="326"/>
      <c r="DDY4" s="326">
        <v>45870</v>
      </c>
      <c r="DDZ4" s="326"/>
      <c r="DEA4" s="326"/>
      <c r="DEB4" s="326"/>
      <c r="DEC4" s="326"/>
      <c r="DED4" s="326"/>
      <c r="DEE4" s="326"/>
      <c r="DEF4" s="326"/>
      <c r="DEG4" s="326"/>
      <c r="DEH4" s="326"/>
      <c r="DEI4" s="326"/>
      <c r="DEJ4" s="326"/>
      <c r="DEK4" s="326"/>
      <c r="DEL4" s="326"/>
      <c r="DEM4" s="326"/>
      <c r="DEN4" s="326"/>
      <c r="DEO4" s="326">
        <v>45870</v>
      </c>
      <c r="DEP4" s="326"/>
      <c r="DEQ4" s="326"/>
      <c r="DER4" s="326"/>
      <c r="DES4" s="326"/>
      <c r="DET4" s="326"/>
      <c r="DEU4" s="326"/>
      <c r="DEV4" s="326"/>
      <c r="DEW4" s="326"/>
      <c r="DEX4" s="326"/>
      <c r="DEY4" s="326"/>
      <c r="DEZ4" s="326"/>
      <c r="DFA4" s="326"/>
      <c r="DFB4" s="326"/>
      <c r="DFC4" s="326"/>
      <c r="DFD4" s="326"/>
      <c r="DFE4" s="326">
        <v>45870</v>
      </c>
      <c r="DFF4" s="326"/>
      <c r="DFG4" s="326"/>
      <c r="DFH4" s="326"/>
      <c r="DFI4" s="326"/>
      <c r="DFJ4" s="326"/>
      <c r="DFK4" s="326"/>
      <c r="DFL4" s="326"/>
      <c r="DFM4" s="326"/>
      <c r="DFN4" s="326"/>
      <c r="DFO4" s="326"/>
      <c r="DFP4" s="326"/>
      <c r="DFQ4" s="326"/>
      <c r="DFR4" s="326"/>
      <c r="DFS4" s="326"/>
      <c r="DFT4" s="326"/>
      <c r="DFU4" s="326">
        <v>45870</v>
      </c>
      <c r="DFV4" s="326"/>
      <c r="DFW4" s="326"/>
      <c r="DFX4" s="326"/>
      <c r="DFY4" s="326"/>
      <c r="DFZ4" s="326"/>
      <c r="DGA4" s="326"/>
      <c r="DGB4" s="326"/>
      <c r="DGC4" s="326"/>
      <c r="DGD4" s="326"/>
      <c r="DGE4" s="326"/>
      <c r="DGF4" s="326"/>
      <c r="DGG4" s="326"/>
      <c r="DGH4" s="326"/>
      <c r="DGI4" s="326"/>
      <c r="DGJ4" s="326"/>
      <c r="DGK4" s="326">
        <v>45870</v>
      </c>
      <c r="DGL4" s="326"/>
      <c r="DGM4" s="326"/>
      <c r="DGN4" s="326"/>
      <c r="DGO4" s="326"/>
      <c r="DGP4" s="326"/>
      <c r="DGQ4" s="326"/>
      <c r="DGR4" s="326"/>
      <c r="DGS4" s="326"/>
      <c r="DGT4" s="326"/>
      <c r="DGU4" s="326"/>
      <c r="DGV4" s="326"/>
      <c r="DGW4" s="326"/>
      <c r="DGX4" s="326"/>
      <c r="DGY4" s="326"/>
      <c r="DGZ4" s="326"/>
      <c r="DHA4" s="326">
        <v>45870</v>
      </c>
      <c r="DHB4" s="326"/>
      <c r="DHC4" s="326"/>
      <c r="DHD4" s="326"/>
      <c r="DHE4" s="326"/>
      <c r="DHF4" s="326"/>
      <c r="DHG4" s="326"/>
      <c r="DHH4" s="326"/>
      <c r="DHI4" s="326"/>
      <c r="DHJ4" s="326"/>
      <c r="DHK4" s="326"/>
      <c r="DHL4" s="326"/>
      <c r="DHM4" s="326"/>
      <c r="DHN4" s="326"/>
      <c r="DHO4" s="326"/>
      <c r="DHP4" s="326"/>
      <c r="DHQ4" s="326">
        <v>45870</v>
      </c>
      <c r="DHR4" s="326"/>
      <c r="DHS4" s="326"/>
      <c r="DHT4" s="326"/>
      <c r="DHU4" s="326"/>
      <c r="DHV4" s="326"/>
      <c r="DHW4" s="326"/>
      <c r="DHX4" s="326"/>
      <c r="DHY4" s="326"/>
      <c r="DHZ4" s="326"/>
      <c r="DIA4" s="326"/>
      <c r="DIB4" s="326"/>
      <c r="DIC4" s="326"/>
      <c r="DID4" s="326"/>
      <c r="DIE4" s="326"/>
      <c r="DIF4" s="326"/>
      <c r="DIG4" s="326">
        <v>45870</v>
      </c>
      <c r="DIH4" s="326"/>
      <c r="DII4" s="326"/>
      <c r="DIJ4" s="326"/>
      <c r="DIK4" s="326"/>
      <c r="DIL4" s="326"/>
      <c r="DIM4" s="326"/>
      <c r="DIN4" s="326"/>
      <c r="DIO4" s="326"/>
      <c r="DIP4" s="326"/>
      <c r="DIQ4" s="326"/>
      <c r="DIR4" s="326"/>
      <c r="DIS4" s="326"/>
      <c r="DIT4" s="326"/>
      <c r="DIU4" s="326"/>
      <c r="DIV4" s="326"/>
      <c r="DIW4" s="326">
        <v>45870</v>
      </c>
      <c r="DIX4" s="326"/>
      <c r="DIY4" s="326"/>
      <c r="DIZ4" s="326"/>
      <c r="DJA4" s="326"/>
      <c r="DJB4" s="326"/>
      <c r="DJC4" s="326"/>
      <c r="DJD4" s="326"/>
      <c r="DJE4" s="326"/>
      <c r="DJF4" s="326"/>
      <c r="DJG4" s="326"/>
      <c r="DJH4" s="326"/>
      <c r="DJI4" s="326"/>
      <c r="DJJ4" s="326"/>
      <c r="DJK4" s="326"/>
      <c r="DJL4" s="326"/>
      <c r="DJM4" s="326">
        <v>45870</v>
      </c>
      <c r="DJN4" s="326"/>
      <c r="DJO4" s="326"/>
      <c r="DJP4" s="326"/>
      <c r="DJQ4" s="326"/>
      <c r="DJR4" s="326"/>
      <c r="DJS4" s="326"/>
      <c r="DJT4" s="326"/>
      <c r="DJU4" s="326"/>
      <c r="DJV4" s="326"/>
      <c r="DJW4" s="326"/>
      <c r="DJX4" s="326"/>
      <c r="DJY4" s="326"/>
      <c r="DJZ4" s="326"/>
      <c r="DKA4" s="326"/>
      <c r="DKB4" s="326"/>
      <c r="DKC4" s="326">
        <v>45870</v>
      </c>
      <c r="DKD4" s="326"/>
      <c r="DKE4" s="326"/>
      <c r="DKF4" s="326"/>
      <c r="DKG4" s="326"/>
      <c r="DKH4" s="326"/>
      <c r="DKI4" s="326"/>
      <c r="DKJ4" s="326"/>
      <c r="DKK4" s="326"/>
      <c r="DKL4" s="326"/>
      <c r="DKM4" s="326"/>
      <c r="DKN4" s="326"/>
      <c r="DKO4" s="326"/>
      <c r="DKP4" s="326"/>
      <c r="DKQ4" s="326"/>
      <c r="DKR4" s="326"/>
      <c r="DKS4" s="326">
        <v>45870</v>
      </c>
      <c r="DKT4" s="326"/>
      <c r="DKU4" s="326"/>
      <c r="DKV4" s="326"/>
      <c r="DKW4" s="326"/>
      <c r="DKX4" s="326"/>
      <c r="DKY4" s="326"/>
      <c r="DKZ4" s="326"/>
      <c r="DLA4" s="326"/>
      <c r="DLB4" s="326"/>
      <c r="DLC4" s="326"/>
      <c r="DLD4" s="326"/>
      <c r="DLE4" s="326"/>
      <c r="DLF4" s="326"/>
      <c r="DLG4" s="326"/>
      <c r="DLH4" s="326"/>
      <c r="DLI4" s="326">
        <v>45870</v>
      </c>
      <c r="DLJ4" s="326"/>
      <c r="DLK4" s="326"/>
      <c r="DLL4" s="326"/>
      <c r="DLM4" s="326"/>
      <c r="DLN4" s="326"/>
      <c r="DLO4" s="326"/>
      <c r="DLP4" s="326"/>
      <c r="DLQ4" s="326"/>
      <c r="DLR4" s="326"/>
      <c r="DLS4" s="326"/>
      <c r="DLT4" s="326"/>
      <c r="DLU4" s="326"/>
      <c r="DLV4" s="326"/>
      <c r="DLW4" s="326"/>
      <c r="DLX4" s="326"/>
      <c r="DLY4" s="326">
        <v>45870</v>
      </c>
      <c r="DLZ4" s="326"/>
      <c r="DMA4" s="326"/>
      <c r="DMB4" s="326"/>
      <c r="DMC4" s="326"/>
      <c r="DMD4" s="326"/>
      <c r="DME4" s="326"/>
      <c r="DMF4" s="326"/>
      <c r="DMG4" s="326"/>
      <c r="DMH4" s="326"/>
      <c r="DMI4" s="326"/>
      <c r="DMJ4" s="326"/>
      <c r="DMK4" s="326"/>
      <c r="DML4" s="326"/>
      <c r="DMM4" s="326"/>
      <c r="DMN4" s="326"/>
      <c r="DMO4" s="326">
        <v>45870</v>
      </c>
      <c r="DMP4" s="326"/>
      <c r="DMQ4" s="326"/>
      <c r="DMR4" s="326"/>
      <c r="DMS4" s="326"/>
      <c r="DMT4" s="326"/>
      <c r="DMU4" s="326"/>
      <c r="DMV4" s="326"/>
      <c r="DMW4" s="326"/>
      <c r="DMX4" s="326"/>
      <c r="DMY4" s="326"/>
      <c r="DMZ4" s="326"/>
      <c r="DNA4" s="326"/>
      <c r="DNB4" s="326"/>
      <c r="DNC4" s="326"/>
      <c r="DND4" s="326"/>
      <c r="DNE4" s="326">
        <v>45870</v>
      </c>
      <c r="DNF4" s="326"/>
      <c r="DNG4" s="326"/>
      <c r="DNH4" s="326"/>
      <c r="DNI4" s="326"/>
      <c r="DNJ4" s="326"/>
      <c r="DNK4" s="326"/>
      <c r="DNL4" s="326"/>
      <c r="DNM4" s="326"/>
      <c r="DNN4" s="326"/>
      <c r="DNO4" s="326"/>
      <c r="DNP4" s="326"/>
      <c r="DNQ4" s="326"/>
      <c r="DNR4" s="326"/>
      <c r="DNS4" s="326"/>
      <c r="DNT4" s="326"/>
      <c r="DNU4" s="326">
        <v>45870</v>
      </c>
      <c r="DNV4" s="326"/>
      <c r="DNW4" s="326"/>
      <c r="DNX4" s="326"/>
      <c r="DNY4" s="326"/>
      <c r="DNZ4" s="326"/>
      <c r="DOA4" s="326"/>
      <c r="DOB4" s="326"/>
      <c r="DOC4" s="326"/>
      <c r="DOD4" s="326"/>
      <c r="DOE4" s="326"/>
      <c r="DOF4" s="326"/>
      <c r="DOG4" s="326"/>
      <c r="DOH4" s="326"/>
      <c r="DOI4" s="326"/>
      <c r="DOJ4" s="326"/>
      <c r="DOK4" s="326">
        <v>45870</v>
      </c>
      <c r="DOL4" s="326"/>
      <c r="DOM4" s="326"/>
      <c r="DON4" s="326"/>
      <c r="DOO4" s="326"/>
      <c r="DOP4" s="326"/>
      <c r="DOQ4" s="326"/>
      <c r="DOR4" s="326"/>
      <c r="DOS4" s="326"/>
      <c r="DOT4" s="326"/>
      <c r="DOU4" s="326"/>
      <c r="DOV4" s="326"/>
      <c r="DOW4" s="326"/>
      <c r="DOX4" s="326"/>
      <c r="DOY4" s="326"/>
      <c r="DOZ4" s="326"/>
      <c r="DPA4" s="326">
        <v>45870</v>
      </c>
      <c r="DPB4" s="326"/>
      <c r="DPC4" s="326"/>
      <c r="DPD4" s="326"/>
      <c r="DPE4" s="326"/>
      <c r="DPF4" s="326"/>
      <c r="DPG4" s="326"/>
      <c r="DPH4" s="326"/>
      <c r="DPI4" s="326"/>
      <c r="DPJ4" s="326"/>
      <c r="DPK4" s="326"/>
      <c r="DPL4" s="326"/>
      <c r="DPM4" s="326"/>
      <c r="DPN4" s="326"/>
      <c r="DPO4" s="326"/>
      <c r="DPP4" s="326"/>
      <c r="DPQ4" s="326">
        <v>45870</v>
      </c>
      <c r="DPR4" s="326"/>
      <c r="DPS4" s="326"/>
      <c r="DPT4" s="326"/>
      <c r="DPU4" s="326"/>
      <c r="DPV4" s="326"/>
      <c r="DPW4" s="326"/>
      <c r="DPX4" s="326"/>
      <c r="DPY4" s="326"/>
      <c r="DPZ4" s="326"/>
      <c r="DQA4" s="326"/>
      <c r="DQB4" s="326"/>
      <c r="DQC4" s="326"/>
      <c r="DQD4" s="326"/>
      <c r="DQE4" s="326"/>
      <c r="DQF4" s="326"/>
      <c r="DQG4" s="326">
        <v>45870</v>
      </c>
      <c r="DQH4" s="326"/>
      <c r="DQI4" s="326"/>
      <c r="DQJ4" s="326"/>
      <c r="DQK4" s="326"/>
      <c r="DQL4" s="326"/>
      <c r="DQM4" s="326"/>
      <c r="DQN4" s="326"/>
      <c r="DQO4" s="326"/>
      <c r="DQP4" s="326"/>
      <c r="DQQ4" s="326"/>
      <c r="DQR4" s="326"/>
      <c r="DQS4" s="326"/>
      <c r="DQT4" s="326"/>
      <c r="DQU4" s="326"/>
      <c r="DQV4" s="326"/>
      <c r="DQW4" s="326">
        <v>45870</v>
      </c>
      <c r="DQX4" s="326"/>
      <c r="DQY4" s="326"/>
      <c r="DQZ4" s="326"/>
      <c r="DRA4" s="326"/>
      <c r="DRB4" s="326"/>
      <c r="DRC4" s="326"/>
      <c r="DRD4" s="326"/>
      <c r="DRE4" s="326"/>
      <c r="DRF4" s="326"/>
      <c r="DRG4" s="326"/>
      <c r="DRH4" s="326"/>
      <c r="DRI4" s="326"/>
      <c r="DRJ4" s="326"/>
      <c r="DRK4" s="326"/>
      <c r="DRL4" s="326"/>
      <c r="DRM4" s="326">
        <v>45870</v>
      </c>
      <c r="DRN4" s="326"/>
      <c r="DRO4" s="326"/>
      <c r="DRP4" s="326"/>
      <c r="DRQ4" s="326"/>
      <c r="DRR4" s="326"/>
      <c r="DRS4" s="326"/>
      <c r="DRT4" s="326"/>
      <c r="DRU4" s="326"/>
      <c r="DRV4" s="326"/>
      <c r="DRW4" s="326"/>
      <c r="DRX4" s="326"/>
      <c r="DRY4" s="326"/>
      <c r="DRZ4" s="326"/>
      <c r="DSA4" s="326"/>
      <c r="DSB4" s="326"/>
      <c r="DSC4" s="326">
        <v>45870</v>
      </c>
      <c r="DSD4" s="326"/>
      <c r="DSE4" s="326"/>
      <c r="DSF4" s="326"/>
      <c r="DSG4" s="326"/>
      <c r="DSH4" s="326"/>
      <c r="DSI4" s="326"/>
      <c r="DSJ4" s="326"/>
      <c r="DSK4" s="326"/>
      <c r="DSL4" s="326"/>
      <c r="DSM4" s="326"/>
      <c r="DSN4" s="326"/>
      <c r="DSO4" s="326"/>
      <c r="DSP4" s="326"/>
      <c r="DSQ4" s="326"/>
      <c r="DSR4" s="326"/>
      <c r="DSS4" s="326">
        <v>45870</v>
      </c>
      <c r="DST4" s="326"/>
      <c r="DSU4" s="326"/>
      <c r="DSV4" s="326"/>
      <c r="DSW4" s="326"/>
      <c r="DSX4" s="326"/>
      <c r="DSY4" s="326"/>
      <c r="DSZ4" s="326"/>
      <c r="DTA4" s="326"/>
      <c r="DTB4" s="326"/>
      <c r="DTC4" s="326"/>
      <c r="DTD4" s="326"/>
      <c r="DTE4" s="326"/>
      <c r="DTF4" s="326"/>
      <c r="DTG4" s="326"/>
      <c r="DTH4" s="326"/>
      <c r="DTI4" s="326">
        <v>45870</v>
      </c>
      <c r="DTJ4" s="326"/>
      <c r="DTK4" s="326"/>
      <c r="DTL4" s="326"/>
      <c r="DTM4" s="326"/>
      <c r="DTN4" s="326"/>
      <c r="DTO4" s="326"/>
      <c r="DTP4" s="326"/>
      <c r="DTQ4" s="326"/>
      <c r="DTR4" s="326"/>
      <c r="DTS4" s="326"/>
      <c r="DTT4" s="326"/>
      <c r="DTU4" s="326"/>
      <c r="DTV4" s="326"/>
      <c r="DTW4" s="326"/>
      <c r="DTX4" s="326"/>
      <c r="DTY4" s="326">
        <v>45870</v>
      </c>
      <c r="DTZ4" s="326"/>
      <c r="DUA4" s="326"/>
      <c r="DUB4" s="326"/>
      <c r="DUC4" s="326"/>
      <c r="DUD4" s="326"/>
      <c r="DUE4" s="326"/>
      <c r="DUF4" s="326"/>
      <c r="DUG4" s="326"/>
      <c r="DUH4" s="326"/>
      <c r="DUI4" s="326"/>
      <c r="DUJ4" s="326"/>
      <c r="DUK4" s="326"/>
      <c r="DUL4" s="326"/>
      <c r="DUM4" s="326"/>
      <c r="DUN4" s="326"/>
      <c r="DUO4" s="326">
        <v>45870</v>
      </c>
      <c r="DUP4" s="326"/>
      <c r="DUQ4" s="326"/>
      <c r="DUR4" s="326"/>
      <c r="DUS4" s="326"/>
      <c r="DUT4" s="326"/>
      <c r="DUU4" s="326"/>
      <c r="DUV4" s="326"/>
      <c r="DUW4" s="326"/>
      <c r="DUX4" s="326"/>
      <c r="DUY4" s="326"/>
      <c r="DUZ4" s="326"/>
      <c r="DVA4" s="326"/>
      <c r="DVB4" s="326"/>
      <c r="DVC4" s="326"/>
      <c r="DVD4" s="326"/>
      <c r="DVE4" s="326">
        <v>45870</v>
      </c>
      <c r="DVF4" s="326"/>
      <c r="DVG4" s="326"/>
      <c r="DVH4" s="326"/>
      <c r="DVI4" s="326"/>
      <c r="DVJ4" s="326"/>
      <c r="DVK4" s="326"/>
      <c r="DVL4" s="326"/>
      <c r="DVM4" s="326"/>
      <c r="DVN4" s="326"/>
      <c r="DVO4" s="326"/>
      <c r="DVP4" s="326"/>
      <c r="DVQ4" s="326"/>
      <c r="DVR4" s="326"/>
      <c r="DVS4" s="326"/>
      <c r="DVT4" s="326"/>
      <c r="DVU4" s="326">
        <v>45870</v>
      </c>
      <c r="DVV4" s="326"/>
      <c r="DVW4" s="326"/>
      <c r="DVX4" s="326"/>
      <c r="DVY4" s="326"/>
      <c r="DVZ4" s="326"/>
      <c r="DWA4" s="326"/>
      <c r="DWB4" s="326"/>
      <c r="DWC4" s="326"/>
      <c r="DWD4" s="326"/>
      <c r="DWE4" s="326"/>
      <c r="DWF4" s="326"/>
      <c r="DWG4" s="326"/>
      <c r="DWH4" s="326"/>
      <c r="DWI4" s="326"/>
      <c r="DWJ4" s="326"/>
      <c r="DWK4" s="326">
        <v>45870</v>
      </c>
      <c r="DWL4" s="326"/>
      <c r="DWM4" s="326"/>
      <c r="DWN4" s="326"/>
      <c r="DWO4" s="326"/>
      <c r="DWP4" s="326"/>
      <c r="DWQ4" s="326"/>
      <c r="DWR4" s="326"/>
      <c r="DWS4" s="326"/>
      <c r="DWT4" s="326"/>
      <c r="DWU4" s="326"/>
      <c r="DWV4" s="326"/>
      <c r="DWW4" s="326"/>
      <c r="DWX4" s="326"/>
      <c r="DWY4" s="326"/>
      <c r="DWZ4" s="326"/>
      <c r="DXA4" s="326">
        <v>45870</v>
      </c>
      <c r="DXB4" s="326"/>
      <c r="DXC4" s="326"/>
      <c r="DXD4" s="326"/>
      <c r="DXE4" s="326"/>
      <c r="DXF4" s="326"/>
      <c r="DXG4" s="326"/>
      <c r="DXH4" s="326"/>
      <c r="DXI4" s="326"/>
      <c r="DXJ4" s="326"/>
      <c r="DXK4" s="326"/>
      <c r="DXL4" s="326"/>
      <c r="DXM4" s="326"/>
      <c r="DXN4" s="326"/>
      <c r="DXO4" s="326"/>
      <c r="DXP4" s="326"/>
      <c r="DXQ4" s="326">
        <v>45870</v>
      </c>
      <c r="DXR4" s="326"/>
      <c r="DXS4" s="326"/>
      <c r="DXT4" s="326"/>
      <c r="DXU4" s="326"/>
      <c r="DXV4" s="326"/>
      <c r="DXW4" s="326"/>
      <c r="DXX4" s="326"/>
      <c r="DXY4" s="326"/>
      <c r="DXZ4" s="326"/>
      <c r="DYA4" s="326"/>
      <c r="DYB4" s="326"/>
      <c r="DYC4" s="326"/>
      <c r="DYD4" s="326"/>
      <c r="DYE4" s="326"/>
      <c r="DYF4" s="326"/>
      <c r="DYG4" s="326">
        <v>45870</v>
      </c>
      <c r="DYH4" s="326"/>
      <c r="DYI4" s="326"/>
      <c r="DYJ4" s="326"/>
      <c r="DYK4" s="326"/>
      <c r="DYL4" s="326"/>
      <c r="DYM4" s="326"/>
      <c r="DYN4" s="326"/>
      <c r="DYO4" s="326"/>
      <c r="DYP4" s="326"/>
      <c r="DYQ4" s="326"/>
      <c r="DYR4" s="326"/>
      <c r="DYS4" s="326"/>
      <c r="DYT4" s="326"/>
      <c r="DYU4" s="326"/>
      <c r="DYV4" s="326"/>
      <c r="DYW4" s="326">
        <v>45870</v>
      </c>
      <c r="DYX4" s="326"/>
      <c r="DYY4" s="326"/>
      <c r="DYZ4" s="326"/>
      <c r="DZA4" s="326"/>
      <c r="DZB4" s="326"/>
      <c r="DZC4" s="326"/>
      <c r="DZD4" s="326"/>
      <c r="DZE4" s="326"/>
      <c r="DZF4" s="326"/>
      <c r="DZG4" s="326"/>
      <c r="DZH4" s="326"/>
      <c r="DZI4" s="326"/>
      <c r="DZJ4" s="326"/>
      <c r="DZK4" s="326"/>
      <c r="DZL4" s="326"/>
      <c r="DZM4" s="326">
        <v>45870</v>
      </c>
      <c r="DZN4" s="326"/>
      <c r="DZO4" s="326"/>
      <c r="DZP4" s="326"/>
      <c r="DZQ4" s="326"/>
      <c r="DZR4" s="326"/>
      <c r="DZS4" s="326"/>
      <c r="DZT4" s="326"/>
      <c r="DZU4" s="326"/>
      <c r="DZV4" s="326"/>
      <c r="DZW4" s="326"/>
      <c r="DZX4" s="326"/>
      <c r="DZY4" s="326"/>
      <c r="DZZ4" s="326"/>
      <c r="EAA4" s="326"/>
      <c r="EAB4" s="326"/>
      <c r="EAC4" s="326">
        <v>45870</v>
      </c>
      <c r="EAD4" s="326"/>
      <c r="EAE4" s="326"/>
      <c r="EAF4" s="326"/>
      <c r="EAG4" s="326"/>
      <c r="EAH4" s="326"/>
      <c r="EAI4" s="326"/>
      <c r="EAJ4" s="326"/>
      <c r="EAK4" s="326"/>
      <c r="EAL4" s="326"/>
      <c r="EAM4" s="326"/>
      <c r="EAN4" s="326"/>
      <c r="EAO4" s="326"/>
      <c r="EAP4" s="326"/>
      <c r="EAQ4" s="326"/>
      <c r="EAR4" s="326"/>
      <c r="EAS4" s="326">
        <v>45870</v>
      </c>
      <c r="EAT4" s="326"/>
      <c r="EAU4" s="326"/>
      <c r="EAV4" s="326"/>
      <c r="EAW4" s="326"/>
      <c r="EAX4" s="326"/>
      <c r="EAY4" s="326"/>
      <c r="EAZ4" s="326"/>
      <c r="EBA4" s="326"/>
      <c r="EBB4" s="326"/>
      <c r="EBC4" s="326"/>
      <c r="EBD4" s="326"/>
      <c r="EBE4" s="326"/>
      <c r="EBF4" s="326"/>
      <c r="EBG4" s="326"/>
      <c r="EBH4" s="326"/>
      <c r="EBI4" s="326">
        <v>45870</v>
      </c>
      <c r="EBJ4" s="326"/>
      <c r="EBK4" s="326"/>
      <c r="EBL4" s="326"/>
      <c r="EBM4" s="326"/>
      <c r="EBN4" s="326"/>
      <c r="EBO4" s="326"/>
      <c r="EBP4" s="326"/>
      <c r="EBQ4" s="326"/>
      <c r="EBR4" s="326"/>
      <c r="EBS4" s="326"/>
      <c r="EBT4" s="326"/>
      <c r="EBU4" s="326"/>
      <c r="EBV4" s="326"/>
      <c r="EBW4" s="326"/>
      <c r="EBX4" s="326"/>
      <c r="EBY4" s="326">
        <v>45870</v>
      </c>
      <c r="EBZ4" s="326"/>
      <c r="ECA4" s="326"/>
      <c r="ECB4" s="326"/>
      <c r="ECC4" s="326"/>
      <c r="ECD4" s="326"/>
      <c r="ECE4" s="326"/>
      <c r="ECF4" s="326"/>
      <c r="ECG4" s="326"/>
      <c r="ECH4" s="326"/>
      <c r="ECI4" s="326"/>
      <c r="ECJ4" s="326"/>
      <c r="ECK4" s="326"/>
      <c r="ECL4" s="326"/>
      <c r="ECM4" s="326"/>
      <c r="ECN4" s="326"/>
      <c r="ECO4" s="326">
        <v>45870</v>
      </c>
      <c r="ECP4" s="326"/>
      <c r="ECQ4" s="326"/>
      <c r="ECR4" s="326"/>
      <c r="ECS4" s="326"/>
      <c r="ECT4" s="326"/>
      <c r="ECU4" s="326"/>
      <c r="ECV4" s="326"/>
      <c r="ECW4" s="326"/>
      <c r="ECX4" s="326"/>
      <c r="ECY4" s="326"/>
      <c r="ECZ4" s="326"/>
      <c r="EDA4" s="326"/>
      <c r="EDB4" s="326"/>
      <c r="EDC4" s="326"/>
      <c r="EDD4" s="326"/>
      <c r="EDE4" s="326">
        <v>45870</v>
      </c>
      <c r="EDF4" s="326"/>
      <c r="EDG4" s="326"/>
      <c r="EDH4" s="326"/>
      <c r="EDI4" s="326"/>
      <c r="EDJ4" s="326"/>
      <c r="EDK4" s="326"/>
      <c r="EDL4" s="326"/>
      <c r="EDM4" s="326"/>
      <c r="EDN4" s="326"/>
      <c r="EDO4" s="326"/>
      <c r="EDP4" s="326"/>
      <c r="EDQ4" s="326"/>
      <c r="EDR4" s="326"/>
      <c r="EDS4" s="326"/>
      <c r="EDT4" s="326"/>
      <c r="EDU4" s="326">
        <v>45870</v>
      </c>
      <c r="EDV4" s="326"/>
      <c r="EDW4" s="326"/>
      <c r="EDX4" s="326"/>
      <c r="EDY4" s="326"/>
      <c r="EDZ4" s="326"/>
      <c r="EEA4" s="326"/>
      <c r="EEB4" s="326"/>
      <c r="EEC4" s="326"/>
      <c r="EED4" s="326"/>
      <c r="EEE4" s="326"/>
      <c r="EEF4" s="326"/>
      <c r="EEG4" s="326"/>
      <c r="EEH4" s="326"/>
      <c r="EEI4" s="326"/>
      <c r="EEJ4" s="326"/>
      <c r="EEK4" s="326">
        <v>45870</v>
      </c>
      <c r="EEL4" s="326"/>
      <c r="EEM4" s="326"/>
      <c r="EEN4" s="326"/>
      <c r="EEO4" s="326"/>
      <c r="EEP4" s="326"/>
      <c r="EEQ4" s="326"/>
      <c r="EER4" s="326"/>
      <c r="EES4" s="326"/>
      <c r="EET4" s="326"/>
      <c r="EEU4" s="326"/>
      <c r="EEV4" s="326"/>
      <c r="EEW4" s="326"/>
      <c r="EEX4" s="326"/>
      <c r="EEY4" s="326"/>
      <c r="EEZ4" s="326"/>
      <c r="EFA4" s="326">
        <v>45870</v>
      </c>
      <c r="EFB4" s="326"/>
      <c r="EFC4" s="326"/>
      <c r="EFD4" s="326"/>
      <c r="EFE4" s="326"/>
      <c r="EFF4" s="326"/>
      <c r="EFG4" s="326"/>
      <c r="EFH4" s="326"/>
      <c r="EFI4" s="326"/>
      <c r="EFJ4" s="326"/>
      <c r="EFK4" s="326"/>
      <c r="EFL4" s="326"/>
      <c r="EFM4" s="326"/>
      <c r="EFN4" s="326"/>
      <c r="EFO4" s="326"/>
      <c r="EFP4" s="326"/>
      <c r="EFQ4" s="326">
        <v>45870</v>
      </c>
      <c r="EFR4" s="326"/>
      <c r="EFS4" s="326"/>
      <c r="EFT4" s="326"/>
      <c r="EFU4" s="326"/>
      <c r="EFV4" s="326"/>
      <c r="EFW4" s="326"/>
      <c r="EFX4" s="326"/>
      <c r="EFY4" s="326"/>
      <c r="EFZ4" s="326"/>
      <c r="EGA4" s="326"/>
      <c r="EGB4" s="326"/>
      <c r="EGC4" s="326"/>
      <c r="EGD4" s="326"/>
      <c r="EGE4" s="326"/>
      <c r="EGF4" s="326"/>
      <c r="EGG4" s="326">
        <v>45870</v>
      </c>
      <c r="EGH4" s="326"/>
      <c r="EGI4" s="326"/>
      <c r="EGJ4" s="326"/>
      <c r="EGK4" s="326"/>
      <c r="EGL4" s="326"/>
      <c r="EGM4" s="326"/>
      <c r="EGN4" s="326"/>
      <c r="EGO4" s="326"/>
      <c r="EGP4" s="326"/>
      <c r="EGQ4" s="326"/>
      <c r="EGR4" s="326"/>
      <c r="EGS4" s="326"/>
      <c r="EGT4" s="326"/>
      <c r="EGU4" s="326"/>
      <c r="EGV4" s="326"/>
      <c r="EGW4" s="326">
        <v>45870</v>
      </c>
      <c r="EGX4" s="326"/>
      <c r="EGY4" s="326"/>
      <c r="EGZ4" s="326"/>
      <c r="EHA4" s="326"/>
      <c r="EHB4" s="326"/>
      <c r="EHC4" s="326"/>
      <c r="EHD4" s="326"/>
      <c r="EHE4" s="326"/>
      <c r="EHF4" s="326"/>
      <c r="EHG4" s="326"/>
      <c r="EHH4" s="326"/>
      <c r="EHI4" s="326"/>
      <c r="EHJ4" s="326"/>
      <c r="EHK4" s="326"/>
      <c r="EHL4" s="326"/>
      <c r="EHM4" s="326">
        <v>45870</v>
      </c>
      <c r="EHN4" s="326"/>
      <c r="EHO4" s="326"/>
      <c r="EHP4" s="326"/>
      <c r="EHQ4" s="326"/>
      <c r="EHR4" s="326"/>
      <c r="EHS4" s="326"/>
      <c r="EHT4" s="326"/>
      <c r="EHU4" s="326"/>
      <c r="EHV4" s="326"/>
      <c r="EHW4" s="326"/>
      <c r="EHX4" s="326"/>
      <c r="EHY4" s="326"/>
      <c r="EHZ4" s="326"/>
      <c r="EIA4" s="326"/>
      <c r="EIB4" s="326"/>
      <c r="EIC4" s="326">
        <v>45870</v>
      </c>
      <c r="EID4" s="326"/>
      <c r="EIE4" s="326"/>
      <c r="EIF4" s="326"/>
      <c r="EIG4" s="326"/>
      <c r="EIH4" s="326"/>
      <c r="EII4" s="326"/>
      <c r="EIJ4" s="326"/>
      <c r="EIK4" s="326"/>
      <c r="EIL4" s="326"/>
      <c r="EIM4" s="326"/>
      <c r="EIN4" s="326"/>
      <c r="EIO4" s="326"/>
      <c r="EIP4" s="326"/>
      <c r="EIQ4" s="326"/>
      <c r="EIR4" s="326"/>
      <c r="EIS4" s="326">
        <v>45870</v>
      </c>
      <c r="EIT4" s="326"/>
      <c r="EIU4" s="326"/>
      <c r="EIV4" s="326"/>
      <c r="EIW4" s="326"/>
      <c r="EIX4" s="326"/>
      <c r="EIY4" s="326"/>
      <c r="EIZ4" s="326"/>
      <c r="EJA4" s="326"/>
      <c r="EJB4" s="326"/>
      <c r="EJC4" s="326"/>
      <c r="EJD4" s="326"/>
      <c r="EJE4" s="326"/>
      <c r="EJF4" s="326"/>
      <c r="EJG4" s="326"/>
      <c r="EJH4" s="326"/>
      <c r="EJI4" s="326">
        <v>45870</v>
      </c>
      <c r="EJJ4" s="326"/>
      <c r="EJK4" s="326"/>
      <c r="EJL4" s="326"/>
      <c r="EJM4" s="326"/>
      <c r="EJN4" s="326"/>
      <c r="EJO4" s="326"/>
      <c r="EJP4" s="326"/>
      <c r="EJQ4" s="326"/>
      <c r="EJR4" s="326"/>
      <c r="EJS4" s="326"/>
      <c r="EJT4" s="326"/>
      <c r="EJU4" s="326"/>
      <c r="EJV4" s="326"/>
      <c r="EJW4" s="326"/>
      <c r="EJX4" s="326"/>
      <c r="EJY4" s="326">
        <v>45870</v>
      </c>
      <c r="EJZ4" s="326"/>
      <c r="EKA4" s="326"/>
      <c r="EKB4" s="326"/>
      <c r="EKC4" s="326"/>
      <c r="EKD4" s="326"/>
      <c r="EKE4" s="326"/>
      <c r="EKF4" s="326"/>
      <c r="EKG4" s="326"/>
      <c r="EKH4" s="326"/>
      <c r="EKI4" s="326"/>
      <c r="EKJ4" s="326"/>
      <c r="EKK4" s="326"/>
      <c r="EKL4" s="326"/>
      <c r="EKM4" s="326"/>
      <c r="EKN4" s="326"/>
      <c r="EKO4" s="326">
        <v>45870</v>
      </c>
      <c r="EKP4" s="326"/>
      <c r="EKQ4" s="326"/>
      <c r="EKR4" s="326"/>
      <c r="EKS4" s="326"/>
      <c r="EKT4" s="326"/>
      <c r="EKU4" s="326"/>
      <c r="EKV4" s="326"/>
      <c r="EKW4" s="326"/>
      <c r="EKX4" s="326"/>
      <c r="EKY4" s="326"/>
      <c r="EKZ4" s="326"/>
      <c r="ELA4" s="326"/>
      <c r="ELB4" s="326"/>
      <c r="ELC4" s="326"/>
      <c r="ELD4" s="326"/>
      <c r="ELE4" s="326">
        <v>45870</v>
      </c>
      <c r="ELF4" s="326"/>
      <c r="ELG4" s="326"/>
      <c r="ELH4" s="326"/>
      <c r="ELI4" s="326"/>
      <c r="ELJ4" s="326"/>
      <c r="ELK4" s="326"/>
      <c r="ELL4" s="326"/>
      <c r="ELM4" s="326"/>
      <c r="ELN4" s="326"/>
      <c r="ELO4" s="326"/>
      <c r="ELP4" s="326"/>
      <c r="ELQ4" s="326"/>
      <c r="ELR4" s="326"/>
      <c r="ELS4" s="326"/>
      <c r="ELT4" s="326"/>
      <c r="ELU4" s="326">
        <v>45870</v>
      </c>
      <c r="ELV4" s="326"/>
      <c r="ELW4" s="326"/>
      <c r="ELX4" s="326"/>
      <c r="ELY4" s="326"/>
      <c r="ELZ4" s="326"/>
      <c r="EMA4" s="326"/>
      <c r="EMB4" s="326"/>
      <c r="EMC4" s="326"/>
      <c r="EMD4" s="326"/>
      <c r="EME4" s="326"/>
      <c r="EMF4" s="326"/>
      <c r="EMG4" s="326"/>
      <c r="EMH4" s="326"/>
      <c r="EMI4" s="326"/>
      <c r="EMJ4" s="326"/>
      <c r="EMK4" s="326">
        <v>45870</v>
      </c>
      <c r="EML4" s="326"/>
      <c r="EMM4" s="326"/>
      <c r="EMN4" s="326"/>
      <c r="EMO4" s="326"/>
      <c r="EMP4" s="326"/>
      <c r="EMQ4" s="326"/>
      <c r="EMR4" s="326"/>
      <c r="EMS4" s="326"/>
      <c r="EMT4" s="326"/>
      <c r="EMU4" s="326"/>
      <c r="EMV4" s="326"/>
      <c r="EMW4" s="326"/>
      <c r="EMX4" s="326"/>
      <c r="EMY4" s="326"/>
      <c r="EMZ4" s="326"/>
      <c r="ENA4" s="326">
        <v>45870</v>
      </c>
      <c r="ENB4" s="326"/>
      <c r="ENC4" s="326"/>
      <c r="END4" s="326"/>
      <c r="ENE4" s="326"/>
      <c r="ENF4" s="326"/>
      <c r="ENG4" s="326"/>
      <c r="ENH4" s="326"/>
      <c r="ENI4" s="326"/>
      <c r="ENJ4" s="326"/>
      <c r="ENK4" s="326"/>
      <c r="ENL4" s="326"/>
      <c r="ENM4" s="326"/>
      <c r="ENN4" s="326"/>
      <c r="ENO4" s="326"/>
      <c r="ENP4" s="326"/>
      <c r="ENQ4" s="326">
        <v>45870</v>
      </c>
      <c r="ENR4" s="326"/>
      <c r="ENS4" s="326"/>
      <c r="ENT4" s="326"/>
      <c r="ENU4" s="326"/>
      <c r="ENV4" s="326"/>
      <c r="ENW4" s="326"/>
      <c r="ENX4" s="326"/>
      <c r="ENY4" s="326"/>
      <c r="ENZ4" s="326"/>
      <c r="EOA4" s="326"/>
      <c r="EOB4" s="326"/>
      <c r="EOC4" s="326"/>
      <c r="EOD4" s="326"/>
      <c r="EOE4" s="326"/>
      <c r="EOF4" s="326"/>
      <c r="EOG4" s="326">
        <v>45870</v>
      </c>
      <c r="EOH4" s="326"/>
      <c r="EOI4" s="326"/>
      <c r="EOJ4" s="326"/>
      <c r="EOK4" s="326"/>
      <c r="EOL4" s="326"/>
      <c r="EOM4" s="326"/>
      <c r="EON4" s="326"/>
      <c r="EOO4" s="326"/>
      <c r="EOP4" s="326"/>
      <c r="EOQ4" s="326"/>
      <c r="EOR4" s="326"/>
      <c r="EOS4" s="326"/>
      <c r="EOT4" s="326"/>
      <c r="EOU4" s="326"/>
      <c r="EOV4" s="326"/>
      <c r="EOW4" s="326">
        <v>45870</v>
      </c>
      <c r="EOX4" s="326"/>
      <c r="EOY4" s="326"/>
      <c r="EOZ4" s="326"/>
      <c r="EPA4" s="326"/>
      <c r="EPB4" s="326"/>
      <c r="EPC4" s="326"/>
      <c r="EPD4" s="326"/>
      <c r="EPE4" s="326"/>
      <c r="EPF4" s="326"/>
      <c r="EPG4" s="326"/>
      <c r="EPH4" s="326"/>
      <c r="EPI4" s="326"/>
      <c r="EPJ4" s="326"/>
      <c r="EPK4" s="326"/>
      <c r="EPL4" s="326"/>
      <c r="EPM4" s="326">
        <v>45870</v>
      </c>
      <c r="EPN4" s="326"/>
      <c r="EPO4" s="326"/>
      <c r="EPP4" s="326"/>
      <c r="EPQ4" s="326"/>
      <c r="EPR4" s="326"/>
      <c r="EPS4" s="326"/>
      <c r="EPT4" s="326"/>
      <c r="EPU4" s="326"/>
      <c r="EPV4" s="326"/>
      <c r="EPW4" s="326"/>
      <c r="EPX4" s="326"/>
      <c r="EPY4" s="326"/>
      <c r="EPZ4" s="326"/>
      <c r="EQA4" s="326"/>
      <c r="EQB4" s="326"/>
      <c r="EQC4" s="326">
        <v>45870</v>
      </c>
      <c r="EQD4" s="326"/>
      <c r="EQE4" s="326"/>
      <c r="EQF4" s="326"/>
      <c r="EQG4" s="326"/>
      <c r="EQH4" s="326"/>
      <c r="EQI4" s="326"/>
      <c r="EQJ4" s="326"/>
      <c r="EQK4" s="326"/>
      <c r="EQL4" s="326"/>
      <c r="EQM4" s="326"/>
      <c r="EQN4" s="326"/>
      <c r="EQO4" s="326"/>
      <c r="EQP4" s="326"/>
      <c r="EQQ4" s="326"/>
      <c r="EQR4" s="326"/>
      <c r="EQS4" s="326">
        <v>45870</v>
      </c>
      <c r="EQT4" s="326"/>
      <c r="EQU4" s="326"/>
      <c r="EQV4" s="326"/>
      <c r="EQW4" s="326"/>
      <c r="EQX4" s="326"/>
      <c r="EQY4" s="326"/>
      <c r="EQZ4" s="326"/>
      <c r="ERA4" s="326"/>
      <c r="ERB4" s="326"/>
      <c r="ERC4" s="326"/>
      <c r="ERD4" s="326"/>
      <c r="ERE4" s="326"/>
      <c r="ERF4" s="326"/>
      <c r="ERG4" s="326"/>
      <c r="ERH4" s="326"/>
      <c r="ERI4" s="326">
        <v>45870</v>
      </c>
      <c r="ERJ4" s="326"/>
      <c r="ERK4" s="326"/>
      <c r="ERL4" s="326"/>
      <c r="ERM4" s="326"/>
      <c r="ERN4" s="326"/>
      <c r="ERO4" s="326"/>
      <c r="ERP4" s="326"/>
      <c r="ERQ4" s="326"/>
      <c r="ERR4" s="326"/>
      <c r="ERS4" s="326"/>
      <c r="ERT4" s="326"/>
      <c r="ERU4" s="326"/>
      <c r="ERV4" s="326"/>
      <c r="ERW4" s="326"/>
      <c r="ERX4" s="326"/>
      <c r="ERY4" s="326">
        <v>45870</v>
      </c>
      <c r="ERZ4" s="326"/>
      <c r="ESA4" s="326"/>
      <c r="ESB4" s="326"/>
      <c r="ESC4" s="326"/>
      <c r="ESD4" s="326"/>
      <c r="ESE4" s="326"/>
      <c r="ESF4" s="326"/>
      <c r="ESG4" s="326"/>
      <c r="ESH4" s="326"/>
      <c r="ESI4" s="326"/>
      <c r="ESJ4" s="326"/>
      <c r="ESK4" s="326"/>
      <c r="ESL4" s="326"/>
      <c r="ESM4" s="326"/>
      <c r="ESN4" s="326"/>
      <c r="ESO4" s="326">
        <v>45870</v>
      </c>
      <c r="ESP4" s="326"/>
      <c r="ESQ4" s="326"/>
      <c r="ESR4" s="326"/>
      <c r="ESS4" s="326"/>
      <c r="EST4" s="326"/>
      <c r="ESU4" s="326"/>
      <c r="ESV4" s="326"/>
      <c r="ESW4" s="326"/>
      <c r="ESX4" s="326"/>
      <c r="ESY4" s="326"/>
      <c r="ESZ4" s="326"/>
      <c r="ETA4" s="326"/>
      <c r="ETB4" s="326"/>
      <c r="ETC4" s="326"/>
      <c r="ETD4" s="326"/>
      <c r="ETE4" s="326">
        <v>45870</v>
      </c>
      <c r="ETF4" s="326"/>
      <c r="ETG4" s="326"/>
      <c r="ETH4" s="326"/>
      <c r="ETI4" s="326"/>
      <c r="ETJ4" s="326"/>
      <c r="ETK4" s="326"/>
      <c r="ETL4" s="326"/>
      <c r="ETM4" s="326"/>
      <c r="ETN4" s="326"/>
      <c r="ETO4" s="326"/>
      <c r="ETP4" s="326"/>
      <c r="ETQ4" s="326"/>
      <c r="ETR4" s="326"/>
      <c r="ETS4" s="326"/>
      <c r="ETT4" s="326"/>
      <c r="ETU4" s="326">
        <v>45870</v>
      </c>
      <c r="ETV4" s="326"/>
      <c r="ETW4" s="326"/>
      <c r="ETX4" s="326"/>
      <c r="ETY4" s="326"/>
      <c r="ETZ4" s="326"/>
      <c r="EUA4" s="326"/>
      <c r="EUB4" s="326"/>
      <c r="EUC4" s="326"/>
      <c r="EUD4" s="326"/>
      <c r="EUE4" s="326"/>
      <c r="EUF4" s="326"/>
      <c r="EUG4" s="326"/>
      <c r="EUH4" s="326"/>
      <c r="EUI4" s="326"/>
      <c r="EUJ4" s="326"/>
      <c r="EUK4" s="326">
        <v>45870</v>
      </c>
      <c r="EUL4" s="326"/>
      <c r="EUM4" s="326"/>
      <c r="EUN4" s="326"/>
      <c r="EUO4" s="326"/>
      <c r="EUP4" s="326"/>
      <c r="EUQ4" s="326"/>
      <c r="EUR4" s="326"/>
      <c r="EUS4" s="326"/>
      <c r="EUT4" s="326"/>
      <c r="EUU4" s="326"/>
      <c r="EUV4" s="326"/>
      <c r="EUW4" s="326"/>
      <c r="EUX4" s="326"/>
      <c r="EUY4" s="326"/>
      <c r="EUZ4" s="326"/>
      <c r="EVA4" s="326">
        <v>45870</v>
      </c>
      <c r="EVB4" s="326"/>
      <c r="EVC4" s="326"/>
      <c r="EVD4" s="326"/>
      <c r="EVE4" s="326"/>
      <c r="EVF4" s="326"/>
      <c r="EVG4" s="326"/>
      <c r="EVH4" s="326"/>
      <c r="EVI4" s="326"/>
      <c r="EVJ4" s="326"/>
      <c r="EVK4" s="326"/>
      <c r="EVL4" s="326"/>
      <c r="EVM4" s="326"/>
      <c r="EVN4" s="326"/>
      <c r="EVO4" s="326"/>
      <c r="EVP4" s="326"/>
      <c r="EVQ4" s="326">
        <v>45870</v>
      </c>
      <c r="EVR4" s="326"/>
      <c r="EVS4" s="326"/>
      <c r="EVT4" s="326"/>
      <c r="EVU4" s="326"/>
      <c r="EVV4" s="326"/>
      <c r="EVW4" s="326"/>
      <c r="EVX4" s="326"/>
      <c r="EVY4" s="326"/>
      <c r="EVZ4" s="326"/>
      <c r="EWA4" s="326"/>
      <c r="EWB4" s="326"/>
      <c r="EWC4" s="326"/>
      <c r="EWD4" s="326"/>
      <c r="EWE4" s="326"/>
      <c r="EWF4" s="326"/>
      <c r="EWG4" s="326">
        <v>45870</v>
      </c>
      <c r="EWH4" s="326"/>
      <c r="EWI4" s="326"/>
      <c r="EWJ4" s="326"/>
      <c r="EWK4" s="326"/>
      <c r="EWL4" s="326"/>
      <c r="EWM4" s="326"/>
      <c r="EWN4" s="326"/>
      <c r="EWO4" s="326"/>
      <c r="EWP4" s="326"/>
      <c r="EWQ4" s="326"/>
      <c r="EWR4" s="326"/>
      <c r="EWS4" s="326"/>
      <c r="EWT4" s="326"/>
      <c r="EWU4" s="326"/>
      <c r="EWV4" s="326"/>
      <c r="EWW4" s="326">
        <v>45870</v>
      </c>
      <c r="EWX4" s="326"/>
      <c r="EWY4" s="326"/>
      <c r="EWZ4" s="326"/>
      <c r="EXA4" s="326"/>
      <c r="EXB4" s="326"/>
      <c r="EXC4" s="326"/>
      <c r="EXD4" s="326"/>
      <c r="EXE4" s="326"/>
      <c r="EXF4" s="326"/>
      <c r="EXG4" s="326"/>
      <c r="EXH4" s="326"/>
      <c r="EXI4" s="326"/>
      <c r="EXJ4" s="326"/>
      <c r="EXK4" s="326"/>
      <c r="EXL4" s="326"/>
      <c r="EXM4" s="326">
        <v>45870</v>
      </c>
      <c r="EXN4" s="326"/>
      <c r="EXO4" s="326"/>
      <c r="EXP4" s="326"/>
      <c r="EXQ4" s="326"/>
      <c r="EXR4" s="326"/>
      <c r="EXS4" s="326"/>
      <c r="EXT4" s="326"/>
      <c r="EXU4" s="326"/>
      <c r="EXV4" s="326"/>
      <c r="EXW4" s="326"/>
      <c r="EXX4" s="326"/>
      <c r="EXY4" s="326"/>
      <c r="EXZ4" s="326"/>
      <c r="EYA4" s="326"/>
      <c r="EYB4" s="326"/>
      <c r="EYC4" s="326">
        <v>45870</v>
      </c>
      <c r="EYD4" s="326"/>
      <c r="EYE4" s="326"/>
      <c r="EYF4" s="326"/>
      <c r="EYG4" s="326"/>
      <c r="EYH4" s="326"/>
      <c r="EYI4" s="326"/>
      <c r="EYJ4" s="326"/>
      <c r="EYK4" s="326"/>
      <c r="EYL4" s="326"/>
      <c r="EYM4" s="326"/>
      <c r="EYN4" s="326"/>
      <c r="EYO4" s="326"/>
      <c r="EYP4" s="326"/>
      <c r="EYQ4" s="326"/>
      <c r="EYR4" s="326"/>
      <c r="EYS4" s="326">
        <v>45870</v>
      </c>
      <c r="EYT4" s="326"/>
      <c r="EYU4" s="326"/>
      <c r="EYV4" s="326"/>
      <c r="EYW4" s="326"/>
      <c r="EYX4" s="326"/>
      <c r="EYY4" s="326"/>
      <c r="EYZ4" s="326"/>
      <c r="EZA4" s="326"/>
      <c r="EZB4" s="326"/>
      <c r="EZC4" s="326"/>
      <c r="EZD4" s="326"/>
      <c r="EZE4" s="326"/>
      <c r="EZF4" s="326"/>
      <c r="EZG4" s="326"/>
      <c r="EZH4" s="326"/>
      <c r="EZI4" s="326">
        <v>45870</v>
      </c>
      <c r="EZJ4" s="326"/>
      <c r="EZK4" s="326"/>
      <c r="EZL4" s="326"/>
      <c r="EZM4" s="326"/>
      <c r="EZN4" s="326"/>
      <c r="EZO4" s="326"/>
      <c r="EZP4" s="326"/>
      <c r="EZQ4" s="326"/>
      <c r="EZR4" s="326"/>
      <c r="EZS4" s="326"/>
      <c r="EZT4" s="326"/>
      <c r="EZU4" s="326"/>
      <c r="EZV4" s="326"/>
      <c r="EZW4" s="326"/>
      <c r="EZX4" s="326"/>
      <c r="EZY4" s="326">
        <v>45870</v>
      </c>
      <c r="EZZ4" s="326"/>
      <c r="FAA4" s="326"/>
      <c r="FAB4" s="326"/>
      <c r="FAC4" s="326"/>
      <c r="FAD4" s="326"/>
      <c r="FAE4" s="326"/>
      <c r="FAF4" s="326"/>
      <c r="FAG4" s="326"/>
      <c r="FAH4" s="326"/>
      <c r="FAI4" s="326"/>
      <c r="FAJ4" s="326"/>
      <c r="FAK4" s="326"/>
      <c r="FAL4" s="326"/>
      <c r="FAM4" s="326"/>
      <c r="FAN4" s="326"/>
      <c r="FAO4" s="326">
        <v>45870</v>
      </c>
      <c r="FAP4" s="326"/>
      <c r="FAQ4" s="326"/>
      <c r="FAR4" s="326"/>
      <c r="FAS4" s="326"/>
      <c r="FAT4" s="326"/>
      <c r="FAU4" s="326"/>
      <c r="FAV4" s="326"/>
      <c r="FAW4" s="326"/>
      <c r="FAX4" s="326"/>
      <c r="FAY4" s="326"/>
      <c r="FAZ4" s="326"/>
      <c r="FBA4" s="326"/>
      <c r="FBB4" s="326"/>
      <c r="FBC4" s="326"/>
      <c r="FBD4" s="326"/>
      <c r="FBE4" s="326">
        <v>45870</v>
      </c>
      <c r="FBF4" s="326"/>
      <c r="FBG4" s="326"/>
      <c r="FBH4" s="326"/>
      <c r="FBI4" s="326"/>
      <c r="FBJ4" s="326"/>
      <c r="FBK4" s="326"/>
      <c r="FBL4" s="326"/>
      <c r="FBM4" s="326"/>
      <c r="FBN4" s="326"/>
      <c r="FBO4" s="326"/>
      <c r="FBP4" s="326"/>
      <c r="FBQ4" s="326"/>
      <c r="FBR4" s="326"/>
      <c r="FBS4" s="326"/>
      <c r="FBT4" s="326"/>
      <c r="FBU4" s="326">
        <v>45870</v>
      </c>
      <c r="FBV4" s="326"/>
      <c r="FBW4" s="326"/>
      <c r="FBX4" s="326"/>
      <c r="FBY4" s="326"/>
      <c r="FBZ4" s="326"/>
      <c r="FCA4" s="326"/>
      <c r="FCB4" s="326"/>
      <c r="FCC4" s="326"/>
      <c r="FCD4" s="326"/>
      <c r="FCE4" s="326"/>
      <c r="FCF4" s="326"/>
      <c r="FCG4" s="326"/>
      <c r="FCH4" s="326"/>
      <c r="FCI4" s="326"/>
      <c r="FCJ4" s="326"/>
      <c r="FCK4" s="326">
        <v>45870</v>
      </c>
      <c r="FCL4" s="326"/>
      <c r="FCM4" s="326"/>
      <c r="FCN4" s="326"/>
      <c r="FCO4" s="326"/>
      <c r="FCP4" s="326"/>
      <c r="FCQ4" s="326"/>
      <c r="FCR4" s="326"/>
      <c r="FCS4" s="326"/>
      <c r="FCT4" s="326"/>
      <c r="FCU4" s="326"/>
      <c r="FCV4" s="326"/>
      <c r="FCW4" s="326"/>
      <c r="FCX4" s="326"/>
      <c r="FCY4" s="326"/>
      <c r="FCZ4" s="326"/>
      <c r="FDA4" s="326">
        <v>45870</v>
      </c>
      <c r="FDB4" s="326"/>
      <c r="FDC4" s="326"/>
      <c r="FDD4" s="326"/>
      <c r="FDE4" s="326"/>
      <c r="FDF4" s="326"/>
      <c r="FDG4" s="326"/>
      <c r="FDH4" s="326"/>
      <c r="FDI4" s="326"/>
      <c r="FDJ4" s="326"/>
      <c r="FDK4" s="326"/>
      <c r="FDL4" s="326"/>
      <c r="FDM4" s="326"/>
      <c r="FDN4" s="326"/>
      <c r="FDO4" s="326"/>
      <c r="FDP4" s="326"/>
      <c r="FDQ4" s="326">
        <v>45870</v>
      </c>
      <c r="FDR4" s="326"/>
      <c r="FDS4" s="326"/>
      <c r="FDT4" s="326"/>
      <c r="FDU4" s="326"/>
      <c r="FDV4" s="326"/>
      <c r="FDW4" s="326"/>
      <c r="FDX4" s="326"/>
      <c r="FDY4" s="326"/>
      <c r="FDZ4" s="326"/>
      <c r="FEA4" s="326"/>
      <c r="FEB4" s="326"/>
      <c r="FEC4" s="326"/>
      <c r="FED4" s="326"/>
      <c r="FEE4" s="326"/>
      <c r="FEF4" s="326"/>
      <c r="FEG4" s="326">
        <v>45870</v>
      </c>
      <c r="FEH4" s="326"/>
      <c r="FEI4" s="326"/>
      <c r="FEJ4" s="326"/>
      <c r="FEK4" s="326"/>
      <c r="FEL4" s="326"/>
      <c r="FEM4" s="326"/>
      <c r="FEN4" s="326"/>
      <c r="FEO4" s="326"/>
      <c r="FEP4" s="326"/>
      <c r="FEQ4" s="326"/>
      <c r="FER4" s="326"/>
      <c r="FES4" s="326"/>
      <c r="FET4" s="326"/>
      <c r="FEU4" s="326"/>
      <c r="FEV4" s="326"/>
      <c r="FEW4" s="326">
        <v>45870</v>
      </c>
      <c r="FEX4" s="326"/>
      <c r="FEY4" s="326"/>
      <c r="FEZ4" s="326"/>
      <c r="FFA4" s="326"/>
      <c r="FFB4" s="326"/>
      <c r="FFC4" s="326"/>
      <c r="FFD4" s="326"/>
      <c r="FFE4" s="326"/>
      <c r="FFF4" s="326"/>
      <c r="FFG4" s="326"/>
      <c r="FFH4" s="326"/>
      <c r="FFI4" s="326"/>
      <c r="FFJ4" s="326"/>
      <c r="FFK4" s="326"/>
      <c r="FFL4" s="326"/>
      <c r="FFM4" s="326">
        <v>45870</v>
      </c>
      <c r="FFN4" s="326"/>
      <c r="FFO4" s="326"/>
      <c r="FFP4" s="326"/>
      <c r="FFQ4" s="326"/>
      <c r="FFR4" s="326"/>
      <c r="FFS4" s="326"/>
      <c r="FFT4" s="326"/>
      <c r="FFU4" s="326"/>
      <c r="FFV4" s="326"/>
      <c r="FFW4" s="326"/>
      <c r="FFX4" s="326"/>
      <c r="FFY4" s="326"/>
      <c r="FFZ4" s="326"/>
      <c r="FGA4" s="326"/>
      <c r="FGB4" s="326"/>
      <c r="FGC4" s="326">
        <v>45870</v>
      </c>
      <c r="FGD4" s="326"/>
      <c r="FGE4" s="326"/>
      <c r="FGF4" s="326"/>
      <c r="FGG4" s="326"/>
      <c r="FGH4" s="326"/>
      <c r="FGI4" s="326"/>
      <c r="FGJ4" s="326"/>
      <c r="FGK4" s="326"/>
      <c r="FGL4" s="326"/>
      <c r="FGM4" s="326"/>
      <c r="FGN4" s="326"/>
      <c r="FGO4" s="326"/>
      <c r="FGP4" s="326"/>
      <c r="FGQ4" s="326"/>
      <c r="FGR4" s="326"/>
      <c r="FGS4" s="326">
        <v>45870</v>
      </c>
      <c r="FGT4" s="326"/>
      <c r="FGU4" s="326"/>
      <c r="FGV4" s="326"/>
      <c r="FGW4" s="326"/>
      <c r="FGX4" s="326"/>
      <c r="FGY4" s="326"/>
      <c r="FGZ4" s="326"/>
      <c r="FHA4" s="326"/>
      <c r="FHB4" s="326"/>
      <c r="FHC4" s="326"/>
      <c r="FHD4" s="326"/>
      <c r="FHE4" s="326"/>
      <c r="FHF4" s="326"/>
      <c r="FHG4" s="326"/>
      <c r="FHH4" s="326"/>
      <c r="FHI4" s="326">
        <v>45870</v>
      </c>
      <c r="FHJ4" s="326"/>
      <c r="FHK4" s="326"/>
      <c r="FHL4" s="326"/>
      <c r="FHM4" s="326"/>
      <c r="FHN4" s="326"/>
      <c r="FHO4" s="326"/>
      <c r="FHP4" s="326"/>
      <c r="FHQ4" s="326"/>
      <c r="FHR4" s="326"/>
      <c r="FHS4" s="326"/>
      <c r="FHT4" s="326"/>
      <c r="FHU4" s="326"/>
      <c r="FHV4" s="326"/>
      <c r="FHW4" s="326"/>
      <c r="FHX4" s="326"/>
      <c r="FHY4" s="326">
        <v>45870</v>
      </c>
      <c r="FHZ4" s="326"/>
      <c r="FIA4" s="326"/>
      <c r="FIB4" s="326"/>
      <c r="FIC4" s="326"/>
      <c r="FID4" s="326"/>
      <c r="FIE4" s="326"/>
      <c r="FIF4" s="326"/>
      <c r="FIG4" s="326"/>
      <c r="FIH4" s="326"/>
      <c r="FII4" s="326"/>
      <c r="FIJ4" s="326"/>
      <c r="FIK4" s="326"/>
      <c r="FIL4" s="326"/>
      <c r="FIM4" s="326"/>
      <c r="FIN4" s="326"/>
      <c r="FIO4" s="326">
        <v>45870</v>
      </c>
      <c r="FIP4" s="326"/>
      <c r="FIQ4" s="326"/>
      <c r="FIR4" s="326"/>
      <c r="FIS4" s="326"/>
      <c r="FIT4" s="326"/>
      <c r="FIU4" s="326"/>
      <c r="FIV4" s="326"/>
      <c r="FIW4" s="326"/>
      <c r="FIX4" s="326"/>
      <c r="FIY4" s="326"/>
      <c r="FIZ4" s="326"/>
      <c r="FJA4" s="326"/>
      <c r="FJB4" s="326"/>
      <c r="FJC4" s="326"/>
      <c r="FJD4" s="326"/>
      <c r="FJE4" s="326">
        <v>45870</v>
      </c>
      <c r="FJF4" s="326"/>
      <c r="FJG4" s="326"/>
      <c r="FJH4" s="326"/>
      <c r="FJI4" s="326"/>
      <c r="FJJ4" s="326"/>
      <c r="FJK4" s="326"/>
      <c r="FJL4" s="326"/>
      <c r="FJM4" s="326"/>
      <c r="FJN4" s="326"/>
      <c r="FJO4" s="326"/>
      <c r="FJP4" s="326"/>
      <c r="FJQ4" s="326"/>
      <c r="FJR4" s="326"/>
      <c r="FJS4" s="326"/>
      <c r="FJT4" s="326"/>
      <c r="FJU4" s="326">
        <v>45870</v>
      </c>
      <c r="FJV4" s="326"/>
      <c r="FJW4" s="326"/>
      <c r="FJX4" s="326"/>
      <c r="FJY4" s="326"/>
      <c r="FJZ4" s="326"/>
      <c r="FKA4" s="326"/>
      <c r="FKB4" s="326"/>
      <c r="FKC4" s="326"/>
      <c r="FKD4" s="326"/>
      <c r="FKE4" s="326"/>
      <c r="FKF4" s="326"/>
      <c r="FKG4" s="326"/>
      <c r="FKH4" s="326"/>
      <c r="FKI4" s="326"/>
      <c r="FKJ4" s="326"/>
      <c r="FKK4" s="326">
        <v>45870</v>
      </c>
      <c r="FKL4" s="326"/>
      <c r="FKM4" s="326"/>
      <c r="FKN4" s="326"/>
      <c r="FKO4" s="326"/>
      <c r="FKP4" s="326"/>
      <c r="FKQ4" s="326"/>
      <c r="FKR4" s="326"/>
      <c r="FKS4" s="326"/>
      <c r="FKT4" s="326"/>
      <c r="FKU4" s="326"/>
      <c r="FKV4" s="326"/>
      <c r="FKW4" s="326"/>
      <c r="FKX4" s="326"/>
      <c r="FKY4" s="326"/>
      <c r="FKZ4" s="326"/>
      <c r="FLA4" s="326">
        <v>45870</v>
      </c>
      <c r="FLB4" s="326"/>
      <c r="FLC4" s="326"/>
      <c r="FLD4" s="326"/>
      <c r="FLE4" s="326"/>
      <c r="FLF4" s="326"/>
      <c r="FLG4" s="326"/>
      <c r="FLH4" s="326"/>
      <c r="FLI4" s="326"/>
      <c r="FLJ4" s="326"/>
      <c r="FLK4" s="326"/>
      <c r="FLL4" s="326"/>
      <c r="FLM4" s="326"/>
      <c r="FLN4" s="326"/>
      <c r="FLO4" s="326"/>
      <c r="FLP4" s="326"/>
      <c r="FLQ4" s="326">
        <v>45870</v>
      </c>
      <c r="FLR4" s="326"/>
      <c r="FLS4" s="326"/>
      <c r="FLT4" s="326"/>
      <c r="FLU4" s="326"/>
      <c r="FLV4" s="326"/>
      <c r="FLW4" s="326"/>
      <c r="FLX4" s="326"/>
      <c r="FLY4" s="326"/>
      <c r="FLZ4" s="326"/>
      <c r="FMA4" s="326"/>
      <c r="FMB4" s="326"/>
      <c r="FMC4" s="326"/>
      <c r="FMD4" s="326"/>
      <c r="FME4" s="326"/>
      <c r="FMF4" s="326"/>
      <c r="FMG4" s="326">
        <v>45870</v>
      </c>
      <c r="FMH4" s="326"/>
      <c r="FMI4" s="326"/>
      <c r="FMJ4" s="326"/>
      <c r="FMK4" s="326"/>
      <c r="FML4" s="326"/>
      <c r="FMM4" s="326"/>
      <c r="FMN4" s="326"/>
      <c r="FMO4" s="326"/>
      <c r="FMP4" s="326"/>
      <c r="FMQ4" s="326"/>
      <c r="FMR4" s="326"/>
      <c r="FMS4" s="326"/>
      <c r="FMT4" s="326"/>
      <c r="FMU4" s="326"/>
      <c r="FMV4" s="326"/>
      <c r="FMW4" s="326">
        <v>45870</v>
      </c>
      <c r="FMX4" s="326"/>
      <c r="FMY4" s="326"/>
      <c r="FMZ4" s="326"/>
      <c r="FNA4" s="326"/>
      <c r="FNB4" s="326"/>
      <c r="FNC4" s="326"/>
      <c r="FND4" s="326"/>
      <c r="FNE4" s="326"/>
      <c r="FNF4" s="326"/>
      <c r="FNG4" s="326"/>
      <c r="FNH4" s="326"/>
      <c r="FNI4" s="326"/>
      <c r="FNJ4" s="326"/>
      <c r="FNK4" s="326"/>
      <c r="FNL4" s="326"/>
      <c r="FNM4" s="326">
        <v>45870</v>
      </c>
      <c r="FNN4" s="326"/>
      <c r="FNO4" s="326"/>
      <c r="FNP4" s="326"/>
      <c r="FNQ4" s="326"/>
      <c r="FNR4" s="326"/>
      <c r="FNS4" s="326"/>
      <c r="FNT4" s="326"/>
      <c r="FNU4" s="326"/>
      <c r="FNV4" s="326"/>
      <c r="FNW4" s="326"/>
      <c r="FNX4" s="326"/>
      <c r="FNY4" s="326"/>
      <c r="FNZ4" s="326"/>
      <c r="FOA4" s="326"/>
      <c r="FOB4" s="326"/>
      <c r="FOC4" s="326">
        <v>45870</v>
      </c>
      <c r="FOD4" s="326"/>
      <c r="FOE4" s="326"/>
      <c r="FOF4" s="326"/>
      <c r="FOG4" s="326"/>
      <c r="FOH4" s="326"/>
      <c r="FOI4" s="326"/>
      <c r="FOJ4" s="326"/>
      <c r="FOK4" s="326"/>
      <c r="FOL4" s="326"/>
      <c r="FOM4" s="326"/>
      <c r="FON4" s="326"/>
      <c r="FOO4" s="326"/>
      <c r="FOP4" s="326"/>
      <c r="FOQ4" s="326"/>
      <c r="FOR4" s="326"/>
      <c r="FOS4" s="326">
        <v>45870</v>
      </c>
      <c r="FOT4" s="326"/>
      <c r="FOU4" s="326"/>
      <c r="FOV4" s="326"/>
      <c r="FOW4" s="326"/>
      <c r="FOX4" s="326"/>
      <c r="FOY4" s="326"/>
      <c r="FOZ4" s="326"/>
      <c r="FPA4" s="326"/>
      <c r="FPB4" s="326"/>
      <c r="FPC4" s="326"/>
      <c r="FPD4" s="326"/>
      <c r="FPE4" s="326"/>
      <c r="FPF4" s="326"/>
      <c r="FPG4" s="326"/>
      <c r="FPH4" s="326"/>
      <c r="FPI4" s="326">
        <v>45870</v>
      </c>
      <c r="FPJ4" s="326"/>
      <c r="FPK4" s="326"/>
      <c r="FPL4" s="326"/>
      <c r="FPM4" s="326"/>
      <c r="FPN4" s="326"/>
      <c r="FPO4" s="326"/>
      <c r="FPP4" s="326"/>
      <c r="FPQ4" s="326"/>
      <c r="FPR4" s="326"/>
      <c r="FPS4" s="326"/>
      <c r="FPT4" s="326"/>
      <c r="FPU4" s="326"/>
      <c r="FPV4" s="326"/>
      <c r="FPW4" s="326"/>
      <c r="FPX4" s="326"/>
      <c r="FPY4" s="326">
        <v>45870</v>
      </c>
      <c r="FPZ4" s="326"/>
      <c r="FQA4" s="326"/>
      <c r="FQB4" s="326"/>
      <c r="FQC4" s="326"/>
      <c r="FQD4" s="326"/>
      <c r="FQE4" s="326"/>
      <c r="FQF4" s="326"/>
      <c r="FQG4" s="326"/>
      <c r="FQH4" s="326"/>
      <c r="FQI4" s="326"/>
      <c r="FQJ4" s="326"/>
      <c r="FQK4" s="326"/>
      <c r="FQL4" s="326"/>
      <c r="FQM4" s="326"/>
      <c r="FQN4" s="326"/>
      <c r="FQO4" s="326">
        <v>45870</v>
      </c>
      <c r="FQP4" s="326"/>
      <c r="FQQ4" s="326"/>
      <c r="FQR4" s="326"/>
      <c r="FQS4" s="326"/>
      <c r="FQT4" s="326"/>
      <c r="FQU4" s="326"/>
      <c r="FQV4" s="326"/>
      <c r="FQW4" s="326"/>
      <c r="FQX4" s="326"/>
      <c r="FQY4" s="326"/>
      <c r="FQZ4" s="326"/>
      <c r="FRA4" s="326"/>
      <c r="FRB4" s="326"/>
      <c r="FRC4" s="326"/>
      <c r="FRD4" s="326"/>
      <c r="FRE4" s="326">
        <v>45870</v>
      </c>
      <c r="FRF4" s="326"/>
      <c r="FRG4" s="326"/>
      <c r="FRH4" s="326"/>
      <c r="FRI4" s="326"/>
      <c r="FRJ4" s="326"/>
      <c r="FRK4" s="326"/>
      <c r="FRL4" s="326"/>
      <c r="FRM4" s="326"/>
      <c r="FRN4" s="326"/>
      <c r="FRO4" s="326"/>
      <c r="FRP4" s="326"/>
      <c r="FRQ4" s="326"/>
      <c r="FRR4" s="326"/>
      <c r="FRS4" s="326"/>
      <c r="FRT4" s="326"/>
      <c r="FRU4" s="326">
        <v>45870</v>
      </c>
      <c r="FRV4" s="326"/>
      <c r="FRW4" s="326"/>
      <c r="FRX4" s="326"/>
      <c r="FRY4" s="326"/>
      <c r="FRZ4" s="326"/>
      <c r="FSA4" s="326"/>
      <c r="FSB4" s="326"/>
      <c r="FSC4" s="326"/>
      <c r="FSD4" s="326"/>
      <c r="FSE4" s="326"/>
      <c r="FSF4" s="326"/>
      <c r="FSG4" s="326"/>
      <c r="FSH4" s="326"/>
      <c r="FSI4" s="326"/>
      <c r="FSJ4" s="326"/>
      <c r="FSK4" s="326">
        <v>45870</v>
      </c>
      <c r="FSL4" s="326"/>
      <c r="FSM4" s="326"/>
      <c r="FSN4" s="326"/>
      <c r="FSO4" s="326"/>
      <c r="FSP4" s="326"/>
      <c r="FSQ4" s="326"/>
      <c r="FSR4" s="326"/>
      <c r="FSS4" s="326"/>
      <c r="FST4" s="326"/>
      <c r="FSU4" s="326"/>
      <c r="FSV4" s="326"/>
      <c r="FSW4" s="326"/>
      <c r="FSX4" s="326"/>
      <c r="FSY4" s="326"/>
      <c r="FSZ4" s="326"/>
      <c r="FTA4" s="326">
        <v>45870</v>
      </c>
      <c r="FTB4" s="326"/>
      <c r="FTC4" s="326"/>
      <c r="FTD4" s="326"/>
      <c r="FTE4" s="326"/>
      <c r="FTF4" s="326"/>
      <c r="FTG4" s="326"/>
      <c r="FTH4" s="326"/>
      <c r="FTI4" s="326"/>
      <c r="FTJ4" s="326"/>
      <c r="FTK4" s="326"/>
      <c r="FTL4" s="326"/>
      <c r="FTM4" s="326"/>
      <c r="FTN4" s="326"/>
      <c r="FTO4" s="326"/>
      <c r="FTP4" s="326"/>
      <c r="FTQ4" s="326">
        <v>45870</v>
      </c>
      <c r="FTR4" s="326"/>
      <c r="FTS4" s="326"/>
      <c r="FTT4" s="326"/>
      <c r="FTU4" s="326"/>
      <c r="FTV4" s="326"/>
      <c r="FTW4" s="326"/>
      <c r="FTX4" s="326"/>
      <c r="FTY4" s="326"/>
      <c r="FTZ4" s="326"/>
      <c r="FUA4" s="326"/>
      <c r="FUB4" s="326"/>
      <c r="FUC4" s="326"/>
      <c r="FUD4" s="326"/>
      <c r="FUE4" s="326"/>
      <c r="FUF4" s="326"/>
      <c r="FUG4" s="326">
        <v>45870</v>
      </c>
      <c r="FUH4" s="326"/>
      <c r="FUI4" s="326"/>
      <c r="FUJ4" s="326"/>
      <c r="FUK4" s="326"/>
      <c r="FUL4" s="326"/>
      <c r="FUM4" s="326"/>
      <c r="FUN4" s="326"/>
      <c r="FUO4" s="326"/>
      <c r="FUP4" s="326"/>
      <c r="FUQ4" s="326"/>
      <c r="FUR4" s="326"/>
      <c r="FUS4" s="326"/>
      <c r="FUT4" s="326"/>
      <c r="FUU4" s="326"/>
      <c r="FUV4" s="326"/>
      <c r="FUW4" s="326">
        <v>45870</v>
      </c>
      <c r="FUX4" s="326"/>
      <c r="FUY4" s="326"/>
      <c r="FUZ4" s="326"/>
      <c r="FVA4" s="326"/>
      <c r="FVB4" s="326"/>
      <c r="FVC4" s="326"/>
      <c r="FVD4" s="326"/>
      <c r="FVE4" s="326"/>
      <c r="FVF4" s="326"/>
      <c r="FVG4" s="326"/>
      <c r="FVH4" s="326"/>
      <c r="FVI4" s="326"/>
      <c r="FVJ4" s="326"/>
      <c r="FVK4" s="326"/>
      <c r="FVL4" s="326"/>
      <c r="FVM4" s="326">
        <v>45870</v>
      </c>
      <c r="FVN4" s="326"/>
      <c r="FVO4" s="326"/>
      <c r="FVP4" s="326"/>
      <c r="FVQ4" s="326"/>
      <c r="FVR4" s="326"/>
      <c r="FVS4" s="326"/>
      <c r="FVT4" s="326"/>
      <c r="FVU4" s="326"/>
      <c r="FVV4" s="326"/>
      <c r="FVW4" s="326"/>
      <c r="FVX4" s="326"/>
      <c r="FVY4" s="326"/>
      <c r="FVZ4" s="326"/>
      <c r="FWA4" s="326"/>
      <c r="FWB4" s="326"/>
      <c r="FWC4" s="326">
        <v>45870</v>
      </c>
      <c r="FWD4" s="326"/>
      <c r="FWE4" s="326"/>
      <c r="FWF4" s="326"/>
      <c r="FWG4" s="326"/>
      <c r="FWH4" s="326"/>
      <c r="FWI4" s="326"/>
      <c r="FWJ4" s="326"/>
      <c r="FWK4" s="326"/>
      <c r="FWL4" s="326"/>
      <c r="FWM4" s="326"/>
      <c r="FWN4" s="326"/>
      <c r="FWO4" s="326"/>
      <c r="FWP4" s="326"/>
      <c r="FWQ4" s="326"/>
      <c r="FWR4" s="326"/>
      <c r="FWS4" s="326">
        <v>45870</v>
      </c>
      <c r="FWT4" s="326"/>
      <c r="FWU4" s="326"/>
      <c r="FWV4" s="326"/>
      <c r="FWW4" s="326"/>
      <c r="FWX4" s="326"/>
      <c r="FWY4" s="326"/>
      <c r="FWZ4" s="326"/>
      <c r="FXA4" s="326"/>
      <c r="FXB4" s="326"/>
      <c r="FXC4" s="326"/>
      <c r="FXD4" s="326"/>
      <c r="FXE4" s="326"/>
      <c r="FXF4" s="326"/>
      <c r="FXG4" s="326"/>
      <c r="FXH4" s="326"/>
      <c r="FXI4" s="326">
        <v>45870</v>
      </c>
      <c r="FXJ4" s="326"/>
      <c r="FXK4" s="326"/>
      <c r="FXL4" s="326"/>
      <c r="FXM4" s="326"/>
      <c r="FXN4" s="326"/>
      <c r="FXO4" s="326"/>
      <c r="FXP4" s="326"/>
      <c r="FXQ4" s="326"/>
      <c r="FXR4" s="326"/>
      <c r="FXS4" s="326"/>
      <c r="FXT4" s="326"/>
      <c r="FXU4" s="326"/>
      <c r="FXV4" s="326"/>
      <c r="FXW4" s="326"/>
      <c r="FXX4" s="326"/>
      <c r="FXY4" s="326">
        <v>45870</v>
      </c>
      <c r="FXZ4" s="326"/>
      <c r="FYA4" s="326"/>
      <c r="FYB4" s="326"/>
      <c r="FYC4" s="326"/>
      <c r="FYD4" s="326"/>
      <c r="FYE4" s="326"/>
      <c r="FYF4" s="326"/>
      <c r="FYG4" s="326"/>
      <c r="FYH4" s="326"/>
      <c r="FYI4" s="326"/>
      <c r="FYJ4" s="326"/>
      <c r="FYK4" s="326"/>
      <c r="FYL4" s="326"/>
      <c r="FYM4" s="326"/>
      <c r="FYN4" s="326"/>
      <c r="FYO4" s="326">
        <v>45870</v>
      </c>
      <c r="FYP4" s="326"/>
      <c r="FYQ4" s="326"/>
      <c r="FYR4" s="326"/>
      <c r="FYS4" s="326"/>
      <c r="FYT4" s="326"/>
      <c r="FYU4" s="326"/>
      <c r="FYV4" s="326"/>
      <c r="FYW4" s="326"/>
      <c r="FYX4" s="326"/>
      <c r="FYY4" s="326"/>
      <c r="FYZ4" s="326"/>
      <c r="FZA4" s="326"/>
      <c r="FZB4" s="326"/>
      <c r="FZC4" s="326"/>
      <c r="FZD4" s="326"/>
      <c r="FZE4" s="326">
        <v>45870</v>
      </c>
      <c r="FZF4" s="326"/>
      <c r="FZG4" s="326"/>
      <c r="FZH4" s="326"/>
      <c r="FZI4" s="326"/>
      <c r="FZJ4" s="326"/>
      <c r="FZK4" s="326"/>
      <c r="FZL4" s="326"/>
      <c r="FZM4" s="326"/>
      <c r="FZN4" s="326"/>
      <c r="FZO4" s="326"/>
      <c r="FZP4" s="326"/>
      <c r="FZQ4" s="326"/>
      <c r="FZR4" s="326"/>
      <c r="FZS4" s="326"/>
      <c r="FZT4" s="326"/>
      <c r="FZU4" s="326">
        <v>45870</v>
      </c>
      <c r="FZV4" s="326"/>
      <c r="FZW4" s="326"/>
      <c r="FZX4" s="326"/>
      <c r="FZY4" s="326"/>
      <c r="FZZ4" s="326"/>
      <c r="GAA4" s="326"/>
      <c r="GAB4" s="326"/>
      <c r="GAC4" s="326"/>
      <c r="GAD4" s="326"/>
      <c r="GAE4" s="326"/>
      <c r="GAF4" s="326"/>
      <c r="GAG4" s="326"/>
      <c r="GAH4" s="326"/>
      <c r="GAI4" s="326"/>
      <c r="GAJ4" s="326"/>
      <c r="GAK4" s="326">
        <v>45870</v>
      </c>
      <c r="GAL4" s="326"/>
      <c r="GAM4" s="326"/>
      <c r="GAN4" s="326"/>
      <c r="GAO4" s="326"/>
      <c r="GAP4" s="326"/>
      <c r="GAQ4" s="326"/>
      <c r="GAR4" s="326"/>
      <c r="GAS4" s="326"/>
      <c r="GAT4" s="326"/>
      <c r="GAU4" s="326"/>
      <c r="GAV4" s="326"/>
      <c r="GAW4" s="326"/>
      <c r="GAX4" s="326"/>
      <c r="GAY4" s="326"/>
      <c r="GAZ4" s="326"/>
      <c r="GBA4" s="326">
        <v>45870</v>
      </c>
      <c r="GBB4" s="326"/>
      <c r="GBC4" s="326"/>
      <c r="GBD4" s="326"/>
      <c r="GBE4" s="326"/>
      <c r="GBF4" s="326"/>
      <c r="GBG4" s="326"/>
      <c r="GBH4" s="326"/>
      <c r="GBI4" s="326"/>
      <c r="GBJ4" s="326"/>
      <c r="GBK4" s="326"/>
      <c r="GBL4" s="326"/>
      <c r="GBM4" s="326"/>
      <c r="GBN4" s="326"/>
      <c r="GBO4" s="326"/>
      <c r="GBP4" s="326"/>
      <c r="GBQ4" s="326">
        <v>45870</v>
      </c>
      <c r="GBR4" s="326"/>
      <c r="GBS4" s="326"/>
      <c r="GBT4" s="326"/>
      <c r="GBU4" s="326"/>
      <c r="GBV4" s="326"/>
      <c r="GBW4" s="326"/>
      <c r="GBX4" s="326"/>
      <c r="GBY4" s="326"/>
      <c r="GBZ4" s="326"/>
      <c r="GCA4" s="326"/>
      <c r="GCB4" s="326"/>
      <c r="GCC4" s="326"/>
      <c r="GCD4" s="326"/>
      <c r="GCE4" s="326"/>
      <c r="GCF4" s="326"/>
      <c r="GCG4" s="326">
        <v>45870</v>
      </c>
      <c r="GCH4" s="326"/>
      <c r="GCI4" s="326"/>
      <c r="GCJ4" s="326"/>
      <c r="GCK4" s="326"/>
      <c r="GCL4" s="326"/>
      <c r="GCM4" s="326"/>
      <c r="GCN4" s="326"/>
      <c r="GCO4" s="326"/>
      <c r="GCP4" s="326"/>
      <c r="GCQ4" s="326"/>
      <c r="GCR4" s="326"/>
      <c r="GCS4" s="326"/>
      <c r="GCT4" s="326"/>
      <c r="GCU4" s="326"/>
      <c r="GCV4" s="326"/>
      <c r="GCW4" s="326">
        <v>45870</v>
      </c>
      <c r="GCX4" s="326"/>
      <c r="GCY4" s="326"/>
      <c r="GCZ4" s="326"/>
      <c r="GDA4" s="326"/>
      <c r="GDB4" s="326"/>
      <c r="GDC4" s="326"/>
      <c r="GDD4" s="326"/>
      <c r="GDE4" s="326"/>
      <c r="GDF4" s="326"/>
      <c r="GDG4" s="326"/>
      <c r="GDH4" s="326"/>
      <c r="GDI4" s="326"/>
      <c r="GDJ4" s="326"/>
      <c r="GDK4" s="326"/>
      <c r="GDL4" s="326"/>
      <c r="GDM4" s="326">
        <v>45870</v>
      </c>
      <c r="GDN4" s="326"/>
      <c r="GDO4" s="326"/>
      <c r="GDP4" s="326"/>
      <c r="GDQ4" s="326"/>
      <c r="GDR4" s="326"/>
      <c r="GDS4" s="326"/>
      <c r="GDT4" s="326"/>
      <c r="GDU4" s="326"/>
      <c r="GDV4" s="326"/>
      <c r="GDW4" s="326"/>
      <c r="GDX4" s="326"/>
      <c r="GDY4" s="326"/>
      <c r="GDZ4" s="326"/>
      <c r="GEA4" s="326"/>
      <c r="GEB4" s="326"/>
      <c r="GEC4" s="326">
        <v>45870</v>
      </c>
      <c r="GED4" s="326"/>
      <c r="GEE4" s="326"/>
      <c r="GEF4" s="326"/>
      <c r="GEG4" s="326"/>
      <c r="GEH4" s="326"/>
      <c r="GEI4" s="326"/>
      <c r="GEJ4" s="326"/>
      <c r="GEK4" s="326"/>
      <c r="GEL4" s="326"/>
      <c r="GEM4" s="326"/>
      <c r="GEN4" s="326"/>
      <c r="GEO4" s="326"/>
      <c r="GEP4" s="326"/>
      <c r="GEQ4" s="326"/>
      <c r="GER4" s="326"/>
      <c r="GES4" s="326">
        <v>45870</v>
      </c>
      <c r="GET4" s="326"/>
      <c r="GEU4" s="326"/>
      <c r="GEV4" s="326"/>
      <c r="GEW4" s="326"/>
      <c r="GEX4" s="326"/>
      <c r="GEY4" s="326"/>
      <c r="GEZ4" s="326"/>
      <c r="GFA4" s="326"/>
      <c r="GFB4" s="326"/>
      <c r="GFC4" s="326"/>
      <c r="GFD4" s="326"/>
      <c r="GFE4" s="326"/>
      <c r="GFF4" s="326"/>
      <c r="GFG4" s="326"/>
      <c r="GFH4" s="326"/>
      <c r="GFI4" s="326">
        <v>45870</v>
      </c>
      <c r="GFJ4" s="326"/>
      <c r="GFK4" s="326"/>
      <c r="GFL4" s="326"/>
      <c r="GFM4" s="326"/>
      <c r="GFN4" s="326"/>
      <c r="GFO4" s="326"/>
      <c r="GFP4" s="326"/>
      <c r="GFQ4" s="326"/>
      <c r="GFR4" s="326"/>
      <c r="GFS4" s="326"/>
      <c r="GFT4" s="326"/>
      <c r="GFU4" s="326"/>
      <c r="GFV4" s="326"/>
      <c r="GFW4" s="326"/>
      <c r="GFX4" s="326"/>
      <c r="GFY4" s="326">
        <v>45870</v>
      </c>
      <c r="GFZ4" s="326"/>
      <c r="GGA4" s="326"/>
      <c r="GGB4" s="326"/>
      <c r="GGC4" s="326"/>
      <c r="GGD4" s="326"/>
      <c r="GGE4" s="326"/>
      <c r="GGF4" s="326"/>
      <c r="GGG4" s="326"/>
      <c r="GGH4" s="326"/>
      <c r="GGI4" s="326"/>
      <c r="GGJ4" s="326"/>
      <c r="GGK4" s="326"/>
      <c r="GGL4" s="326"/>
      <c r="GGM4" s="326"/>
      <c r="GGN4" s="326"/>
      <c r="GGO4" s="326">
        <v>45870</v>
      </c>
      <c r="GGP4" s="326"/>
      <c r="GGQ4" s="326"/>
      <c r="GGR4" s="326"/>
      <c r="GGS4" s="326"/>
      <c r="GGT4" s="326"/>
      <c r="GGU4" s="326"/>
      <c r="GGV4" s="326"/>
      <c r="GGW4" s="326"/>
      <c r="GGX4" s="326"/>
      <c r="GGY4" s="326"/>
      <c r="GGZ4" s="326"/>
      <c r="GHA4" s="326"/>
      <c r="GHB4" s="326"/>
      <c r="GHC4" s="326"/>
      <c r="GHD4" s="326"/>
      <c r="GHE4" s="326">
        <v>45870</v>
      </c>
      <c r="GHF4" s="326"/>
      <c r="GHG4" s="326"/>
      <c r="GHH4" s="326"/>
      <c r="GHI4" s="326"/>
      <c r="GHJ4" s="326"/>
      <c r="GHK4" s="326"/>
      <c r="GHL4" s="326"/>
      <c r="GHM4" s="326"/>
      <c r="GHN4" s="326"/>
      <c r="GHO4" s="326"/>
      <c r="GHP4" s="326"/>
      <c r="GHQ4" s="326"/>
      <c r="GHR4" s="326"/>
      <c r="GHS4" s="326"/>
      <c r="GHT4" s="326"/>
      <c r="GHU4" s="326">
        <v>45870</v>
      </c>
      <c r="GHV4" s="326"/>
      <c r="GHW4" s="326"/>
      <c r="GHX4" s="326"/>
      <c r="GHY4" s="326"/>
      <c r="GHZ4" s="326"/>
      <c r="GIA4" s="326"/>
      <c r="GIB4" s="326"/>
      <c r="GIC4" s="326"/>
      <c r="GID4" s="326"/>
      <c r="GIE4" s="326"/>
      <c r="GIF4" s="326"/>
      <c r="GIG4" s="326"/>
      <c r="GIH4" s="326"/>
      <c r="GII4" s="326"/>
      <c r="GIJ4" s="326"/>
      <c r="GIK4" s="326">
        <v>45870</v>
      </c>
      <c r="GIL4" s="326"/>
      <c r="GIM4" s="326"/>
      <c r="GIN4" s="326"/>
      <c r="GIO4" s="326"/>
      <c r="GIP4" s="326"/>
      <c r="GIQ4" s="326"/>
      <c r="GIR4" s="326"/>
      <c r="GIS4" s="326"/>
      <c r="GIT4" s="326"/>
      <c r="GIU4" s="326"/>
      <c r="GIV4" s="326"/>
      <c r="GIW4" s="326"/>
      <c r="GIX4" s="326"/>
      <c r="GIY4" s="326"/>
      <c r="GIZ4" s="326"/>
      <c r="GJA4" s="326">
        <v>45870</v>
      </c>
      <c r="GJB4" s="326"/>
      <c r="GJC4" s="326"/>
      <c r="GJD4" s="326"/>
      <c r="GJE4" s="326"/>
      <c r="GJF4" s="326"/>
      <c r="GJG4" s="326"/>
      <c r="GJH4" s="326"/>
      <c r="GJI4" s="326"/>
      <c r="GJJ4" s="326"/>
      <c r="GJK4" s="326"/>
      <c r="GJL4" s="326"/>
      <c r="GJM4" s="326"/>
      <c r="GJN4" s="326"/>
      <c r="GJO4" s="326"/>
      <c r="GJP4" s="326"/>
      <c r="GJQ4" s="326">
        <v>45870</v>
      </c>
      <c r="GJR4" s="326"/>
      <c r="GJS4" s="326"/>
      <c r="GJT4" s="326"/>
      <c r="GJU4" s="326"/>
      <c r="GJV4" s="326"/>
      <c r="GJW4" s="326"/>
      <c r="GJX4" s="326"/>
      <c r="GJY4" s="326"/>
      <c r="GJZ4" s="326"/>
      <c r="GKA4" s="326"/>
      <c r="GKB4" s="326"/>
      <c r="GKC4" s="326"/>
      <c r="GKD4" s="326"/>
      <c r="GKE4" s="326"/>
      <c r="GKF4" s="326"/>
      <c r="GKG4" s="326">
        <v>45870</v>
      </c>
      <c r="GKH4" s="326"/>
      <c r="GKI4" s="326"/>
      <c r="GKJ4" s="326"/>
      <c r="GKK4" s="326"/>
      <c r="GKL4" s="326"/>
      <c r="GKM4" s="326"/>
      <c r="GKN4" s="326"/>
      <c r="GKO4" s="326"/>
      <c r="GKP4" s="326"/>
      <c r="GKQ4" s="326"/>
      <c r="GKR4" s="326"/>
      <c r="GKS4" s="326"/>
      <c r="GKT4" s="326"/>
      <c r="GKU4" s="326"/>
      <c r="GKV4" s="326"/>
      <c r="GKW4" s="326">
        <v>45870</v>
      </c>
      <c r="GKX4" s="326"/>
      <c r="GKY4" s="326"/>
      <c r="GKZ4" s="326"/>
      <c r="GLA4" s="326"/>
      <c r="GLB4" s="326"/>
      <c r="GLC4" s="326"/>
      <c r="GLD4" s="326"/>
      <c r="GLE4" s="326"/>
      <c r="GLF4" s="326"/>
      <c r="GLG4" s="326"/>
      <c r="GLH4" s="326"/>
      <c r="GLI4" s="326"/>
      <c r="GLJ4" s="326"/>
      <c r="GLK4" s="326"/>
      <c r="GLL4" s="326"/>
      <c r="GLM4" s="326">
        <v>45870</v>
      </c>
      <c r="GLN4" s="326"/>
      <c r="GLO4" s="326"/>
      <c r="GLP4" s="326"/>
      <c r="GLQ4" s="326"/>
      <c r="GLR4" s="326"/>
      <c r="GLS4" s="326"/>
      <c r="GLT4" s="326"/>
      <c r="GLU4" s="326"/>
      <c r="GLV4" s="326"/>
      <c r="GLW4" s="326"/>
      <c r="GLX4" s="326"/>
      <c r="GLY4" s="326"/>
      <c r="GLZ4" s="326"/>
      <c r="GMA4" s="326"/>
      <c r="GMB4" s="326"/>
      <c r="GMC4" s="326">
        <v>45870</v>
      </c>
      <c r="GMD4" s="326"/>
      <c r="GME4" s="326"/>
      <c r="GMF4" s="326"/>
      <c r="GMG4" s="326"/>
      <c r="GMH4" s="326"/>
      <c r="GMI4" s="326"/>
      <c r="GMJ4" s="326"/>
      <c r="GMK4" s="326"/>
      <c r="GML4" s="326"/>
      <c r="GMM4" s="326"/>
      <c r="GMN4" s="326"/>
      <c r="GMO4" s="326"/>
      <c r="GMP4" s="326"/>
      <c r="GMQ4" s="326"/>
      <c r="GMR4" s="326"/>
      <c r="GMS4" s="326">
        <v>45870</v>
      </c>
      <c r="GMT4" s="326"/>
      <c r="GMU4" s="326"/>
      <c r="GMV4" s="326"/>
      <c r="GMW4" s="326"/>
      <c r="GMX4" s="326"/>
      <c r="GMY4" s="326"/>
      <c r="GMZ4" s="326"/>
      <c r="GNA4" s="326"/>
      <c r="GNB4" s="326"/>
      <c r="GNC4" s="326"/>
      <c r="GND4" s="326"/>
      <c r="GNE4" s="326"/>
      <c r="GNF4" s="326"/>
      <c r="GNG4" s="326"/>
      <c r="GNH4" s="326"/>
      <c r="GNI4" s="326">
        <v>45870</v>
      </c>
      <c r="GNJ4" s="326"/>
      <c r="GNK4" s="326"/>
      <c r="GNL4" s="326"/>
      <c r="GNM4" s="326"/>
      <c r="GNN4" s="326"/>
      <c r="GNO4" s="326"/>
      <c r="GNP4" s="326"/>
      <c r="GNQ4" s="326"/>
      <c r="GNR4" s="326"/>
      <c r="GNS4" s="326"/>
      <c r="GNT4" s="326"/>
      <c r="GNU4" s="326"/>
      <c r="GNV4" s="326"/>
      <c r="GNW4" s="326"/>
      <c r="GNX4" s="326"/>
      <c r="GNY4" s="326">
        <v>45870</v>
      </c>
      <c r="GNZ4" s="326"/>
      <c r="GOA4" s="326"/>
      <c r="GOB4" s="326"/>
      <c r="GOC4" s="326"/>
      <c r="GOD4" s="326"/>
      <c r="GOE4" s="326"/>
      <c r="GOF4" s="326"/>
      <c r="GOG4" s="326"/>
      <c r="GOH4" s="326"/>
      <c r="GOI4" s="326"/>
      <c r="GOJ4" s="326"/>
      <c r="GOK4" s="326"/>
      <c r="GOL4" s="326"/>
      <c r="GOM4" s="326"/>
      <c r="GON4" s="326"/>
      <c r="GOO4" s="326">
        <v>45870</v>
      </c>
      <c r="GOP4" s="326"/>
      <c r="GOQ4" s="326"/>
      <c r="GOR4" s="326"/>
      <c r="GOS4" s="326"/>
      <c r="GOT4" s="326"/>
      <c r="GOU4" s="326"/>
      <c r="GOV4" s="326"/>
      <c r="GOW4" s="326"/>
      <c r="GOX4" s="326"/>
      <c r="GOY4" s="326"/>
      <c r="GOZ4" s="326"/>
      <c r="GPA4" s="326"/>
      <c r="GPB4" s="326"/>
      <c r="GPC4" s="326"/>
      <c r="GPD4" s="326"/>
      <c r="GPE4" s="326">
        <v>45870</v>
      </c>
      <c r="GPF4" s="326"/>
      <c r="GPG4" s="326"/>
      <c r="GPH4" s="326"/>
      <c r="GPI4" s="326"/>
      <c r="GPJ4" s="326"/>
      <c r="GPK4" s="326"/>
      <c r="GPL4" s="326"/>
      <c r="GPM4" s="326"/>
      <c r="GPN4" s="326"/>
      <c r="GPO4" s="326"/>
      <c r="GPP4" s="326"/>
      <c r="GPQ4" s="326"/>
      <c r="GPR4" s="326"/>
      <c r="GPS4" s="326"/>
      <c r="GPT4" s="326"/>
      <c r="GPU4" s="326">
        <v>45870</v>
      </c>
      <c r="GPV4" s="326"/>
      <c r="GPW4" s="326"/>
      <c r="GPX4" s="326"/>
      <c r="GPY4" s="326"/>
      <c r="GPZ4" s="326"/>
      <c r="GQA4" s="326"/>
      <c r="GQB4" s="326"/>
      <c r="GQC4" s="326"/>
      <c r="GQD4" s="326"/>
      <c r="GQE4" s="326"/>
      <c r="GQF4" s="326"/>
      <c r="GQG4" s="326"/>
      <c r="GQH4" s="326"/>
      <c r="GQI4" s="326"/>
      <c r="GQJ4" s="326"/>
      <c r="GQK4" s="326">
        <v>45870</v>
      </c>
      <c r="GQL4" s="326"/>
      <c r="GQM4" s="326"/>
      <c r="GQN4" s="326"/>
      <c r="GQO4" s="326"/>
      <c r="GQP4" s="326"/>
      <c r="GQQ4" s="326"/>
      <c r="GQR4" s="326"/>
      <c r="GQS4" s="326"/>
      <c r="GQT4" s="326"/>
      <c r="GQU4" s="326"/>
      <c r="GQV4" s="326"/>
      <c r="GQW4" s="326"/>
      <c r="GQX4" s="326"/>
      <c r="GQY4" s="326"/>
      <c r="GQZ4" s="326"/>
      <c r="GRA4" s="326">
        <v>45870</v>
      </c>
      <c r="GRB4" s="326"/>
      <c r="GRC4" s="326"/>
      <c r="GRD4" s="326"/>
      <c r="GRE4" s="326"/>
      <c r="GRF4" s="326"/>
      <c r="GRG4" s="326"/>
      <c r="GRH4" s="326"/>
      <c r="GRI4" s="326"/>
      <c r="GRJ4" s="326"/>
      <c r="GRK4" s="326"/>
      <c r="GRL4" s="326"/>
      <c r="GRM4" s="326"/>
      <c r="GRN4" s="326"/>
      <c r="GRO4" s="326"/>
      <c r="GRP4" s="326"/>
      <c r="GRQ4" s="326">
        <v>45870</v>
      </c>
      <c r="GRR4" s="326"/>
      <c r="GRS4" s="326"/>
      <c r="GRT4" s="326"/>
      <c r="GRU4" s="326"/>
      <c r="GRV4" s="326"/>
      <c r="GRW4" s="326"/>
      <c r="GRX4" s="326"/>
      <c r="GRY4" s="326"/>
      <c r="GRZ4" s="326"/>
      <c r="GSA4" s="326"/>
      <c r="GSB4" s="326"/>
      <c r="GSC4" s="326"/>
      <c r="GSD4" s="326"/>
      <c r="GSE4" s="326"/>
      <c r="GSF4" s="326"/>
      <c r="GSG4" s="326">
        <v>45870</v>
      </c>
      <c r="GSH4" s="326"/>
      <c r="GSI4" s="326"/>
      <c r="GSJ4" s="326"/>
      <c r="GSK4" s="326"/>
      <c r="GSL4" s="326"/>
      <c r="GSM4" s="326"/>
      <c r="GSN4" s="326"/>
      <c r="GSO4" s="326"/>
      <c r="GSP4" s="326"/>
      <c r="GSQ4" s="326"/>
      <c r="GSR4" s="326"/>
      <c r="GSS4" s="326"/>
      <c r="GST4" s="326"/>
      <c r="GSU4" s="326"/>
      <c r="GSV4" s="326"/>
      <c r="GSW4" s="326">
        <v>45870</v>
      </c>
      <c r="GSX4" s="326"/>
      <c r="GSY4" s="326"/>
      <c r="GSZ4" s="326"/>
      <c r="GTA4" s="326"/>
      <c r="GTB4" s="326"/>
      <c r="GTC4" s="326"/>
      <c r="GTD4" s="326"/>
      <c r="GTE4" s="326"/>
      <c r="GTF4" s="326"/>
      <c r="GTG4" s="326"/>
      <c r="GTH4" s="326"/>
      <c r="GTI4" s="326"/>
      <c r="GTJ4" s="326"/>
      <c r="GTK4" s="326"/>
      <c r="GTL4" s="326"/>
      <c r="GTM4" s="326">
        <v>45870</v>
      </c>
      <c r="GTN4" s="326"/>
      <c r="GTO4" s="326"/>
      <c r="GTP4" s="326"/>
      <c r="GTQ4" s="326"/>
      <c r="GTR4" s="326"/>
      <c r="GTS4" s="326"/>
      <c r="GTT4" s="326"/>
      <c r="GTU4" s="326"/>
      <c r="GTV4" s="326"/>
      <c r="GTW4" s="326"/>
      <c r="GTX4" s="326"/>
      <c r="GTY4" s="326"/>
      <c r="GTZ4" s="326"/>
      <c r="GUA4" s="326"/>
      <c r="GUB4" s="326"/>
      <c r="GUC4" s="326">
        <v>45870</v>
      </c>
      <c r="GUD4" s="326"/>
      <c r="GUE4" s="326"/>
      <c r="GUF4" s="326"/>
      <c r="GUG4" s="326"/>
      <c r="GUH4" s="326"/>
      <c r="GUI4" s="326"/>
      <c r="GUJ4" s="326"/>
      <c r="GUK4" s="326"/>
      <c r="GUL4" s="326"/>
      <c r="GUM4" s="326"/>
      <c r="GUN4" s="326"/>
      <c r="GUO4" s="326"/>
      <c r="GUP4" s="326"/>
      <c r="GUQ4" s="326"/>
      <c r="GUR4" s="326"/>
      <c r="GUS4" s="326">
        <v>45870</v>
      </c>
      <c r="GUT4" s="326"/>
      <c r="GUU4" s="326"/>
      <c r="GUV4" s="326"/>
      <c r="GUW4" s="326"/>
      <c r="GUX4" s="326"/>
      <c r="GUY4" s="326"/>
      <c r="GUZ4" s="326"/>
      <c r="GVA4" s="326"/>
      <c r="GVB4" s="326"/>
      <c r="GVC4" s="326"/>
      <c r="GVD4" s="326"/>
      <c r="GVE4" s="326"/>
      <c r="GVF4" s="326"/>
      <c r="GVG4" s="326"/>
      <c r="GVH4" s="326"/>
      <c r="GVI4" s="326">
        <v>45870</v>
      </c>
      <c r="GVJ4" s="326"/>
      <c r="GVK4" s="326"/>
      <c r="GVL4" s="326"/>
      <c r="GVM4" s="326"/>
      <c r="GVN4" s="326"/>
      <c r="GVO4" s="326"/>
      <c r="GVP4" s="326"/>
      <c r="GVQ4" s="326"/>
      <c r="GVR4" s="326"/>
      <c r="GVS4" s="326"/>
      <c r="GVT4" s="326"/>
      <c r="GVU4" s="326"/>
      <c r="GVV4" s="326"/>
      <c r="GVW4" s="326"/>
      <c r="GVX4" s="326"/>
      <c r="GVY4" s="326">
        <v>45870</v>
      </c>
      <c r="GVZ4" s="326"/>
      <c r="GWA4" s="326"/>
      <c r="GWB4" s="326"/>
      <c r="GWC4" s="326"/>
      <c r="GWD4" s="326"/>
      <c r="GWE4" s="326"/>
      <c r="GWF4" s="326"/>
      <c r="GWG4" s="326"/>
      <c r="GWH4" s="326"/>
      <c r="GWI4" s="326"/>
      <c r="GWJ4" s="326"/>
      <c r="GWK4" s="326"/>
      <c r="GWL4" s="326"/>
      <c r="GWM4" s="326"/>
      <c r="GWN4" s="326"/>
      <c r="GWO4" s="326">
        <v>45870</v>
      </c>
      <c r="GWP4" s="326"/>
      <c r="GWQ4" s="326"/>
      <c r="GWR4" s="326"/>
      <c r="GWS4" s="326"/>
      <c r="GWT4" s="326"/>
      <c r="GWU4" s="326"/>
      <c r="GWV4" s="326"/>
      <c r="GWW4" s="326"/>
      <c r="GWX4" s="326"/>
      <c r="GWY4" s="326"/>
      <c r="GWZ4" s="326"/>
      <c r="GXA4" s="326"/>
      <c r="GXB4" s="326"/>
      <c r="GXC4" s="326"/>
      <c r="GXD4" s="326"/>
      <c r="GXE4" s="326">
        <v>45870</v>
      </c>
      <c r="GXF4" s="326"/>
      <c r="GXG4" s="326"/>
      <c r="GXH4" s="326"/>
      <c r="GXI4" s="326"/>
      <c r="GXJ4" s="326"/>
      <c r="GXK4" s="326"/>
      <c r="GXL4" s="326"/>
      <c r="GXM4" s="326"/>
      <c r="GXN4" s="326"/>
      <c r="GXO4" s="326"/>
      <c r="GXP4" s="326"/>
      <c r="GXQ4" s="326"/>
      <c r="GXR4" s="326"/>
      <c r="GXS4" s="326"/>
      <c r="GXT4" s="326"/>
      <c r="GXU4" s="326">
        <v>45870</v>
      </c>
      <c r="GXV4" s="326"/>
      <c r="GXW4" s="326"/>
      <c r="GXX4" s="326"/>
      <c r="GXY4" s="326"/>
      <c r="GXZ4" s="326"/>
      <c r="GYA4" s="326"/>
      <c r="GYB4" s="326"/>
      <c r="GYC4" s="326"/>
      <c r="GYD4" s="326"/>
      <c r="GYE4" s="326"/>
      <c r="GYF4" s="326"/>
      <c r="GYG4" s="326"/>
      <c r="GYH4" s="326"/>
      <c r="GYI4" s="326"/>
      <c r="GYJ4" s="326"/>
      <c r="GYK4" s="326">
        <v>45870</v>
      </c>
      <c r="GYL4" s="326"/>
      <c r="GYM4" s="326"/>
      <c r="GYN4" s="326"/>
      <c r="GYO4" s="326"/>
      <c r="GYP4" s="326"/>
      <c r="GYQ4" s="326"/>
      <c r="GYR4" s="326"/>
      <c r="GYS4" s="326"/>
      <c r="GYT4" s="326"/>
      <c r="GYU4" s="326"/>
      <c r="GYV4" s="326"/>
      <c r="GYW4" s="326"/>
      <c r="GYX4" s="326"/>
      <c r="GYY4" s="326"/>
      <c r="GYZ4" s="326"/>
      <c r="GZA4" s="326">
        <v>45870</v>
      </c>
      <c r="GZB4" s="326"/>
      <c r="GZC4" s="326"/>
      <c r="GZD4" s="326"/>
      <c r="GZE4" s="326"/>
      <c r="GZF4" s="326"/>
      <c r="GZG4" s="326"/>
      <c r="GZH4" s="326"/>
      <c r="GZI4" s="326"/>
      <c r="GZJ4" s="326"/>
      <c r="GZK4" s="326"/>
      <c r="GZL4" s="326"/>
      <c r="GZM4" s="326"/>
      <c r="GZN4" s="326"/>
      <c r="GZO4" s="326"/>
      <c r="GZP4" s="326"/>
      <c r="GZQ4" s="326">
        <v>45870</v>
      </c>
      <c r="GZR4" s="326"/>
      <c r="GZS4" s="326"/>
      <c r="GZT4" s="326"/>
      <c r="GZU4" s="326"/>
      <c r="GZV4" s="326"/>
      <c r="GZW4" s="326"/>
      <c r="GZX4" s="326"/>
      <c r="GZY4" s="326"/>
      <c r="GZZ4" s="326"/>
      <c r="HAA4" s="326"/>
      <c r="HAB4" s="326"/>
      <c r="HAC4" s="326"/>
      <c r="HAD4" s="326"/>
      <c r="HAE4" s="326"/>
      <c r="HAF4" s="326"/>
      <c r="HAG4" s="326">
        <v>45870</v>
      </c>
      <c r="HAH4" s="326"/>
      <c r="HAI4" s="326"/>
      <c r="HAJ4" s="326"/>
      <c r="HAK4" s="326"/>
      <c r="HAL4" s="326"/>
      <c r="HAM4" s="326"/>
      <c r="HAN4" s="326"/>
      <c r="HAO4" s="326"/>
      <c r="HAP4" s="326"/>
      <c r="HAQ4" s="326"/>
      <c r="HAR4" s="326"/>
      <c r="HAS4" s="326"/>
      <c r="HAT4" s="326"/>
      <c r="HAU4" s="326"/>
      <c r="HAV4" s="326"/>
      <c r="HAW4" s="326">
        <v>45870</v>
      </c>
      <c r="HAX4" s="326"/>
      <c r="HAY4" s="326"/>
      <c r="HAZ4" s="326"/>
      <c r="HBA4" s="326"/>
      <c r="HBB4" s="326"/>
      <c r="HBC4" s="326"/>
      <c r="HBD4" s="326"/>
      <c r="HBE4" s="326"/>
      <c r="HBF4" s="326"/>
      <c r="HBG4" s="326"/>
      <c r="HBH4" s="326"/>
      <c r="HBI4" s="326"/>
      <c r="HBJ4" s="326"/>
      <c r="HBK4" s="326"/>
      <c r="HBL4" s="326"/>
      <c r="HBM4" s="326">
        <v>45870</v>
      </c>
      <c r="HBN4" s="326"/>
      <c r="HBO4" s="326"/>
      <c r="HBP4" s="326"/>
      <c r="HBQ4" s="326"/>
      <c r="HBR4" s="326"/>
      <c r="HBS4" s="326"/>
      <c r="HBT4" s="326"/>
      <c r="HBU4" s="326"/>
      <c r="HBV4" s="326"/>
      <c r="HBW4" s="326"/>
      <c r="HBX4" s="326"/>
      <c r="HBY4" s="326"/>
      <c r="HBZ4" s="326"/>
      <c r="HCA4" s="326"/>
      <c r="HCB4" s="326"/>
      <c r="HCC4" s="326">
        <v>45870</v>
      </c>
      <c r="HCD4" s="326"/>
      <c r="HCE4" s="326"/>
      <c r="HCF4" s="326"/>
      <c r="HCG4" s="326"/>
      <c r="HCH4" s="326"/>
      <c r="HCI4" s="326"/>
      <c r="HCJ4" s="326"/>
      <c r="HCK4" s="326"/>
      <c r="HCL4" s="326"/>
      <c r="HCM4" s="326"/>
      <c r="HCN4" s="326"/>
      <c r="HCO4" s="326"/>
      <c r="HCP4" s="326"/>
      <c r="HCQ4" s="326"/>
      <c r="HCR4" s="326"/>
      <c r="HCS4" s="326">
        <v>45870</v>
      </c>
      <c r="HCT4" s="326"/>
      <c r="HCU4" s="326"/>
      <c r="HCV4" s="326"/>
      <c r="HCW4" s="326"/>
      <c r="HCX4" s="326"/>
      <c r="HCY4" s="326"/>
      <c r="HCZ4" s="326"/>
      <c r="HDA4" s="326"/>
      <c r="HDB4" s="326"/>
      <c r="HDC4" s="326"/>
      <c r="HDD4" s="326"/>
      <c r="HDE4" s="326"/>
      <c r="HDF4" s="326"/>
      <c r="HDG4" s="326"/>
      <c r="HDH4" s="326"/>
      <c r="HDI4" s="326">
        <v>45870</v>
      </c>
      <c r="HDJ4" s="326"/>
      <c r="HDK4" s="326"/>
      <c r="HDL4" s="326"/>
      <c r="HDM4" s="326"/>
      <c r="HDN4" s="326"/>
      <c r="HDO4" s="326"/>
      <c r="HDP4" s="326"/>
      <c r="HDQ4" s="326"/>
      <c r="HDR4" s="326"/>
      <c r="HDS4" s="326"/>
      <c r="HDT4" s="326"/>
      <c r="HDU4" s="326"/>
      <c r="HDV4" s="326"/>
      <c r="HDW4" s="326"/>
      <c r="HDX4" s="326"/>
      <c r="HDY4" s="326">
        <v>45870</v>
      </c>
      <c r="HDZ4" s="326"/>
      <c r="HEA4" s="326"/>
      <c r="HEB4" s="326"/>
      <c r="HEC4" s="326"/>
      <c r="HED4" s="326"/>
      <c r="HEE4" s="326"/>
      <c r="HEF4" s="326"/>
      <c r="HEG4" s="326"/>
      <c r="HEH4" s="326"/>
      <c r="HEI4" s="326"/>
      <c r="HEJ4" s="326"/>
      <c r="HEK4" s="326"/>
      <c r="HEL4" s="326"/>
      <c r="HEM4" s="326"/>
      <c r="HEN4" s="326"/>
      <c r="HEO4" s="326">
        <v>45870</v>
      </c>
      <c r="HEP4" s="326"/>
      <c r="HEQ4" s="326"/>
      <c r="HER4" s="326"/>
      <c r="HES4" s="326"/>
      <c r="HET4" s="326"/>
      <c r="HEU4" s="326"/>
      <c r="HEV4" s="326"/>
      <c r="HEW4" s="326"/>
      <c r="HEX4" s="326"/>
      <c r="HEY4" s="326"/>
      <c r="HEZ4" s="326"/>
      <c r="HFA4" s="326"/>
      <c r="HFB4" s="326"/>
      <c r="HFC4" s="326"/>
      <c r="HFD4" s="326"/>
      <c r="HFE4" s="326">
        <v>45870</v>
      </c>
      <c r="HFF4" s="326"/>
      <c r="HFG4" s="326"/>
      <c r="HFH4" s="326"/>
      <c r="HFI4" s="326"/>
      <c r="HFJ4" s="326"/>
      <c r="HFK4" s="326"/>
      <c r="HFL4" s="326"/>
      <c r="HFM4" s="326"/>
      <c r="HFN4" s="326"/>
      <c r="HFO4" s="326"/>
      <c r="HFP4" s="326"/>
      <c r="HFQ4" s="326"/>
      <c r="HFR4" s="326"/>
      <c r="HFS4" s="326"/>
      <c r="HFT4" s="326"/>
      <c r="HFU4" s="326">
        <v>45870</v>
      </c>
      <c r="HFV4" s="326"/>
      <c r="HFW4" s="326"/>
      <c r="HFX4" s="326"/>
      <c r="HFY4" s="326"/>
      <c r="HFZ4" s="326"/>
      <c r="HGA4" s="326"/>
      <c r="HGB4" s="326"/>
      <c r="HGC4" s="326"/>
      <c r="HGD4" s="326"/>
      <c r="HGE4" s="326"/>
      <c r="HGF4" s="326"/>
      <c r="HGG4" s="326"/>
      <c r="HGH4" s="326"/>
      <c r="HGI4" s="326"/>
      <c r="HGJ4" s="326"/>
      <c r="HGK4" s="326">
        <v>45870</v>
      </c>
      <c r="HGL4" s="326"/>
      <c r="HGM4" s="326"/>
      <c r="HGN4" s="326"/>
      <c r="HGO4" s="326"/>
      <c r="HGP4" s="326"/>
      <c r="HGQ4" s="326"/>
      <c r="HGR4" s="326"/>
      <c r="HGS4" s="326"/>
      <c r="HGT4" s="326"/>
      <c r="HGU4" s="326"/>
      <c r="HGV4" s="326"/>
      <c r="HGW4" s="326"/>
      <c r="HGX4" s="326"/>
      <c r="HGY4" s="326"/>
      <c r="HGZ4" s="326"/>
      <c r="HHA4" s="326">
        <v>45870</v>
      </c>
      <c r="HHB4" s="326"/>
      <c r="HHC4" s="326"/>
      <c r="HHD4" s="326"/>
      <c r="HHE4" s="326"/>
      <c r="HHF4" s="326"/>
      <c r="HHG4" s="326"/>
      <c r="HHH4" s="326"/>
      <c r="HHI4" s="326"/>
      <c r="HHJ4" s="326"/>
      <c r="HHK4" s="326"/>
      <c r="HHL4" s="326"/>
      <c r="HHM4" s="326"/>
      <c r="HHN4" s="326"/>
      <c r="HHO4" s="326"/>
      <c r="HHP4" s="326"/>
      <c r="HHQ4" s="326">
        <v>45870</v>
      </c>
      <c r="HHR4" s="326"/>
      <c r="HHS4" s="326"/>
      <c r="HHT4" s="326"/>
      <c r="HHU4" s="326"/>
      <c r="HHV4" s="326"/>
      <c r="HHW4" s="326"/>
      <c r="HHX4" s="326"/>
      <c r="HHY4" s="326"/>
      <c r="HHZ4" s="326"/>
      <c r="HIA4" s="326"/>
      <c r="HIB4" s="326"/>
      <c r="HIC4" s="326"/>
      <c r="HID4" s="326"/>
      <c r="HIE4" s="326"/>
      <c r="HIF4" s="326"/>
      <c r="HIG4" s="326">
        <v>45870</v>
      </c>
      <c r="HIH4" s="326"/>
      <c r="HII4" s="326"/>
      <c r="HIJ4" s="326"/>
      <c r="HIK4" s="326"/>
      <c r="HIL4" s="326"/>
      <c r="HIM4" s="326"/>
      <c r="HIN4" s="326"/>
      <c r="HIO4" s="326"/>
      <c r="HIP4" s="326"/>
      <c r="HIQ4" s="326"/>
      <c r="HIR4" s="326"/>
      <c r="HIS4" s="326"/>
      <c r="HIT4" s="326"/>
      <c r="HIU4" s="326"/>
      <c r="HIV4" s="326"/>
      <c r="HIW4" s="326">
        <v>45870</v>
      </c>
      <c r="HIX4" s="326"/>
      <c r="HIY4" s="326"/>
      <c r="HIZ4" s="326"/>
      <c r="HJA4" s="326"/>
      <c r="HJB4" s="326"/>
      <c r="HJC4" s="326"/>
      <c r="HJD4" s="326"/>
      <c r="HJE4" s="326"/>
      <c r="HJF4" s="326"/>
      <c r="HJG4" s="326"/>
      <c r="HJH4" s="326"/>
      <c r="HJI4" s="326"/>
      <c r="HJJ4" s="326"/>
      <c r="HJK4" s="326"/>
      <c r="HJL4" s="326"/>
      <c r="HJM4" s="326">
        <v>45870</v>
      </c>
      <c r="HJN4" s="326"/>
      <c r="HJO4" s="326"/>
      <c r="HJP4" s="326"/>
      <c r="HJQ4" s="326"/>
      <c r="HJR4" s="326"/>
      <c r="HJS4" s="326"/>
      <c r="HJT4" s="326"/>
      <c r="HJU4" s="326"/>
      <c r="HJV4" s="326"/>
      <c r="HJW4" s="326"/>
      <c r="HJX4" s="326"/>
      <c r="HJY4" s="326"/>
      <c r="HJZ4" s="326"/>
      <c r="HKA4" s="326"/>
      <c r="HKB4" s="326"/>
      <c r="HKC4" s="326">
        <v>45870</v>
      </c>
      <c r="HKD4" s="326"/>
      <c r="HKE4" s="326"/>
      <c r="HKF4" s="326"/>
      <c r="HKG4" s="326"/>
      <c r="HKH4" s="326"/>
      <c r="HKI4" s="326"/>
      <c r="HKJ4" s="326"/>
      <c r="HKK4" s="326"/>
      <c r="HKL4" s="326"/>
      <c r="HKM4" s="326"/>
      <c r="HKN4" s="326"/>
      <c r="HKO4" s="326"/>
      <c r="HKP4" s="326"/>
      <c r="HKQ4" s="326"/>
      <c r="HKR4" s="326"/>
      <c r="HKS4" s="326">
        <v>45870</v>
      </c>
      <c r="HKT4" s="326"/>
      <c r="HKU4" s="326"/>
      <c r="HKV4" s="326"/>
      <c r="HKW4" s="326"/>
      <c r="HKX4" s="326"/>
      <c r="HKY4" s="326"/>
      <c r="HKZ4" s="326"/>
      <c r="HLA4" s="326"/>
      <c r="HLB4" s="326"/>
      <c r="HLC4" s="326"/>
      <c r="HLD4" s="326"/>
      <c r="HLE4" s="326"/>
      <c r="HLF4" s="326"/>
      <c r="HLG4" s="326"/>
      <c r="HLH4" s="326"/>
      <c r="HLI4" s="326">
        <v>45870</v>
      </c>
      <c r="HLJ4" s="326"/>
      <c r="HLK4" s="326"/>
      <c r="HLL4" s="326"/>
      <c r="HLM4" s="326"/>
      <c r="HLN4" s="326"/>
      <c r="HLO4" s="326"/>
      <c r="HLP4" s="326"/>
      <c r="HLQ4" s="326"/>
      <c r="HLR4" s="326"/>
      <c r="HLS4" s="326"/>
      <c r="HLT4" s="326"/>
      <c r="HLU4" s="326"/>
      <c r="HLV4" s="326"/>
      <c r="HLW4" s="326"/>
      <c r="HLX4" s="326"/>
      <c r="HLY4" s="326">
        <v>45870</v>
      </c>
      <c r="HLZ4" s="326"/>
      <c r="HMA4" s="326"/>
      <c r="HMB4" s="326"/>
      <c r="HMC4" s="326"/>
      <c r="HMD4" s="326"/>
      <c r="HME4" s="326"/>
      <c r="HMF4" s="326"/>
      <c r="HMG4" s="326"/>
      <c r="HMH4" s="326"/>
      <c r="HMI4" s="326"/>
      <c r="HMJ4" s="326"/>
      <c r="HMK4" s="326"/>
      <c r="HML4" s="326"/>
      <c r="HMM4" s="326"/>
      <c r="HMN4" s="326"/>
      <c r="HMO4" s="326">
        <v>45870</v>
      </c>
      <c r="HMP4" s="326"/>
      <c r="HMQ4" s="326"/>
      <c r="HMR4" s="326"/>
      <c r="HMS4" s="326"/>
      <c r="HMT4" s="326"/>
      <c r="HMU4" s="326"/>
      <c r="HMV4" s="326"/>
      <c r="HMW4" s="326"/>
      <c r="HMX4" s="326"/>
      <c r="HMY4" s="326"/>
      <c r="HMZ4" s="326"/>
      <c r="HNA4" s="326"/>
      <c r="HNB4" s="326"/>
      <c r="HNC4" s="326"/>
      <c r="HND4" s="326"/>
      <c r="HNE4" s="326">
        <v>45870</v>
      </c>
      <c r="HNF4" s="326"/>
      <c r="HNG4" s="326"/>
      <c r="HNH4" s="326"/>
      <c r="HNI4" s="326"/>
      <c r="HNJ4" s="326"/>
      <c r="HNK4" s="326"/>
      <c r="HNL4" s="326"/>
      <c r="HNM4" s="326"/>
      <c r="HNN4" s="326"/>
      <c r="HNO4" s="326"/>
      <c r="HNP4" s="326"/>
      <c r="HNQ4" s="326"/>
      <c r="HNR4" s="326"/>
      <c r="HNS4" s="326"/>
      <c r="HNT4" s="326"/>
      <c r="HNU4" s="326">
        <v>45870</v>
      </c>
      <c r="HNV4" s="326"/>
      <c r="HNW4" s="326"/>
      <c r="HNX4" s="326"/>
      <c r="HNY4" s="326"/>
      <c r="HNZ4" s="326"/>
      <c r="HOA4" s="326"/>
      <c r="HOB4" s="326"/>
      <c r="HOC4" s="326"/>
      <c r="HOD4" s="326"/>
      <c r="HOE4" s="326"/>
      <c r="HOF4" s="326"/>
      <c r="HOG4" s="326"/>
      <c r="HOH4" s="326"/>
      <c r="HOI4" s="326"/>
      <c r="HOJ4" s="326"/>
      <c r="HOK4" s="326">
        <v>45870</v>
      </c>
      <c r="HOL4" s="326"/>
      <c r="HOM4" s="326"/>
      <c r="HON4" s="326"/>
      <c r="HOO4" s="326"/>
      <c r="HOP4" s="326"/>
      <c r="HOQ4" s="326"/>
      <c r="HOR4" s="326"/>
      <c r="HOS4" s="326"/>
      <c r="HOT4" s="326"/>
      <c r="HOU4" s="326"/>
      <c r="HOV4" s="326"/>
      <c r="HOW4" s="326"/>
      <c r="HOX4" s="326"/>
      <c r="HOY4" s="326"/>
      <c r="HOZ4" s="326"/>
      <c r="HPA4" s="326">
        <v>45870</v>
      </c>
      <c r="HPB4" s="326"/>
      <c r="HPC4" s="326"/>
      <c r="HPD4" s="326"/>
      <c r="HPE4" s="326"/>
      <c r="HPF4" s="326"/>
      <c r="HPG4" s="326"/>
      <c r="HPH4" s="326"/>
      <c r="HPI4" s="326"/>
      <c r="HPJ4" s="326"/>
      <c r="HPK4" s="326"/>
      <c r="HPL4" s="326"/>
      <c r="HPM4" s="326"/>
      <c r="HPN4" s="326"/>
      <c r="HPO4" s="326"/>
      <c r="HPP4" s="326"/>
      <c r="HPQ4" s="326">
        <v>45870</v>
      </c>
      <c r="HPR4" s="326"/>
      <c r="HPS4" s="326"/>
      <c r="HPT4" s="326"/>
      <c r="HPU4" s="326"/>
      <c r="HPV4" s="326"/>
      <c r="HPW4" s="326"/>
      <c r="HPX4" s="326"/>
      <c r="HPY4" s="326"/>
      <c r="HPZ4" s="326"/>
      <c r="HQA4" s="326"/>
      <c r="HQB4" s="326"/>
      <c r="HQC4" s="326"/>
      <c r="HQD4" s="326"/>
      <c r="HQE4" s="326"/>
      <c r="HQF4" s="326"/>
      <c r="HQG4" s="326">
        <v>45870</v>
      </c>
      <c r="HQH4" s="326"/>
      <c r="HQI4" s="326"/>
      <c r="HQJ4" s="326"/>
      <c r="HQK4" s="326"/>
      <c r="HQL4" s="326"/>
      <c r="HQM4" s="326"/>
      <c r="HQN4" s="326"/>
      <c r="HQO4" s="326"/>
      <c r="HQP4" s="326"/>
      <c r="HQQ4" s="326"/>
      <c r="HQR4" s="326"/>
      <c r="HQS4" s="326"/>
      <c r="HQT4" s="326"/>
      <c r="HQU4" s="326"/>
      <c r="HQV4" s="326"/>
      <c r="HQW4" s="326">
        <v>45870</v>
      </c>
      <c r="HQX4" s="326"/>
      <c r="HQY4" s="326"/>
      <c r="HQZ4" s="326"/>
      <c r="HRA4" s="326"/>
      <c r="HRB4" s="326"/>
      <c r="HRC4" s="326"/>
      <c r="HRD4" s="326"/>
      <c r="HRE4" s="326"/>
      <c r="HRF4" s="326"/>
      <c r="HRG4" s="326"/>
      <c r="HRH4" s="326"/>
      <c r="HRI4" s="326"/>
      <c r="HRJ4" s="326"/>
      <c r="HRK4" s="326"/>
      <c r="HRL4" s="326"/>
      <c r="HRM4" s="326">
        <v>45870</v>
      </c>
      <c r="HRN4" s="326"/>
      <c r="HRO4" s="326"/>
      <c r="HRP4" s="326"/>
      <c r="HRQ4" s="326"/>
      <c r="HRR4" s="326"/>
      <c r="HRS4" s="326"/>
      <c r="HRT4" s="326"/>
      <c r="HRU4" s="326"/>
      <c r="HRV4" s="326"/>
      <c r="HRW4" s="326"/>
      <c r="HRX4" s="326"/>
      <c r="HRY4" s="326"/>
      <c r="HRZ4" s="326"/>
      <c r="HSA4" s="326"/>
      <c r="HSB4" s="326"/>
      <c r="HSC4" s="326">
        <v>45870</v>
      </c>
      <c r="HSD4" s="326"/>
      <c r="HSE4" s="326"/>
      <c r="HSF4" s="326"/>
      <c r="HSG4" s="326"/>
      <c r="HSH4" s="326"/>
      <c r="HSI4" s="326"/>
      <c r="HSJ4" s="326"/>
      <c r="HSK4" s="326"/>
      <c r="HSL4" s="326"/>
      <c r="HSM4" s="326"/>
      <c r="HSN4" s="326"/>
      <c r="HSO4" s="326"/>
      <c r="HSP4" s="326"/>
      <c r="HSQ4" s="326"/>
      <c r="HSR4" s="326"/>
      <c r="HSS4" s="326">
        <v>45870</v>
      </c>
      <c r="HST4" s="326"/>
      <c r="HSU4" s="326"/>
      <c r="HSV4" s="326"/>
      <c r="HSW4" s="326"/>
      <c r="HSX4" s="326"/>
      <c r="HSY4" s="326"/>
      <c r="HSZ4" s="326"/>
      <c r="HTA4" s="326"/>
      <c r="HTB4" s="326"/>
      <c r="HTC4" s="326"/>
      <c r="HTD4" s="326"/>
      <c r="HTE4" s="326"/>
      <c r="HTF4" s="326"/>
      <c r="HTG4" s="326"/>
      <c r="HTH4" s="326"/>
      <c r="HTI4" s="326">
        <v>45870</v>
      </c>
      <c r="HTJ4" s="326"/>
      <c r="HTK4" s="326"/>
      <c r="HTL4" s="326"/>
      <c r="HTM4" s="326"/>
      <c r="HTN4" s="326"/>
      <c r="HTO4" s="326"/>
      <c r="HTP4" s="326"/>
      <c r="HTQ4" s="326"/>
      <c r="HTR4" s="326"/>
      <c r="HTS4" s="326"/>
      <c r="HTT4" s="326"/>
      <c r="HTU4" s="326"/>
      <c r="HTV4" s="326"/>
      <c r="HTW4" s="326"/>
      <c r="HTX4" s="326"/>
      <c r="HTY4" s="326">
        <v>45870</v>
      </c>
      <c r="HTZ4" s="326"/>
      <c r="HUA4" s="326"/>
      <c r="HUB4" s="326"/>
      <c r="HUC4" s="326"/>
      <c r="HUD4" s="326"/>
      <c r="HUE4" s="326"/>
      <c r="HUF4" s="326"/>
      <c r="HUG4" s="326"/>
      <c r="HUH4" s="326"/>
      <c r="HUI4" s="326"/>
      <c r="HUJ4" s="326"/>
      <c r="HUK4" s="326"/>
      <c r="HUL4" s="326"/>
      <c r="HUM4" s="326"/>
      <c r="HUN4" s="326"/>
      <c r="HUO4" s="326">
        <v>45870</v>
      </c>
      <c r="HUP4" s="326"/>
      <c r="HUQ4" s="326"/>
      <c r="HUR4" s="326"/>
      <c r="HUS4" s="326"/>
      <c r="HUT4" s="326"/>
      <c r="HUU4" s="326"/>
      <c r="HUV4" s="326"/>
      <c r="HUW4" s="326"/>
      <c r="HUX4" s="326"/>
      <c r="HUY4" s="326"/>
      <c r="HUZ4" s="326"/>
      <c r="HVA4" s="326"/>
      <c r="HVB4" s="326"/>
      <c r="HVC4" s="326"/>
      <c r="HVD4" s="326"/>
      <c r="HVE4" s="326">
        <v>45870</v>
      </c>
      <c r="HVF4" s="326"/>
      <c r="HVG4" s="326"/>
      <c r="HVH4" s="326"/>
      <c r="HVI4" s="326"/>
      <c r="HVJ4" s="326"/>
      <c r="HVK4" s="326"/>
      <c r="HVL4" s="326"/>
      <c r="HVM4" s="326"/>
      <c r="HVN4" s="326"/>
      <c r="HVO4" s="326"/>
      <c r="HVP4" s="326"/>
      <c r="HVQ4" s="326"/>
      <c r="HVR4" s="326"/>
      <c r="HVS4" s="326"/>
      <c r="HVT4" s="326"/>
      <c r="HVU4" s="326">
        <v>45870</v>
      </c>
      <c r="HVV4" s="326"/>
      <c r="HVW4" s="326"/>
      <c r="HVX4" s="326"/>
      <c r="HVY4" s="326"/>
      <c r="HVZ4" s="326"/>
      <c r="HWA4" s="326"/>
      <c r="HWB4" s="326"/>
      <c r="HWC4" s="326"/>
      <c r="HWD4" s="326"/>
      <c r="HWE4" s="326"/>
      <c r="HWF4" s="326"/>
      <c r="HWG4" s="326"/>
      <c r="HWH4" s="326"/>
      <c r="HWI4" s="326"/>
      <c r="HWJ4" s="326"/>
      <c r="HWK4" s="326">
        <v>45870</v>
      </c>
      <c r="HWL4" s="326"/>
      <c r="HWM4" s="326"/>
      <c r="HWN4" s="326"/>
      <c r="HWO4" s="326"/>
      <c r="HWP4" s="326"/>
      <c r="HWQ4" s="326"/>
      <c r="HWR4" s="326"/>
      <c r="HWS4" s="326"/>
      <c r="HWT4" s="326"/>
      <c r="HWU4" s="326"/>
      <c r="HWV4" s="326"/>
      <c r="HWW4" s="326"/>
      <c r="HWX4" s="326"/>
      <c r="HWY4" s="326"/>
      <c r="HWZ4" s="326"/>
      <c r="HXA4" s="326">
        <v>45870</v>
      </c>
      <c r="HXB4" s="326"/>
      <c r="HXC4" s="326"/>
      <c r="HXD4" s="326"/>
      <c r="HXE4" s="326"/>
      <c r="HXF4" s="326"/>
      <c r="HXG4" s="326"/>
      <c r="HXH4" s="326"/>
      <c r="HXI4" s="326"/>
      <c r="HXJ4" s="326"/>
      <c r="HXK4" s="326"/>
      <c r="HXL4" s="326"/>
      <c r="HXM4" s="326"/>
      <c r="HXN4" s="326"/>
      <c r="HXO4" s="326"/>
      <c r="HXP4" s="326"/>
      <c r="HXQ4" s="326">
        <v>45870</v>
      </c>
      <c r="HXR4" s="326"/>
      <c r="HXS4" s="326"/>
      <c r="HXT4" s="326"/>
      <c r="HXU4" s="326"/>
      <c r="HXV4" s="326"/>
      <c r="HXW4" s="326"/>
      <c r="HXX4" s="326"/>
      <c r="HXY4" s="326"/>
      <c r="HXZ4" s="326"/>
      <c r="HYA4" s="326"/>
      <c r="HYB4" s="326"/>
      <c r="HYC4" s="326"/>
      <c r="HYD4" s="326"/>
      <c r="HYE4" s="326"/>
      <c r="HYF4" s="326"/>
      <c r="HYG4" s="326">
        <v>45870</v>
      </c>
      <c r="HYH4" s="326"/>
      <c r="HYI4" s="326"/>
      <c r="HYJ4" s="326"/>
      <c r="HYK4" s="326"/>
      <c r="HYL4" s="326"/>
      <c r="HYM4" s="326"/>
      <c r="HYN4" s="326"/>
      <c r="HYO4" s="326"/>
      <c r="HYP4" s="326"/>
      <c r="HYQ4" s="326"/>
      <c r="HYR4" s="326"/>
      <c r="HYS4" s="326"/>
      <c r="HYT4" s="326"/>
      <c r="HYU4" s="326"/>
      <c r="HYV4" s="326"/>
      <c r="HYW4" s="326">
        <v>45870</v>
      </c>
      <c r="HYX4" s="326"/>
      <c r="HYY4" s="326"/>
      <c r="HYZ4" s="326"/>
      <c r="HZA4" s="326"/>
      <c r="HZB4" s="326"/>
      <c r="HZC4" s="326"/>
      <c r="HZD4" s="326"/>
      <c r="HZE4" s="326"/>
      <c r="HZF4" s="326"/>
      <c r="HZG4" s="326"/>
      <c r="HZH4" s="326"/>
      <c r="HZI4" s="326"/>
      <c r="HZJ4" s="326"/>
      <c r="HZK4" s="326"/>
      <c r="HZL4" s="326"/>
      <c r="HZM4" s="326">
        <v>45870</v>
      </c>
      <c r="HZN4" s="326"/>
      <c r="HZO4" s="326"/>
      <c r="HZP4" s="326"/>
      <c r="HZQ4" s="326"/>
      <c r="HZR4" s="326"/>
      <c r="HZS4" s="326"/>
      <c r="HZT4" s="326"/>
      <c r="HZU4" s="326"/>
      <c r="HZV4" s="326"/>
      <c r="HZW4" s="326"/>
      <c r="HZX4" s="326"/>
      <c r="HZY4" s="326"/>
      <c r="HZZ4" s="326"/>
      <c r="IAA4" s="326"/>
      <c r="IAB4" s="326"/>
      <c r="IAC4" s="326">
        <v>45870</v>
      </c>
      <c r="IAD4" s="326"/>
      <c r="IAE4" s="326"/>
      <c r="IAF4" s="326"/>
      <c r="IAG4" s="326"/>
      <c r="IAH4" s="326"/>
      <c r="IAI4" s="326"/>
      <c r="IAJ4" s="326"/>
      <c r="IAK4" s="326"/>
      <c r="IAL4" s="326"/>
      <c r="IAM4" s="326"/>
      <c r="IAN4" s="326"/>
      <c r="IAO4" s="326"/>
      <c r="IAP4" s="326"/>
      <c r="IAQ4" s="326"/>
      <c r="IAR4" s="326"/>
      <c r="IAS4" s="326">
        <v>45870</v>
      </c>
      <c r="IAT4" s="326"/>
      <c r="IAU4" s="326"/>
      <c r="IAV4" s="326"/>
      <c r="IAW4" s="326"/>
      <c r="IAX4" s="326"/>
      <c r="IAY4" s="326"/>
      <c r="IAZ4" s="326"/>
      <c r="IBA4" s="326"/>
      <c r="IBB4" s="326"/>
      <c r="IBC4" s="326"/>
      <c r="IBD4" s="326"/>
      <c r="IBE4" s="326"/>
      <c r="IBF4" s="326"/>
      <c r="IBG4" s="326"/>
      <c r="IBH4" s="326"/>
      <c r="IBI4" s="326">
        <v>45870</v>
      </c>
      <c r="IBJ4" s="326"/>
      <c r="IBK4" s="326"/>
      <c r="IBL4" s="326"/>
      <c r="IBM4" s="326"/>
      <c r="IBN4" s="326"/>
      <c r="IBO4" s="326"/>
      <c r="IBP4" s="326"/>
      <c r="IBQ4" s="326"/>
      <c r="IBR4" s="326"/>
      <c r="IBS4" s="326"/>
      <c r="IBT4" s="326"/>
      <c r="IBU4" s="326"/>
      <c r="IBV4" s="326"/>
      <c r="IBW4" s="326"/>
      <c r="IBX4" s="326"/>
      <c r="IBY4" s="326">
        <v>45870</v>
      </c>
      <c r="IBZ4" s="326"/>
      <c r="ICA4" s="326"/>
      <c r="ICB4" s="326"/>
      <c r="ICC4" s="326"/>
      <c r="ICD4" s="326"/>
      <c r="ICE4" s="326"/>
      <c r="ICF4" s="326"/>
      <c r="ICG4" s="326"/>
      <c r="ICH4" s="326"/>
      <c r="ICI4" s="326"/>
      <c r="ICJ4" s="326"/>
      <c r="ICK4" s="326"/>
      <c r="ICL4" s="326"/>
      <c r="ICM4" s="326"/>
      <c r="ICN4" s="326"/>
      <c r="ICO4" s="326">
        <v>45870</v>
      </c>
      <c r="ICP4" s="326"/>
      <c r="ICQ4" s="326"/>
      <c r="ICR4" s="326"/>
      <c r="ICS4" s="326"/>
      <c r="ICT4" s="326"/>
      <c r="ICU4" s="326"/>
      <c r="ICV4" s="326"/>
      <c r="ICW4" s="326"/>
      <c r="ICX4" s="326"/>
      <c r="ICY4" s="326"/>
      <c r="ICZ4" s="326"/>
      <c r="IDA4" s="326"/>
      <c r="IDB4" s="326"/>
      <c r="IDC4" s="326"/>
      <c r="IDD4" s="326"/>
      <c r="IDE4" s="326">
        <v>45870</v>
      </c>
      <c r="IDF4" s="326"/>
      <c r="IDG4" s="326"/>
      <c r="IDH4" s="326"/>
      <c r="IDI4" s="326"/>
      <c r="IDJ4" s="326"/>
      <c r="IDK4" s="326"/>
      <c r="IDL4" s="326"/>
      <c r="IDM4" s="326"/>
      <c r="IDN4" s="326"/>
      <c r="IDO4" s="326"/>
      <c r="IDP4" s="326"/>
      <c r="IDQ4" s="326"/>
      <c r="IDR4" s="326"/>
      <c r="IDS4" s="326"/>
      <c r="IDT4" s="326"/>
      <c r="IDU4" s="326">
        <v>45870</v>
      </c>
      <c r="IDV4" s="326"/>
      <c r="IDW4" s="326"/>
      <c r="IDX4" s="326"/>
      <c r="IDY4" s="326"/>
      <c r="IDZ4" s="326"/>
      <c r="IEA4" s="326"/>
      <c r="IEB4" s="326"/>
      <c r="IEC4" s="326"/>
      <c r="IED4" s="326"/>
      <c r="IEE4" s="326"/>
      <c r="IEF4" s="326"/>
      <c r="IEG4" s="326"/>
      <c r="IEH4" s="326"/>
      <c r="IEI4" s="326"/>
      <c r="IEJ4" s="326"/>
      <c r="IEK4" s="326">
        <v>45870</v>
      </c>
      <c r="IEL4" s="326"/>
      <c r="IEM4" s="326"/>
      <c r="IEN4" s="326"/>
      <c r="IEO4" s="326"/>
      <c r="IEP4" s="326"/>
      <c r="IEQ4" s="326"/>
      <c r="IER4" s="326"/>
      <c r="IES4" s="326"/>
      <c r="IET4" s="326"/>
      <c r="IEU4" s="326"/>
      <c r="IEV4" s="326"/>
      <c r="IEW4" s="326"/>
      <c r="IEX4" s="326"/>
      <c r="IEY4" s="326"/>
      <c r="IEZ4" s="326"/>
      <c r="IFA4" s="326">
        <v>45870</v>
      </c>
      <c r="IFB4" s="326"/>
      <c r="IFC4" s="326"/>
      <c r="IFD4" s="326"/>
      <c r="IFE4" s="326"/>
      <c r="IFF4" s="326"/>
      <c r="IFG4" s="326"/>
      <c r="IFH4" s="326"/>
      <c r="IFI4" s="326"/>
      <c r="IFJ4" s="326"/>
      <c r="IFK4" s="326"/>
      <c r="IFL4" s="326"/>
      <c r="IFM4" s="326"/>
      <c r="IFN4" s="326"/>
      <c r="IFO4" s="326"/>
      <c r="IFP4" s="326"/>
      <c r="IFQ4" s="326">
        <v>45870</v>
      </c>
      <c r="IFR4" s="326"/>
      <c r="IFS4" s="326"/>
      <c r="IFT4" s="326"/>
      <c r="IFU4" s="326"/>
      <c r="IFV4" s="326"/>
      <c r="IFW4" s="326"/>
      <c r="IFX4" s="326"/>
      <c r="IFY4" s="326"/>
      <c r="IFZ4" s="326"/>
      <c r="IGA4" s="326"/>
      <c r="IGB4" s="326"/>
      <c r="IGC4" s="326"/>
      <c r="IGD4" s="326"/>
      <c r="IGE4" s="326"/>
      <c r="IGF4" s="326"/>
      <c r="IGG4" s="326">
        <v>45870</v>
      </c>
      <c r="IGH4" s="326"/>
      <c r="IGI4" s="326"/>
      <c r="IGJ4" s="326"/>
      <c r="IGK4" s="326"/>
      <c r="IGL4" s="326"/>
      <c r="IGM4" s="326"/>
      <c r="IGN4" s="326"/>
      <c r="IGO4" s="326"/>
      <c r="IGP4" s="326"/>
      <c r="IGQ4" s="326"/>
      <c r="IGR4" s="326"/>
      <c r="IGS4" s="326"/>
      <c r="IGT4" s="326"/>
      <c r="IGU4" s="326"/>
      <c r="IGV4" s="326"/>
      <c r="IGW4" s="326">
        <v>45870</v>
      </c>
      <c r="IGX4" s="326"/>
      <c r="IGY4" s="326"/>
      <c r="IGZ4" s="326"/>
      <c r="IHA4" s="326"/>
      <c r="IHB4" s="326"/>
      <c r="IHC4" s="326"/>
      <c r="IHD4" s="326"/>
      <c r="IHE4" s="326"/>
      <c r="IHF4" s="326"/>
      <c r="IHG4" s="326"/>
      <c r="IHH4" s="326"/>
      <c r="IHI4" s="326"/>
      <c r="IHJ4" s="326"/>
      <c r="IHK4" s="326"/>
      <c r="IHL4" s="326"/>
      <c r="IHM4" s="326">
        <v>45870</v>
      </c>
      <c r="IHN4" s="326"/>
      <c r="IHO4" s="326"/>
      <c r="IHP4" s="326"/>
      <c r="IHQ4" s="326"/>
      <c r="IHR4" s="326"/>
      <c r="IHS4" s="326"/>
      <c r="IHT4" s="326"/>
      <c r="IHU4" s="326"/>
      <c r="IHV4" s="326"/>
      <c r="IHW4" s="326"/>
      <c r="IHX4" s="326"/>
      <c r="IHY4" s="326"/>
      <c r="IHZ4" s="326"/>
      <c r="IIA4" s="326"/>
      <c r="IIB4" s="326"/>
      <c r="IIC4" s="326">
        <v>45870</v>
      </c>
      <c r="IID4" s="326"/>
      <c r="IIE4" s="326"/>
      <c r="IIF4" s="326"/>
      <c r="IIG4" s="326"/>
      <c r="IIH4" s="326"/>
      <c r="III4" s="326"/>
      <c r="IIJ4" s="326"/>
      <c r="IIK4" s="326"/>
      <c r="IIL4" s="326"/>
      <c r="IIM4" s="326"/>
      <c r="IIN4" s="326"/>
      <c r="IIO4" s="326"/>
      <c r="IIP4" s="326"/>
      <c r="IIQ4" s="326"/>
      <c r="IIR4" s="326"/>
      <c r="IIS4" s="326">
        <v>45870</v>
      </c>
      <c r="IIT4" s="326"/>
      <c r="IIU4" s="326"/>
      <c r="IIV4" s="326"/>
      <c r="IIW4" s="326"/>
      <c r="IIX4" s="326"/>
      <c r="IIY4" s="326"/>
      <c r="IIZ4" s="326"/>
      <c r="IJA4" s="326"/>
      <c r="IJB4" s="326"/>
      <c r="IJC4" s="326"/>
      <c r="IJD4" s="326"/>
      <c r="IJE4" s="326"/>
      <c r="IJF4" s="326"/>
      <c r="IJG4" s="326"/>
      <c r="IJH4" s="326"/>
      <c r="IJI4" s="326">
        <v>45870</v>
      </c>
      <c r="IJJ4" s="326"/>
      <c r="IJK4" s="326"/>
      <c r="IJL4" s="326"/>
      <c r="IJM4" s="326"/>
      <c r="IJN4" s="326"/>
      <c r="IJO4" s="326"/>
      <c r="IJP4" s="326"/>
      <c r="IJQ4" s="326"/>
      <c r="IJR4" s="326"/>
      <c r="IJS4" s="326"/>
      <c r="IJT4" s="326"/>
      <c r="IJU4" s="326"/>
      <c r="IJV4" s="326"/>
      <c r="IJW4" s="326"/>
      <c r="IJX4" s="326"/>
      <c r="IJY4" s="326">
        <v>45870</v>
      </c>
      <c r="IJZ4" s="326"/>
      <c r="IKA4" s="326"/>
      <c r="IKB4" s="326"/>
      <c r="IKC4" s="326"/>
      <c r="IKD4" s="326"/>
      <c r="IKE4" s="326"/>
      <c r="IKF4" s="326"/>
      <c r="IKG4" s="326"/>
      <c r="IKH4" s="326"/>
      <c r="IKI4" s="326"/>
      <c r="IKJ4" s="326"/>
      <c r="IKK4" s="326"/>
      <c r="IKL4" s="326"/>
      <c r="IKM4" s="326"/>
      <c r="IKN4" s="326"/>
      <c r="IKO4" s="326">
        <v>45870</v>
      </c>
      <c r="IKP4" s="326"/>
      <c r="IKQ4" s="326"/>
      <c r="IKR4" s="326"/>
      <c r="IKS4" s="326"/>
      <c r="IKT4" s="326"/>
      <c r="IKU4" s="326"/>
      <c r="IKV4" s="326"/>
      <c r="IKW4" s="326"/>
      <c r="IKX4" s="326"/>
      <c r="IKY4" s="326"/>
      <c r="IKZ4" s="326"/>
      <c r="ILA4" s="326"/>
      <c r="ILB4" s="326"/>
      <c r="ILC4" s="326"/>
      <c r="ILD4" s="326"/>
      <c r="ILE4" s="326">
        <v>45870</v>
      </c>
      <c r="ILF4" s="326"/>
      <c r="ILG4" s="326"/>
      <c r="ILH4" s="326"/>
      <c r="ILI4" s="326"/>
      <c r="ILJ4" s="326"/>
      <c r="ILK4" s="326"/>
      <c r="ILL4" s="326"/>
      <c r="ILM4" s="326"/>
      <c r="ILN4" s="326"/>
      <c r="ILO4" s="326"/>
      <c r="ILP4" s="326"/>
      <c r="ILQ4" s="326"/>
      <c r="ILR4" s="326"/>
      <c r="ILS4" s="326"/>
      <c r="ILT4" s="326"/>
      <c r="ILU4" s="326">
        <v>45870</v>
      </c>
      <c r="ILV4" s="326"/>
      <c r="ILW4" s="326"/>
      <c r="ILX4" s="326"/>
      <c r="ILY4" s="326"/>
      <c r="ILZ4" s="326"/>
      <c r="IMA4" s="326"/>
      <c r="IMB4" s="326"/>
      <c r="IMC4" s="326"/>
      <c r="IMD4" s="326"/>
      <c r="IME4" s="326"/>
      <c r="IMF4" s="326"/>
      <c r="IMG4" s="326"/>
      <c r="IMH4" s="326"/>
      <c r="IMI4" s="326"/>
      <c r="IMJ4" s="326"/>
      <c r="IMK4" s="326">
        <v>45870</v>
      </c>
      <c r="IML4" s="326"/>
      <c r="IMM4" s="326"/>
      <c r="IMN4" s="326"/>
      <c r="IMO4" s="326"/>
      <c r="IMP4" s="326"/>
      <c r="IMQ4" s="326"/>
      <c r="IMR4" s="326"/>
      <c r="IMS4" s="326"/>
      <c r="IMT4" s="326"/>
      <c r="IMU4" s="326"/>
      <c r="IMV4" s="326"/>
      <c r="IMW4" s="326"/>
      <c r="IMX4" s="326"/>
      <c r="IMY4" s="326"/>
      <c r="IMZ4" s="326"/>
      <c r="INA4" s="326">
        <v>45870</v>
      </c>
      <c r="INB4" s="326"/>
      <c r="INC4" s="326"/>
      <c r="IND4" s="326"/>
      <c r="INE4" s="326"/>
      <c r="INF4" s="326"/>
      <c r="ING4" s="326"/>
      <c r="INH4" s="326"/>
      <c r="INI4" s="326"/>
      <c r="INJ4" s="326"/>
      <c r="INK4" s="326"/>
      <c r="INL4" s="326"/>
      <c r="INM4" s="326"/>
      <c r="INN4" s="326"/>
      <c r="INO4" s="326"/>
      <c r="INP4" s="326"/>
      <c r="INQ4" s="326">
        <v>45870</v>
      </c>
      <c r="INR4" s="326"/>
      <c r="INS4" s="326"/>
      <c r="INT4" s="326"/>
      <c r="INU4" s="326"/>
      <c r="INV4" s="326"/>
      <c r="INW4" s="326"/>
      <c r="INX4" s="326"/>
      <c r="INY4" s="326"/>
      <c r="INZ4" s="326"/>
      <c r="IOA4" s="326"/>
      <c r="IOB4" s="326"/>
      <c r="IOC4" s="326"/>
      <c r="IOD4" s="326"/>
      <c r="IOE4" s="326"/>
      <c r="IOF4" s="326"/>
      <c r="IOG4" s="326">
        <v>45870</v>
      </c>
      <c r="IOH4" s="326"/>
      <c r="IOI4" s="326"/>
      <c r="IOJ4" s="326"/>
      <c r="IOK4" s="326"/>
      <c r="IOL4" s="326"/>
      <c r="IOM4" s="326"/>
      <c r="ION4" s="326"/>
      <c r="IOO4" s="326"/>
      <c r="IOP4" s="326"/>
      <c r="IOQ4" s="326"/>
      <c r="IOR4" s="326"/>
      <c r="IOS4" s="326"/>
      <c r="IOT4" s="326"/>
      <c r="IOU4" s="326"/>
      <c r="IOV4" s="326"/>
      <c r="IOW4" s="326">
        <v>45870</v>
      </c>
      <c r="IOX4" s="326"/>
      <c r="IOY4" s="326"/>
      <c r="IOZ4" s="326"/>
      <c r="IPA4" s="326"/>
      <c r="IPB4" s="326"/>
      <c r="IPC4" s="326"/>
      <c r="IPD4" s="326"/>
      <c r="IPE4" s="326"/>
      <c r="IPF4" s="326"/>
      <c r="IPG4" s="326"/>
      <c r="IPH4" s="326"/>
      <c r="IPI4" s="326"/>
      <c r="IPJ4" s="326"/>
      <c r="IPK4" s="326"/>
      <c r="IPL4" s="326"/>
      <c r="IPM4" s="326">
        <v>45870</v>
      </c>
      <c r="IPN4" s="326"/>
      <c r="IPO4" s="326"/>
      <c r="IPP4" s="326"/>
      <c r="IPQ4" s="326"/>
      <c r="IPR4" s="326"/>
      <c r="IPS4" s="326"/>
      <c r="IPT4" s="326"/>
      <c r="IPU4" s="326"/>
      <c r="IPV4" s="326"/>
      <c r="IPW4" s="326"/>
      <c r="IPX4" s="326"/>
      <c r="IPY4" s="326"/>
      <c r="IPZ4" s="326"/>
      <c r="IQA4" s="326"/>
      <c r="IQB4" s="326"/>
      <c r="IQC4" s="326">
        <v>45870</v>
      </c>
      <c r="IQD4" s="326"/>
      <c r="IQE4" s="326"/>
      <c r="IQF4" s="326"/>
      <c r="IQG4" s="326"/>
      <c r="IQH4" s="326"/>
      <c r="IQI4" s="326"/>
      <c r="IQJ4" s="326"/>
      <c r="IQK4" s="326"/>
      <c r="IQL4" s="326"/>
      <c r="IQM4" s="326"/>
      <c r="IQN4" s="326"/>
      <c r="IQO4" s="326"/>
      <c r="IQP4" s="326"/>
      <c r="IQQ4" s="326"/>
      <c r="IQR4" s="326"/>
      <c r="IQS4" s="326">
        <v>45870</v>
      </c>
      <c r="IQT4" s="326"/>
      <c r="IQU4" s="326"/>
      <c r="IQV4" s="326"/>
      <c r="IQW4" s="326"/>
      <c r="IQX4" s="326"/>
      <c r="IQY4" s="326"/>
      <c r="IQZ4" s="326"/>
      <c r="IRA4" s="326"/>
      <c r="IRB4" s="326"/>
      <c r="IRC4" s="326"/>
      <c r="IRD4" s="326"/>
      <c r="IRE4" s="326"/>
      <c r="IRF4" s="326"/>
      <c r="IRG4" s="326"/>
      <c r="IRH4" s="326"/>
      <c r="IRI4" s="326">
        <v>45870</v>
      </c>
      <c r="IRJ4" s="326"/>
      <c r="IRK4" s="326"/>
      <c r="IRL4" s="326"/>
      <c r="IRM4" s="326"/>
      <c r="IRN4" s="326"/>
      <c r="IRO4" s="326"/>
      <c r="IRP4" s="326"/>
      <c r="IRQ4" s="326"/>
      <c r="IRR4" s="326"/>
      <c r="IRS4" s="326"/>
      <c r="IRT4" s="326"/>
      <c r="IRU4" s="326"/>
      <c r="IRV4" s="326"/>
      <c r="IRW4" s="326"/>
      <c r="IRX4" s="326"/>
      <c r="IRY4" s="326">
        <v>45870</v>
      </c>
      <c r="IRZ4" s="326"/>
      <c r="ISA4" s="326"/>
      <c r="ISB4" s="326"/>
      <c r="ISC4" s="326"/>
      <c r="ISD4" s="326"/>
      <c r="ISE4" s="326"/>
      <c r="ISF4" s="326"/>
      <c r="ISG4" s="326"/>
      <c r="ISH4" s="326"/>
      <c r="ISI4" s="326"/>
      <c r="ISJ4" s="326"/>
      <c r="ISK4" s="326"/>
      <c r="ISL4" s="326"/>
      <c r="ISM4" s="326"/>
      <c r="ISN4" s="326"/>
      <c r="ISO4" s="326">
        <v>45870</v>
      </c>
      <c r="ISP4" s="326"/>
      <c r="ISQ4" s="326"/>
      <c r="ISR4" s="326"/>
      <c r="ISS4" s="326"/>
      <c r="IST4" s="326"/>
      <c r="ISU4" s="326"/>
      <c r="ISV4" s="326"/>
      <c r="ISW4" s="326"/>
      <c r="ISX4" s="326"/>
      <c r="ISY4" s="326"/>
      <c r="ISZ4" s="326"/>
      <c r="ITA4" s="326"/>
      <c r="ITB4" s="326"/>
      <c r="ITC4" s="326"/>
      <c r="ITD4" s="326"/>
      <c r="ITE4" s="326">
        <v>45870</v>
      </c>
      <c r="ITF4" s="326"/>
      <c r="ITG4" s="326"/>
      <c r="ITH4" s="326"/>
      <c r="ITI4" s="326"/>
      <c r="ITJ4" s="326"/>
      <c r="ITK4" s="326"/>
      <c r="ITL4" s="326"/>
      <c r="ITM4" s="326"/>
      <c r="ITN4" s="326"/>
      <c r="ITO4" s="326"/>
      <c r="ITP4" s="326"/>
      <c r="ITQ4" s="326"/>
      <c r="ITR4" s="326"/>
      <c r="ITS4" s="326"/>
      <c r="ITT4" s="326"/>
      <c r="ITU4" s="326">
        <v>45870</v>
      </c>
      <c r="ITV4" s="326"/>
      <c r="ITW4" s="326"/>
      <c r="ITX4" s="326"/>
      <c r="ITY4" s="326"/>
      <c r="ITZ4" s="326"/>
      <c r="IUA4" s="326"/>
      <c r="IUB4" s="326"/>
      <c r="IUC4" s="326"/>
      <c r="IUD4" s="326"/>
      <c r="IUE4" s="326"/>
      <c r="IUF4" s="326"/>
      <c r="IUG4" s="326"/>
      <c r="IUH4" s="326"/>
      <c r="IUI4" s="326"/>
      <c r="IUJ4" s="326"/>
      <c r="IUK4" s="326">
        <v>45870</v>
      </c>
      <c r="IUL4" s="326"/>
      <c r="IUM4" s="326"/>
      <c r="IUN4" s="326"/>
      <c r="IUO4" s="326"/>
      <c r="IUP4" s="326"/>
      <c r="IUQ4" s="326"/>
      <c r="IUR4" s="326"/>
      <c r="IUS4" s="326"/>
      <c r="IUT4" s="326"/>
      <c r="IUU4" s="326"/>
      <c r="IUV4" s="326"/>
      <c r="IUW4" s="326"/>
      <c r="IUX4" s="326"/>
      <c r="IUY4" s="326"/>
      <c r="IUZ4" s="326"/>
      <c r="IVA4" s="326">
        <v>45870</v>
      </c>
      <c r="IVB4" s="326"/>
      <c r="IVC4" s="326"/>
      <c r="IVD4" s="326"/>
      <c r="IVE4" s="326"/>
      <c r="IVF4" s="326"/>
      <c r="IVG4" s="326"/>
      <c r="IVH4" s="326"/>
      <c r="IVI4" s="326"/>
      <c r="IVJ4" s="326"/>
      <c r="IVK4" s="326"/>
      <c r="IVL4" s="326"/>
      <c r="IVM4" s="326"/>
      <c r="IVN4" s="326"/>
      <c r="IVO4" s="326"/>
      <c r="IVP4" s="326"/>
      <c r="IVQ4" s="326">
        <v>45870</v>
      </c>
      <c r="IVR4" s="326"/>
      <c r="IVS4" s="326"/>
      <c r="IVT4" s="326"/>
      <c r="IVU4" s="326"/>
      <c r="IVV4" s="326"/>
      <c r="IVW4" s="326"/>
      <c r="IVX4" s="326"/>
      <c r="IVY4" s="326"/>
      <c r="IVZ4" s="326"/>
      <c r="IWA4" s="326"/>
      <c r="IWB4" s="326"/>
      <c r="IWC4" s="326"/>
      <c r="IWD4" s="326"/>
      <c r="IWE4" s="326"/>
      <c r="IWF4" s="326"/>
      <c r="IWG4" s="326">
        <v>45870</v>
      </c>
      <c r="IWH4" s="326"/>
      <c r="IWI4" s="326"/>
      <c r="IWJ4" s="326"/>
      <c r="IWK4" s="326"/>
      <c r="IWL4" s="326"/>
      <c r="IWM4" s="326"/>
      <c r="IWN4" s="326"/>
      <c r="IWO4" s="326"/>
      <c r="IWP4" s="326"/>
      <c r="IWQ4" s="326"/>
      <c r="IWR4" s="326"/>
      <c r="IWS4" s="326"/>
      <c r="IWT4" s="326"/>
      <c r="IWU4" s="326"/>
      <c r="IWV4" s="326"/>
      <c r="IWW4" s="326">
        <v>45870</v>
      </c>
      <c r="IWX4" s="326"/>
      <c r="IWY4" s="326"/>
      <c r="IWZ4" s="326"/>
      <c r="IXA4" s="326"/>
      <c r="IXB4" s="326"/>
      <c r="IXC4" s="326"/>
      <c r="IXD4" s="326"/>
      <c r="IXE4" s="326"/>
      <c r="IXF4" s="326"/>
      <c r="IXG4" s="326"/>
      <c r="IXH4" s="326"/>
      <c r="IXI4" s="326"/>
      <c r="IXJ4" s="326"/>
      <c r="IXK4" s="326"/>
      <c r="IXL4" s="326"/>
      <c r="IXM4" s="326">
        <v>45870</v>
      </c>
      <c r="IXN4" s="326"/>
      <c r="IXO4" s="326"/>
      <c r="IXP4" s="326"/>
      <c r="IXQ4" s="326"/>
      <c r="IXR4" s="326"/>
      <c r="IXS4" s="326"/>
      <c r="IXT4" s="326"/>
      <c r="IXU4" s="326"/>
      <c r="IXV4" s="326"/>
      <c r="IXW4" s="326"/>
      <c r="IXX4" s="326"/>
      <c r="IXY4" s="326"/>
      <c r="IXZ4" s="326"/>
      <c r="IYA4" s="326"/>
      <c r="IYB4" s="326"/>
      <c r="IYC4" s="326">
        <v>45870</v>
      </c>
      <c r="IYD4" s="326"/>
      <c r="IYE4" s="326"/>
      <c r="IYF4" s="326"/>
      <c r="IYG4" s="326"/>
      <c r="IYH4" s="326"/>
      <c r="IYI4" s="326"/>
      <c r="IYJ4" s="326"/>
      <c r="IYK4" s="326"/>
      <c r="IYL4" s="326"/>
      <c r="IYM4" s="326"/>
      <c r="IYN4" s="326"/>
      <c r="IYO4" s="326"/>
      <c r="IYP4" s="326"/>
      <c r="IYQ4" s="326"/>
      <c r="IYR4" s="326"/>
      <c r="IYS4" s="326">
        <v>45870</v>
      </c>
      <c r="IYT4" s="326"/>
      <c r="IYU4" s="326"/>
      <c r="IYV4" s="326"/>
      <c r="IYW4" s="326"/>
      <c r="IYX4" s="326"/>
      <c r="IYY4" s="326"/>
      <c r="IYZ4" s="326"/>
      <c r="IZA4" s="326"/>
      <c r="IZB4" s="326"/>
      <c r="IZC4" s="326"/>
      <c r="IZD4" s="326"/>
      <c r="IZE4" s="326"/>
      <c r="IZF4" s="326"/>
      <c r="IZG4" s="326"/>
      <c r="IZH4" s="326"/>
      <c r="IZI4" s="326">
        <v>45870</v>
      </c>
      <c r="IZJ4" s="326"/>
      <c r="IZK4" s="326"/>
      <c r="IZL4" s="326"/>
      <c r="IZM4" s="326"/>
      <c r="IZN4" s="326"/>
      <c r="IZO4" s="326"/>
      <c r="IZP4" s="326"/>
      <c r="IZQ4" s="326"/>
      <c r="IZR4" s="326"/>
      <c r="IZS4" s="326"/>
      <c r="IZT4" s="326"/>
      <c r="IZU4" s="326"/>
      <c r="IZV4" s="326"/>
      <c r="IZW4" s="326"/>
      <c r="IZX4" s="326"/>
      <c r="IZY4" s="326">
        <v>45870</v>
      </c>
      <c r="IZZ4" s="326"/>
      <c r="JAA4" s="326"/>
      <c r="JAB4" s="326"/>
      <c r="JAC4" s="326"/>
      <c r="JAD4" s="326"/>
      <c r="JAE4" s="326"/>
      <c r="JAF4" s="326"/>
      <c r="JAG4" s="326"/>
      <c r="JAH4" s="326"/>
      <c r="JAI4" s="326"/>
      <c r="JAJ4" s="326"/>
      <c r="JAK4" s="326"/>
      <c r="JAL4" s="326"/>
      <c r="JAM4" s="326"/>
      <c r="JAN4" s="326"/>
      <c r="JAO4" s="326">
        <v>45870</v>
      </c>
      <c r="JAP4" s="326"/>
      <c r="JAQ4" s="326"/>
      <c r="JAR4" s="326"/>
      <c r="JAS4" s="326"/>
      <c r="JAT4" s="326"/>
      <c r="JAU4" s="326"/>
      <c r="JAV4" s="326"/>
      <c r="JAW4" s="326"/>
      <c r="JAX4" s="326"/>
      <c r="JAY4" s="326"/>
      <c r="JAZ4" s="326"/>
      <c r="JBA4" s="326"/>
      <c r="JBB4" s="326"/>
      <c r="JBC4" s="326"/>
      <c r="JBD4" s="326"/>
      <c r="JBE4" s="326">
        <v>45870</v>
      </c>
      <c r="JBF4" s="326"/>
      <c r="JBG4" s="326"/>
      <c r="JBH4" s="326"/>
      <c r="JBI4" s="326"/>
      <c r="JBJ4" s="326"/>
      <c r="JBK4" s="326"/>
      <c r="JBL4" s="326"/>
      <c r="JBM4" s="326"/>
      <c r="JBN4" s="326"/>
      <c r="JBO4" s="326"/>
      <c r="JBP4" s="326"/>
      <c r="JBQ4" s="326"/>
      <c r="JBR4" s="326"/>
      <c r="JBS4" s="326"/>
      <c r="JBT4" s="326"/>
      <c r="JBU4" s="326">
        <v>45870</v>
      </c>
      <c r="JBV4" s="326"/>
      <c r="JBW4" s="326"/>
      <c r="JBX4" s="326"/>
      <c r="JBY4" s="326"/>
      <c r="JBZ4" s="326"/>
      <c r="JCA4" s="326"/>
      <c r="JCB4" s="326"/>
      <c r="JCC4" s="326"/>
      <c r="JCD4" s="326"/>
      <c r="JCE4" s="326"/>
      <c r="JCF4" s="326"/>
      <c r="JCG4" s="326"/>
      <c r="JCH4" s="326"/>
      <c r="JCI4" s="326"/>
      <c r="JCJ4" s="326"/>
      <c r="JCK4" s="326">
        <v>45870</v>
      </c>
      <c r="JCL4" s="326"/>
      <c r="JCM4" s="326"/>
      <c r="JCN4" s="326"/>
      <c r="JCO4" s="326"/>
      <c r="JCP4" s="326"/>
      <c r="JCQ4" s="326"/>
      <c r="JCR4" s="326"/>
      <c r="JCS4" s="326"/>
      <c r="JCT4" s="326"/>
      <c r="JCU4" s="326"/>
      <c r="JCV4" s="326"/>
      <c r="JCW4" s="326"/>
      <c r="JCX4" s="326"/>
      <c r="JCY4" s="326"/>
      <c r="JCZ4" s="326"/>
      <c r="JDA4" s="326">
        <v>45870</v>
      </c>
      <c r="JDB4" s="326"/>
      <c r="JDC4" s="326"/>
      <c r="JDD4" s="326"/>
      <c r="JDE4" s="326"/>
      <c r="JDF4" s="326"/>
      <c r="JDG4" s="326"/>
      <c r="JDH4" s="326"/>
      <c r="JDI4" s="326"/>
      <c r="JDJ4" s="326"/>
      <c r="JDK4" s="326"/>
      <c r="JDL4" s="326"/>
      <c r="JDM4" s="326"/>
      <c r="JDN4" s="326"/>
      <c r="JDO4" s="326"/>
      <c r="JDP4" s="326"/>
      <c r="JDQ4" s="326">
        <v>45870</v>
      </c>
      <c r="JDR4" s="326"/>
      <c r="JDS4" s="326"/>
      <c r="JDT4" s="326"/>
      <c r="JDU4" s="326"/>
      <c r="JDV4" s="326"/>
      <c r="JDW4" s="326"/>
      <c r="JDX4" s="326"/>
      <c r="JDY4" s="326"/>
      <c r="JDZ4" s="326"/>
      <c r="JEA4" s="326"/>
      <c r="JEB4" s="326"/>
      <c r="JEC4" s="326"/>
      <c r="JED4" s="326"/>
      <c r="JEE4" s="326"/>
      <c r="JEF4" s="326"/>
      <c r="JEG4" s="326">
        <v>45870</v>
      </c>
      <c r="JEH4" s="326"/>
      <c r="JEI4" s="326"/>
      <c r="JEJ4" s="326"/>
      <c r="JEK4" s="326"/>
      <c r="JEL4" s="326"/>
      <c r="JEM4" s="326"/>
      <c r="JEN4" s="326"/>
      <c r="JEO4" s="326"/>
      <c r="JEP4" s="326"/>
      <c r="JEQ4" s="326"/>
      <c r="JER4" s="326"/>
      <c r="JES4" s="326"/>
      <c r="JET4" s="326"/>
      <c r="JEU4" s="326"/>
      <c r="JEV4" s="326"/>
      <c r="JEW4" s="326">
        <v>45870</v>
      </c>
      <c r="JEX4" s="326"/>
      <c r="JEY4" s="326"/>
      <c r="JEZ4" s="326"/>
      <c r="JFA4" s="326"/>
      <c r="JFB4" s="326"/>
      <c r="JFC4" s="326"/>
      <c r="JFD4" s="326"/>
      <c r="JFE4" s="326"/>
      <c r="JFF4" s="326"/>
      <c r="JFG4" s="326"/>
      <c r="JFH4" s="326"/>
      <c r="JFI4" s="326"/>
      <c r="JFJ4" s="326"/>
      <c r="JFK4" s="326"/>
      <c r="JFL4" s="326"/>
      <c r="JFM4" s="326">
        <v>45870</v>
      </c>
      <c r="JFN4" s="326"/>
      <c r="JFO4" s="326"/>
      <c r="JFP4" s="326"/>
      <c r="JFQ4" s="326"/>
      <c r="JFR4" s="326"/>
      <c r="JFS4" s="326"/>
      <c r="JFT4" s="326"/>
      <c r="JFU4" s="326"/>
      <c r="JFV4" s="326"/>
      <c r="JFW4" s="326"/>
      <c r="JFX4" s="326"/>
      <c r="JFY4" s="326"/>
      <c r="JFZ4" s="326"/>
      <c r="JGA4" s="326"/>
      <c r="JGB4" s="326"/>
      <c r="JGC4" s="326">
        <v>45870</v>
      </c>
      <c r="JGD4" s="326"/>
      <c r="JGE4" s="326"/>
      <c r="JGF4" s="326"/>
      <c r="JGG4" s="326"/>
      <c r="JGH4" s="326"/>
      <c r="JGI4" s="326"/>
      <c r="JGJ4" s="326"/>
      <c r="JGK4" s="326"/>
      <c r="JGL4" s="326"/>
      <c r="JGM4" s="326"/>
      <c r="JGN4" s="326"/>
      <c r="JGO4" s="326"/>
      <c r="JGP4" s="326"/>
      <c r="JGQ4" s="326"/>
      <c r="JGR4" s="326"/>
      <c r="JGS4" s="326">
        <v>45870</v>
      </c>
      <c r="JGT4" s="326"/>
      <c r="JGU4" s="326"/>
      <c r="JGV4" s="326"/>
      <c r="JGW4" s="326"/>
      <c r="JGX4" s="326"/>
      <c r="JGY4" s="326"/>
      <c r="JGZ4" s="326"/>
      <c r="JHA4" s="326"/>
      <c r="JHB4" s="326"/>
      <c r="JHC4" s="326"/>
      <c r="JHD4" s="326"/>
      <c r="JHE4" s="326"/>
      <c r="JHF4" s="326"/>
      <c r="JHG4" s="326"/>
      <c r="JHH4" s="326"/>
      <c r="JHI4" s="326">
        <v>45870</v>
      </c>
      <c r="JHJ4" s="326"/>
      <c r="JHK4" s="326"/>
      <c r="JHL4" s="326"/>
      <c r="JHM4" s="326"/>
      <c r="JHN4" s="326"/>
      <c r="JHO4" s="326"/>
      <c r="JHP4" s="326"/>
      <c r="JHQ4" s="326"/>
      <c r="JHR4" s="326"/>
      <c r="JHS4" s="326"/>
      <c r="JHT4" s="326"/>
      <c r="JHU4" s="326"/>
      <c r="JHV4" s="326"/>
      <c r="JHW4" s="326"/>
      <c r="JHX4" s="326"/>
      <c r="JHY4" s="326">
        <v>45870</v>
      </c>
      <c r="JHZ4" s="326"/>
      <c r="JIA4" s="326"/>
      <c r="JIB4" s="326"/>
      <c r="JIC4" s="326"/>
      <c r="JID4" s="326"/>
      <c r="JIE4" s="326"/>
      <c r="JIF4" s="326"/>
      <c r="JIG4" s="326"/>
      <c r="JIH4" s="326"/>
      <c r="JII4" s="326"/>
      <c r="JIJ4" s="326"/>
      <c r="JIK4" s="326"/>
      <c r="JIL4" s="326"/>
      <c r="JIM4" s="326"/>
      <c r="JIN4" s="326"/>
      <c r="JIO4" s="326">
        <v>45870</v>
      </c>
      <c r="JIP4" s="326"/>
      <c r="JIQ4" s="326"/>
      <c r="JIR4" s="326"/>
      <c r="JIS4" s="326"/>
      <c r="JIT4" s="326"/>
      <c r="JIU4" s="326"/>
      <c r="JIV4" s="326"/>
      <c r="JIW4" s="326"/>
      <c r="JIX4" s="326"/>
      <c r="JIY4" s="326"/>
      <c r="JIZ4" s="326"/>
      <c r="JJA4" s="326"/>
      <c r="JJB4" s="326"/>
      <c r="JJC4" s="326"/>
      <c r="JJD4" s="326"/>
      <c r="JJE4" s="326">
        <v>45870</v>
      </c>
      <c r="JJF4" s="326"/>
      <c r="JJG4" s="326"/>
      <c r="JJH4" s="326"/>
      <c r="JJI4" s="326"/>
      <c r="JJJ4" s="326"/>
      <c r="JJK4" s="326"/>
      <c r="JJL4" s="326"/>
      <c r="JJM4" s="326"/>
      <c r="JJN4" s="326"/>
      <c r="JJO4" s="326"/>
      <c r="JJP4" s="326"/>
      <c r="JJQ4" s="326"/>
      <c r="JJR4" s="326"/>
      <c r="JJS4" s="326"/>
      <c r="JJT4" s="326"/>
      <c r="JJU4" s="326">
        <v>45870</v>
      </c>
      <c r="JJV4" s="326"/>
      <c r="JJW4" s="326"/>
      <c r="JJX4" s="326"/>
      <c r="JJY4" s="326"/>
      <c r="JJZ4" s="326"/>
      <c r="JKA4" s="326"/>
      <c r="JKB4" s="326"/>
      <c r="JKC4" s="326"/>
      <c r="JKD4" s="326"/>
      <c r="JKE4" s="326"/>
      <c r="JKF4" s="326"/>
      <c r="JKG4" s="326"/>
      <c r="JKH4" s="326"/>
      <c r="JKI4" s="326"/>
      <c r="JKJ4" s="326"/>
      <c r="JKK4" s="326">
        <v>45870</v>
      </c>
      <c r="JKL4" s="326"/>
      <c r="JKM4" s="326"/>
      <c r="JKN4" s="326"/>
      <c r="JKO4" s="326"/>
      <c r="JKP4" s="326"/>
      <c r="JKQ4" s="326"/>
      <c r="JKR4" s="326"/>
      <c r="JKS4" s="326"/>
      <c r="JKT4" s="326"/>
      <c r="JKU4" s="326"/>
      <c r="JKV4" s="326"/>
      <c r="JKW4" s="326"/>
      <c r="JKX4" s="326"/>
      <c r="JKY4" s="326"/>
      <c r="JKZ4" s="326"/>
      <c r="JLA4" s="326">
        <v>45870</v>
      </c>
      <c r="JLB4" s="326"/>
      <c r="JLC4" s="326"/>
      <c r="JLD4" s="326"/>
      <c r="JLE4" s="326"/>
      <c r="JLF4" s="326"/>
      <c r="JLG4" s="326"/>
      <c r="JLH4" s="326"/>
      <c r="JLI4" s="326"/>
      <c r="JLJ4" s="326"/>
      <c r="JLK4" s="326"/>
      <c r="JLL4" s="326"/>
      <c r="JLM4" s="326"/>
      <c r="JLN4" s="326"/>
      <c r="JLO4" s="326"/>
      <c r="JLP4" s="326"/>
      <c r="JLQ4" s="326">
        <v>45870</v>
      </c>
      <c r="JLR4" s="326"/>
      <c r="JLS4" s="326"/>
      <c r="JLT4" s="326"/>
      <c r="JLU4" s="326"/>
      <c r="JLV4" s="326"/>
      <c r="JLW4" s="326"/>
      <c r="JLX4" s="326"/>
      <c r="JLY4" s="326"/>
      <c r="JLZ4" s="326"/>
      <c r="JMA4" s="326"/>
      <c r="JMB4" s="326"/>
      <c r="JMC4" s="326"/>
      <c r="JMD4" s="326"/>
      <c r="JME4" s="326"/>
      <c r="JMF4" s="326"/>
      <c r="JMG4" s="326">
        <v>45870</v>
      </c>
      <c r="JMH4" s="326"/>
      <c r="JMI4" s="326"/>
      <c r="JMJ4" s="326"/>
      <c r="JMK4" s="326"/>
      <c r="JML4" s="326"/>
      <c r="JMM4" s="326"/>
      <c r="JMN4" s="326"/>
      <c r="JMO4" s="326"/>
      <c r="JMP4" s="326"/>
      <c r="JMQ4" s="326"/>
      <c r="JMR4" s="326"/>
      <c r="JMS4" s="326"/>
      <c r="JMT4" s="326"/>
      <c r="JMU4" s="326"/>
      <c r="JMV4" s="326"/>
      <c r="JMW4" s="326">
        <v>45870</v>
      </c>
      <c r="JMX4" s="326"/>
      <c r="JMY4" s="326"/>
      <c r="JMZ4" s="326"/>
      <c r="JNA4" s="326"/>
      <c r="JNB4" s="326"/>
      <c r="JNC4" s="326"/>
      <c r="JND4" s="326"/>
      <c r="JNE4" s="326"/>
      <c r="JNF4" s="326"/>
      <c r="JNG4" s="326"/>
      <c r="JNH4" s="326"/>
      <c r="JNI4" s="326"/>
      <c r="JNJ4" s="326"/>
      <c r="JNK4" s="326"/>
      <c r="JNL4" s="326"/>
      <c r="JNM4" s="326">
        <v>45870</v>
      </c>
      <c r="JNN4" s="326"/>
      <c r="JNO4" s="326"/>
      <c r="JNP4" s="326"/>
      <c r="JNQ4" s="326"/>
      <c r="JNR4" s="326"/>
      <c r="JNS4" s="326"/>
      <c r="JNT4" s="326"/>
      <c r="JNU4" s="326"/>
      <c r="JNV4" s="326"/>
      <c r="JNW4" s="326"/>
      <c r="JNX4" s="326"/>
      <c r="JNY4" s="326"/>
      <c r="JNZ4" s="326"/>
      <c r="JOA4" s="326"/>
      <c r="JOB4" s="326"/>
      <c r="JOC4" s="326">
        <v>45870</v>
      </c>
      <c r="JOD4" s="326"/>
      <c r="JOE4" s="326"/>
      <c r="JOF4" s="326"/>
      <c r="JOG4" s="326"/>
      <c r="JOH4" s="326"/>
      <c r="JOI4" s="326"/>
      <c r="JOJ4" s="326"/>
      <c r="JOK4" s="326"/>
      <c r="JOL4" s="326"/>
      <c r="JOM4" s="326"/>
      <c r="JON4" s="326"/>
      <c r="JOO4" s="326"/>
      <c r="JOP4" s="326"/>
      <c r="JOQ4" s="326"/>
      <c r="JOR4" s="326"/>
      <c r="JOS4" s="326">
        <v>45870</v>
      </c>
      <c r="JOT4" s="326"/>
      <c r="JOU4" s="326"/>
      <c r="JOV4" s="326"/>
      <c r="JOW4" s="326"/>
      <c r="JOX4" s="326"/>
      <c r="JOY4" s="326"/>
      <c r="JOZ4" s="326"/>
      <c r="JPA4" s="326"/>
      <c r="JPB4" s="326"/>
      <c r="JPC4" s="326"/>
      <c r="JPD4" s="326"/>
      <c r="JPE4" s="326"/>
      <c r="JPF4" s="326"/>
      <c r="JPG4" s="326"/>
      <c r="JPH4" s="326"/>
      <c r="JPI4" s="326">
        <v>45870</v>
      </c>
      <c r="JPJ4" s="326"/>
      <c r="JPK4" s="326"/>
      <c r="JPL4" s="326"/>
      <c r="JPM4" s="326"/>
      <c r="JPN4" s="326"/>
      <c r="JPO4" s="326"/>
      <c r="JPP4" s="326"/>
      <c r="JPQ4" s="326"/>
      <c r="JPR4" s="326"/>
      <c r="JPS4" s="326"/>
      <c r="JPT4" s="326"/>
      <c r="JPU4" s="326"/>
      <c r="JPV4" s="326"/>
      <c r="JPW4" s="326"/>
      <c r="JPX4" s="326"/>
      <c r="JPY4" s="326">
        <v>45870</v>
      </c>
      <c r="JPZ4" s="326"/>
      <c r="JQA4" s="326"/>
      <c r="JQB4" s="326"/>
      <c r="JQC4" s="326"/>
      <c r="JQD4" s="326"/>
      <c r="JQE4" s="326"/>
      <c r="JQF4" s="326"/>
      <c r="JQG4" s="326"/>
      <c r="JQH4" s="326"/>
      <c r="JQI4" s="326"/>
      <c r="JQJ4" s="326"/>
      <c r="JQK4" s="326"/>
      <c r="JQL4" s="326"/>
      <c r="JQM4" s="326"/>
      <c r="JQN4" s="326"/>
      <c r="JQO4" s="326">
        <v>45870</v>
      </c>
      <c r="JQP4" s="326"/>
      <c r="JQQ4" s="326"/>
      <c r="JQR4" s="326"/>
      <c r="JQS4" s="326"/>
      <c r="JQT4" s="326"/>
      <c r="JQU4" s="326"/>
      <c r="JQV4" s="326"/>
      <c r="JQW4" s="326"/>
      <c r="JQX4" s="326"/>
      <c r="JQY4" s="326"/>
      <c r="JQZ4" s="326"/>
      <c r="JRA4" s="326"/>
      <c r="JRB4" s="326"/>
      <c r="JRC4" s="326"/>
      <c r="JRD4" s="326"/>
      <c r="JRE4" s="326">
        <v>45870</v>
      </c>
      <c r="JRF4" s="326"/>
      <c r="JRG4" s="326"/>
      <c r="JRH4" s="326"/>
      <c r="JRI4" s="326"/>
      <c r="JRJ4" s="326"/>
      <c r="JRK4" s="326"/>
      <c r="JRL4" s="326"/>
      <c r="JRM4" s="326"/>
      <c r="JRN4" s="326"/>
      <c r="JRO4" s="326"/>
      <c r="JRP4" s="326"/>
      <c r="JRQ4" s="326"/>
      <c r="JRR4" s="326"/>
      <c r="JRS4" s="326"/>
      <c r="JRT4" s="326"/>
      <c r="JRU4" s="326">
        <v>45870</v>
      </c>
      <c r="JRV4" s="326"/>
      <c r="JRW4" s="326"/>
      <c r="JRX4" s="326"/>
      <c r="JRY4" s="326"/>
      <c r="JRZ4" s="326"/>
      <c r="JSA4" s="326"/>
      <c r="JSB4" s="326"/>
      <c r="JSC4" s="326"/>
      <c r="JSD4" s="326"/>
      <c r="JSE4" s="326"/>
      <c r="JSF4" s="326"/>
      <c r="JSG4" s="326"/>
      <c r="JSH4" s="326"/>
      <c r="JSI4" s="326"/>
      <c r="JSJ4" s="326"/>
      <c r="JSK4" s="326">
        <v>45870</v>
      </c>
      <c r="JSL4" s="326"/>
      <c r="JSM4" s="326"/>
      <c r="JSN4" s="326"/>
      <c r="JSO4" s="326"/>
      <c r="JSP4" s="326"/>
      <c r="JSQ4" s="326"/>
      <c r="JSR4" s="326"/>
      <c r="JSS4" s="326"/>
      <c r="JST4" s="326"/>
      <c r="JSU4" s="326"/>
      <c r="JSV4" s="326"/>
      <c r="JSW4" s="326"/>
      <c r="JSX4" s="326"/>
      <c r="JSY4" s="326"/>
      <c r="JSZ4" s="326"/>
      <c r="JTA4" s="326">
        <v>45870</v>
      </c>
      <c r="JTB4" s="326"/>
      <c r="JTC4" s="326"/>
      <c r="JTD4" s="326"/>
      <c r="JTE4" s="326"/>
      <c r="JTF4" s="326"/>
      <c r="JTG4" s="326"/>
      <c r="JTH4" s="326"/>
      <c r="JTI4" s="326"/>
      <c r="JTJ4" s="326"/>
      <c r="JTK4" s="326"/>
      <c r="JTL4" s="326"/>
      <c r="JTM4" s="326"/>
      <c r="JTN4" s="326"/>
      <c r="JTO4" s="326"/>
      <c r="JTP4" s="326"/>
      <c r="JTQ4" s="326">
        <v>45870</v>
      </c>
      <c r="JTR4" s="326"/>
      <c r="JTS4" s="326"/>
      <c r="JTT4" s="326"/>
      <c r="JTU4" s="326"/>
      <c r="JTV4" s="326"/>
      <c r="JTW4" s="326"/>
      <c r="JTX4" s="326"/>
      <c r="JTY4" s="326"/>
      <c r="JTZ4" s="326"/>
      <c r="JUA4" s="326"/>
      <c r="JUB4" s="326"/>
      <c r="JUC4" s="326"/>
      <c r="JUD4" s="326"/>
      <c r="JUE4" s="326"/>
      <c r="JUF4" s="326"/>
      <c r="JUG4" s="326">
        <v>45870</v>
      </c>
      <c r="JUH4" s="326"/>
      <c r="JUI4" s="326"/>
      <c r="JUJ4" s="326"/>
      <c r="JUK4" s="326"/>
      <c r="JUL4" s="326"/>
      <c r="JUM4" s="326"/>
      <c r="JUN4" s="326"/>
      <c r="JUO4" s="326"/>
      <c r="JUP4" s="326"/>
      <c r="JUQ4" s="326"/>
      <c r="JUR4" s="326"/>
      <c r="JUS4" s="326"/>
      <c r="JUT4" s="326"/>
      <c r="JUU4" s="326"/>
      <c r="JUV4" s="326"/>
      <c r="JUW4" s="326">
        <v>45870</v>
      </c>
      <c r="JUX4" s="326"/>
      <c r="JUY4" s="326"/>
      <c r="JUZ4" s="326"/>
      <c r="JVA4" s="326"/>
      <c r="JVB4" s="326"/>
      <c r="JVC4" s="326"/>
      <c r="JVD4" s="326"/>
      <c r="JVE4" s="326"/>
      <c r="JVF4" s="326"/>
      <c r="JVG4" s="326"/>
      <c r="JVH4" s="326"/>
      <c r="JVI4" s="326"/>
      <c r="JVJ4" s="326"/>
      <c r="JVK4" s="326"/>
      <c r="JVL4" s="326"/>
      <c r="JVM4" s="326">
        <v>45870</v>
      </c>
      <c r="JVN4" s="326"/>
      <c r="JVO4" s="326"/>
      <c r="JVP4" s="326"/>
      <c r="JVQ4" s="326"/>
      <c r="JVR4" s="326"/>
      <c r="JVS4" s="326"/>
      <c r="JVT4" s="326"/>
      <c r="JVU4" s="326"/>
      <c r="JVV4" s="326"/>
      <c r="JVW4" s="326"/>
      <c r="JVX4" s="326"/>
      <c r="JVY4" s="326"/>
      <c r="JVZ4" s="326"/>
      <c r="JWA4" s="326"/>
      <c r="JWB4" s="326"/>
      <c r="JWC4" s="326">
        <v>45870</v>
      </c>
      <c r="JWD4" s="326"/>
      <c r="JWE4" s="326"/>
      <c r="JWF4" s="326"/>
      <c r="JWG4" s="326"/>
      <c r="JWH4" s="326"/>
      <c r="JWI4" s="326"/>
      <c r="JWJ4" s="326"/>
      <c r="JWK4" s="326"/>
      <c r="JWL4" s="326"/>
      <c r="JWM4" s="326"/>
      <c r="JWN4" s="326"/>
      <c r="JWO4" s="326"/>
      <c r="JWP4" s="326"/>
      <c r="JWQ4" s="326"/>
      <c r="JWR4" s="326"/>
      <c r="JWS4" s="326">
        <v>45870</v>
      </c>
      <c r="JWT4" s="326"/>
      <c r="JWU4" s="326"/>
      <c r="JWV4" s="326"/>
      <c r="JWW4" s="326"/>
      <c r="JWX4" s="326"/>
      <c r="JWY4" s="326"/>
      <c r="JWZ4" s="326"/>
      <c r="JXA4" s="326"/>
      <c r="JXB4" s="326"/>
      <c r="JXC4" s="326"/>
      <c r="JXD4" s="326"/>
      <c r="JXE4" s="326"/>
      <c r="JXF4" s="326"/>
      <c r="JXG4" s="326"/>
      <c r="JXH4" s="326"/>
      <c r="JXI4" s="326">
        <v>45870</v>
      </c>
      <c r="JXJ4" s="326"/>
      <c r="JXK4" s="326"/>
      <c r="JXL4" s="326"/>
      <c r="JXM4" s="326"/>
      <c r="JXN4" s="326"/>
      <c r="JXO4" s="326"/>
      <c r="JXP4" s="326"/>
      <c r="JXQ4" s="326"/>
      <c r="JXR4" s="326"/>
      <c r="JXS4" s="326"/>
      <c r="JXT4" s="326"/>
      <c r="JXU4" s="326"/>
      <c r="JXV4" s="326"/>
      <c r="JXW4" s="326"/>
      <c r="JXX4" s="326"/>
      <c r="JXY4" s="326">
        <v>45870</v>
      </c>
      <c r="JXZ4" s="326"/>
      <c r="JYA4" s="326"/>
      <c r="JYB4" s="326"/>
      <c r="JYC4" s="326"/>
      <c r="JYD4" s="326"/>
      <c r="JYE4" s="326"/>
      <c r="JYF4" s="326"/>
      <c r="JYG4" s="326"/>
      <c r="JYH4" s="326"/>
      <c r="JYI4" s="326"/>
      <c r="JYJ4" s="326"/>
      <c r="JYK4" s="326"/>
      <c r="JYL4" s="326"/>
      <c r="JYM4" s="326"/>
      <c r="JYN4" s="326"/>
      <c r="JYO4" s="326">
        <v>45870</v>
      </c>
      <c r="JYP4" s="326"/>
      <c r="JYQ4" s="326"/>
      <c r="JYR4" s="326"/>
      <c r="JYS4" s="326"/>
      <c r="JYT4" s="326"/>
      <c r="JYU4" s="326"/>
      <c r="JYV4" s="326"/>
      <c r="JYW4" s="326"/>
      <c r="JYX4" s="326"/>
      <c r="JYY4" s="326"/>
      <c r="JYZ4" s="326"/>
      <c r="JZA4" s="326"/>
      <c r="JZB4" s="326"/>
      <c r="JZC4" s="326"/>
      <c r="JZD4" s="326"/>
      <c r="JZE4" s="326">
        <v>45870</v>
      </c>
      <c r="JZF4" s="326"/>
      <c r="JZG4" s="326"/>
      <c r="JZH4" s="326"/>
      <c r="JZI4" s="326"/>
      <c r="JZJ4" s="326"/>
      <c r="JZK4" s="326"/>
      <c r="JZL4" s="326"/>
      <c r="JZM4" s="326"/>
      <c r="JZN4" s="326"/>
      <c r="JZO4" s="326"/>
      <c r="JZP4" s="326"/>
      <c r="JZQ4" s="326"/>
      <c r="JZR4" s="326"/>
      <c r="JZS4" s="326"/>
      <c r="JZT4" s="326"/>
      <c r="JZU4" s="326">
        <v>45870</v>
      </c>
      <c r="JZV4" s="326"/>
      <c r="JZW4" s="326"/>
      <c r="JZX4" s="326"/>
      <c r="JZY4" s="326"/>
      <c r="JZZ4" s="326"/>
      <c r="KAA4" s="326"/>
      <c r="KAB4" s="326"/>
      <c r="KAC4" s="326"/>
      <c r="KAD4" s="326"/>
      <c r="KAE4" s="326"/>
      <c r="KAF4" s="326"/>
      <c r="KAG4" s="326"/>
      <c r="KAH4" s="326"/>
      <c r="KAI4" s="326"/>
      <c r="KAJ4" s="326"/>
      <c r="KAK4" s="326">
        <v>45870</v>
      </c>
      <c r="KAL4" s="326"/>
      <c r="KAM4" s="326"/>
      <c r="KAN4" s="326"/>
      <c r="KAO4" s="326"/>
      <c r="KAP4" s="326"/>
      <c r="KAQ4" s="326"/>
      <c r="KAR4" s="326"/>
      <c r="KAS4" s="326"/>
      <c r="KAT4" s="326"/>
      <c r="KAU4" s="326"/>
      <c r="KAV4" s="326"/>
      <c r="KAW4" s="326"/>
      <c r="KAX4" s="326"/>
      <c r="KAY4" s="326"/>
      <c r="KAZ4" s="326"/>
      <c r="KBA4" s="326">
        <v>45870</v>
      </c>
      <c r="KBB4" s="326"/>
      <c r="KBC4" s="326"/>
      <c r="KBD4" s="326"/>
      <c r="KBE4" s="326"/>
      <c r="KBF4" s="326"/>
      <c r="KBG4" s="326"/>
      <c r="KBH4" s="326"/>
      <c r="KBI4" s="326"/>
      <c r="KBJ4" s="326"/>
      <c r="KBK4" s="326"/>
      <c r="KBL4" s="326"/>
      <c r="KBM4" s="326"/>
      <c r="KBN4" s="326"/>
      <c r="KBO4" s="326"/>
      <c r="KBP4" s="326"/>
      <c r="KBQ4" s="326">
        <v>45870</v>
      </c>
      <c r="KBR4" s="326"/>
      <c r="KBS4" s="326"/>
      <c r="KBT4" s="326"/>
      <c r="KBU4" s="326"/>
      <c r="KBV4" s="326"/>
      <c r="KBW4" s="326"/>
      <c r="KBX4" s="326"/>
      <c r="KBY4" s="326"/>
      <c r="KBZ4" s="326"/>
      <c r="KCA4" s="326"/>
      <c r="KCB4" s="326"/>
      <c r="KCC4" s="326"/>
      <c r="KCD4" s="326"/>
      <c r="KCE4" s="326"/>
      <c r="KCF4" s="326"/>
      <c r="KCG4" s="326">
        <v>45870</v>
      </c>
      <c r="KCH4" s="326"/>
      <c r="KCI4" s="326"/>
      <c r="KCJ4" s="326"/>
      <c r="KCK4" s="326"/>
      <c r="KCL4" s="326"/>
      <c r="KCM4" s="326"/>
      <c r="KCN4" s="326"/>
      <c r="KCO4" s="326"/>
      <c r="KCP4" s="326"/>
      <c r="KCQ4" s="326"/>
      <c r="KCR4" s="326"/>
      <c r="KCS4" s="326"/>
      <c r="KCT4" s="326"/>
      <c r="KCU4" s="326"/>
      <c r="KCV4" s="326"/>
      <c r="KCW4" s="326">
        <v>45870</v>
      </c>
      <c r="KCX4" s="326"/>
      <c r="KCY4" s="326"/>
      <c r="KCZ4" s="326"/>
      <c r="KDA4" s="326"/>
      <c r="KDB4" s="326"/>
      <c r="KDC4" s="326"/>
      <c r="KDD4" s="326"/>
      <c r="KDE4" s="326"/>
      <c r="KDF4" s="326"/>
      <c r="KDG4" s="326"/>
      <c r="KDH4" s="326"/>
      <c r="KDI4" s="326"/>
      <c r="KDJ4" s="326"/>
      <c r="KDK4" s="326"/>
      <c r="KDL4" s="326"/>
      <c r="KDM4" s="326">
        <v>45870</v>
      </c>
      <c r="KDN4" s="326"/>
      <c r="KDO4" s="326"/>
      <c r="KDP4" s="326"/>
      <c r="KDQ4" s="326"/>
      <c r="KDR4" s="326"/>
      <c r="KDS4" s="326"/>
      <c r="KDT4" s="326"/>
      <c r="KDU4" s="326"/>
      <c r="KDV4" s="326"/>
      <c r="KDW4" s="326"/>
      <c r="KDX4" s="326"/>
      <c r="KDY4" s="326"/>
      <c r="KDZ4" s="326"/>
      <c r="KEA4" s="326"/>
      <c r="KEB4" s="326"/>
      <c r="KEC4" s="326">
        <v>45870</v>
      </c>
      <c r="KED4" s="326"/>
      <c r="KEE4" s="326"/>
      <c r="KEF4" s="326"/>
      <c r="KEG4" s="326"/>
      <c r="KEH4" s="326"/>
      <c r="KEI4" s="326"/>
      <c r="KEJ4" s="326"/>
      <c r="KEK4" s="326"/>
      <c r="KEL4" s="326"/>
      <c r="KEM4" s="326"/>
      <c r="KEN4" s="326"/>
      <c r="KEO4" s="326"/>
      <c r="KEP4" s="326"/>
      <c r="KEQ4" s="326"/>
      <c r="KER4" s="326"/>
      <c r="KES4" s="326">
        <v>45870</v>
      </c>
      <c r="KET4" s="326"/>
      <c r="KEU4" s="326"/>
      <c r="KEV4" s="326"/>
      <c r="KEW4" s="326"/>
      <c r="KEX4" s="326"/>
      <c r="KEY4" s="326"/>
      <c r="KEZ4" s="326"/>
      <c r="KFA4" s="326"/>
      <c r="KFB4" s="326"/>
      <c r="KFC4" s="326"/>
      <c r="KFD4" s="326"/>
      <c r="KFE4" s="326"/>
      <c r="KFF4" s="326"/>
      <c r="KFG4" s="326"/>
      <c r="KFH4" s="326"/>
      <c r="KFI4" s="326">
        <v>45870</v>
      </c>
      <c r="KFJ4" s="326"/>
      <c r="KFK4" s="326"/>
      <c r="KFL4" s="326"/>
      <c r="KFM4" s="326"/>
      <c r="KFN4" s="326"/>
      <c r="KFO4" s="326"/>
      <c r="KFP4" s="326"/>
      <c r="KFQ4" s="326"/>
      <c r="KFR4" s="326"/>
      <c r="KFS4" s="326"/>
      <c r="KFT4" s="326"/>
      <c r="KFU4" s="326"/>
      <c r="KFV4" s="326"/>
      <c r="KFW4" s="326"/>
      <c r="KFX4" s="326"/>
      <c r="KFY4" s="326">
        <v>45870</v>
      </c>
      <c r="KFZ4" s="326"/>
      <c r="KGA4" s="326"/>
      <c r="KGB4" s="326"/>
      <c r="KGC4" s="326"/>
      <c r="KGD4" s="326"/>
      <c r="KGE4" s="326"/>
      <c r="KGF4" s="326"/>
      <c r="KGG4" s="326"/>
      <c r="KGH4" s="326"/>
      <c r="KGI4" s="326"/>
      <c r="KGJ4" s="326"/>
      <c r="KGK4" s="326"/>
      <c r="KGL4" s="326"/>
      <c r="KGM4" s="326"/>
      <c r="KGN4" s="326"/>
      <c r="KGO4" s="326">
        <v>45870</v>
      </c>
      <c r="KGP4" s="326"/>
      <c r="KGQ4" s="326"/>
      <c r="KGR4" s="326"/>
      <c r="KGS4" s="326"/>
      <c r="KGT4" s="326"/>
      <c r="KGU4" s="326"/>
      <c r="KGV4" s="326"/>
      <c r="KGW4" s="326"/>
      <c r="KGX4" s="326"/>
      <c r="KGY4" s="326"/>
      <c r="KGZ4" s="326"/>
      <c r="KHA4" s="326"/>
      <c r="KHB4" s="326"/>
      <c r="KHC4" s="326"/>
      <c r="KHD4" s="326"/>
      <c r="KHE4" s="326">
        <v>45870</v>
      </c>
      <c r="KHF4" s="326"/>
      <c r="KHG4" s="326"/>
      <c r="KHH4" s="326"/>
      <c r="KHI4" s="326"/>
      <c r="KHJ4" s="326"/>
      <c r="KHK4" s="326"/>
      <c r="KHL4" s="326"/>
      <c r="KHM4" s="326"/>
      <c r="KHN4" s="326"/>
      <c r="KHO4" s="326"/>
      <c r="KHP4" s="326"/>
      <c r="KHQ4" s="326"/>
      <c r="KHR4" s="326"/>
      <c r="KHS4" s="326"/>
      <c r="KHT4" s="326"/>
      <c r="KHU4" s="326">
        <v>45870</v>
      </c>
      <c r="KHV4" s="326"/>
      <c r="KHW4" s="326"/>
      <c r="KHX4" s="326"/>
      <c r="KHY4" s="326"/>
      <c r="KHZ4" s="326"/>
      <c r="KIA4" s="326"/>
      <c r="KIB4" s="326"/>
      <c r="KIC4" s="326"/>
      <c r="KID4" s="326"/>
      <c r="KIE4" s="326"/>
      <c r="KIF4" s="326"/>
      <c r="KIG4" s="326"/>
      <c r="KIH4" s="326"/>
      <c r="KII4" s="326"/>
      <c r="KIJ4" s="326"/>
      <c r="KIK4" s="326">
        <v>45870</v>
      </c>
      <c r="KIL4" s="326"/>
      <c r="KIM4" s="326"/>
      <c r="KIN4" s="326"/>
      <c r="KIO4" s="326"/>
      <c r="KIP4" s="326"/>
      <c r="KIQ4" s="326"/>
      <c r="KIR4" s="326"/>
      <c r="KIS4" s="326"/>
      <c r="KIT4" s="326"/>
      <c r="KIU4" s="326"/>
      <c r="KIV4" s="326"/>
      <c r="KIW4" s="326"/>
      <c r="KIX4" s="326"/>
      <c r="KIY4" s="326"/>
      <c r="KIZ4" s="326"/>
      <c r="KJA4" s="326">
        <v>45870</v>
      </c>
      <c r="KJB4" s="326"/>
      <c r="KJC4" s="326"/>
      <c r="KJD4" s="326"/>
      <c r="KJE4" s="326"/>
      <c r="KJF4" s="326"/>
      <c r="KJG4" s="326"/>
      <c r="KJH4" s="326"/>
      <c r="KJI4" s="326"/>
      <c r="KJJ4" s="326"/>
      <c r="KJK4" s="326"/>
      <c r="KJL4" s="326"/>
      <c r="KJM4" s="326"/>
      <c r="KJN4" s="326"/>
      <c r="KJO4" s="326"/>
      <c r="KJP4" s="326"/>
      <c r="KJQ4" s="326">
        <v>45870</v>
      </c>
      <c r="KJR4" s="326"/>
      <c r="KJS4" s="326"/>
      <c r="KJT4" s="326"/>
      <c r="KJU4" s="326"/>
      <c r="KJV4" s="326"/>
      <c r="KJW4" s="326"/>
      <c r="KJX4" s="326"/>
      <c r="KJY4" s="326"/>
      <c r="KJZ4" s="326"/>
      <c r="KKA4" s="326"/>
      <c r="KKB4" s="326"/>
      <c r="KKC4" s="326"/>
      <c r="KKD4" s="326"/>
      <c r="KKE4" s="326"/>
      <c r="KKF4" s="326"/>
      <c r="KKG4" s="326">
        <v>45870</v>
      </c>
      <c r="KKH4" s="326"/>
      <c r="KKI4" s="326"/>
      <c r="KKJ4" s="326"/>
      <c r="KKK4" s="326"/>
      <c r="KKL4" s="326"/>
      <c r="KKM4" s="326"/>
      <c r="KKN4" s="326"/>
      <c r="KKO4" s="326"/>
      <c r="KKP4" s="326"/>
      <c r="KKQ4" s="326"/>
      <c r="KKR4" s="326"/>
      <c r="KKS4" s="326"/>
      <c r="KKT4" s="326"/>
      <c r="KKU4" s="326"/>
      <c r="KKV4" s="326"/>
      <c r="KKW4" s="326">
        <v>45870</v>
      </c>
      <c r="KKX4" s="326"/>
      <c r="KKY4" s="326"/>
      <c r="KKZ4" s="326"/>
      <c r="KLA4" s="326"/>
      <c r="KLB4" s="326"/>
      <c r="KLC4" s="326"/>
      <c r="KLD4" s="326"/>
      <c r="KLE4" s="326"/>
      <c r="KLF4" s="326"/>
      <c r="KLG4" s="326"/>
      <c r="KLH4" s="326"/>
      <c r="KLI4" s="326"/>
      <c r="KLJ4" s="326"/>
      <c r="KLK4" s="326"/>
      <c r="KLL4" s="326"/>
      <c r="KLM4" s="326">
        <v>45870</v>
      </c>
      <c r="KLN4" s="326"/>
      <c r="KLO4" s="326"/>
      <c r="KLP4" s="326"/>
      <c r="KLQ4" s="326"/>
      <c r="KLR4" s="326"/>
      <c r="KLS4" s="326"/>
      <c r="KLT4" s="326"/>
      <c r="KLU4" s="326"/>
      <c r="KLV4" s="326"/>
      <c r="KLW4" s="326"/>
      <c r="KLX4" s="326"/>
      <c r="KLY4" s="326"/>
      <c r="KLZ4" s="326"/>
      <c r="KMA4" s="326"/>
      <c r="KMB4" s="326"/>
      <c r="KMC4" s="326">
        <v>45870</v>
      </c>
      <c r="KMD4" s="326"/>
      <c r="KME4" s="326"/>
      <c r="KMF4" s="326"/>
      <c r="KMG4" s="326"/>
      <c r="KMH4" s="326"/>
      <c r="KMI4" s="326"/>
      <c r="KMJ4" s="326"/>
      <c r="KMK4" s="326"/>
      <c r="KML4" s="326"/>
      <c r="KMM4" s="326"/>
      <c r="KMN4" s="326"/>
      <c r="KMO4" s="326"/>
      <c r="KMP4" s="326"/>
      <c r="KMQ4" s="326"/>
      <c r="KMR4" s="326"/>
      <c r="KMS4" s="326">
        <v>45870</v>
      </c>
      <c r="KMT4" s="326"/>
      <c r="KMU4" s="326"/>
      <c r="KMV4" s="326"/>
      <c r="KMW4" s="326"/>
      <c r="KMX4" s="326"/>
      <c r="KMY4" s="326"/>
      <c r="KMZ4" s="326"/>
      <c r="KNA4" s="326"/>
      <c r="KNB4" s="326"/>
      <c r="KNC4" s="326"/>
      <c r="KND4" s="326"/>
      <c r="KNE4" s="326"/>
      <c r="KNF4" s="326"/>
      <c r="KNG4" s="326"/>
      <c r="KNH4" s="326"/>
      <c r="KNI4" s="326">
        <v>45870</v>
      </c>
      <c r="KNJ4" s="326"/>
      <c r="KNK4" s="326"/>
      <c r="KNL4" s="326"/>
      <c r="KNM4" s="326"/>
      <c r="KNN4" s="326"/>
      <c r="KNO4" s="326"/>
      <c r="KNP4" s="326"/>
      <c r="KNQ4" s="326"/>
      <c r="KNR4" s="326"/>
      <c r="KNS4" s="326"/>
      <c r="KNT4" s="326"/>
      <c r="KNU4" s="326"/>
      <c r="KNV4" s="326"/>
      <c r="KNW4" s="326"/>
      <c r="KNX4" s="326"/>
      <c r="KNY4" s="326">
        <v>45870</v>
      </c>
      <c r="KNZ4" s="326"/>
      <c r="KOA4" s="326"/>
      <c r="KOB4" s="326"/>
      <c r="KOC4" s="326"/>
      <c r="KOD4" s="326"/>
      <c r="KOE4" s="326"/>
      <c r="KOF4" s="326"/>
      <c r="KOG4" s="326"/>
      <c r="KOH4" s="326"/>
      <c r="KOI4" s="326"/>
      <c r="KOJ4" s="326"/>
      <c r="KOK4" s="326"/>
      <c r="KOL4" s="326"/>
      <c r="KOM4" s="326"/>
      <c r="KON4" s="326"/>
      <c r="KOO4" s="326">
        <v>45870</v>
      </c>
      <c r="KOP4" s="326"/>
      <c r="KOQ4" s="326"/>
      <c r="KOR4" s="326"/>
      <c r="KOS4" s="326"/>
      <c r="KOT4" s="326"/>
      <c r="KOU4" s="326"/>
      <c r="KOV4" s="326"/>
      <c r="KOW4" s="326"/>
      <c r="KOX4" s="326"/>
      <c r="KOY4" s="326"/>
      <c r="KOZ4" s="326"/>
      <c r="KPA4" s="326"/>
      <c r="KPB4" s="326"/>
      <c r="KPC4" s="326"/>
      <c r="KPD4" s="326"/>
      <c r="KPE4" s="326">
        <v>45870</v>
      </c>
      <c r="KPF4" s="326"/>
      <c r="KPG4" s="326"/>
      <c r="KPH4" s="326"/>
      <c r="KPI4" s="326"/>
      <c r="KPJ4" s="326"/>
      <c r="KPK4" s="326"/>
      <c r="KPL4" s="326"/>
      <c r="KPM4" s="326"/>
      <c r="KPN4" s="326"/>
      <c r="KPO4" s="326"/>
      <c r="KPP4" s="326"/>
      <c r="KPQ4" s="326"/>
      <c r="KPR4" s="326"/>
      <c r="KPS4" s="326"/>
      <c r="KPT4" s="326"/>
      <c r="KPU4" s="326">
        <v>45870</v>
      </c>
      <c r="KPV4" s="326"/>
      <c r="KPW4" s="326"/>
      <c r="KPX4" s="326"/>
      <c r="KPY4" s="326"/>
      <c r="KPZ4" s="326"/>
      <c r="KQA4" s="326"/>
      <c r="KQB4" s="326"/>
      <c r="KQC4" s="326"/>
      <c r="KQD4" s="326"/>
      <c r="KQE4" s="326"/>
      <c r="KQF4" s="326"/>
      <c r="KQG4" s="326"/>
      <c r="KQH4" s="326"/>
      <c r="KQI4" s="326"/>
      <c r="KQJ4" s="326"/>
      <c r="KQK4" s="326">
        <v>45870</v>
      </c>
      <c r="KQL4" s="326"/>
      <c r="KQM4" s="326"/>
      <c r="KQN4" s="326"/>
      <c r="KQO4" s="326"/>
      <c r="KQP4" s="326"/>
      <c r="KQQ4" s="326"/>
      <c r="KQR4" s="326"/>
      <c r="KQS4" s="326"/>
      <c r="KQT4" s="326"/>
      <c r="KQU4" s="326"/>
      <c r="KQV4" s="326"/>
      <c r="KQW4" s="326"/>
      <c r="KQX4" s="326"/>
      <c r="KQY4" s="326"/>
      <c r="KQZ4" s="326"/>
      <c r="KRA4" s="326">
        <v>45870</v>
      </c>
      <c r="KRB4" s="326"/>
      <c r="KRC4" s="326"/>
      <c r="KRD4" s="326"/>
      <c r="KRE4" s="326"/>
      <c r="KRF4" s="326"/>
      <c r="KRG4" s="326"/>
      <c r="KRH4" s="326"/>
      <c r="KRI4" s="326"/>
      <c r="KRJ4" s="326"/>
      <c r="KRK4" s="326"/>
      <c r="KRL4" s="326"/>
      <c r="KRM4" s="326"/>
      <c r="KRN4" s="326"/>
      <c r="KRO4" s="326"/>
      <c r="KRP4" s="326"/>
      <c r="KRQ4" s="326">
        <v>45870</v>
      </c>
      <c r="KRR4" s="326"/>
      <c r="KRS4" s="326"/>
      <c r="KRT4" s="326"/>
      <c r="KRU4" s="326"/>
      <c r="KRV4" s="326"/>
      <c r="KRW4" s="326"/>
      <c r="KRX4" s="326"/>
      <c r="KRY4" s="326"/>
      <c r="KRZ4" s="326"/>
      <c r="KSA4" s="326"/>
      <c r="KSB4" s="326"/>
      <c r="KSC4" s="326"/>
      <c r="KSD4" s="326"/>
      <c r="KSE4" s="326"/>
      <c r="KSF4" s="326"/>
      <c r="KSG4" s="326">
        <v>45870</v>
      </c>
      <c r="KSH4" s="326"/>
      <c r="KSI4" s="326"/>
      <c r="KSJ4" s="326"/>
      <c r="KSK4" s="326"/>
      <c r="KSL4" s="326"/>
      <c r="KSM4" s="326"/>
      <c r="KSN4" s="326"/>
      <c r="KSO4" s="326"/>
      <c r="KSP4" s="326"/>
      <c r="KSQ4" s="326"/>
      <c r="KSR4" s="326"/>
      <c r="KSS4" s="326"/>
      <c r="KST4" s="326"/>
      <c r="KSU4" s="326"/>
      <c r="KSV4" s="326"/>
      <c r="KSW4" s="326">
        <v>45870</v>
      </c>
      <c r="KSX4" s="326"/>
      <c r="KSY4" s="326"/>
      <c r="KSZ4" s="326"/>
      <c r="KTA4" s="326"/>
      <c r="KTB4" s="326"/>
      <c r="KTC4" s="326"/>
      <c r="KTD4" s="326"/>
      <c r="KTE4" s="326"/>
      <c r="KTF4" s="326"/>
      <c r="KTG4" s="326"/>
      <c r="KTH4" s="326"/>
      <c r="KTI4" s="326"/>
      <c r="KTJ4" s="326"/>
      <c r="KTK4" s="326"/>
      <c r="KTL4" s="326"/>
      <c r="KTM4" s="326">
        <v>45870</v>
      </c>
      <c r="KTN4" s="326"/>
      <c r="KTO4" s="326"/>
      <c r="KTP4" s="326"/>
      <c r="KTQ4" s="326"/>
      <c r="KTR4" s="326"/>
      <c r="KTS4" s="326"/>
      <c r="KTT4" s="326"/>
      <c r="KTU4" s="326"/>
      <c r="KTV4" s="326"/>
      <c r="KTW4" s="326"/>
      <c r="KTX4" s="326"/>
      <c r="KTY4" s="326"/>
      <c r="KTZ4" s="326"/>
      <c r="KUA4" s="326"/>
      <c r="KUB4" s="326"/>
      <c r="KUC4" s="326">
        <v>45870</v>
      </c>
      <c r="KUD4" s="326"/>
      <c r="KUE4" s="326"/>
      <c r="KUF4" s="326"/>
      <c r="KUG4" s="326"/>
      <c r="KUH4" s="326"/>
      <c r="KUI4" s="326"/>
      <c r="KUJ4" s="326"/>
      <c r="KUK4" s="326"/>
      <c r="KUL4" s="326"/>
      <c r="KUM4" s="326"/>
      <c r="KUN4" s="326"/>
      <c r="KUO4" s="326"/>
      <c r="KUP4" s="326"/>
      <c r="KUQ4" s="326"/>
      <c r="KUR4" s="326"/>
      <c r="KUS4" s="326">
        <v>45870</v>
      </c>
      <c r="KUT4" s="326"/>
      <c r="KUU4" s="326"/>
      <c r="KUV4" s="326"/>
      <c r="KUW4" s="326"/>
      <c r="KUX4" s="326"/>
      <c r="KUY4" s="326"/>
      <c r="KUZ4" s="326"/>
      <c r="KVA4" s="326"/>
      <c r="KVB4" s="326"/>
      <c r="KVC4" s="326"/>
      <c r="KVD4" s="326"/>
      <c r="KVE4" s="326"/>
      <c r="KVF4" s="326"/>
      <c r="KVG4" s="326"/>
      <c r="KVH4" s="326"/>
      <c r="KVI4" s="326">
        <v>45870</v>
      </c>
      <c r="KVJ4" s="326"/>
      <c r="KVK4" s="326"/>
      <c r="KVL4" s="326"/>
      <c r="KVM4" s="326"/>
      <c r="KVN4" s="326"/>
      <c r="KVO4" s="326"/>
      <c r="KVP4" s="326"/>
      <c r="KVQ4" s="326"/>
      <c r="KVR4" s="326"/>
      <c r="KVS4" s="326"/>
      <c r="KVT4" s="326"/>
      <c r="KVU4" s="326"/>
      <c r="KVV4" s="326"/>
      <c r="KVW4" s="326"/>
      <c r="KVX4" s="326"/>
      <c r="KVY4" s="326">
        <v>45870</v>
      </c>
      <c r="KVZ4" s="326"/>
      <c r="KWA4" s="326"/>
      <c r="KWB4" s="326"/>
      <c r="KWC4" s="326"/>
      <c r="KWD4" s="326"/>
      <c r="KWE4" s="326"/>
      <c r="KWF4" s="326"/>
      <c r="KWG4" s="326"/>
      <c r="KWH4" s="326"/>
      <c r="KWI4" s="326"/>
      <c r="KWJ4" s="326"/>
      <c r="KWK4" s="326"/>
      <c r="KWL4" s="326"/>
      <c r="KWM4" s="326"/>
      <c r="KWN4" s="326"/>
      <c r="KWO4" s="326">
        <v>45870</v>
      </c>
      <c r="KWP4" s="326"/>
      <c r="KWQ4" s="326"/>
      <c r="KWR4" s="326"/>
      <c r="KWS4" s="326"/>
      <c r="KWT4" s="326"/>
      <c r="KWU4" s="326"/>
      <c r="KWV4" s="326"/>
      <c r="KWW4" s="326"/>
      <c r="KWX4" s="326"/>
      <c r="KWY4" s="326"/>
      <c r="KWZ4" s="326"/>
      <c r="KXA4" s="326"/>
      <c r="KXB4" s="326"/>
      <c r="KXC4" s="326"/>
      <c r="KXD4" s="326"/>
      <c r="KXE4" s="326">
        <v>45870</v>
      </c>
      <c r="KXF4" s="326"/>
      <c r="KXG4" s="326"/>
      <c r="KXH4" s="326"/>
      <c r="KXI4" s="326"/>
      <c r="KXJ4" s="326"/>
      <c r="KXK4" s="326"/>
      <c r="KXL4" s="326"/>
      <c r="KXM4" s="326"/>
      <c r="KXN4" s="326"/>
      <c r="KXO4" s="326"/>
      <c r="KXP4" s="326"/>
      <c r="KXQ4" s="326"/>
      <c r="KXR4" s="326"/>
      <c r="KXS4" s="326"/>
      <c r="KXT4" s="326"/>
      <c r="KXU4" s="326">
        <v>45870</v>
      </c>
      <c r="KXV4" s="326"/>
      <c r="KXW4" s="326"/>
      <c r="KXX4" s="326"/>
      <c r="KXY4" s="326"/>
      <c r="KXZ4" s="326"/>
      <c r="KYA4" s="326"/>
      <c r="KYB4" s="326"/>
      <c r="KYC4" s="326"/>
      <c r="KYD4" s="326"/>
      <c r="KYE4" s="326"/>
      <c r="KYF4" s="326"/>
      <c r="KYG4" s="326"/>
      <c r="KYH4" s="326"/>
      <c r="KYI4" s="326"/>
      <c r="KYJ4" s="326"/>
      <c r="KYK4" s="326">
        <v>45870</v>
      </c>
      <c r="KYL4" s="326"/>
      <c r="KYM4" s="326"/>
      <c r="KYN4" s="326"/>
      <c r="KYO4" s="326"/>
      <c r="KYP4" s="326"/>
      <c r="KYQ4" s="326"/>
      <c r="KYR4" s="326"/>
      <c r="KYS4" s="326"/>
      <c r="KYT4" s="326"/>
      <c r="KYU4" s="326"/>
      <c r="KYV4" s="326"/>
      <c r="KYW4" s="326"/>
      <c r="KYX4" s="326"/>
      <c r="KYY4" s="326"/>
      <c r="KYZ4" s="326"/>
      <c r="KZA4" s="326">
        <v>45870</v>
      </c>
      <c r="KZB4" s="326"/>
      <c r="KZC4" s="326"/>
      <c r="KZD4" s="326"/>
      <c r="KZE4" s="326"/>
      <c r="KZF4" s="326"/>
      <c r="KZG4" s="326"/>
      <c r="KZH4" s="326"/>
      <c r="KZI4" s="326"/>
      <c r="KZJ4" s="326"/>
      <c r="KZK4" s="326"/>
      <c r="KZL4" s="326"/>
      <c r="KZM4" s="326"/>
      <c r="KZN4" s="326"/>
      <c r="KZO4" s="326"/>
      <c r="KZP4" s="326"/>
      <c r="KZQ4" s="326">
        <v>45870</v>
      </c>
      <c r="KZR4" s="326"/>
      <c r="KZS4" s="326"/>
      <c r="KZT4" s="326"/>
      <c r="KZU4" s="326"/>
      <c r="KZV4" s="326"/>
      <c r="KZW4" s="326"/>
      <c r="KZX4" s="326"/>
      <c r="KZY4" s="326"/>
      <c r="KZZ4" s="326"/>
      <c r="LAA4" s="326"/>
      <c r="LAB4" s="326"/>
      <c r="LAC4" s="326"/>
      <c r="LAD4" s="326"/>
      <c r="LAE4" s="326"/>
      <c r="LAF4" s="326"/>
      <c r="LAG4" s="326">
        <v>45870</v>
      </c>
      <c r="LAH4" s="326"/>
      <c r="LAI4" s="326"/>
      <c r="LAJ4" s="326"/>
      <c r="LAK4" s="326"/>
      <c r="LAL4" s="326"/>
      <c r="LAM4" s="326"/>
      <c r="LAN4" s="326"/>
      <c r="LAO4" s="326"/>
      <c r="LAP4" s="326"/>
      <c r="LAQ4" s="326"/>
      <c r="LAR4" s="326"/>
      <c r="LAS4" s="326"/>
      <c r="LAT4" s="326"/>
      <c r="LAU4" s="326"/>
      <c r="LAV4" s="326"/>
      <c r="LAW4" s="326">
        <v>45870</v>
      </c>
      <c r="LAX4" s="326"/>
      <c r="LAY4" s="326"/>
      <c r="LAZ4" s="326"/>
      <c r="LBA4" s="326"/>
      <c r="LBB4" s="326"/>
      <c r="LBC4" s="326"/>
      <c r="LBD4" s="326"/>
      <c r="LBE4" s="326"/>
      <c r="LBF4" s="326"/>
      <c r="LBG4" s="326"/>
      <c r="LBH4" s="326"/>
      <c r="LBI4" s="326"/>
      <c r="LBJ4" s="326"/>
      <c r="LBK4" s="326"/>
      <c r="LBL4" s="326"/>
      <c r="LBM4" s="326">
        <v>45870</v>
      </c>
      <c r="LBN4" s="326"/>
      <c r="LBO4" s="326"/>
      <c r="LBP4" s="326"/>
      <c r="LBQ4" s="326"/>
      <c r="LBR4" s="326"/>
      <c r="LBS4" s="326"/>
      <c r="LBT4" s="326"/>
      <c r="LBU4" s="326"/>
      <c r="LBV4" s="326"/>
      <c r="LBW4" s="326"/>
      <c r="LBX4" s="326"/>
      <c r="LBY4" s="326"/>
      <c r="LBZ4" s="326"/>
      <c r="LCA4" s="326"/>
      <c r="LCB4" s="326"/>
      <c r="LCC4" s="326">
        <v>45870</v>
      </c>
      <c r="LCD4" s="326"/>
      <c r="LCE4" s="326"/>
      <c r="LCF4" s="326"/>
      <c r="LCG4" s="326"/>
      <c r="LCH4" s="326"/>
      <c r="LCI4" s="326"/>
      <c r="LCJ4" s="326"/>
      <c r="LCK4" s="326"/>
      <c r="LCL4" s="326"/>
      <c r="LCM4" s="326"/>
      <c r="LCN4" s="326"/>
      <c r="LCO4" s="326"/>
      <c r="LCP4" s="326"/>
      <c r="LCQ4" s="326"/>
      <c r="LCR4" s="326"/>
      <c r="LCS4" s="326">
        <v>45870</v>
      </c>
      <c r="LCT4" s="326"/>
      <c r="LCU4" s="326"/>
      <c r="LCV4" s="326"/>
      <c r="LCW4" s="326"/>
      <c r="LCX4" s="326"/>
      <c r="LCY4" s="326"/>
      <c r="LCZ4" s="326"/>
      <c r="LDA4" s="326"/>
      <c r="LDB4" s="326"/>
      <c r="LDC4" s="326"/>
      <c r="LDD4" s="326"/>
      <c r="LDE4" s="326"/>
      <c r="LDF4" s="326"/>
      <c r="LDG4" s="326"/>
      <c r="LDH4" s="326"/>
      <c r="LDI4" s="326">
        <v>45870</v>
      </c>
      <c r="LDJ4" s="326"/>
      <c r="LDK4" s="326"/>
      <c r="LDL4" s="326"/>
      <c r="LDM4" s="326"/>
      <c r="LDN4" s="326"/>
      <c r="LDO4" s="326"/>
      <c r="LDP4" s="326"/>
      <c r="LDQ4" s="326"/>
      <c r="LDR4" s="326"/>
      <c r="LDS4" s="326"/>
      <c r="LDT4" s="326"/>
      <c r="LDU4" s="326"/>
      <c r="LDV4" s="326"/>
      <c r="LDW4" s="326"/>
      <c r="LDX4" s="326"/>
      <c r="LDY4" s="326">
        <v>45870</v>
      </c>
      <c r="LDZ4" s="326"/>
      <c r="LEA4" s="326"/>
      <c r="LEB4" s="326"/>
      <c r="LEC4" s="326"/>
      <c r="LED4" s="326"/>
      <c r="LEE4" s="326"/>
      <c r="LEF4" s="326"/>
      <c r="LEG4" s="326"/>
      <c r="LEH4" s="326"/>
      <c r="LEI4" s="326"/>
      <c r="LEJ4" s="326"/>
      <c r="LEK4" s="326"/>
      <c r="LEL4" s="326"/>
      <c r="LEM4" s="326"/>
      <c r="LEN4" s="326"/>
      <c r="LEO4" s="326">
        <v>45870</v>
      </c>
      <c r="LEP4" s="326"/>
      <c r="LEQ4" s="326"/>
      <c r="LER4" s="326"/>
      <c r="LES4" s="326"/>
      <c r="LET4" s="326"/>
      <c r="LEU4" s="326"/>
      <c r="LEV4" s="326"/>
      <c r="LEW4" s="326"/>
      <c r="LEX4" s="326"/>
      <c r="LEY4" s="326"/>
      <c r="LEZ4" s="326"/>
      <c r="LFA4" s="326"/>
      <c r="LFB4" s="326"/>
      <c r="LFC4" s="326"/>
      <c r="LFD4" s="326"/>
      <c r="LFE4" s="326">
        <v>45870</v>
      </c>
      <c r="LFF4" s="326"/>
      <c r="LFG4" s="326"/>
      <c r="LFH4" s="326"/>
      <c r="LFI4" s="326"/>
      <c r="LFJ4" s="326"/>
      <c r="LFK4" s="326"/>
      <c r="LFL4" s="326"/>
      <c r="LFM4" s="326"/>
      <c r="LFN4" s="326"/>
      <c r="LFO4" s="326"/>
      <c r="LFP4" s="326"/>
      <c r="LFQ4" s="326"/>
      <c r="LFR4" s="326"/>
      <c r="LFS4" s="326"/>
      <c r="LFT4" s="326"/>
      <c r="LFU4" s="326">
        <v>45870</v>
      </c>
      <c r="LFV4" s="326"/>
      <c r="LFW4" s="326"/>
      <c r="LFX4" s="326"/>
      <c r="LFY4" s="326"/>
      <c r="LFZ4" s="326"/>
      <c r="LGA4" s="326"/>
      <c r="LGB4" s="326"/>
      <c r="LGC4" s="326"/>
      <c r="LGD4" s="326"/>
      <c r="LGE4" s="326"/>
      <c r="LGF4" s="326"/>
      <c r="LGG4" s="326"/>
      <c r="LGH4" s="326"/>
      <c r="LGI4" s="326"/>
      <c r="LGJ4" s="326"/>
      <c r="LGK4" s="326">
        <v>45870</v>
      </c>
      <c r="LGL4" s="326"/>
      <c r="LGM4" s="326"/>
      <c r="LGN4" s="326"/>
      <c r="LGO4" s="326"/>
      <c r="LGP4" s="326"/>
      <c r="LGQ4" s="326"/>
      <c r="LGR4" s="326"/>
      <c r="LGS4" s="326"/>
      <c r="LGT4" s="326"/>
      <c r="LGU4" s="326"/>
      <c r="LGV4" s="326"/>
      <c r="LGW4" s="326"/>
      <c r="LGX4" s="326"/>
      <c r="LGY4" s="326"/>
      <c r="LGZ4" s="326"/>
      <c r="LHA4" s="326">
        <v>45870</v>
      </c>
      <c r="LHB4" s="326"/>
      <c r="LHC4" s="326"/>
      <c r="LHD4" s="326"/>
      <c r="LHE4" s="326"/>
      <c r="LHF4" s="326"/>
      <c r="LHG4" s="326"/>
      <c r="LHH4" s="326"/>
      <c r="LHI4" s="326"/>
      <c r="LHJ4" s="326"/>
      <c r="LHK4" s="326"/>
      <c r="LHL4" s="326"/>
      <c r="LHM4" s="326"/>
      <c r="LHN4" s="326"/>
      <c r="LHO4" s="326"/>
      <c r="LHP4" s="326"/>
      <c r="LHQ4" s="326">
        <v>45870</v>
      </c>
      <c r="LHR4" s="326"/>
      <c r="LHS4" s="326"/>
      <c r="LHT4" s="326"/>
      <c r="LHU4" s="326"/>
      <c r="LHV4" s="326"/>
      <c r="LHW4" s="326"/>
      <c r="LHX4" s="326"/>
      <c r="LHY4" s="326"/>
      <c r="LHZ4" s="326"/>
      <c r="LIA4" s="326"/>
      <c r="LIB4" s="326"/>
      <c r="LIC4" s="326"/>
      <c r="LID4" s="326"/>
      <c r="LIE4" s="326"/>
      <c r="LIF4" s="326"/>
      <c r="LIG4" s="326">
        <v>45870</v>
      </c>
      <c r="LIH4" s="326"/>
      <c r="LII4" s="326"/>
      <c r="LIJ4" s="326"/>
      <c r="LIK4" s="326"/>
      <c r="LIL4" s="326"/>
      <c r="LIM4" s="326"/>
      <c r="LIN4" s="326"/>
      <c r="LIO4" s="326"/>
      <c r="LIP4" s="326"/>
      <c r="LIQ4" s="326"/>
      <c r="LIR4" s="326"/>
      <c r="LIS4" s="326"/>
      <c r="LIT4" s="326"/>
      <c r="LIU4" s="326"/>
      <c r="LIV4" s="326"/>
      <c r="LIW4" s="326">
        <v>45870</v>
      </c>
      <c r="LIX4" s="326"/>
      <c r="LIY4" s="326"/>
      <c r="LIZ4" s="326"/>
      <c r="LJA4" s="326"/>
      <c r="LJB4" s="326"/>
      <c r="LJC4" s="326"/>
      <c r="LJD4" s="326"/>
      <c r="LJE4" s="326"/>
      <c r="LJF4" s="326"/>
      <c r="LJG4" s="326"/>
      <c r="LJH4" s="326"/>
      <c r="LJI4" s="326"/>
      <c r="LJJ4" s="326"/>
      <c r="LJK4" s="326"/>
      <c r="LJL4" s="326"/>
      <c r="LJM4" s="326">
        <v>45870</v>
      </c>
      <c r="LJN4" s="326"/>
      <c r="LJO4" s="326"/>
      <c r="LJP4" s="326"/>
      <c r="LJQ4" s="326"/>
      <c r="LJR4" s="326"/>
      <c r="LJS4" s="326"/>
      <c r="LJT4" s="326"/>
      <c r="LJU4" s="326"/>
      <c r="LJV4" s="326"/>
      <c r="LJW4" s="326"/>
      <c r="LJX4" s="326"/>
      <c r="LJY4" s="326"/>
      <c r="LJZ4" s="326"/>
      <c r="LKA4" s="326"/>
      <c r="LKB4" s="326"/>
      <c r="LKC4" s="326">
        <v>45870</v>
      </c>
      <c r="LKD4" s="326"/>
      <c r="LKE4" s="326"/>
      <c r="LKF4" s="326"/>
      <c r="LKG4" s="326"/>
      <c r="LKH4" s="326"/>
      <c r="LKI4" s="326"/>
      <c r="LKJ4" s="326"/>
      <c r="LKK4" s="326"/>
      <c r="LKL4" s="326"/>
      <c r="LKM4" s="326"/>
      <c r="LKN4" s="326"/>
      <c r="LKO4" s="326"/>
      <c r="LKP4" s="326"/>
      <c r="LKQ4" s="326"/>
      <c r="LKR4" s="326"/>
      <c r="LKS4" s="326">
        <v>45870</v>
      </c>
      <c r="LKT4" s="326"/>
      <c r="LKU4" s="326"/>
      <c r="LKV4" s="326"/>
      <c r="LKW4" s="326"/>
      <c r="LKX4" s="326"/>
      <c r="LKY4" s="326"/>
      <c r="LKZ4" s="326"/>
      <c r="LLA4" s="326"/>
      <c r="LLB4" s="326"/>
      <c r="LLC4" s="326"/>
      <c r="LLD4" s="326"/>
      <c r="LLE4" s="326"/>
      <c r="LLF4" s="326"/>
      <c r="LLG4" s="326"/>
      <c r="LLH4" s="326"/>
      <c r="LLI4" s="326">
        <v>45870</v>
      </c>
      <c r="LLJ4" s="326"/>
      <c r="LLK4" s="326"/>
      <c r="LLL4" s="326"/>
      <c r="LLM4" s="326"/>
      <c r="LLN4" s="326"/>
      <c r="LLO4" s="326"/>
      <c r="LLP4" s="326"/>
      <c r="LLQ4" s="326"/>
      <c r="LLR4" s="326"/>
      <c r="LLS4" s="326"/>
      <c r="LLT4" s="326"/>
      <c r="LLU4" s="326"/>
      <c r="LLV4" s="326"/>
      <c r="LLW4" s="326"/>
      <c r="LLX4" s="326"/>
      <c r="LLY4" s="326">
        <v>45870</v>
      </c>
      <c r="LLZ4" s="326"/>
      <c r="LMA4" s="326"/>
      <c r="LMB4" s="326"/>
      <c r="LMC4" s="326"/>
      <c r="LMD4" s="326"/>
      <c r="LME4" s="326"/>
      <c r="LMF4" s="326"/>
      <c r="LMG4" s="326"/>
      <c r="LMH4" s="326"/>
      <c r="LMI4" s="326"/>
      <c r="LMJ4" s="326"/>
      <c r="LMK4" s="326"/>
      <c r="LML4" s="326"/>
      <c r="LMM4" s="326"/>
      <c r="LMN4" s="326"/>
      <c r="LMO4" s="326">
        <v>45870</v>
      </c>
      <c r="LMP4" s="326"/>
      <c r="LMQ4" s="326"/>
      <c r="LMR4" s="326"/>
      <c r="LMS4" s="326"/>
      <c r="LMT4" s="326"/>
      <c r="LMU4" s="326"/>
      <c r="LMV4" s="326"/>
      <c r="LMW4" s="326"/>
      <c r="LMX4" s="326"/>
      <c r="LMY4" s="326"/>
      <c r="LMZ4" s="326"/>
      <c r="LNA4" s="326"/>
      <c r="LNB4" s="326"/>
      <c r="LNC4" s="326"/>
      <c r="LND4" s="326"/>
      <c r="LNE4" s="326">
        <v>45870</v>
      </c>
      <c r="LNF4" s="326"/>
      <c r="LNG4" s="326"/>
      <c r="LNH4" s="326"/>
      <c r="LNI4" s="326"/>
      <c r="LNJ4" s="326"/>
      <c r="LNK4" s="326"/>
      <c r="LNL4" s="326"/>
      <c r="LNM4" s="326"/>
      <c r="LNN4" s="326"/>
      <c r="LNO4" s="326"/>
      <c r="LNP4" s="326"/>
      <c r="LNQ4" s="326"/>
      <c r="LNR4" s="326"/>
      <c r="LNS4" s="326"/>
      <c r="LNT4" s="326"/>
      <c r="LNU4" s="326">
        <v>45870</v>
      </c>
      <c r="LNV4" s="326"/>
      <c r="LNW4" s="326"/>
      <c r="LNX4" s="326"/>
      <c r="LNY4" s="326"/>
      <c r="LNZ4" s="326"/>
      <c r="LOA4" s="326"/>
      <c r="LOB4" s="326"/>
      <c r="LOC4" s="326"/>
      <c r="LOD4" s="326"/>
      <c r="LOE4" s="326"/>
      <c r="LOF4" s="326"/>
      <c r="LOG4" s="326"/>
      <c r="LOH4" s="326"/>
      <c r="LOI4" s="326"/>
      <c r="LOJ4" s="326"/>
      <c r="LOK4" s="326">
        <v>45870</v>
      </c>
      <c r="LOL4" s="326"/>
      <c r="LOM4" s="326"/>
      <c r="LON4" s="326"/>
      <c r="LOO4" s="326"/>
      <c r="LOP4" s="326"/>
      <c r="LOQ4" s="326"/>
      <c r="LOR4" s="326"/>
      <c r="LOS4" s="326"/>
      <c r="LOT4" s="326"/>
      <c r="LOU4" s="326"/>
      <c r="LOV4" s="326"/>
      <c r="LOW4" s="326"/>
      <c r="LOX4" s="326"/>
      <c r="LOY4" s="326"/>
      <c r="LOZ4" s="326"/>
      <c r="LPA4" s="326">
        <v>45870</v>
      </c>
      <c r="LPB4" s="326"/>
      <c r="LPC4" s="326"/>
      <c r="LPD4" s="326"/>
      <c r="LPE4" s="326"/>
      <c r="LPF4" s="326"/>
      <c r="LPG4" s="326"/>
      <c r="LPH4" s="326"/>
      <c r="LPI4" s="326"/>
      <c r="LPJ4" s="326"/>
      <c r="LPK4" s="326"/>
      <c r="LPL4" s="326"/>
      <c r="LPM4" s="326"/>
      <c r="LPN4" s="326"/>
      <c r="LPO4" s="326"/>
      <c r="LPP4" s="326"/>
      <c r="LPQ4" s="326">
        <v>45870</v>
      </c>
      <c r="LPR4" s="326"/>
      <c r="LPS4" s="326"/>
      <c r="LPT4" s="326"/>
      <c r="LPU4" s="326"/>
      <c r="LPV4" s="326"/>
      <c r="LPW4" s="326"/>
      <c r="LPX4" s="326"/>
      <c r="LPY4" s="326"/>
      <c r="LPZ4" s="326"/>
      <c r="LQA4" s="326"/>
      <c r="LQB4" s="326"/>
      <c r="LQC4" s="326"/>
      <c r="LQD4" s="326"/>
      <c r="LQE4" s="326"/>
      <c r="LQF4" s="326"/>
      <c r="LQG4" s="326">
        <v>45870</v>
      </c>
      <c r="LQH4" s="326"/>
      <c r="LQI4" s="326"/>
      <c r="LQJ4" s="326"/>
      <c r="LQK4" s="326"/>
      <c r="LQL4" s="326"/>
      <c r="LQM4" s="326"/>
      <c r="LQN4" s="326"/>
      <c r="LQO4" s="326"/>
      <c r="LQP4" s="326"/>
      <c r="LQQ4" s="326"/>
      <c r="LQR4" s="326"/>
      <c r="LQS4" s="326"/>
      <c r="LQT4" s="326"/>
      <c r="LQU4" s="326"/>
      <c r="LQV4" s="326"/>
      <c r="LQW4" s="326">
        <v>45870</v>
      </c>
      <c r="LQX4" s="326"/>
      <c r="LQY4" s="326"/>
      <c r="LQZ4" s="326"/>
      <c r="LRA4" s="326"/>
      <c r="LRB4" s="326"/>
      <c r="LRC4" s="326"/>
      <c r="LRD4" s="326"/>
      <c r="LRE4" s="326"/>
      <c r="LRF4" s="326"/>
      <c r="LRG4" s="326"/>
      <c r="LRH4" s="326"/>
      <c r="LRI4" s="326"/>
      <c r="LRJ4" s="326"/>
      <c r="LRK4" s="326"/>
      <c r="LRL4" s="326"/>
      <c r="LRM4" s="326">
        <v>45870</v>
      </c>
      <c r="LRN4" s="326"/>
      <c r="LRO4" s="326"/>
      <c r="LRP4" s="326"/>
      <c r="LRQ4" s="326"/>
      <c r="LRR4" s="326"/>
      <c r="LRS4" s="326"/>
      <c r="LRT4" s="326"/>
      <c r="LRU4" s="326"/>
      <c r="LRV4" s="326"/>
      <c r="LRW4" s="326"/>
      <c r="LRX4" s="326"/>
      <c r="LRY4" s="326"/>
      <c r="LRZ4" s="326"/>
      <c r="LSA4" s="326"/>
      <c r="LSB4" s="326"/>
      <c r="LSC4" s="326">
        <v>45870</v>
      </c>
      <c r="LSD4" s="326"/>
      <c r="LSE4" s="326"/>
      <c r="LSF4" s="326"/>
      <c r="LSG4" s="326"/>
      <c r="LSH4" s="326"/>
      <c r="LSI4" s="326"/>
      <c r="LSJ4" s="326"/>
      <c r="LSK4" s="326"/>
      <c r="LSL4" s="326"/>
      <c r="LSM4" s="326"/>
      <c r="LSN4" s="326"/>
      <c r="LSO4" s="326"/>
      <c r="LSP4" s="326"/>
      <c r="LSQ4" s="326"/>
      <c r="LSR4" s="326"/>
      <c r="LSS4" s="326">
        <v>45870</v>
      </c>
      <c r="LST4" s="326"/>
      <c r="LSU4" s="326"/>
      <c r="LSV4" s="326"/>
      <c r="LSW4" s="326"/>
      <c r="LSX4" s="326"/>
      <c r="LSY4" s="326"/>
      <c r="LSZ4" s="326"/>
      <c r="LTA4" s="326"/>
      <c r="LTB4" s="326"/>
      <c r="LTC4" s="326"/>
      <c r="LTD4" s="326"/>
      <c r="LTE4" s="326"/>
      <c r="LTF4" s="326"/>
      <c r="LTG4" s="326"/>
      <c r="LTH4" s="326"/>
      <c r="LTI4" s="326">
        <v>45870</v>
      </c>
      <c r="LTJ4" s="326"/>
      <c r="LTK4" s="326"/>
      <c r="LTL4" s="326"/>
      <c r="LTM4" s="326"/>
      <c r="LTN4" s="326"/>
      <c r="LTO4" s="326"/>
      <c r="LTP4" s="326"/>
      <c r="LTQ4" s="326"/>
      <c r="LTR4" s="326"/>
      <c r="LTS4" s="326"/>
      <c r="LTT4" s="326"/>
      <c r="LTU4" s="326"/>
      <c r="LTV4" s="326"/>
      <c r="LTW4" s="326"/>
      <c r="LTX4" s="326"/>
      <c r="LTY4" s="326">
        <v>45870</v>
      </c>
      <c r="LTZ4" s="326"/>
      <c r="LUA4" s="326"/>
      <c r="LUB4" s="326"/>
      <c r="LUC4" s="326"/>
      <c r="LUD4" s="326"/>
      <c r="LUE4" s="326"/>
      <c r="LUF4" s="326"/>
      <c r="LUG4" s="326"/>
      <c r="LUH4" s="326"/>
      <c r="LUI4" s="326"/>
      <c r="LUJ4" s="326"/>
      <c r="LUK4" s="326"/>
      <c r="LUL4" s="326"/>
      <c r="LUM4" s="326"/>
      <c r="LUN4" s="326"/>
      <c r="LUO4" s="326">
        <v>45870</v>
      </c>
      <c r="LUP4" s="326"/>
      <c r="LUQ4" s="326"/>
      <c r="LUR4" s="326"/>
      <c r="LUS4" s="326"/>
      <c r="LUT4" s="326"/>
      <c r="LUU4" s="326"/>
      <c r="LUV4" s="326"/>
      <c r="LUW4" s="326"/>
      <c r="LUX4" s="326"/>
      <c r="LUY4" s="326"/>
      <c r="LUZ4" s="326"/>
      <c r="LVA4" s="326"/>
      <c r="LVB4" s="326"/>
      <c r="LVC4" s="326"/>
      <c r="LVD4" s="326"/>
      <c r="LVE4" s="326">
        <v>45870</v>
      </c>
      <c r="LVF4" s="326"/>
      <c r="LVG4" s="326"/>
      <c r="LVH4" s="326"/>
      <c r="LVI4" s="326"/>
      <c r="LVJ4" s="326"/>
      <c r="LVK4" s="326"/>
      <c r="LVL4" s="326"/>
      <c r="LVM4" s="326"/>
      <c r="LVN4" s="326"/>
      <c r="LVO4" s="326"/>
      <c r="LVP4" s="326"/>
      <c r="LVQ4" s="326"/>
      <c r="LVR4" s="326"/>
      <c r="LVS4" s="326"/>
      <c r="LVT4" s="326"/>
      <c r="LVU4" s="326">
        <v>45870</v>
      </c>
      <c r="LVV4" s="326"/>
      <c r="LVW4" s="326"/>
      <c r="LVX4" s="326"/>
      <c r="LVY4" s="326"/>
      <c r="LVZ4" s="326"/>
      <c r="LWA4" s="326"/>
      <c r="LWB4" s="326"/>
      <c r="LWC4" s="326"/>
      <c r="LWD4" s="326"/>
      <c r="LWE4" s="326"/>
      <c r="LWF4" s="326"/>
      <c r="LWG4" s="326"/>
      <c r="LWH4" s="326"/>
      <c r="LWI4" s="326"/>
      <c r="LWJ4" s="326"/>
      <c r="LWK4" s="326">
        <v>45870</v>
      </c>
      <c r="LWL4" s="326"/>
      <c r="LWM4" s="326"/>
      <c r="LWN4" s="326"/>
      <c r="LWO4" s="326"/>
      <c r="LWP4" s="326"/>
      <c r="LWQ4" s="326"/>
      <c r="LWR4" s="326"/>
      <c r="LWS4" s="326"/>
      <c r="LWT4" s="326"/>
      <c r="LWU4" s="326"/>
      <c r="LWV4" s="326"/>
      <c r="LWW4" s="326"/>
      <c r="LWX4" s="326"/>
      <c r="LWY4" s="326"/>
      <c r="LWZ4" s="326"/>
      <c r="LXA4" s="326">
        <v>45870</v>
      </c>
      <c r="LXB4" s="326"/>
      <c r="LXC4" s="326"/>
      <c r="LXD4" s="326"/>
      <c r="LXE4" s="326"/>
      <c r="LXF4" s="326"/>
      <c r="LXG4" s="326"/>
      <c r="LXH4" s="326"/>
      <c r="LXI4" s="326"/>
      <c r="LXJ4" s="326"/>
      <c r="LXK4" s="326"/>
      <c r="LXL4" s="326"/>
      <c r="LXM4" s="326"/>
      <c r="LXN4" s="326"/>
      <c r="LXO4" s="326"/>
      <c r="LXP4" s="326"/>
      <c r="LXQ4" s="326">
        <v>45870</v>
      </c>
      <c r="LXR4" s="326"/>
      <c r="LXS4" s="326"/>
      <c r="LXT4" s="326"/>
      <c r="LXU4" s="326"/>
      <c r="LXV4" s="326"/>
      <c r="LXW4" s="326"/>
      <c r="LXX4" s="326"/>
      <c r="LXY4" s="326"/>
      <c r="LXZ4" s="326"/>
      <c r="LYA4" s="326"/>
      <c r="LYB4" s="326"/>
      <c r="LYC4" s="326"/>
      <c r="LYD4" s="326"/>
      <c r="LYE4" s="326"/>
      <c r="LYF4" s="326"/>
      <c r="LYG4" s="326">
        <v>45870</v>
      </c>
      <c r="LYH4" s="326"/>
      <c r="LYI4" s="326"/>
      <c r="LYJ4" s="326"/>
      <c r="LYK4" s="326"/>
      <c r="LYL4" s="326"/>
      <c r="LYM4" s="326"/>
      <c r="LYN4" s="326"/>
      <c r="LYO4" s="326"/>
      <c r="LYP4" s="326"/>
      <c r="LYQ4" s="326"/>
      <c r="LYR4" s="326"/>
      <c r="LYS4" s="326"/>
      <c r="LYT4" s="326"/>
      <c r="LYU4" s="326"/>
      <c r="LYV4" s="326"/>
      <c r="LYW4" s="326">
        <v>45870</v>
      </c>
      <c r="LYX4" s="326"/>
      <c r="LYY4" s="326"/>
      <c r="LYZ4" s="326"/>
      <c r="LZA4" s="326"/>
      <c r="LZB4" s="326"/>
      <c r="LZC4" s="326"/>
      <c r="LZD4" s="326"/>
      <c r="LZE4" s="326"/>
      <c r="LZF4" s="326"/>
      <c r="LZG4" s="326"/>
      <c r="LZH4" s="326"/>
      <c r="LZI4" s="326"/>
      <c r="LZJ4" s="326"/>
      <c r="LZK4" s="326"/>
      <c r="LZL4" s="326"/>
      <c r="LZM4" s="326">
        <v>45870</v>
      </c>
      <c r="LZN4" s="326"/>
      <c r="LZO4" s="326"/>
      <c r="LZP4" s="326"/>
      <c r="LZQ4" s="326"/>
      <c r="LZR4" s="326"/>
      <c r="LZS4" s="326"/>
      <c r="LZT4" s="326"/>
      <c r="LZU4" s="326"/>
      <c r="LZV4" s="326"/>
      <c r="LZW4" s="326"/>
      <c r="LZX4" s="326"/>
      <c r="LZY4" s="326"/>
      <c r="LZZ4" s="326"/>
      <c r="MAA4" s="326"/>
      <c r="MAB4" s="326"/>
      <c r="MAC4" s="326">
        <v>45870</v>
      </c>
      <c r="MAD4" s="326"/>
      <c r="MAE4" s="326"/>
      <c r="MAF4" s="326"/>
      <c r="MAG4" s="326"/>
      <c r="MAH4" s="326"/>
      <c r="MAI4" s="326"/>
      <c r="MAJ4" s="326"/>
      <c r="MAK4" s="326"/>
      <c r="MAL4" s="326"/>
      <c r="MAM4" s="326"/>
      <c r="MAN4" s="326"/>
      <c r="MAO4" s="326"/>
      <c r="MAP4" s="326"/>
      <c r="MAQ4" s="326"/>
      <c r="MAR4" s="326"/>
      <c r="MAS4" s="326">
        <v>45870</v>
      </c>
      <c r="MAT4" s="326"/>
      <c r="MAU4" s="326"/>
      <c r="MAV4" s="326"/>
      <c r="MAW4" s="326"/>
      <c r="MAX4" s="326"/>
      <c r="MAY4" s="326"/>
      <c r="MAZ4" s="326"/>
      <c r="MBA4" s="326"/>
      <c r="MBB4" s="326"/>
      <c r="MBC4" s="326"/>
      <c r="MBD4" s="326"/>
      <c r="MBE4" s="326"/>
      <c r="MBF4" s="326"/>
      <c r="MBG4" s="326"/>
      <c r="MBH4" s="326"/>
      <c r="MBI4" s="326">
        <v>45870</v>
      </c>
      <c r="MBJ4" s="326"/>
      <c r="MBK4" s="326"/>
      <c r="MBL4" s="326"/>
      <c r="MBM4" s="326"/>
      <c r="MBN4" s="326"/>
      <c r="MBO4" s="326"/>
      <c r="MBP4" s="326"/>
      <c r="MBQ4" s="326"/>
      <c r="MBR4" s="326"/>
      <c r="MBS4" s="326"/>
      <c r="MBT4" s="326"/>
      <c r="MBU4" s="326"/>
      <c r="MBV4" s="326"/>
      <c r="MBW4" s="326"/>
      <c r="MBX4" s="326"/>
      <c r="MBY4" s="326">
        <v>45870</v>
      </c>
      <c r="MBZ4" s="326"/>
      <c r="MCA4" s="326"/>
      <c r="MCB4" s="326"/>
      <c r="MCC4" s="326"/>
      <c r="MCD4" s="326"/>
      <c r="MCE4" s="326"/>
      <c r="MCF4" s="326"/>
      <c r="MCG4" s="326"/>
      <c r="MCH4" s="326"/>
      <c r="MCI4" s="326"/>
      <c r="MCJ4" s="326"/>
      <c r="MCK4" s="326"/>
      <c r="MCL4" s="326"/>
      <c r="MCM4" s="326"/>
      <c r="MCN4" s="326"/>
      <c r="MCO4" s="326">
        <v>45870</v>
      </c>
      <c r="MCP4" s="326"/>
      <c r="MCQ4" s="326"/>
      <c r="MCR4" s="326"/>
      <c r="MCS4" s="326"/>
      <c r="MCT4" s="326"/>
      <c r="MCU4" s="326"/>
      <c r="MCV4" s="326"/>
      <c r="MCW4" s="326"/>
      <c r="MCX4" s="326"/>
      <c r="MCY4" s="326"/>
      <c r="MCZ4" s="326"/>
      <c r="MDA4" s="326"/>
      <c r="MDB4" s="326"/>
      <c r="MDC4" s="326"/>
      <c r="MDD4" s="326"/>
      <c r="MDE4" s="326">
        <v>45870</v>
      </c>
      <c r="MDF4" s="326"/>
      <c r="MDG4" s="326"/>
      <c r="MDH4" s="326"/>
      <c r="MDI4" s="326"/>
      <c r="MDJ4" s="326"/>
      <c r="MDK4" s="326"/>
      <c r="MDL4" s="326"/>
      <c r="MDM4" s="326"/>
      <c r="MDN4" s="326"/>
      <c r="MDO4" s="326"/>
      <c r="MDP4" s="326"/>
      <c r="MDQ4" s="326"/>
      <c r="MDR4" s="326"/>
      <c r="MDS4" s="326"/>
      <c r="MDT4" s="326"/>
      <c r="MDU4" s="326">
        <v>45870</v>
      </c>
      <c r="MDV4" s="326"/>
      <c r="MDW4" s="326"/>
      <c r="MDX4" s="326"/>
      <c r="MDY4" s="326"/>
      <c r="MDZ4" s="326"/>
      <c r="MEA4" s="326"/>
      <c r="MEB4" s="326"/>
      <c r="MEC4" s="326"/>
      <c r="MED4" s="326"/>
      <c r="MEE4" s="326"/>
      <c r="MEF4" s="326"/>
      <c r="MEG4" s="326"/>
      <c r="MEH4" s="326"/>
      <c r="MEI4" s="326"/>
      <c r="MEJ4" s="326"/>
      <c r="MEK4" s="326">
        <v>45870</v>
      </c>
      <c r="MEL4" s="326"/>
      <c r="MEM4" s="326"/>
      <c r="MEN4" s="326"/>
      <c r="MEO4" s="326"/>
      <c r="MEP4" s="326"/>
      <c r="MEQ4" s="326"/>
      <c r="MER4" s="326"/>
      <c r="MES4" s="326"/>
      <c r="MET4" s="326"/>
      <c r="MEU4" s="326"/>
      <c r="MEV4" s="326"/>
      <c r="MEW4" s="326"/>
      <c r="MEX4" s="326"/>
      <c r="MEY4" s="326"/>
      <c r="MEZ4" s="326"/>
      <c r="MFA4" s="326">
        <v>45870</v>
      </c>
      <c r="MFB4" s="326"/>
      <c r="MFC4" s="326"/>
      <c r="MFD4" s="326"/>
      <c r="MFE4" s="326"/>
      <c r="MFF4" s="326"/>
      <c r="MFG4" s="326"/>
      <c r="MFH4" s="326"/>
      <c r="MFI4" s="326"/>
      <c r="MFJ4" s="326"/>
      <c r="MFK4" s="326"/>
      <c r="MFL4" s="326"/>
      <c r="MFM4" s="326"/>
      <c r="MFN4" s="326"/>
      <c r="MFO4" s="326"/>
      <c r="MFP4" s="326"/>
      <c r="MFQ4" s="326">
        <v>45870</v>
      </c>
      <c r="MFR4" s="326"/>
      <c r="MFS4" s="326"/>
      <c r="MFT4" s="326"/>
      <c r="MFU4" s="326"/>
      <c r="MFV4" s="326"/>
      <c r="MFW4" s="326"/>
      <c r="MFX4" s="326"/>
      <c r="MFY4" s="326"/>
      <c r="MFZ4" s="326"/>
      <c r="MGA4" s="326"/>
      <c r="MGB4" s="326"/>
      <c r="MGC4" s="326"/>
      <c r="MGD4" s="326"/>
      <c r="MGE4" s="326"/>
      <c r="MGF4" s="326"/>
      <c r="MGG4" s="326">
        <v>45870</v>
      </c>
      <c r="MGH4" s="326"/>
      <c r="MGI4" s="326"/>
      <c r="MGJ4" s="326"/>
      <c r="MGK4" s="326"/>
      <c r="MGL4" s="326"/>
      <c r="MGM4" s="326"/>
      <c r="MGN4" s="326"/>
      <c r="MGO4" s="326"/>
      <c r="MGP4" s="326"/>
      <c r="MGQ4" s="326"/>
      <c r="MGR4" s="326"/>
      <c r="MGS4" s="326"/>
      <c r="MGT4" s="326"/>
      <c r="MGU4" s="326"/>
      <c r="MGV4" s="326"/>
      <c r="MGW4" s="326">
        <v>45870</v>
      </c>
      <c r="MGX4" s="326"/>
      <c r="MGY4" s="326"/>
      <c r="MGZ4" s="326"/>
      <c r="MHA4" s="326"/>
      <c r="MHB4" s="326"/>
      <c r="MHC4" s="326"/>
      <c r="MHD4" s="326"/>
      <c r="MHE4" s="326"/>
      <c r="MHF4" s="326"/>
      <c r="MHG4" s="326"/>
      <c r="MHH4" s="326"/>
      <c r="MHI4" s="326"/>
      <c r="MHJ4" s="326"/>
      <c r="MHK4" s="326"/>
      <c r="MHL4" s="326"/>
      <c r="MHM4" s="326">
        <v>45870</v>
      </c>
      <c r="MHN4" s="326"/>
      <c r="MHO4" s="326"/>
      <c r="MHP4" s="326"/>
      <c r="MHQ4" s="326"/>
      <c r="MHR4" s="326"/>
      <c r="MHS4" s="326"/>
      <c r="MHT4" s="326"/>
      <c r="MHU4" s="326"/>
      <c r="MHV4" s="326"/>
      <c r="MHW4" s="326"/>
      <c r="MHX4" s="326"/>
      <c r="MHY4" s="326"/>
      <c r="MHZ4" s="326"/>
      <c r="MIA4" s="326"/>
      <c r="MIB4" s="326"/>
      <c r="MIC4" s="326">
        <v>45870</v>
      </c>
      <c r="MID4" s="326"/>
      <c r="MIE4" s="326"/>
      <c r="MIF4" s="326"/>
      <c r="MIG4" s="326"/>
      <c r="MIH4" s="326"/>
      <c r="MII4" s="326"/>
      <c r="MIJ4" s="326"/>
      <c r="MIK4" s="326"/>
      <c r="MIL4" s="326"/>
      <c r="MIM4" s="326"/>
      <c r="MIN4" s="326"/>
      <c r="MIO4" s="326"/>
      <c r="MIP4" s="326"/>
      <c r="MIQ4" s="326"/>
      <c r="MIR4" s="326"/>
      <c r="MIS4" s="326">
        <v>45870</v>
      </c>
      <c r="MIT4" s="326"/>
      <c r="MIU4" s="326"/>
      <c r="MIV4" s="326"/>
      <c r="MIW4" s="326"/>
      <c r="MIX4" s="326"/>
      <c r="MIY4" s="326"/>
      <c r="MIZ4" s="326"/>
      <c r="MJA4" s="326"/>
      <c r="MJB4" s="326"/>
      <c r="MJC4" s="326"/>
      <c r="MJD4" s="326"/>
      <c r="MJE4" s="326"/>
      <c r="MJF4" s="326"/>
      <c r="MJG4" s="326"/>
      <c r="MJH4" s="326"/>
      <c r="MJI4" s="326">
        <v>45870</v>
      </c>
      <c r="MJJ4" s="326"/>
      <c r="MJK4" s="326"/>
      <c r="MJL4" s="326"/>
      <c r="MJM4" s="326"/>
      <c r="MJN4" s="326"/>
      <c r="MJO4" s="326"/>
      <c r="MJP4" s="326"/>
      <c r="MJQ4" s="326"/>
      <c r="MJR4" s="326"/>
      <c r="MJS4" s="326"/>
      <c r="MJT4" s="326"/>
      <c r="MJU4" s="326"/>
      <c r="MJV4" s="326"/>
      <c r="MJW4" s="326"/>
      <c r="MJX4" s="326"/>
      <c r="MJY4" s="326">
        <v>45870</v>
      </c>
      <c r="MJZ4" s="326"/>
      <c r="MKA4" s="326"/>
      <c r="MKB4" s="326"/>
      <c r="MKC4" s="326"/>
      <c r="MKD4" s="326"/>
      <c r="MKE4" s="326"/>
      <c r="MKF4" s="326"/>
      <c r="MKG4" s="326"/>
      <c r="MKH4" s="326"/>
      <c r="MKI4" s="326"/>
      <c r="MKJ4" s="326"/>
      <c r="MKK4" s="326"/>
      <c r="MKL4" s="326"/>
      <c r="MKM4" s="326"/>
      <c r="MKN4" s="326"/>
      <c r="MKO4" s="326">
        <v>45870</v>
      </c>
      <c r="MKP4" s="326"/>
      <c r="MKQ4" s="326"/>
      <c r="MKR4" s="326"/>
      <c r="MKS4" s="326"/>
      <c r="MKT4" s="326"/>
      <c r="MKU4" s="326"/>
      <c r="MKV4" s="326"/>
      <c r="MKW4" s="326"/>
      <c r="MKX4" s="326"/>
      <c r="MKY4" s="326"/>
      <c r="MKZ4" s="326"/>
      <c r="MLA4" s="326"/>
      <c r="MLB4" s="326"/>
      <c r="MLC4" s="326"/>
      <c r="MLD4" s="326"/>
      <c r="MLE4" s="326">
        <v>45870</v>
      </c>
      <c r="MLF4" s="326"/>
      <c r="MLG4" s="326"/>
      <c r="MLH4" s="326"/>
      <c r="MLI4" s="326"/>
      <c r="MLJ4" s="326"/>
      <c r="MLK4" s="326"/>
      <c r="MLL4" s="326"/>
      <c r="MLM4" s="326"/>
      <c r="MLN4" s="326"/>
      <c r="MLO4" s="326"/>
      <c r="MLP4" s="326"/>
      <c r="MLQ4" s="326"/>
      <c r="MLR4" s="326"/>
      <c r="MLS4" s="326"/>
      <c r="MLT4" s="326"/>
      <c r="MLU4" s="326">
        <v>45870</v>
      </c>
      <c r="MLV4" s="326"/>
      <c r="MLW4" s="326"/>
      <c r="MLX4" s="326"/>
      <c r="MLY4" s="326"/>
      <c r="MLZ4" s="326"/>
      <c r="MMA4" s="326"/>
      <c r="MMB4" s="326"/>
      <c r="MMC4" s="326"/>
      <c r="MMD4" s="326"/>
      <c r="MME4" s="326"/>
      <c r="MMF4" s="326"/>
      <c r="MMG4" s="326"/>
      <c r="MMH4" s="326"/>
      <c r="MMI4" s="326"/>
      <c r="MMJ4" s="326"/>
      <c r="MMK4" s="326">
        <v>45870</v>
      </c>
      <c r="MML4" s="326"/>
      <c r="MMM4" s="326"/>
      <c r="MMN4" s="326"/>
      <c r="MMO4" s="326"/>
      <c r="MMP4" s="326"/>
      <c r="MMQ4" s="326"/>
      <c r="MMR4" s="326"/>
      <c r="MMS4" s="326"/>
      <c r="MMT4" s="326"/>
      <c r="MMU4" s="326"/>
      <c r="MMV4" s="326"/>
      <c r="MMW4" s="326"/>
      <c r="MMX4" s="326"/>
      <c r="MMY4" s="326"/>
      <c r="MMZ4" s="326"/>
      <c r="MNA4" s="326">
        <v>45870</v>
      </c>
      <c r="MNB4" s="326"/>
      <c r="MNC4" s="326"/>
      <c r="MND4" s="326"/>
      <c r="MNE4" s="326"/>
      <c r="MNF4" s="326"/>
      <c r="MNG4" s="326"/>
      <c r="MNH4" s="326"/>
      <c r="MNI4" s="326"/>
      <c r="MNJ4" s="326"/>
      <c r="MNK4" s="326"/>
      <c r="MNL4" s="326"/>
      <c r="MNM4" s="326"/>
      <c r="MNN4" s="326"/>
      <c r="MNO4" s="326"/>
      <c r="MNP4" s="326"/>
      <c r="MNQ4" s="326">
        <v>45870</v>
      </c>
      <c r="MNR4" s="326"/>
      <c r="MNS4" s="326"/>
      <c r="MNT4" s="326"/>
      <c r="MNU4" s="326"/>
      <c r="MNV4" s="326"/>
      <c r="MNW4" s="326"/>
      <c r="MNX4" s="326"/>
      <c r="MNY4" s="326"/>
      <c r="MNZ4" s="326"/>
      <c r="MOA4" s="326"/>
      <c r="MOB4" s="326"/>
      <c r="MOC4" s="326"/>
      <c r="MOD4" s="326"/>
      <c r="MOE4" s="326"/>
      <c r="MOF4" s="326"/>
      <c r="MOG4" s="326">
        <v>45870</v>
      </c>
      <c r="MOH4" s="326"/>
      <c r="MOI4" s="326"/>
      <c r="MOJ4" s="326"/>
      <c r="MOK4" s="326"/>
      <c r="MOL4" s="326"/>
      <c r="MOM4" s="326"/>
      <c r="MON4" s="326"/>
      <c r="MOO4" s="326"/>
      <c r="MOP4" s="326"/>
      <c r="MOQ4" s="326"/>
      <c r="MOR4" s="326"/>
      <c r="MOS4" s="326"/>
      <c r="MOT4" s="326"/>
      <c r="MOU4" s="326"/>
      <c r="MOV4" s="326"/>
      <c r="MOW4" s="326">
        <v>45870</v>
      </c>
      <c r="MOX4" s="326"/>
      <c r="MOY4" s="326"/>
      <c r="MOZ4" s="326"/>
      <c r="MPA4" s="326"/>
      <c r="MPB4" s="326"/>
      <c r="MPC4" s="326"/>
      <c r="MPD4" s="326"/>
      <c r="MPE4" s="326"/>
      <c r="MPF4" s="326"/>
      <c r="MPG4" s="326"/>
      <c r="MPH4" s="326"/>
      <c r="MPI4" s="326"/>
      <c r="MPJ4" s="326"/>
      <c r="MPK4" s="326"/>
      <c r="MPL4" s="326"/>
      <c r="MPM4" s="326">
        <v>45870</v>
      </c>
      <c r="MPN4" s="326"/>
      <c r="MPO4" s="326"/>
      <c r="MPP4" s="326"/>
      <c r="MPQ4" s="326"/>
      <c r="MPR4" s="326"/>
      <c r="MPS4" s="326"/>
      <c r="MPT4" s="326"/>
      <c r="MPU4" s="326"/>
      <c r="MPV4" s="326"/>
      <c r="MPW4" s="326"/>
      <c r="MPX4" s="326"/>
      <c r="MPY4" s="326"/>
      <c r="MPZ4" s="326"/>
      <c r="MQA4" s="326"/>
      <c r="MQB4" s="326"/>
      <c r="MQC4" s="326">
        <v>45870</v>
      </c>
      <c r="MQD4" s="326"/>
      <c r="MQE4" s="326"/>
      <c r="MQF4" s="326"/>
      <c r="MQG4" s="326"/>
      <c r="MQH4" s="326"/>
      <c r="MQI4" s="326"/>
      <c r="MQJ4" s="326"/>
      <c r="MQK4" s="326"/>
      <c r="MQL4" s="326"/>
      <c r="MQM4" s="326"/>
      <c r="MQN4" s="326"/>
      <c r="MQO4" s="326"/>
      <c r="MQP4" s="326"/>
      <c r="MQQ4" s="326"/>
      <c r="MQR4" s="326"/>
      <c r="MQS4" s="326">
        <v>45870</v>
      </c>
      <c r="MQT4" s="326"/>
      <c r="MQU4" s="326"/>
      <c r="MQV4" s="326"/>
      <c r="MQW4" s="326"/>
      <c r="MQX4" s="326"/>
      <c r="MQY4" s="326"/>
      <c r="MQZ4" s="326"/>
      <c r="MRA4" s="326"/>
      <c r="MRB4" s="326"/>
      <c r="MRC4" s="326"/>
      <c r="MRD4" s="326"/>
      <c r="MRE4" s="326"/>
      <c r="MRF4" s="326"/>
      <c r="MRG4" s="326"/>
      <c r="MRH4" s="326"/>
      <c r="MRI4" s="326">
        <v>45870</v>
      </c>
      <c r="MRJ4" s="326"/>
      <c r="MRK4" s="326"/>
      <c r="MRL4" s="326"/>
      <c r="MRM4" s="326"/>
      <c r="MRN4" s="326"/>
      <c r="MRO4" s="326"/>
      <c r="MRP4" s="326"/>
      <c r="MRQ4" s="326"/>
      <c r="MRR4" s="326"/>
      <c r="MRS4" s="326"/>
      <c r="MRT4" s="326"/>
      <c r="MRU4" s="326"/>
      <c r="MRV4" s="326"/>
      <c r="MRW4" s="326"/>
      <c r="MRX4" s="326"/>
      <c r="MRY4" s="326">
        <v>45870</v>
      </c>
      <c r="MRZ4" s="326"/>
      <c r="MSA4" s="326"/>
      <c r="MSB4" s="326"/>
      <c r="MSC4" s="326"/>
      <c r="MSD4" s="326"/>
      <c r="MSE4" s="326"/>
      <c r="MSF4" s="326"/>
      <c r="MSG4" s="326"/>
      <c r="MSH4" s="326"/>
      <c r="MSI4" s="326"/>
      <c r="MSJ4" s="326"/>
      <c r="MSK4" s="326"/>
      <c r="MSL4" s="326"/>
      <c r="MSM4" s="326"/>
      <c r="MSN4" s="326"/>
      <c r="MSO4" s="326">
        <v>45870</v>
      </c>
      <c r="MSP4" s="326"/>
      <c r="MSQ4" s="326"/>
      <c r="MSR4" s="326"/>
      <c r="MSS4" s="326"/>
      <c r="MST4" s="326"/>
      <c r="MSU4" s="326"/>
      <c r="MSV4" s="326"/>
      <c r="MSW4" s="326"/>
      <c r="MSX4" s="326"/>
      <c r="MSY4" s="326"/>
      <c r="MSZ4" s="326"/>
      <c r="MTA4" s="326"/>
      <c r="MTB4" s="326"/>
      <c r="MTC4" s="326"/>
      <c r="MTD4" s="326"/>
      <c r="MTE4" s="326">
        <v>45870</v>
      </c>
      <c r="MTF4" s="326"/>
      <c r="MTG4" s="326"/>
      <c r="MTH4" s="326"/>
      <c r="MTI4" s="326"/>
      <c r="MTJ4" s="326"/>
      <c r="MTK4" s="326"/>
      <c r="MTL4" s="326"/>
      <c r="MTM4" s="326"/>
      <c r="MTN4" s="326"/>
      <c r="MTO4" s="326"/>
      <c r="MTP4" s="326"/>
      <c r="MTQ4" s="326"/>
      <c r="MTR4" s="326"/>
      <c r="MTS4" s="326"/>
      <c r="MTT4" s="326"/>
      <c r="MTU4" s="326">
        <v>45870</v>
      </c>
      <c r="MTV4" s="326"/>
      <c r="MTW4" s="326"/>
      <c r="MTX4" s="326"/>
      <c r="MTY4" s="326"/>
      <c r="MTZ4" s="326"/>
      <c r="MUA4" s="326"/>
      <c r="MUB4" s="326"/>
      <c r="MUC4" s="326"/>
      <c r="MUD4" s="326"/>
      <c r="MUE4" s="326"/>
      <c r="MUF4" s="326"/>
      <c r="MUG4" s="326"/>
      <c r="MUH4" s="326"/>
      <c r="MUI4" s="326"/>
      <c r="MUJ4" s="326"/>
      <c r="MUK4" s="326">
        <v>45870</v>
      </c>
      <c r="MUL4" s="326"/>
      <c r="MUM4" s="326"/>
      <c r="MUN4" s="326"/>
      <c r="MUO4" s="326"/>
      <c r="MUP4" s="326"/>
      <c r="MUQ4" s="326"/>
      <c r="MUR4" s="326"/>
      <c r="MUS4" s="326"/>
      <c r="MUT4" s="326"/>
      <c r="MUU4" s="326"/>
      <c r="MUV4" s="326"/>
      <c r="MUW4" s="326"/>
      <c r="MUX4" s="326"/>
      <c r="MUY4" s="326"/>
      <c r="MUZ4" s="326"/>
      <c r="MVA4" s="326">
        <v>45870</v>
      </c>
      <c r="MVB4" s="326"/>
      <c r="MVC4" s="326"/>
      <c r="MVD4" s="326"/>
      <c r="MVE4" s="326"/>
      <c r="MVF4" s="326"/>
      <c r="MVG4" s="326"/>
      <c r="MVH4" s="326"/>
      <c r="MVI4" s="326"/>
      <c r="MVJ4" s="326"/>
      <c r="MVK4" s="326"/>
      <c r="MVL4" s="326"/>
      <c r="MVM4" s="326"/>
      <c r="MVN4" s="326"/>
      <c r="MVO4" s="326"/>
      <c r="MVP4" s="326"/>
      <c r="MVQ4" s="326">
        <v>45870</v>
      </c>
      <c r="MVR4" s="326"/>
      <c r="MVS4" s="326"/>
      <c r="MVT4" s="326"/>
      <c r="MVU4" s="326"/>
      <c r="MVV4" s="326"/>
      <c r="MVW4" s="326"/>
      <c r="MVX4" s="326"/>
      <c r="MVY4" s="326"/>
      <c r="MVZ4" s="326"/>
      <c r="MWA4" s="326"/>
      <c r="MWB4" s="326"/>
      <c r="MWC4" s="326"/>
      <c r="MWD4" s="326"/>
      <c r="MWE4" s="326"/>
      <c r="MWF4" s="326"/>
      <c r="MWG4" s="326">
        <v>45870</v>
      </c>
      <c r="MWH4" s="326"/>
      <c r="MWI4" s="326"/>
      <c r="MWJ4" s="326"/>
      <c r="MWK4" s="326"/>
      <c r="MWL4" s="326"/>
      <c r="MWM4" s="326"/>
      <c r="MWN4" s="326"/>
      <c r="MWO4" s="326"/>
      <c r="MWP4" s="326"/>
      <c r="MWQ4" s="326"/>
      <c r="MWR4" s="326"/>
      <c r="MWS4" s="326"/>
      <c r="MWT4" s="326"/>
      <c r="MWU4" s="326"/>
      <c r="MWV4" s="326"/>
      <c r="MWW4" s="326">
        <v>45870</v>
      </c>
      <c r="MWX4" s="326"/>
      <c r="MWY4" s="326"/>
      <c r="MWZ4" s="326"/>
      <c r="MXA4" s="326"/>
      <c r="MXB4" s="326"/>
      <c r="MXC4" s="326"/>
      <c r="MXD4" s="326"/>
      <c r="MXE4" s="326"/>
      <c r="MXF4" s="326"/>
      <c r="MXG4" s="326"/>
      <c r="MXH4" s="326"/>
      <c r="MXI4" s="326"/>
      <c r="MXJ4" s="326"/>
      <c r="MXK4" s="326"/>
      <c r="MXL4" s="326"/>
      <c r="MXM4" s="326">
        <v>45870</v>
      </c>
      <c r="MXN4" s="326"/>
      <c r="MXO4" s="326"/>
      <c r="MXP4" s="326"/>
      <c r="MXQ4" s="326"/>
      <c r="MXR4" s="326"/>
      <c r="MXS4" s="326"/>
      <c r="MXT4" s="326"/>
      <c r="MXU4" s="326"/>
      <c r="MXV4" s="326"/>
      <c r="MXW4" s="326"/>
      <c r="MXX4" s="326"/>
      <c r="MXY4" s="326"/>
      <c r="MXZ4" s="326"/>
      <c r="MYA4" s="326"/>
      <c r="MYB4" s="326"/>
      <c r="MYC4" s="326">
        <v>45870</v>
      </c>
      <c r="MYD4" s="326"/>
      <c r="MYE4" s="326"/>
      <c r="MYF4" s="326"/>
      <c r="MYG4" s="326"/>
      <c r="MYH4" s="326"/>
      <c r="MYI4" s="326"/>
      <c r="MYJ4" s="326"/>
      <c r="MYK4" s="326"/>
      <c r="MYL4" s="326"/>
      <c r="MYM4" s="326"/>
      <c r="MYN4" s="326"/>
      <c r="MYO4" s="326"/>
      <c r="MYP4" s="326"/>
      <c r="MYQ4" s="326"/>
      <c r="MYR4" s="326"/>
      <c r="MYS4" s="326">
        <v>45870</v>
      </c>
      <c r="MYT4" s="326"/>
      <c r="MYU4" s="326"/>
      <c r="MYV4" s="326"/>
      <c r="MYW4" s="326"/>
      <c r="MYX4" s="326"/>
      <c r="MYY4" s="326"/>
      <c r="MYZ4" s="326"/>
      <c r="MZA4" s="326"/>
      <c r="MZB4" s="326"/>
      <c r="MZC4" s="326"/>
      <c r="MZD4" s="326"/>
      <c r="MZE4" s="326"/>
      <c r="MZF4" s="326"/>
      <c r="MZG4" s="326"/>
      <c r="MZH4" s="326"/>
      <c r="MZI4" s="326">
        <v>45870</v>
      </c>
      <c r="MZJ4" s="326"/>
      <c r="MZK4" s="326"/>
      <c r="MZL4" s="326"/>
      <c r="MZM4" s="326"/>
      <c r="MZN4" s="326"/>
      <c r="MZO4" s="326"/>
      <c r="MZP4" s="326"/>
      <c r="MZQ4" s="326"/>
      <c r="MZR4" s="326"/>
      <c r="MZS4" s="326"/>
      <c r="MZT4" s="326"/>
      <c r="MZU4" s="326"/>
      <c r="MZV4" s="326"/>
      <c r="MZW4" s="326"/>
      <c r="MZX4" s="326"/>
      <c r="MZY4" s="326">
        <v>45870</v>
      </c>
      <c r="MZZ4" s="326"/>
      <c r="NAA4" s="326"/>
      <c r="NAB4" s="326"/>
      <c r="NAC4" s="326"/>
      <c r="NAD4" s="326"/>
      <c r="NAE4" s="326"/>
      <c r="NAF4" s="326"/>
      <c r="NAG4" s="326"/>
      <c r="NAH4" s="326"/>
      <c r="NAI4" s="326"/>
      <c r="NAJ4" s="326"/>
      <c r="NAK4" s="326"/>
      <c r="NAL4" s="326"/>
      <c r="NAM4" s="326"/>
      <c r="NAN4" s="326"/>
      <c r="NAO4" s="326">
        <v>45870</v>
      </c>
      <c r="NAP4" s="326"/>
      <c r="NAQ4" s="326"/>
      <c r="NAR4" s="326"/>
      <c r="NAS4" s="326"/>
      <c r="NAT4" s="326"/>
      <c r="NAU4" s="326"/>
      <c r="NAV4" s="326"/>
      <c r="NAW4" s="326"/>
      <c r="NAX4" s="326"/>
      <c r="NAY4" s="326"/>
      <c r="NAZ4" s="326"/>
      <c r="NBA4" s="326"/>
      <c r="NBB4" s="326"/>
      <c r="NBC4" s="326"/>
      <c r="NBD4" s="326"/>
      <c r="NBE4" s="326">
        <v>45870</v>
      </c>
      <c r="NBF4" s="326"/>
      <c r="NBG4" s="326"/>
      <c r="NBH4" s="326"/>
      <c r="NBI4" s="326"/>
      <c r="NBJ4" s="326"/>
      <c r="NBK4" s="326"/>
      <c r="NBL4" s="326"/>
      <c r="NBM4" s="326"/>
      <c r="NBN4" s="326"/>
      <c r="NBO4" s="326"/>
      <c r="NBP4" s="326"/>
      <c r="NBQ4" s="326"/>
      <c r="NBR4" s="326"/>
      <c r="NBS4" s="326"/>
      <c r="NBT4" s="326"/>
      <c r="NBU4" s="326">
        <v>45870</v>
      </c>
      <c r="NBV4" s="326"/>
      <c r="NBW4" s="326"/>
      <c r="NBX4" s="326"/>
      <c r="NBY4" s="326"/>
      <c r="NBZ4" s="326"/>
      <c r="NCA4" s="326"/>
      <c r="NCB4" s="326"/>
      <c r="NCC4" s="326"/>
      <c r="NCD4" s="326"/>
      <c r="NCE4" s="326"/>
      <c r="NCF4" s="326"/>
      <c r="NCG4" s="326"/>
      <c r="NCH4" s="326"/>
      <c r="NCI4" s="326"/>
      <c r="NCJ4" s="326"/>
      <c r="NCK4" s="326">
        <v>45870</v>
      </c>
      <c r="NCL4" s="326"/>
      <c r="NCM4" s="326"/>
      <c r="NCN4" s="326"/>
      <c r="NCO4" s="326"/>
      <c r="NCP4" s="326"/>
      <c r="NCQ4" s="326"/>
      <c r="NCR4" s="326"/>
      <c r="NCS4" s="326"/>
      <c r="NCT4" s="326"/>
      <c r="NCU4" s="326"/>
      <c r="NCV4" s="326"/>
      <c r="NCW4" s="326"/>
      <c r="NCX4" s="326"/>
      <c r="NCY4" s="326"/>
      <c r="NCZ4" s="326"/>
      <c r="NDA4" s="326">
        <v>45870</v>
      </c>
      <c r="NDB4" s="326"/>
      <c r="NDC4" s="326"/>
      <c r="NDD4" s="326"/>
      <c r="NDE4" s="326"/>
      <c r="NDF4" s="326"/>
      <c r="NDG4" s="326"/>
      <c r="NDH4" s="326"/>
      <c r="NDI4" s="326"/>
      <c r="NDJ4" s="326"/>
      <c r="NDK4" s="326"/>
      <c r="NDL4" s="326"/>
      <c r="NDM4" s="326"/>
      <c r="NDN4" s="326"/>
      <c r="NDO4" s="326"/>
      <c r="NDP4" s="326"/>
      <c r="NDQ4" s="326">
        <v>45870</v>
      </c>
      <c r="NDR4" s="326"/>
      <c r="NDS4" s="326"/>
      <c r="NDT4" s="326"/>
      <c r="NDU4" s="326"/>
      <c r="NDV4" s="326"/>
      <c r="NDW4" s="326"/>
      <c r="NDX4" s="326"/>
      <c r="NDY4" s="326"/>
      <c r="NDZ4" s="326"/>
      <c r="NEA4" s="326"/>
      <c r="NEB4" s="326"/>
      <c r="NEC4" s="326"/>
      <c r="NED4" s="326"/>
      <c r="NEE4" s="326"/>
      <c r="NEF4" s="326"/>
      <c r="NEG4" s="326">
        <v>45870</v>
      </c>
      <c r="NEH4" s="326"/>
      <c r="NEI4" s="326"/>
      <c r="NEJ4" s="326"/>
      <c r="NEK4" s="326"/>
      <c r="NEL4" s="326"/>
      <c r="NEM4" s="326"/>
      <c r="NEN4" s="326"/>
      <c r="NEO4" s="326"/>
      <c r="NEP4" s="326"/>
      <c r="NEQ4" s="326"/>
      <c r="NER4" s="326"/>
      <c r="NES4" s="326"/>
      <c r="NET4" s="326"/>
      <c r="NEU4" s="326"/>
      <c r="NEV4" s="326"/>
      <c r="NEW4" s="326">
        <v>45870</v>
      </c>
      <c r="NEX4" s="326"/>
      <c r="NEY4" s="326"/>
      <c r="NEZ4" s="326"/>
      <c r="NFA4" s="326"/>
      <c r="NFB4" s="326"/>
      <c r="NFC4" s="326"/>
      <c r="NFD4" s="326"/>
      <c r="NFE4" s="326"/>
      <c r="NFF4" s="326"/>
      <c r="NFG4" s="326"/>
      <c r="NFH4" s="326"/>
      <c r="NFI4" s="326"/>
      <c r="NFJ4" s="326"/>
      <c r="NFK4" s="326"/>
      <c r="NFL4" s="326"/>
      <c r="NFM4" s="326">
        <v>45870</v>
      </c>
      <c r="NFN4" s="326"/>
      <c r="NFO4" s="326"/>
      <c r="NFP4" s="326"/>
      <c r="NFQ4" s="326"/>
      <c r="NFR4" s="326"/>
      <c r="NFS4" s="326"/>
      <c r="NFT4" s="326"/>
      <c r="NFU4" s="326"/>
      <c r="NFV4" s="326"/>
      <c r="NFW4" s="326"/>
      <c r="NFX4" s="326"/>
      <c r="NFY4" s="326"/>
      <c r="NFZ4" s="326"/>
      <c r="NGA4" s="326"/>
      <c r="NGB4" s="326"/>
      <c r="NGC4" s="326">
        <v>45870</v>
      </c>
      <c r="NGD4" s="326"/>
      <c r="NGE4" s="326"/>
      <c r="NGF4" s="326"/>
      <c r="NGG4" s="326"/>
      <c r="NGH4" s="326"/>
      <c r="NGI4" s="326"/>
      <c r="NGJ4" s="326"/>
      <c r="NGK4" s="326"/>
      <c r="NGL4" s="326"/>
      <c r="NGM4" s="326"/>
      <c r="NGN4" s="326"/>
      <c r="NGO4" s="326"/>
      <c r="NGP4" s="326"/>
      <c r="NGQ4" s="326"/>
      <c r="NGR4" s="326"/>
      <c r="NGS4" s="326">
        <v>45870</v>
      </c>
      <c r="NGT4" s="326"/>
      <c r="NGU4" s="326"/>
      <c r="NGV4" s="326"/>
      <c r="NGW4" s="326"/>
      <c r="NGX4" s="326"/>
      <c r="NGY4" s="326"/>
      <c r="NGZ4" s="326"/>
      <c r="NHA4" s="326"/>
      <c r="NHB4" s="326"/>
      <c r="NHC4" s="326"/>
      <c r="NHD4" s="326"/>
      <c r="NHE4" s="326"/>
      <c r="NHF4" s="326"/>
      <c r="NHG4" s="326"/>
      <c r="NHH4" s="326"/>
      <c r="NHI4" s="326">
        <v>45870</v>
      </c>
      <c r="NHJ4" s="326"/>
      <c r="NHK4" s="326"/>
      <c r="NHL4" s="326"/>
      <c r="NHM4" s="326"/>
      <c r="NHN4" s="326"/>
      <c r="NHO4" s="326"/>
      <c r="NHP4" s="326"/>
      <c r="NHQ4" s="326"/>
      <c r="NHR4" s="326"/>
      <c r="NHS4" s="326"/>
      <c r="NHT4" s="326"/>
      <c r="NHU4" s="326"/>
      <c r="NHV4" s="326"/>
      <c r="NHW4" s="326"/>
      <c r="NHX4" s="326"/>
      <c r="NHY4" s="326">
        <v>45870</v>
      </c>
      <c r="NHZ4" s="326"/>
      <c r="NIA4" s="326"/>
      <c r="NIB4" s="326"/>
      <c r="NIC4" s="326"/>
      <c r="NID4" s="326"/>
      <c r="NIE4" s="326"/>
      <c r="NIF4" s="326"/>
      <c r="NIG4" s="326"/>
      <c r="NIH4" s="326"/>
      <c r="NII4" s="326"/>
      <c r="NIJ4" s="326"/>
      <c r="NIK4" s="326"/>
      <c r="NIL4" s="326"/>
      <c r="NIM4" s="326"/>
      <c r="NIN4" s="326"/>
      <c r="NIO4" s="326">
        <v>45870</v>
      </c>
      <c r="NIP4" s="326"/>
      <c r="NIQ4" s="326"/>
      <c r="NIR4" s="326"/>
      <c r="NIS4" s="326"/>
      <c r="NIT4" s="326"/>
      <c r="NIU4" s="326"/>
      <c r="NIV4" s="326"/>
      <c r="NIW4" s="326"/>
      <c r="NIX4" s="326"/>
      <c r="NIY4" s="326"/>
      <c r="NIZ4" s="326"/>
      <c r="NJA4" s="326"/>
      <c r="NJB4" s="326"/>
      <c r="NJC4" s="326"/>
      <c r="NJD4" s="326"/>
      <c r="NJE4" s="326">
        <v>45870</v>
      </c>
      <c r="NJF4" s="326"/>
      <c r="NJG4" s="326"/>
      <c r="NJH4" s="326"/>
      <c r="NJI4" s="326"/>
      <c r="NJJ4" s="326"/>
      <c r="NJK4" s="326"/>
      <c r="NJL4" s="326"/>
      <c r="NJM4" s="326"/>
      <c r="NJN4" s="326"/>
      <c r="NJO4" s="326"/>
      <c r="NJP4" s="326"/>
      <c r="NJQ4" s="326"/>
      <c r="NJR4" s="326"/>
      <c r="NJS4" s="326"/>
      <c r="NJT4" s="326"/>
      <c r="NJU4" s="326">
        <v>45870</v>
      </c>
      <c r="NJV4" s="326"/>
      <c r="NJW4" s="326"/>
      <c r="NJX4" s="326"/>
      <c r="NJY4" s="326"/>
      <c r="NJZ4" s="326"/>
      <c r="NKA4" s="326"/>
      <c r="NKB4" s="326"/>
      <c r="NKC4" s="326"/>
      <c r="NKD4" s="326"/>
      <c r="NKE4" s="326"/>
      <c r="NKF4" s="326"/>
      <c r="NKG4" s="326"/>
      <c r="NKH4" s="326"/>
      <c r="NKI4" s="326"/>
      <c r="NKJ4" s="326"/>
      <c r="NKK4" s="326">
        <v>45870</v>
      </c>
      <c r="NKL4" s="326"/>
      <c r="NKM4" s="326"/>
      <c r="NKN4" s="326"/>
      <c r="NKO4" s="326"/>
      <c r="NKP4" s="326"/>
      <c r="NKQ4" s="326"/>
      <c r="NKR4" s="326"/>
      <c r="NKS4" s="326"/>
      <c r="NKT4" s="326"/>
      <c r="NKU4" s="326"/>
      <c r="NKV4" s="326"/>
      <c r="NKW4" s="326"/>
      <c r="NKX4" s="326"/>
      <c r="NKY4" s="326"/>
      <c r="NKZ4" s="326"/>
      <c r="NLA4" s="326">
        <v>45870</v>
      </c>
      <c r="NLB4" s="326"/>
      <c r="NLC4" s="326"/>
      <c r="NLD4" s="326"/>
      <c r="NLE4" s="326"/>
      <c r="NLF4" s="326"/>
      <c r="NLG4" s="326"/>
      <c r="NLH4" s="326"/>
      <c r="NLI4" s="326"/>
      <c r="NLJ4" s="326"/>
      <c r="NLK4" s="326"/>
      <c r="NLL4" s="326"/>
      <c r="NLM4" s="326"/>
      <c r="NLN4" s="326"/>
      <c r="NLO4" s="326"/>
      <c r="NLP4" s="326"/>
      <c r="NLQ4" s="326">
        <v>45870</v>
      </c>
      <c r="NLR4" s="326"/>
      <c r="NLS4" s="326"/>
      <c r="NLT4" s="326"/>
      <c r="NLU4" s="326"/>
      <c r="NLV4" s="326"/>
      <c r="NLW4" s="326"/>
      <c r="NLX4" s="326"/>
      <c r="NLY4" s="326"/>
      <c r="NLZ4" s="326"/>
      <c r="NMA4" s="326"/>
      <c r="NMB4" s="326"/>
      <c r="NMC4" s="326"/>
      <c r="NMD4" s="326"/>
      <c r="NME4" s="326"/>
      <c r="NMF4" s="326"/>
      <c r="NMG4" s="326">
        <v>45870</v>
      </c>
      <c r="NMH4" s="326"/>
      <c r="NMI4" s="326"/>
      <c r="NMJ4" s="326"/>
      <c r="NMK4" s="326"/>
      <c r="NML4" s="326"/>
      <c r="NMM4" s="326"/>
      <c r="NMN4" s="326"/>
      <c r="NMO4" s="326"/>
      <c r="NMP4" s="326"/>
      <c r="NMQ4" s="326"/>
      <c r="NMR4" s="326"/>
      <c r="NMS4" s="326"/>
      <c r="NMT4" s="326"/>
      <c r="NMU4" s="326"/>
      <c r="NMV4" s="326"/>
      <c r="NMW4" s="326">
        <v>45870</v>
      </c>
      <c r="NMX4" s="326"/>
      <c r="NMY4" s="326"/>
      <c r="NMZ4" s="326"/>
      <c r="NNA4" s="326"/>
      <c r="NNB4" s="326"/>
      <c r="NNC4" s="326"/>
      <c r="NND4" s="326"/>
      <c r="NNE4" s="326"/>
      <c r="NNF4" s="326"/>
      <c r="NNG4" s="326"/>
      <c r="NNH4" s="326"/>
      <c r="NNI4" s="326"/>
      <c r="NNJ4" s="326"/>
      <c r="NNK4" s="326"/>
      <c r="NNL4" s="326"/>
      <c r="NNM4" s="326">
        <v>45870</v>
      </c>
      <c r="NNN4" s="326"/>
      <c r="NNO4" s="326"/>
      <c r="NNP4" s="326"/>
      <c r="NNQ4" s="326"/>
      <c r="NNR4" s="326"/>
      <c r="NNS4" s="326"/>
      <c r="NNT4" s="326"/>
      <c r="NNU4" s="326"/>
      <c r="NNV4" s="326"/>
      <c r="NNW4" s="326"/>
      <c r="NNX4" s="326"/>
      <c r="NNY4" s="326"/>
      <c r="NNZ4" s="326"/>
      <c r="NOA4" s="326"/>
      <c r="NOB4" s="326"/>
      <c r="NOC4" s="326">
        <v>45870</v>
      </c>
      <c r="NOD4" s="326"/>
      <c r="NOE4" s="326"/>
      <c r="NOF4" s="326"/>
      <c r="NOG4" s="326"/>
      <c r="NOH4" s="326"/>
      <c r="NOI4" s="326"/>
      <c r="NOJ4" s="326"/>
      <c r="NOK4" s="326"/>
      <c r="NOL4" s="326"/>
      <c r="NOM4" s="326"/>
      <c r="NON4" s="326"/>
      <c r="NOO4" s="326"/>
      <c r="NOP4" s="326"/>
      <c r="NOQ4" s="326"/>
      <c r="NOR4" s="326"/>
      <c r="NOS4" s="326">
        <v>45870</v>
      </c>
      <c r="NOT4" s="326"/>
      <c r="NOU4" s="326"/>
      <c r="NOV4" s="326"/>
      <c r="NOW4" s="326"/>
      <c r="NOX4" s="326"/>
      <c r="NOY4" s="326"/>
      <c r="NOZ4" s="326"/>
      <c r="NPA4" s="326"/>
      <c r="NPB4" s="326"/>
      <c r="NPC4" s="326"/>
      <c r="NPD4" s="326"/>
      <c r="NPE4" s="326"/>
      <c r="NPF4" s="326"/>
      <c r="NPG4" s="326"/>
      <c r="NPH4" s="326"/>
      <c r="NPI4" s="326">
        <v>45870</v>
      </c>
      <c r="NPJ4" s="326"/>
      <c r="NPK4" s="326"/>
      <c r="NPL4" s="326"/>
      <c r="NPM4" s="326"/>
      <c r="NPN4" s="326"/>
      <c r="NPO4" s="326"/>
      <c r="NPP4" s="326"/>
      <c r="NPQ4" s="326"/>
      <c r="NPR4" s="326"/>
      <c r="NPS4" s="326"/>
      <c r="NPT4" s="326"/>
      <c r="NPU4" s="326"/>
      <c r="NPV4" s="326"/>
      <c r="NPW4" s="326"/>
      <c r="NPX4" s="326"/>
      <c r="NPY4" s="326">
        <v>45870</v>
      </c>
      <c r="NPZ4" s="326"/>
      <c r="NQA4" s="326"/>
      <c r="NQB4" s="326"/>
      <c r="NQC4" s="326"/>
      <c r="NQD4" s="326"/>
      <c r="NQE4" s="326"/>
      <c r="NQF4" s="326"/>
      <c r="NQG4" s="326"/>
      <c r="NQH4" s="326"/>
      <c r="NQI4" s="326"/>
      <c r="NQJ4" s="326"/>
      <c r="NQK4" s="326"/>
      <c r="NQL4" s="326"/>
      <c r="NQM4" s="326"/>
      <c r="NQN4" s="326"/>
      <c r="NQO4" s="326">
        <v>45870</v>
      </c>
      <c r="NQP4" s="326"/>
      <c r="NQQ4" s="326"/>
      <c r="NQR4" s="326"/>
      <c r="NQS4" s="326"/>
      <c r="NQT4" s="326"/>
      <c r="NQU4" s="326"/>
      <c r="NQV4" s="326"/>
      <c r="NQW4" s="326"/>
      <c r="NQX4" s="326"/>
      <c r="NQY4" s="326"/>
      <c r="NQZ4" s="326"/>
      <c r="NRA4" s="326"/>
      <c r="NRB4" s="326"/>
      <c r="NRC4" s="326"/>
      <c r="NRD4" s="326"/>
      <c r="NRE4" s="326">
        <v>45870</v>
      </c>
      <c r="NRF4" s="326"/>
      <c r="NRG4" s="326"/>
      <c r="NRH4" s="326"/>
      <c r="NRI4" s="326"/>
      <c r="NRJ4" s="326"/>
      <c r="NRK4" s="326"/>
      <c r="NRL4" s="326"/>
      <c r="NRM4" s="326"/>
      <c r="NRN4" s="326"/>
      <c r="NRO4" s="326"/>
      <c r="NRP4" s="326"/>
      <c r="NRQ4" s="326"/>
      <c r="NRR4" s="326"/>
      <c r="NRS4" s="326"/>
      <c r="NRT4" s="326"/>
      <c r="NRU4" s="326">
        <v>45870</v>
      </c>
      <c r="NRV4" s="326"/>
      <c r="NRW4" s="326"/>
      <c r="NRX4" s="326"/>
      <c r="NRY4" s="326"/>
      <c r="NRZ4" s="326"/>
      <c r="NSA4" s="326"/>
      <c r="NSB4" s="326"/>
      <c r="NSC4" s="326"/>
      <c r="NSD4" s="326"/>
      <c r="NSE4" s="326"/>
      <c r="NSF4" s="326"/>
      <c r="NSG4" s="326"/>
      <c r="NSH4" s="326"/>
      <c r="NSI4" s="326"/>
      <c r="NSJ4" s="326"/>
      <c r="NSK4" s="326">
        <v>45870</v>
      </c>
      <c r="NSL4" s="326"/>
      <c r="NSM4" s="326"/>
      <c r="NSN4" s="326"/>
      <c r="NSO4" s="326"/>
      <c r="NSP4" s="326"/>
      <c r="NSQ4" s="326"/>
      <c r="NSR4" s="326"/>
      <c r="NSS4" s="326"/>
      <c r="NST4" s="326"/>
      <c r="NSU4" s="326"/>
      <c r="NSV4" s="326"/>
      <c r="NSW4" s="326"/>
      <c r="NSX4" s="326"/>
      <c r="NSY4" s="326"/>
      <c r="NSZ4" s="326"/>
      <c r="NTA4" s="326">
        <v>45870</v>
      </c>
      <c r="NTB4" s="326"/>
      <c r="NTC4" s="326"/>
      <c r="NTD4" s="326"/>
      <c r="NTE4" s="326"/>
      <c r="NTF4" s="326"/>
      <c r="NTG4" s="326"/>
      <c r="NTH4" s="326"/>
      <c r="NTI4" s="326"/>
      <c r="NTJ4" s="326"/>
      <c r="NTK4" s="326"/>
      <c r="NTL4" s="326"/>
      <c r="NTM4" s="326"/>
      <c r="NTN4" s="326"/>
      <c r="NTO4" s="326"/>
      <c r="NTP4" s="326"/>
      <c r="NTQ4" s="326">
        <v>45870</v>
      </c>
      <c r="NTR4" s="326"/>
      <c r="NTS4" s="326"/>
      <c r="NTT4" s="326"/>
      <c r="NTU4" s="326"/>
      <c r="NTV4" s="326"/>
      <c r="NTW4" s="326"/>
      <c r="NTX4" s="326"/>
      <c r="NTY4" s="326"/>
      <c r="NTZ4" s="326"/>
      <c r="NUA4" s="326"/>
      <c r="NUB4" s="326"/>
      <c r="NUC4" s="326"/>
      <c r="NUD4" s="326"/>
      <c r="NUE4" s="326"/>
      <c r="NUF4" s="326"/>
      <c r="NUG4" s="326">
        <v>45870</v>
      </c>
      <c r="NUH4" s="326"/>
      <c r="NUI4" s="326"/>
      <c r="NUJ4" s="326"/>
      <c r="NUK4" s="326"/>
      <c r="NUL4" s="326"/>
      <c r="NUM4" s="326"/>
      <c r="NUN4" s="326"/>
      <c r="NUO4" s="326"/>
      <c r="NUP4" s="326"/>
      <c r="NUQ4" s="326"/>
      <c r="NUR4" s="326"/>
      <c r="NUS4" s="326"/>
      <c r="NUT4" s="326"/>
      <c r="NUU4" s="326"/>
      <c r="NUV4" s="326"/>
      <c r="NUW4" s="326">
        <v>45870</v>
      </c>
      <c r="NUX4" s="326"/>
      <c r="NUY4" s="326"/>
      <c r="NUZ4" s="326"/>
      <c r="NVA4" s="326"/>
      <c r="NVB4" s="326"/>
      <c r="NVC4" s="326"/>
      <c r="NVD4" s="326"/>
      <c r="NVE4" s="326"/>
      <c r="NVF4" s="326"/>
      <c r="NVG4" s="326"/>
      <c r="NVH4" s="326"/>
      <c r="NVI4" s="326"/>
      <c r="NVJ4" s="326"/>
      <c r="NVK4" s="326"/>
      <c r="NVL4" s="326"/>
      <c r="NVM4" s="326">
        <v>45870</v>
      </c>
      <c r="NVN4" s="326"/>
      <c r="NVO4" s="326"/>
      <c r="NVP4" s="326"/>
      <c r="NVQ4" s="326"/>
      <c r="NVR4" s="326"/>
      <c r="NVS4" s="326"/>
      <c r="NVT4" s="326"/>
      <c r="NVU4" s="326"/>
      <c r="NVV4" s="326"/>
      <c r="NVW4" s="326"/>
      <c r="NVX4" s="326"/>
      <c r="NVY4" s="326"/>
      <c r="NVZ4" s="326"/>
      <c r="NWA4" s="326"/>
      <c r="NWB4" s="326"/>
      <c r="NWC4" s="326">
        <v>45870</v>
      </c>
      <c r="NWD4" s="326"/>
      <c r="NWE4" s="326"/>
      <c r="NWF4" s="326"/>
      <c r="NWG4" s="326"/>
      <c r="NWH4" s="326"/>
      <c r="NWI4" s="326"/>
      <c r="NWJ4" s="326"/>
      <c r="NWK4" s="326"/>
      <c r="NWL4" s="326"/>
      <c r="NWM4" s="326"/>
      <c r="NWN4" s="326"/>
      <c r="NWO4" s="326"/>
      <c r="NWP4" s="326"/>
      <c r="NWQ4" s="326"/>
      <c r="NWR4" s="326"/>
      <c r="NWS4" s="326">
        <v>45870</v>
      </c>
      <c r="NWT4" s="326"/>
      <c r="NWU4" s="326"/>
      <c r="NWV4" s="326"/>
      <c r="NWW4" s="326"/>
      <c r="NWX4" s="326"/>
      <c r="NWY4" s="326"/>
      <c r="NWZ4" s="326"/>
      <c r="NXA4" s="326"/>
      <c r="NXB4" s="326"/>
      <c r="NXC4" s="326"/>
      <c r="NXD4" s="326"/>
      <c r="NXE4" s="326"/>
      <c r="NXF4" s="326"/>
      <c r="NXG4" s="326"/>
      <c r="NXH4" s="326"/>
      <c r="NXI4" s="326">
        <v>45870</v>
      </c>
      <c r="NXJ4" s="326"/>
      <c r="NXK4" s="326"/>
      <c r="NXL4" s="326"/>
      <c r="NXM4" s="326"/>
      <c r="NXN4" s="326"/>
      <c r="NXO4" s="326"/>
      <c r="NXP4" s="326"/>
      <c r="NXQ4" s="326"/>
      <c r="NXR4" s="326"/>
      <c r="NXS4" s="326"/>
      <c r="NXT4" s="326"/>
      <c r="NXU4" s="326"/>
      <c r="NXV4" s="326"/>
      <c r="NXW4" s="326"/>
      <c r="NXX4" s="326"/>
      <c r="NXY4" s="326">
        <v>45870</v>
      </c>
      <c r="NXZ4" s="326"/>
      <c r="NYA4" s="326"/>
      <c r="NYB4" s="326"/>
      <c r="NYC4" s="326"/>
      <c r="NYD4" s="326"/>
      <c r="NYE4" s="326"/>
      <c r="NYF4" s="326"/>
      <c r="NYG4" s="326"/>
      <c r="NYH4" s="326"/>
      <c r="NYI4" s="326"/>
      <c r="NYJ4" s="326"/>
      <c r="NYK4" s="326"/>
      <c r="NYL4" s="326"/>
      <c r="NYM4" s="326"/>
      <c r="NYN4" s="326"/>
      <c r="NYO4" s="326">
        <v>45870</v>
      </c>
      <c r="NYP4" s="326"/>
      <c r="NYQ4" s="326"/>
      <c r="NYR4" s="326"/>
      <c r="NYS4" s="326"/>
      <c r="NYT4" s="326"/>
      <c r="NYU4" s="326"/>
      <c r="NYV4" s="326"/>
      <c r="NYW4" s="326"/>
      <c r="NYX4" s="326"/>
      <c r="NYY4" s="326"/>
      <c r="NYZ4" s="326"/>
      <c r="NZA4" s="326"/>
      <c r="NZB4" s="326"/>
      <c r="NZC4" s="326"/>
      <c r="NZD4" s="326"/>
      <c r="NZE4" s="326">
        <v>45870</v>
      </c>
      <c r="NZF4" s="326"/>
      <c r="NZG4" s="326"/>
      <c r="NZH4" s="326"/>
      <c r="NZI4" s="326"/>
      <c r="NZJ4" s="326"/>
      <c r="NZK4" s="326"/>
      <c r="NZL4" s="326"/>
      <c r="NZM4" s="326"/>
      <c r="NZN4" s="326"/>
      <c r="NZO4" s="326"/>
      <c r="NZP4" s="326"/>
      <c r="NZQ4" s="326"/>
      <c r="NZR4" s="326"/>
      <c r="NZS4" s="326"/>
      <c r="NZT4" s="326"/>
      <c r="NZU4" s="326">
        <v>45870</v>
      </c>
      <c r="NZV4" s="326"/>
      <c r="NZW4" s="326"/>
      <c r="NZX4" s="326"/>
      <c r="NZY4" s="326"/>
      <c r="NZZ4" s="326"/>
      <c r="OAA4" s="326"/>
      <c r="OAB4" s="326"/>
      <c r="OAC4" s="326"/>
      <c r="OAD4" s="326"/>
      <c r="OAE4" s="326"/>
      <c r="OAF4" s="326"/>
      <c r="OAG4" s="326"/>
      <c r="OAH4" s="326"/>
      <c r="OAI4" s="326"/>
      <c r="OAJ4" s="326"/>
      <c r="OAK4" s="326">
        <v>45870</v>
      </c>
      <c r="OAL4" s="326"/>
      <c r="OAM4" s="326"/>
      <c r="OAN4" s="326"/>
      <c r="OAO4" s="326"/>
      <c r="OAP4" s="326"/>
      <c r="OAQ4" s="326"/>
      <c r="OAR4" s="326"/>
      <c r="OAS4" s="326"/>
      <c r="OAT4" s="326"/>
      <c r="OAU4" s="326"/>
      <c r="OAV4" s="326"/>
      <c r="OAW4" s="326"/>
      <c r="OAX4" s="326"/>
      <c r="OAY4" s="326"/>
      <c r="OAZ4" s="326"/>
      <c r="OBA4" s="326">
        <v>45870</v>
      </c>
      <c r="OBB4" s="326"/>
      <c r="OBC4" s="326"/>
      <c r="OBD4" s="326"/>
      <c r="OBE4" s="326"/>
      <c r="OBF4" s="326"/>
      <c r="OBG4" s="326"/>
      <c r="OBH4" s="326"/>
      <c r="OBI4" s="326"/>
      <c r="OBJ4" s="326"/>
      <c r="OBK4" s="326"/>
      <c r="OBL4" s="326"/>
      <c r="OBM4" s="326"/>
      <c r="OBN4" s="326"/>
      <c r="OBO4" s="326"/>
      <c r="OBP4" s="326"/>
      <c r="OBQ4" s="326">
        <v>45870</v>
      </c>
      <c r="OBR4" s="326"/>
      <c r="OBS4" s="326"/>
      <c r="OBT4" s="326"/>
      <c r="OBU4" s="326"/>
      <c r="OBV4" s="326"/>
      <c r="OBW4" s="326"/>
      <c r="OBX4" s="326"/>
      <c r="OBY4" s="326"/>
      <c r="OBZ4" s="326"/>
      <c r="OCA4" s="326"/>
      <c r="OCB4" s="326"/>
      <c r="OCC4" s="326"/>
      <c r="OCD4" s="326"/>
      <c r="OCE4" s="326"/>
      <c r="OCF4" s="326"/>
      <c r="OCG4" s="326">
        <v>45870</v>
      </c>
      <c r="OCH4" s="326"/>
      <c r="OCI4" s="326"/>
      <c r="OCJ4" s="326"/>
      <c r="OCK4" s="326"/>
      <c r="OCL4" s="326"/>
      <c r="OCM4" s="326"/>
      <c r="OCN4" s="326"/>
      <c r="OCO4" s="326"/>
      <c r="OCP4" s="326"/>
      <c r="OCQ4" s="326"/>
      <c r="OCR4" s="326"/>
      <c r="OCS4" s="326"/>
      <c r="OCT4" s="326"/>
      <c r="OCU4" s="326"/>
      <c r="OCV4" s="326"/>
      <c r="OCW4" s="326">
        <v>45870</v>
      </c>
      <c r="OCX4" s="326"/>
      <c r="OCY4" s="326"/>
      <c r="OCZ4" s="326"/>
      <c r="ODA4" s="326"/>
      <c r="ODB4" s="326"/>
      <c r="ODC4" s="326"/>
      <c r="ODD4" s="326"/>
      <c r="ODE4" s="326"/>
      <c r="ODF4" s="326"/>
      <c r="ODG4" s="326"/>
      <c r="ODH4" s="326"/>
      <c r="ODI4" s="326"/>
      <c r="ODJ4" s="326"/>
      <c r="ODK4" s="326"/>
      <c r="ODL4" s="326"/>
      <c r="ODM4" s="326">
        <v>45870</v>
      </c>
      <c r="ODN4" s="326"/>
      <c r="ODO4" s="326"/>
      <c r="ODP4" s="326"/>
      <c r="ODQ4" s="326"/>
      <c r="ODR4" s="326"/>
      <c r="ODS4" s="326"/>
      <c r="ODT4" s="326"/>
      <c r="ODU4" s="326"/>
      <c r="ODV4" s="326"/>
      <c r="ODW4" s="326"/>
      <c r="ODX4" s="326"/>
      <c r="ODY4" s="326"/>
      <c r="ODZ4" s="326"/>
      <c r="OEA4" s="326"/>
      <c r="OEB4" s="326"/>
      <c r="OEC4" s="326">
        <v>45870</v>
      </c>
      <c r="OED4" s="326"/>
      <c r="OEE4" s="326"/>
      <c r="OEF4" s="326"/>
      <c r="OEG4" s="326"/>
      <c r="OEH4" s="326"/>
      <c r="OEI4" s="326"/>
      <c r="OEJ4" s="326"/>
      <c r="OEK4" s="326"/>
      <c r="OEL4" s="326"/>
      <c r="OEM4" s="326"/>
      <c r="OEN4" s="326"/>
      <c r="OEO4" s="326"/>
      <c r="OEP4" s="326"/>
      <c r="OEQ4" s="326"/>
      <c r="OER4" s="326"/>
      <c r="OES4" s="326">
        <v>45870</v>
      </c>
      <c r="OET4" s="326"/>
      <c r="OEU4" s="326"/>
      <c r="OEV4" s="326"/>
      <c r="OEW4" s="326"/>
      <c r="OEX4" s="326"/>
      <c r="OEY4" s="326"/>
      <c r="OEZ4" s="326"/>
      <c r="OFA4" s="326"/>
      <c r="OFB4" s="326"/>
      <c r="OFC4" s="326"/>
      <c r="OFD4" s="326"/>
      <c r="OFE4" s="326"/>
      <c r="OFF4" s="326"/>
      <c r="OFG4" s="326"/>
      <c r="OFH4" s="326"/>
      <c r="OFI4" s="326">
        <v>45870</v>
      </c>
      <c r="OFJ4" s="326"/>
      <c r="OFK4" s="326"/>
      <c r="OFL4" s="326"/>
      <c r="OFM4" s="326"/>
      <c r="OFN4" s="326"/>
      <c r="OFO4" s="326"/>
      <c r="OFP4" s="326"/>
      <c r="OFQ4" s="326"/>
      <c r="OFR4" s="326"/>
      <c r="OFS4" s="326"/>
      <c r="OFT4" s="326"/>
      <c r="OFU4" s="326"/>
      <c r="OFV4" s="326"/>
      <c r="OFW4" s="326"/>
      <c r="OFX4" s="326"/>
      <c r="OFY4" s="326">
        <v>45870</v>
      </c>
      <c r="OFZ4" s="326"/>
      <c r="OGA4" s="326"/>
      <c r="OGB4" s="326"/>
      <c r="OGC4" s="326"/>
      <c r="OGD4" s="326"/>
      <c r="OGE4" s="326"/>
      <c r="OGF4" s="326"/>
      <c r="OGG4" s="326"/>
      <c r="OGH4" s="326"/>
      <c r="OGI4" s="326"/>
      <c r="OGJ4" s="326"/>
      <c r="OGK4" s="326"/>
      <c r="OGL4" s="326"/>
      <c r="OGM4" s="326"/>
      <c r="OGN4" s="326"/>
      <c r="OGO4" s="326">
        <v>45870</v>
      </c>
      <c r="OGP4" s="326"/>
      <c r="OGQ4" s="326"/>
      <c r="OGR4" s="326"/>
      <c r="OGS4" s="326"/>
      <c r="OGT4" s="326"/>
      <c r="OGU4" s="326"/>
      <c r="OGV4" s="326"/>
      <c r="OGW4" s="326"/>
      <c r="OGX4" s="326"/>
      <c r="OGY4" s="326"/>
      <c r="OGZ4" s="326"/>
      <c r="OHA4" s="326"/>
      <c r="OHB4" s="326"/>
      <c r="OHC4" s="326"/>
      <c r="OHD4" s="326"/>
      <c r="OHE4" s="326">
        <v>45870</v>
      </c>
      <c r="OHF4" s="326"/>
      <c r="OHG4" s="326"/>
      <c r="OHH4" s="326"/>
      <c r="OHI4" s="326"/>
      <c r="OHJ4" s="326"/>
      <c r="OHK4" s="326"/>
      <c r="OHL4" s="326"/>
      <c r="OHM4" s="326"/>
      <c r="OHN4" s="326"/>
      <c r="OHO4" s="326"/>
      <c r="OHP4" s="326"/>
      <c r="OHQ4" s="326"/>
      <c r="OHR4" s="326"/>
      <c r="OHS4" s="326"/>
      <c r="OHT4" s="326"/>
      <c r="OHU4" s="326">
        <v>45870</v>
      </c>
      <c r="OHV4" s="326"/>
      <c r="OHW4" s="326"/>
      <c r="OHX4" s="326"/>
      <c r="OHY4" s="326"/>
      <c r="OHZ4" s="326"/>
      <c r="OIA4" s="326"/>
      <c r="OIB4" s="326"/>
      <c r="OIC4" s="326"/>
      <c r="OID4" s="326"/>
      <c r="OIE4" s="326"/>
      <c r="OIF4" s="326"/>
      <c r="OIG4" s="326"/>
      <c r="OIH4" s="326"/>
      <c r="OII4" s="326"/>
      <c r="OIJ4" s="326"/>
      <c r="OIK4" s="326">
        <v>45870</v>
      </c>
      <c r="OIL4" s="326"/>
      <c r="OIM4" s="326"/>
      <c r="OIN4" s="326"/>
      <c r="OIO4" s="326"/>
      <c r="OIP4" s="326"/>
      <c r="OIQ4" s="326"/>
      <c r="OIR4" s="326"/>
      <c r="OIS4" s="326"/>
      <c r="OIT4" s="326"/>
      <c r="OIU4" s="326"/>
      <c r="OIV4" s="326"/>
      <c r="OIW4" s="326"/>
      <c r="OIX4" s="326"/>
      <c r="OIY4" s="326"/>
      <c r="OIZ4" s="326"/>
      <c r="OJA4" s="326">
        <v>45870</v>
      </c>
      <c r="OJB4" s="326"/>
      <c r="OJC4" s="326"/>
      <c r="OJD4" s="326"/>
      <c r="OJE4" s="326"/>
      <c r="OJF4" s="326"/>
      <c r="OJG4" s="326"/>
      <c r="OJH4" s="326"/>
      <c r="OJI4" s="326"/>
      <c r="OJJ4" s="326"/>
      <c r="OJK4" s="326"/>
      <c r="OJL4" s="326"/>
      <c r="OJM4" s="326"/>
      <c r="OJN4" s="326"/>
      <c r="OJO4" s="326"/>
      <c r="OJP4" s="326"/>
      <c r="OJQ4" s="326">
        <v>45870</v>
      </c>
      <c r="OJR4" s="326"/>
      <c r="OJS4" s="326"/>
      <c r="OJT4" s="326"/>
      <c r="OJU4" s="326"/>
      <c r="OJV4" s="326"/>
      <c r="OJW4" s="326"/>
      <c r="OJX4" s="326"/>
      <c r="OJY4" s="326"/>
      <c r="OJZ4" s="326"/>
      <c r="OKA4" s="326"/>
      <c r="OKB4" s="326"/>
      <c r="OKC4" s="326"/>
      <c r="OKD4" s="326"/>
      <c r="OKE4" s="326"/>
      <c r="OKF4" s="326"/>
      <c r="OKG4" s="326">
        <v>45870</v>
      </c>
      <c r="OKH4" s="326"/>
      <c r="OKI4" s="326"/>
      <c r="OKJ4" s="326"/>
      <c r="OKK4" s="326"/>
      <c r="OKL4" s="326"/>
      <c r="OKM4" s="326"/>
      <c r="OKN4" s="326"/>
      <c r="OKO4" s="326"/>
      <c r="OKP4" s="326"/>
      <c r="OKQ4" s="326"/>
      <c r="OKR4" s="326"/>
      <c r="OKS4" s="326"/>
      <c r="OKT4" s="326"/>
      <c r="OKU4" s="326"/>
      <c r="OKV4" s="326"/>
      <c r="OKW4" s="326">
        <v>45870</v>
      </c>
      <c r="OKX4" s="326"/>
      <c r="OKY4" s="326"/>
      <c r="OKZ4" s="326"/>
      <c r="OLA4" s="326"/>
      <c r="OLB4" s="326"/>
      <c r="OLC4" s="326"/>
      <c r="OLD4" s="326"/>
      <c r="OLE4" s="326"/>
      <c r="OLF4" s="326"/>
      <c r="OLG4" s="326"/>
      <c r="OLH4" s="326"/>
      <c r="OLI4" s="326"/>
      <c r="OLJ4" s="326"/>
      <c r="OLK4" s="326"/>
      <c r="OLL4" s="326"/>
      <c r="OLM4" s="326">
        <v>45870</v>
      </c>
      <c r="OLN4" s="326"/>
      <c r="OLO4" s="326"/>
      <c r="OLP4" s="326"/>
      <c r="OLQ4" s="326"/>
      <c r="OLR4" s="326"/>
      <c r="OLS4" s="326"/>
      <c r="OLT4" s="326"/>
      <c r="OLU4" s="326"/>
      <c r="OLV4" s="326"/>
      <c r="OLW4" s="326"/>
      <c r="OLX4" s="326"/>
      <c r="OLY4" s="326"/>
      <c r="OLZ4" s="326"/>
      <c r="OMA4" s="326"/>
      <c r="OMB4" s="326"/>
      <c r="OMC4" s="326">
        <v>45870</v>
      </c>
      <c r="OMD4" s="326"/>
      <c r="OME4" s="326"/>
      <c r="OMF4" s="326"/>
      <c r="OMG4" s="326"/>
      <c r="OMH4" s="326"/>
      <c r="OMI4" s="326"/>
      <c r="OMJ4" s="326"/>
      <c r="OMK4" s="326"/>
      <c r="OML4" s="326"/>
      <c r="OMM4" s="326"/>
      <c r="OMN4" s="326"/>
      <c r="OMO4" s="326"/>
      <c r="OMP4" s="326"/>
      <c r="OMQ4" s="326"/>
      <c r="OMR4" s="326"/>
      <c r="OMS4" s="326">
        <v>45870</v>
      </c>
      <c r="OMT4" s="326"/>
      <c r="OMU4" s="326"/>
      <c r="OMV4" s="326"/>
      <c r="OMW4" s="326"/>
      <c r="OMX4" s="326"/>
      <c r="OMY4" s="326"/>
      <c r="OMZ4" s="326"/>
      <c r="ONA4" s="326"/>
      <c r="ONB4" s="326"/>
      <c r="ONC4" s="326"/>
      <c r="OND4" s="326"/>
      <c r="ONE4" s="326"/>
      <c r="ONF4" s="326"/>
      <c r="ONG4" s="326"/>
      <c r="ONH4" s="326"/>
      <c r="ONI4" s="326">
        <v>45870</v>
      </c>
      <c r="ONJ4" s="326"/>
      <c r="ONK4" s="326"/>
      <c r="ONL4" s="326"/>
      <c r="ONM4" s="326"/>
      <c r="ONN4" s="326"/>
      <c r="ONO4" s="326"/>
      <c r="ONP4" s="326"/>
      <c r="ONQ4" s="326"/>
      <c r="ONR4" s="326"/>
      <c r="ONS4" s="326"/>
      <c r="ONT4" s="326"/>
      <c r="ONU4" s="326"/>
      <c r="ONV4" s="326"/>
      <c r="ONW4" s="326"/>
      <c r="ONX4" s="326"/>
      <c r="ONY4" s="326">
        <v>45870</v>
      </c>
      <c r="ONZ4" s="326"/>
      <c r="OOA4" s="326"/>
      <c r="OOB4" s="326"/>
      <c r="OOC4" s="326"/>
      <c r="OOD4" s="326"/>
      <c r="OOE4" s="326"/>
      <c r="OOF4" s="326"/>
      <c r="OOG4" s="326"/>
      <c r="OOH4" s="326"/>
      <c r="OOI4" s="326"/>
      <c r="OOJ4" s="326"/>
      <c r="OOK4" s="326"/>
      <c r="OOL4" s="326"/>
      <c r="OOM4" s="326"/>
      <c r="OON4" s="326"/>
      <c r="OOO4" s="326">
        <v>45870</v>
      </c>
      <c r="OOP4" s="326"/>
      <c r="OOQ4" s="326"/>
      <c r="OOR4" s="326"/>
      <c r="OOS4" s="326"/>
      <c r="OOT4" s="326"/>
      <c r="OOU4" s="326"/>
      <c r="OOV4" s="326"/>
      <c r="OOW4" s="326"/>
      <c r="OOX4" s="326"/>
      <c r="OOY4" s="326"/>
      <c r="OOZ4" s="326"/>
      <c r="OPA4" s="326"/>
      <c r="OPB4" s="326"/>
      <c r="OPC4" s="326"/>
      <c r="OPD4" s="326"/>
      <c r="OPE4" s="326">
        <v>45870</v>
      </c>
      <c r="OPF4" s="326"/>
      <c r="OPG4" s="326"/>
      <c r="OPH4" s="326"/>
      <c r="OPI4" s="326"/>
      <c r="OPJ4" s="326"/>
      <c r="OPK4" s="326"/>
      <c r="OPL4" s="326"/>
      <c r="OPM4" s="326"/>
      <c r="OPN4" s="326"/>
      <c r="OPO4" s="326"/>
      <c r="OPP4" s="326"/>
      <c r="OPQ4" s="326"/>
      <c r="OPR4" s="326"/>
      <c r="OPS4" s="326"/>
      <c r="OPT4" s="326"/>
      <c r="OPU4" s="326">
        <v>45870</v>
      </c>
      <c r="OPV4" s="326"/>
      <c r="OPW4" s="326"/>
      <c r="OPX4" s="326"/>
      <c r="OPY4" s="326"/>
      <c r="OPZ4" s="326"/>
      <c r="OQA4" s="326"/>
      <c r="OQB4" s="326"/>
      <c r="OQC4" s="326"/>
      <c r="OQD4" s="326"/>
      <c r="OQE4" s="326"/>
      <c r="OQF4" s="326"/>
      <c r="OQG4" s="326"/>
      <c r="OQH4" s="326"/>
      <c r="OQI4" s="326"/>
      <c r="OQJ4" s="326"/>
      <c r="OQK4" s="326">
        <v>45870</v>
      </c>
      <c r="OQL4" s="326"/>
      <c r="OQM4" s="326"/>
      <c r="OQN4" s="326"/>
      <c r="OQO4" s="326"/>
      <c r="OQP4" s="326"/>
      <c r="OQQ4" s="326"/>
      <c r="OQR4" s="326"/>
      <c r="OQS4" s="326"/>
      <c r="OQT4" s="326"/>
      <c r="OQU4" s="326"/>
      <c r="OQV4" s="326"/>
      <c r="OQW4" s="326"/>
      <c r="OQX4" s="326"/>
      <c r="OQY4" s="326"/>
      <c r="OQZ4" s="326"/>
      <c r="ORA4" s="326">
        <v>45870</v>
      </c>
      <c r="ORB4" s="326"/>
      <c r="ORC4" s="326"/>
      <c r="ORD4" s="326"/>
      <c r="ORE4" s="326"/>
      <c r="ORF4" s="326"/>
      <c r="ORG4" s="326"/>
      <c r="ORH4" s="326"/>
      <c r="ORI4" s="326"/>
      <c r="ORJ4" s="326"/>
      <c r="ORK4" s="326"/>
      <c r="ORL4" s="326"/>
      <c r="ORM4" s="326"/>
      <c r="ORN4" s="326"/>
      <c r="ORO4" s="326"/>
      <c r="ORP4" s="326"/>
      <c r="ORQ4" s="326">
        <v>45870</v>
      </c>
      <c r="ORR4" s="326"/>
      <c r="ORS4" s="326"/>
      <c r="ORT4" s="326"/>
      <c r="ORU4" s="326"/>
      <c r="ORV4" s="326"/>
      <c r="ORW4" s="326"/>
      <c r="ORX4" s="326"/>
      <c r="ORY4" s="326"/>
      <c r="ORZ4" s="326"/>
      <c r="OSA4" s="326"/>
      <c r="OSB4" s="326"/>
      <c r="OSC4" s="326"/>
      <c r="OSD4" s="326"/>
      <c r="OSE4" s="326"/>
      <c r="OSF4" s="326"/>
      <c r="OSG4" s="326">
        <v>45870</v>
      </c>
      <c r="OSH4" s="326"/>
      <c r="OSI4" s="326"/>
      <c r="OSJ4" s="326"/>
      <c r="OSK4" s="326"/>
      <c r="OSL4" s="326"/>
      <c r="OSM4" s="326"/>
      <c r="OSN4" s="326"/>
      <c r="OSO4" s="326"/>
      <c r="OSP4" s="326"/>
      <c r="OSQ4" s="326"/>
      <c r="OSR4" s="326"/>
      <c r="OSS4" s="326"/>
      <c r="OST4" s="326"/>
      <c r="OSU4" s="326"/>
      <c r="OSV4" s="326"/>
      <c r="OSW4" s="326">
        <v>45870</v>
      </c>
      <c r="OSX4" s="326"/>
      <c r="OSY4" s="326"/>
      <c r="OSZ4" s="326"/>
      <c r="OTA4" s="326"/>
      <c r="OTB4" s="326"/>
      <c r="OTC4" s="326"/>
      <c r="OTD4" s="326"/>
      <c r="OTE4" s="326"/>
      <c r="OTF4" s="326"/>
      <c r="OTG4" s="326"/>
      <c r="OTH4" s="326"/>
      <c r="OTI4" s="326"/>
      <c r="OTJ4" s="326"/>
      <c r="OTK4" s="326"/>
      <c r="OTL4" s="326"/>
      <c r="OTM4" s="326">
        <v>45870</v>
      </c>
      <c r="OTN4" s="326"/>
      <c r="OTO4" s="326"/>
      <c r="OTP4" s="326"/>
      <c r="OTQ4" s="326"/>
      <c r="OTR4" s="326"/>
      <c r="OTS4" s="326"/>
      <c r="OTT4" s="326"/>
      <c r="OTU4" s="326"/>
      <c r="OTV4" s="326"/>
      <c r="OTW4" s="326"/>
      <c r="OTX4" s="326"/>
      <c r="OTY4" s="326"/>
      <c r="OTZ4" s="326"/>
      <c r="OUA4" s="326"/>
      <c r="OUB4" s="326"/>
      <c r="OUC4" s="326">
        <v>45870</v>
      </c>
      <c r="OUD4" s="326"/>
      <c r="OUE4" s="326"/>
      <c r="OUF4" s="326"/>
      <c r="OUG4" s="326"/>
      <c r="OUH4" s="326"/>
      <c r="OUI4" s="326"/>
      <c r="OUJ4" s="326"/>
      <c r="OUK4" s="326"/>
      <c r="OUL4" s="326"/>
      <c r="OUM4" s="326"/>
      <c r="OUN4" s="326"/>
      <c r="OUO4" s="326"/>
      <c r="OUP4" s="326"/>
      <c r="OUQ4" s="326"/>
      <c r="OUR4" s="326"/>
      <c r="OUS4" s="326">
        <v>45870</v>
      </c>
      <c r="OUT4" s="326"/>
      <c r="OUU4" s="326"/>
      <c r="OUV4" s="326"/>
      <c r="OUW4" s="326"/>
      <c r="OUX4" s="326"/>
      <c r="OUY4" s="326"/>
      <c r="OUZ4" s="326"/>
      <c r="OVA4" s="326"/>
      <c r="OVB4" s="326"/>
      <c r="OVC4" s="326"/>
      <c r="OVD4" s="326"/>
      <c r="OVE4" s="326"/>
      <c r="OVF4" s="326"/>
      <c r="OVG4" s="326"/>
      <c r="OVH4" s="326"/>
      <c r="OVI4" s="326">
        <v>45870</v>
      </c>
      <c r="OVJ4" s="326"/>
      <c r="OVK4" s="326"/>
      <c r="OVL4" s="326"/>
      <c r="OVM4" s="326"/>
      <c r="OVN4" s="326"/>
      <c r="OVO4" s="326"/>
      <c r="OVP4" s="326"/>
      <c r="OVQ4" s="326"/>
      <c r="OVR4" s="326"/>
      <c r="OVS4" s="326"/>
      <c r="OVT4" s="326"/>
      <c r="OVU4" s="326"/>
      <c r="OVV4" s="326"/>
      <c r="OVW4" s="326"/>
      <c r="OVX4" s="326"/>
      <c r="OVY4" s="326">
        <v>45870</v>
      </c>
      <c r="OVZ4" s="326"/>
      <c r="OWA4" s="326"/>
      <c r="OWB4" s="326"/>
      <c r="OWC4" s="326"/>
      <c r="OWD4" s="326"/>
      <c r="OWE4" s="326"/>
      <c r="OWF4" s="326"/>
      <c r="OWG4" s="326"/>
      <c r="OWH4" s="326"/>
      <c r="OWI4" s="326"/>
      <c r="OWJ4" s="326"/>
      <c r="OWK4" s="326"/>
      <c r="OWL4" s="326"/>
      <c r="OWM4" s="326"/>
      <c r="OWN4" s="326"/>
      <c r="OWO4" s="326">
        <v>45870</v>
      </c>
      <c r="OWP4" s="326"/>
      <c r="OWQ4" s="326"/>
      <c r="OWR4" s="326"/>
      <c r="OWS4" s="326"/>
      <c r="OWT4" s="326"/>
      <c r="OWU4" s="326"/>
      <c r="OWV4" s="326"/>
      <c r="OWW4" s="326"/>
      <c r="OWX4" s="326"/>
      <c r="OWY4" s="326"/>
      <c r="OWZ4" s="326"/>
      <c r="OXA4" s="326"/>
      <c r="OXB4" s="326"/>
      <c r="OXC4" s="326"/>
      <c r="OXD4" s="326"/>
      <c r="OXE4" s="326">
        <v>45870</v>
      </c>
      <c r="OXF4" s="326"/>
      <c r="OXG4" s="326"/>
      <c r="OXH4" s="326"/>
      <c r="OXI4" s="326"/>
      <c r="OXJ4" s="326"/>
      <c r="OXK4" s="326"/>
      <c r="OXL4" s="326"/>
      <c r="OXM4" s="326"/>
      <c r="OXN4" s="326"/>
      <c r="OXO4" s="326"/>
      <c r="OXP4" s="326"/>
      <c r="OXQ4" s="326"/>
      <c r="OXR4" s="326"/>
      <c r="OXS4" s="326"/>
      <c r="OXT4" s="326"/>
      <c r="OXU4" s="326">
        <v>45870</v>
      </c>
      <c r="OXV4" s="326"/>
      <c r="OXW4" s="326"/>
      <c r="OXX4" s="326"/>
      <c r="OXY4" s="326"/>
      <c r="OXZ4" s="326"/>
      <c r="OYA4" s="326"/>
      <c r="OYB4" s="326"/>
      <c r="OYC4" s="326"/>
      <c r="OYD4" s="326"/>
      <c r="OYE4" s="326"/>
      <c r="OYF4" s="326"/>
      <c r="OYG4" s="326"/>
      <c r="OYH4" s="326"/>
      <c r="OYI4" s="326"/>
      <c r="OYJ4" s="326"/>
      <c r="OYK4" s="326">
        <v>45870</v>
      </c>
      <c r="OYL4" s="326"/>
      <c r="OYM4" s="326"/>
      <c r="OYN4" s="326"/>
      <c r="OYO4" s="326"/>
      <c r="OYP4" s="326"/>
      <c r="OYQ4" s="326"/>
      <c r="OYR4" s="326"/>
      <c r="OYS4" s="326"/>
      <c r="OYT4" s="326"/>
      <c r="OYU4" s="326"/>
      <c r="OYV4" s="326"/>
      <c r="OYW4" s="326"/>
      <c r="OYX4" s="326"/>
      <c r="OYY4" s="326"/>
      <c r="OYZ4" s="326"/>
      <c r="OZA4" s="326">
        <v>45870</v>
      </c>
      <c r="OZB4" s="326"/>
      <c r="OZC4" s="326"/>
      <c r="OZD4" s="326"/>
      <c r="OZE4" s="326"/>
      <c r="OZF4" s="326"/>
      <c r="OZG4" s="326"/>
      <c r="OZH4" s="326"/>
      <c r="OZI4" s="326"/>
      <c r="OZJ4" s="326"/>
      <c r="OZK4" s="326"/>
      <c r="OZL4" s="326"/>
      <c r="OZM4" s="326"/>
      <c r="OZN4" s="326"/>
      <c r="OZO4" s="326"/>
      <c r="OZP4" s="326"/>
      <c r="OZQ4" s="326">
        <v>45870</v>
      </c>
      <c r="OZR4" s="326"/>
      <c r="OZS4" s="326"/>
      <c r="OZT4" s="326"/>
      <c r="OZU4" s="326"/>
      <c r="OZV4" s="326"/>
      <c r="OZW4" s="326"/>
      <c r="OZX4" s="326"/>
      <c r="OZY4" s="326"/>
      <c r="OZZ4" s="326"/>
      <c r="PAA4" s="326"/>
      <c r="PAB4" s="326"/>
      <c r="PAC4" s="326"/>
      <c r="PAD4" s="326"/>
      <c r="PAE4" s="326"/>
      <c r="PAF4" s="326"/>
      <c r="PAG4" s="326">
        <v>45870</v>
      </c>
      <c r="PAH4" s="326"/>
      <c r="PAI4" s="326"/>
      <c r="PAJ4" s="326"/>
      <c r="PAK4" s="326"/>
      <c r="PAL4" s="326"/>
      <c r="PAM4" s="326"/>
      <c r="PAN4" s="326"/>
      <c r="PAO4" s="326"/>
      <c r="PAP4" s="326"/>
      <c r="PAQ4" s="326"/>
      <c r="PAR4" s="326"/>
      <c r="PAS4" s="326"/>
      <c r="PAT4" s="326"/>
      <c r="PAU4" s="326"/>
      <c r="PAV4" s="326"/>
      <c r="PAW4" s="326">
        <v>45870</v>
      </c>
      <c r="PAX4" s="326"/>
      <c r="PAY4" s="326"/>
      <c r="PAZ4" s="326"/>
      <c r="PBA4" s="326"/>
      <c r="PBB4" s="326"/>
      <c r="PBC4" s="326"/>
      <c r="PBD4" s="326"/>
      <c r="PBE4" s="326"/>
      <c r="PBF4" s="326"/>
      <c r="PBG4" s="326"/>
      <c r="PBH4" s="326"/>
      <c r="PBI4" s="326"/>
      <c r="PBJ4" s="326"/>
      <c r="PBK4" s="326"/>
      <c r="PBL4" s="326"/>
      <c r="PBM4" s="326">
        <v>45870</v>
      </c>
      <c r="PBN4" s="326"/>
      <c r="PBO4" s="326"/>
      <c r="PBP4" s="326"/>
      <c r="PBQ4" s="326"/>
      <c r="PBR4" s="326"/>
      <c r="PBS4" s="326"/>
      <c r="PBT4" s="326"/>
      <c r="PBU4" s="326"/>
      <c r="PBV4" s="326"/>
      <c r="PBW4" s="326"/>
      <c r="PBX4" s="326"/>
      <c r="PBY4" s="326"/>
      <c r="PBZ4" s="326"/>
      <c r="PCA4" s="326"/>
      <c r="PCB4" s="326"/>
      <c r="PCC4" s="326">
        <v>45870</v>
      </c>
      <c r="PCD4" s="326"/>
      <c r="PCE4" s="326"/>
      <c r="PCF4" s="326"/>
      <c r="PCG4" s="326"/>
      <c r="PCH4" s="326"/>
      <c r="PCI4" s="326"/>
      <c r="PCJ4" s="326"/>
      <c r="PCK4" s="326"/>
      <c r="PCL4" s="326"/>
      <c r="PCM4" s="326"/>
      <c r="PCN4" s="326"/>
      <c r="PCO4" s="326"/>
      <c r="PCP4" s="326"/>
      <c r="PCQ4" s="326"/>
      <c r="PCR4" s="326"/>
      <c r="PCS4" s="326">
        <v>45870</v>
      </c>
      <c r="PCT4" s="326"/>
      <c r="PCU4" s="326"/>
      <c r="PCV4" s="326"/>
      <c r="PCW4" s="326"/>
      <c r="PCX4" s="326"/>
      <c r="PCY4" s="326"/>
      <c r="PCZ4" s="326"/>
      <c r="PDA4" s="326"/>
      <c r="PDB4" s="326"/>
      <c r="PDC4" s="326"/>
      <c r="PDD4" s="326"/>
      <c r="PDE4" s="326"/>
      <c r="PDF4" s="326"/>
      <c r="PDG4" s="326"/>
      <c r="PDH4" s="326"/>
      <c r="PDI4" s="326">
        <v>45870</v>
      </c>
      <c r="PDJ4" s="326"/>
      <c r="PDK4" s="326"/>
      <c r="PDL4" s="326"/>
      <c r="PDM4" s="326"/>
      <c r="PDN4" s="326"/>
      <c r="PDO4" s="326"/>
      <c r="PDP4" s="326"/>
      <c r="PDQ4" s="326"/>
      <c r="PDR4" s="326"/>
      <c r="PDS4" s="326"/>
      <c r="PDT4" s="326"/>
      <c r="PDU4" s="326"/>
      <c r="PDV4" s="326"/>
      <c r="PDW4" s="326"/>
      <c r="PDX4" s="326"/>
      <c r="PDY4" s="326">
        <v>45870</v>
      </c>
      <c r="PDZ4" s="326"/>
      <c r="PEA4" s="326"/>
      <c r="PEB4" s="326"/>
      <c r="PEC4" s="326"/>
      <c r="PED4" s="326"/>
      <c r="PEE4" s="326"/>
      <c r="PEF4" s="326"/>
      <c r="PEG4" s="326"/>
      <c r="PEH4" s="326"/>
      <c r="PEI4" s="326"/>
      <c r="PEJ4" s="326"/>
      <c r="PEK4" s="326"/>
      <c r="PEL4" s="326"/>
      <c r="PEM4" s="326"/>
      <c r="PEN4" s="326"/>
      <c r="PEO4" s="326">
        <v>45870</v>
      </c>
      <c r="PEP4" s="326"/>
      <c r="PEQ4" s="326"/>
      <c r="PER4" s="326"/>
      <c r="PES4" s="326"/>
      <c r="PET4" s="326"/>
      <c r="PEU4" s="326"/>
      <c r="PEV4" s="326"/>
      <c r="PEW4" s="326"/>
      <c r="PEX4" s="326"/>
      <c r="PEY4" s="326"/>
      <c r="PEZ4" s="326"/>
      <c r="PFA4" s="326"/>
      <c r="PFB4" s="326"/>
      <c r="PFC4" s="326"/>
      <c r="PFD4" s="326"/>
      <c r="PFE4" s="326">
        <v>45870</v>
      </c>
      <c r="PFF4" s="326"/>
      <c r="PFG4" s="326"/>
      <c r="PFH4" s="326"/>
      <c r="PFI4" s="326"/>
      <c r="PFJ4" s="326"/>
      <c r="PFK4" s="326"/>
      <c r="PFL4" s="326"/>
      <c r="PFM4" s="326"/>
      <c r="PFN4" s="326"/>
      <c r="PFO4" s="326"/>
      <c r="PFP4" s="326"/>
      <c r="PFQ4" s="326"/>
      <c r="PFR4" s="326"/>
      <c r="PFS4" s="326"/>
      <c r="PFT4" s="326"/>
      <c r="PFU4" s="326">
        <v>45870</v>
      </c>
      <c r="PFV4" s="326"/>
      <c r="PFW4" s="326"/>
      <c r="PFX4" s="326"/>
      <c r="PFY4" s="326"/>
      <c r="PFZ4" s="326"/>
      <c r="PGA4" s="326"/>
      <c r="PGB4" s="326"/>
      <c r="PGC4" s="326"/>
      <c r="PGD4" s="326"/>
      <c r="PGE4" s="326"/>
      <c r="PGF4" s="326"/>
      <c r="PGG4" s="326"/>
      <c r="PGH4" s="326"/>
      <c r="PGI4" s="326"/>
      <c r="PGJ4" s="326"/>
      <c r="PGK4" s="326">
        <v>45870</v>
      </c>
      <c r="PGL4" s="326"/>
      <c r="PGM4" s="326"/>
      <c r="PGN4" s="326"/>
      <c r="PGO4" s="326"/>
      <c r="PGP4" s="326"/>
      <c r="PGQ4" s="326"/>
      <c r="PGR4" s="326"/>
      <c r="PGS4" s="326"/>
      <c r="PGT4" s="326"/>
      <c r="PGU4" s="326"/>
      <c r="PGV4" s="326"/>
      <c r="PGW4" s="326"/>
      <c r="PGX4" s="326"/>
      <c r="PGY4" s="326"/>
      <c r="PGZ4" s="326"/>
      <c r="PHA4" s="326">
        <v>45870</v>
      </c>
      <c r="PHB4" s="326"/>
      <c r="PHC4" s="326"/>
      <c r="PHD4" s="326"/>
      <c r="PHE4" s="326"/>
      <c r="PHF4" s="326"/>
      <c r="PHG4" s="326"/>
      <c r="PHH4" s="326"/>
      <c r="PHI4" s="326"/>
      <c r="PHJ4" s="326"/>
      <c r="PHK4" s="326"/>
      <c r="PHL4" s="326"/>
      <c r="PHM4" s="326"/>
      <c r="PHN4" s="326"/>
      <c r="PHO4" s="326"/>
      <c r="PHP4" s="326"/>
      <c r="PHQ4" s="326">
        <v>45870</v>
      </c>
      <c r="PHR4" s="326"/>
      <c r="PHS4" s="326"/>
      <c r="PHT4" s="326"/>
      <c r="PHU4" s="326"/>
      <c r="PHV4" s="326"/>
      <c r="PHW4" s="326"/>
      <c r="PHX4" s="326"/>
      <c r="PHY4" s="326"/>
      <c r="PHZ4" s="326"/>
      <c r="PIA4" s="326"/>
      <c r="PIB4" s="326"/>
      <c r="PIC4" s="326"/>
      <c r="PID4" s="326"/>
      <c r="PIE4" s="326"/>
      <c r="PIF4" s="326"/>
      <c r="PIG4" s="326">
        <v>45870</v>
      </c>
      <c r="PIH4" s="326"/>
      <c r="PII4" s="326"/>
      <c r="PIJ4" s="326"/>
      <c r="PIK4" s="326"/>
      <c r="PIL4" s="326"/>
      <c r="PIM4" s="326"/>
      <c r="PIN4" s="326"/>
      <c r="PIO4" s="326"/>
      <c r="PIP4" s="326"/>
      <c r="PIQ4" s="326"/>
      <c r="PIR4" s="326"/>
      <c r="PIS4" s="326"/>
      <c r="PIT4" s="326"/>
      <c r="PIU4" s="326"/>
      <c r="PIV4" s="326"/>
      <c r="PIW4" s="326">
        <v>45870</v>
      </c>
      <c r="PIX4" s="326"/>
      <c r="PIY4" s="326"/>
      <c r="PIZ4" s="326"/>
      <c r="PJA4" s="326"/>
      <c r="PJB4" s="326"/>
      <c r="PJC4" s="326"/>
      <c r="PJD4" s="326"/>
      <c r="PJE4" s="326"/>
      <c r="PJF4" s="326"/>
      <c r="PJG4" s="326"/>
      <c r="PJH4" s="326"/>
      <c r="PJI4" s="326"/>
      <c r="PJJ4" s="326"/>
      <c r="PJK4" s="326"/>
      <c r="PJL4" s="326"/>
      <c r="PJM4" s="326">
        <v>45870</v>
      </c>
      <c r="PJN4" s="326"/>
      <c r="PJO4" s="326"/>
      <c r="PJP4" s="326"/>
      <c r="PJQ4" s="326"/>
      <c r="PJR4" s="326"/>
      <c r="PJS4" s="326"/>
      <c r="PJT4" s="326"/>
      <c r="PJU4" s="326"/>
      <c r="PJV4" s="326"/>
      <c r="PJW4" s="326"/>
      <c r="PJX4" s="326"/>
      <c r="PJY4" s="326"/>
      <c r="PJZ4" s="326"/>
      <c r="PKA4" s="326"/>
      <c r="PKB4" s="326"/>
      <c r="PKC4" s="326">
        <v>45870</v>
      </c>
      <c r="PKD4" s="326"/>
      <c r="PKE4" s="326"/>
      <c r="PKF4" s="326"/>
      <c r="PKG4" s="326"/>
      <c r="PKH4" s="326"/>
      <c r="PKI4" s="326"/>
      <c r="PKJ4" s="326"/>
      <c r="PKK4" s="326"/>
      <c r="PKL4" s="326"/>
      <c r="PKM4" s="326"/>
      <c r="PKN4" s="326"/>
      <c r="PKO4" s="326"/>
      <c r="PKP4" s="326"/>
      <c r="PKQ4" s="326"/>
      <c r="PKR4" s="326"/>
      <c r="PKS4" s="326">
        <v>45870</v>
      </c>
      <c r="PKT4" s="326"/>
      <c r="PKU4" s="326"/>
      <c r="PKV4" s="326"/>
      <c r="PKW4" s="326"/>
      <c r="PKX4" s="326"/>
      <c r="PKY4" s="326"/>
      <c r="PKZ4" s="326"/>
      <c r="PLA4" s="326"/>
      <c r="PLB4" s="326"/>
      <c r="PLC4" s="326"/>
      <c r="PLD4" s="326"/>
      <c r="PLE4" s="326"/>
      <c r="PLF4" s="326"/>
      <c r="PLG4" s="326"/>
      <c r="PLH4" s="326"/>
      <c r="PLI4" s="326">
        <v>45870</v>
      </c>
      <c r="PLJ4" s="326"/>
      <c r="PLK4" s="326"/>
      <c r="PLL4" s="326"/>
      <c r="PLM4" s="326"/>
      <c r="PLN4" s="326"/>
      <c r="PLO4" s="326"/>
      <c r="PLP4" s="326"/>
      <c r="PLQ4" s="326"/>
      <c r="PLR4" s="326"/>
      <c r="PLS4" s="326"/>
      <c r="PLT4" s="326"/>
      <c r="PLU4" s="326"/>
      <c r="PLV4" s="326"/>
      <c r="PLW4" s="326"/>
      <c r="PLX4" s="326"/>
      <c r="PLY4" s="326">
        <v>45870</v>
      </c>
      <c r="PLZ4" s="326"/>
      <c r="PMA4" s="326"/>
      <c r="PMB4" s="326"/>
      <c r="PMC4" s="326"/>
      <c r="PMD4" s="326"/>
      <c r="PME4" s="326"/>
      <c r="PMF4" s="326"/>
      <c r="PMG4" s="326"/>
      <c r="PMH4" s="326"/>
      <c r="PMI4" s="326"/>
      <c r="PMJ4" s="326"/>
      <c r="PMK4" s="326"/>
      <c r="PML4" s="326"/>
      <c r="PMM4" s="326"/>
      <c r="PMN4" s="326"/>
      <c r="PMO4" s="326">
        <v>45870</v>
      </c>
      <c r="PMP4" s="326"/>
      <c r="PMQ4" s="326"/>
      <c r="PMR4" s="326"/>
      <c r="PMS4" s="326"/>
      <c r="PMT4" s="326"/>
      <c r="PMU4" s="326"/>
      <c r="PMV4" s="326"/>
      <c r="PMW4" s="326"/>
      <c r="PMX4" s="326"/>
      <c r="PMY4" s="326"/>
      <c r="PMZ4" s="326"/>
      <c r="PNA4" s="326"/>
      <c r="PNB4" s="326"/>
      <c r="PNC4" s="326"/>
      <c r="PND4" s="326"/>
      <c r="PNE4" s="326">
        <v>45870</v>
      </c>
      <c r="PNF4" s="326"/>
      <c r="PNG4" s="326"/>
      <c r="PNH4" s="326"/>
      <c r="PNI4" s="326"/>
      <c r="PNJ4" s="326"/>
      <c r="PNK4" s="326"/>
      <c r="PNL4" s="326"/>
      <c r="PNM4" s="326"/>
      <c r="PNN4" s="326"/>
      <c r="PNO4" s="326"/>
      <c r="PNP4" s="326"/>
      <c r="PNQ4" s="326"/>
      <c r="PNR4" s="326"/>
      <c r="PNS4" s="326"/>
      <c r="PNT4" s="326"/>
      <c r="PNU4" s="326">
        <v>45870</v>
      </c>
      <c r="PNV4" s="326"/>
      <c r="PNW4" s="326"/>
      <c r="PNX4" s="326"/>
      <c r="PNY4" s="326"/>
      <c r="PNZ4" s="326"/>
      <c r="POA4" s="326"/>
      <c r="POB4" s="326"/>
      <c r="POC4" s="326"/>
      <c r="POD4" s="326"/>
      <c r="POE4" s="326"/>
      <c r="POF4" s="326"/>
      <c r="POG4" s="326"/>
      <c r="POH4" s="326"/>
      <c r="POI4" s="326"/>
      <c r="POJ4" s="326"/>
      <c r="POK4" s="326">
        <v>45870</v>
      </c>
      <c r="POL4" s="326"/>
      <c r="POM4" s="326"/>
      <c r="PON4" s="326"/>
      <c r="POO4" s="326"/>
      <c r="POP4" s="326"/>
      <c r="POQ4" s="326"/>
      <c r="POR4" s="326"/>
      <c r="POS4" s="326"/>
      <c r="POT4" s="326"/>
      <c r="POU4" s="326"/>
      <c r="POV4" s="326"/>
      <c r="POW4" s="326"/>
      <c r="POX4" s="326"/>
      <c r="POY4" s="326"/>
      <c r="POZ4" s="326"/>
      <c r="PPA4" s="326">
        <v>45870</v>
      </c>
      <c r="PPB4" s="326"/>
      <c r="PPC4" s="326"/>
      <c r="PPD4" s="326"/>
      <c r="PPE4" s="326"/>
      <c r="PPF4" s="326"/>
      <c r="PPG4" s="326"/>
      <c r="PPH4" s="326"/>
      <c r="PPI4" s="326"/>
      <c r="PPJ4" s="326"/>
      <c r="PPK4" s="326"/>
      <c r="PPL4" s="326"/>
      <c r="PPM4" s="326"/>
      <c r="PPN4" s="326"/>
      <c r="PPO4" s="326"/>
      <c r="PPP4" s="326"/>
      <c r="PPQ4" s="326">
        <v>45870</v>
      </c>
      <c r="PPR4" s="326"/>
      <c r="PPS4" s="326"/>
      <c r="PPT4" s="326"/>
      <c r="PPU4" s="326"/>
      <c r="PPV4" s="326"/>
      <c r="PPW4" s="326"/>
      <c r="PPX4" s="326"/>
      <c r="PPY4" s="326"/>
      <c r="PPZ4" s="326"/>
      <c r="PQA4" s="326"/>
      <c r="PQB4" s="326"/>
      <c r="PQC4" s="326"/>
      <c r="PQD4" s="326"/>
      <c r="PQE4" s="326"/>
      <c r="PQF4" s="326"/>
      <c r="PQG4" s="326">
        <v>45870</v>
      </c>
      <c r="PQH4" s="326"/>
      <c r="PQI4" s="326"/>
      <c r="PQJ4" s="326"/>
      <c r="PQK4" s="326"/>
      <c r="PQL4" s="326"/>
      <c r="PQM4" s="326"/>
      <c r="PQN4" s="326"/>
      <c r="PQO4" s="326"/>
      <c r="PQP4" s="326"/>
      <c r="PQQ4" s="326"/>
      <c r="PQR4" s="326"/>
      <c r="PQS4" s="326"/>
      <c r="PQT4" s="326"/>
      <c r="PQU4" s="326"/>
      <c r="PQV4" s="326"/>
      <c r="PQW4" s="326">
        <v>45870</v>
      </c>
      <c r="PQX4" s="326"/>
      <c r="PQY4" s="326"/>
      <c r="PQZ4" s="326"/>
      <c r="PRA4" s="326"/>
      <c r="PRB4" s="326"/>
      <c r="PRC4" s="326"/>
      <c r="PRD4" s="326"/>
      <c r="PRE4" s="326"/>
      <c r="PRF4" s="326"/>
      <c r="PRG4" s="326"/>
      <c r="PRH4" s="326"/>
      <c r="PRI4" s="326"/>
      <c r="PRJ4" s="326"/>
      <c r="PRK4" s="326"/>
      <c r="PRL4" s="326"/>
      <c r="PRM4" s="326">
        <v>45870</v>
      </c>
      <c r="PRN4" s="326"/>
      <c r="PRO4" s="326"/>
      <c r="PRP4" s="326"/>
      <c r="PRQ4" s="326"/>
      <c r="PRR4" s="326"/>
      <c r="PRS4" s="326"/>
      <c r="PRT4" s="326"/>
      <c r="PRU4" s="326"/>
      <c r="PRV4" s="326"/>
      <c r="PRW4" s="326"/>
      <c r="PRX4" s="326"/>
      <c r="PRY4" s="326"/>
      <c r="PRZ4" s="326"/>
      <c r="PSA4" s="326"/>
      <c r="PSB4" s="326"/>
      <c r="PSC4" s="326">
        <v>45870</v>
      </c>
      <c r="PSD4" s="326"/>
      <c r="PSE4" s="326"/>
      <c r="PSF4" s="326"/>
      <c r="PSG4" s="326"/>
      <c r="PSH4" s="326"/>
      <c r="PSI4" s="326"/>
      <c r="PSJ4" s="326"/>
      <c r="PSK4" s="326"/>
      <c r="PSL4" s="326"/>
      <c r="PSM4" s="326"/>
      <c r="PSN4" s="326"/>
      <c r="PSO4" s="326"/>
      <c r="PSP4" s="326"/>
      <c r="PSQ4" s="326"/>
      <c r="PSR4" s="326"/>
      <c r="PSS4" s="326">
        <v>45870</v>
      </c>
      <c r="PST4" s="326"/>
      <c r="PSU4" s="326"/>
      <c r="PSV4" s="326"/>
      <c r="PSW4" s="326"/>
      <c r="PSX4" s="326"/>
      <c r="PSY4" s="326"/>
      <c r="PSZ4" s="326"/>
      <c r="PTA4" s="326"/>
      <c r="PTB4" s="326"/>
      <c r="PTC4" s="326"/>
      <c r="PTD4" s="326"/>
      <c r="PTE4" s="326"/>
      <c r="PTF4" s="326"/>
      <c r="PTG4" s="326"/>
      <c r="PTH4" s="326"/>
      <c r="PTI4" s="326">
        <v>45870</v>
      </c>
      <c r="PTJ4" s="326"/>
      <c r="PTK4" s="326"/>
      <c r="PTL4" s="326"/>
      <c r="PTM4" s="326"/>
      <c r="PTN4" s="326"/>
      <c r="PTO4" s="326"/>
      <c r="PTP4" s="326"/>
      <c r="PTQ4" s="326"/>
      <c r="PTR4" s="326"/>
      <c r="PTS4" s="326"/>
      <c r="PTT4" s="326"/>
      <c r="PTU4" s="326"/>
      <c r="PTV4" s="326"/>
      <c r="PTW4" s="326"/>
      <c r="PTX4" s="326"/>
      <c r="PTY4" s="326">
        <v>45870</v>
      </c>
      <c r="PTZ4" s="326"/>
      <c r="PUA4" s="326"/>
      <c r="PUB4" s="326"/>
      <c r="PUC4" s="326"/>
      <c r="PUD4" s="326"/>
      <c r="PUE4" s="326"/>
      <c r="PUF4" s="326"/>
      <c r="PUG4" s="326"/>
      <c r="PUH4" s="326"/>
      <c r="PUI4" s="326"/>
      <c r="PUJ4" s="326"/>
      <c r="PUK4" s="326"/>
      <c r="PUL4" s="326"/>
      <c r="PUM4" s="326"/>
      <c r="PUN4" s="326"/>
      <c r="PUO4" s="326">
        <v>45870</v>
      </c>
      <c r="PUP4" s="326"/>
      <c r="PUQ4" s="326"/>
      <c r="PUR4" s="326"/>
      <c r="PUS4" s="326"/>
      <c r="PUT4" s="326"/>
      <c r="PUU4" s="326"/>
      <c r="PUV4" s="326"/>
      <c r="PUW4" s="326"/>
      <c r="PUX4" s="326"/>
      <c r="PUY4" s="326"/>
      <c r="PUZ4" s="326"/>
      <c r="PVA4" s="326"/>
      <c r="PVB4" s="326"/>
      <c r="PVC4" s="326"/>
      <c r="PVD4" s="326"/>
      <c r="PVE4" s="326">
        <v>45870</v>
      </c>
      <c r="PVF4" s="326"/>
      <c r="PVG4" s="326"/>
      <c r="PVH4" s="326"/>
      <c r="PVI4" s="326"/>
      <c r="PVJ4" s="326"/>
      <c r="PVK4" s="326"/>
      <c r="PVL4" s="326"/>
      <c r="PVM4" s="326"/>
      <c r="PVN4" s="326"/>
      <c r="PVO4" s="326"/>
      <c r="PVP4" s="326"/>
      <c r="PVQ4" s="326"/>
      <c r="PVR4" s="326"/>
      <c r="PVS4" s="326"/>
      <c r="PVT4" s="326"/>
      <c r="PVU4" s="326">
        <v>45870</v>
      </c>
      <c r="PVV4" s="326"/>
      <c r="PVW4" s="326"/>
      <c r="PVX4" s="326"/>
      <c r="PVY4" s="326"/>
      <c r="PVZ4" s="326"/>
      <c r="PWA4" s="326"/>
      <c r="PWB4" s="326"/>
      <c r="PWC4" s="326"/>
      <c r="PWD4" s="326"/>
      <c r="PWE4" s="326"/>
      <c r="PWF4" s="326"/>
      <c r="PWG4" s="326"/>
      <c r="PWH4" s="326"/>
      <c r="PWI4" s="326"/>
      <c r="PWJ4" s="326"/>
      <c r="PWK4" s="326">
        <v>45870</v>
      </c>
      <c r="PWL4" s="326"/>
      <c r="PWM4" s="326"/>
      <c r="PWN4" s="326"/>
      <c r="PWO4" s="326"/>
      <c r="PWP4" s="326"/>
      <c r="PWQ4" s="326"/>
      <c r="PWR4" s="326"/>
      <c r="PWS4" s="326"/>
      <c r="PWT4" s="326"/>
      <c r="PWU4" s="326"/>
      <c r="PWV4" s="326"/>
      <c r="PWW4" s="326"/>
      <c r="PWX4" s="326"/>
      <c r="PWY4" s="326"/>
      <c r="PWZ4" s="326"/>
      <c r="PXA4" s="326">
        <v>45870</v>
      </c>
      <c r="PXB4" s="326"/>
      <c r="PXC4" s="326"/>
      <c r="PXD4" s="326"/>
      <c r="PXE4" s="326"/>
      <c r="PXF4" s="326"/>
      <c r="PXG4" s="326"/>
      <c r="PXH4" s="326"/>
      <c r="PXI4" s="326"/>
      <c r="PXJ4" s="326"/>
      <c r="PXK4" s="326"/>
      <c r="PXL4" s="326"/>
      <c r="PXM4" s="326"/>
      <c r="PXN4" s="326"/>
      <c r="PXO4" s="326"/>
      <c r="PXP4" s="326"/>
      <c r="PXQ4" s="326">
        <v>45870</v>
      </c>
      <c r="PXR4" s="326"/>
      <c r="PXS4" s="326"/>
      <c r="PXT4" s="326"/>
      <c r="PXU4" s="326"/>
      <c r="PXV4" s="326"/>
      <c r="PXW4" s="326"/>
      <c r="PXX4" s="326"/>
      <c r="PXY4" s="326"/>
      <c r="PXZ4" s="326"/>
      <c r="PYA4" s="326"/>
      <c r="PYB4" s="326"/>
      <c r="PYC4" s="326"/>
      <c r="PYD4" s="326"/>
      <c r="PYE4" s="326"/>
      <c r="PYF4" s="326"/>
      <c r="PYG4" s="326">
        <v>45870</v>
      </c>
      <c r="PYH4" s="326"/>
      <c r="PYI4" s="326"/>
      <c r="PYJ4" s="326"/>
      <c r="PYK4" s="326"/>
      <c r="PYL4" s="326"/>
      <c r="PYM4" s="326"/>
      <c r="PYN4" s="326"/>
      <c r="PYO4" s="326"/>
      <c r="PYP4" s="326"/>
      <c r="PYQ4" s="326"/>
      <c r="PYR4" s="326"/>
      <c r="PYS4" s="326"/>
      <c r="PYT4" s="326"/>
      <c r="PYU4" s="326"/>
      <c r="PYV4" s="326"/>
      <c r="PYW4" s="326">
        <v>45870</v>
      </c>
      <c r="PYX4" s="326"/>
      <c r="PYY4" s="326"/>
      <c r="PYZ4" s="326"/>
      <c r="PZA4" s="326"/>
      <c r="PZB4" s="326"/>
      <c r="PZC4" s="326"/>
      <c r="PZD4" s="326"/>
      <c r="PZE4" s="326"/>
      <c r="PZF4" s="326"/>
      <c r="PZG4" s="326"/>
      <c r="PZH4" s="326"/>
      <c r="PZI4" s="326"/>
      <c r="PZJ4" s="326"/>
      <c r="PZK4" s="326"/>
      <c r="PZL4" s="326"/>
      <c r="PZM4" s="326">
        <v>45870</v>
      </c>
      <c r="PZN4" s="326"/>
      <c r="PZO4" s="326"/>
      <c r="PZP4" s="326"/>
      <c r="PZQ4" s="326"/>
      <c r="PZR4" s="326"/>
      <c r="PZS4" s="326"/>
      <c r="PZT4" s="326"/>
      <c r="PZU4" s="326"/>
      <c r="PZV4" s="326"/>
      <c r="PZW4" s="326"/>
      <c r="PZX4" s="326"/>
      <c r="PZY4" s="326"/>
      <c r="PZZ4" s="326"/>
      <c r="QAA4" s="326"/>
      <c r="QAB4" s="326"/>
      <c r="QAC4" s="326">
        <v>45870</v>
      </c>
      <c r="QAD4" s="326"/>
      <c r="QAE4" s="326"/>
      <c r="QAF4" s="326"/>
      <c r="QAG4" s="326"/>
      <c r="QAH4" s="326"/>
      <c r="QAI4" s="326"/>
      <c r="QAJ4" s="326"/>
      <c r="QAK4" s="326"/>
      <c r="QAL4" s="326"/>
      <c r="QAM4" s="326"/>
      <c r="QAN4" s="326"/>
      <c r="QAO4" s="326"/>
      <c r="QAP4" s="326"/>
      <c r="QAQ4" s="326"/>
      <c r="QAR4" s="326"/>
      <c r="QAS4" s="326">
        <v>45870</v>
      </c>
      <c r="QAT4" s="326"/>
      <c r="QAU4" s="326"/>
      <c r="QAV4" s="326"/>
      <c r="QAW4" s="326"/>
      <c r="QAX4" s="326"/>
      <c r="QAY4" s="326"/>
      <c r="QAZ4" s="326"/>
      <c r="QBA4" s="326"/>
      <c r="QBB4" s="326"/>
      <c r="QBC4" s="326"/>
      <c r="QBD4" s="326"/>
      <c r="QBE4" s="326"/>
      <c r="QBF4" s="326"/>
      <c r="QBG4" s="326"/>
      <c r="QBH4" s="326"/>
      <c r="QBI4" s="326">
        <v>45870</v>
      </c>
      <c r="QBJ4" s="326"/>
      <c r="QBK4" s="326"/>
      <c r="QBL4" s="326"/>
      <c r="QBM4" s="326"/>
      <c r="QBN4" s="326"/>
      <c r="QBO4" s="326"/>
      <c r="QBP4" s="326"/>
      <c r="QBQ4" s="326"/>
      <c r="QBR4" s="326"/>
      <c r="QBS4" s="326"/>
      <c r="QBT4" s="326"/>
      <c r="QBU4" s="326"/>
      <c r="QBV4" s="326"/>
      <c r="QBW4" s="326"/>
      <c r="QBX4" s="326"/>
      <c r="QBY4" s="326">
        <v>45870</v>
      </c>
      <c r="QBZ4" s="326"/>
      <c r="QCA4" s="326"/>
      <c r="QCB4" s="326"/>
      <c r="QCC4" s="326"/>
      <c r="QCD4" s="326"/>
      <c r="QCE4" s="326"/>
      <c r="QCF4" s="326"/>
      <c r="QCG4" s="326"/>
      <c r="QCH4" s="326"/>
      <c r="QCI4" s="326"/>
      <c r="QCJ4" s="326"/>
      <c r="QCK4" s="326"/>
      <c r="QCL4" s="326"/>
      <c r="QCM4" s="326"/>
      <c r="QCN4" s="326"/>
      <c r="QCO4" s="326">
        <v>45870</v>
      </c>
      <c r="QCP4" s="326"/>
      <c r="QCQ4" s="326"/>
      <c r="QCR4" s="326"/>
      <c r="QCS4" s="326"/>
      <c r="QCT4" s="326"/>
      <c r="QCU4" s="326"/>
      <c r="QCV4" s="326"/>
      <c r="QCW4" s="326"/>
      <c r="QCX4" s="326"/>
      <c r="QCY4" s="326"/>
      <c r="QCZ4" s="326"/>
      <c r="QDA4" s="326"/>
      <c r="QDB4" s="326"/>
      <c r="QDC4" s="326"/>
      <c r="QDD4" s="326"/>
      <c r="QDE4" s="326">
        <v>45870</v>
      </c>
      <c r="QDF4" s="326"/>
      <c r="QDG4" s="326"/>
      <c r="QDH4" s="326"/>
      <c r="QDI4" s="326"/>
      <c r="QDJ4" s="326"/>
      <c r="QDK4" s="326"/>
      <c r="QDL4" s="326"/>
      <c r="QDM4" s="326"/>
      <c r="QDN4" s="326"/>
      <c r="QDO4" s="326"/>
      <c r="QDP4" s="326"/>
      <c r="QDQ4" s="326"/>
      <c r="QDR4" s="326"/>
      <c r="QDS4" s="326"/>
      <c r="QDT4" s="326"/>
      <c r="QDU4" s="326">
        <v>45870</v>
      </c>
      <c r="QDV4" s="326"/>
      <c r="QDW4" s="326"/>
      <c r="QDX4" s="326"/>
      <c r="QDY4" s="326"/>
      <c r="QDZ4" s="326"/>
      <c r="QEA4" s="326"/>
      <c r="QEB4" s="326"/>
      <c r="QEC4" s="326"/>
      <c r="QED4" s="326"/>
      <c r="QEE4" s="326"/>
      <c r="QEF4" s="326"/>
      <c r="QEG4" s="326"/>
      <c r="QEH4" s="326"/>
      <c r="QEI4" s="326"/>
      <c r="QEJ4" s="326"/>
      <c r="QEK4" s="326">
        <v>45870</v>
      </c>
      <c r="QEL4" s="326"/>
      <c r="QEM4" s="326"/>
      <c r="QEN4" s="326"/>
      <c r="QEO4" s="326"/>
      <c r="QEP4" s="326"/>
      <c r="QEQ4" s="326"/>
      <c r="QER4" s="326"/>
      <c r="QES4" s="326"/>
      <c r="QET4" s="326"/>
      <c r="QEU4" s="326"/>
      <c r="QEV4" s="326"/>
      <c r="QEW4" s="326"/>
      <c r="QEX4" s="326"/>
      <c r="QEY4" s="326"/>
      <c r="QEZ4" s="326"/>
      <c r="QFA4" s="326">
        <v>45870</v>
      </c>
      <c r="QFB4" s="326"/>
      <c r="QFC4" s="326"/>
      <c r="QFD4" s="326"/>
      <c r="QFE4" s="326"/>
      <c r="QFF4" s="326"/>
      <c r="QFG4" s="326"/>
      <c r="QFH4" s="326"/>
      <c r="QFI4" s="326"/>
      <c r="QFJ4" s="326"/>
      <c r="QFK4" s="326"/>
      <c r="QFL4" s="326"/>
      <c r="QFM4" s="326"/>
      <c r="QFN4" s="326"/>
      <c r="QFO4" s="326"/>
      <c r="QFP4" s="326"/>
      <c r="QFQ4" s="326">
        <v>45870</v>
      </c>
      <c r="QFR4" s="326"/>
      <c r="QFS4" s="326"/>
      <c r="QFT4" s="326"/>
      <c r="QFU4" s="326"/>
      <c r="QFV4" s="326"/>
      <c r="QFW4" s="326"/>
      <c r="QFX4" s="326"/>
      <c r="QFY4" s="326"/>
      <c r="QFZ4" s="326"/>
      <c r="QGA4" s="326"/>
      <c r="QGB4" s="326"/>
      <c r="QGC4" s="326"/>
      <c r="QGD4" s="326"/>
      <c r="QGE4" s="326"/>
      <c r="QGF4" s="326"/>
      <c r="QGG4" s="326">
        <v>45870</v>
      </c>
      <c r="QGH4" s="326"/>
      <c r="QGI4" s="326"/>
      <c r="QGJ4" s="326"/>
      <c r="QGK4" s="326"/>
      <c r="QGL4" s="326"/>
      <c r="QGM4" s="326"/>
      <c r="QGN4" s="326"/>
      <c r="QGO4" s="326"/>
      <c r="QGP4" s="326"/>
      <c r="QGQ4" s="326"/>
      <c r="QGR4" s="326"/>
      <c r="QGS4" s="326"/>
      <c r="QGT4" s="326"/>
      <c r="QGU4" s="326"/>
      <c r="QGV4" s="326"/>
      <c r="QGW4" s="326">
        <v>45870</v>
      </c>
      <c r="QGX4" s="326"/>
      <c r="QGY4" s="326"/>
      <c r="QGZ4" s="326"/>
      <c r="QHA4" s="326"/>
      <c r="QHB4" s="326"/>
      <c r="QHC4" s="326"/>
      <c r="QHD4" s="326"/>
      <c r="QHE4" s="326"/>
      <c r="QHF4" s="326"/>
      <c r="QHG4" s="326"/>
      <c r="QHH4" s="326"/>
      <c r="QHI4" s="326"/>
      <c r="QHJ4" s="326"/>
      <c r="QHK4" s="326"/>
      <c r="QHL4" s="326"/>
      <c r="QHM4" s="326">
        <v>45870</v>
      </c>
      <c r="QHN4" s="326"/>
      <c r="QHO4" s="326"/>
      <c r="QHP4" s="326"/>
      <c r="QHQ4" s="326"/>
      <c r="QHR4" s="326"/>
      <c r="QHS4" s="326"/>
      <c r="QHT4" s="326"/>
      <c r="QHU4" s="326"/>
      <c r="QHV4" s="326"/>
      <c r="QHW4" s="326"/>
      <c r="QHX4" s="326"/>
      <c r="QHY4" s="326"/>
      <c r="QHZ4" s="326"/>
      <c r="QIA4" s="326"/>
      <c r="QIB4" s="326"/>
      <c r="QIC4" s="326">
        <v>45870</v>
      </c>
      <c r="QID4" s="326"/>
      <c r="QIE4" s="326"/>
      <c r="QIF4" s="326"/>
      <c r="QIG4" s="326"/>
      <c r="QIH4" s="326"/>
      <c r="QII4" s="326"/>
      <c r="QIJ4" s="326"/>
      <c r="QIK4" s="326"/>
      <c r="QIL4" s="326"/>
      <c r="QIM4" s="326"/>
      <c r="QIN4" s="326"/>
      <c r="QIO4" s="326"/>
      <c r="QIP4" s="326"/>
      <c r="QIQ4" s="326"/>
      <c r="QIR4" s="326"/>
      <c r="QIS4" s="326">
        <v>45870</v>
      </c>
      <c r="QIT4" s="326"/>
      <c r="QIU4" s="326"/>
      <c r="QIV4" s="326"/>
      <c r="QIW4" s="326"/>
      <c r="QIX4" s="326"/>
      <c r="QIY4" s="326"/>
      <c r="QIZ4" s="326"/>
      <c r="QJA4" s="326"/>
      <c r="QJB4" s="326"/>
      <c r="QJC4" s="326"/>
      <c r="QJD4" s="326"/>
      <c r="QJE4" s="326"/>
      <c r="QJF4" s="326"/>
      <c r="QJG4" s="326"/>
      <c r="QJH4" s="326"/>
      <c r="QJI4" s="326">
        <v>45870</v>
      </c>
      <c r="QJJ4" s="326"/>
      <c r="QJK4" s="326"/>
      <c r="QJL4" s="326"/>
      <c r="QJM4" s="326"/>
      <c r="QJN4" s="326"/>
      <c r="QJO4" s="326"/>
      <c r="QJP4" s="326"/>
      <c r="QJQ4" s="326"/>
      <c r="QJR4" s="326"/>
      <c r="QJS4" s="326"/>
      <c r="QJT4" s="326"/>
      <c r="QJU4" s="326"/>
      <c r="QJV4" s="326"/>
      <c r="QJW4" s="326"/>
      <c r="QJX4" s="326"/>
      <c r="QJY4" s="326">
        <v>45870</v>
      </c>
      <c r="QJZ4" s="326"/>
      <c r="QKA4" s="326"/>
      <c r="QKB4" s="326"/>
      <c r="QKC4" s="326"/>
      <c r="QKD4" s="326"/>
      <c r="QKE4" s="326"/>
      <c r="QKF4" s="326"/>
      <c r="QKG4" s="326"/>
      <c r="QKH4" s="326"/>
      <c r="QKI4" s="326"/>
      <c r="QKJ4" s="326"/>
      <c r="QKK4" s="326"/>
      <c r="QKL4" s="326"/>
      <c r="QKM4" s="326"/>
      <c r="QKN4" s="326"/>
      <c r="QKO4" s="326">
        <v>45870</v>
      </c>
      <c r="QKP4" s="326"/>
      <c r="QKQ4" s="326"/>
      <c r="QKR4" s="326"/>
      <c r="QKS4" s="326"/>
      <c r="QKT4" s="326"/>
      <c r="QKU4" s="326"/>
      <c r="QKV4" s="326"/>
      <c r="QKW4" s="326"/>
      <c r="QKX4" s="326"/>
      <c r="QKY4" s="326"/>
      <c r="QKZ4" s="326"/>
      <c r="QLA4" s="326"/>
      <c r="QLB4" s="326"/>
      <c r="QLC4" s="326"/>
      <c r="QLD4" s="326"/>
      <c r="QLE4" s="326">
        <v>45870</v>
      </c>
      <c r="QLF4" s="326"/>
      <c r="QLG4" s="326"/>
      <c r="QLH4" s="326"/>
      <c r="QLI4" s="326"/>
      <c r="QLJ4" s="326"/>
      <c r="QLK4" s="326"/>
      <c r="QLL4" s="326"/>
      <c r="QLM4" s="326"/>
      <c r="QLN4" s="326"/>
      <c r="QLO4" s="326"/>
      <c r="QLP4" s="326"/>
      <c r="QLQ4" s="326"/>
      <c r="QLR4" s="326"/>
      <c r="QLS4" s="326"/>
      <c r="QLT4" s="326"/>
      <c r="QLU4" s="326">
        <v>45870</v>
      </c>
      <c r="QLV4" s="326"/>
      <c r="QLW4" s="326"/>
      <c r="QLX4" s="326"/>
      <c r="QLY4" s="326"/>
      <c r="QLZ4" s="326"/>
      <c r="QMA4" s="326"/>
      <c r="QMB4" s="326"/>
      <c r="QMC4" s="326"/>
      <c r="QMD4" s="326"/>
      <c r="QME4" s="326"/>
      <c r="QMF4" s="326"/>
      <c r="QMG4" s="326"/>
      <c r="QMH4" s="326"/>
      <c r="QMI4" s="326"/>
      <c r="QMJ4" s="326"/>
      <c r="QMK4" s="326">
        <v>45870</v>
      </c>
      <c r="QML4" s="326"/>
      <c r="QMM4" s="326"/>
      <c r="QMN4" s="326"/>
      <c r="QMO4" s="326"/>
      <c r="QMP4" s="326"/>
      <c r="QMQ4" s="326"/>
      <c r="QMR4" s="326"/>
      <c r="QMS4" s="326"/>
      <c r="QMT4" s="326"/>
      <c r="QMU4" s="326"/>
      <c r="QMV4" s="326"/>
      <c r="QMW4" s="326"/>
      <c r="QMX4" s="326"/>
      <c r="QMY4" s="326"/>
      <c r="QMZ4" s="326"/>
      <c r="QNA4" s="326">
        <v>45870</v>
      </c>
      <c r="QNB4" s="326"/>
      <c r="QNC4" s="326"/>
      <c r="QND4" s="326"/>
      <c r="QNE4" s="326"/>
      <c r="QNF4" s="326"/>
      <c r="QNG4" s="326"/>
      <c r="QNH4" s="326"/>
      <c r="QNI4" s="326"/>
      <c r="QNJ4" s="326"/>
      <c r="QNK4" s="326"/>
      <c r="QNL4" s="326"/>
      <c r="QNM4" s="326"/>
      <c r="QNN4" s="326"/>
      <c r="QNO4" s="326"/>
      <c r="QNP4" s="326"/>
      <c r="QNQ4" s="326">
        <v>45870</v>
      </c>
      <c r="QNR4" s="326"/>
      <c r="QNS4" s="326"/>
      <c r="QNT4" s="326"/>
      <c r="QNU4" s="326"/>
      <c r="QNV4" s="326"/>
      <c r="QNW4" s="326"/>
      <c r="QNX4" s="326"/>
      <c r="QNY4" s="326"/>
      <c r="QNZ4" s="326"/>
      <c r="QOA4" s="326"/>
      <c r="QOB4" s="326"/>
      <c r="QOC4" s="326"/>
      <c r="QOD4" s="326"/>
      <c r="QOE4" s="326"/>
      <c r="QOF4" s="326"/>
      <c r="QOG4" s="326">
        <v>45870</v>
      </c>
      <c r="QOH4" s="326"/>
      <c r="QOI4" s="326"/>
      <c r="QOJ4" s="326"/>
      <c r="QOK4" s="326"/>
      <c r="QOL4" s="326"/>
      <c r="QOM4" s="326"/>
      <c r="QON4" s="326"/>
      <c r="QOO4" s="326"/>
      <c r="QOP4" s="326"/>
      <c r="QOQ4" s="326"/>
      <c r="QOR4" s="326"/>
      <c r="QOS4" s="326"/>
      <c r="QOT4" s="326"/>
      <c r="QOU4" s="326"/>
      <c r="QOV4" s="326"/>
      <c r="QOW4" s="326">
        <v>45870</v>
      </c>
      <c r="QOX4" s="326"/>
      <c r="QOY4" s="326"/>
      <c r="QOZ4" s="326"/>
      <c r="QPA4" s="326"/>
      <c r="QPB4" s="326"/>
      <c r="QPC4" s="326"/>
      <c r="QPD4" s="326"/>
      <c r="QPE4" s="326"/>
      <c r="QPF4" s="326"/>
      <c r="QPG4" s="326"/>
      <c r="QPH4" s="326"/>
      <c r="QPI4" s="326"/>
      <c r="QPJ4" s="326"/>
      <c r="QPK4" s="326"/>
      <c r="QPL4" s="326"/>
      <c r="QPM4" s="326">
        <v>45870</v>
      </c>
      <c r="QPN4" s="326"/>
      <c r="QPO4" s="326"/>
      <c r="QPP4" s="326"/>
      <c r="QPQ4" s="326"/>
      <c r="QPR4" s="326"/>
      <c r="QPS4" s="326"/>
      <c r="QPT4" s="326"/>
      <c r="QPU4" s="326"/>
      <c r="QPV4" s="326"/>
      <c r="QPW4" s="326"/>
      <c r="QPX4" s="326"/>
      <c r="QPY4" s="326"/>
      <c r="QPZ4" s="326"/>
      <c r="QQA4" s="326"/>
      <c r="QQB4" s="326"/>
      <c r="QQC4" s="326">
        <v>45870</v>
      </c>
      <c r="QQD4" s="326"/>
      <c r="QQE4" s="326"/>
      <c r="QQF4" s="326"/>
      <c r="QQG4" s="326"/>
      <c r="QQH4" s="326"/>
      <c r="QQI4" s="326"/>
      <c r="QQJ4" s="326"/>
      <c r="QQK4" s="326"/>
      <c r="QQL4" s="326"/>
      <c r="QQM4" s="326"/>
      <c r="QQN4" s="326"/>
      <c r="QQO4" s="326"/>
      <c r="QQP4" s="326"/>
      <c r="QQQ4" s="326"/>
      <c r="QQR4" s="326"/>
      <c r="QQS4" s="326">
        <v>45870</v>
      </c>
      <c r="QQT4" s="326"/>
      <c r="QQU4" s="326"/>
      <c r="QQV4" s="326"/>
      <c r="QQW4" s="326"/>
      <c r="QQX4" s="326"/>
      <c r="QQY4" s="326"/>
      <c r="QQZ4" s="326"/>
      <c r="QRA4" s="326"/>
      <c r="QRB4" s="326"/>
      <c r="QRC4" s="326"/>
      <c r="QRD4" s="326"/>
      <c r="QRE4" s="326"/>
      <c r="QRF4" s="326"/>
      <c r="QRG4" s="326"/>
      <c r="QRH4" s="326"/>
      <c r="QRI4" s="326">
        <v>45870</v>
      </c>
      <c r="QRJ4" s="326"/>
      <c r="QRK4" s="326"/>
      <c r="QRL4" s="326"/>
      <c r="QRM4" s="326"/>
      <c r="QRN4" s="326"/>
      <c r="QRO4" s="326"/>
      <c r="QRP4" s="326"/>
      <c r="QRQ4" s="326"/>
      <c r="QRR4" s="326"/>
      <c r="QRS4" s="326"/>
      <c r="QRT4" s="326"/>
      <c r="QRU4" s="326"/>
      <c r="QRV4" s="326"/>
      <c r="QRW4" s="326"/>
      <c r="QRX4" s="326"/>
      <c r="QRY4" s="326">
        <v>45870</v>
      </c>
      <c r="QRZ4" s="326"/>
      <c r="QSA4" s="326"/>
      <c r="QSB4" s="326"/>
      <c r="QSC4" s="326"/>
      <c r="QSD4" s="326"/>
      <c r="QSE4" s="326"/>
      <c r="QSF4" s="326"/>
      <c r="QSG4" s="326"/>
      <c r="QSH4" s="326"/>
      <c r="QSI4" s="326"/>
      <c r="QSJ4" s="326"/>
      <c r="QSK4" s="326"/>
      <c r="QSL4" s="326"/>
      <c r="QSM4" s="326"/>
      <c r="QSN4" s="326"/>
      <c r="QSO4" s="326">
        <v>45870</v>
      </c>
      <c r="QSP4" s="326"/>
      <c r="QSQ4" s="326"/>
      <c r="QSR4" s="326"/>
      <c r="QSS4" s="326"/>
      <c r="QST4" s="326"/>
      <c r="QSU4" s="326"/>
      <c r="QSV4" s="326"/>
      <c r="QSW4" s="326"/>
      <c r="QSX4" s="326"/>
      <c r="QSY4" s="326"/>
      <c r="QSZ4" s="326"/>
      <c r="QTA4" s="326"/>
      <c r="QTB4" s="326"/>
      <c r="QTC4" s="326"/>
      <c r="QTD4" s="326"/>
      <c r="QTE4" s="326">
        <v>45870</v>
      </c>
      <c r="QTF4" s="326"/>
      <c r="QTG4" s="326"/>
      <c r="QTH4" s="326"/>
      <c r="QTI4" s="326"/>
      <c r="QTJ4" s="326"/>
      <c r="QTK4" s="326"/>
      <c r="QTL4" s="326"/>
      <c r="QTM4" s="326"/>
      <c r="QTN4" s="326"/>
      <c r="QTO4" s="326"/>
      <c r="QTP4" s="326"/>
      <c r="QTQ4" s="326"/>
      <c r="QTR4" s="326"/>
      <c r="QTS4" s="326"/>
      <c r="QTT4" s="326"/>
      <c r="QTU4" s="326">
        <v>45870</v>
      </c>
      <c r="QTV4" s="326"/>
      <c r="QTW4" s="326"/>
      <c r="QTX4" s="326"/>
      <c r="QTY4" s="326"/>
      <c r="QTZ4" s="326"/>
      <c r="QUA4" s="326"/>
      <c r="QUB4" s="326"/>
      <c r="QUC4" s="326"/>
      <c r="QUD4" s="326"/>
      <c r="QUE4" s="326"/>
      <c r="QUF4" s="326"/>
      <c r="QUG4" s="326"/>
      <c r="QUH4" s="326"/>
      <c r="QUI4" s="326"/>
      <c r="QUJ4" s="326"/>
      <c r="QUK4" s="326">
        <v>45870</v>
      </c>
      <c r="QUL4" s="326"/>
      <c r="QUM4" s="326"/>
      <c r="QUN4" s="326"/>
      <c r="QUO4" s="326"/>
      <c r="QUP4" s="326"/>
      <c r="QUQ4" s="326"/>
      <c r="QUR4" s="326"/>
      <c r="QUS4" s="326"/>
      <c r="QUT4" s="326"/>
      <c r="QUU4" s="326"/>
      <c r="QUV4" s="326"/>
      <c r="QUW4" s="326"/>
      <c r="QUX4" s="326"/>
      <c r="QUY4" s="326"/>
      <c r="QUZ4" s="326"/>
      <c r="QVA4" s="326">
        <v>45870</v>
      </c>
      <c r="QVB4" s="326"/>
      <c r="QVC4" s="326"/>
      <c r="QVD4" s="326"/>
      <c r="QVE4" s="326"/>
      <c r="QVF4" s="326"/>
      <c r="QVG4" s="326"/>
      <c r="QVH4" s="326"/>
      <c r="QVI4" s="326"/>
      <c r="QVJ4" s="326"/>
      <c r="QVK4" s="326"/>
      <c r="QVL4" s="326"/>
      <c r="QVM4" s="326"/>
      <c r="QVN4" s="326"/>
      <c r="QVO4" s="326"/>
      <c r="QVP4" s="326"/>
      <c r="QVQ4" s="326">
        <v>45870</v>
      </c>
      <c r="QVR4" s="326"/>
      <c r="QVS4" s="326"/>
      <c r="QVT4" s="326"/>
      <c r="QVU4" s="326"/>
      <c r="QVV4" s="326"/>
      <c r="QVW4" s="326"/>
      <c r="QVX4" s="326"/>
      <c r="QVY4" s="326"/>
      <c r="QVZ4" s="326"/>
      <c r="QWA4" s="326"/>
      <c r="QWB4" s="326"/>
      <c r="QWC4" s="326"/>
      <c r="QWD4" s="326"/>
      <c r="QWE4" s="326"/>
      <c r="QWF4" s="326"/>
      <c r="QWG4" s="326">
        <v>45870</v>
      </c>
      <c r="QWH4" s="326"/>
      <c r="QWI4" s="326"/>
      <c r="QWJ4" s="326"/>
      <c r="QWK4" s="326"/>
      <c r="QWL4" s="326"/>
      <c r="QWM4" s="326"/>
      <c r="QWN4" s="326"/>
      <c r="QWO4" s="326"/>
      <c r="QWP4" s="326"/>
      <c r="QWQ4" s="326"/>
      <c r="QWR4" s="326"/>
      <c r="QWS4" s="326"/>
      <c r="QWT4" s="326"/>
      <c r="QWU4" s="326"/>
      <c r="QWV4" s="326"/>
      <c r="QWW4" s="326">
        <v>45870</v>
      </c>
      <c r="QWX4" s="326"/>
      <c r="QWY4" s="326"/>
      <c r="QWZ4" s="326"/>
      <c r="QXA4" s="326"/>
      <c r="QXB4" s="326"/>
      <c r="QXC4" s="326"/>
      <c r="QXD4" s="326"/>
      <c r="QXE4" s="326"/>
      <c r="QXF4" s="326"/>
      <c r="QXG4" s="326"/>
      <c r="QXH4" s="326"/>
      <c r="QXI4" s="326"/>
      <c r="QXJ4" s="326"/>
      <c r="QXK4" s="326"/>
      <c r="QXL4" s="326"/>
      <c r="QXM4" s="326">
        <v>45870</v>
      </c>
      <c r="QXN4" s="326"/>
      <c r="QXO4" s="326"/>
      <c r="QXP4" s="326"/>
      <c r="QXQ4" s="326"/>
      <c r="QXR4" s="326"/>
      <c r="QXS4" s="326"/>
      <c r="QXT4" s="326"/>
      <c r="QXU4" s="326"/>
      <c r="QXV4" s="326"/>
      <c r="QXW4" s="326"/>
      <c r="QXX4" s="326"/>
      <c r="QXY4" s="326"/>
      <c r="QXZ4" s="326"/>
      <c r="QYA4" s="326"/>
      <c r="QYB4" s="326"/>
      <c r="QYC4" s="326">
        <v>45870</v>
      </c>
      <c r="QYD4" s="326"/>
      <c r="QYE4" s="326"/>
      <c r="QYF4" s="326"/>
      <c r="QYG4" s="326"/>
      <c r="QYH4" s="326"/>
      <c r="QYI4" s="326"/>
      <c r="QYJ4" s="326"/>
      <c r="QYK4" s="326"/>
      <c r="QYL4" s="326"/>
      <c r="QYM4" s="326"/>
      <c r="QYN4" s="326"/>
      <c r="QYO4" s="326"/>
      <c r="QYP4" s="326"/>
      <c r="QYQ4" s="326"/>
      <c r="QYR4" s="326"/>
      <c r="QYS4" s="326">
        <v>45870</v>
      </c>
      <c r="QYT4" s="326"/>
      <c r="QYU4" s="326"/>
      <c r="QYV4" s="326"/>
      <c r="QYW4" s="326"/>
      <c r="QYX4" s="326"/>
      <c r="QYY4" s="326"/>
      <c r="QYZ4" s="326"/>
      <c r="QZA4" s="326"/>
      <c r="QZB4" s="326"/>
      <c r="QZC4" s="326"/>
      <c r="QZD4" s="326"/>
      <c r="QZE4" s="326"/>
      <c r="QZF4" s="326"/>
      <c r="QZG4" s="326"/>
      <c r="QZH4" s="326"/>
      <c r="QZI4" s="326">
        <v>45870</v>
      </c>
      <c r="QZJ4" s="326"/>
      <c r="QZK4" s="326"/>
      <c r="QZL4" s="326"/>
      <c r="QZM4" s="326"/>
      <c r="QZN4" s="326"/>
      <c r="QZO4" s="326"/>
      <c r="QZP4" s="326"/>
      <c r="QZQ4" s="326"/>
      <c r="QZR4" s="326"/>
      <c r="QZS4" s="326"/>
      <c r="QZT4" s="326"/>
      <c r="QZU4" s="326"/>
      <c r="QZV4" s="326"/>
      <c r="QZW4" s="326"/>
      <c r="QZX4" s="326"/>
      <c r="QZY4" s="326">
        <v>45870</v>
      </c>
      <c r="QZZ4" s="326"/>
      <c r="RAA4" s="326"/>
      <c r="RAB4" s="326"/>
      <c r="RAC4" s="326"/>
      <c r="RAD4" s="326"/>
      <c r="RAE4" s="326"/>
      <c r="RAF4" s="326"/>
      <c r="RAG4" s="326"/>
      <c r="RAH4" s="326"/>
      <c r="RAI4" s="326"/>
      <c r="RAJ4" s="326"/>
      <c r="RAK4" s="326"/>
      <c r="RAL4" s="326"/>
      <c r="RAM4" s="326"/>
      <c r="RAN4" s="326"/>
      <c r="RAO4" s="326">
        <v>45870</v>
      </c>
      <c r="RAP4" s="326"/>
      <c r="RAQ4" s="326"/>
      <c r="RAR4" s="326"/>
      <c r="RAS4" s="326"/>
      <c r="RAT4" s="326"/>
      <c r="RAU4" s="326"/>
      <c r="RAV4" s="326"/>
      <c r="RAW4" s="326"/>
      <c r="RAX4" s="326"/>
      <c r="RAY4" s="326"/>
      <c r="RAZ4" s="326"/>
      <c r="RBA4" s="326"/>
      <c r="RBB4" s="326"/>
      <c r="RBC4" s="326"/>
      <c r="RBD4" s="326"/>
      <c r="RBE4" s="326">
        <v>45870</v>
      </c>
      <c r="RBF4" s="326"/>
      <c r="RBG4" s="326"/>
      <c r="RBH4" s="326"/>
      <c r="RBI4" s="326"/>
      <c r="RBJ4" s="326"/>
      <c r="RBK4" s="326"/>
      <c r="RBL4" s="326"/>
      <c r="RBM4" s="326"/>
      <c r="RBN4" s="326"/>
      <c r="RBO4" s="326"/>
      <c r="RBP4" s="326"/>
      <c r="RBQ4" s="326"/>
      <c r="RBR4" s="326"/>
      <c r="RBS4" s="326"/>
      <c r="RBT4" s="326"/>
      <c r="RBU4" s="326">
        <v>45870</v>
      </c>
      <c r="RBV4" s="326"/>
      <c r="RBW4" s="326"/>
      <c r="RBX4" s="326"/>
      <c r="RBY4" s="326"/>
      <c r="RBZ4" s="326"/>
      <c r="RCA4" s="326"/>
      <c r="RCB4" s="326"/>
      <c r="RCC4" s="326"/>
      <c r="RCD4" s="326"/>
      <c r="RCE4" s="326"/>
      <c r="RCF4" s="326"/>
      <c r="RCG4" s="326"/>
      <c r="RCH4" s="326"/>
      <c r="RCI4" s="326"/>
      <c r="RCJ4" s="326"/>
      <c r="RCK4" s="326">
        <v>45870</v>
      </c>
      <c r="RCL4" s="326"/>
      <c r="RCM4" s="326"/>
      <c r="RCN4" s="326"/>
      <c r="RCO4" s="326"/>
      <c r="RCP4" s="326"/>
      <c r="RCQ4" s="326"/>
      <c r="RCR4" s="326"/>
      <c r="RCS4" s="326"/>
      <c r="RCT4" s="326"/>
      <c r="RCU4" s="326"/>
      <c r="RCV4" s="326"/>
      <c r="RCW4" s="326"/>
      <c r="RCX4" s="326"/>
      <c r="RCY4" s="326"/>
      <c r="RCZ4" s="326"/>
      <c r="RDA4" s="326">
        <v>45870</v>
      </c>
      <c r="RDB4" s="326"/>
      <c r="RDC4" s="326"/>
      <c r="RDD4" s="326"/>
      <c r="RDE4" s="326"/>
      <c r="RDF4" s="326"/>
      <c r="RDG4" s="326"/>
      <c r="RDH4" s="326"/>
      <c r="RDI4" s="326"/>
      <c r="RDJ4" s="326"/>
      <c r="RDK4" s="326"/>
      <c r="RDL4" s="326"/>
      <c r="RDM4" s="326"/>
      <c r="RDN4" s="326"/>
      <c r="RDO4" s="326"/>
      <c r="RDP4" s="326"/>
      <c r="RDQ4" s="326">
        <v>45870</v>
      </c>
      <c r="RDR4" s="326"/>
      <c r="RDS4" s="326"/>
      <c r="RDT4" s="326"/>
      <c r="RDU4" s="326"/>
      <c r="RDV4" s="326"/>
      <c r="RDW4" s="326"/>
      <c r="RDX4" s="326"/>
      <c r="RDY4" s="326"/>
      <c r="RDZ4" s="326"/>
      <c r="REA4" s="326"/>
      <c r="REB4" s="326"/>
      <c r="REC4" s="326"/>
      <c r="RED4" s="326"/>
      <c r="REE4" s="326"/>
      <c r="REF4" s="326"/>
      <c r="REG4" s="326">
        <v>45870</v>
      </c>
      <c r="REH4" s="326"/>
      <c r="REI4" s="326"/>
      <c r="REJ4" s="326"/>
      <c r="REK4" s="326"/>
      <c r="REL4" s="326"/>
      <c r="REM4" s="326"/>
      <c r="REN4" s="326"/>
      <c r="REO4" s="326"/>
      <c r="REP4" s="326"/>
      <c r="REQ4" s="326"/>
      <c r="RER4" s="326"/>
      <c r="RES4" s="326"/>
      <c r="RET4" s="326"/>
      <c r="REU4" s="326"/>
      <c r="REV4" s="326"/>
      <c r="REW4" s="326">
        <v>45870</v>
      </c>
      <c r="REX4" s="326"/>
      <c r="REY4" s="326"/>
      <c r="REZ4" s="326"/>
      <c r="RFA4" s="326"/>
      <c r="RFB4" s="326"/>
      <c r="RFC4" s="326"/>
      <c r="RFD4" s="326"/>
      <c r="RFE4" s="326"/>
      <c r="RFF4" s="326"/>
      <c r="RFG4" s="326"/>
      <c r="RFH4" s="326"/>
      <c r="RFI4" s="326"/>
      <c r="RFJ4" s="326"/>
      <c r="RFK4" s="326"/>
      <c r="RFL4" s="326"/>
      <c r="RFM4" s="326">
        <v>45870</v>
      </c>
      <c r="RFN4" s="326"/>
      <c r="RFO4" s="326"/>
      <c r="RFP4" s="326"/>
      <c r="RFQ4" s="326"/>
      <c r="RFR4" s="326"/>
      <c r="RFS4" s="326"/>
      <c r="RFT4" s="326"/>
      <c r="RFU4" s="326"/>
      <c r="RFV4" s="326"/>
      <c r="RFW4" s="326"/>
      <c r="RFX4" s="326"/>
      <c r="RFY4" s="326"/>
      <c r="RFZ4" s="326"/>
      <c r="RGA4" s="326"/>
      <c r="RGB4" s="326"/>
      <c r="RGC4" s="326">
        <v>45870</v>
      </c>
      <c r="RGD4" s="326"/>
      <c r="RGE4" s="326"/>
      <c r="RGF4" s="326"/>
      <c r="RGG4" s="326"/>
      <c r="RGH4" s="326"/>
      <c r="RGI4" s="326"/>
      <c r="RGJ4" s="326"/>
      <c r="RGK4" s="326"/>
      <c r="RGL4" s="326"/>
      <c r="RGM4" s="326"/>
      <c r="RGN4" s="326"/>
      <c r="RGO4" s="326"/>
      <c r="RGP4" s="326"/>
      <c r="RGQ4" s="326"/>
      <c r="RGR4" s="326"/>
      <c r="RGS4" s="326">
        <v>45870</v>
      </c>
      <c r="RGT4" s="326"/>
      <c r="RGU4" s="326"/>
      <c r="RGV4" s="326"/>
      <c r="RGW4" s="326"/>
      <c r="RGX4" s="326"/>
      <c r="RGY4" s="326"/>
      <c r="RGZ4" s="326"/>
      <c r="RHA4" s="326"/>
      <c r="RHB4" s="326"/>
      <c r="RHC4" s="326"/>
      <c r="RHD4" s="326"/>
      <c r="RHE4" s="326"/>
      <c r="RHF4" s="326"/>
      <c r="RHG4" s="326"/>
      <c r="RHH4" s="326"/>
      <c r="RHI4" s="326">
        <v>45870</v>
      </c>
      <c r="RHJ4" s="326"/>
      <c r="RHK4" s="326"/>
      <c r="RHL4" s="326"/>
      <c r="RHM4" s="326"/>
      <c r="RHN4" s="326"/>
      <c r="RHO4" s="326"/>
      <c r="RHP4" s="326"/>
      <c r="RHQ4" s="326"/>
      <c r="RHR4" s="326"/>
      <c r="RHS4" s="326"/>
      <c r="RHT4" s="326"/>
      <c r="RHU4" s="326"/>
      <c r="RHV4" s="326"/>
      <c r="RHW4" s="326"/>
      <c r="RHX4" s="326"/>
      <c r="RHY4" s="326">
        <v>45870</v>
      </c>
      <c r="RHZ4" s="326"/>
      <c r="RIA4" s="326"/>
      <c r="RIB4" s="326"/>
      <c r="RIC4" s="326"/>
      <c r="RID4" s="326"/>
      <c r="RIE4" s="326"/>
      <c r="RIF4" s="326"/>
      <c r="RIG4" s="326"/>
      <c r="RIH4" s="326"/>
      <c r="RII4" s="326"/>
      <c r="RIJ4" s="326"/>
      <c r="RIK4" s="326"/>
      <c r="RIL4" s="326"/>
      <c r="RIM4" s="326"/>
      <c r="RIN4" s="326"/>
      <c r="RIO4" s="326">
        <v>45870</v>
      </c>
      <c r="RIP4" s="326"/>
      <c r="RIQ4" s="326"/>
      <c r="RIR4" s="326"/>
      <c r="RIS4" s="326"/>
      <c r="RIT4" s="326"/>
      <c r="RIU4" s="326"/>
      <c r="RIV4" s="326"/>
      <c r="RIW4" s="326"/>
      <c r="RIX4" s="326"/>
      <c r="RIY4" s="326"/>
      <c r="RIZ4" s="326"/>
      <c r="RJA4" s="326"/>
      <c r="RJB4" s="326"/>
      <c r="RJC4" s="326"/>
      <c r="RJD4" s="326"/>
      <c r="RJE4" s="326">
        <v>45870</v>
      </c>
      <c r="RJF4" s="326"/>
      <c r="RJG4" s="326"/>
      <c r="RJH4" s="326"/>
      <c r="RJI4" s="326"/>
      <c r="RJJ4" s="326"/>
      <c r="RJK4" s="326"/>
      <c r="RJL4" s="326"/>
      <c r="RJM4" s="326"/>
      <c r="RJN4" s="326"/>
      <c r="RJO4" s="326"/>
      <c r="RJP4" s="326"/>
      <c r="RJQ4" s="326"/>
      <c r="RJR4" s="326"/>
      <c r="RJS4" s="326"/>
      <c r="RJT4" s="326"/>
      <c r="RJU4" s="326">
        <v>45870</v>
      </c>
      <c r="RJV4" s="326"/>
      <c r="RJW4" s="326"/>
      <c r="RJX4" s="326"/>
      <c r="RJY4" s="326"/>
      <c r="RJZ4" s="326"/>
      <c r="RKA4" s="326"/>
      <c r="RKB4" s="326"/>
      <c r="RKC4" s="326"/>
      <c r="RKD4" s="326"/>
      <c r="RKE4" s="326"/>
      <c r="RKF4" s="326"/>
      <c r="RKG4" s="326"/>
      <c r="RKH4" s="326"/>
      <c r="RKI4" s="326"/>
      <c r="RKJ4" s="326"/>
      <c r="RKK4" s="326">
        <v>45870</v>
      </c>
      <c r="RKL4" s="326"/>
      <c r="RKM4" s="326"/>
      <c r="RKN4" s="326"/>
      <c r="RKO4" s="326"/>
      <c r="RKP4" s="326"/>
      <c r="RKQ4" s="326"/>
      <c r="RKR4" s="326"/>
      <c r="RKS4" s="326"/>
      <c r="RKT4" s="326"/>
      <c r="RKU4" s="326"/>
      <c r="RKV4" s="326"/>
      <c r="RKW4" s="326"/>
      <c r="RKX4" s="326"/>
      <c r="RKY4" s="326"/>
      <c r="RKZ4" s="326"/>
      <c r="RLA4" s="326">
        <v>45870</v>
      </c>
      <c r="RLB4" s="326"/>
      <c r="RLC4" s="326"/>
      <c r="RLD4" s="326"/>
      <c r="RLE4" s="326"/>
      <c r="RLF4" s="326"/>
      <c r="RLG4" s="326"/>
      <c r="RLH4" s="326"/>
      <c r="RLI4" s="326"/>
      <c r="RLJ4" s="326"/>
      <c r="RLK4" s="326"/>
      <c r="RLL4" s="326"/>
      <c r="RLM4" s="326"/>
      <c r="RLN4" s="326"/>
      <c r="RLO4" s="326"/>
      <c r="RLP4" s="326"/>
      <c r="RLQ4" s="326">
        <v>45870</v>
      </c>
      <c r="RLR4" s="326"/>
      <c r="RLS4" s="326"/>
      <c r="RLT4" s="326"/>
      <c r="RLU4" s="326"/>
      <c r="RLV4" s="326"/>
      <c r="RLW4" s="326"/>
      <c r="RLX4" s="326"/>
      <c r="RLY4" s="326"/>
      <c r="RLZ4" s="326"/>
      <c r="RMA4" s="326"/>
      <c r="RMB4" s="326"/>
      <c r="RMC4" s="326"/>
      <c r="RMD4" s="326"/>
      <c r="RME4" s="326"/>
      <c r="RMF4" s="326"/>
      <c r="RMG4" s="326">
        <v>45870</v>
      </c>
      <c r="RMH4" s="326"/>
      <c r="RMI4" s="326"/>
      <c r="RMJ4" s="326"/>
      <c r="RMK4" s="326"/>
      <c r="RML4" s="326"/>
      <c r="RMM4" s="326"/>
      <c r="RMN4" s="326"/>
      <c r="RMO4" s="326"/>
      <c r="RMP4" s="326"/>
      <c r="RMQ4" s="326"/>
      <c r="RMR4" s="326"/>
      <c r="RMS4" s="326"/>
      <c r="RMT4" s="326"/>
      <c r="RMU4" s="326"/>
      <c r="RMV4" s="326"/>
      <c r="RMW4" s="326">
        <v>45870</v>
      </c>
      <c r="RMX4" s="326"/>
      <c r="RMY4" s="326"/>
      <c r="RMZ4" s="326"/>
      <c r="RNA4" s="326"/>
      <c r="RNB4" s="326"/>
      <c r="RNC4" s="326"/>
      <c r="RND4" s="326"/>
      <c r="RNE4" s="326"/>
      <c r="RNF4" s="326"/>
      <c r="RNG4" s="326"/>
      <c r="RNH4" s="326"/>
      <c r="RNI4" s="326"/>
      <c r="RNJ4" s="326"/>
      <c r="RNK4" s="326"/>
      <c r="RNL4" s="326"/>
      <c r="RNM4" s="326">
        <v>45870</v>
      </c>
      <c r="RNN4" s="326"/>
      <c r="RNO4" s="326"/>
      <c r="RNP4" s="326"/>
      <c r="RNQ4" s="326"/>
      <c r="RNR4" s="326"/>
      <c r="RNS4" s="326"/>
      <c r="RNT4" s="326"/>
      <c r="RNU4" s="326"/>
      <c r="RNV4" s="326"/>
      <c r="RNW4" s="326"/>
      <c r="RNX4" s="326"/>
      <c r="RNY4" s="326"/>
      <c r="RNZ4" s="326"/>
      <c r="ROA4" s="326"/>
      <c r="ROB4" s="326"/>
      <c r="ROC4" s="326">
        <v>45870</v>
      </c>
      <c r="ROD4" s="326"/>
      <c r="ROE4" s="326"/>
      <c r="ROF4" s="326"/>
      <c r="ROG4" s="326"/>
      <c r="ROH4" s="326"/>
      <c r="ROI4" s="326"/>
      <c r="ROJ4" s="326"/>
      <c r="ROK4" s="326"/>
      <c r="ROL4" s="326"/>
      <c r="ROM4" s="326"/>
      <c r="RON4" s="326"/>
      <c r="ROO4" s="326"/>
      <c r="ROP4" s="326"/>
      <c r="ROQ4" s="326"/>
      <c r="ROR4" s="326"/>
      <c r="ROS4" s="326">
        <v>45870</v>
      </c>
      <c r="ROT4" s="326"/>
      <c r="ROU4" s="326"/>
      <c r="ROV4" s="326"/>
      <c r="ROW4" s="326"/>
      <c r="ROX4" s="326"/>
      <c r="ROY4" s="326"/>
      <c r="ROZ4" s="326"/>
      <c r="RPA4" s="326"/>
      <c r="RPB4" s="326"/>
      <c r="RPC4" s="326"/>
      <c r="RPD4" s="326"/>
      <c r="RPE4" s="326"/>
      <c r="RPF4" s="326"/>
      <c r="RPG4" s="326"/>
      <c r="RPH4" s="326"/>
      <c r="RPI4" s="326">
        <v>45870</v>
      </c>
      <c r="RPJ4" s="326"/>
      <c r="RPK4" s="326"/>
      <c r="RPL4" s="326"/>
      <c r="RPM4" s="326"/>
      <c r="RPN4" s="326"/>
      <c r="RPO4" s="326"/>
      <c r="RPP4" s="326"/>
      <c r="RPQ4" s="326"/>
      <c r="RPR4" s="326"/>
      <c r="RPS4" s="326"/>
      <c r="RPT4" s="326"/>
      <c r="RPU4" s="326"/>
      <c r="RPV4" s="326"/>
      <c r="RPW4" s="326"/>
      <c r="RPX4" s="326"/>
      <c r="RPY4" s="326">
        <v>45870</v>
      </c>
      <c r="RPZ4" s="326"/>
      <c r="RQA4" s="326"/>
      <c r="RQB4" s="326"/>
      <c r="RQC4" s="326"/>
      <c r="RQD4" s="326"/>
      <c r="RQE4" s="326"/>
      <c r="RQF4" s="326"/>
      <c r="RQG4" s="326"/>
      <c r="RQH4" s="326"/>
      <c r="RQI4" s="326"/>
      <c r="RQJ4" s="326"/>
      <c r="RQK4" s="326"/>
      <c r="RQL4" s="326"/>
      <c r="RQM4" s="326"/>
      <c r="RQN4" s="326"/>
      <c r="RQO4" s="326">
        <v>45870</v>
      </c>
      <c r="RQP4" s="326"/>
      <c r="RQQ4" s="326"/>
      <c r="RQR4" s="326"/>
      <c r="RQS4" s="326"/>
      <c r="RQT4" s="326"/>
      <c r="RQU4" s="326"/>
      <c r="RQV4" s="326"/>
      <c r="RQW4" s="326"/>
      <c r="RQX4" s="326"/>
      <c r="RQY4" s="326"/>
      <c r="RQZ4" s="326"/>
      <c r="RRA4" s="326"/>
      <c r="RRB4" s="326"/>
      <c r="RRC4" s="326"/>
      <c r="RRD4" s="326"/>
      <c r="RRE4" s="326">
        <v>45870</v>
      </c>
      <c r="RRF4" s="326"/>
      <c r="RRG4" s="326"/>
      <c r="RRH4" s="326"/>
      <c r="RRI4" s="326"/>
      <c r="RRJ4" s="326"/>
      <c r="RRK4" s="326"/>
      <c r="RRL4" s="326"/>
      <c r="RRM4" s="326"/>
      <c r="RRN4" s="326"/>
      <c r="RRO4" s="326"/>
      <c r="RRP4" s="326"/>
      <c r="RRQ4" s="326"/>
      <c r="RRR4" s="326"/>
      <c r="RRS4" s="326"/>
      <c r="RRT4" s="326"/>
      <c r="RRU4" s="326">
        <v>45870</v>
      </c>
      <c r="RRV4" s="326"/>
      <c r="RRW4" s="326"/>
      <c r="RRX4" s="326"/>
      <c r="RRY4" s="326"/>
      <c r="RRZ4" s="326"/>
      <c r="RSA4" s="326"/>
      <c r="RSB4" s="326"/>
      <c r="RSC4" s="326"/>
      <c r="RSD4" s="326"/>
      <c r="RSE4" s="326"/>
      <c r="RSF4" s="326"/>
      <c r="RSG4" s="326"/>
      <c r="RSH4" s="326"/>
      <c r="RSI4" s="326"/>
      <c r="RSJ4" s="326"/>
      <c r="RSK4" s="326">
        <v>45870</v>
      </c>
      <c r="RSL4" s="326"/>
      <c r="RSM4" s="326"/>
      <c r="RSN4" s="326"/>
      <c r="RSO4" s="326"/>
      <c r="RSP4" s="326"/>
      <c r="RSQ4" s="326"/>
      <c r="RSR4" s="326"/>
      <c r="RSS4" s="326"/>
      <c r="RST4" s="326"/>
      <c r="RSU4" s="326"/>
      <c r="RSV4" s="326"/>
      <c r="RSW4" s="326"/>
      <c r="RSX4" s="326"/>
      <c r="RSY4" s="326"/>
      <c r="RSZ4" s="326"/>
      <c r="RTA4" s="326">
        <v>45870</v>
      </c>
      <c r="RTB4" s="326"/>
      <c r="RTC4" s="326"/>
      <c r="RTD4" s="326"/>
      <c r="RTE4" s="326"/>
      <c r="RTF4" s="326"/>
      <c r="RTG4" s="326"/>
      <c r="RTH4" s="326"/>
      <c r="RTI4" s="326"/>
      <c r="RTJ4" s="326"/>
      <c r="RTK4" s="326"/>
      <c r="RTL4" s="326"/>
      <c r="RTM4" s="326"/>
      <c r="RTN4" s="326"/>
      <c r="RTO4" s="326"/>
      <c r="RTP4" s="326"/>
      <c r="RTQ4" s="326">
        <v>45870</v>
      </c>
      <c r="RTR4" s="326"/>
      <c r="RTS4" s="326"/>
      <c r="RTT4" s="326"/>
      <c r="RTU4" s="326"/>
      <c r="RTV4" s="326"/>
      <c r="RTW4" s="326"/>
      <c r="RTX4" s="326"/>
      <c r="RTY4" s="326"/>
      <c r="RTZ4" s="326"/>
      <c r="RUA4" s="326"/>
      <c r="RUB4" s="326"/>
      <c r="RUC4" s="326"/>
      <c r="RUD4" s="326"/>
      <c r="RUE4" s="326"/>
      <c r="RUF4" s="326"/>
      <c r="RUG4" s="326">
        <v>45870</v>
      </c>
      <c r="RUH4" s="326"/>
      <c r="RUI4" s="326"/>
      <c r="RUJ4" s="326"/>
      <c r="RUK4" s="326"/>
      <c r="RUL4" s="326"/>
      <c r="RUM4" s="326"/>
      <c r="RUN4" s="326"/>
      <c r="RUO4" s="326"/>
      <c r="RUP4" s="326"/>
      <c r="RUQ4" s="326"/>
      <c r="RUR4" s="326"/>
      <c r="RUS4" s="326"/>
      <c r="RUT4" s="326"/>
      <c r="RUU4" s="326"/>
      <c r="RUV4" s="326"/>
      <c r="RUW4" s="326">
        <v>45870</v>
      </c>
      <c r="RUX4" s="326"/>
      <c r="RUY4" s="326"/>
      <c r="RUZ4" s="326"/>
      <c r="RVA4" s="326"/>
      <c r="RVB4" s="326"/>
      <c r="RVC4" s="326"/>
      <c r="RVD4" s="326"/>
      <c r="RVE4" s="326"/>
      <c r="RVF4" s="326"/>
      <c r="RVG4" s="326"/>
      <c r="RVH4" s="326"/>
      <c r="RVI4" s="326"/>
      <c r="RVJ4" s="326"/>
      <c r="RVK4" s="326"/>
      <c r="RVL4" s="326"/>
      <c r="RVM4" s="326">
        <v>45870</v>
      </c>
      <c r="RVN4" s="326"/>
      <c r="RVO4" s="326"/>
      <c r="RVP4" s="326"/>
      <c r="RVQ4" s="326"/>
      <c r="RVR4" s="326"/>
      <c r="RVS4" s="326"/>
      <c r="RVT4" s="326"/>
      <c r="RVU4" s="326"/>
      <c r="RVV4" s="326"/>
      <c r="RVW4" s="326"/>
      <c r="RVX4" s="326"/>
      <c r="RVY4" s="326"/>
      <c r="RVZ4" s="326"/>
      <c r="RWA4" s="326"/>
      <c r="RWB4" s="326"/>
      <c r="RWC4" s="326">
        <v>45870</v>
      </c>
      <c r="RWD4" s="326"/>
      <c r="RWE4" s="326"/>
      <c r="RWF4" s="326"/>
      <c r="RWG4" s="326"/>
      <c r="RWH4" s="326"/>
      <c r="RWI4" s="326"/>
      <c r="RWJ4" s="326"/>
      <c r="RWK4" s="326"/>
      <c r="RWL4" s="326"/>
      <c r="RWM4" s="326"/>
      <c r="RWN4" s="326"/>
      <c r="RWO4" s="326"/>
      <c r="RWP4" s="326"/>
      <c r="RWQ4" s="326"/>
      <c r="RWR4" s="326"/>
      <c r="RWS4" s="326">
        <v>45870</v>
      </c>
      <c r="RWT4" s="326"/>
      <c r="RWU4" s="326"/>
      <c r="RWV4" s="326"/>
      <c r="RWW4" s="326"/>
      <c r="RWX4" s="326"/>
      <c r="RWY4" s="326"/>
      <c r="RWZ4" s="326"/>
      <c r="RXA4" s="326"/>
      <c r="RXB4" s="326"/>
      <c r="RXC4" s="326"/>
      <c r="RXD4" s="326"/>
      <c r="RXE4" s="326"/>
      <c r="RXF4" s="326"/>
      <c r="RXG4" s="326"/>
      <c r="RXH4" s="326"/>
      <c r="RXI4" s="326">
        <v>45870</v>
      </c>
      <c r="RXJ4" s="326"/>
      <c r="RXK4" s="326"/>
      <c r="RXL4" s="326"/>
      <c r="RXM4" s="326"/>
      <c r="RXN4" s="326"/>
      <c r="RXO4" s="326"/>
      <c r="RXP4" s="326"/>
      <c r="RXQ4" s="326"/>
      <c r="RXR4" s="326"/>
      <c r="RXS4" s="326"/>
      <c r="RXT4" s="326"/>
      <c r="RXU4" s="326"/>
      <c r="RXV4" s="326"/>
      <c r="RXW4" s="326"/>
      <c r="RXX4" s="326"/>
      <c r="RXY4" s="326">
        <v>45870</v>
      </c>
      <c r="RXZ4" s="326"/>
      <c r="RYA4" s="326"/>
      <c r="RYB4" s="326"/>
      <c r="RYC4" s="326"/>
      <c r="RYD4" s="326"/>
      <c r="RYE4" s="326"/>
      <c r="RYF4" s="326"/>
      <c r="RYG4" s="326"/>
      <c r="RYH4" s="326"/>
      <c r="RYI4" s="326"/>
      <c r="RYJ4" s="326"/>
      <c r="RYK4" s="326"/>
      <c r="RYL4" s="326"/>
      <c r="RYM4" s="326"/>
      <c r="RYN4" s="326"/>
      <c r="RYO4" s="326">
        <v>45870</v>
      </c>
      <c r="RYP4" s="326"/>
      <c r="RYQ4" s="326"/>
      <c r="RYR4" s="326"/>
      <c r="RYS4" s="326"/>
      <c r="RYT4" s="326"/>
      <c r="RYU4" s="326"/>
      <c r="RYV4" s="326"/>
      <c r="RYW4" s="326"/>
      <c r="RYX4" s="326"/>
      <c r="RYY4" s="326"/>
      <c r="RYZ4" s="326"/>
      <c r="RZA4" s="326"/>
      <c r="RZB4" s="326"/>
      <c r="RZC4" s="326"/>
      <c r="RZD4" s="326"/>
      <c r="RZE4" s="326">
        <v>45870</v>
      </c>
      <c r="RZF4" s="326"/>
      <c r="RZG4" s="326"/>
      <c r="RZH4" s="326"/>
      <c r="RZI4" s="326"/>
      <c r="RZJ4" s="326"/>
      <c r="RZK4" s="326"/>
      <c r="RZL4" s="326"/>
      <c r="RZM4" s="326"/>
      <c r="RZN4" s="326"/>
      <c r="RZO4" s="326"/>
      <c r="RZP4" s="326"/>
      <c r="RZQ4" s="326"/>
      <c r="RZR4" s="326"/>
      <c r="RZS4" s="326"/>
      <c r="RZT4" s="326"/>
      <c r="RZU4" s="326">
        <v>45870</v>
      </c>
      <c r="RZV4" s="326"/>
      <c r="RZW4" s="326"/>
      <c r="RZX4" s="326"/>
      <c r="RZY4" s="326"/>
      <c r="RZZ4" s="326"/>
      <c r="SAA4" s="326"/>
      <c r="SAB4" s="326"/>
      <c r="SAC4" s="326"/>
      <c r="SAD4" s="326"/>
      <c r="SAE4" s="326"/>
      <c r="SAF4" s="326"/>
      <c r="SAG4" s="326"/>
      <c r="SAH4" s="326"/>
      <c r="SAI4" s="326"/>
      <c r="SAJ4" s="326"/>
      <c r="SAK4" s="326">
        <v>45870</v>
      </c>
      <c r="SAL4" s="326"/>
      <c r="SAM4" s="326"/>
      <c r="SAN4" s="326"/>
      <c r="SAO4" s="326"/>
      <c r="SAP4" s="326"/>
      <c r="SAQ4" s="326"/>
      <c r="SAR4" s="326"/>
      <c r="SAS4" s="326"/>
      <c r="SAT4" s="326"/>
      <c r="SAU4" s="326"/>
      <c r="SAV4" s="326"/>
      <c r="SAW4" s="326"/>
      <c r="SAX4" s="326"/>
      <c r="SAY4" s="326"/>
      <c r="SAZ4" s="326"/>
      <c r="SBA4" s="326">
        <v>45870</v>
      </c>
      <c r="SBB4" s="326"/>
      <c r="SBC4" s="326"/>
      <c r="SBD4" s="326"/>
      <c r="SBE4" s="326"/>
      <c r="SBF4" s="326"/>
      <c r="SBG4" s="326"/>
      <c r="SBH4" s="326"/>
      <c r="SBI4" s="326"/>
      <c r="SBJ4" s="326"/>
      <c r="SBK4" s="326"/>
      <c r="SBL4" s="326"/>
      <c r="SBM4" s="326"/>
      <c r="SBN4" s="326"/>
      <c r="SBO4" s="326"/>
      <c r="SBP4" s="326"/>
      <c r="SBQ4" s="326">
        <v>45870</v>
      </c>
      <c r="SBR4" s="326"/>
      <c r="SBS4" s="326"/>
      <c r="SBT4" s="326"/>
      <c r="SBU4" s="326"/>
      <c r="SBV4" s="326"/>
      <c r="SBW4" s="326"/>
      <c r="SBX4" s="326"/>
      <c r="SBY4" s="326"/>
      <c r="SBZ4" s="326"/>
      <c r="SCA4" s="326"/>
      <c r="SCB4" s="326"/>
      <c r="SCC4" s="326"/>
      <c r="SCD4" s="326"/>
      <c r="SCE4" s="326"/>
      <c r="SCF4" s="326"/>
      <c r="SCG4" s="326">
        <v>45870</v>
      </c>
      <c r="SCH4" s="326"/>
      <c r="SCI4" s="326"/>
      <c r="SCJ4" s="326"/>
      <c r="SCK4" s="326"/>
      <c r="SCL4" s="326"/>
      <c r="SCM4" s="326"/>
      <c r="SCN4" s="326"/>
      <c r="SCO4" s="326"/>
      <c r="SCP4" s="326"/>
      <c r="SCQ4" s="326"/>
      <c r="SCR4" s="326"/>
      <c r="SCS4" s="326"/>
      <c r="SCT4" s="326"/>
      <c r="SCU4" s="326"/>
      <c r="SCV4" s="326"/>
      <c r="SCW4" s="326">
        <v>45870</v>
      </c>
      <c r="SCX4" s="326"/>
      <c r="SCY4" s="326"/>
      <c r="SCZ4" s="326"/>
      <c r="SDA4" s="326"/>
      <c r="SDB4" s="326"/>
      <c r="SDC4" s="326"/>
      <c r="SDD4" s="326"/>
      <c r="SDE4" s="326"/>
      <c r="SDF4" s="326"/>
      <c r="SDG4" s="326"/>
      <c r="SDH4" s="326"/>
      <c r="SDI4" s="326"/>
      <c r="SDJ4" s="326"/>
      <c r="SDK4" s="326"/>
      <c r="SDL4" s="326"/>
      <c r="SDM4" s="326">
        <v>45870</v>
      </c>
      <c r="SDN4" s="326"/>
      <c r="SDO4" s="326"/>
      <c r="SDP4" s="326"/>
      <c r="SDQ4" s="326"/>
      <c r="SDR4" s="326"/>
      <c r="SDS4" s="326"/>
      <c r="SDT4" s="326"/>
      <c r="SDU4" s="326"/>
      <c r="SDV4" s="326"/>
      <c r="SDW4" s="326"/>
      <c r="SDX4" s="326"/>
      <c r="SDY4" s="326"/>
      <c r="SDZ4" s="326"/>
      <c r="SEA4" s="326"/>
      <c r="SEB4" s="326"/>
      <c r="SEC4" s="326">
        <v>45870</v>
      </c>
      <c r="SED4" s="326"/>
      <c r="SEE4" s="326"/>
      <c r="SEF4" s="326"/>
      <c r="SEG4" s="326"/>
      <c r="SEH4" s="326"/>
      <c r="SEI4" s="326"/>
      <c r="SEJ4" s="326"/>
      <c r="SEK4" s="326"/>
      <c r="SEL4" s="326"/>
      <c r="SEM4" s="326"/>
      <c r="SEN4" s="326"/>
      <c r="SEO4" s="326"/>
      <c r="SEP4" s="326"/>
      <c r="SEQ4" s="326"/>
      <c r="SER4" s="326"/>
      <c r="SES4" s="326">
        <v>45870</v>
      </c>
      <c r="SET4" s="326"/>
      <c r="SEU4" s="326"/>
      <c r="SEV4" s="326"/>
      <c r="SEW4" s="326"/>
      <c r="SEX4" s="326"/>
      <c r="SEY4" s="326"/>
      <c r="SEZ4" s="326"/>
      <c r="SFA4" s="326"/>
      <c r="SFB4" s="326"/>
      <c r="SFC4" s="326"/>
      <c r="SFD4" s="326"/>
      <c r="SFE4" s="326"/>
      <c r="SFF4" s="326"/>
      <c r="SFG4" s="326"/>
      <c r="SFH4" s="326"/>
      <c r="SFI4" s="326">
        <v>45870</v>
      </c>
      <c r="SFJ4" s="326"/>
      <c r="SFK4" s="326"/>
      <c r="SFL4" s="326"/>
      <c r="SFM4" s="326"/>
      <c r="SFN4" s="326"/>
      <c r="SFO4" s="326"/>
      <c r="SFP4" s="326"/>
      <c r="SFQ4" s="326"/>
      <c r="SFR4" s="326"/>
      <c r="SFS4" s="326"/>
      <c r="SFT4" s="326"/>
      <c r="SFU4" s="326"/>
      <c r="SFV4" s="326"/>
      <c r="SFW4" s="326"/>
      <c r="SFX4" s="326"/>
      <c r="SFY4" s="326">
        <v>45870</v>
      </c>
      <c r="SFZ4" s="326"/>
      <c r="SGA4" s="326"/>
      <c r="SGB4" s="326"/>
      <c r="SGC4" s="326"/>
      <c r="SGD4" s="326"/>
      <c r="SGE4" s="326"/>
      <c r="SGF4" s="326"/>
      <c r="SGG4" s="326"/>
      <c r="SGH4" s="326"/>
      <c r="SGI4" s="326"/>
      <c r="SGJ4" s="326"/>
      <c r="SGK4" s="326"/>
      <c r="SGL4" s="326"/>
      <c r="SGM4" s="326"/>
      <c r="SGN4" s="326"/>
      <c r="SGO4" s="326">
        <v>45870</v>
      </c>
      <c r="SGP4" s="326"/>
      <c r="SGQ4" s="326"/>
      <c r="SGR4" s="326"/>
      <c r="SGS4" s="326"/>
      <c r="SGT4" s="326"/>
      <c r="SGU4" s="326"/>
      <c r="SGV4" s="326"/>
      <c r="SGW4" s="326"/>
      <c r="SGX4" s="326"/>
      <c r="SGY4" s="326"/>
      <c r="SGZ4" s="326"/>
      <c r="SHA4" s="326"/>
      <c r="SHB4" s="326"/>
      <c r="SHC4" s="326"/>
      <c r="SHD4" s="326"/>
      <c r="SHE4" s="326">
        <v>45870</v>
      </c>
      <c r="SHF4" s="326"/>
      <c r="SHG4" s="326"/>
      <c r="SHH4" s="326"/>
      <c r="SHI4" s="326"/>
      <c r="SHJ4" s="326"/>
      <c r="SHK4" s="326"/>
      <c r="SHL4" s="326"/>
      <c r="SHM4" s="326"/>
      <c r="SHN4" s="326"/>
      <c r="SHO4" s="326"/>
      <c r="SHP4" s="326"/>
      <c r="SHQ4" s="326"/>
      <c r="SHR4" s="326"/>
      <c r="SHS4" s="326"/>
      <c r="SHT4" s="326"/>
      <c r="SHU4" s="326">
        <v>45870</v>
      </c>
      <c r="SHV4" s="326"/>
      <c r="SHW4" s="326"/>
      <c r="SHX4" s="326"/>
      <c r="SHY4" s="326"/>
      <c r="SHZ4" s="326"/>
      <c r="SIA4" s="326"/>
      <c r="SIB4" s="326"/>
      <c r="SIC4" s="326"/>
      <c r="SID4" s="326"/>
      <c r="SIE4" s="326"/>
      <c r="SIF4" s="326"/>
      <c r="SIG4" s="326"/>
      <c r="SIH4" s="326"/>
      <c r="SII4" s="326"/>
      <c r="SIJ4" s="326"/>
      <c r="SIK4" s="326">
        <v>45870</v>
      </c>
      <c r="SIL4" s="326"/>
      <c r="SIM4" s="326"/>
      <c r="SIN4" s="326"/>
      <c r="SIO4" s="326"/>
      <c r="SIP4" s="326"/>
      <c r="SIQ4" s="326"/>
      <c r="SIR4" s="326"/>
      <c r="SIS4" s="326"/>
      <c r="SIT4" s="326"/>
      <c r="SIU4" s="326"/>
      <c r="SIV4" s="326"/>
      <c r="SIW4" s="326"/>
      <c r="SIX4" s="326"/>
      <c r="SIY4" s="326"/>
      <c r="SIZ4" s="326"/>
      <c r="SJA4" s="326">
        <v>45870</v>
      </c>
      <c r="SJB4" s="326"/>
      <c r="SJC4" s="326"/>
      <c r="SJD4" s="326"/>
      <c r="SJE4" s="326"/>
      <c r="SJF4" s="326"/>
      <c r="SJG4" s="326"/>
      <c r="SJH4" s="326"/>
      <c r="SJI4" s="326"/>
      <c r="SJJ4" s="326"/>
      <c r="SJK4" s="326"/>
      <c r="SJL4" s="326"/>
      <c r="SJM4" s="326"/>
      <c r="SJN4" s="326"/>
      <c r="SJO4" s="326"/>
      <c r="SJP4" s="326"/>
      <c r="SJQ4" s="326">
        <v>45870</v>
      </c>
      <c r="SJR4" s="326"/>
      <c r="SJS4" s="326"/>
      <c r="SJT4" s="326"/>
      <c r="SJU4" s="326"/>
      <c r="SJV4" s="326"/>
      <c r="SJW4" s="326"/>
      <c r="SJX4" s="326"/>
      <c r="SJY4" s="326"/>
      <c r="SJZ4" s="326"/>
      <c r="SKA4" s="326"/>
      <c r="SKB4" s="326"/>
      <c r="SKC4" s="326"/>
      <c r="SKD4" s="326"/>
      <c r="SKE4" s="326"/>
      <c r="SKF4" s="326"/>
      <c r="SKG4" s="326">
        <v>45870</v>
      </c>
      <c r="SKH4" s="326"/>
      <c r="SKI4" s="326"/>
      <c r="SKJ4" s="326"/>
      <c r="SKK4" s="326"/>
      <c r="SKL4" s="326"/>
      <c r="SKM4" s="326"/>
      <c r="SKN4" s="326"/>
      <c r="SKO4" s="326"/>
      <c r="SKP4" s="326"/>
      <c r="SKQ4" s="326"/>
      <c r="SKR4" s="326"/>
      <c r="SKS4" s="326"/>
      <c r="SKT4" s="326"/>
      <c r="SKU4" s="326"/>
      <c r="SKV4" s="326"/>
      <c r="SKW4" s="326">
        <v>45870</v>
      </c>
      <c r="SKX4" s="326"/>
      <c r="SKY4" s="326"/>
      <c r="SKZ4" s="326"/>
      <c r="SLA4" s="326"/>
      <c r="SLB4" s="326"/>
      <c r="SLC4" s="326"/>
      <c r="SLD4" s="326"/>
      <c r="SLE4" s="326"/>
      <c r="SLF4" s="326"/>
      <c r="SLG4" s="326"/>
      <c r="SLH4" s="326"/>
      <c r="SLI4" s="326"/>
      <c r="SLJ4" s="326"/>
      <c r="SLK4" s="326"/>
      <c r="SLL4" s="326"/>
      <c r="SLM4" s="326">
        <v>45870</v>
      </c>
      <c r="SLN4" s="326"/>
      <c r="SLO4" s="326"/>
      <c r="SLP4" s="326"/>
      <c r="SLQ4" s="326"/>
      <c r="SLR4" s="326"/>
      <c r="SLS4" s="326"/>
      <c r="SLT4" s="326"/>
      <c r="SLU4" s="326"/>
      <c r="SLV4" s="326"/>
      <c r="SLW4" s="326"/>
      <c r="SLX4" s="326"/>
      <c r="SLY4" s="326"/>
      <c r="SLZ4" s="326"/>
      <c r="SMA4" s="326"/>
      <c r="SMB4" s="326"/>
      <c r="SMC4" s="326">
        <v>45870</v>
      </c>
      <c r="SMD4" s="326"/>
      <c r="SME4" s="326"/>
      <c r="SMF4" s="326"/>
      <c r="SMG4" s="326"/>
      <c r="SMH4" s="326"/>
      <c r="SMI4" s="326"/>
      <c r="SMJ4" s="326"/>
      <c r="SMK4" s="326"/>
      <c r="SML4" s="326"/>
      <c r="SMM4" s="326"/>
      <c r="SMN4" s="326"/>
      <c r="SMO4" s="326"/>
      <c r="SMP4" s="326"/>
      <c r="SMQ4" s="326"/>
      <c r="SMR4" s="326"/>
      <c r="SMS4" s="326">
        <v>45870</v>
      </c>
      <c r="SMT4" s="326"/>
      <c r="SMU4" s="326"/>
      <c r="SMV4" s="326"/>
      <c r="SMW4" s="326"/>
      <c r="SMX4" s="326"/>
      <c r="SMY4" s="326"/>
      <c r="SMZ4" s="326"/>
      <c r="SNA4" s="326"/>
      <c r="SNB4" s="326"/>
      <c r="SNC4" s="326"/>
      <c r="SND4" s="326"/>
      <c r="SNE4" s="326"/>
      <c r="SNF4" s="326"/>
      <c r="SNG4" s="326"/>
      <c r="SNH4" s="326"/>
      <c r="SNI4" s="326">
        <v>45870</v>
      </c>
      <c r="SNJ4" s="326"/>
      <c r="SNK4" s="326"/>
      <c r="SNL4" s="326"/>
      <c r="SNM4" s="326"/>
      <c r="SNN4" s="326"/>
      <c r="SNO4" s="326"/>
      <c r="SNP4" s="326"/>
      <c r="SNQ4" s="326"/>
      <c r="SNR4" s="326"/>
      <c r="SNS4" s="326"/>
      <c r="SNT4" s="326"/>
      <c r="SNU4" s="326"/>
      <c r="SNV4" s="326"/>
      <c r="SNW4" s="326"/>
      <c r="SNX4" s="326"/>
      <c r="SNY4" s="326">
        <v>45870</v>
      </c>
      <c r="SNZ4" s="326"/>
      <c r="SOA4" s="326"/>
      <c r="SOB4" s="326"/>
      <c r="SOC4" s="326"/>
      <c r="SOD4" s="326"/>
      <c r="SOE4" s="326"/>
      <c r="SOF4" s="326"/>
      <c r="SOG4" s="326"/>
      <c r="SOH4" s="326"/>
      <c r="SOI4" s="326"/>
      <c r="SOJ4" s="326"/>
      <c r="SOK4" s="326"/>
      <c r="SOL4" s="326"/>
      <c r="SOM4" s="326"/>
      <c r="SON4" s="326"/>
      <c r="SOO4" s="326">
        <v>45870</v>
      </c>
      <c r="SOP4" s="326"/>
      <c r="SOQ4" s="326"/>
      <c r="SOR4" s="326"/>
      <c r="SOS4" s="326"/>
      <c r="SOT4" s="326"/>
      <c r="SOU4" s="326"/>
      <c r="SOV4" s="326"/>
      <c r="SOW4" s="326"/>
      <c r="SOX4" s="326"/>
      <c r="SOY4" s="326"/>
      <c r="SOZ4" s="326"/>
      <c r="SPA4" s="326"/>
      <c r="SPB4" s="326"/>
      <c r="SPC4" s="326"/>
      <c r="SPD4" s="326"/>
      <c r="SPE4" s="326">
        <v>45870</v>
      </c>
      <c r="SPF4" s="326"/>
      <c r="SPG4" s="326"/>
      <c r="SPH4" s="326"/>
      <c r="SPI4" s="326"/>
      <c r="SPJ4" s="326"/>
      <c r="SPK4" s="326"/>
      <c r="SPL4" s="326"/>
      <c r="SPM4" s="326"/>
      <c r="SPN4" s="326"/>
      <c r="SPO4" s="326"/>
      <c r="SPP4" s="326"/>
      <c r="SPQ4" s="326"/>
      <c r="SPR4" s="326"/>
      <c r="SPS4" s="326"/>
      <c r="SPT4" s="326"/>
      <c r="SPU4" s="326">
        <v>45870</v>
      </c>
      <c r="SPV4" s="326"/>
      <c r="SPW4" s="326"/>
      <c r="SPX4" s="326"/>
      <c r="SPY4" s="326"/>
      <c r="SPZ4" s="326"/>
      <c r="SQA4" s="326"/>
      <c r="SQB4" s="326"/>
      <c r="SQC4" s="326"/>
      <c r="SQD4" s="326"/>
      <c r="SQE4" s="326"/>
      <c r="SQF4" s="326"/>
      <c r="SQG4" s="326"/>
      <c r="SQH4" s="326"/>
      <c r="SQI4" s="326"/>
      <c r="SQJ4" s="326"/>
      <c r="SQK4" s="326">
        <v>45870</v>
      </c>
      <c r="SQL4" s="326"/>
      <c r="SQM4" s="326"/>
      <c r="SQN4" s="326"/>
      <c r="SQO4" s="326"/>
      <c r="SQP4" s="326"/>
      <c r="SQQ4" s="326"/>
      <c r="SQR4" s="326"/>
      <c r="SQS4" s="326"/>
      <c r="SQT4" s="326"/>
      <c r="SQU4" s="326"/>
      <c r="SQV4" s="326"/>
      <c r="SQW4" s="326"/>
      <c r="SQX4" s="326"/>
      <c r="SQY4" s="326"/>
      <c r="SQZ4" s="326"/>
      <c r="SRA4" s="326">
        <v>45870</v>
      </c>
      <c r="SRB4" s="326"/>
      <c r="SRC4" s="326"/>
      <c r="SRD4" s="326"/>
      <c r="SRE4" s="326"/>
      <c r="SRF4" s="326"/>
      <c r="SRG4" s="326"/>
      <c r="SRH4" s="326"/>
      <c r="SRI4" s="326"/>
      <c r="SRJ4" s="326"/>
      <c r="SRK4" s="326"/>
      <c r="SRL4" s="326"/>
      <c r="SRM4" s="326"/>
      <c r="SRN4" s="326"/>
      <c r="SRO4" s="326"/>
      <c r="SRP4" s="326"/>
      <c r="SRQ4" s="326">
        <v>45870</v>
      </c>
      <c r="SRR4" s="326"/>
      <c r="SRS4" s="326"/>
      <c r="SRT4" s="326"/>
      <c r="SRU4" s="326"/>
      <c r="SRV4" s="326"/>
      <c r="SRW4" s="326"/>
      <c r="SRX4" s="326"/>
      <c r="SRY4" s="326"/>
      <c r="SRZ4" s="326"/>
      <c r="SSA4" s="326"/>
      <c r="SSB4" s="326"/>
      <c r="SSC4" s="326"/>
      <c r="SSD4" s="326"/>
      <c r="SSE4" s="326"/>
      <c r="SSF4" s="326"/>
      <c r="SSG4" s="326">
        <v>45870</v>
      </c>
      <c r="SSH4" s="326"/>
      <c r="SSI4" s="326"/>
      <c r="SSJ4" s="326"/>
      <c r="SSK4" s="326"/>
      <c r="SSL4" s="326"/>
      <c r="SSM4" s="326"/>
      <c r="SSN4" s="326"/>
      <c r="SSO4" s="326"/>
      <c r="SSP4" s="326"/>
      <c r="SSQ4" s="326"/>
      <c r="SSR4" s="326"/>
      <c r="SSS4" s="326"/>
      <c r="SST4" s="326"/>
      <c r="SSU4" s="326"/>
      <c r="SSV4" s="326"/>
      <c r="SSW4" s="326">
        <v>45870</v>
      </c>
      <c r="SSX4" s="326"/>
      <c r="SSY4" s="326"/>
      <c r="SSZ4" s="326"/>
      <c r="STA4" s="326"/>
      <c r="STB4" s="326"/>
      <c r="STC4" s="326"/>
      <c r="STD4" s="326"/>
      <c r="STE4" s="326"/>
      <c r="STF4" s="326"/>
      <c r="STG4" s="326"/>
      <c r="STH4" s="326"/>
      <c r="STI4" s="326"/>
      <c r="STJ4" s="326"/>
      <c r="STK4" s="326"/>
      <c r="STL4" s="326"/>
      <c r="STM4" s="326">
        <v>45870</v>
      </c>
      <c r="STN4" s="326"/>
      <c r="STO4" s="326"/>
      <c r="STP4" s="326"/>
      <c r="STQ4" s="326"/>
      <c r="STR4" s="326"/>
      <c r="STS4" s="326"/>
      <c r="STT4" s="326"/>
      <c r="STU4" s="326"/>
      <c r="STV4" s="326"/>
      <c r="STW4" s="326"/>
      <c r="STX4" s="326"/>
      <c r="STY4" s="326"/>
      <c r="STZ4" s="326"/>
      <c r="SUA4" s="326"/>
      <c r="SUB4" s="326"/>
      <c r="SUC4" s="326">
        <v>45870</v>
      </c>
      <c r="SUD4" s="326"/>
      <c r="SUE4" s="326"/>
      <c r="SUF4" s="326"/>
      <c r="SUG4" s="326"/>
      <c r="SUH4" s="326"/>
      <c r="SUI4" s="326"/>
      <c r="SUJ4" s="326"/>
      <c r="SUK4" s="326"/>
      <c r="SUL4" s="326"/>
      <c r="SUM4" s="326"/>
      <c r="SUN4" s="326"/>
      <c r="SUO4" s="326"/>
      <c r="SUP4" s="326"/>
      <c r="SUQ4" s="326"/>
      <c r="SUR4" s="326"/>
      <c r="SUS4" s="326">
        <v>45870</v>
      </c>
      <c r="SUT4" s="326"/>
      <c r="SUU4" s="326"/>
      <c r="SUV4" s="326"/>
      <c r="SUW4" s="326"/>
      <c r="SUX4" s="326"/>
      <c r="SUY4" s="326"/>
      <c r="SUZ4" s="326"/>
      <c r="SVA4" s="326"/>
      <c r="SVB4" s="326"/>
      <c r="SVC4" s="326"/>
      <c r="SVD4" s="326"/>
      <c r="SVE4" s="326"/>
      <c r="SVF4" s="326"/>
      <c r="SVG4" s="326"/>
      <c r="SVH4" s="326"/>
      <c r="SVI4" s="326">
        <v>45870</v>
      </c>
      <c r="SVJ4" s="326"/>
      <c r="SVK4" s="326"/>
      <c r="SVL4" s="326"/>
      <c r="SVM4" s="326"/>
      <c r="SVN4" s="326"/>
      <c r="SVO4" s="326"/>
      <c r="SVP4" s="326"/>
      <c r="SVQ4" s="326"/>
      <c r="SVR4" s="326"/>
      <c r="SVS4" s="326"/>
      <c r="SVT4" s="326"/>
      <c r="SVU4" s="326"/>
      <c r="SVV4" s="326"/>
      <c r="SVW4" s="326"/>
      <c r="SVX4" s="326"/>
      <c r="SVY4" s="326">
        <v>45870</v>
      </c>
      <c r="SVZ4" s="326"/>
      <c r="SWA4" s="326"/>
      <c r="SWB4" s="326"/>
      <c r="SWC4" s="326"/>
      <c r="SWD4" s="326"/>
      <c r="SWE4" s="326"/>
      <c r="SWF4" s="326"/>
      <c r="SWG4" s="326"/>
      <c r="SWH4" s="326"/>
      <c r="SWI4" s="326"/>
      <c r="SWJ4" s="326"/>
      <c r="SWK4" s="326"/>
      <c r="SWL4" s="326"/>
      <c r="SWM4" s="326"/>
      <c r="SWN4" s="326"/>
      <c r="SWO4" s="326">
        <v>45870</v>
      </c>
      <c r="SWP4" s="326"/>
      <c r="SWQ4" s="326"/>
      <c r="SWR4" s="326"/>
      <c r="SWS4" s="326"/>
      <c r="SWT4" s="326"/>
      <c r="SWU4" s="326"/>
      <c r="SWV4" s="326"/>
      <c r="SWW4" s="326"/>
      <c r="SWX4" s="326"/>
      <c r="SWY4" s="326"/>
      <c r="SWZ4" s="326"/>
      <c r="SXA4" s="326"/>
      <c r="SXB4" s="326"/>
      <c r="SXC4" s="326"/>
      <c r="SXD4" s="326"/>
      <c r="SXE4" s="326">
        <v>45870</v>
      </c>
      <c r="SXF4" s="326"/>
      <c r="SXG4" s="326"/>
      <c r="SXH4" s="326"/>
      <c r="SXI4" s="326"/>
      <c r="SXJ4" s="326"/>
      <c r="SXK4" s="326"/>
      <c r="SXL4" s="326"/>
      <c r="SXM4" s="326"/>
      <c r="SXN4" s="326"/>
      <c r="SXO4" s="326"/>
      <c r="SXP4" s="326"/>
      <c r="SXQ4" s="326"/>
      <c r="SXR4" s="326"/>
      <c r="SXS4" s="326"/>
      <c r="SXT4" s="326"/>
      <c r="SXU4" s="326">
        <v>45870</v>
      </c>
      <c r="SXV4" s="326"/>
      <c r="SXW4" s="326"/>
      <c r="SXX4" s="326"/>
      <c r="SXY4" s="326"/>
      <c r="SXZ4" s="326"/>
      <c r="SYA4" s="326"/>
      <c r="SYB4" s="326"/>
      <c r="SYC4" s="326"/>
      <c r="SYD4" s="326"/>
      <c r="SYE4" s="326"/>
      <c r="SYF4" s="326"/>
      <c r="SYG4" s="326"/>
      <c r="SYH4" s="326"/>
      <c r="SYI4" s="326"/>
      <c r="SYJ4" s="326"/>
      <c r="SYK4" s="326">
        <v>45870</v>
      </c>
      <c r="SYL4" s="326"/>
      <c r="SYM4" s="326"/>
      <c r="SYN4" s="326"/>
      <c r="SYO4" s="326"/>
      <c r="SYP4" s="326"/>
      <c r="SYQ4" s="326"/>
      <c r="SYR4" s="326"/>
      <c r="SYS4" s="326"/>
      <c r="SYT4" s="326"/>
      <c r="SYU4" s="326"/>
      <c r="SYV4" s="326"/>
      <c r="SYW4" s="326"/>
      <c r="SYX4" s="326"/>
      <c r="SYY4" s="326"/>
      <c r="SYZ4" s="326"/>
      <c r="SZA4" s="326">
        <v>45870</v>
      </c>
      <c r="SZB4" s="326"/>
      <c r="SZC4" s="326"/>
      <c r="SZD4" s="326"/>
      <c r="SZE4" s="326"/>
      <c r="SZF4" s="326"/>
      <c r="SZG4" s="326"/>
      <c r="SZH4" s="326"/>
      <c r="SZI4" s="326"/>
      <c r="SZJ4" s="326"/>
      <c r="SZK4" s="326"/>
      <c r="SZL4" s="326"/>
      <c r="SZM4" s="326"/>
      <c r="SZN4" s="326"/>
      <c r="SZO4" s="326"/>
      <c r="SZP4" s="326"/>
      <c r="SZQ4" s="326">
        <v>45870</v>
      </c>
      <c r="SZR4" s="326"/>
      <c r="SZS4" s="326"/>
      <c r="SZT4" s="326"/>
      <c r="SZU4" s="326"/>
      <c r="SZV4" s="326"/>
      <c r="SZW4" s="326"/>
      <c r="SZX4" s="326"/>
      <c r="SZY4" s="326"/>
      <c r="SZZ4" s="326"/>
      <c r="TAA4" s="326"/>
      <c r="TAB4" s="326"/>
      <c r="TAC4" s="326"/>
      <c r="TAD4" s="326"/>
      <c r="TAE4" s="326"/>
      <c r="TAF4" s="326"/>
      <c r="TAG4" s="326">
        <v>45870</v>
      </c>
      <c r="TAH4" s="326"/>
      <c r="TAI4" s="326"/>
      <c r="TAJ4" s="326"/>
      <c r="TAK4" s="326"/>
      <c r="TAL4" s="326"/>
      <c r="TAM4" s="326"/>
      <c r="TAN4" s="326"/>
      <c r="TAO4" s="326"/>
      <c r="TAP4" s="326"/>
      <c r="TAQ4" s="326"/>
      <c r="TAR4" s="326"/>
      <c r="TAS4" s="326"/>
      <c r="TAT4" s="326"/>
      <c r="TAU4" s="326"/>
      <c r="TAV4" s="326"/>
      <c r="TAW4" s="326">
        <v>45870</v>
      </c>
      <c r="TAX4" s="326"/>
      <c r="TAY4" s="326"/>
      <c r="TAZ4" s="326"/>
      <c r="TBA4" s="326"/>
      <c r="TBB4" s="326"/>
      <c r="TBC4" s="326"/>
      <c r="TBD4" s="326"/>
      <c r="TBE4" s="326"/>
      <c r="TBF4" s="326"/>
      <c r="TBG4" s="326"/>
      <c r="TBH4" s="326"/>
      <c r="TBI4" s="326"/>
      <c r="TBJ4" s="326"/>
      <c r="TBK4" s="326"/>
      <c r="TBL4" s="326"/>
      <c r="TBM4" s="326">
        <v>45870</v>
      </c>
      <c r="TBN4" s="326"/>
      <c r="TBO4" s="326"/>
      <c r="TBP4" s="326"/>
      <c r="TBQ4" s="326"/>
      <c r="TBR4" s="326"/>
      <c r="TBS4" s="326"/>
      <c r="TBT4" s="326"/>
      <c r="TBU4" s="326"/>
      <c r="TBV4" s="326"/>
      <c r="TBW4" s="326"/>
      <c r="TBX4" s="326"/>
      <c r="TBY4" s="326"/>
      <c r="TBZ4" s="326"/>
      <c r="TCA4" s="326"/>
      <c r="TCB4" s="326"/>
      <c r="TCC4" s="326">
        <v>45870</v>
      </c>
      <c r="TCD4" s="326"/>
      <c r="TCE4" s="326"/>
      <c r="TCF4" s="326"/>
      <c r="TCG4" s="326"/>
      <c r="TCH4" s="326"/>
      <c r="TCI4" s="326"/>
      <c r="TCJ4" s="326"/>
      <c r="TCK4" s="326"/>
      <c r="TCL4" s="326"/>
      <c r="TCM4" s="326"/>
      <c r="TCN4" s="326"/>
      <c r="TCO4" s="326"/>
      <c r="TCP4" s="326"/>
      <c r="TCQ4" s="326"/>
      <c r="TCR4" s="326"/>
      <c r="TCS4" s="326">
        <v>45870</v>
      </c>
      <c r="TCT4" s="326"/>
      <c r="TCU4" s="326"/>
      <c r="TCV4" s="326"/>
      <c r="TCW4" s="326"/>
      <c r="TCX4" s="326"/>
      <c r="TCY4" s="326"/>
      <c r="TCZ4" s="326"/>
      <c r="TDA4" s="326"/>
      <c r="TDB4" s="326"/>
      <c r="TDC4" s="326"/>
      <c r="TDD4" s="326"/>
      <c r="TDE4" s="326"/>
      <c r="TDF4" s="326"/>
      <c r="TDG4" s="326"/>
      <c r="TDH4" s="326"/>
      <c r="TDI4" s="326">
        <v>45870</v>
      </c>
      <c r="TDJ4" s="326"/>
      <c r="TDK4" s="326"/>
      <c r="TDL4" s="326"/>
      <c r="TDM4" s="326"/>
      <c r="TDN4" s="326"/>
      <c r="TDO4" s="326"/>
      <c r="TDP4" s="326"/>
      <c r="TDQ4" s="326"/>
      <c r="TDR4" s="326"/>
      <c r="TDS4" s="326"/>
      <c r="TDT4" s="326"/>
      <c r="TDU4" s="326"/>
      <c r="TDV4" s="326"/>
      <c r="TDW4" s="326"/>
      <c r="TDX4" s="326"/>
      <c r="TDY4" s="326">
        <v>45870</v>
      </c>
      <c r="TDZ4" s="326"/>
      <c r="TEA4" s="326"/>
      <c r="TEB4" s="326"/>
      <c r="TEC4" s="326"/>
      <c r="TED4" s="326"/>
      <c r="TEE4" s="326"/>
      <c r="TEF4" s="326"/>
      <c r="TEG4" s="326"/>
      <c r="TEH4" s="326"/>
      <c r="TEI4" s="326"/>
      <c r="TEJ4" s="326"/>
      <c r="TEK4" s="326"/>
      <c r="TEL4" s="326"/>
      <c r="TEM4" s="326"/>
      <c r="TEN4" s="326"/>
      <c r="TEO4" s="326">
        <v>45870</v>
      </c>
      <c r="TEP4" s="326"/>
      <c r="TEQ4" s="326"/>
      <c r="TER4" s="326"/>
      <c r="TES4" s="326"/>
      <c r="TET4" s="326"/>
      <c r="TEU4" s="326"/>
      <c r="TEV4" s="326"/>
      <c r="TEW4" s="326"/>
      <c r="TEX4" s="326"/>
      <c r="TEY4" s="326"/>
      <c r="TEZ4" s="326"/>
      <c r="TFA4" s="326"/>
      <c r="TFB4" s="326"/>
      <c r="TFC4" s="326"/>
      <c r="TFD4" s="326"/>
      <c r="TFE4" s="326">
        <v>45870</v>
      </c>
      <c r="TFF4" s="326"/>
      <c r="TFG4" s="326"/>
      <c r="TFH4" s="326"/>
      <c r="TFI4" s="326"/>
      <c r="TFJ4" s="326"/>
      <c r="TFK4" s="326"/>
      <c r="TFL4" s="326"/>
      <c r="TFM4" s="326"/>
      <c r="TFN4" s="326"/>
      <c r="TFO4" s="326"/>
      <c r="TFP4" s="326"/>
      <c r="TFQ4" s="326"/>
      <c r="TFR4" s="326"/>
      <c r="TFS4" s="326"/>
      <c r="TFT4" s="326"/>
      <c r="TFU4" s="326">
        <v>45870</v>
      </c>
      <c r="TFV4" s="326"/>
      <c r="TFW4" s="326"/>
      <c r="TFX4" s="326"/>
      <c r="TFY4" s="326"/>
      <c r="TFZ4" s="326"/>
      <c r="TGA4" s="326"/>
      <c r="TGB4" s="326"/>
      <c r="TGC4" s="326"/>
      <c r="TGD4" s="326"/>
      <c r="TGE4" s="326"/>
      <c r="TGF4" s="326"/>
      <c r="TGG4" s="326"/>
      <c r="TGH4" s="326"/>
      <c r="TGI4" s="326"/>
      <c r="TGJ4" s="326"/>
      <c r="TGK4" s="326">
        <v>45870</v>
      </c>
      <c r="TGL4" s="326"/>
      <c r="TGM4" s="326"/>
      <c r="TGN4" s="326"/>
      <c r="TGO4" s="326"/>
      <c r="TGP4" s="326"/>
      <c r="TGQ4" s="326"/>
      <c r="TGR4" s="326"/>
      <c r="TGS4" s="326"/>
      <c r="TGT4" s="326"/>
      <c r="TGU4" s="326"/>
      <c r="TGV4" s="326"/>
      <c r="TGW4" s="326"/>
      <c r="TGX4" s="326"/>
      <c r="TGY4" s="326"/>
      <c r="TGZ4" s="326"/>
      <c r="THA4" s="326">
        <v>45870</v>
      </c>
      <c r="THB4" s="326"/>
      <c r="THC4" s="326"/>
      <c r="THD4" s="326"/>
      <c r="THE4" s="326"/>
      <c r="THF4" s="326"/>
      <c r="THG4" s="326"/>
      <c r="THH4" s="326"/>
      <c r="THI4" s="326"/>
      <c r="THJ4" s="326"/>
      <c r="THK4" s="326"/>
      <c r="THL4" s="326"/>
      <c r="THM4" s="326"/>
      <c r="THN4" s="326"/>
      <c r="THO4" s="326"/>
      <c r="THP4" s="326"/>
      <c r="THQ4" s="326">
        <v>45870</v>
      </c>
      <c r="THR4" s="326"/>
      <c r="THS4" s="326"/>
      <c r="THT4" s="326"/>
      <c r="THU4" s="326"/>
      <c r="THV4" s="326"/>
      <c r="THW4" s="326"/>
      <c r="THX4" s="326"/>
      <c r="THY4" s="326"/>
      <c r="THZ4" s="326"/>
      <c r="TIA4" s="326"/>
      <c r="TIB4" s="326"/>
      <c r="TIC4" s="326"/>
      <c r="TID4" s="326"/>
      <c r="TIE4" s="326"/>
      <c r="TIF4" s="326"/>
      <c r="TIG4" s="326">
        <v>45870</v>
      </c>
      <c r="TIH4" s="326"/>
      <c r="TII4" s="326"/>
      <c r="TIJ4" s="326"/>
      <c r="TIK4" s="326"/>
      <c r="TIL4" s="326"/>
      <c r="TIM4" s="326"/>
      <c r="TIN4" s="326"/>
      <c r="TIO4" s="326"/>
      <c r="TIP4" s="326"/>
      <c r="TIQ4" s="326"/>
      <c r="TIR4" s="326"/>
      <c r="TIS4" s="326"/>
      <c r="TIT4" s="326"/>
      <c r="TIU4" s="326"/>
      <c r="TIV4" s="326"/>
      <c r="TIW4" s="326">
        <v>45870</v>
      </c>
      <c r="TIX4" s="326"/>
      <c r="TIY4" s="326"/>
      <c r="TIZ4" s="326"/>
      <c r="TJA4" s="326"/>
      <c r="TJB4" s="326"/>
      <c r="TJC4" s="326"/>
      <c r="TJD4" s="326"/>
      <c r="TJE4" s="326"/>
      <c r="TJF4" s="326"/>
      <c r="TJG4" s="326"/>
      <c r="TJH4" s="326"/>
      <c r="TJI4" s="326"/>
      <c r="TJJ4" s="326"/>
      <c r="TJK4" s="326"/>
      <c r="TJL4" s="326"/>
      <c r="TJM4" s="326">
        <v>45870</v>
      </c>
      <c r="TJN4" s="326"/>
      <c r="TJO4" s="326"/>
      <c r="TJP4" s="326"/>
      <c r="TJQ4" s="326"/>
      <c r="TJR4" s="326"/>
      <c r="TJS4" s="326"/>
      <c r="TJT4" s="326"/>
      <c r="TJU4" s="326"/>
      <c r="TJV4" s="326"/>
      <c r="TJW4" s="326"/>
      <c r="TJX4" s="326"/>
      <c r="TJY4" s="326"/>
      <c r="TJZ4" s="326"/>
      <c r="TKA4" s="326"/>
      <c r="TKB4" s="326"/>
      <c r="TKC4" s="326">
        <v>45870</v>
      </c>
      <c r="TKD4" s="326"/>
      <c r="TKE4" s="326"/>
      <c r="TKF4" s="326"/>
      <c r="TKG4" s="326"/>
      <c r="TKH4" s="326"/>
      <c r="TKI4" s="326"/>
      <c r="TKJ4" s="326"/>
      <c r="TKK4" s="326"/>
      <c r="TKL4" s="326"/>
      <c r="TKM4" s="326"/>
      <c r="TKN4" s="326"/>
      <c r="TKO4" s="326"/>
      <c r="TKP4" s="326"/>
      <c r="TKQ4" s="326"/>
      <c r="TKR4" s="326"/>
      <c r="TKS4" s="326">
        <v>45870</v>
      </c>
      <c r="TKT4" s="326"/>
      <c r="TKU4" s="326"/>
      <c r="TKV4" s="326"/>
      <c r="TKW4" s="326"/>
      <c r="TKX4" s="326"/>
      <c r="TKY4" s="326"/>
      <c r="TKZ4" s="326"/>
      <c r="TLA4" s="326"/>
      <c r="TLB4" s="326"/>
      <c r="TLC4" s="326"/>
      <c r="TLD4" s="326"/>
      <c r="TLE4" s="326"/>
      <c r="TLF4" s="326"/>
      <c r="TLG4" s="326"/>
      <c r="TLH4" s="326"/>
      <c r="TLI4" s="326">
        <v>45870</v>
      </c>
      <c r="TLJ4" s="326"/>
      <c r="TLK4" s="326"/>
      <c r="TLL4" s="326"/>
      <c r="TLM4" s="326"/>
      <c r="TLN4" s="326"/>
      <c r="TLO4" s="326"/>
      <c r="TLP4" s="326"/>
      <c r="TLQ4" s="326"/>
      <c r="TLR4" s="326"/>
      <c r="TLS4" s="326"/>
      <c r="TLT4" s="326"/>
      <c r="TLU4" s="326"/>
      <c r="TLV4" s="326"/>
      <c r="TLW4" s="326"/>
      <c r="TLX4" s="326"/>
      <c r="TLY4" s="326">
        <v>45870</v>
      </c>
      <c r="TLZ4" s="326"/>
      <c r="TMA4" s="326"/>
      <c r="TMB4" s="326"/>
      <c r="TMC4" s="326"/>
      <c r="TMD4" s="326"/>
      <c r="TME4" s="326"/>
      <c r="TMF4" s="326"/>
      <c r="TMG4" s="326"/>
      <c r="TMH4" s="326"/>
      <c r="TMI4" s="326"/>
      <c r="TMJ4" s="326"/>
      <c r="TMK4" s="326"/>
      <c r="TML4" s="326"/>
      <c r="TMM4" s="326"/>
      <c r="TMN4" s="326"/>
      <c r="TMO4" s="326">
        <v>45870</v>
      </c>
      <c r="TMP4" s="326"/>
      <c r="TMQ4" s="326"/>
      <c r="TMR4" s="326"/>
      <c r="TMS4" s="326"/>
      <c r="TMT4" s="326"/>
      <c r="TMU4" s="326"/>
      <c r="TMV4" s="326"/>
      <c r="TMW4" s="326"/>
      <c r="TMX4" s="326"/>
      <c r="TMY4" s="326"/>
      <c r="TMZ4" s="326"/>
      <c r="TNA4" s="326"/>
      <c r="TNB4" s="326"/>
      <c r="TNC4" s="326"/>
      <c r="TND4" s="326"/>
      <c r="TNE4" s="326">
        <v>45870</v>
      </c>
      <c r="TNF4" s="326"/>
      <c r="TNG4" s="326"/>
      <c r="TNH4" s="326"/>
      <c r="TNI4" s="326"/>
      <c r="TNJ4" s="326"/>
      <c r="TNK4" s="326"/>
      <c r="TNL4" s="326"/>
      <c r="TNM4" s="326"/>
      <c r="TNN4" s="326"/>
      <c r="TNO4" s="326"/>
      <c r="TNP4" s="326"/>
      <c r="TNQ4" s="326"/>
      <c r="TNR4" s="326"/>
      <c r="TNS4" s="326"/>
      <c r="TNT4" s="326"/>
      <c r="TNU4" s="326">
        <v>45870</v>
      </c>
      <c r="TNV4" s="326"/>
      <c r="TNW4" s="326"/>
      <c r="TNX4" s="326"/>
      <c r="TNY4" s="326"/>
      <c r="TNZ4" s="326"/>
      <c r="TOA4" s="326"/>
      <c r="TOB4" s="326"/>
      <c r="TOC4" s="326"/>
      <c r="TOD4" s="326"/>
      <c r="TOE4" s="326"/>
      <c r="TOF4" s="326"/>
      <c r="TOG4" s="326"/>
      <c r="TOH4" s="326"/>
      <c r="TOI4" s="326"/>
      <c r="TOJ4" s="326"/>
      <c r="TOK4" s="326">
        <v>45870</v>
      </c>
      <c r="TOL4" s="326"/>
      <c r="TOM4" s="326"/>
      <c r="TON4" s="326"/>
      <c r="TOO4" s="326"/>
      <c r="TOP4" s="326"/>
      <c r="TOQ4" s="326"/>
      <c r="TOR4" s="326"/>
      <c r="TOS4" s="326"/>
      <c r="TOT4" s="326"/>
      <c r="TOU4" s="326"/>
      <c r="TOV4" s="326"/>
      <c r="TOW4" s="326"/>
      <c r="TOX4" s="326"/>
      <c r="TOY4" s="326"/>
      <c r="TOZ4" s="326"/>
      <c r="TPA4" s="326">
        <v>45870</v>
      </c>
      <c r="TPB4" s="326"/>
      <c r="TPC4" s="326"/>
      <c r="TPD4" s="326"/>
      <c r="TPE4" s="326"/>
      <c r="TPF4" s="326"/>
      <c r="TPG4" s="326"/>
      <c r="TPH4" s="326"/>
      <c r="TPI4" s="326"/>
      <c r="TPJ4" s="326"/>
      <c r="TPK4" s="326"/>
      <c r="TPL4" s="326"/>
      <c r="TPM4" s="326"/>
      <c r="TPN4" s="326"/>
      <c r="TPO4" s="326"/>
      <c r="TPP4" s="326"/>
      <c r="TPQ4" s="326">
        <v>45870</v>
      </c>
      <c r="TPR4" s="326"/>
      <c r="TPS4" s="326"/>
      <c r="TPT4" s="326"/>
      <c r="TPU4" s="326"/>
      <c r="TPV4" s="326"/>
      <c r="TPW4" s="326"/>
      <c r="TPX4" s="326"/>
      <c r="TPY4" s="326"/>
      <c r="TPZ4" s="326"/>
      <c r="TQA4" s="326"/>
      <c r="TQB4" s="326"/>
      <c r="TQC4" s="326"/>
      <c r="TQD4" s="326"/>
      <c r="TQE4" s="326"/>
      <c r="TQF4" s="326"/>
      <c r="TQG4" s="326">
        <v>45870</v>
      </c>
      <c r="TQH4" s="326"/>
      <c r="TQI4" s="326"/>
      <c r="TQJ4" s="326"/>
      <c r="TQK4" s="326"/>
      <c r="TQL4" s="326"/>
      <c r="TQM4" s="326"/>
      <c r="TQN4" s="326"/>
      <c r="TQO4" s="326"/>
      <c r="TQP4" s="326"/>
      <c r="TQQ4" s="326"/>
      <c r="TQR4" s="326"/>
      <c r="TQS4" s="326"/>
      <c r="TQT4" s="326"/>
      <c r="TQU4" s="326"/>
      <c r="TQV4" s="326"/>
      <c r="TQW4" s="326">
        <v>45870</v>
      </c>
      <c r="TQX4" s="326"/>
      <c r="TQY4" s="326"/>
      <c r="TQZ4" s="326"/>
      <c r="TRA4" s="326"/>
      <c r="TRB4" s="326"/>
      <c r="TRC4" s="326"/>
      <c r="TRD4" s="326"/>
      <c r="TRE4" s="326"/>
      <c r="TRF4" s="326"/>
      <c r="TRG4" s="326"/>
      <c r="TRH4" s="326"/>
      <c r="TRI4" s="326"/>
      <c r="TRJ4" s="326"/>
      <c r="TRK4" s="326"/>
      <c r="TRL4" s="326"/>
      <c r="TRM4" s="326">
        <v>45870</v>
      </c>
      <c r="TRN4" s="326"/>
      <c r="TRO4" s="326"/>
      <c r="TRP4" s="326"/>
      <c r="TRQ4" s="326"/>
      <c r="TRR4" s="326"/>
      <c r="TRS4" s="326"/>
      <c r="TRT4" s="326"/>
      <c r="TRU4" s="326"/>
      <c r="TRV4" s="326"/>
      <c r="TRW4" s="326"/>
      <c r="TRX4" s="326"/>
      <c r="TRY4" s="326"/>
      <c r="TRZ4" s="326"/>
      <c r="TSA4" s="326"/>
      <c r="TSB4" s="326"/>
      <c r="TSC4" s="326">
        <v>45870</v>
      </c>
      <c r="TSD4" s="326"/>
      <c r="TSE4" s="326"/>
      <c r="TSF4" s="326"/>
      <c r="TSG4" s="326"/>
      <c r="TSH4" s="326"/>
      <c r="TSI4" s="326"/>
      <c r="TSJ4" s="326"/>
      <c r="TSK4" s="326"/>
      <c r="TSL4" s="326"/>
      <c r="TSM4" s="326"/>
      <c r="TSN4" s="326"/>
      <c r="TSO4" s="326"/>
      <c r="TSP4" s="326"/>
      <c r="TSQ4" s="326"/>
      <c r="TSR4" s="326"/>
      <c r="TSS4" s="326">
        <v>45870</v>
      </c>
      <c r="TST4" s="326"/>
      <c r="TSU4" s="326"/>
      <c r="TSV4" s="326"/>
      <c r="TSW4" s="326"/>
      <c r="TSX4" s="326"/>
      <c r="TSY4" s="326"/>
      <c r="TSZ4" s="326"/>
      <c r="TTA4" s="326"/>
      <c r="TTB4" s="326"/>
      <c r="TTC4" s="326"/>
      <c r="TTD4" s="326"/>
      <c r="TTE4" s="326"/>
      <c r="TTF4" s="326"/>
      <c r="TTG4" s="326"/>
      <c r="TTH4" s="326"/>
      <c r="TTI4" s="326">
        <v>45870</v>
      </c>
      <c r="TTJ4" s="326"/>
      <c r="TTK4" s="326"/>
      <c r="TTL4" s="326"/>
      <c r="TTM4" s="326"/>
      <c r="TTN4" s="326"/>
      <c r="TTO4" s="326"/>
      <c r="TTP4" s="326"/>
      <c r="TTQ4" s="326"/>
      <c r="TTR4" s="326"/>
      <c r="TTS4" s="326"/>
      <c r="TTT4" s="326"/>
      <c r="TTU4" s="326"/>
      <c r="TTV4" s="326"/>
      <c r="TTW4" s="326"/>
      <c r="TTX4" s="326"/>
      <c r="TTY4" s="326">
        <v>45870</v>
      </c>
      <c r="TTZ4" s="326"/>
      <c r="TUA4" s="326"/>
      <c r="TUB4" s="326"/>
      <c r="TUC4" s="326"/>
      <c r="TUD4" s="326"/>
      <c r="TUE4" s="326"/>
      <c r="TUF4" s="326"/>
      <c r="TUG4" s="326"/>
      <c r="TUH4" s="326"/>
      <c r="TUI4" s="326"/>
      <c r="TUJ4" s="326"/>
      <c r="TUK4" s="326"/>
      <c r="TUL4" s="326"/>
      <c r="TUM4" s="326"/>
      <c r="TUN4" s="326"/>
      <c r="TUO4" s="326">
        <v>45870</v>
      </c>
      <c r="TUP4" s="326"/>
      <c r="TUQ4" s="326"/>
      <c r="TUR4" s="326"/>
      <c r="TUS4" s="326"/>
      <c r="TUT4" s="326"/>
      <c r="TUU4" s="326"/>
      <c r="TUV4" s="326"/>
      <c r="TUW4" s="326"/>
      <c r="TUX4" s="326"/>
      <c r="TUY4" s="326"/>
      <c r="TUZ4" s="326"/>
      <c r="TVA4" s="326"/>
      <c r="TVB4" s="326"/>
      <c r="TVC4" s="326"/>
      <c r="TVD4" s="326"/>
      <c r="TVE4" s="326">
        <v>45870</v>
      </c>
      <c r="TVF4" s="326"/>
      <c r="TVG4" s="326"/>
      <c r="TVH4" s="326"/>
      <c r="TVI4" s="326"/>
      <c r="TVJ4" s="326"/>
      <c r="TVK4" s="326"/>
      <c r="TVL4" s="326"/>
      <c r="TVM4" s="326"/>
      <c r="TVN4" s="326"/>
      <c r="TVO4" s="326"/>
      <c r="TVP4" s="326"/>
      <c r="TVQ4" s="326"/>
      <c r="TVR4" s="326"/>
      <c r="TVS4" s="326"/>
      <c r="TVT4" s="326"/>
      <c r="TVU4" s="326">
        <v>45870</v>
      </c>
      <c r="TVV4" s="326"/>
      <c r="TVW4" s="326"/>
      <c r="TVX4" s="326"/>
      <c r="TVY4" s="326"/>
      <c r="TVZ4" s="326"/>
      <c r="TWA4" s="326"/>
      <c r="TWB4" s="326"/>
      <c r="TWC4" s="326"/>
      <c r="TWD4" s="326"/>
      <c r="TWE4" s="326"/>
      <c r="TWF4" s="326"/>
      <c r="TWG4" s="326"/>
      <c r="TWH4" s="326"/>
      <c r="TWI4" s="326"/>
      <c r="TWJ4" s="326"/>
      <c r="TWK4" s="326">
        <v>45870</v>
      </c>
      <c r="TWL4" s="326"/>
      <c r="TWM4" s="326"/>
      <c r="TWN4" s="326"/>
      <c r="TWO4" s="326"/>
      <c r="TWP4" s="326"/>
      <c r="TWQ4" s="326"/>
      <c r="TWR4" s="326"/>
      <c r="TWS4" s="326"/>
      <c r="TWT4" s="326"/>
      <c r="TWU4" s="326"/>
      <c r="TWV4" s="326"/>
      <c r="TWW4" s="326"/>
      <c r="TWX4" s="326"/>
      <c r="TWY4" s="326"/>
      <c r="TWZ4" s="326"/>
      <c r="TXA4" s="326">
        <v>45870</v>
      </c>
      <c r="TXB4" s="326"/>
      <c r="TXC4" s="326"/>
      <c r="TXD4" s="326"/>
      <c r="TXE4" s="326"/>
      <c r="TXF4" s="326"/>
      <c r="TXG4" s="326"/>
      <c r="TXH4" s="326"/>
      <c r="TXI4" s="326"/>
      <c r="TXJ4" s="326"/>
      <c r="TXK4" s="326"/>
      <c r="TXL4" s="326"/>
      <c r="TXM4" s="326"/>
      <c r="TXN4" s="326"/>
      <c r="TXO4" s="326"/>
      <c r="TXP4" s="326"/>
      <c r="TXQ4" s="326">
        <v>45870</v>
      </c>
      <c r="TXR4" s="326"/>
      <c r="TXS4" s="326"/>
      <c r="TXT4" s="326"/>
      <c r="TXU4" s="326"/>
      <c r="TXV4" s="326"/>
      <c r="TXW4" s="326"/>
      <c r="TXX4" s="326"/>
      <c r="TXY4" s="326"/>
      <c r="TXZ4" s="326"/>
      <c r="TYA4" s="326"/>
      <c r="TYB4" s="326"/>
      <c r="TYC4" s="326"/>
      <c r="TYD4" s="326"/>
      <c r="TYE4" s="326"/>
      <c r="TYF4" s="326"/>
      <c r="TYG4" s="326">
        <v>45870</v>
      </c>
      <c r="TYH4" s="326"/>
      <c r="TYI4" s="326"/>
      <c r="TYJ4" s="326"/>
      <c r="TYK4" s="326"/>
      <c r="TYL4" s="326"/>
      <c r="TYM4" s="326"/>
      <c r="TYN4" s="326"/>
      <c r="TYO4" s="326"/>
      <c r="TYP4" s="326"/>
      <c r="TYQ4" s="326"/>
      <c r="TYR4" s="326"/>
      <c r="TYS4" s="326"/>
      <c r="TYT4" s="326"/>
      <c r="TYU4" s="326"/>
      <c r="TYV4" s="326"/>
      <c r="TYW4" s="326">
        <v>45870</v>
      </c>
      <c r="TYX4" s="326"/>
      <c r="TYY4" s="326"/>
      <c r="TYZ4" s="326"/>
      <c r="TZA4" s="326"/>
      <c r="TZB4" s="326"/>
      <c r="TZC4" s="326"/>
      <c r="TZD4" s="326"/>
      <c r="TZE4" s="326"/>
      <c r="TZF4" s="326"/>
      <c r="TZG4" s="326"/>
      <c r="TZH4" s="326"/>
      <c r="TZI4" s="326"/>
      <c r="TZJ4" s="326"/>
      <c r="TZK4" s="326"/>
      <c r="TZL4" s="326"/>
      <c r="TZM4" s="326">
        <v>45870</v>
      </c>
      <c r="TZN4" s="326"/>
      <c r="TZO4" s="326"/>
      <c r="TZP4" s="326"/>
      <c r="TZQ4" s="326"/>
      <c r="TZR4" s="326"/>
      <c r="TZS4" s="326"/>
      <c r="TZT4" s="326"/>
      <c r="TZU4" s="326"/>
      <c r="TZV4" s="326"/>
      <c r="TZW4" s="326"/>
      <c r="TZX4" s="326"/>
      <c r="TZY4" s="326"/>
      <c r="TZZ4" s="326"/>
      <c r="UAA4" s="326"/>
      <c r="UAB4" s="326"/>
      <c r="UAC4" s="326">
        <v>45870</v>
      </c>
      <c r="UAD4" s="326"/>
      <c r="UAE4" s="326"/>
      <c r="UAF4" s="326"/>
      <c r="UAG4" s="326"/>
      <c r="UAH4" s="326"/>
      <c r="UAI4" s="326"/>
      <c r="UAJ4" s="326"/>
      <c r="UAK4" s="326"/>
      <c r="UAL4" s="326"/>
      <c r="UAM4" s="326"/>
      <c r="UAN4" s="326"/>
      <c r="UAO4" s="326"/>
      <c r="UAP4" s="326"/>
      <c r="UAQ4" s="326"/>
      <c r="UAR4" s="326"/>
      <c r="UAS4" s="326">
        <v>45870</v>
      </c>
      <c r="UAT4" s="326"/>
      <c r="UAU4" s="326"/>
      <c r="UAV4" s="326"/>
      <c r="UAW4" s="326"/>
      <c r="UAX4" s="326"/>
      <c r="UAY4" s="326"/>
      <c r="UAZ4" s="326"/>
      <c r="UBA4" s="326"/>
      <c r="UBB4" s="326"/>
      <c r="UBC4" s="326"/>
      <c r="UBD4" s="326"/>
      <c r="UBE4" s="326"/>
      <c r="UBF4" s="326"/>
      <c r="UBG4" s="326"/>
      <c r="UBH4" s="326"/>
      <c r="UBI4" s="326">
        <v>45870</v>
      </c>
      <c r="UBJ4" s="326"/>
      <c r="UBK4" s="326"/>
      <c r="UBL4" s="326"/>
      <c r="UBM4" s="326"/>
      <c r="UBN4" s="326"/>
      <c r="UBO4" s="326"/>
      <c r="UBP4" s="326"/>
      <c r="UBQ4" s="326"/>
      <c r="UBR4" s="326"/>
      <c r="UBS4" s="326"/>
      <c r="UBT4" s="326"/>
      <c r="UBU4" s="326"/>
      <c r="UBV4" s="326"/>
      <c r="UBW4" s="326"/>
      <c r="UBX4" s="326"/>
      <c r="UBY4" s="326">
        <v>45870</v>
      </c>
      <c r="UBZ4" s="326"/>
      <c r="UCA4" s="326"/>
      <c r="UCB4" s="326"/>
      <c r="UCC4" s="326"/>
      <c r="UCD4" s="326"/>
      <c r="UCE4" s="326"/>
      <c r="UCF4" s="326"/>
      <c r="UCG4" s="326"/>
      <c r="UCH4" s="326"/>
      <c r="UCI4" s="326"/>
      <c r="UCJ4" s="326"/>
      <c r="UCK4" s="326"/>
      <c r="UCL4" s="326"/>
      <c r="UCM4" s="326"/>
      <c r="UCN4" s="326"/>
      <c r="UCO4" s="326">
        <v>45870</v>
      </c>
      <c r="UCP4" s="326"/>
      <c r="UCQ4" s="326"/>
      <c r="UCR4" s="326"/>
      <c r="UCS4" s="326"/>
      <c r="UCT4" s="326"/>
      <c r="UCU4" s="326"/>
      <c r="UCV4" s="326"/>
      <c r="UCW4" s="326"/>
      <c r="UCX4" s="326"/>
      <c r="UCY4" s="326"/>
      <c r="UCZ4" s="326"/>
      <c r="UDA4" s="326"/>
      <c r="UDB4" s="326"/>
      <c r="UDC4" s="326"/>
      <c r="UDD4" s="326"/>
      <c r="UDE4" s="326">
        <v>45870</v>
      </c>
      <c r="UDF4" s="326"/>
      <c r="UDG4" s="326"/>
      <c r="UDH4" s="326"/>
      <c r="UDI4" s="326"/>
      <c r="UDJ4" s="326"/>
      <c r="UDK4" s="326"/>
      <c r="UDL4" s="326"/>
      <c r="UDM4" s="326"/>
      <c r="UDN4" s="326"/>
      <c r="UDO4" s="326"/>
      <c r="UDP4" s="326"/>
      <c r="UDQ4" s="326"/>
      <c r="UDR4" s="326"/>
      <c r="UDS4" s="326"/>
      <c r="UDT4" s="326"/>
      <c r="UDU4" s="326">
        <v>45870</v>
      </c>
      <c r="UDV4" s="326"/>
      <c r="UDW4" s="326"/>
      <c r="UDX4" s="326"/>
      <c r="UDY4" s="326"/>
      <c r="UDZ4" s="326"/>
      <c r="UEA4" s="326"/>
      <c r="UEB4" s="326"/>
      <c r="UEC4" s="326"/>
      <c r="UED4" s="326"/>
      <c r="UEE4" s="326"/>
      <c r="UEF4" s="326"/>
      <c r="UEG4" s="326"/>
      <c r="UEH4" s="326"/>
      <c r="UEI4" s="326"/>
      <c r="UEJ4" s="326"/>
      <c r="UEK4" s="326">
        <v>45870</v>
      </c>
      <c r="UEL4" s="326"/>
      <c r="UEM4" s="326"/>
      <c r="UEN4" s="326"/>
      <c r="UEO4" s="326"/>
      <c r="UEP4" s="326"/>
      <c r="UEQ4" s="326"/>
      <c r="UER4" s="326"/>
      <c r="UES4" s="326"/>
      <c r="UET4" s="326"/>
      <c r="UEU4" s="326"/>
      <c r="UEV4" s="326"/>
      <c r="UEW4" s="326"/>
      <c r="UEX4" s="326"/>
      <c r="UEY4" s="326"/>
      <c r="UEZ4" s="326"/>
      <c r="UFA4" s="326">
        <v>45870</v>
      </c>
      <c r="UFB4" s="326"/>
      <c r="UFC4" s="326"/>
      <c r="UFD4" s="326"/>
      <c r="UFE4" s="326"/>
      <c r="UFF4" s="326"/>
      <c r="UFG4" s="326"/>
      <c r="UFH4" s="326"/>
      <c r="UFI4" s="326"/>
      <c r="UFJ4" s="326"/>
      <c r="UFK4" s="326"/>
      <c r="UFL4" s="326"/>
      <c r="UFM4" s="326"/>
      <c r="UFN4" s="326"/>
      <c r="UFO4" s="326"/>
      <c r="UFP4" s="326"/>
      <c r="UFQ4" s="326">
        <v>45870</v>
      </c>
      <c r="UFR4" s="326"/>
      <c r="UFS4" s="326"/>
      <c r="UFT4" s="326"/>
      <c r="UFU4" s="326"/>
      <c r="UFV4" s="326"/>
      <c r="UFW4" s="326"/>
      <c r="UFX4" s="326"/>
      <c r="UFY4" s="326"/>
      <c r="UFZ4" s="326"/>
      <c r="UGA4" s="326"/>
      <c r="UGB4" s="326"/>
      <c r="UGC4" s="326"/>
      <c r="UGD4" s="326"/>
      <c r="UGE4" s="326"/>
      <c r="UGF4" s="326"/>
      <c r="UGG4" s="326">
        <v>45870</v>
      </c>
      <c r="UGH4" s="326"/>
      <c r="UGI4" s="326"/>
      <c r="UGJ4" s="326"/>
      <c r="UGK4" s="326"/>
      <c r="UGL4" s="326"/>
      <c r="UGM4" s="326"/>
      <c r="UGN4" s="326"/>
      <c r="UGO4" s="326"/>
      <c r="UGP4" s="326"/>
      <c r="UGQ4" s="326"/>
      <c r="UGR4" s="326"/>
      <c r="UGS4" s="326"/>
      <c r="UGT4" s="326"/>
      <c r="UGU4" s="326"/>
      <c r="UGV4" s="326"/>
      <c r="UGW4" s="326">
        <v>45870</v>
      </c>
      <c r="UGX4" s="326"/>
      <c r="UGY4" s="326"/>
      <c r="UGZ4" s="326"/>
      <c r="UHA4" s="326"/>
      <c r="UHB4" s="326"/>
      <c r="UHC4" s="326"/>
      <c r="UHD4" s="326"/>
      <c r="UHE4" s="326"/>
      <c r="UHF4" s="326"/>
      <c r="UHG4" s="326"/>
      <c r="UHH4" s="326"/>
      <c r="UHI4" s="326"/>
      <c r="UHJ4" s="326"/>
      <c r="UHK4" s="326"/>
      <c r="UHL4" s="326"/>
      <c r="UHM4" s="326">
        <v>45870</v>
      </c>
      <c r="UHN4" s="326"/>
      <c r="UHO4" s="326"/>
      <c r="UHP4" s="326"/>
      <c r="UHQ4" s="326"/>
      <c r="UHR4" s="326"/>
      <c r="UHS4" s="326"/>
      <c r="UHT4" s="326"/>
      <c r="UHU4" s="326"/>
      <c r="UHV4" s="326"/>
      <c r="UHW4" s="326"/>
      <c r="UHX4" s="326"/>
      <c r="UHY4" s="326"/>
      <c r="UHZ4" s="326"/>
      <c r="UIA4" s="326"/>
      <c r="UIB4" s="326"/>
      <c r="UIC4" s="326">
        <v>45870</v>
      </c>
      <c r="UID4" s="326"/>
      <c r="UIE4" s="326"/>
      <c r="UIF4" s="326"/>
      <c r="UIG4" s="326"/>
      <c r="UIH4" s="326"/>
      <c r="UII4" s="326"/>
      <c r="UIJ4" s="326"/>
      <c r="UIK4" s="326"/>
      <c r="UIL4" s="326"/>
      <c r="UIM4" s="326"/>
      <c r="UIN4" s="326"/>
      <c r="UIO4" s="326"/>
      <c r="UIP4" s="326"/>
      <c r="UIQ4" s="326"/>
      <c r="UIR4" s="326"/>
      <c r="UIS4" s="326">
        <v>45870</v>
      </c>
      <c r="UIT4" s="326"/>
      <c r="UIU4" s="326"/>
      <c r="UIV4" s="326"/>
      <c r="UIW4" s="326"/>
      <c r="UIX4" s="326"/>
      <c r="UIY4" s="326"/>
      <c r="UIZ4" s="326"/>
      <c r="UJA4" s="326"/>
      <c r="UJB4" s="326"/>
      <c r="UJC4" s="326"/>
      <c r="UJD4" s="326"/>
      <c r="UJE4" s="326"/>
      <c r="UJF4" s="326"/>
      <c r="UJG4" s="326"/>
      <c r="UJH4" s="326"/>
      <c r="UJI4" s="326">
        <v>45870</v>
      </c>
      <c r="UJJ4" s="326"/>
      <c r="UJK4" s="326"/>
      <c r="UJL4" s="326"/>
      <c r="UJM4" s="326"/>
      <c r="UJN4" s="326"/>
      <c r="UJO4" s="326"/>
      <c r="UJP4" s="326"/>
      <c r="UJQ4" s="326"/>
      <c r="UJR4" s="326"/>
      <c r="UJS4" s="326"/>
      <c r="UJT4" s="326"/>
      <c r="UJU4" s="326"/>
      <c r="UJV4" s="326"/>
      <c r="UJW4" s="326"/>
      <c r="UJX4" s="326"/>
      <c r="UJY4" s="326">
        <v>45870</v>
      </c>
      <c r="UJZ4" s="326"/>
      <c r="UKA4" s="326"/>
      <c r="UKB4" s="326"/>
      <c r="UKC4" s="326"/>
      <c r="UKD4" s="326"/>
      <c r="UKE4" s="326"/>
      <c r="UKF4" s="326"/>
      <c r="UKG4" s="326"/>
      <c r="UKH4" s="326"/>
      <c r="UKI4" s="326"/>
      <c r="UKJ4" s="326"/>
      <c r="UKK4" s="326"/>
      <c r="UKL4" s="326"/>
      <c r="UKM4" s="326"/>
      <c r="UKN4" s="326"/>
      <c r="UKO4" s="326">
        <v>45870</v>
      </c>
      <c r="UKP4" s="326"/>
      <c r="UKQ4" s="326"/>
      <c r="UKR4" s="326"/>
      <c r="UKS4" s="326"/>
      <c r="UKT4" s="326"/>
      <c r="UKU4" s="326"/>
      <c r="UKV4" s="326"/>
      <c r="UKW4" s="326"/>
      <c r="UKX4" s="326"/>
      <c r="UKY4" s="326"/>
      <c r="UKZ4" s="326"/>
      <c r="ULA4" s="326"/>
      <c r="ULB4" s="326"/>
      <c r="ULC4" s="326"/>
      <c r="ULD4" s="326"/>
      <c r="ULE4" s="326">
        <v>45870</v>
      </c>
      <c r="ULF4" s="326"/>
      <c r="ULG4" s="326"/>
      <c r="ULH4" s="326"/>
      <c r="ULI4" s="326"/>
      <c r="ULJ4" s="326"/>
      <c r="ULK4" s="326"/>
      <c r="ULL4" s="326"/>
      <c r="ULM4" s="326"/>
      <c r="ULN4" s="326"/>
      <c r="ULO4" s="326"/>
      <c r="ULP4" s="326"/>
      <c r="ULQ4" s="326"/>
      <c r="ULR4" s="326"/>
      <c r="ULS4" s="326"/>
      <c r="ULT4" s="326"/>
      <c r="ULU4" s="326">
        <v>45870</v>
      </c>
      <c r="ULV4" s="326"/>
      <c r="ULW4" s="326"/>
      <c r="ULX4" s="326"/>
      <c r="ULY4" s="326"/>
      <c r="ULZ4" s="326"/>
      <c r="UMA4" s="326"/>
      <c r="UMB4" s="326"/>
      <c r="UMC4" s="326"/>
      <c r="UMD4" s="326"/>
      <c r="UME4" s="326"/>
      <c r="UMF4" s="326"/>
      <c r="UMG4" s="326"/>
      <c r="UMH4" s="326"/>
      <c r="UMI4" s="326"/>
      <c r="UMJ4" s="326"/>
      <c r="UMK4" s="326">
        <v>45870</v>
      </c>
      <c r="UML4" s="326"/>
      <c r="UMM4" s="326"/>
      <c r="UMN4" s="326"/>
      <c r="UMO4" s="326"/>
      <c r="UMP4" s="326"/>
      <c r="UMQ4" s="326"/>
      <c r="UMR4" s="326"/>
      <c r="UMS4" s="326"/>
      <c r="UMT4" s="326"/>
      <c r="UMU4" s="326"/>
      <c r="UMV4" s="326"/>
      <c r="UMW4" s="326"/>
      <c r="UMX4" s="326"/>
      <c r="UMY4" s="326"/>
      <c r="UMZ4" s="326"/>
      <c r="UNA4" s="326">
        <v>45870</v>
      </c>
      <c r="UNB4" s="326"/>
      <c r="UNC4" s="326"/>
      <c r="UND4" s="326"/>
      <c r="UNE4" s="326"/>
      <c r="UNF4" s="326"/>
      <c r="UNG4" s="326"/>
      <c r="UNH4" s="326"/>
      <c r="UNI4" s="326"/>
      <c r="UNJ4" s="326"/>
      <c r="UNK4" s="326"/>
      <c r="UNL4" s="326"/>
      <c r="UNM4" s="326"/>
      <c r="UNN4" s="326"/>
      <c r="UNO4" s="326"/>
      <c r="UNP4" s="326"/>
      <c r="UNQ4" s="326">
        <v>45870</v>
      </c>
      <c r="UNR4" s="326"/>
      <c r="UNS4" s="326"/>
      <c r="UNT4" s="326"/>
      <c r="UNU4" s="326"/>
      <c r="UNV4" s="326"/>
      <c r="UNW4" s="326"/>
      <c r="UNX4" s="326"/>
      <c r="UNY4" s="326"/>
      <c r="UNZ4" s="326"/>
      <c r="UOA4" s="326"/>
      <c r="UOB4" s="326"/>
      <c r="UOC4" s="326"/>
      <c r="UOD4" s="326"/>
      <c r="UOE4" s="326"/>
      <c r="UOF4" s="326"/>
      <c r="UOG4" s="326">
        <v>45870</v>
      </c>
      <c r="UOH4" s="326"/>
      <c r="UOI4" s="326"/>
      <c r="UOJ4" s="326"/>
      <c r="UOK4" s="326"/>
      <c r="UOL4" s="326"/>
      <c r="UOM4" s="326"/>
      <c r="UON4" s="326"/>
      <c r="UOO4" s="326"/>
      <c r="UOP4" s="326"/>
      <c r="UOQ4" s="326"/>
      <c r="UOR4" s="326"/>
      <c r="UOS4" s="326"/>
      <c r="UOT4" s="326"/>
      <c r="UOU4" s="326"/>
      <c r="UOV4" s="326"/>
      <c r="UOW4" s="326">
        <v>45870</v>
      </c>
      <c r="UOX4" s="326"/>
      <c r="UOY4" s="326"/>
      <c r="UOZ4" s="326"/>
      <c r="UPA4" s="326"/>
      <c r="UPB4" s="326"/>
      <c r="UPC4" s="326"/>
      <c r="UPD4" s="326"/>
      <c r="UPE4" s="326"/>
      <c r="UPF4" s="326"/>
      <c r="UPG4" s="326"/>
      <c r="UPH4" s="326"/>
      <c r="UPI4" s="326"/>
      <c r="UPJ4" s="326"/>
      <c r="UPK4" s="326"/>
      <c r="UPL4" s="326"/>
      <c r="UPM4" s="326">
        <v>45870</v>
      </c>
      <c r="UPN4" s="326"/>
      <c r="UPO4" s="326"/>
      <c r="UPP4" s="326"/>
      <c r="UPQ4" s="326"/>
      <c r="UPR4" s="326"/>
      <c r="UPS4" s="326"/>
      <c r="UPT4" s="326"/>
      <c r="UPU4" s="326"/>
      <c r="UPV4" s="326"/>
      <c r="UPW4" s="326"/>
      <c r="UPX4" s="326"/>
      <c r="UPY4" s="326"/>
      <c r="UPZ4" s="326"/>
      <c r="UQA4" s="326"/>
      <c r="UQB4" s="326"/>
      <c r="UQC4" s="326">
        <v>45870</v>
      </c>
      <c r="UQD4" s="326"/>
      <c r="UQE4" s="326"/>
      <c r="UQF4" s="326"/>
      <c r="UQG4" s="326"/>
      <c r="UQH4" s="326"/>
      <c r="UQI4" s="326"/>
      <c r="UQJ4" s="326"/>
      <c r="UQK4" s="326"/>
      <c r="UQL4" s="326"/>
      <c r="UQM4" s="326"/>
      <c r="UQN4" s="326"/>
      <c r="UQO4" s="326"/>
      <c r="UQP4" s="326"/>
      <c r="UQQ4" s="326"/>
      <c r="UQR4" s="326"/>
      <c r="UQS4" s="326">
        <v>45870</v>
      </c>
      <c r="UQT4" s="326"/>
      <c r="UQU4" s="326"/>
      <c r="UQV4" s="326"/>
      <c r="UQW4" s="326"/>
      <c r="UQX4" s="326"/>
      <c r="UQY4" s="326"/>
      <c r="UQZ4" s="326"/>
      <c r="URA4" s="326"/>
      <c r="URB4" s="326"/>
      <c r="URC4" s="326"/>
      <c r="URD4" s="326"/>
      <c r="URE4" s="326"/>
      <c r="URF4" s="326"/>
      <c r="URG4" s="326"/>
      <c r="URH4" s="326"/>
      <c r="URI4" s="326">
        <v>45870</v>
      </c>
      <c r="URJ4" s="326"/>
      <c r="URK4" s="326"/>
      <c r="URL4" s="326"/>
      <c r="URM4" s="326"/>
      <c r="URN4" s="326"/>
      <c r="URO4" s="326"/>
      <c r="URP4" s="326"/>
      <c r="URQ4" s="326"/>
      <c r="URR4" s="326"/>
      <c r="URS4" s="326"/>
      <c r="URT4" s="326"/>
      <c r="URU4" s="326"/>
      <c r="URV4" s="326"/>
      <c r="URW4" s="326"/>
      <c r="URX4" s="326"/>
      <c r="URY4" s="326">
        <v>45870</v>
      </c>
      <c r="URZ4" s="326"/>
      <c r="USA4" s="326"/>
      <c r="USB4" s="326"/>
      <c r="USC4" s="326"/>
      <c r="USD4" s="326"/>
      <c r="USE4" s="326"/>
      <c r="USF4" s="326"/>
      <c r="USG4" s="326"/>
      <c r="USH4" s="326"/>
      <c r="USI4" s="326"/>
      <c r="USJ4" s="326"/>
      <c r="USK4" s="326"/>
      <c r="USL4" s="326"/>
      <c r="USM4" s="326"/>
      <c r="USN4" s="326"/>
      <c r="USO4" s="326">
        <v>45870</v>
      </c>
      <c r="USP4" s="326"/>
      <c r="USQ4" s="326"/>
      <c r="USR4" s="326"/>
      <c r="USS4" s="326"/>
      <c r="UST4" s="326"/>
      <c r="USU4" s="326"/>
      <c r="USV4" s="326"/>
      <c r="USW4" s="326"/>
      <c r="USX4" s="326"/>
      <c r="USY4" s="326"/>
      <c r="USZ4" s="326"/>
      <c r="UTA4" s="326"/>
      <c r="UTB4" s="326"/>
      <c r="UTC4" s="326"/>
      <c r="UTD4" s="326"/>
      <c r="UTE4" s="326">
        <v>45870</v>
      </c>
      <c r="UTF4" s="326"/>
      <c r="UTG4" s="326"/>
      <c r="UTH4" s="326"/>
      <c r="UTI4" s="326"/>
      <c r="UTJ4" s="326"/>
      <c r="UTK4" s="326"/>
      <c r="UTL4" s="326"/>
      <c r="UTM4" s="326"/>
      <c r="UTN4" s="326"/>
      <c r="UTO4" s="326"/>
      <c r="UTP4" s="326"/>
      <c r="UTQ4" s="326"/>
      <c r="UTR4" s="326"/>
      <c r="UTS4" s="326"/>
      <c r="UTT4" s="326"/>
      <c r="UTU4" s="326">
        <v>45870</v>
      </c>
      <c r="UTV4" s="326"/>
      <c r="UTW4" s="326"/>
      <c r="UTX4" s="326"/>
      <c r="UTY4" s="326"/>
      <c r="UTZ4" s="326"/>
      <c r="UUA4" s="326"/>
      <c r="UUB4" s="326"/>
      <c r="UUC4" s="326"/>
      <c r="UUD4" s="326"/>
      <c r="UUE4" s="326"/>
      <c r="UUF4" s="326"/>
      <c r="UUG4" s="326"/>
      <c r="UUH4" s="326"/>
      <c r="UUI4" s="326"/>
      <c r="UUJ4" s="326"/>
      <c r="UUK4" s="326">
        <v>45870</v>
      </c>
      <c r="UUL4" s="326"/>
      <c r="UUM4" s="326"/>
      <c r="UUN4" s="326"/>
      <c r="UUO4" s="326"/>
      <c r="UUP4" s="326"/>
      <c r="UUQ4" s="326"/>
      <c r="UUR4" s="326"/>
      <c r="UUS4" s="326"/>
      <c r="UUT4" s="326"/>
      <c r="UUU4" s="326"/>
      <c r="UUV4" s="326"/>
      <c r="UUW4" s="326"/>
      <c r="UUX4" s="326"/>
      <c r="UUY4" s="326"/>
      <c r="UUZ4" s="326"/>
      <c r="UVA4" s="326">
        <v>45870</v>
      </c>
      <c r="UVB4" s="326"/>
      <c r="UVC4" s="326"/>
      <c r="UVD4" s="326"/>
      <c r="UVE4" s="326"/>
      <c r="UVF4" s="326"/>
      <c r="UVG4" s="326"/>
      <c r="UVH4" s="326"/>
      <c r="UVI4" s="326"/>
      <c r="UVJ4" s="326"/>
      <c r="UVK4" s="326"/>
      <c r="UVL4" s="326"/>
      <c r="UVM4" s="326"/>
      <c r="UVN4" s="326"/>
      <c r="UVO4" s="326"/>
      <c r="UVP4" s="326"/>
      <c r="UVQ4" s="326">
        <v>45870</v>
      </c>
      <c r="UVR4" s="326"/>
      <c r="UVS4" s="326"/>
      <c r="UVT4" s="326"/>
      <c r="UVU4" s="326"/>
      <c r="UVV4" s="326"/>
      <c r="UVW4" s="326"/>
      <c r="UVX4" s="326"/>
      <c r="UVY4" s="326"/>
      <c r="UVZ4" s="326"/>
      <c r="UWA4" s="326"/>
      <c r="UWB4" s="326"/>
      <c r="UWC4" s="326"/>
      <c r="UWD4" s="326"/>
      <c r="UWE4" s="326"/>
      <c r="UWF4" s="326"/>
      <c r="UWG4" s="326">
        <v>45870</v>
      </c>
      <c r="UWH4" s="326"/>
      <c r="UWI4" s="326"/>
      <c r="UWJ4" s="326"/>
      <c r="UWK4" s="326"/>
      <c r="UWL4" s="326"/>
      <c r="UWM4" s="326"/>
      <c r="UWN4" s="326"/>
      <c r="UWO4" s="326"/>
      <c r="UWP4" s="326"/>
      <c r="UWQ4" s="326"/>
      <c r="UWR4" s="326"/>
      <c r="UWS4" s="326"/>
      <c r="UWT4" s="326"/>
      <c r="UWU4" s="326"/>
      <c r="UWV4" s="326"/>
      <c r="UWW4" s="326">
        <v>45870</v>
      </c>
      <c r="UWX4" s="326"/>
      <c r="UWY4" s="326"/>
      <c r="UWZ4" s="326"/>
      <c r="UXA4" s="326"/>
      <c r="UXB4" s="326"/>
      <c r="UXC4" s="326"/>
      <c r="UXD4" s="326"/>
      <c r="UXE4" s="326"/>
      <c r="UXF4" s="326"/>
      <c r="UXG4" s="326"/>
      <c r="UXH4" s="326"/>
      <c r="UXI4" s="326"/>
      <c r="UXJ4" s="326"/>
      <c r="UXK4" s="326"/>
      <c r="UXL4" s="326"/>
      <c r="UXM4" s="326">
        <v>45870</v>
      </c>
      <c r="UXN4" s="326"/>
      <c r="UXO4" s="326"/>
      <c r="UXP4" s="326"/>
      <c r="UXQ4" s="326"/>
      <c r="UXR4" s="326"/>
      <c r="UXS4" s="326"/>
      <c r="UXT4" s="326"/>
      <c r="UXU4" s="326"/>
      <c r="UXV4" s="326"/>
      <c r="UXW4" s="326"/>
      <c r="UXX4" s="326"/>
      <c r="UXY4" s="326"/>
      <c r="UXZ4" s="326"/>
      <c r="UYA4" s="326"/>
      <c r="UYB4" s="326"/>
      <c r="UYC4" s="326">
        <v>45870</v>
      </c>
      <c r="UYD4" s="326"/>
      <c r="UYE4" s="326"/>
      <c r="UYF4" s="326"/>
      <c r="UYG4" s="326"/>
      <c r="UYH4" s="326"/>
      <c r="UYI4" s="326"/>
      <c r="UYJ4" s="326"/>
      <c r="UYK4" s="326"/>
      <c r="UYL4" s="326"/>
      <c r="UYM4" s="326"/>
      <c r="UYN4" s="326"/>
      <c r="UYO4" s="326"/>
      <c r="UYP4" s="326"/>
      <c r="UYQ4" s="326"/>
      <c r="UYR4" s="326"/>
      <c r="UYS4" s="326">
        <v>45870</v>
      </c>
      <c r="UYT4" s="326"/>
      <c r="UYU4" s="326"/>
      <c r="UYV4" s="326"/>
      <c r="UYW4" s="326"/>
      <c r="UYX4" s="326"/>
      <c r="UYY4" s="326"/>
      <c r="UYZ4" s="326"/>
      <c r="UZA4" s="326"/>
      <c r="UZB4" s="326"/>
      <c r="UZC4" s="326"/>
      <c r="UZD4" s="326"/>
      <c r="UZE4" s="326"/>
      <c r="UZF4" s="326"/>
      <c r="UZG4" s="326"/>
      <c r="UZH4" s="326"/>
      <c r="UZI4" s="326">
        <v>45870</v>
      </c>
      <c r="UZJ4" s="326"/>
      <c r="UZK4" s="326"/>
      <c r="UZL4" s="326"/>
      <c r="UZM4" s="326"/>
      <c r="UZN4" s="326"/>
      <c r="UZO4" s="326"/>
      <c r="UZP4" s="326"/>
      <c r="UZQ4" s="326"/>
      <c r="UZR4" s="326"/>
      <c r="UZS4" s="326"/>
      <c r="UZT4" s="326"/>
      <c r="UZU4" s="326"/>
      <c r="UZV4" s="326"/>
      <c r="UZW4" s="326"/>
      <c r="UZX4" s="326"/>
      <c r="UZY4" s="326">
        <v>45870</v>
      </c>
      <c r="UZZ4" s="326"/>
      <c r="VAA4" s="326"/>
      <c r="VAB4" s="326"/>
      <c r="VAC4" s="326"/>
      <c r="VAD4" s="326"/>
      <c r="VAE4" s="326"/>
      <c r="VAF4" s="326"/>
      <c r="VAG4" s="326"/>
      <c r="VAH4" s="326"/>
      <c r="VAI4" s="326"/>
      <c r="VAJ4" s="326"/>
      <c r="VAK4" s="326"/>
      <c r="VAL4" s="326"/>
      <c r="VAM4" s="326"/>
      <c r="VAN4" s="326"/>
      <c r="VAO4" s="326">
        <v>45870</v>
      </c>
      <c r="VAP4" s="326"/>
      <c r="VAQ4" s="326"/>
      <c r="VAR4" s="326"/>
      <c r="VAS4" s="326"/>
      <c r="VAT4" s="326"/>
      <c r="VAU4" s="326"/>
      <c r="VAV4" s="326"/>
      <c r="VAW4" s="326"/>
      <c r="VAX4" s="326"/>
      <c r="VAY4" s="326"/>
      <c r="VAZ4" s="326"/>
      <c r="VBA4" s="326"/>
      <c r="VBB4" s="326"/>
      <c r="VBC4" s="326"/>
      <c r="VBD4" s="326"/>
      <c r="VBE4" s="326">
        <v>45870</v>
      </c>
      <c r="VBF4" s="326"/>
      <c r="VBG4" s="326"/>
      <c r="VBH4" s="326"/>
      <c r="VBI4" s="326"/>
      <c r="VBJ4" s="326"/>
      <c r="VBK4" s="326"/>
      <c r="VBL4" s="326"/>
      <c r="VBM4" s="326"/>
      <c r="VBN4" s="326"/>
      <c r="VBO4" s="326"/>
      <c r="VBP4" s="326"/>
      <c r="VBQ4" s="326"/>
      <c r="VBR4" s="326"/>
      <c r="VBS4" s="326"/>
      <c r="VBT4" s="326"/>
      <c r="VBU4" s="326">
        <v>45870</v>
      </c>
      <c r="VBV4" s="326"/>
      <c r="VBW4" s="326"/>
      <c r="VBX4" s="326"/>
      <c r="VBY4" s="326"/>
      <c r="VBZ4" s="326"/>
      <c r="VCA4" s="326"/>
      <c r="VCB4" s="326"/>
      <c r="VCC4" s="326"/>
      <c r="VCD4" s="326"/>
      <c r="VCE4" s="326"/>
      <c r="VCF4" s="326"/>
      <c r="VCG4" s="326"/>
      <c r="VCH4" s="326"/>
      <c r="VCI4" s="326"/>
      <c r="VCJ4" s="326"/>
      <c r="VCK4" s="326">
        <v>45870</v>
      </c>
      <c r="VCL4" s="326"/>
      <c r="VCM4" s="326"/>
      <c r="VCN4" s="326"/>
      <c r="VCO4" s="326"/>
      <c r="VCP4" s="326"/>
      <c r="VCQ4" s="326"/>
      <c r="VCR4" s="326"/>
      <c r="VCS4" s="326"/>
      <c r="VCT4" s="326"/>
      <c r="VCU4" s="326"/>
      <c r="VCV4" s="326"/>
      <c r="VCW4" s="326"/>
      <c r="VCX4" s="326"/>
      <c r="VCY4" s="326"/>
      <c r="VCZ4" s="326"/>
      <c r="VDA4" s="326">
        <v>45870</v>
      </c>
      <c r="VDB4" s="326"/>
      <c r="VDC4" s="326"/>
      <c r="VDD4" s="326"/>
      <c r="VDE4" s="326"/>
      <c r="VDF4" s="326"/>
      <c r="VDG4" s="326"/>
      <c r="VDH4" s="326"/>
      <c r="VDI4" s="326"/>
      <c r="VDJ4" s="326"/>
      <c r="VDK4" s="326"/>
      <c r="VDL4" s="326"/>
      <c r="VDM4" s="326"/>
      <c r="VDN4" s="326"/>
      <c r="VDO4" s="326"/>
      <c r="VDP4" s="326"/>
      <c r="VDQ4" s="326">
        <v>45870</v>
      </c>
      <c r="VDR4" s="326"/>
      <c r="VDS4" s="326"/>
      <c r="VDT4" s="326"/>
      <c r="VDU4" s="326"/>
      <c r="VDV4" s="326"/>
      <c r="VDW4" s="326"/>
      <c r="VDX4" s="326"/>
      <c r="VDY4" s="326"/>
      <c r="VDZ4" s="326"/>
      <c r="VEA4" s="326"/>
      <c r="VEB4" s="326"/>
      <c r="VEC4" s="326"/>
      <c r="VED4" s="326"/>
      <c r="VEE4" s="326"/>
      <c r="VEF4" s="326"/>
      <c r="VEG4" s="326">
        <v>45870</v>
      </c>
      <c r="VEH4" s="326"/>
      <c r="VEI4" s="326"/>
      <c r="VEJ4" s="326"/>
      <c r="VEK4" s="326"/>
      <c r="VEL4" s="326"/>
      <c r="VEM4" s="326"/>
      <c r="VEN4" s="326"/>
      <c r="VEO4" s="326"/>
      <c r="VEP4" s="326"/>
      <c r="VEQ4" s="326"/>
      <c r="VER4" s="326"/>
      <c r="VES4" s="326"/>
      <c r="VET4" s="326"/>
      <c r="VEU4" s="326"/>
      <c r="VEV4" s="326"/>
      <c r="VEW4" s="326">
        <v>45870</v>
      </c>
      <c r="VEX4" s="326"/>
      <c r="VEY4" s="326"/>
      <c r="VEZ4" s="326"/>
      <c r="VFA4" s="326"/>
      <c r="VFB4" s="326"/>
      <c r="VFC4" s="326"/>
      <c r="VFD4" s="326"/>
      <c r="VFE4" s="326"/>
      <c r="VFF4" s="326"/>
      <c r="VFG4" s="326"/>
      <c r="VFH4" s="326"/>
      <c r="VFI4" s="326"/>
      <c r="VFJ4" s="326"/>
      <c r="VFK4" s="326"/>
      <c r="VFL4" s="326"/>
      <c r="VFM4" s="326">
        <v>45870</v>
      </c>
      <c r="VFN4" s="326"/>
      <c r="VFO4" s="326"/>
      <c r="VFP4" s="326"/>
      <c r="VFQ4" s="326"/>
      <c r="VFR4" s="326"/>
      <c r="VFS4" s="326"/>
      <c r="VFT4" s="326"/>
      <c r="VFU4" s="326"/>
      <c r="VFV4" s="326"/>
      <c r="VFW4" s="326"/>
      <c r="VFX4" s="326"/>
      <c r="VFY4" s="326"/>
      <c r="VFZ4" s="326"/>
      <c r="VGA4" s="326"/>
      <c r="VGB4" s="326"/>
      <c r="VGC4" s="326">
        <v>45870</v>
      </c>
      <c r="VGD4" s="326"/>
      <c r="VGE4" s="326"/>
      <c r="VGF4" s="326"/>
      <c r="VGG4" s="326"/>
      <c r="VGH4" s="326"/>
      <c r="VGI4" s="326"/>
      <c r="VGJ4" s="326"/>
      <c r="VGK4" s="326"/>
      <c r="VGL4" s="326"/>
      <c r="VGM4" s="326"/>
      <c r="VGN4" s="326"/>
      <c r="VGO4" s="326"/>
      <c r="VGP4" s="326"/>
      <c r="VGQ4" s="326"/>
      <c r="VGR4" s="326"/>
      <c r="VGS4" s="326">
        <v>45870</v>
      </c>
      <c r="VGT4" s="326"/>
      <c r="VGU4" s="326"/>
      <c r="VGV4" s="326"/>
      <c r="VGW4" s="326"/>
      <c r="VGX4" s="326"/>
      <c r="VGY4" s="326"/>
      <c r="VGZ4" s="326"/>
      <c r="VHA4" s="326"/>
      <c r="VHB4" s="326"/>
      <c r="VHC4" s="326"/>
      <c r="VHD4" s="326"/>
      <c r="VHE4" s="326"/>
      <c r="VHF4" s="326"/>
      <c r="VHG4" s="326"/>
      <c r="VHH4" s="326"/>
      <c r="VHI4" s="326">
        <v>45870</v>
      </c>
      <c r="VHJ4" s="326"/>
      <c r="VHK4" s="326"/>
      <c r="VHL4" s="326"/>
      <c r="VHM4" s="326"/>
      <c r="VHN4" s="326"/>
      <c r="VHO4" s="326"/>
      <c r="VHP4" s="326"/>
      <c r="VHQ4" s="326"/>
      <c r="VHR4" s="326"/>
      <c r="VHS4" s="326"/>
      <c r="VHT4" s="326"/>
      <c r="VHU4" s="326"/>
      <c r="VHV4" s="326"/>
      <c r="VHW4" s="326"/>
      <c r="VHX4" s="326"/>
      <c r="VHY4" s="326">
        <v>45870</v>
      </c>
      <c r="VHZ4" s="326"/>
      <c r="VIA4" s="326"/>
      <c r="VIB4" s="326"/>
      <c r="VIC4" s="326"/>
      <c r="VID4" s="326"/>
      <c r="VIE4" s="326"/>
      <c r="VIF4" s="326"/>
      <c r="VIG4" s="326"/>
      <c r="VIH4" s="326"/>
      <c r="VII4" s="326"/>
      <c r="VIJ4" s="326"/>
      <c r="VIK4" s="326"/>
      <c r="VIL4" s="326"/>
      <c r="VIM4" s="326"/>
      <c r="VIN4" s="326"/>
      <c r="VIO4" s="326">
        <v>45870</v>
      </c>
      <c r="VIP4" s="326"/>
      <c r="VIQ4" s="326"/>
      <c r="VIR4" s="326"/>
      <c r="VIS4" s="326"/>
      <c r="VIT4" s="326"/>
      <c r="VIU4" s="326"/>
      <c r="VIV4" s="326"/>
      <c r="VIW4" s="326"/>
      <c r="VIX4" s="326"/>
      <c r="VIY4" s="326"/>
      <c r="VIZ4" s="326"/>
      <c r="VJA4" s="326"/>
      <c r="VJB4" s="326"/>
      <c r="VJC4" s="326"/>
      <c r="VJD4" s="326"/>
      <c r="VJE4" s="326">
        <v>45870</v>
      </c>
      <c r="VJF4" s="326"/>
      <c r="VJG4" s="326"/>
      <c r="VJH4" s="326"/>
      <c r="VJI4" s="326"/>
      <c r="VJJ4" s="326"/>
      <c r="VJK4" s="326"/>
      <c r="VJL4" s="326"/>
      <c r="VJM4" s="326"/>
      <c r="VJN4" s="326"/>
      <c r="VJO4" s="326"/>
      <c r="VJP4" s="326"/>
      <c r="VJQ4" s="326"/>
      <c r="VJR4" s="326"/>
      <c r="VJS4" s="326"/>
      <c r="VJT4" s="326"/>
      <c r="VJU4" s="326">
        <v>45870</v>
      </c>
      <c r="VJV4" s="326"/>
      <c r="VJW4" s="326"/>
      <c r="VJX4" s="326"/>
      <c r="VJY4" s="326"/>
      <c r="VJZ4" s="326"/>
      <c r="VKA4" s="326"/>
      <c r="VKB4" s="326"/>
      <c r="VKC4" s="326"/>
      <c r="VKD4" s="326"/>
      <c r="VKE4" s="326"/>
      <c r="VKF4" s="326"/>
      <c r="VKG4" s="326"/>
      <c r="VKH4" s="326"/>
      <c r="VKI4" s="326"/>
      <c r="VKJ4" s="326"/>
      <c r="VKK4" s="326">
        <v>45870</v>
      </c>
      <c r="VKL4" s="326"/>
      <c r="VKM4" s="326"/>
      <c r="VKN4" s="326"/>
      <c r="VKO4" s="326"/>
      <c r="VKP4" s="326"/>
      <c r="VKQ4" s="326"/>
      <c r="VKR4" s="326"/>
      <c r="VKS4" s="326"/>
      <c r="VKT4" s="326"/>
      <c r="VKU4" s="326"/>
      <c r="VKV4" s="326"/>
      <c r="VKW4" s="326"/>
      <c r="VKX4" s="326"/>
      <c r="VKY4" s="326"/>
      <c r="VKZ4" s="326"/>
      <c r="VLA4" s="326">
        <v>45870</v>
      </c>
      <c r="VLB4" s="326"/>
      <c r="VLC4" s="326"/>
      <c r="VLD4" s="326"/>
      <c r="VLE4" s="326"/>
      <c r="VLF4" s="326"/>
      <c r="VLG4" s="326"/>
      <c r="VLH4" s="326"/>
      <c r="VLI4" s="326"/>
      <c r="VLJ4" s="326"/>
      <c r="VLK4" s="326"/>
      <c r="VLL4" s="326"/>
      <c r="VLM4" s="326"/>
      <c r="VLN4" s="326"/>
      <c r="VLO4" s="326"/>
      <c r="VLP4" s="326"/>
      <c r="VLQ4" s="326">
        <v>45870</v>
      </c>
      <c r="VLR4" s="326"/>
      <c r="VLS4" s="326"/>
      <c r="VLT4" s="326"/>
      <c r="VLU4" s="326"/>
      <c r="VLV4" s="326"/>
      <c r="VLW4" s="326"/>
      <c r="VLX4" s="326"/>
      <c r="VLY4" s="326"/>
      <c r="VLZ4" s="326"/>
      <c r="VMA4" s="326"/>
      <c r="VMB4" s="326"/>
      <c r="VMC4" s="326"/>
      <c r="VMD4" s="326"/>
      <c r="VME4" s="326"/>
      <c r="VMF4" s="326"/>
      <c r="VMG4" s="326">
        <v>45870</v>
      </c>
      <c r="VMH4" s="326"/>
      <c r="VMI4" s="326"/>
      <c r="VMJ4" s="326"/>
      <c r="VMK4" s="326"/>
      <c r="VML4" s="326"/>
      <c r="VMM4" s="326"/>
      <c r="VMN4" s="326"/>
      <c r="VMO4" s="326"/>
      <c r="VMP4" s="326"/>
      <c r="VMQ4" s="326"/>
      <c r="VMR4" s="326"/>
      <c r="VMS4" s="326"/>
      <c r="VMT4" s="326"/>
      <c r="VMU4" s="326"/>
      <c r="VMV4" s="326"/>
      <c r="VMW4" s="326">
        <v>45870</v>
      </c>
      <c r="VMX4" s="326"/>
      <c r="VMY4" s="326"/>
      <c r="VMZ4" s="326"/>
      <c r="VNA4" s="326"/>
      <c r="VNB4" s="326"/>
      <c r="VNC4" s="326"/>
      <c r="VND4" s="326"/>
      <c r="VNE4" s="326"/>
      <c r="VNF4" s="326"/>
      <c r="VNG4" s="326"/>
      <c r="VNH4" s="326"/>
      <c r="VNI4" s="326"/>
      <c r="VNJ4" s="326"/>
      <c r="VNK4" s="326"/>
      <c r="VNL4" s="326"/>
      <c r="VNM4" s="326">
        <v>45870</v>
      </c>
      <c r="VNN4" s="326"/>
      <c r="VNO4" s="326"/>
      <c r="VNP4" s="326"/>
      <c r="VNQ4" s="326"/>
      <c r="VNR4" s="326"/>
      <c r="VNS4" s="326"/>
      <c r="VNT4" s="326"/>
      <c r="VNU4" s="326"/>
      <c r="VNV4" s="326"/>
      <c r="VNW4" s="326"/>
      <c r="VNX4" s="326"/>
      <c r="VNY4" s="326"/>
      <c r="VNZ4" s="326"/>
      <c r="VOA4" s="326"/>
      <c r="VOB4" s="326"/>
      <c r="VOC4" s="326">
        <v>45870</v>
      </c>
      <c r="VOD4" s="326"/>
      <c r="VOE4" s="326"/>
      <c r="VOF4" s="326"/>
      <c r="VOG4" s="326"/>
      <c r="VOH4" s="326"/>
      <c r="VOI4" s="326"/>
      <c r="VOJ4" s="326"/>
      <c r="VOK4" s="326"/>
      <c r="VOL4" s="326"/>
      <c r="VOM4" s="326"/>
      <c r="VON4" s="326"/>
      <c r="VOO4" s="326"/>
      <c r="VOP4" s="326"/>
      <c r="VOQ4" s="326"/>
      <c r="VOR4" s="326"/>
      <c r="VOS4" s="326">
        <v>45870</v>
      </c>
      <c r="VOT4" s="326"/>
      <c r="VOU4" s="326"/>
      <c r="VOV4" s="326"/>
      <c r="VOW4" s="326"/>
      <c r="VOX4" s="326"/>
      <c r="VOY4" s="326"/>
      <c r="VOZ4" s="326"/>
      <c r="VPA4" s="326"/>
      <c r="VPB4" s="326"/>
      <c r="VPC4" s="326"/>
      <c r="VPD4" s="326"/>
      <c r="VPE4" s="326"/>
      <c r="VPF4" s="326"/>
      <c r="VPG4" s="326"/>
      <c r="VPH4" s="326"/>
      <c r="VPI4" s="326">
        <v>45870</v>
      </c>
      <c r="VPJ4" s="326"/>
      <c r="VPK4" s="326"/>
      <c r="VPL4" s="326"/>
      <c r="VPM4" s="326"/>
      <c r="VPN4" s="326"/>
      <c r="VPO4" s="326"/>
      <c r="VPP4" s="326"/>
      <c r="VPQ4" s="326"/>
      <c r="VPR4" s="326"/>
      <c r="VPS4" s="326"/>
      <c r="VPT4" s="326"/>
      <c r="VPU4" s="326"/>
      <c r="VPV4" s="326"/>
      <c r="VPW4" s="326"/>
      <c r="VPX4" s="326"/>
      <c r="VPY4" s="326">
        <v>45870</v>
      </c>
      <c r="VPZ4" s="326"/>
      <c r="VQA4" s="326"/>
      <c r="VQB4" s="326"/>
      <c r="VQC4" s="326"/>
      <c r="VQD4" s="326"/>
      <c r="VQE4" s="326"/>
      <c r="VQF4" s="326"/>
      <c r="VQG4" s="326"/>
      <c r="VQH4" s="326"/>
      <c r="VQI4" s="326"/>
      <c r="VQJ4" s="326"/>
      <c r="VQK4" s="326"/>
      <c r="VQL4" s="326"/>
      <c r="VQM4" s="326"/>
      <c r="VQN4" s="326"/>
      <c r="VQO4" s="326">
        <v>45870</v>
      </c>
      <c r="VQP4" s="326"/>
      <c r="VQQ4" s="326"/>
      <c r="VQR4" s="326"/>
      <c r="VQS4" s="326"/>
      <c r="VQT4" s="326"/>
      <c r="VQU4" s="326"/>
      <c r="VQV4" s="326"/>
      <c r="VQW4" s="326"/>
      <c r="VQX4" s="326"/>
      <c r="VQY4" s="326"/>
      <c r="VQZ4" s="326"/>
      <c r="VRA4" s="326"/>
      <c r="VRB4" s="326"/>
      <c r="VRC4" s="326"/>
      <c r="VRD4" s="326"/>
      <c r="VRE4" s="326">
        <v>45870</v>
      </c>
      <c r="VRF4" s="326"/>
      <c r="VRG4" s="326"/>
      <c r="VRH4" s="326"/>
      <c r="VRI4" s="326"/>
      <c r="VRJ4" s="326"/>
      <c r="VRK4" s="326"/>
      <c r="VRL4" s="326"/>
      <c r="VRM4" s="326"/>
      <c r="VRN4" s="326"/>
      <c r="VRO4" s="326"/>
      <c r="VRP4" s="326"/>
      <c r="VRQ4" s="326"/>
      <c r="VRR4" s="326"/>
      <c r="VRS4" s="326"/>
      <c r="VRT4" s="326"/>
      <c r="VRU4" s="326">
        <v>45870</v>
      </c>
      <c r="VRV4" s="326"/>
      <c r="VRW4" s="326"/>
      <c r="VRX4" s="326"/>
      <c r="VRY4" s="326"/>
      <c r="VRZ4" s="326"/>
      <c r="VSA4" s="326"/>
      <c r="VSB4" s="326"/>
      <c r="VSC4" s="326"/>
      <c r="VSD4" s="326"/>
      <c r="VSE4" s="326"/>
      <c r="VSF4" s="326"/>
      <c r="VSG4" s="326"/>
      <c r="VSH4" s="326"/>
      <c r="VSI4" s="326"/>
      <c r="VSJ4" s="326"/>
      <c r="VSK4" s="326">
        <v>45870</v>
      </c>
      <c r="VSL4" s="326"/>
      <c r="VSM4" s="326"/>
      <c r="VSN4" s="326"/>
      <c r="VSO4" s="326"/>
      <c r="VSP4" s="326"/>
      <c r="VSQ4" s="326"/>
      <c r="VSR4" s="326"/>
      <c r="VSS4" s="326"/>
      <c r="VST4" s="326"/>
      <c r="VSU4" s="326"/>
      <c r="VSV4" s="326"/>
      <c r="VSW4" s="326"/>
      <c r="VSX4" s="326"/>
      <c r="VSY4" s="326"/>
      <c r="VSZ4" s="326"/>
      <c r="VTA4" s="326">
        <v>45870</v>
      </c>
      <c r="VTB4" s="326"/>
      <c r="VTC4" s="326"/>
      <c r="VTD4" s="326"/>
      <c r="VTE4" s="326"/>
      <c r="VTF4" s="326"/>
      <c r="VTG4" s="326"/>
      <c r="VTH4" s="326"/>
      <c r="VTI4" s="326"/>
      <c r="VTJ4" s="326"/>
      <c r="VTK4" s="326"/>
      <c r="VTL4" s="326"/>
      <c r="VTM4" s="326"/>
      <c r="VTN4" s="326"/>
      <c r="VTO4" s="326"/>
      <c r="VTP4" s="326"/>
      <c r="VTQ4" s="326">
        <v>45870</v>
      </c>
      <c r="VTR4" s="326"/>
      <c r="VTS4" s="326"/>
      <c r="VTT4" s="326"/>
      <c r="VTU4" s="326"/>
      <c r="VTV4" s="326"/>
      <c r="VTW4" s="326"/>
      <c r="VTX4" s="326"/>
      <c r="VTY4" s="326"/>
      <c r="VTZ4" s="326"/>
      <c r="VUA4" s="326"/>
      <c r="VUB4" s="326"/>
      <c r="VUC4" s="326"/>
      <c r="VUD4" s="326"/>
      <c r="VUE4" s="326"/>
      <c r="VUF4" s="326"/>
      <c r="VUG4" s="326">
        <v>45870</v>
      </c>
      <c r="VUH4" s="326"/>
      <c r="VUI4" s="326"/>
      <c r="VUJ4" s="326"/>
      <c r="VUK4" s="326"/>
      <c r="VUL4" s="326"/>
      <c r="VUM4" s="326"/>
      <c r="VUN4" s="326"/>
      <c r="VUO4" s="326"/>
      <c r="VUP4" s="326"/>
      <c r="VUQ4" s="326"/>
      <c r="VUR4" s="326"/>
      <c r="VUS4" s="326"/>
      <c r="VUT4" s="326"/>
      <c r="VUU4" s="326"/>
      <c r="VUV4" s="326"/>
      <c r="VUW4" s="326">
        <v>45870</v>
      </c>
      <c r="VUX4" s="326"/>
      <c r="VUY4" s="326"/>
      <c r="VUZ4" s="326"/>
      <c r="VVA4" s="326"/>
      <c r="VVB4" s="326"/>
      <c r="VVC4" s="326"/>
      <c r="VVD4" s="326"/>
      <c r="VVE4" s="326"/>
      <c r="VVF4" s="326"/>
      <c r="VVG4" s="326"/>
      <c r="VVH4" s="326"/>
      <c r="VVI4" s="326"/>
      <c r="VVJ4" s="326"/>
      <c r="VVK4" s="326"/>
      <c r="VVL4" s="326"/>
      <c r="VVM4" s="326">
        <v>45870</v>
      </c>
      <c r="VVN4" s="326"/>
      <c r="VVO4" s="326"/>
      <c r="VVP4" s="326"/>
      <c r="VVQ4" s="326"/>
      <c r="VVR4" s="326"/>
      <c r="VVS4" s="326"/>
      <c r="VVT4" s="326"/>
      <c r="VVU4" s="326"/>
      <c r="VVV4" s="326"/>
      <c r="VVW4" s="326"/>
      <c r="VVX4" s="326"/>
      <c r="VVY4" s="326"/>
      <c r="VVZ4" s="326"/>
      <c r="VWA4" s="326"/>
      <c r="VWB4" s="326"/>
      <c r="VWC4" s="326">
        <v>45870</v>
      </c>
      <c r="VWD4" s="326"/>
      <c r="VWE4" s="326"/>
      <c r="VWF4" s="326"/>
      <c r="VWG4" s="326"/>
      <c r="VWH4" s="326"/>
      <c r="VWI4" s="326"/>
      <c r="VWJ4" s="326"/>
      <c r="VWK4" s="326"/>
      <c r="VWL4" s="326"/>
      <c r="VWM4" s="326"/>
      <c r="VWN4" s="326"/>
      <c r="VWO4" s="326"/>
      <c r="VWP4" s="326"/>
      <c r="VWQ4" s="326"/>
      <c r="VWR4" s="326"/>
      <c r="VWS4" s="326">
        <v>45870</v>
      </c>
      <c r="VWT4" s="326"/>
      <c r="VWU4" s="326"/>
      <c r="VWV4" s="326"/>
      <c r="VWW4" s="326"/>
      <c r="VWX4" s="326"/>
      <c r="VWY4" s="326"/>
      <c r="VWZ4" s="326"/>
      <c r="VXA4" s="326"/>
      <c r="VXB4" s="326"/>
      <c r="VXC4" s="326"/>
      <c r="VXD4" s="326"/>
      <c r="VXE4" s="326"/>
      <c r="VXF4" s="326"/>
      <c r="VXG4" s="326"/>
      <c r="VXH4" s="326"/>
      <c r="VXI4" s="326">
        <v>45870</v>
      </c>
      <c r="VXJ4" s="326"/>
      <c r="VXK4" s="326"/>
      <c r="VXL4" s="326"/>
      <c r="VXM4" s="326"/>
      <c r="VXN4" s="326"/>
      <c r="VXO4" s="326"/>
      <c r="VXP4" s="326"/>
      <c r="VXQ4" s="326"/>
      <c r="VXR4" s="326"/>
      <c r="VXS4" s="326"/>
      <c r="VXT4" s="326"/>
      <c r="VXU4" s="326"/>
      <c r="VXV4" s="326"/>
      <c r="VXW4" s="326"/>
      <c r="VXX4" s="326"/>
      <c r="VXY4" s="326">
        <v>45870</v>
      </c>
      <c r="VXZ4" s="326"/>
      <c r="VYA4" s="326"/>
      <c r="VYB4" s="326"/>
      <c r="VYC4" s="326"/>
      <c r="VYD4" s="326"/>
      <c r="VYE4" s="326"/>
      <c r="VYF4" s="326"/>
      <c r="VYG4" s="326"/>
      <c r="VYH4" s="326"/>
      <c r="VYI4" s="326"/>
      <c r="VYJ4" s="326"/>
      <c r="VYK4" s="326"/>
      <c r="VYL4" s="326"/>
      <c r="VYM4" s="326"/>
      <c r="VYN4" s="326"/>
      <c r="VYO4" s="326">
        <v>45870</v>
      </c>
      <c r="VYP4" s="326"/>
      <c r="VYQ4" s="326"/>
      <c r="VYR4" s="326"/>
      <c r="VYS4" s="326"/>
      <c r="VYT4" s="326"/>
      <c r="VYU4" s="326"/>
      <c r="VYV4" s="326"/>
      <c r="VYW4" s="326"/>
      <c r="VYX4" s="326"/>
      <c r="VYY4" s="326"/>
      <c r="VYZ4" s="326"/>
      <c r="VZA4" s="326"/>
      <c r="VZB4" s="326"/>
      <c r="VZC4" s="326"/>
      <c r="VZD4" s="326"/>
      <c r="VZE4" s="326">
        <v>45870</v>
      </c>
      <c r="VZF4" s="326"/>
      <c r="VZG4" s="326"/>
      <c r="VZH4" s="326"/>
      <c r="VZI4" s="326"/>
      <c r="VZJ4" s="326"/>
      <c r="VZK4" s="326"/>
      <c r="VZL4" s="326"/>
      <c r="VZM4" s="326"/>
      <c r="VZN4" s="326"/>
      <c r="VZO4" s="326"/>
      <c r="VZP4" s="326"/>
      <c r="VZQ4" s="326"/>
      <c r="VZR4" s="326"/>
      <c r="VZS4" s="326"/>
      <c r="VZT4" s="326"/>
      <c r="VZU4" s="326">
        <v>45870</v>
      </c>
      <c r="VZV4" s="326"/>
      <c r="VZW4" s="326"/>
      <c r="VZX4" s="326"/>
      <c r="VZY4" s="326"/>
      <c r="VZZ4" s="326"/>
      <c r="WAA4" s="326"/>
      <c r="WAB4" s="326"/>
      <c r="WAC4" s="326"/>
      <c r="WAD4" s="326"/>
      <c r="WAE4" s="326"/>
      <c r="WAF4" s="326"/>
      <c r="WAG4" s="326"/>
      <c r="WAH4" s="326"/>
      <c r="WAI4" s="326"/>
      <c r="WAJ4" s="326"/>
      <c r="WAK4" s="326">
        <v>45870</v>
      </c>
      <c r="WAL4" s="326"/>
      <c r="WAM4" s="326"/>
      <c r="WAN4" s="326"/>
      <c r="WAO4" s="326"/>
      <c r="WAP4" s="326"/>
      <c r="WAQ4" s="326"/>
      <c r="WAR4" s="326"/>
      <c r="WAS4" s="326"/>
      <c r="WAT4" s="326"/>
      <c r="WAU4" s="326"/>
      <c r="WAV4" s="326"/>
      <c r="WAW4" s="326"/>
      <c r="WAX4" s="326"/>
      <c r="WAY4" s="326"/>
      <c r="WAZ4" s="326"/>
      <c r="WBA4" s="326">
        <v>45870</v>
      </c>
      <c r="WBB4" s="326"/>
      <c r="WBC4" s="326"/>
      <c r="WBD4" s="326"/>
      <c r="WBE4" s="326"/>
      <c r="WBF4" s="326"/>
      <c r="WBG4" s="326"/>
      <c r="WBH4" s="326"/>
      <c r="WBI4" s="326"/>
      <c r="WBJ4" s="326"/>
      <c r="WBK4" s="326"/>
      <c r="WBL4" s="326"/>
      <c r="WBM4" s="326"/>
      <c r="WBN4" s="326"/>
      <c r="WBO4" s="326"/>
      <c r="WBP4" s="326"/>
      <c r="WBQ4" s="326">
        <v>45870</v>
      </c>
      <c r="WBR4" s="326"/>
      <c r="WBS4" s="326"/>
      <c r="WBT4" s="326"/>
      <c r="WBU4" s="326"/>
      <c r="WBV4" s="326"/>
      <c r="WBW4" s="326"/>
      <c r="WBX4" s="326"/>
      <c r="WBY4" s="326"/>
      <c r="WBZ4" s="326"/>
      <c r="WCA4" s="326"/>
      <c r="WCB4" s="326"/>
      <c r="WCC4" s="326"/>
      <c r="WCD4" s="326"/>
      <c r="WCE4" s="326"/>
      <c r="WCF4" s="326"/>
      <c r="WCG4" s="326">
        <v>45870</v>
      </c>
      <c r="WCH4" s="326"/>
      <c r="WCI4" s="326"/>
      <c r="WCJ4" s="326"/>
      <c r="WCK4" s="326"/>
      <c r="WCL4" s="326"/>
      <c r="WCM4" s="326"/>
      <c r="WCN4" s="326"/>
      <c r="WCO4" s="326"/>
      <c r="WCP4" s="326"/>
      <c r="WCQ4" s="326"/>
      <c r="WCR4" s="326"/>
      <c r="WCS4" s="326"/>
      <c r="WCT4" s="326"/>
      <c r="WCU4" s="326"/>
      <c r="WCV4" s="326"/>
      <c r="WCW4" s="326">
        <v>45870</v>
      </c>
      <c r="WCX4" s="326"/>
      <c r="WCY4" s="326"/>
      <c r="WCZ4" s="326"/>
      <c r="WDA4" s="326"/>
      <c r="WDB4" s="326"/>
      <c r="WDC4" s="326"/>
      <c r="WDD4" s="326"/>
      <c r="WDE4" s="326"/>
      <c r="WDF4" s="326"/>
      <c r="WDG4" s="326"/>
      <c r="WDH4" s="326"/>
      <c r="WDI4" s="326"/>
      <c r="WDJ4" s="326"/>
      <c r="WDK4" s="326"/>
      <c r="WDL4" s="326"/>
      <c r="WDM4" s="326">
        <v>45870</v>
      </c>
      <c r="WDN4" s="326"/>
      <c r="WDO4" s="326"/>
      <c r="WDP4" s="326"/>
      <c r="WDQ4" s="326"/>
      <c r="WDR4" s="326"/>
      <c r="WDS4" s="326"/>
      <c r="WDT4" s="326"/>
      <c r="WDU4" s="326"/>
      <c r="WDV4" s="326"/>
      <c r="WDW4" s="326"/>
      <c r="WDX4" s="326"/>
      <c r="WDY4" s="326"/>
      <c r="WDZ4" s="326"/>
      <c r="WEA4" s="326"/>
      <c r="WEB4" s="326"/>
      <c r="WEC4" s="326">
        <v>45870</v>
      </c>
      <c r="WED4" s="326"/>
      <c r="WEE4" s="326"/>
      <c r="WEF4" s="326"/>
      <c r="WEG4" s="326"/>
      <c r="WEH4" s="326"/>
      <c r="WEI4" s="326"/>
      <c r="WEJ4" s="326"/>
      <c r="WEK4" s="326"/>
      <c r="WEL4" s="326"/>
      <c r="WEM4" s="326"/>
      <c r="WEN4" s="326"/>
      <c r="WEO4" s="326"/>
      <c r="WEP4" s="326"/>
      <c r="WEQ4" s="326"/>
      <c r="WER4" s="326"/>
      <c r="WES4" s="326">
        <v>45870</v>
      </c>
      <c r="WET4" s="326"/>
      <c r="WEU4" s="326"/>
      <c r="WEV4" s="326"/>
      <c r="WEW4" s="326"/>
      <c r="WEX4" s="326"/>
      <c r="WEY4" s="326"/>
      <c r="WEZ4" s="326"/>
      <c r="WFA4" s="326"/>
      <c r="WFB4" s="326"/>
      <c r="WFC4" s="326"/>
      <c r="WFD4" s="326"/>
      <c r="WFE4" s="326"/>
      <c r="WFF4" s="326"/>
      <c r="WFG4" s="326"/>
      <c r="WFH4" s="326"/>
      <c r="WFI4" s="326">
        <v>45870</v>
      </c>
      <c r="WFJ4" s="326"/>
      <c r="WFK4" s="326"/>
      <c r="WFL4" s="326"/>
      <c r="WFM4" s="326"/>
      <c r="WFN4" s="326"/>
      <c r="WFO4" s="326"/>
      <c r="WFP4" s="326"/>
      <c r="WFQ4" s="326"/>
      <c r="WFR4" s="326"/>
      <c r="WFS4" s="326"/>
      <c r="WFT4" s="326"/>
      <c r="WFU4" s="326"/>
      <c r="WFV4" s="326"/>
      <c r="WFW4" s="326"/>
      <c r="WFX4" s="326"/>
      <c r="WFY4" s="326">
        <v>45870</v>
      </c>
      <c r="WFZ4" s="326"/>
      <c r="WGA4" s="326"/>
      <c r="WGB4" s="326"/>
      <c r="WGC4" s="326"/>
      <c r="WGD4" s="326"/>
      <c r="WGE4" s="326"/>
      <c r="WGF4" s="326"/>
      <c r="WGG4" s="326"/>
      <c r="WGH4" s="326"/>
      <c r="WGI4" s="326"/>
      <c r="WGJ4" s="326"/>
      <c r="WGK4" s="326"/>
      <c r="WGL4" s="326"/>
      <c r="WGM4" s="326"/>
      <c r="WGN4" s="326"/>
      <c r="WGO4" s="326">
        <v>45870</v>
      </c>
      <c r="WGP4" s="326"/>
      <c r="WGQ4" s="326"/>
      <c r="WGR4" s="326"/>
      <c r="WGS4" s="326"/>
      <c r="WGT4" s="326"/>
      <c r="WGU4" s="326"/>
      <c r="WGV4" s="326"/>
      <c r="WGW4" s="326"/>
      <c r="WGX4" s="326"/>
      <c r="WGY4" s="326"/>
      <c r="WGZ4" s="326"/>
      <c r="WHA4" s="326"/>
      <c r="WHB4" s="326"/>
      <c r="WHC4" s="326"/>
      <c r="WHD4" s="326"/>
      <c r="WHE4" s="326">
        <v>45870</v>
      </c>
      <c r="WHF4" s="326"/>
      <c r="WHG4" s="326"/>
      <c r="WHH4" s="326"/>
      <c r="WHI4" s="326"/>
      <c r="WHJ4" s="326"/>
      <c r="WHK4" s="326"/>
      <c r="WHL4" s="326"/>
      <c r="WHM4" s="326"/>
      <c r="WHN4" s="326"/>
      <c r="WHO4" s="326"/>
      <c r="WHP4" s="326"/>
      <c r="WHQ4" s="326"/>
      <c r="WHR4" s="326"/>
      <c r="WHS4" s="326"/>
      <c r="WHT4" s="326"/>
      <c r="WHU4" s="326">
        <v>45870</v>
      </c>
      <c r="WHV4" s="326"/>
      <c r="WHW4" s="326"/>
      <c r="WHX4" s="326"/>
      <c r="WHY4" s="326"/>
      <c r="WHZ4" s="326"/>
      <c r="WIA4" s="326"/>
      <c r="WIB4" s="326"/>
      <c r="WIC4" s="326"/>
      <c r="WID4" s="326"/>
      <c r="WIE4" s="326"/>
      <c r="WIF4" s="326"/>
      <c r="WIG4" s="326"/>
      <c r="WIH4" s="326"/>
      <c r="WII4" s="326"/>
      <c r="WIJ4" s="326"/>
      <c r="WIK4" s="326">
        <v>45870</v>
      </c>
      <c r="WIL4" s="326"/>
      <c r="WIM4" s="326"/>
      <c r="WIN4" s="326"/>
      <c r="WIO4" s="326"/>
      <c r="WIP4" s="326"/>
      <c r="WIQ4" s="326"/>
      <c r="WIR4" s="326"/>
      <c r="WIS4" s="326"/>
      <c r="WIT4" s="326"/>
      <c r="WIU4" s="326"/>
      <c r="WIV4" s="326"/>
      <c r="WIW4" s="326"/>
      <c r="WIX4" s="326"/>
      <c r="WIY4" s="326"/>
      <c r="WIZ4" s="326"/>
      <c r="WJA4" s="326">
        <v>45870</v>
      </c>
      <c r="WJB4" s="326"/>
      <c r="WJC4" s="326"/>
      <c r="WJD4" s="326"/>
      <c r="WJE4" s="326"/>
      <c r="WJF4" s="326"/>
      <c r="WJG4" s="326"/>
      <c r="WJH4" s="326"/>
      <c r="WJI4" s="326"/>
      <c r="WJJ4" s="326"/>
      <c r="WJK4" s="326"/>
      <c r="WJL4" s="326"/>
      <c r="WJM4" s="326"/>
      <c r="WJN4" s="326"/>
      <c r="WJO4" s="326"/>
      <c r="WJP4" s="326"/>
      <c r="WJQ4" s="326">
        <v>45870</v>
      </c>
      <c r="WJR4" s="326"/>
      <c r="WJS4" s="326"/>
      <c r="WJT4" s="326"/>
      <c r="WJU4" s="326"/>
      <c r="WJV4" s="326"/>
      <c r="WJW4" s="326"/>
      <c r="WJX4" s="326"/>
      <c r="WJY4" s="326"/>
      <c r="WJZ4" s="326"/>
      <c r="WKA4" s="326"/>
      <c r="WKB4" s="326"/>
      <c r="WKC4" s="326"/>
      <c r="WKD4" s="326"/>
      <c r="WKE4" s="326"/>
      <c r="WKF4" s="326"/>
      <c r="WKG4" s="326">
        <v>45870</v>
      </c>
      <c r="WKH4" s="326"/>
      <c r="WKI4" s="326"/>
      <c r="WKJ4" s="326"/>
      <c r="WKK4" s="326"/>
      <c r="WKL4" s="326"/>
      <c r="WKM4" s="326"/>
      <c r="WKN4" s="326"/>
      <c r="WKO4" s="326"/>
      <c r="WKP4" s="326"/>
      <c r="WKQ4" s="326"/>
      <c r="WKR4" s="326"/>
      <c r="WKS4" s="326"/>
      <c r="WKT4" s="326"/>
      <c r="WKU4" s="326"/>
      <c r="WKV4" s="326"/>
      <c r="WKW4" s="326">
        <v>45870</v>
      </c>
      <c r="WKX4" s="326"/>
      <c r="WKY4" s="326"/>
      <c r="WKZ4" s="326"/>
      <c r="WLA4" s="326"/>
      <c r="WLB4" s="326"/>
      <c r="WLC4" s="326"/>
      <c r="WLD4" s="326"/>
      <c r="WLE4" s="326"/>
      <c r="WLF4" s="326"/>
      <c r="WLG4" s="326"/>
      <c r="WLH4" s="326"/>
      <c r="WLI4" s="326"/>
      <c r="WLJ4" s="326"/>
      <c r="WLK4" s="326"/>
      <c r="WLL4" s="326"/>
      <c r="WLM4" s="326">
        <v>45870</v>
      </c>
      <c r="WLN4" s="326"/>
      <c r="WLO4" s="326"/>
      <c r="WLP4" s="326"/>
      <c r="WLQ4" s="326"/>
      <c r="WLR4" s="326"/>
      <c r="WLS4" s="326"/>
      <c r="WLT4" s="326"/>
      <c r="WLU4" s="326"/>
      <c r="WLV4" s="326"/>
      <c r="WLW4" s="326"/>
      <c r="WLX4" s="326"/>
      <c r="WLY4" s="326"/>
      <c r="WLZ4" s="326"/>
      <c r="WMA4" s="326"/>
      <c r="WMB4" s="326"/>
      <c r="WMC4" s="326">
        <v>45870</v>
      </c>
      <c r="WMD4" s="326"/>
      <c r="WME4" s="326"/>
      <c r="WMF4" s="326"/>
      <c r="WMG4" s="326"/>
      <c r="WMH4" s="326"/>
      <c r="WMI4" s="326"/>
      <c r="WMJ4" s="326"/>
      <c r="WMK4" s="326"/>
      <c r="WML4" s="326"/>
      <c r="WMM4" s="326"/>
      <c r="WMN4" s="326"/>
      <c r="WMO4" s="326"/>
      <c r="WMP4" s="326"/>
      <c r="WMQ4" s="326"/>
      <c r="WMR4" s="326"/>
      <c r="WMS4" s="326">
        <v>45870</v>
      </c>
      <c r="WMT4" s="326"/>
      <c r="WMU4" s="326"/>
      <c r="WMV4" s="326"/>
      <c r="WMW4" s="326"/>
      <c r="WMX4" s="326"/>
      <c r="WMY4" s="326"/>
      <c r="WMZ4" s="326"/>
      <c r="WNA4" s="326"/>
      <c r="WNB4" s="326"/>
      <c r="WNC4" s="326"/>
      <c r="WND4" s="326"/>
      <c r="WNE4" s="326"/>
      <c r="WNF4" s="326"/>
      <c r="WNG4" s="326"/>
      <c r="WNH4" s="326"/>
      <c r="WNI4" s="326">
        <v>45870</v>
      </c>
      <c r="WNJ4" s="326"/>
      <c r="WNK4" s="326"/>
      <c r="WNL4" s="326"/>
      <c r="WNM4" s="326"/>
      <c r="WNN4" s="326"/>
      <c r="WNO4" s="326"/>
      <c r="WNP4" s="326"/>
      <c r="WNQ4" s="326"/>
      <c r="WNR4" s="326"/>
      <c r="WNS4" s="326"/>
      <c r="WNT4" s="326"/>
      <c r="WNU4" s="326"/>
      <c r="WNV4" s="326"/>
      <c r="WNW4" s="326"/>
      <c r="WNX4" s="326"/>
      <c r="WNY4" s="326">
        <v>45870</v>
      </c>
      <c r="WNZ4" s="326"/>
      <c r="WOA4" s="326"/>
      <c r="WOB4" s="326"/>
      <c r="WOC4" s="326"/>
      <c r="WOD4" s="326"/>
      <c r="WOE4" s="326"/>
      <c r="WOF4" s="326"/>
      <c r="WOG4" s="326"/>
      <c r="WOH4" s="326"/>
      <c r="WOI4" s="326"/>
      <c r="WOJ4" s="326"/>
      <c r="WOK4" s="326"/>
      <c r="WOL4" s="326"/>
      <c r="WOM4" s="326"/>
      <c r="WON4" s="326"/>
      <c r="WOO4" s="326">
        <v>45870</v>
      </c>
      <c r="WOP4" s="326"/>
      <c r="WOQ4" s="326"/>
      <c r="WOR4" s="326"/>
      <c r="WOS4" s="326"/>
      <c r="WOT4" s="326"/>
      <c r="WOU4" s="326"/>
      <c r="WOV4" s="326"/>
      <c r="WOW4" s="326"/>
      <c r="WOX4" s="326"/>
      <c r="WOY4" s="326"/>
      <c r="WOZ4" s="326"/>
      <c r="WPA4" s="326"/>
      <c r="WPB4" s="326"/>
      <c r="WPC4" s="326"/>
      <c r="WPD4" s="326"/>
      <c r="WPE4" s="326">
        <v>45870</v>
      </c>
      <c r="WPF4" s="326"/>
      <c r="WPG4" s="326"/>
      <c r="WPH4" s="326"/>
      <c r="WPI4" s="326"/>
      <c r="WPJ4" s="326"/>
      <c r="WPK4" s="326"/>
      <c r="WPL4" s="326"/>
      <c r="WPM4" s="326"/>
      <c r="WPN4" s="326"/>
      <c r="WPO4" s="326"/>
      <c r="WPP4" s="326"/>
      <c r="WPQ4" s="326"/>
      <c r="WPR4" s="326"/>
      <c r="WPS4" s="326"/>
      <c r="WPT4" s="326"/>
      <c r="WPU4" s="326">
        <v>45870</v>
      </c>
      <c r="WPV4" s="326"/>
      <c r="WPW4" s="326"/>
      <c r="WPX4" s="326"/>
      <c r="WPY4" s="326"/>
      <c r="WPZ4" s="326"/>
      <c r="WQA4" s="326"/>
      <c r="WQB4" s="326"/>
      <c r="WQC4" s="326"/>
      <c r="WQD4" s="326"/>
      <c r="WQE4" s="326"/>
      <c r="WQF4" s="326"/>
      <c r="WQG4" s="326"/>
      <c r="WQH4" s="326"/>
      <c r="WQI4" s="326"/>
      <c r="WQJ4" s="326"/>
      <c r="WQK4" s="326">
        <v>45870</v>
      </c>
      <c r="WQL4" s="326"/>
      <c r="WQM4" s="326"/>
      <c r="WQN4" s="326"/>
      <c r="WQO4" s="326"/>
      <c r="WQP4" s="326"/>
      <c r="WQQ4" s="326"/>
      <c r="WQR4" s="326"/>
      <c r="WQS4" s="326"/>
      <c r="WQT4" s="326"/>
      <c r="WQU4" s="326"/>
      <c r="WQV4" s="326"/>
      <c r="WQW4" s="326"/>
      <c r="WQX4" s="326"/>
      <c r="WQY4" s="326"/>
      <c r="WQZ4" s="326"/>
      <c r="WRA4" s="326">
        <v>45870</v>
      </c>
      <c r="WRB4" s="326"/>
      <c r="WRC4" s="326"/>
      <c r="WRD4" s="326"/>
      <c r="WRE4" s="326"/>
      <c r="WRF4" s="326"/>
      <c r="WRG4" s="326"/>
      <c r="WRH4" s="326"/>
      <c r="WRI4" s="326"/>
      <c r="WRJ4" s="326"/>
      <c r="WRK4" s="326"/>
      <c r="WRL4" s="326"/>
      <c r="WRM4" s="326"/>
      <c r="WRN4" s="326"/>
      <c r="WRO4" s="326"/>
      <c r="WRP4" s="326"/>
      <c r="WRQ4" s="326">
        <v>45870</v>
      </c>
      <c r="WRR4" s="326"/>
      <c r="WRS4" s="326"/>
      <c r="WRT4" s="326"/>
      <c r="WRU4" s="326"/>
      <c r="WRV4" s="326"/>
      <c r="WRW4" s="326"/>
      <c r="WRX4" s="326"/>
      <c r="WRY4" s="326"/>
      <c r="WRZ4" s="326"/>
      <c r="WSA4" s="326"/>
      <c r="WSB4" s="326"/>
      <c r="WSC4" s="326"/>
      <c r="WSD4" s="326"/>
      <c r="WSE4" s="326"/>
      <c r="WSF4" s="326"/>
      <c r="WSG4" s="326">
        <v>45870</v>
      </c>
      <c r="WSH4" s="326"/>
      <c r="WSI4" s="326"/>
      <c r="WSJ4" s="326"/>
      <c r="WSK4" s="326"/>
      <c r="WSL4" s="326"/>
      <c r="WSM4" s="326"/>
      <c r="WSN4" s="326"/>
      <c r="WSO4" s="326"/>
      <c r="WSP4" s="326"/>
      <c r="WSQ4" s="326"/>
      <c r="WSR4" s="326"/>
      <c r="WSS4" s="326"/>
      <c r="WST4" s="326"/>
      <c r="WSU4" s="326"/>
      <c r="WSV4" s="326"/>
      <c r="WSW4" s="326">
        <v>45870</v>
      </c>
      <c r="WSX4" s="326"/>
      <c r="WSY4" s="326"/>
      <c r="WSZ4" s="326"/>
      <c r="WTA4" s="326"/>
      <c r="WTB4" s="326"/>
      <c r="WTC4" s="326"/>
      <c r="WTD4" s="326"/>
      <c r="WTE4" s="326"/>
      <c r="WTF4" s="326"/>
      <c r="WTG4" s="326"/>
      <c r="WTH4" s="326"/>
      <c r="WTI4" s="326"/>
      <c r="WTJ4" s="326"/>
      <c r="WTK4" s="326"/>
      <c r="WTL4" s="326"/>
      <c r="WTM4" s="326">
        <v>45870</v>
      </c>
      <c r="WTN4" s="326"/>
      <c r="WTO4" s="326"/>
      <c r="WTP4" s="326"/>
      <c r="WTQ4" s="326"/>
      <c r="WTR4" s="326"/>
      <c r="WTS4" s="326"/>
      <c r="WTT4" s="326"/>
      <c r="WTU4" s="326"/>
      <c r="WTV4" s="326"/>
      <c r="WTW4" s="326"/>
      <c r="WTX4" s="326"/>
      <c r="WTY4" s="326"/>
      <c r="WTZ4" s="326"/>
      <c r="WUA4" s="326"/>
      <c r="WUB4" s="326"/>
      <c r="WUC4" s="326">
        <v>45870</v>
      </c>
      <c r="WUD4" s="326"/>
      <c r="WUE4" s="326"/>
      <c r="WUF4" s="326"/>
      <c r="WUG4" s="326"/>
      <c r="WUH4" s="326"/>
      <c r="WUI4" s="326"/>
      <c r="WUJ4" s="326"/>
      <c r="WUK4" s="326"/>
      <c r="WUL4" s="326"/>
      <c r="WUM4" s="326"/>
      <c r="WUN4" s="326"/>
      <c r="WUO4" s="326"/>
      <c r="WUP4" s="326"/>
      <c r="WUQ4" s="326"/>
      <c r="WUR4" s="326"/>
      <c r="WUS4" s="326">
        <v>45870</v>
      </c>
      <c r="WUT4" s="326"/>
      <c r="WUU4" s="326"/>
      <c r="WUV4" s="326"/>
      <c r="WUW4" s="326"/>
      <c r="WUX4" s="326"/>
      <c r="WUY4" s="326"/>
      <c r="WUZ4" s="326"/>
      <c r="WVA4" s="326"/>
      <c r="WVB4" s="326"/>
      <c r="WVC4" s="326"/>
      <c r="WVD4" s="326"/>
      <c r="WVE4" s="326"/>
      <c r="WVF4" s="326"/>
      <c r="WVG4" s="326"/>
      <c r="WVH4" s="326"/>
      <c r="WVI4" s="326">
        <v>45870</v>
      </c>
      <c r="WVJ4" s="326"/>
      <c r="WVK4" s="326"/>
      <c r="WVL4" s="326"/>
      <c r="WVM4" s="326"/>
      <c r="WVN4" s="326"/>
      <c r="WVO4" s="326"/>
      <c r="WVP4" s="326"/>
      <c r="WVQ4" s="326"/>
      <c r="WVR4" s="326"/>
      <c r="WVS4" s="326"/>
      <c r="WVT4" s="326"/>
      <c r="WVU4" s="326"/>
      <c r="WVV4" s="326"/>
      <c r="WVW4" s="326"/>
      <c r="WVX4" s="326"/>
      <c r="WVY4" s="326">
        <v>45870</v>
      </c>
      <c r="WVZ4" s="326"/>
      <c r="WWA4" s="326"/>
      <c r="WWB4" s="326"/>
      <c r="WWC4" s="326"/>
      <c r="WWD4" s="326"/>
      <c r="WWE4" s="326"/>
      <c r="WWF4" s="326"/>
      <c r="WWG4" s="326"/>
      <c r="WWH4" s="326"/>
      <c r="WWI4" s="326"/>
      <c r="WWJ4" s="326"/>
      <c r="WWK4" s="326"/>
      <c r="WWL4" s="326"/>
      <c r="WWM4" s="326"/>
      <c r="WWN4" s="326"/>
      <c r="WWO4" s="326">
        <v>45870</v>
      </c>
      <c r="WWP4" s="326"/>
      <c r="WWQ4" s="326"/>
      <c r="WWR4" s="326"/>
      <c r="WWS4" s="326"/>
      <c r="WWT4" s="326"/>
      <c r="WWU4" s="326"/>
      <c r="WWV4" s="326"/>
      <c r="WWW4" s="326"/>
      <c r="WWX4" s="326"/>
      <c r="WWY4" s="326"/>
      <c r="WWZ4" s="326"/>
      <c r="WXA4" s="326"/>
      <c r="WXB4" s="326"/>
      <c r="WXC4" s="326"/>
      <c r="WXD4" s="326"/>
      <c r="WXE4" s="326">
        <v>45870</v>
      </c>
      <c r="WXF4" s="326"/>
      <c r="WXG4" s="326"/>
      <c r="WXH4" s="326"/>
      <c r="WXI4" s="326"/>
      <c r="WXJ4" s="326"/>
      <c r="WXK4" s="326"/>
      <c r="WXL4" s="326"/>
      <c r="WXM4" s="326"/>
      <c r="WXN4" s="326"/>
      <c r="WXO4" s="326"/>
      <c r="WXP4" s="326"/>
      <c r="WXQ4" s="326"/>
      <c r="WXR4" s="326"/>
      <c r="WXS4" s="326"/>
      <c r="WXT4" s="326"/>
      <c r="WXU4" s="326">
        <v>45870</v>
      </c>
      <c r="WXV4" s="326"/>
      <c r="WXW4" s="326"/>
      <c r="WXX4" s="326"/>
      <c r="WXY4" s="326"/>
      <c r="WXZ4" s="326"/>
      <c r="WYA4" s="326"/>
      <c r="WYB4" s="326"/>
      <c r="WYC4" s="326"/>
      <c r="WYD4" s="326"/>
      <c r="WYE4" s="326"/>
      <c r="WYF4" s="326"/>
      <c r="WYG4" s="326"/>
      <c r="WYH4" s="326"/>
      <c r="WYI4" s="326"/>
      <c r="WYJ4" s="326"/>
      <c r="WYK4" s="326">
        <v>45870</v>
      </c>
      <c r="WYL4" s="326"/>
      <c r="WYM4" s="326"/>
      <c r="WYN4" s="326"/>
      <c r="WYO4" s="326"/>
      <c r="WYP4" s="326"/>
      <c r="WYQ4" s="326"/>
      <c r="WYR4" s="326"/>
      <c r="WYS4" s="326"/>
      <c r="WYT4" s="326"/>
      <c r="WYU4" s="326"/>
      <c r="WYV4" s="326"/>
      <c r="WYW4" s="326"/>
      <c r="WYX4" s="326"/>
      <c r="WYY4" s="326"/>
      <c r="WYZ4" s="326"/>
      <c r="WZA4" s="326">
        <v>45870</v>
      </c>
      <c r="WZB4" s="326"/>
      <c r="WZC4" s="326"/>
      <c r="WZD4" s="326"/>
      <c r="WZE4" s="326"/>
      <c r="WZF4" s="326"/>
      <c r="WZG4" s="326"/>
      <c r="WZH4" s="326"/>
      <c r="WZI4" s="326"/>
      <c r="WZJ4" s="326"/>
      <c r="WZK4" s="326"/>
      <c r="WZL4" s="326"/>
      <c r="WZM4" s="326"/>
      <c r="WZN4" s="326"/>
      <c r="WZO4" s="326"/>
      <c r="WZP4" s="326"/>
      <c r="WZQ4" s="326">
        <v>45870</v>
      </c>
      <c r="WZR4" s="326"/>
      <c r="WZS4" s="326"/>
      <c r="WZT4" s="326"/>
      <c r="WZU4" s="326"/>
      <c r="WZV4" s="326"/>
      <c r="WZW4" s="326"/>
      <c r="WZX4" s="326"/>
      <c r="WZY4" s="326"/>
      <c r="WZZ4" s="326"/>
      <c r="XAA4" s="326"/>
      <c r="XAB4" s="326"/>
      <c r="XAC4" s="326"/>
      <c r="XAD4" s="326"/>
      <c r="XAE4" s="326"/>
      <c r="XAF4" s="326"/>
      <c r="XAG4" s="326">
        <v>45870</v>
      </c>
      <c r="XAH4" s="326"/>
      <c r="XAI4" s="326"/>
      <c r="XAJ4" s="326"/>
      <c r="XAK4" s="326"/>
      <c r="XAL4" s="326"/>
      <c r="XAM4" s="326"/>
      <c r="XAN4" s="326"/>
      <c r="XAO4" s="326"/>
      <c r="XAP4" s="326"/>
      <c r="XAQ4" s="326"/>
      <c r="XAR4" s="326"/>
      <c r="XAS4" s="326"/>
      <c r="XAT4" s="326"/>
      <c r="XAU4" s="326"/>
      <c r="XAV4" s="326"/>
      <c r="XAW4" s="326">
        <v>45870</v>
      </c>
      <c r="XAX4" s="326"/>
      <c r="XAY4" s="326"/>
      <c r="XAZ4" s="326"/>
      <c r="XBA4" s="326"/>
      <c r="XBB4" s="326"/>
      <c r="XBC4" s="326"/>
      <c r="XBD4" s="326"/>
      <c r="XBE4" s="326"/>
      <c r="XBF4" s="326"/>
      <c r="XBG4" s="326"/>
      <c r="XBH4" s="326"/>
      <c r="XBI4" s="326"/>
      <c r="XBJ4" s="326"/>
      <c r="XBK4" s="326"/>
      <c r="XBL4" s="326"/>
      <c r="XBM4" s="326">
        <v>45870</v>
      </c>
      <c r="XBN4" s="326"/>
      <c r="XBO4" s="326"/>
      <c r="XBP4" s="326"/>
      <c r="XBQ4" s="326"/>
      <c r="XBR4" s="326"/>
      <c r="XBS4" s="326"/>
      <c r="XBT4" s="326"/>
      <c r="XBU4" s="326"/>
      <c r="XBV4" s="326"/>
      <c r="XBW4" s="326"/>
      <c r="XBX4" s="326"/>
      <c r="XBY4" s="326"/>
      <c r="XBZ4" s="326"/>
      <c r="XCA4" s="326"/>
      <c r="XCB4" s="326"/>
      <c r="XCC4" s="326">
        <v>45870</v>
      </c>
      <c r="XCD4" s="326"/>
      <c r="XCE4" s="326"/>
      <c r="XCF4" s="326"/>
      <c r="XCG4" s="326"/>
      <c r="XCH4" s="326"/>
      <c r="XCI4" s="326"/>
      <c r="XCJ4" s="326"/>
      <c r="XCK4" s="326"/>
      <c r="XCL4" s="326"/>
      <c r="XCM4" s="326"/>
      <c r="XCN4" s="326"/>
      <c r="XCO4" s="326"/>
      <c r="XCP4" s="326"/>
      <c r="XCQ4" s="326"/>
      <c r="XCR4" s="326"/>
      <c r="XCS4" s="326">
        <v>45870</v>
      </c>
      <c r="XCT4" s="326"/>
      <c r="XCU4" s="326"/>
      <c r="XCV4" s="326"/>
      <c r="XCW4" s="326"/>
      <c r="XCX4" s="326"/>
      <c r="XCY4" s="326"/>
      <c r="XCZ4" s="326"/>
      <c r="XDA4" s="326"/>
      <c r="XDB4" s="326"/>
      <c r="XDC4" s="326"/>
      <c r="XDD4" s="326"/>
      <c r="XDE4" s="326"/>
      <c r="XDF4" s="326"/>
      <c r="XDG4" s="326"/>
      <c r="XDH4" s="326"/>
      <c r="XDI4" s="326">
        <v>45870</v>
      </c>
      <c r="XDJ4" s="326"/>
      <c r="XDK4" s="326"/>
      <c r="XDL4" s="326"/>
      <c r="XDM4" s="326"/>
      <c r="XDN4" s="326"/>
      <c r="XDO4" s="326"/>
      <c r="XDP4" s="326"/>
      <c r="XDQ4" s="326"/>
      <c r="XDR4" s="326"/>
      <c r="XDS4" s="326"/>
      <c r="XDT4" s="326"/>
      <c r="XDU4" s="326"/>
      <c r="XDV4" s="326"/>
      <c r="XDW4" s="326"/>
      <c r="XDX4" s="326"/>
      <c r="XDY4" s="326">
        <v>45870</v>
      </c>
      <c r="XDZ4" s="326"/>
      <c r="XEA4" s="326"/>
      <c r="XEB4" s="326"/>
      <c r="XEC4" s="326"/>
      <c r="XED4" s="326"/>
      <c r="XEE4" s="326"/>
      <c r="XEF4" s="326"/>
      <c r="XEG4" s="326"/>
      <c r="XEH4" s="326"/>
      <c r="XEI4" s="326"/>
      <c r="XEJ4" s="326"/>
      <c r="XEK4" s="326"/>
      <c r="XEL4" s="326"/>
      <c r="XEM4" s="326"/>
      <c r="XEN4" s="326"/>
      <c r="XEO4" s="326">
        <v>45870</v>
      </c>
      <c r="XEP4" s="326"/>
      <c r="XEQ4" s="326"/>
      <c r="XER4" s="326"/>
      <c r="XES4" s="326"/>
      <c r="XET4" s="326"/>
      <c r="XEU4" s="326"/>
      <c r="XEV4" s="326"/>
      <c r="XEW4" s="326"/>
      <c r="XEX4" s="326"/>
      <c r="XEY4" s="326"/>
      <c r="XEZ4" s="326"/>
      <c r="XFA4" s="326"/>
      <c r="XFB4" s="326"/>
      <c r="XFC4" s="326"/>
      <c r="XFD4" s="326"/>
    </row>
    <row r="5" spans="1:16384" ht="36" customHeight="1" thickTop="1" thickBot="1">
      <c r="B5" s="19" t="s">
        <v>2</v>
      </c>
      <c r="C5" s="2" t="s">
        <v>3</v>
      </c>
      <c r="D5" s="26" t="s">
        <v>4</v>
      </c>
      <c r="E5" s="2" t="s">
        <v>37</v>
      </c>
      <c r="F5" s="19" t="s">
        <v>12</v>
      </c>
      <c r="G5" s="2" t="s">
        <v>5</v>
      </c>
      <c r="H5" s="2" t="s">
        <v>13</v>
      </c>
      <c r="I5" s="278" t="s">
        <v>26</v>
      </c>
      <c r="J5" s="2" t="s">
        <v>18</v>
      </c>
      <c r="K5" s="2" t="s">
        <v>6</v>
      </c>
      <c r="L5" s="281" t="s">
        <v>22</v>
      </c>
      <c r="M5" s="284" t="s">
        <v>24</v>
      </c>
      <c r="N5" s="284" t="s">
        <v>25</v>
      </c>
      <c r="O5" s="284" t="s">
        <v>23</v>
      </c>
      <c r="P5" s="19" t="s">
        <v>6</v>
      </c>
      <c r="Q5" s="4" t="s">
        <v>9</v>
      </c>
      <c r="R5" s="2" t="s">
        <v>20</v>
      </c>
    </row>
    <row r="6" spans="1:16384" ht="16.5" customHeight="1" thickTop="1">
      <c r="B6" s="20"/>
      <c r="C6" s="8"/>
      <c r="D6" s="27"/>
      <c r="E6" s="8" t="s">
        <v>11</v>
      </c>
      <c r="F6" s="20" t="s">
        <v>11</v>
      </c>
      <c r="G6" s="8" t="s">
        <v>6</v>
      </c>
      <c r="H6" s="8" t="s">
        <v>14</v>
      </c>
      <c r="I6" s="279"/>
      <c r="J6" s="8" t="s">
        <v>17</v>
      </c>
      <c r="K6" s="8" t="s">
        <v>17</v>
      </c>
      <c r="L6" s="282"/>
      <c r="M6" s="285"/>
      <c r="N6" s="285"/>
      <c r="O6" s="285"/>
      <c r="P6" s="20" t="s">
        <v>19</v>
      </c>
      <c r="Q6" s="9" t="s">
        <v>10</v>
      </c>
      <c r="R6" s="336" t="s">
        <v>21</v>
      </c>
    </row>
    <row r="7" spans="1:16384" ht="16.2" thickBot="1">
      <c r="B7" s="21"/>
      <c r="C7" s="10"/>
      <c r="D7" s="28"/>
      <c r="E7" s="8"/>
      <c r="F7" s="21" t="s">
        <v>15</v>
      </c>
      <c r="G7" s="10"/>
      <c r="H7" s="10" t="s">
        <v>16</v>
      </c>
      <c r="I7" s="280"/>
      <c r="J7" s="10"/>
      <c r="K7" s="10"/>
      <c r="L7" s="283"/>
      <c r="M7" s="286"/>
      <c r="N7" s="286"/>
      <c r="O7" s="286"/>
      <c r="P7" s="21"/>
      <c r="Q7" s="11"/>
      <c r="R7" s="337"/>
    </row>
    <row r="8" spans="1:16384" ht="16.5" customHeight="1">
      <c r="B8" s="91">
        <v>45901</v>
      </c>
      <c r="C8" s="87">
        <v>1</v>
      </c>
      <c r="D8" s="29" t="s">
        <v>44</v>
      </c>
      <c r="E8" s="365">
        <v>915</v>
      </c>
      <c r="F8" s="39">
        <f>[3]Sept!$N63</f>
        <v>127</v>
      </c>
      <c r="G8" s="17">
        <v>1051</v>
      </c>
      <c r="H8" s="53">
        <f t="shared" ref="H8:H43" si="0">(G8)*24/(F8/60)/17000*100</f>
        <v>70.099119962945807</v>
      </c>
      <c r="I8" s="54">
        <v>0.18</v>
      </c>
      <c r="J8" s="53">
        <f>SUM(71.6)</f>
        <v>71.599999999999994</v>
      </c>
      <c r="K8" s="53">
        <f t="shared" ref="K8" si="1">(G8)*0.066</f>
        <v>69.366</v>
      </c>
      <c r="L8" s="53">
        <f t="shared" ref="L8" si="2">J8-K8</f>
        <v>2.2339999999999947</v>
      </c>
      <c r="M8" s="54">
        <f>[3]Sept!$AD8</f>
        <v>103</v>
      </c>
      <c r="N8" s="54">
        <v>8</v>
      </c>
      <c r="O8" s="54"/>
      <c r="P8" s="50">
        <f t="shared" ref="P8:P42" si="3">(J8-K8)/J8*100</f>
        <v>3.120111731843568</v>
      </c>
      <c r="Q8" s="54">
        <f t="shared" ref="Q8:Q42" si="4">(G8)/(F8/60)</f>
        <v>496.53543307086613</v>
      </c>
      <c r="R8" s="16"/>
    </row>
    <row r="9" spans="1:16384" ht="15.6">
      <c r="B9" s="91">
        <v>45901</v>
      </c>
      <c r="C9" s="87">
        <v>1</v>
      </c>
      <c r="D9" s="29" t="s">
        <v>47</v>
      </c>
      <c r="E9" s="366"/>
      <c r="F9" s="39">
        <f>[3]Sept!$N64</f>
        <v>614</v>
      </c>
      <c r="G9" s="17">
        <v>4871</v>
      </c>
      <c r="H9" s="53">
        <f t="shared" si="0"/>
        <v>67.199080283579235</v>
      </c>
      <c r="I9" s="54"/>
      <c r="J9" s="53">
        <f>SUM(98.1,94.6,82.5,85.4,79.7)-64.4-47.3</f>
        <v>328.59999999999997</v>
      </c>
      <c r="K9" s="53">
        <f t="shared" ref="K9:K23" si="5">(G9)*0.066</f>
        <v>321.48599999999999</v>
      </c>
      <c r="L9" s="53">
        <f t="shared" ref="L9:L23" si="6">J9-K9</f>
        <v>7.1139999999999759</v>
      </c>
      <c r="M9" s="54">
        <f>[3]Sept!$AD9</f>
        <v>171</v>
      </c>
      <c r="N9" s="54">
        <v>22</v>
      </c>
      <c r="O9" s="54"/>
      <c r="P9" s="50">
        <f t="shared" ref="P9:P39" si="7">(J9-K9)/J9*100</f>
        <v>2.1649421789409549</v>
      </c>
      <c r="Q9" s="54">
        <f t="shared" ref="Q9:Q39" si="8">(G9)/(F9/60)</f>
        <v>475.9934853420196</v>
      </c>
      <c r="R9" s="380">
        <f>((J10+J9)-(K10+K9))/(J10+J9)*100</f>
        <v>2.0147455493616171</v>
      </c>
    </row>
    <row r="10" spans="1:16384" ht="15.6">
      <c r="B10" s="91">
        <v>45902</v>
      </c>
      <c r="C10" s="87">
        <v>2</v>
      </c>
      <c r="D10" s="29" t="s">
        <v>47</v>
      </c>
      <c r="E10" s="365">
        <v>907</v>
      </c>
      <c r="F10" s="39">
        <f>[3]Sept!$N65</f>
        <v>368</v>
      </c>
      <c r="G10" s="17">
        <v>3385</v>
      </c>
      <c r="H10" s="53">
        <f t="shared" si="0"/>
        <v>77.915601023017899</v>
      </c>
      <c r="I10" s="54"/>
      <c r="J10" s="53">
        <f>SUM(64.4,43.8,72,47.3)</f>
        <v>227.5</v>
      </c>
      <c r="K10" s="53">
        <f>(G10)*0.066</f>
        <v>223.41</v>
      </c>
      <c r="L10" s="53">
        <f t="shared" si="6"/>
        <v>4.0900000000000034</v>
      </c>
      <c r="M10" s="54">
        <f>[3]Sept!$AD10</f>
        <v>194</v>
      </c>
      <c r="N10" s="54">
        <f>27+1</f>
        <v>28</v>
      </c>
      <c r="O10" s="54"/>
      <c r="P10" s="50">
        <f t="shared" si="7"/>
        <v>1.7978021978021994</v>
      </c>
      <c r="Q10" s="54">
        <f t="shared" si="8"/>
        <v>551.90217391304338</v>
      </c>
      <c r="R10" s="380"/>
      <c r="S10" s="37"/>
      <c r="T10" s="6"/>
    </row>
    <row r="11" spans="1:16384" ht="15.6">
      <c r="B11" s="91">
        <v>45902</v>
      </c>
      <c r="C11" s="87">
        <v>2</v>
      </c>
      <c r="D11" s="29" t="s">
        <v>114</v>
      </c>
      <c r="E11" s="366"/>
      <c r="F11" s="39">
        <f>[3]Sept!$N66</f>
        <v>285</v>
      </c>
      <c r="G11" s="17">
        <v>1333</v>
      </c>
      <c r="H11" s="53">
        <f t="shared" si="0"/>
        <v>39.618575851393189</v>
      </c>
      <c r="I11" s="54">
        <v>725</v>
      </c>
      <c r="J11" s="187">
        <f>SUM(93)-2.2</f>
        <v>90.8</v>
      </c>
      <c r="K11" s="53">
        <f t="shared" si="5"/>
        <v>87.978000000000009</v>
      </c>
      <c r="L11" s="53">
        <f t="shared" si="6"/>
        <v>2.8219999999999885</v>
      </c>
      <c r="M11" s="54">
        <f>[3]Sept!$AD11</f>
        <v>141</v>
      </c>
      <c r="N11" s="54">
        <v>3</v>
      </c>
      <c r="O11" s="54"/>
      <c r="P11" s="50">
        <f t="shared" si="7"/>
        <v>3.1079295154184896</v>
      </c>
      <c r="Q11" s="54">
        <f t="shared" si="8"/>
        <v>280.63157894736844</v>
      </c>
      <c r="R11" s="314">
        <f>((J12+J11)-(K12+K11))/(J12+J11)*100</f>
        <v>2.4434892541087199</v>
      </c>
      <c r="S11" s="37"/>
      <c r="T11" s="6"/>
    </row>
    <row r="12" spans="1:16384" ht="15.6">
      <c r="B12" s="91">
        <v>45903</v>
      </c>
      <c r="C12" s="87">
        <v>3</v>
      </c>
      <c r="D12" s="29" t="s">
        <v>114</v>
      </c>
      <c r="E12" s="365">
        <v>900</v>
      </c>
      <c r="F12" s="39">
        <f>[3]Sept!$N67</f>
        <v>155</v>
      </c>
      <c r="G12" s="17">
        <v>926</v>
      </c>
      <c r="H12" s="53">
        <f t="shared" si="0"/>
        <v>50.604933586337751</v>
      </c>
      <c r="I12" s="54"/>
      <c r="J12" s="318">
        <f>SUM(2.2,96.8,99.6,106.1)</f>
        <v>304.7</v>
      </c>
      <c r="K12" s="318">
        <f>(G12+G13)*0.066</f>
        <v>297.858</v>
      </c>
      <c r="L12" s="53">
        <f t="shared" si="6"/>
        <v>6.8419999999999845</v>
      </c>
      <c r="M12" s="54">
        <f>[3]Sept!$AD12</f>
        <v>158</v>
      </c>
      <c r="N12" s="54">
        <f>22+4</f>
        <v>26</v>
      </c>
      <c r="O12" s="54"/>
      <c r="P12" s="318">
        <f t="shared" si="7"/>
        <v>2.2454873646209337</v>
      </c>
      <c r="Q12" s="54">
        <f t="shared" si="8"/>
        <v>358.45161290322579</v>
      </c>
      <c r="R12" s="314"/>
      <c r="S12" s="37"/>
      <c r="T12" s="6"/>
    </row>
    <row r="13" spans="1:16384" ht="15.6">
      <c r="B13" s="91">
        <v>45903</v>
      </c>
      <c r="C13" s="87">
        <v>3</v>
      </c>
      <c r="D13" s="29" t="s">
        <v>44</v>
      </c>
      <c r="E13" s="366"/>
      <c r="F13" s="39">
        <f>[3]Sept!$N68</f>
        <v>475</v>
      </c>
      <c r="G13" s="17">
        <v>3587</v>
      </c>
      <c r="H13" s="53">
        <f t="shared" si="0"/>
        <v>63.966315789473683</v>
      </c>
      <c r="I13" s="54"/>
      <c r="J13" s="318"/>
      <c r="K13" s="318"/>
      <c r="L13" s="53">
        <f t="shared" si="6"/>
        <v>0</v>
      </c>
      <c r="M13" s="54">
        <f>[3]Sept!$AD13</f>
        <v>165</v>
      </c>
      <c r="N13" s="54">
        <v>3</v>
      </c>
      <c r="O13" s="54"/>
      <c r="P13" s="318"/>
      <c r="Q13" s="54">
        <f t="shared" si="8"/>
        <v>453.09473684210525</v>
      </c>
      <c r="R13" s="314"/>
      <c r="S13" s="37"/>
      <c r="T13" s="6"/>
    </row>
    <row r="14" spans="1:16384" ht="15.6">
      <c r="B14" s="91">
        <v>45904</v>
      </c>
      <c r="C14" s="87">
        <v>4</v>
      </c>
      <c r="D14" s="29" t="s">
        <v>62</v>
      </c>
      <c r="E14" s="176">
        <v>902</v>
      </c>
      <c r="F14" s="39">
        <f>[3]Sept!$N69</f>
        <v>776</v>
      </c>
      <c r="G14" s="17">
        <v>5941</v>
      </c>
      <c r="H14" s="53">
        <f t="shared" si="0"/>
        <v>64.850212249848397</v>
      </c>
      <c r="I14" s="54"/>
      <c r="J14" s="53">
        <f>SUM(97,101.3,100,104)</f>
        <v>402.3</v>
      </c>
      <c r="K14" s="53">
        <f t="shared" si="5"/>
        <v>392.10599999999999</v>
      </c>
      <c r="L14" s="53">
        <f t="shared" si="6"/>
        <v>10.194000000000017</v>
      </c>
      <c r="M14" s="54">
        <f>[3]Sept!$AD14</f>
        <v>263</v>
      </c>
      <c r="N14" s="54">
        <f>3+9</f>
        <v>12</v>
      </c>
      <c r="O14" s="54"/>
      <c r="P14" s="50">
        <f t="shared" si="7"/>
        <v>2.533929903057424</v>
      </c>
      <c r="Q14" s="54">
        <f t="shared" si="8"/>
        <v>459.35567010309279</v>
      </c>
      <c r="R14" s="16"/>
      <c r="S14" s="37"/>
      <c r="T14" s="6"/>
    </row>
    <row r="15" spans="1:16384" ht="15.6">
      <c r="B15" s="91">
        <v>45905</v>
      </c>
      <c r="C15" s="87">
        <v>5</v>
      </c>
      <c r="D15" s="29" t="s">
        <v>44</v>
      </c>
      <c r="E15" s="365">
        <v>840</v>
      </c>
      <c r="F15" s="39">
        <f>[3]Sept!$N70</f>
        <v>328</v>
      </c>
      <c r="G15" s="17">
        <v>3305</v>
      </c>
      <c r="H15" s="53">
        <f t="shared" si="0"/>
        <v>85.351506456241026</v>
      </c>
      <c r="I15" s="54"/>
      <c r="J15" s="318">
        <f>SUM(94.8,100,95.8,98.1)-26.2-84.8</f>
        <v>277.70000000000005</v>
      </c>
      <c r="K15" s="318">
        <f>(G15+G16)*0.066</f>
        <v>274.49400000000003</v>
      </c>
      <c r="L15" s="318">
        <f t="shared" si="6"/>
        <v>3.2060000000000173</v>
      </c>
      <c r="M15" s="54">
        <f>[3]Sept!$AD15</f>
        <v>155</v>
      </c>
      <c r="N15" s="54">
        <v>7</v>
      </c>
      <c r="O15" s="54"/>
      <c r="P15" s="318">
        <f t="shared" si="7"/>
        <v>1.1544832553114932</v>
      </c>
      <c r="Q15" s="54">
        <f t="shared" si="8"/>
        <v>604.57317073170725</v>
      </c>
      <c r="R15" s="321">
        <f>((J17+J15+J19+J20)-(K17+K15+K19+K20))/(J17+J15+J19+J20)*100</f>
        <v>1.7231245166280278</v>
      </c>
      <c r="S15" s="37"/>
      <c r="T15" s="6"/>
    </row>
    <row r="16" spans="1:16384" ht="15.6">
      <c r="B16" s="91">
        <v>45905</v>
      </c>
      <c r="C16" s="87">
        <v>5</v>
      </c>
      <c r="D16" s="29" t="s">
        <v>115</v>
      </c>
      <c r="E16" s="366"/>
      <c r="F16" s="39">
        <f>[3]Sept!$N71</f>
        <v>211</v>
      </c>
      <c r="G16" s="17">
        <v>854</v>
      </c>
      <c r="H16" s="53">
        <f t="shared" si="0"/>
        <v>34.283802620574299</v>
      </c>
      <c r="I16" s="54"/>
      <c r="J16" s="318"/>
      <c r="K16" s="318"/>
      <c r="L16" s="318"/>
      <c r="M16" s="54">
        <f>[3]Sept!$AD16</f>
        <v>52</v>
      </c>
      <c r="N16" s="54">
        <v>4</v>
      </c>
      <c r="O16" s="54"/>
      <c r="P16" s="318"/>
      <c r="Q16" s="54">
        <f t="shared" si="8"/>
        <v>242.84360189573459</v>
      </c>
      <c r="R16" s="321"/>
      <c r="S16" s="37"/>
      <c r="T16" s="6"/>
    </row>
    <row r="17" spans="2:20" ht="15.75" customHeight="1">
      <c r="B17" s="91">
        <v>45908</v>
      </c>
      <c r="C17" s="87">
        <v>6</v>
      </c>
      <c r="D17" s="29" t="s">
        <v>116</v>
      </c>
      <c r="E17" s="365">
        <v>900</v>
      </c>
      <c r="F17" s="39">
        <f>[3]Sept!$N72</f>
        <v>180</v>
      </c>
      <c r="G17" s="17">
        <v>966</v>
      </c>
      <c r="H17" s="53">
        <f t="shared" si="0"/>
        <v>45.45882352941176</v>
      </c>
      <c r="I17" s="54"/>
      <c r="J17" s="318">
        <f>SUM(99.2,26.2,84.8,102.9)</f>
        <v>313.10000000000002</v>
      </c>
      <c r="K17" s="318">
        <f>(G17+G18)*0.066</f>
        <v>306.37200000000001</v>
      </c>
      <c r="L17" s="318">
        <f t="shared" si="6"/>
        <v>6.7280000000000086</v>
      </c>
      <c r="M17" s="54">
        <f>[3]Sept!$AD17</f>
        <v>268</v>
      </c>
      <c r="N17" s="54">
        <v>3</v>
      </c>
      <c r="O17" s="54"/>
      <c r="P17" s="318">
        <f t="shared" si="7"/>
        <v>2.1488342382625385</v>
      </c>
      <c r="Q17" s="54">
        <f t="shared" si="8"/>
        <v>322</v>
      </c>
      <c r="R17" s="321"/>
      <c r="S17" s="37"/>
      <c r="T17" s="6"/>
    </row>
    <row r="18" spans="2:20" ht="15.75" customHeight="1">
      <c r="B18" s="91">
        <v>45908</v>
      </c>
      <c r="C18" s="87">
        <v>6</v>
      </c>
      <c r="D18" s="29" t="s">
        <v>44</v>
      </c>
      <c r="E18" s="366"/>
      <c r="F18" s="39">
        <f>[3]Sept!$N73</f>
        <v>440</v>
      </c>
      <c r="G18" s="17">
        <v>3676</v>
      </c>
      <c r="H18" s="53">
        <f>(G18)*24/(F18/60)/17000*100</f>
        <v>70.767914438502672</v>
      </c>
      <c r="I18" s="54"/>
      <c r="J18" s="318"/>
      <c r="K18" s="318"/>
      <c r="L18" s="318"/>
      <c r="M18" s="54">
        <f>[3]Sept!$AD18</f>
        <v>83</v>
      </c>
      <c r="N18" s="54">
        <v>6</v>
      </c>
      <c r="O18" s="54"/>
      <c r="P18" s="318"/>
      <c r="Q18" s="54">
        <f t="shared" si="8"/>
        <v>501.27272727272731</v>
      </c>
      <c r="R18" s="321"/>
      <c r="S18" s="37"/>
      <c r="T18" s="6"/>
    </row>
    <row r="19" spans="2:20" ht="15.75" customHeight="1">
      <c r="B19" s="91">
        <v>45909</v>
      </c>
      <c r="C19" s="87">
        <v>7</v>
      </c>
      <c r="D19" s="29" t="s">
        <v>44</v>
      </c>
      <c r="E19" s="176">
        <v>900</v>
      </c>
      <c r="F19" s="39">
        <f>[3]Sept!$N74</f>
        <v>769</v>
      </c>
      <c r="G19" s="17">
        <v>5456</v>
      </c>
      <c r="H19" s="53">
        <f>(G19)*24/(F19/60)/17000*100</f>
        <v>60.098217700604295</v>
      </c>
      <c r="I19" s="54"/>
      <c r="J19" s="53">
        <f>SUM(84.4,100.2,99.1,98)-14.7</f>
        <v>367.00000000000006</v>
      </c>
      <c r="K19" s="53">
        <f t="shared" si="5"/>
        <v>360.096</v>
      </c>
      <c r="L19" s="53">
        <f t="shared" si="6"/>
        <v>6.9040000000000532</v>
      </c>
      <c r="M19" s="54">
        <f>[3]Sept!$AD19</f>
        <v>317</v>
      </c>
      <c r="N19" s="54">
        <f>8+3</f>
        <v>11</v>
      </c>
      <c r="O19" s="54"/>
      <c r="P19" s="50">
        <f t="shared" si="7"/>
        <v>1.8811989100817581</v>
      </c>
      <c r="Q19" s="54">
        <f t="shared" si="8"/>
        <v>425.69570871261379</v>
      </c>
      <c r="R19" s="321"/>
      <c r="S19" s="37"/>
      <c r="T19" s="6"/>
    </row>
    <row r="20" spans="2:20" ht="17.25" customHeight="1">
      <c r="B20" s="91">
        <v>45910</v>
      </c>
      <c r="C20" s="87">
        <v>8</v>
      </c>
      <c r="D20" s="29" t="s">
        <v>44</v>
      </c>
      <c r="E20" s="365">
        <v>897</v>
      </c>
      <c r="F20" s="39">
        <f>[3]Sept!$N75</f>
        <v>398</v>
      </c>
      <c r="G20" s="17">
        <v>3071</v>
      </c>
      <c r="H20" s="53">
        <f t="shared" si="0"/>
        <v>65.359739875849826</v>
      </c>
      <c r="I20" s="54"/>
      <c r="J20" s="53">
        <f>SUM(14.7,94.2,97)</f>
        <v>205.9</v>
      </c>
      <c r="K20" s="53">
        <f t="shared" si="5"/>
        <v>202.68600000000001</v>
      </c>
      <c r="L20" s="53">
        <f t="shared" si="6"/>
        <v>3.2139999999999986</v>
      </c>
      <c r="M20" s="54">
        <f>[3]Sept!$AD20</f>
        <v>200</v>
      </c>
      <c r="N20" s="54">
        <f>11+3</f>
        <v>14</v>
      </c>
      <c r="O20" s="54"/>
      <c r="P20" s="50">
        <f t="shared" si="7"/>
        <v>1.5609519184069931</v>
      </c>
      <c r="Q20" s="54">
        <f t="shared" si="8"/>
        <v>462.964824120603</v>
      </c>
      <c r="R20" s="321"/>
      <c r="S20" s="37"/>
      <c r="T20" s="6"/>
    </row>
    <row r="21" spans="2:20" ht="15.75" customHeight="1">
      <c r="B21" s="91">
        <v>45910</v>
      </c>
      <c r="C21" s="87">
        <v>8</v>
      </c>
      <c r="D21" s="29" t="s">
        <v>45</v>
      </c>
      <c r="E21" s="366"/>
      <c r="F21" s="39">
        <f>[3]Sept!$N76</f>
        <v>263</v>
      </c>
      <c r="G21" s="17">
        <v>1790</v>
      </c>
      <c r="H21" s="53">
        <f t="shared" si="0"/>
        <v>57.651532095728022</v>
      </c>
      <c r="I21" s="54"/>
      <c r="J21" s="53">
        <f>SUM(90.8,99.8)-72</f>
        <v>118.6</v>
      </c>
      <c r="K21" s="53">
        <f t="shared" si="5"/>
        <v>118.14</v>
      </c>
      <c r="L21" s="53">
        <f t="shared" si="6"/>
        <v>0.45999999999999375</v>
      </c>
      <c r="M21" s="54">
        <f>[3]Sept!$AD21</f>
        <v>87</v>
      </c>
      <c r="N21" s="54">
        <v>13</v>
      </c>
      <c r="O21" s="54"/>
      <c r="P21" s="50">
        <f t="shared" si="7"/>
        <v>0.38785834738616676</v>
      </c>
      <c r="Q21" s="54">
        <f t="shared" si="8"/>
        <v>408.36501901140679</v>
      </c>
      <c r="R21" s="16"/>
      <c r="S21" s="37"/>
      <c r="T21" s="6"/>
    </row>
    <row r="22" spans="2:20" ht="15.75" customHeight="1">
      <c r="B22" s="91">
        <v>45911</v>
      </c>
      <c r="C22" s="87">
        <v>9</v>
      </c>
      <c r="D22" s="29" t="s">
        <v>45</v>
      </c>
      <c r="E22" s="176">
        <v>900</v>
      </c>
      <c r="F22" s="39">
        <f>[3]Sept!$N77</f>
        <v>40</v>
      </c>
      <c r="G22" s="17">
        <v>86</v>
      </c>
      <c r="H22" s="53">
        <f t="shared" si="0"/>
        <v>18.211764705882352</v>
      </c>
      <c r="I22" s="54"/>
      <c r="J22" s="53">
        <f>SUM(72)-65.5</f>
        <v>6.5</v>
      </c>
      <c r="K22" s="53">
        <f>(G22)*0.066</f>
        <v>5.6760000000000002</v>
      </c>
      <c r="L22" s="53">
        <f t="shared" si="6"/>
        <v>0.82399999999999984</v>
      </c>
      <c r="M22" s="54">
        <f>[3]Sept!$AD22</f>
        <v>888</v>
      </c>
      <c r="N22" s="54">
        <v>3</v>
      </c>
      <c r="O22" s="54"/>
      <c r="P22" s="50">
        <f t="shared" si="7"/>
        <v>12.676923076923075</v>
      </c>
      <c r="Q22" s="54">
        <f t="shared" si="8"/>
        <v>129</v>
      </c>
      <c r="R22" s="374">
        <f>((J23+J22)-(K23+K22))/(J23+J22)*100</f>
        <v>2.0083333333333302</v>
      </c>
      <c r="S22" s="37"/>
      <c r="T22" s="6"/>
    </row>
    <row r="23" spans="2:20" ht="15.75" customHeight="1">
      <c r="B23" s="91">
        <v>45912</v>
      </c>
      <c r="C23" s="87">
        <v>10</v>
      </c>
      <c r="D23" s="29" t="s">
        <v>45</v>
      </c>
      <c r="E23" s="176">
        <v>840</v>
      </c>
      <c r="F23" s="39">
        <f>[3]Sept!$N78</f>
        <v>169</v>
      </c>
      <c r="G23" s="17">
        <v>983</v>
      </c>
      <c r="H23" s="53">
        <f t="shared" si="0"/>
        <v>49.269752871562829</v>
      </c>
      <c r="I23" s="54">
        <v>308</v>
      </c>
      <c r="J23" s="53">
        <f>SUM(65.5)</f>
        <v>65.5</v>
      </c>
      <c r="K23" s="53">
        <f t="shared" si="5"/>
        <v>64.878</v>
      </c>
      <c r="L23" s="53">
        <f t="shared" si="6"/>
        <v>0.62199999999999989</v>
      </c>
      <c r="M23" s="54">
        <f>[3]Sept!$AD23</f>
        <v>554</v>
      </c>
      <c r="N23" s="54">
        <v>11</v>
      </c>
      <c r="O23" s="54"/>
      <c r="P23" s="50">
        <f t="shared" si="7"/>
        <v>0.94961832061068674</v>
      </c>
      <c r="Q23" s="54">
        <f t="shared" si="8"/>
        <v>348.99408284023667</v>
      </c>
      <c r="R23" s="374"/>
      <c r="S23" s="37"/>
      <c r="T23" s="6"/>
    </row>
    <row r="24" spans="2:20" ht="15.75" customHeight="1">
      <c r="B24" s="91">
        <v>45915</v>
      </c>
      <c r="C24" s="87">
        <v>11</v>
      </c>
      <c r="D24" s="29" t="s">
        <v>74</v>
      </c>
      <c r="E24" s="365">
        <v>1378</v>
      </c>
      <c r="F24" s="39">
        <f>[3]Sept!$N79</f>
        <v>596</v>
      </c>
      <c r="G24" s="188">
        <v>5349</v>
      </c>
      <c r="H24" s="53">
        <f t="shared" si="0"/>
        <v>76.022108172127915</v>
      </c>
      <c r="I24" s="54"/>
      <c r="J24" s="53">
        <f>SUM(101,94,93.7,94)</f>
        <v>382.7</v>
      </c>
      <c r="K24" s="53">
        <f>(G24)*0.0708</f>
        <v>378.70920000000001</v>
      </c>
      <c r="L24" s="53">
        <f t="shared" ref="L24:L42" si="9">J24-K24</f>
        <v>3.9907999999999788</v>
      </c>
      <c r="M24" s="54">
        <f>[3]Sept!$AD24</f>
        <v>260</v>
      </c>
      <c r="N24" s="54">
        <f>9+4</f>
        <v>13</v>
      </c>
      <c r="O24" s="54"/>
      <c r="P24" s="50">
        <f t="shared" si="7"/>
        <v>1.0428011497256282</v>
      </c>
      <c r="Q24" s="54">
        <f t="shared" si="8"/>
        <v>538.489932885906</v>
      </c>
      <c r="R24" s="16"/>
      <c r="S24" s="37"/>
      <c r="T24" s="6"/>
    </row>
    <row r="25" spans="2:20" ht="15.75" customHeight="1">
      <c r="B25" s="91">
        <v>45915</v>
      </c>
      <c r="C25" s="87">
        <v>11</v>
      </c>
      <c r="D25" s="29" t="s">
        <v>47</v>
      </c>
      <c r="E25" s="366"/>
      <c r="F25" s="39">
        <f>[3]Sept!$N80</f>
        <v>351</v>
      </c>
      <c r="G25" s="17">
        <v>2117</v>
      </c>
      <c r="H25" s="53">
        <f t="shared" si="0"/>
        <v>51.088989441930622</v>
      </c>
      <c r="I25" s="54"/>
      <c r="J25" s="53">
        <f>SUM(95,47)</f>
        <v>142</v>
      </c>
      <c r="K25" s="53">
        <f t="shared" ref="K25:K43" si="10">(G25)*0.066</f>
        <v>139.72200000000001</v>
      </c>
      <c r="L25" s="53">
        <f t="shared" si="9"/>
        <v>2.2779999999999916</v>
      </c>
      <c r="M25" s="54">
        <f>[3]Sept!$AD25</f>
        <v>352</v>
      </c>
      <c r="N25" s="54">
        <v>7</v>
      </c>
      <c r="O25" s="54"/>
      <c r="P25" s="50">
        <f t="shared" si="7"/>
        <v>1.6042253521126699</v>
      </c>
      <c r="Q25" s="54">
        <f t="shared" si="8"/>
        <v>361.88034188034192</v>
      </c>
      <c r="R25" s="322">
        <f>((J26+J25)-(K26+K25))/(J26+J25)*100</f>
        <v>1.596956889264586</v>
      </c>
      <c r="S25" s="37"/>
      <c r="T25" s="6"/>
    </row>
    <row r="26" spans="2:20" ht="15.75" customHeight="1">
      <c r="B26" s="91">
        <v>45916</v>
      </c>
      <c r="C26" s="87">
        <v>12</v>
      </c>
      <c r="D26" s="29" t="s">
        <v>47</v>
      </c>
      <c r="E26" s="176">
        <v>1468</v>
      </c>
      <c r="F26" s="39">
        <f>[3]Sept!$N81</f>
        <v>928</v>
      </c>
      <c r="G26" s="17">
        <v>6702</v>
      </c>
      <c r="H26" s="53">
        <f t="shared" si="0"/>
        <v>61.174442190669374</v>
      </c>
      <c r="I26" s="54"/>
      <c r="J26" s="53">
        <f>SUM(69.6,94,100,93.9,92)</f>
        <v>449.5</v>
      </c>
      <c r="K26" s="53">
        <f t="shared" si="10"/>
        <v>442.33199999999999</v>
      </c>
      <c r="L26" s="53">
        <f t="shared" si="9"/>
        <v>7.1680000000000064</v>
      </c>
      <c r="M26" s="54">
        <f>[3]Sept!$AD26</f>
        <v>693</v>
      </c>
      <c r="N26" s="54">
        <f>2+2+2</f>
        <v>6</v>
      </c>
      <c r="O26" s="54"/>
      <c r="P26" s="50">
        <f t="shared" si="7"/>
        <v>1.594660734149056</v>
      </c>
      <c r="Q26" s="54">
        <f t="shared" si="8"/>
        <v>433.31896551724139</v>
      </c>
      <c r="R26" s="322"/>
      <c r="S26" s="37"/>
      <c r="T26" s="6"/>
    </row>
    <row r="27" spans="2:20" ht="15.75" customHeight="1">
      <c r="B27" s="91">
        <v>45917</v>
      </c>
      <c r="C27" s="87">
        <v>13</v>
      </c>
      <c r="D27" s="29" t="s">
        <v>117</v>
      </c>
      <c r="E27" s="365">
        <v>1390</v>
      </c>
      <c r="F27" s="39">
        <f>[3]Sept!$N82</f>
        <v>222</v>
      </c>
      <c r="G27" s="17">
        <v>1277</v>
      </c>
      <c r="H27" s="53">
        <f t="shared" si="0"/>
        <v>48.724960254372021</v>
      </c>
      <c r="I27" s="54"/>
      <c r="J27" s="318">
        <f>93+97.8+97+79+89.3+96.7-92.1</f>
        <v>460.70000000000005</v>
      </c>
      <c r="K27" s="318">
        <f>(G27+G28)*0.066</f>
        <v>439.75800000000004</v>
      </c>
      <c r="L27" s="318">
        <f>J27-K27</f>
        <v>20.942000000000007</v>
      </c>
      <c r="M27" s="54">
        <f>[3]Sept!$AD27</f>
        <v>56</v>
      </c>
      <c r="N27" s="54">
        <v>12</v>
      </c>
      <c r="O27" s="54"/>
      <c r="P27" s="318">
        <f>(J27-K27)/J27*100</f>
        <v>4.5456913392663347</v>
      </c>
      <c r="Q27" s="54">
        <f t="shared" si="8"/>
        <v>345.1351351351351</v>
      </c>
      <c r="R27" s="381">
        <f>((J29+J27+J30)-(K29+K27+K30))/(J29+J27+J30)*100</f>
        <v>2.1655801825293302</v>
      </c>
      <c r="S27" s="37"/>
      <c r="T27" s="6"/>
    </row>
    <row r="28" spans="2:20" ht="15.75" customHeight="1">
      <c r="B28" s="91">
        <v>45917</v>
      </c>
      <c r="C28" s="87">
        <v>13</v>
      </c>
      <c r="D28" s="29" t="s">
        <v>44</v>
      </c>
      <c r="E28" s="366"/>
      <c r="F28" s="39">
        <f>[3]Sept!$N83</f>
        <v>1109</v>
      </c>
      <c r="G28" s="17">
        <v>5386</v>
      </c>
      <c r="H28" s="53">
        <f t="shared" si="0"/>
        <v>41.138492547605154</v>
      </c>
      <c r="I28" s="54"/>
      <c r="J28" s="318"/>
      <c r="K28" s="318"/>
      <c r="L28" s="318"/>
      <c r="M28" s="54">
        <f>[3]Sept!$AD28</f>
        <v>577</v>
      </c>
      <c r="N28" s="54">
        <f>10+8</f>
        <v>18</v>
      </c>
      <c r="O28" s="54"/>
      <c r="P28" s="318"/>
      <c r="Q28" s="54">
        <f t="shared" si="8"/>
        <v>291.39765554553651</v>
      </c>
      <c r="R28" s="381"/>
      <c r="S28" s="37"/>
      <c r="T28" s="6"/>
    </row>
    <row r="29" spans="2:20" ht="15.75" customHeight="1">
      <c r="B29" s="91">
        <v>45918</v>
      </c>
      <c r="C29" s="87">
        <v>14</v>
      </c>
      <c r="D29" s="29" t="s">
        <v>44</v>
      </c>
      <c r="E29" s="176">
        <v>1439</v>
      </c>
      <c r="F29" s="39">
        <f>[3]Sept!$N84</f>
        <v>1400</v>
      </c>
      <c r="G29" s="17">
        <v>12334</v>
      </c>
      <c r="H29" s="53">
        <f t="shared" si="0"/>
        <v>74.62588235294119</v>
      </c>
      <c r="I29" s="54"/>
      <c r="J29" s="53">
        <f>SUM(92.1,87,97.8,95,94.5,98.2,92.3,98,92)-19.8</f>
        <v>827.1</v>
      </c>
      <c r="K29" s="53">
        <f>(G29)*0.066</f>
        <v>814.04399999999998</v>
      </c>
      <c r="L29" s="53">
        <f t="shared" si="9"/>
        <v>13.05600000000004</v>
      </c>
      <c r="M29" s="54">
        <f>[3]Sept!$AD29</f>
        <v>154</v>
      </c>
      <c r="N29" s="54">
        <f>12+10+10</f>
        <v>32</v>
      </c>
      <c r="O29" s="54"/>
      <c r="P29" s="50">
        <f t="shared" si="7"/>
        <v>1.5785273848385974</v>
      </c>
      <c r="Q29" s="54">
        <f t="shared" si="8"/>
        <v>528.6</v>
      </c>
      <c r="R29" s="381"/>
      <c r="S29" s="37"/>
      <c r="T29" s="6"/>
    </row>
    <row r="30" spans="2:20" ht="15.75" customHeight="1">
      <c r="B30" s="91">
        <v>45919</v>
      </c>
      <c r="C30" s="87">
        <v>15</v>
      </c>
      <c r="D30" s="29" t="s">
        <v>44</v>
      </c>
      <c r="E30" s="365">
        <v>1258</v>
      </c>
      <c r="F30" s="39">
        <f>[3]Sept!$N85</f>
        <v>306</v>
      </c>
      <c r="G30" s="17">
        <v>2260</v>
      </c>
      <c r="H30" s="53">
        <f t="shared" si="0"/>
        <v>62.560553633217999</v>
      </c>
      <c r="I30" s="54">
        <v>15</v>
      </c>
      <c r="J30" s="318">
        <f>SUM(87,102,19.8,94,96.8)</f>
        <v>399.6</v>
      </c>
      <c r="K30" s="318">
        <f>(G30+G31+G32)*0.066</f>
        <v>397.05600000000004</v>
      </c>
      <c r="L30" s="53">
        <f t="shared" si="9"/>
        <v>2.5439999999999827</v>
      </c>
      <c r="M30" s="54">
        <f>[3]Sept!$AD30</f>
        <v>47</v>
      </c>
      <c r="N30" s="54">
        <v>14</v>
      </c>
      <c r="O30" s="54"/>
      <c r="P30" s="318">
        <f>(J30-K30)/J30*100</f>
        <v>0.63663663663663228</v>
      </c>
      <c r="Q30" s="54">
        <f t="shared" si="8"/>
        <v>443.13725490196083</v>
      </c>
      <c r="R30" s="381"/>
      <c r="S30" s="37"/>
      <c r="T30" s="6"/>
    </row>
    <row r="31" spans="2:20" ht="17.25" customHeight="1">
      <c r="B31" s="91">
        <v>45919</v>
      </c>
      <c r="C31" s="87">
        <v>15</v>
      </c>
      <c r="D31" s="29" t="s">
        <v>58</v>
      </c>
      <c r="E31" s="354"/>
      <c r="F31" s="39">
        <f>[3]Sept!$N86</f>
        <v>337</v>
      </c>
      <c r="G31" s="188">
        <v>2546</v>
      </c>
      <c r="H31" s="53">
        <f t="shared" si="0"/>
        <v>63.994414382963868</v>
      </c>
      <c r="I31" s="54"/>
      <c r="J31" s="318"/>
      <c r="K31" s="318"/>
      <c r="L31" s="53">
        <f t="shared" si="9"/>
        <v>0</v>
      </c>
      <c r="M31" s="54">
        <f>[3]Sept!$AD31</f>
        <v>67</v>
      </c>
      <c r="N31" s="54">
        <v>0</v>
      </c>
      <c r="O31" s="54"/>
      <c r="P31" s="318"/>
      <c r="Q31" s="54">
        <f t="shared" si="8"/>
        <v>453.29376854599411</v>
      </c>
      <c r="R31" s="381"/>
      <c r="S31" s="37"/>
      <c r="T31" s="6"/>
    </row>
    <row r="32" spans="2:20" ht="18.75" customHeight="1">
      <c r="B32" s="91">
        <v>45919</v>
      </c>
      <c r="C32" s="87">
        <v>15</v>
      </c>
      <c r="D32" s="29" t="s">
        <v>44</v>
      </c>
      <c r="E32" s="354"/>
      <c r="F32" s="39">
        <f>[3]Sept!$N87</f>
        <v>113</v>
      </c>
      <c r="G32" s="188">
        <v>1210</v>
      </c>
      <c r="H32" s="53">
        <f t="shared" si="0"/>
        <v>90.702758979698089</v>
      </c>
      <c r="I32" s="54"/>
      <c r="J32" s="318"/>
      <c r="K32" s="318"/>
      <c r="L32" s="53">
        <f t="shared" si="9"/>
        <v>0</v>
      </c>
      <c r="M32" s="54">
        <f>[3]Sept!$AD32</f>
        <v>24</v>
      </c>
      <c r="N32" s="54">
        <v>18</v>
      </c>
      <c r="O32" s="54"/>
      <c r="P32" s="318"/>
      <c r="Q32" s="54">
        <f t="shared" si="8"/>
        <v>642.47787610619469</v>
      </c>
      <c r="R32" s="381"/>
      <c r="S32" s="37"/>
      <c r="T32" s="6"/>
    </row>
    <row r="33" spans="2:20" ht="18.75" customHeight="1">
      <c r="B33" s="91">
        <v>45919</v>
      </c>
      <c r="C33" s="87">
        <v>15</v>
      </c>
      <c r="D33" s="29" t="s">
        <v>47</v>
      </c>
      <c r="E33" s="366"/>
      <c r="F33" s="39">
        <f>[3]Sept!$N88</f>
        <v>239</v>
      </c>
      <c r="G33" s="17">
        <v>1929</v>
      </c>
      <c r="H33" s="53">
        <f t="shared" si="0"/>
        <v>68.367216342603982</v>
      </c>
      <c r="I33" s="54"/>
      <c r="J33" s="53">
        <f>SUM(96.7,97,101.5)-72-90</f>
        <v>133.19999999999999</v>
      </c>
      <c r="K33" s="53">
        <f>(G33)*0.066</f>
        <v>127.31400000000001</v>
      </c>
      <c r="L33" s="53">
        <f t="shared" si="9"/>
        <v>5.8859999999999815</v>
      </c>
      <c r="M33" s="54">
        <f>[3]Sept!$AD33</f>
        <v>137</v>
      </c>
      <c r="N33" s="54">
        <v>0</v>
      </c>
      <c r="O33" s="54"/>
      <c r="P33" s="50">
        <f>(J33-K33)/J33*100</f>
        <v>4.418918918918906</v>
      </c>
      <c r="Q33" s="54">
        <f t="shared" si="8"/>
        <v>484.26778242677824</v>
      </c>
      <c r="R33" s="320">
        <f>((J34+J33+J35)-(K34+K33+K35))/(J34+J33+J35)*100</f>
        <v>3.9862046313023378</v>
      </c>
      <c r="S33" s="37"/>
      <c r="T33" s="6"/>
    </row>
    <row r="34" spans="2:20" ht="16.5" customHeight="1">
      <c r="B34" s="91">
        <v>45922</v>
      </c>
      <c r="C34" s="87">
        <v>16</v>
      </c>
      <c r="D34" s="29" t="s">
        <v>47</v>
      </c>
      <c r="E34" s="176">
        <v>1440</v>
      </c>
      <c r="F34" s="39">
        <f>[3]Sept!$N89</f>
        <v>863</v>
      </c>
      <c r="G34" s="17">
        <v>5295</v>
      </c>
      <c r="H34" s="53">
        <f t="shared" si="0"/>
        <v>51.971917388044439</v>
      </c>
      <c r="I34" s="54"/>
      <c r="J34" s="53">
        <f>SUM(72,102.1,90,100,93)-78.3-15</f>
        <v>363.8</v>
      </c>
      <c r="K34" s="53">
        <f t="shared" si="10"/>
        <v>349.47</v>
      </c>
      <c r="L34" s="53">
        <f t="shared" si="9"/>
        <v>14.329999999999984</v>
      </c>
      <c r="M34" s="54">
        <f>[3]Sept!$AD34</f>
        <v>754</v>
      </c>
      <c r="N34" s="54">
        <f>39+52</f>
        <v>91</v>
      </c>
      <c r="O34" s="54"/>
      <c r="P34" s="50">
        <f t="shared" si="7"/>
        <v>3.9389774601429313</v>
      </c>
      <c r="Q34" s="54">
        <f t="shared" si="8"/>
        <v>368.13441483198147</v>
      </c>
      <c r="R34" s="320"/>
      <c r="S34" s="37"/>
      <c r="T34" s="6"/>
    </row>
    <row r="35" spans="2:20" ht="18.75" customHeight="1">
      <c r="B35" s="91">
        <v>45923</v>
      </c>
      <c r="C35" s="87">
        <v>17</v>
      </c>
      <c r="D35" s="29" t="s">
        <v>47</v>
      </c>
      <c r="E35" s="365">
        <v>1430</v>
      </c>
      <c r="F35" s="39">
        <f>[3]Sept!$N90</f>
        <v>270</v>
      </c>
      <c r="G35" s="17">
        <v>1634</v>
      </c>
      <c r="H35" s="53">
        <f t="shared" si="0"/>
        <v>51.262745098039211</v>
      </c>
      <c r="I35" s="54">
        <v>15</v>
      </c>
      <c r="J35" s="53">
        <f>SUM(78.3,36)-2.4</f>
        <v>111.89999999999999</v>
      </c>
      <c r="K35" s="53">
        <f>(G35)*0.066</f>
        <v>107.84400000000001</v>
      </c>
      <c r="L35" s="53">
        <f t="shared" si="9"/>
        <v>4.0559999999999832</v>
      </c>
      <c r="M35" s="54">
        <f>[3]Sept!$AD35</f>
        <v>59</v>
      </c>
      <c r="N35" s="54">
        <v>62</v>
      </c>
      <c r="O35" s="54"/>
      <c r="P35" s="50">
        <f t="shared" si="7"/>
        <v>3.6246648793565539</v>
      </c>
      <c r="Q35" s="54">
        <f t="shared" si="8"/>
        <v>363.11111111111109</v>
      </c>
      <c r="R35" s="320"/>
      <c r="S35" s="37"/>
      <c r="T35" s="6"/>
    </row>
    <row r="36" spans="2:20" ht="15.75" customHeight="1">
      <c r="B36" s="91">
        <v>45923</v>
      </c>
      <c r="C36" s="87">
        <v>17</v>
      </c>
      <c r="D36" s="29" t="s">
        <v>44</v>
      </c>
      <c r="E36" s="366"/>
      <c r="F36" s="39">
        <f>[3]Sept!$N91</f>
        <v>967</v>
      </c>
      <c r="G36" s="301">
        <v>5703</v>
      </c>
      <c r="H36" s="53">
        <f t="shared" si="0"/>
        <v>49.956323377334385</v>
      </c>
      <c r="I36" s="54"/>
      <c r="J36" s="53">
        <f>SUM(96.8,97.5,99.7,96,94)-97.5</f>
        <v>386.5</v>
      </c>
      <c r="K36" s="53">
        <f t="shared" si="10"/>
        <v>376.39800000000002</v>
      </c>
      <c r="L36" s="53">
        <f t="shared" si="9"/>
        <v>10.101999999999975</v>
      </c>
      <c r="M36" s="54">
        <f>[3]Sept!$AD36</f>
        <v>474</v>
      </c>
      <c r="N36" s="54">
        <f>12+9+24</f>
        <v>45</v>
      </c>
      <c r="O36" s="54"/>
      <c r="P36" s="50">
        <f t="shared" si="7"/>
        <v>2.6137128072444957</v>
      </c>
      <c r="Q36" s="54">
        <f t="shared" si="8"/>
        <v>353.85729058945191</v>
      </c>
      <c r="R36" s="322">
        <f>((J38+J36)-(K36+K38))/(J38+J36)*100</f>
        <v>2.2818181818181782</v>
      </c>
      <c r="S36" s="37"/>
      <c r="T36" s="6"/>
    </row>
    <row r="37" spans="2:20" s="275" customFormat="1" ht="15.75" customHeight="1">
      <c r="B37" s="266">
        <v>45924</v>
      </c>
      <c r="C37" s="267">
        <v>18</v>
      </c>
      <c r="D37" s="296" t="s">
        <v>118</v>
      </c>
      <c r="E37" s="297"/>
      <c r="F37" s="269"/>
      <c r="G37" s="298"/>
      <c r="H37" s="265" t="e">
        <f t="shared" si="0"/>
        <v>#DIV/0!</v>
      </c>
      <c r="I37" s="270"/>
      <c r="J37" s="265"/>
      <c r="K37" s="265">
        <f t="shared" si="10"/>
        <v>0</v>
      </c>
      <c r="L37" s="265">
        <f t="shared" si="9"/>
        <v>0</v>
      </c>
      <c r="M37" s="270">
        <f>[3]Sept!$AD37</f>
        <v>1440</v>
      </c>
      <c r="N37" s="270"/>
      <c r="O37" s="270"/>
      <c r="P37" s="272" t="e">
        <f t="shared" si="7"/>
        <v>#DIV/0!</v>
      </c>
      <c r="Q37" s="270" t="e">
        <f t="shared" si="8"/>
        <v>#DIV/0!</v>
      </c>
      <c r="R37" s="322"/>
      <c r="S37" s="299"/>
      <c r="T37" s="300"/>
    </row>
    <row r="38" spans="2:20" ht="15" customHeight="1">
      <c r="B38" s="91">
        <v>45925</v>
      </c>
      <c r="C38" s="87">
        <v>19</v>
      </c>
      <c r="D38" s="29" t="s">
        <v>44</v>
      </c>
      <c r="E38" s="365">
        <v>1440</v>
      </c>
      <c r="F38" s="39">
        <f>[3]Sept!$N93</f>
        <v>170</v>
      </c>
      <c r="G38" s="188">
        <v>1463</v>
      </c>
      <c r="H38" s="53">
        <f t="shared" si="0"/>
        <v>72.896885813148785</v>
      </c>
      <c r="I38" s="54">
        <v>2</v>
      </c>
      <c r="J38" s="53">
        <v>97.5</v>
      </c>
      <c r="K38" s="53">
        <f t="shared" si="10"/>
        <v>96.558000000000007</v>
      </c>
      <c r="L38" s="53">
        <f t="shared" si="9"/>
        <v>0.94199999999999307</v>
      </c>
      <c r="M38" s="54">
        <f>[3]Sept!$AD38</f>
        <v>609</v>
      </c>
      <c r="N38" s="54">
        <v>13</v>
      </c>
      <c r="O38" s="54"/>
      <c r="P38" s="50">
        <f t="shared" si="7"/>
        <v>0.96615384615383904</v>
      </c>
      <c r="Q38" s="54">
        <f t="shared" si="8"/>
        <v>516.35294117647061</v>
      </c>
      <c r="R38" s="322"/>
      <c r="S38" s="37"/>
      <c r="T38" s="6"/>
    </row>
    <row r="39" spans="2:20" ht="16.5" customHeight="1">
      <c r="B39" s="91">
        <v>45925</v>
      </c>
      <c r="C39" s="87">
        <v>19</v>
      </c>
      <c r="D39" s="29" t="s">
        <v>45</v>
      </c>
      <c r="E39" s="366"/>
      <c r="F39" s="39">
        <f>[3]Sept!$N94</f>
        <v>453</v>
      </c>
      <c r="G39" s="188">
        <v>2824</v>
      </c>
      <c r="H39" s="53">
        <f t="shared" si="0"/>
        <v>52.805609661082975</v>
      </c>
      <c r="I39" s="54">
        <v>23</v>
      </c>
      <c r="J39" s="53">
        <f>SUM(92.4,95.6)</f>
        <v>188</v>
      </c>
      <c r="K39" s="53">
        <f t="shared" si="10"/>
        <v>186.38400000000001</v>
      </c>
      <c r="L39" s="53">
        <f t="shared" si="9"/>
        <v>1.6159999999999854</v>
      </c>
      <c r="M39" s="54">
        <f>[3]Sept!$AD39</f>
        <v>145</v>
      </c>
      <c r="N39" s="54">
        <v>15</v>
      </c>
      <c r="O39" s="54"/>
      <c r="P39" s="50">
        <f t="shared" si="7"/>
        <v>0.85957446808509852</v>
      </c>
      <c r="Q39" s="54">
        <f t="shared" si="8"/>
        <v>374.03973509933775</v>
      </c>
      <c r="R39" s="16"/>
      <c r="S39" s="37"/>
      <c r="T39" s="6"/>
    </row>
    <row r="40" spans="2:20" ht="15.6">
      <c r="B40" s="91">
        <v>45926</v>
      </c>
      <c r="C40" s="87">
        <v>20</v>
      </c>
      <c r="D40" s="29" t="s">
        <v>64</v>
      </c>
      <c r="E40" s="365">
        <v>1260</v>
      </c>
      <c r="F40" s="39">
        <f>[3]Sept!$N95</f>
        <v>792</v>
      </c>
      <c r="G40" s="188">
        <v>5807</v>
      </c>
      <c r="H40" s="53">
        <f t="shared" si="0"/>
        <v>62.106951871657756</v>
      </c>
      <c r="I40" s="54">
        <v>97</v>
      </c>
      <c r="J40" s="53">
        <f>SUM(98,97,95,96)</f>
        <v>386</v>
      </c>
      <c r="K40" s="53">
        <f t="shared" si="10"/>
        <v>383.262</v>
      </c>
      <c r="L40" s="53">
        <f t="shared" si="9"/>
        <v>2.7379999999999995</v>
      </c>
      <c r="M40" s="54">
        <f>[3]Sept!$AD40</f>
        <v>224</v>
      </c>
      <c r="N40" s="54">
        <v>10</v>
      </c>
      <c r="O40" s="54"/>
      <c r="P40" s="50">
        <f t="shared" si="3"/>
        <v>0.70932642487046615</v>
      </c>
      <c r="Q40" s="54">
        <f t="shared" si="4"/>
        <v>439.92424242424244</v>
      </c>
      <c r="R40" s="16"/>
    </row>
    <row r="41" spans="2:20" ht="17.25" customHeight="1">
      <c r="B41" s="91">
        <v>45926</v>
      </c>
      <c r="C41" s="87">
        <v>20</v>
      </c>
      <c r="D41" s="29" t="s">
        <v>44</v>
      </c>
      <c r="E41" s="366"/>
      <c r="F41" s="39">
        <f>[3]Sept!$N96</f>
        <v>309</v>
      </c>
      <c r="G41" s="188">
        <v>2121</v>
      </c>
      <c r="H41" s="53">
        <f t="shared" si="0"/>
        <v>58.142775556824667</v>
      </c>
      <c r="I41" s="54"/>
      <c r="J41" s="53">
        <f>SUM(97.1,99.8)-33-14-7</f>
        <v>142.89999999999998</v>
      </c>
      <c r="K41" s="53">
        <f t="shared" si="10"/>
        <v>139.98600000000002</v>
      </c>
      <c r="L41" s="53">
        <f t="shared" si="9"/>
        <v>2.9139999999999588</v>
      </c>
      <c r="M41" s="54">
        <f>[3]Sept!$AD41</f>
        <v>132</v>
      </c>
      <c r="N41" s="54">
        <f>9+16+3</f>
        <v>28</v>
      </c>
      <c r="O41" s="54"/>
      <c r="P41" s="50">
        <f t="shared" si="3"/>
        <v>2.0391882435269135</v>
      </c>
      <c r="Q41" s="54">
        <f t="shared" si="4"/>
        <v>411.84466019417471</v>
      </c>
      <c r="R41" s="376">
        <f>((J42+J41+J43)-(K42+K41+K43))/(J42+J41+J43)*100</f>
        <v>3.0726483357452765</v>
      </c>
    </row>
    <row r="42" spans="2:20" ht="15.6">
      <c r="B42" s="91">
        <v>45929</v>
      </c>
      <c r="C42" s="87">
        <v>21</v>
      </c>
      <c r="D42" s="29" t="s">
        <v>119</v>
      </c>
      <c r="E42" s="176">
        <v>1440</v>
      </c>
      <c r="F42" s="39">
        <f>[3]Sept!$N97</f>
        <v>919</v>
      </c>
      <c r="G42" s="17">
        <v>2865</v>
      </c>
      <c r="H42" s="53">
        <f t="shared" si="0"/>
        <v>26.407220124175897</v>
      </c>
      <c r="I42" s="54"/>
      <c r="J42" s="53">
        <f>SUM(33,100,97.6)-5.9-28</f>
        <v>196.7</v>
      </c>
      <c r="K42" s="53">
        <f>(G42)*0.066</f>
        <v>189.09</v>
      </c>
      <c r="L42" s="53">
        <f t="shared" si="9"/>
        <v>7.6099999999999852</v>
      </c>
      <c r="M42" s="54">
        <f>[3]Sept!$AD42</f>
        <v>1016</v>
      </c>
      <c r="N42" s="54">
        <f>3+18+13</f>
        <v>34</v>
      </c>
      <c r="O42" s="54"/>
      <c r="P42" s="50">
        <f t="shared" si="3"/>
        <v>3.8688357905439683</v>
      </c>
      <c r="Q42" s="54">
        <f t="shared" si="4"/>
        <v>187.05114254624593</v>
      </c>
      <c r="R42" s="376"/>
    </row>
    <row r="43" spans="2:20" ht="15.6">
      <c r="B43" s="91">
        <v>45930</v>
      </c>
      <c r="C43" s="87">
        <v>22</v>
      </c>
      <c r="D43" s="29" t="s">
        <v>119</v>
      </c>
      <c r="E43" s="365">
        <v>1440</v>
      </c>
      <c r="F43" s="39">
        <f>[3]Sept!$N98</f>
        <v>75</v>
      </c>
      <c r="G43" s="17">
        <v>88</v>
      </c>
      <c r="H43" s="53">
        <f t="shared" si="0"/>
        <v>9.9388235294117635</v>
      </c>
      <c r="I43" s="54"/>
      <c r="J43" s="53">
        <v>5.9</v>
      </c>
      <c r="K43" s="53">
        <f t="shared" si="10"/>
        <v>5.8079999999999998</v>
      </c>
      <c r="L43" s="53">
        <f>J43-K43</f>
        <v>9.2000000000000526E-2</v>
      </c>
      <c r="M43" s="54">
        <f>[3]Sept!$AD43</f>
        <v>339</v>
      </c>
      <c r="N43" s="54">
        <v>18</v>
      </c>
      <c r="O43" s="54"/>
      <c r="P43" s="50">
        <f>(J43-K43)/J43*100</f>
        <v>1.559322033898314</v>
      </c>
      <c r="Q43" s="54">
        <f>(G43)/(F43/60)</f>
        <v>70.400000000000006</v>
      </c>
      <c r="R43" s="376"/>
    </row>
    <row r="44" spans="2:20" ht="19.5" customHeight="1">
      <c r="B44" s="91">
        <v>45930</v>
      </c>
      <c r="C44" s="87">
        <v>22</v>
      </c>
      <c r="D44" s="29" t="s">
        <v>90</v>
      </c>
      <c r="E44" s="354"/>
      <c r="F44" s="370">
        <f>[3]Sept!$N99</f>
        <v>569</v>
      </c>
      <c r="G44" s="17">
        <v>1003</v>
      </c>
      <c r="H44" s="318">
        <f>(G44+G45)*24/(F44/60)/17000*100</f>
        <v>21.377442365346845</v>
      </c>
      <c r="I44" s="54"/>
      <c r="J44" s="318">
        <v>99.4</v>
      </c>
      <c r="K44" s="318">
        <f>(G44+G45)*0.066</f>
        <v>94.77600000000001</v>
      </c>
      <c r="L44" s="318">
        <f>J44-K44</f>
        <v>4.6239999999999952</v>
      </c>
      <c r="M44" s="319">
        <f>[3]Sept!$AD44</f>
        <v>295</v>
      </c>
      <c r="N44" s="319">
        <v>13</v>
      </c>
      <c r="O44" s="54"/>
      <c r="P44" s="318">
        <f>(J44-K44)/J44*100</f>
        <v>4.6519114688128722</v>
      </c>
      <c r="Q44" s="319">
        <f>(G44+G45)/(F44/60)</f>
        <v>151.42355008787348</v>
      </c>
      <c r="R44" s="16"/>
    </row>
    <row r="45" spans="2:20" ht="15.75" customHeight="1">
      <c r="B45" s="91">
        <v>45930</v>
      </c>
      <c r="C45" s="87">
        <v>22</v>
      </c>
      <c r="D45" s="29" t="s">
        <v>120</v>
      </c>
      <c r="E45" s="354"/>
      <c r="F45" s="370"/>
      <c r="G45" s="17">
        <v>433</v>
      </c>
      <c r="H45" s="318"/>
      <c r="I45" s="54">
        <v>30</v>
      </c>
      <c r="J45" s="318"/>
      <c r="K45" s="318"/>
      <c r="L45" s="318"/>
      <c r="M45" s="319"/>
      <c r="N45" s="319"/>
      <c r="O45" s="54"/>
      <c r="P45" s="318"/>
      <c r="Q45" s="319"/>
      <c r="R45" s="16"/>
    </row>
    <row r="46" spans="2:20" ht="15.75" customHeight="1">
      <c r="B46" s="91">
        <v>45930</v>
      </c>
      <c r="C46" s="87">
        <v>22</v>
      </c>
      <c r="D46" s="29" t="s">
        <v>102</v>
      </c>
      <c r="E46" s="354"/>
      <c r="F46" s="39">
        <f>[3]Sept!$N100</f>
        <v>92</v>
      </c>
      <c r="G46" s="17">
        <v>312</v>
      </c>
      <c r="H46" s="53">
        <f t="shared" ref="H46:H54" si="11">(G46)*24/(F46/60)/17000*100</f>
        <v>28.726342710997443</v>
      </c>
      <c r="I46" s="54"/>
      <c r="J46" s="318">
        <v>101.2</v>
      </c>
      <c r="K46" s="318">
        <f>(G46+G47)*0.066</f>
        <v>97.944000000000003</v>
      </c>
      <c r="L46" s="318">
        <f t="shared" ref="L46:L51" si="12">J46-K46</f>
        <v>3.2560000000000002</v>
      </c>
      <c r="M46" s="54">
        <f>[3]Sept!$AD45</f>
        <v>40</v>
      </c>
      <c r="N46" s="319">
        <v>15</v>
      </c>
      <c r="O46" s="54"/>
      <c r="P46" s="318">
        <f>(J46-K46)/J46*100</f>
        <v>3.2173913043478262</v>
      </c>
      <c r="Q46" s="54">
        <f t="shared" ref="Q46:Q52" si="13">(G46)/(F46/60)</f>
        <v>203.47826086956519</v>
      </c>
      <c r="R46" s="16"/>
    </row>
    <row r="47" spans="2:20" ht="15.75" customHeight="1">
      <c r="B47" s="91">
        <v>45930</v>
      </c>
      <c r="C47" s="87">
        <v>22</v>
      </c>
      <c r="D47" s="29" t="s">
        <v>92</v>
      </c>
      <c r="E47" s="366"/>
      <c r="F47" s="39">
        <f>[3]Sept!$N101</f>
        <v>306</v>
      </c>
      <c r="G47" s="17">
        <v>1172</v>
      </c>
      <c r="H47" s="53">
        <f t="shared" si="11"/>
        <v>32.44290657439447</v>
      </c>
      <c r="I47" s="54"/>
      <c r="J47" s="318"/>
      <c r="K47" s="318"/>
      <c r="L47" s="318"/>
      <c r="M47" s="54">
        <f>[3]Sept!$AD46</f>
        <v>162</v>
      </c>
      <c r="N47" s="319"/>
      <c r="O47" s="54"/>
      <c r="P47" s="318"/>
      <c r="Q47" s="54">
        <f>(G47)/(F47/60)</f>
        <v>229.80392156862746</v>
      </c>
      <c r="R47" s="16"/>
    </row>
    <row r="48" spans="2:20" ht="15.75" customHeight="1">
      <c r="B48" s="59"/>
      <c r="C48" s="48"/>
      <c r="D48" s="29"/>
      <c r="E48" s="47"/>
      <c r="F48" s="39"/>
      <c r="G48" s="17"/>
      <c r="H48" s="53" t="e">
        <f t="shared" si="11"/>
        <v>#DIV/0!</v>
      </c>
      <c r="I48" s="54"/>
      <c r="J48" s="53"/>
      <c r="K48" s="53">
        <f t="shared" ref="K48:K53" si="14">(G48)*0.066</f>
        <v>0</v>
      </c>
      <c r="L48" s="53">
        <f t="shared" si="12"/>
        <v>0</v>
      </c>
      <c r="M48" s="54"/>
      <c r="N48" s="49"/>
      <c r="O48" s="54"/>
      <c r="P48" s="50" t="e">
        <f t="shared" ref="P48:P52" si="15">(J48-K48)/J48*100</f>
        <v>#DIV/0!</v>
      </c>
      <c r="Q48" s="54" t="e">
        <f t="shared" si="13"/>
        <v>#DIV/0!</v>
      </c>
      <c r="R48" s="16"/>
    </row>
    <row r="49" spans="2:18" ht="15.75" customHeight="1">
      <c r="B49" s="59"/>
      <c r="C49" s="48"/>
      <c r="D49" s="29"/>
      <c r="E49" s="47"/>
      <c r="F49" s="39"/>
      <c r="G49" s="17"/>
      <c r="H49" s="53" t="e">
        <f t="shared" si="11"/>
        <v>#DIV/0!</v>
      </c>
      <c r="I49" s="54"/>
      <c r="J49" s="53"/>
      <c r="K49" s="53">
        <f t="shared" si="14"/>
        <v>0</v>
      </c>
      <c r="L49" s="53">
        <f t="shared" si="12"/>
        <v>0</v>
      </c>
      <c r="M49" s="54"/>
      <c r="N49" s="49"/>
      <c r="O49" s="54"/>
      <c r="P49" s="50" t="e">
        <f t="shared" si="15"/>
        <v>#DIV/0!</v>
      </c>
      <c r="Q49" s="54" t="e">
        <f t="shared" si="13"/>
        <v>#DIV/0!</v>
      </c>
      <c r="R49" s="16"/>
    </row>
    <row r="50" spans="2:18" ht="15.75" customHeight="1">
      <c r="B50" s="59"/>
      <c r="C50" s="48"/>
      <c r="D50" s="29"/>
      <c r="E50" s="47"/>
      <c r="F50" s="39"/>
      <c r="G50" s="17"/>
      <c r="H50" s="53" t="e">
        <f t="shared" si="11"/>
        <v>#DIV/0!</v>
      </c>
      <c r="I50" s="54"/>
      <c r="J50" s="53"/>
      <c r="K50" s="53">
        <f t="shared" si="14"/>
        <v>0</v>
      </c>
      <c r="L50" s="53">
        <f t="shared" si="12"/>
        <v>0</v>
      </c>
      <c r="M50" s="54"/>
      <c r="N50" s="49"/>
      <c r="O50" s="54"/>
      <c r="P50" s="50" t="e">
        <f t="shared" si="15"/>
        <v>#DIV/0!</v>
      </c>
      <c r="Q50" s="54" t="e">
        <f t="shared" si="13"/>
        <v>#DIV/0!</v>
      </c>
      <c r="R50" s="16"/>
    </row>
    <row r="51" spans="2:18" ht="15.75" customHeight="1">
      <c r="B51" s="59"/>
      <c r="C51" s="48"/>
      <c r="D51" s="29"/>
      <c r="E51" s="47"/>
      <c r="F51" s="39"/>
      <c r="G51" s="17"/>
      <c r="H51" s="53" t="e">
        <f t="shared" si="11"/>
        <v>#DIV/0!</v>
      </c>
      <c r="I51" s="54"/>
      <c r="J51" s="53"/>
      <c r="K51" s="53">
        <f t="shared" si="14"/>
        <v>0</v>
      </c>
      <c r="L51" s="53">
        <f t="shared" si="12"/>
        <v>0</v>
      </c>
      <c r="M51" s="54"/>
      <c r="N51" s="49"/>
      <c r="O51" s="54"/>
      <c r="P51" s="50" t="e">
        <f t="shared" si="15"/>
        <v>#DIV/0!</v>
      </c>
      <c r="Q51" s="54" t="e">
        <f t="shared" si="13"/>
        <v>#DIV/0!</v>
      </c>
      <c r="R51" s="16"/>
    </row>
    <row r="52" spans="2:18" ht="15.75" customHeight="1">
      <c r="B52" s="59"/>
      <c r="C52" s="48"/>
      <c r="D52" s="29"/>
      <c r="E52" s="47"/>
      <c r="F52" s="35"/>
      <c r="G52" s="17"/>
      <c r="H52" s="53" t="e">
        <f t="shared" si="11"/>
        <v>#DIV/0!</v>
      </c>
      <c r="I52" s="54"/>
      <c r="J52" s="32"/>
      <c r="K52" s="53">
        <f t="shared" si="14"/>
        <v>0</v>
      </c>
      <c r="L52" s="53">
        <f>J52-K52</f>
        <v>0</v>
      </c>
      <c r="M52" s="54"/>
      <c r="N52" s="54"/>
      <c r="O52" s="54"/>
      <c r="P52" s="50" t="e">
        <f t="shared" si="15"/>
        <v>#DIV/0!</v>
      </c>
      <c r="Q52" s="54" t="e">
        <f t="shared" si="13"/>
        <v>#DIV/0!</v>
      </c>
      <c r="R52" s="16"/>
    </row>
    <row r="53" spans="2:18" ht="16.350000000000001" customHeight="1" thickBot="1">
      <c r="B53" s="3"/>
      <c r="C53" s="48"/>
      <c r="D53" s="29"/>
      <c r="E53" s="47"/>
      <c r="F53" s="39"/>
      <c r="G53" s="17"/>
      <c r="H53" s="53" t="e">
        <f t="shared" si="11"/>
        <v>#DIV/0!</v>
      </c>
      <c r="I53" s="38"/>
      <c r="J53" s="33"/>
      <c r="K53" s="53">
        <f t="shared" si="14"/>
        <v>0</v>
      </c>
      <c r="L53" s="53">
        <f>J53-K53</f>
        <v>0</v>
      </c>
      <c r="M53" s="54"/>
      <c r="N53" s="54"/>
      <c r="O53" s="54"/>
      <c r="P53" s="33"/>
      <c r="Q53" s="34"/>
      <c r="R53" s="16"/>
    </row>
    <row r="54" spans="2:18" s="1" customFormat="1" ht="16.8" thickTop="1" thickBot="1">
      <c r="B54" s="12"/>
      <c r="C54" s="12"/>
      <c r="D54" s="63"/>
      <c r="E54" s="22">
        <f>SUM(E8:E53)</f>
        <v>24284</v>
      </c>
      <c r="F54" s="55">
        <f>SUM(F8:F53)</f>
        <v>16984</v>
      </c>
      <c r="G54" s="76">
        <f>SUM(G8:G53)</f>
        <v>113111</v>
      </c>
      <c r="H54" s="65">
        <f t="shared" si="11"/>
        <v>56.412900723171987</v>
      </c>
      <c r="I54" s="14">
        <f>SUM(I8:I53)</f>
        <v>1215.1799999999998</v>
      </c>
      <c r="J54" s="65">
        <f>SUM(J8:J53)</f>
        <v>7654.3999999999987</v>
      </c>
      <c r="K54" s="65">
        <f>SUM(K8:K53)</f>
        <v>7491.0012000000006</v>
      </c>
      <c r="L54" s="51">
        <f>J54-K54</f>
        <v>163.39879999999812</v>
      </c>
      <c r="M54" s="66">
        <f>SUM(M8:M53)</f>
        <v>11855</v>
      </c>
      <c r="N54" s="36">
        <f>SUM(N8:N53)</f>
        <v>638</v>
      </c>
      <c r="O54" s="14">
        <f>SUM(O8:O53)</f>
        <v>0</v>
      </c>
      <c r="P54" s="24">
        <f>(J54-K54)/J54</f>
        <v>2.1347042224080025E-2</v>
      </c>
      <c r="Q54" s="396">
        <f>G54/(E54/60)</f>
        <v>279.47043320704989</v>
      </c>
      <c r="R54" s="400">
        <f>(January_2025!G65+February_2025!G63+March_2025!G62+'April_2025 '!G54+May_2025!G63+June_2025!G57+July_2025!G55+August_2025!G57+G54)/((January_2025!E65+February_2025!E63+March_2025!E62+'April_2025 '!E54+May_2025!E63+June_2025!E57+July_2025!E55+August_2025!E57+E54)/60)</f>
        <v>274.62896826290404</v>
      </c>
    </row>
    <row r="55" spans="2:18" ht="16.8" thickTop="1" thickBot="1">
      <c r="G55" s="1"/>
      <c r="H55" s="1"/>
      <c r="L55" s="18"/>
      <c r="M55" s="18"/>
      <c r="N55" s="40" t="s">
        <v>23</v>
      </c>
      <c r="O55" s="18"/>
      <c r="Q55" s="5"/>
    </row>
    <row r="56" spans="2:18" ht="21" thickTop="1" thickBot="1">
      <c r="G56" s="1"/>
      <c r="H56" s="1"/>
      <c r="K56" s="45" t="s">
        <v>36</v>
      </c>
      <c r="L56" s="15">
        <f>G54+O56</f>
        <v>113111</v>
      </c>
      <c r="M56" s="18"/>
      <c r="N56" s="40" t="s">
        <v>31</v>
      </c>
      <c r="O56" s="75">
        <f>O54*2.75</f>
        <v>0</v>
      </c>
      <c r="P56" s="398" t="s">
        <v>146</v>
      </c>
      <c r="Q56" s="397">
        <v>399.59138012246819</v>
      </c>
      <c r="R56" s="399">
        <v>373.31684471517343</v>
      </c>
    </row>
    <row r="57" spans="2:18" ht="16.2" thickTop="1">
      <c r="G57" s="61"/>
      <c r="H57" s="7"/>
      <c r="I57" s="69"/>
      <c r="L57" s="18"/>
      <c r="M57" s="18"/>
      <c r="N57" s="18"/>
      <c r="O57" s="18"/>
      <c r="Q57" s="5"/>
    </row>
    <row r="58" spans="2:18" ht="15.6">
      <c r="G58" s="61"/>
      <c r="H58" s="1"/>
      <c r="I58" s="5"/>
      <c r="L58" s="18"/>
      <c r="M58" s="18"/>
      <c r="N58" s="41" t="s">
        <v>32</v>
      </c>
      <c r="O58" s="62">
        <v>20</v>
      </c>
      <c r="P58" s="57"/>
      <c r="Q58" s="58"/>
    </row>
    <row r="59" spans="2:18" ht="15.6">
      <c r="F59" s="56"/>
      <c r="G59" s="1"/>
      <c r="H59" s="1"/>
      <c r="L59" s="18"/>
      <c r="M59" s="18"/>
      <c r="N59" s="41" t="s">
        <v>33</v>
      </c>
      <c r="O59" s="62">
        <v>51</v>
      </c>
      <c r="P59" s="57"/>
      <c r="Q59" s="58"/>
    </row>
    <row r="60" spans="2:18" ht="15.6">
      <c r="F60" s="56"/>
      <c r="G60" s="1"/>
      <c r="H60" s="1"/>
      <c r="L60" s="18"/>
      <c r="M60" s="18"/>
      <c r="N60" s="41" t="s">
        <v>34</v>
      </c>
      <c r="O60" s="42"/>
      <c r="Q60" s="5"/>
    </row>
    <row r="61" spans="2:18" ht="15.6">
      <c r="D61" s="77"/>
      <c r="F61" s="56"/>
      <c r="G61" s="1"/>
      <c r="H61" s="1"/>
      <c r="L61" s="18"/>
      <c r="M61" s="18"/>
      <c r="N61" s="43" t="s">
        <v>35</v>
      </c>
      <c r="O61" s="44">
        <f>SUM(O58:O60)</f>
        <v>71</v>
      </c>
      <c r="Q61" s="5"/>
    </row>
    <row r="62" spans="2:18" ht="15.6">
      <c r="F62" s="56"/>
      <c r="G62" s="1"/>
      <c r="H62" s="1"/>
      <c r="L62" s="18"/>
      <c r="M62" s="18"/>
      <c r="N62" s="18"/>
      <c r="O62" s="18"/>
      <c r="Q62" s="5"/>
    </row>
    <row r="63" spans="2:18" ht="15.6">
      <c r="F63" s="56"/>
      <c r="G63" s="1"/>
      <c r="H63" s="1"/>
      <c r="L63" s="18"/>
      <c r="M63" s="18"/>
      <c r="N63" s="18"/>
      <c r="O63" s="18"/>
      <c r="Q63" s="5"/>
    </row>
    <row r="64" spans="2:18" ht="15.6">
      <c r="F64" s="56"/>
      <c r="G64" s="1"/>
      <c r="H64" s="1"/>
      <c r="L64" s="18"/>
      <c r="M64" s="18"/>
      <c r="N64" s="18"/>
      <c r="O64" s="18"/>
      <c r="Q64" s="5"/>
    </row>
    <row r="65" spans="6:17" ht="15.6">
      <c r="F65" s="56"/>
      <c r="G65" s="1"/>
      <c r="H65" s="1"/>
      <c r="L65" s="18"/>
      <c r="M65" s="18"/>
      <c r="N65" s="18"/>
      <c r="O65" s="18"/>
      <c r="Q65" s="5"/>
    </row>
    <row r="66" spans="6:17" ht="15.6">
      <c r="F66" s="56"/>
      <c r="G66" s="1"/>
      <c r="H66" s="1"/>
      <c r="L66" s="18"/>
      <c r="M66" s="18"/>
      <c r="N66" s="18"/>
      <c r="O66" s="18"/>
      <c r="Q66" s="5"/>
    </row>
    <row r="67" spans="6:17" ht="15.6">
      <c r="G67" s="1"/>
      <c r="H67" s="1"/>
      <c r="L67" s="18"/>
      <c r="M67" s="18"/>
      <c r="N67" s="18"/>
      <c r="O67" s="18"/>
      <c r="Q67" s="5"/>
    </row>
    <row r="68" spans="6:17" ht="15.6">
      <c r="F68" s="56"/>
      <c r="G68" s="1"/>
      <c r="H68" s="1"/>
      <c r="L68" s="18"/>
      <c r="M68" s="18"/>
      <c r="N68" s="18"/>
      <c r="O68" s="18"/>
      <c r="Q68" s="5"/>
    </row>
    <row r="69" spans="6:17" ht="15.6">
      <c r="G69" s="1"/>
      <c r="H69" s="1"/>
      <c r="L69" s="18"/>
      <c r="M69" s="18"/>
      <c r="N69" s="18"/>
      <c r="O69" s="18"/>
      <c r="Q69" s="5"/>
    </row>
    <row r="70" spans="6:17">
      <c r="G70" s="1"/>
      <c r="H70" s="1"/>
      <c r="Q70" s="5"/>
    </row>
    <row r="71" spans="6:17">
      <c r="G71" s="1"/>
      <c r="H71" s="1"/>
      <c r="Q71" s="5"/>
    </row>
    <row r="72" spans="6:17">
      <c r="G72" s="1"/>
      <c r="H72" s="1"/>
      <c r="Q72" s="5"/>
    </row>
    <row r="73" spans="6:17">
      <c r="G73" s="1"/>
      <c r="H73" s="1"/>
      <c r="Q73" s="5"/>
    </row>
    <row r="74" spans="6:17">
      <c r="G74" s="1"/>
      <c r="H74" s="1"/>
      <c r="Q74" s="5"/>
    </row>
    <row r="75" spans="6:17">
      <c r="G75" s="1"/>
      <c r="H75" s="1"/>
      <c r="Q75" s="5"/>
    </row>
    <row r="76" spans="6:17">
      <c r="G76" s="1"/>
      <c r="H76" s="1"/>
      <c r="Q76" s="5"/>
    </row>
    <row r="77" spans="6:17">
      <c r="G77" s="1"/>
      <c r="H77" s="1"/>
      <c r="Q77" s="5"/>
    </row>
    <row r="78" spans="6:17">
      <c r="G78" s="1"/>
      <c r="H78" s="1"/>
      <c r="Q78" s="5"/>
    </row>
    <row r="79" spans="6:17">
      <c r="G79" s="1"/>
      <c r="H79" s="1"/>
      <c r="Q79" s="5"/>
    </row>
    <row r="80" spans="6:17">
      <c r="G80" s="1"/>
      <c r="H80" s="1"/>
      <c r="Q80" s="5"/>
    </row>
    <row r="81" spans="7:17">
      <c r="G81" s="1"/>
      <c r="H81" s="1"/>
      <c r="Q81" s="5"/>
    </row>
    <row r="82" spans="7:17">
      <c r="G82" s="1"/>
      <c r="H82" s="1"/>
      <c r="Q82" s="5"/>
    </row>
    <row r="83" spans="7:17">
      <c r="G83" s="1"/>
      <c r="H83" s="1"/>
      <c r="Q83" s="5"/>
    </row>
    <row r="84" spans="7:17">
      <c r="G84" s="1"/>
      <c r="H84" s="1"/>
      <c r="Q84" s="5"/>
    </row>
    <row r="85" spans="7:17">
      <c r="G85" s="1"/>
      <c r="H85" s="1"/>
      <c r="Q85" s="5"/>
    </row>
    <row r="86" spans="7:17">
      <c r="G86" s="1"/>
      <c r="H86" s="1"/>
      <c r="Q86" s="5"/>
    </row>
    <row r="87" spans="7:17">
      <c r="G87" s="1"/>
      <c r="H87" s="1"/>
      <c r="Q87" s="5"/>
    </row>
    <row r="88" spans="7:17">
      <c r="G88" s="1"/>
      <c r="H88" s="1"/>
      <c r="Q88" s="5"/>
    </row>
    <row r="89" spans="7:17">
      <c r="G89" s="1"/>
      <c r="H89" s="1"/>
      <c r="Q89" s="5"/>
    </row>
    <row r="90" spans="7:17">
      <c r="G90" s="1"/>
      <c r="H90" s="1"/>
      <c r="Q90" s="5"/>
    </row>
    <row r="91" spans="7:17">
      <c r="G91" s="1"/>
      <c r="H91" s="1"/>
      <c r="Q91" s="5"/>
    </row>
    <row r="92" spans="7:17">
      <c r="G92" s="1"/>
      <c r="H92" s="1"/>
      <c r="Q92" s="5"/>
    </row>
    <row r="93" spans="7:17">
      <c r="G93" s="1"/>
      <c r="H93" s="1"/>
      <c r="Q93" s="5"/>
    </row>
    <row r="94" spans="7:17">
      <c r="G94" s="1"/>
      <c r="H94" s="1"/>
      <c r="Q94" s="5"/>
    </row>
    <row r="95" spans="7:17">
      <c r="G95" s="1"/>
      <c r="H95" s="1"/>
      <c r="Q95" s="5"/>
    </row>
    <row r="96" spans="7:17">
      <c r="G96" s="1"/>
      <c r="H96" s="1"/>
      <c r="Q96" s="5"/>
    </row>
    <row r="97" spans="7:17">
      <c r="G97" s="1"/>
      <c r="H97" s="1"/>
      <c r="Q97" s="5"/>
    </row>
    <row r="98" spans="7:17">
      <c r="G98" s="1"/>
      <c r="H98" s="1"/>
      <c r="Q98" s="5"/>
    </row>
    <row r="99" spans="7:17">
      <c r="G99" s="1"/>
      <c r="H99" s="1"/>
      <c r="Q99" s="5"/>
    </row>
    <row r="100" spans="7:17">
      <c r="G100" s="1"/>
      <c r="H100" s="1"/>
      <c r="Q100" s="5"/>
    </row>
    <row r="101" spans="7:17">
      <c r="G101" s="1"/>
      <c r="H101" s="1"/>
      <c r="Q101" s="5"/>
    </row>
    <row r="102" spans="7:17">
      <c r="G102" s="1"/>
      <c r="H102" s="1"/>
      <c r="Q102" s="5"/>
    </row>
    <row r="103" spans="7:17">
      <c r="G103" s="1"/>
      <c r="H103" s="1"/>
      <c r="Q103" s="5"/>
    </row>
    <row r="104" spans="7:17">
      <c r="G104" s="1"/>
      <c r="H104" s="1"/>
      <c r="Q104" s="5"/>
    </row>
    <row r="105" spans="7:17">
      <c r="G105" s="1"/>
      <c r="H105" s="1"/>
      <c r="Q105" s="5"/>
    </row>
    <row r="106" spans="7:17">
      <c r="G106" s="1"/>
      <c r="H106" s="1"/>
      <c r="Q106" s="5"/>
    </row>
    <row r="107" spans="7:17">
      <c r="G107" s="1"/>
      <c r="H107" s="1"/>
      <c r="Q107" s="5"/>
    </row>
    <row r="108" spans="7:17">
      <c r="G108" s="1"/>
      <c r="H108" s="1"/>
      <c r="Q108" s="5"/>
    </row>
    <row r="109" spans="7:17">
      <c r="G109" s="1"/>
      <c r="H109" s="1"/>
      <c r="Q109" s="5"/>
    </row>
    <row r="110" spans="7:17">
      <c r="G110" s="1"/>
      <c r="H110" s="1"/>
      <c r="Q110" s="5"/>
    </row>
    <row r="111" spans="7:17">
      <c r="G111" s="1"/>
      <c r="H111" s="1"/>
      <c r="Q111" s="5"/>
    </row>
    <row r="112" spans="7:17">
      <c r="G112" s="1"/>
      <c r="H112" s="1"/>
      <c r="Q112" s="5"/>
    </row>
    <row r="113" spans="7:17">
      <c r="G113" s="1"/>
      <c r="H113" s="1"/>
      <c r="Q113" s="5"/>
    </row>
    <row r="114" spans="7:17">
      <c r="G114" s="1"/>
      <c r="H114" s="1"/>
      <c r="Q114" s="5"/>
    </row>
    <row r="115" spans="7:17">
      <c r="G115" s="1"/>
      <c r="H115" s="1"/>
      <c r="Q115" s="5"/>
    </row>
    <row r="116" spans="7:17">
      <c r="G116" s="1"/>
      <c r="H116" s="1"/>
      <c r="Q116" s="5"/>
    </row>
    <row r="117" spans="7:17">
      <c r="G117" s="1"/>
      <c r="H117" s="1"/>
      <c r="Q117" s="5"/>
    </row>
  </sheetData>
  <autoFilter ref="B5:R56" xr:uid="{00000000-0001-0000-0800-000000000000}"/>
  <mergeCells count="1079">
    <mergeCell ref="E43:E47"/>
    <mergeCell ref="K44:K45"/>
    <mergeCell ref="J44:J45"/>
    <mergeCell ref="J46:J47"/>
    <mergeCell ref="K46:K47"/>
    <mergeCell ref="L46:L47"/>
    <mergeCell ref="L44:L45"/>
    <mergeCell ref="P44:P45"/>
    <mergeCell ref="P46:P47"/>
    <mergeCell ref="N44:N45"/>
    <mergeCell ref="N46:N47"/>
    <mergeCell ref="R36:R38"/>
    <mergeCell ref="R41:R43"/>
    <mergeCell ref="M44:M45"/>
    <mergeCell ref="F44:F45"/>
    <mergeCell ref="Q44:Q45"/>
    <mergeCell ref="H44:H45"/>
    <mergeCell ref="E35:E36"/>
    <mergeCell ref="R33:R35"/>
    <mergeCell ref="E40:E41"/>
    <mergeCell ref="E38:E39"/>
    <mergeCell ref="E30:E33"/>
    <mergeCell ref="J30:J32"/>
    <mergeCell ref="K30:K32"/>
    <mergeCell ref="P30:P32"/>
    <mergeCell ref="R27:R32"/>
    <mergeCell ref="K27:K28"/>
    <mergeCell ref="J27:J28"/>
    <mergeCell ref="P27:P28"/>
    <mergeCell ref="L27:L28"/>
    <mergeCell ref="AGG4:AGV4"/>
    <mergeCell ref="AGW4:AHL4"/>
    <mergeCell ref="AHM4:AIB4"/>
    <mergeCell ref="AIC4:AIR4"/>
    <mergeCell ref="AIS4:AJH4"/>
    <mergeCell ref="ADE4:ADT4"/>
    <mergeCell ref="ADU4:AEJ4"/>
    <mergeCell ref="AEK4:AEZ4"/>
    <mergeCell ref="AFA4:AFP4"/>
    <mergeCell ref="AFQ4:AGF4"/>
    <mergeCell ref="AG4:AV4"/>
    <mergeCell ref="AW4:BL4"/>
    <mergeCell ref="E8:E9"/>
    <mergeCell ref="J12:J13"/>
    <mergeCell ref="R15:R20"/>
    <mergeCell ref="FU4:GJ4"/>
    <mergeCell ref="GK4:GZ4"/>
    <mergeCell ref="HA4:HP4"/>
    <mergeCell ref="BM4:CB4"/>
    <mergeCell ref="CC4:CR4"/>
    <mergeCell ref="AAC4:AAR4"/>
    <mergeCell ref="AAS4:ABH4"/>
    <mergeCell ref="ABI4:ABX4"/>
    <mergeCell ref="ABY4:ACN4"/>
    <mergeCell ref="WK4:WZ4"/>
    <mergeCell ref="K12:K13"/>
    <mergeCell ref="P12:P13"/>
    <mergeCell ref="R11:R13"/>
    <mergeCell ref="IG4:IV4"/>
    <mergeCell ref="IW4:JL4"/>
    <mergeCell ref="R22:R23"/>
    <mergeCell ref="E15:E16"/>
    <mergeCell ref="K15:K16"/>
    <mergeCell ref="J15:J16"/>
    <mergeCell ref="P15:P16"/>
    <mergeCell ref="E12:E13"/>
    <mergeCell ref="E10:E11"/>
    <mergeCell ref="R9:R10"/>
    <mergeCell ref="EO4:FD4"/>
    <mergeCell ref="FE4:FT4"/>
    <mergeCell ref="E27:E28"/>
    <mergeCell ref="XQ4:YF4"/>
    <mergeCell ref="YG4:YV4"/>
    <mergeCell ref="YW4:ZL4"/>
    <mergeCell ref="ZM4:AAB4"/>
    <mergeCell ref="TY4:UN4"/>
    <mergeCell ref="UO4:VD4"/>
    <mergeCell ref="E17:E18"/>
    <mergeCell ref="J17:J18"/>
    <mergeCell ref="P17:P18"/>
    <mergeCell ref="L15:L16"/>
    <mergeCell ref="L17:L18"/>
    <mergeCell ref="CS4:DH4"/>
    <mergeCell ref="DI4:DX4"/>
    <mergeCell ref="DY4:EN4"/>
    <mergeCell ref="K17:K18"/>
    <mergeCell ref="A4:P4"/>
    <mergeCell ref="Q4:AF4"/>
    <mergeCell ref="XA4:XP4"/>
    <mergeCell ref="NE4:NT4"/>
    <mergeCell ref="VE4:VT4"/>
    <mergeCell ref="VU4:WJ4"/>
    <mergeCell ref="APM4:AQB4"/>
    <mergeCell ref="AQC4:AQR4"/>
    <mergeCell ref="AQS4:ARH4"/>
    <mergeCell ref="ARI4:ARX4"/>
    <mergeCell ref="ARY4:ASN4"/>
    <mergeCell ref="AMK4:AMZ4"/>
    <mergeCell ref="ANA4:ANP4"/>
    <mergeCell ref="ANQ4:AOF4"/>
    <mergeCell ref="AOG4:AOV4"/>
    <mergeCell ref="AOW4:APL4"/>
    <mergeCell ref="E20:E21"/>
    <mergeCell ref="HQ4:IF4"/>
    <mergeCell ref="R6:R7"/>
    <mergeCell ref="ACO4:ADD4"/>
    <mergeCell ref="JM4:KB4"/>
    <mergeCell ref="KC4:KR4"/>
    <mergeCell ref="QW4:RL4"/>
    <mergeCell ref="RM4:SB4"/>
    <mergeCell ref="SC4:SR4"/>
    <mergeCell ref="SS4:TH4"/>
    <mergeCell ref="TI4:TX4"/>
    <mergeCell ref="NU4:OJ4"/>
    <mergeCell ref="OK4:OZ4"/>
    <mergeCell ref="PA4:PP4"/>
    <mergeCell ref="PQ4:QF4"/>
    <mergeCell ref="QG4:QV4"/>
    <mergeCell ref="KS4:LH4"/>
    <mergeCell ref="LI4:LX4"/>
    <mergeCell ref="LY4:MN4"/>
    <mergeCell ref="MO4:ND4"/>
    <mergeCell ref="ALU4:AMJ4"/>
    <mergeCell ref="AJI4:AJX4"/>
    <mergeCell ref="AJY4:AKN4"/>
    <mergeCell ref="AKO4:ALD4"/>
    <mergeCell ref="ALE4:ALT4"/>
    <mergeCell ref="BHY4:BIN4"/>
    <mergeCell ref="BIO4:BJD4"/>
    <mergeCell ref="BJE4:BJT4"/>
    <mergeCell ref="BJU4:BKJ4"/>
    <mergeCell ref="BKK4:BKZ4"/>
    <mergeCell ref="BEW4:BFL4"/>
    <mergeCell ref="BFM4:BGB4"/>
    <mergeCell ref="BGC4:BGR4"/>
    <mergeCell ref="BGS4:BHH4"/>
    <mergeCell ref="BHI4:BHX4"/>
    <mergeCell ref="BBU4:BCJ4"/>
    <mergeCell ref="BCK4:BCZ4"/>
    <mergeCell ref="BDA4:BDP4"/>
    <mergeCell ref="BDQ4:BEF4"/>
    <mergeCell ref="BEG4:BEV4"/>
    <mergeCell ref="AYS4:AZH4"/>
    <mergeCell ref="AZI4:AZX4"/>
    <mergeCell ref="AZY4:BAN4"/>
    <mergeCell ref="BAO4:BBD4"/>
    <mergeCell ref="BBE4:BBT4"/>
    <mergeCell ref="AVQ4:AWF4"/>
    <mergeCell ref="AWG4:AWV4"/>
    <mergeCell ref="AWW4:AXL4"/>
    <mergeCell ref="AXM4:AYB4"/>
    <mergeCell ref="AYC4:AYR4"/>
    <mergeCell ref="ASO4:ATD4"/>
    <mergeCell ref="ATE4:ATT4"/>
    <mergeCell ref="ATU4:AUJ4"/>
    <mergeCell ref="AVA4:AVP4"/>
    <mergeCell ref="CAK4:CAZ4"/>
    <mergeCell ref="CBA4:CBP4"/>
    <mergeCell ref="CBQ4:CCF4"/>
    <mergeCell ref="CCG4:CCV4"/>
    <mergeCell ref="CCW4:CDL4"/>
    <mergeCell ref="BXI4:BXX4"/>
    <mergeCell ref="BXY4:BYN4"/>
    <mergeCell ref="BYO4:BZD4"/>
    <mergeCell ref="BZE4:BZT4"/>
    <mergeCell ref="BZU4:CAJ4"/>
    <mergeCell ref="AUK4:AUZ4"/>
    <mergeCell ref="BUG4:BUV4"/>
    <mergeCell ref="BUW4:BVL4"/>
    <mergeCell ref="BVM4:BWB4"/>
    <mergeCell ref="BWC4:BWR4"/>
    <mergeCell ref="BWS4:BXH4"/>
    <mergeCell ref="BRE4:BRT4"/>
    <mergeCell ref="BRU4:BSJ4"/>
    <mergeCell ref="BSK4:BSZ4"/>
    <mergeCell ref="BTA4:BTP4"/>
    <mergeCell ref="BTQ4:BUF4"/>
    <mergeCell ref="BOC4:BOR4"/>
    <mergeCell ref="BOS4:BPH4"/>
    <mergeCell ref="BPI4:BPX4"/>
    <mergeCell ref="BPY4:BQN4"/>
    <mergeCell ref="BQO4:BRD4"/>
    <mergeCell ref="BLA4:BLP4"/>
    <mergeCell ref="BLQ4:BMF4"/>
    <mergeCell ref="BMG4:BMV4"/>
    <mergeCell ref="BMW4:BNL4"/>
    <mergeCell ref="BNM4:BOB4"/>
    <mergeCell ref="CMS4:CNH4"/>
    <mergeCell ref="CNI4:CNX4"/>
    <mergeCell ref="CNY4:CON4"/>
    <mergeCell ref="COO4:CPD4"/>
    <mergeCell ref="CPE4:CPT4"/>
    <mergeCell ref="CJQ4:CKF4"/>
    <mergeCell ref="CKG4:CKV4"/>
    <mergeCell ref="CKW4:CLL4"/>
    <mergeCell ref="CLM4:CMB4"/>
    <mergeCell ref="CMC4:CMR4"/>
    <mergeCell ref="CGO4:CHD4"/>
    <mergeCell ref="CHE4:CHT4"/>
    <mergeCell ref="CHU4:CIJ4"/>
    <mergeCell ref="CIK4:CIZ4"/>
    <mergeCell ref="CJA4:CJP4"/>
    <mergeCell ref="CDM4:CEB4"/>
    <mergeCell ref="CEC4:CER4"/>
    <mergeCell ref="CES4:CFH4"/>
    <mergeCell ref="CFI4:CFX4"/>
    <mergeCell ref="CFY4:CGN4"/>
    <mergeCell ref="CZA4:CZP4"/>
    <mergeCell ref="CZQ4:DAF4"/>
    <mergeCell ref="DAG4:DAV4"/>
    <mergeCell ref="DAW4:DBL4"/>
    <mergeCell ref="DBM4:DCB4"/>
    <mergeCell ref="CVY4:CWN4"/>
    <mergeCell ref="CWO4:CXD4"/>
    <mergeCell ref="CXE4:CXT4"/>
    <mergeCell ref="CXU4:CYJ4"/>
    <mergeCell ref="CYK4:CYZ4"/>
    <mergeCell ref="CSW4:CTL4"/>
    <mergeCell ref="CTM4:CUB4"/>
    <mergeCell ref="CUC4:CUR4"/>
    <mergeCell ref="CUS4:CVH4"/>
    <mergeCell ref="CVI4:CVX4"/>
    <mergeCell ref="CPU4:CQJ4"/>
    <mergeCell ref="CQK4:CQZ4"/>
    <mergeCell ref="CRA4:CRP4"/>
    <mergeCell ref="CRQ4:CSF4"/>
    <mergeCell ref="CSG4:CSV4"/>
    <mergeCell ref="DLI4:DLX4"/>
    <mergeCell ref="DLY4:DMN4"/>
    <mergeCell ref="DMO4:DND4"/>
    <mergeCell ref="DNE4:DNT4"/>
    <mergeCell ref="DNU4:DOJ4"/>
    <mergeCell ref="DIG4:DIV4"/>
    <mergeCell ref="DIW4:DJL4"/>
    <mergeCell ref="DJM4:DKB4"/>
    <mergeCell ref="DKC4:DKR4"/>
    <mergeCell ref="DKS4:DLH4"/>
    <mergeCell ref="DFE4:DFT4"/>
    <mergeCell ref="DFU4:DGJ4"/>
    <mergeCell ref="DGK4:DGZ4"/>
    <mergeCell ref="DHA4:DHP4"/>
    <mergeCell ref="DHQ4:DIF4"/>
    <mergeCell ref="DCC4:DCR4"/>
    <mergeCell ref="DCS4:DDH4"/>
    <mergeCell ref="DDI4:DDX4"/>
    <mergeCell ref="DDY4:DEN4"/>
    <mergeCell ref="DEO4:DFD4"/>
    <mergeCell ref="DXQ4:DYF4"/>
    <mergeCell ref="DYG4:DYV4"/>
    <mergeCell ref="DYW4:DZL4"/>
    <mergeCell ref="DZM4:EAB4"/>
    <mergeCell ref="EAC4:EAR4"/>
    <mergeCell ref="DUO4:DVD4"/>
    <mergeCell ref="DVE4:DVT4"/>
    <mergeCell ref="DVU4:DWJ4"/>
    <mergeCell ref="DWK4:DWZ4"/>
    <mergeCell ref="DXA4:DXP4"/>
    <mergeCell ref="DRM4:DSB4"/>
    <mergeCell ref="DSC4:DSR4"/>
    <mergeCell ref="DSS4:DTH4"/>
    <mergeCell ref="DTI4:DTX4"/>
    <mergeCell ref="DTY4:DUN4"/>
    <mergeCell ref="DOK4:DOZ4"/>
    <mergeCell ref="DPA4:DPP4"/>
    <mergeCell ref="DPQ4:DQF4"/>
    <mergeCell ref="DQG4:DQV4"/>
    <mergeCell ref="DQW4:DRL4"/>
    <mergeCell ref="EJY4:EKN4"/>
    <mergeCell ref="EKO4:ELD4"/>
    <mergeCell ref="ELE4:ELT4"/>
    <mergeCell ref="ELU4:EMJ4"/>
    <mergeCell ref="EMK4:EMZ4"/>
    <mergeCell ref="EGW4:EHL4"/>
    <mergeCell ref="EHM4:EIB4"/>
    <mergeCell ref="EIC4:EIR4"/>
    <mergeCell ref="EIS4:EJH4"/>
    <mergeCell ref="EJI4:EJX4"/>
    <mergeCell ref="EDU4:EEJ4"/>
    <mergeCell ref="EEK4:EEZ4"/>
    <mergeCell ref="EFA4:EFP4"/>
    <mergeCell ref="EFQ4:EGF4"/>
    <mergeCell ref="EGG4:EGV4"/>
    <mergeCell ref="EAS4:EBH4"/>
    <mergeCell ref="EBI4:EBX4"/>
    <mergeCell ref="EBY4:ECN4"/>
    <mergeCell ref="ECO4:EDD4"/>
    <mergeCell ref="EDE4:EDT4"/>
    <mergeCell ref="EWG4:EWV4"/>
    <mergeCell ref="EWW4:EXL4"/>
    <mergeCell ref="EXM4:EYB4"/>
    <mergeCell ref="EYC4:EYR4"/>
    <mergeCell ref="EYS4:EZH4"/>
    <mergeCell ref="ETE4:ETT4"/>
    <mergeCell ref="ETU4:EUJ4"/>
    <mergeCell ref="EUK4:EUZ4"/>
    <mergeCell ref="EVA4:EVP4"/>
    <mergeCell ref="EVQ4:EWF4"/>
    <mergeCell ref="EQC4:EQR4"/>
    <mergeCell ref="EQS4:ERH4"/>
    <mergeCell ref="ERI4:ERX4"/>
    <mergeCell ref="ERY4:ESN4"/>
    <mergeCell ref="ESO4:ETD4"/>
    <mergeCell ref="ENA4:ENP4"/>
    <mergeCell ref="ENQ4:EOF4"/>
    <mergeCell ref="EOG4:EOV4"/>
    <mergeCell ref="EOW4:EPL4"/>
    <mergeCell ref="EPM4:EQB4"/>
    <mergeCell ref="FIO4:FJD4"/>
    <mergeCell ref="FJE4:FJT4"/>
    <mergeCell ref="FJU4:FKJ4"/>
    <mergeCell ref="FKK4:FKZ4"/>
    <mergeCell ref="FLA4:FLP4"/>
    <mergeCell ref="FFM4:FGB4"/>
    <mergeCell ref="FGC4:FGR4"/>
    <mergeCell ref="FGS4:FHH4"/>
    <mergeCell ref="FHI4:FHX4"/>
    <mergeCell ref="FHY4:FIN4"/>
    <mergeCell ref="FCK4:FCZ4"/>
    <mergeCell ref="FDA4:FDP4"/>
    <mergeCell ref="FDQ4:FEF4"/>
    <mergeCell ref="FEG4:FEV4"/>
    <mergeCell ref="FEW4:FFL4"/>
    <mergeCell ref="EZI4:EZX4"/>
    <mergeCell ref="EZY4:FAN4"/>
    <mergeCell ref="FAO4:FBD4"/>
    <mergeCell ref="FBE4:FBT4"/>
    <mergeCell ref="FBU4:FCJ4"/>
    <mergeCell ref="FUW4:FVL4"/>
    <mergeCell ref="FVM4:FWB4"/>
    <mergeCell ref="FWC4:FWR4"/>
    <mergeCell ref="FWS4:FXH4"/>
    <mergeCell ref="FXI4:FXX4"/>
    <mergeCell ref="FRU4:FSJ4"/>
    <mergeCell ref="FSK4:FSZ4"/>
    <mergeCell ref="FTA4:FTP4"/>
    <mergeCell ref="FTQ4:FUF4"/>
    <mergeCell ref="FUG4:FUV4"/>
    <mergeCell ref="FOS4:FPH4"/>
    <mergeCell ref="FPI4:FPX4"/>
    <mergeCell ref="FPY4:FQN4"/>
    <mergeCell ref="FQO4:FRD4"/>
    <mergeCell ref="FRE4:FRT4"/>
    <mergeCell ref="FLQ4:FMF4"/>
    <mergeCell ref="FMG4:FMV4"/>
    <mergeCell ref="FMW4:FNL4"/>
    <mergeCell ref="FNM4:FOB4"/>
    <mergeCell ref="FOC4:FOR4"/>
    <mergeCell ref="GHE4:GHT4"/>
    <mergeCell ref="GHU4:GIJ4"/>
    <mergeCell ref="GIK4:GIZ4"/>
    <mergeCell ref="GJA4:GJP4"/>
    <mergeCell ref="GJQ4:GKF4"/>
    <mergeCell ref="GEC4:GER4"/>
    <mergeCell ref="GES4:GFH4"/>
    <mergeCell ref="GFI4:GFX4"/>
    <mergeCell ref="GFY4:GGN4"/>
    <mergeCell ref="GGO4:GHD4"/>
    <mergeCell ref="GBA4:GBP4"/>
    <mergeCell ref="GBQ4:GCF4"/>
    <mergeCell ref="GCG4:GCV4"/>
    <mergeCell ref="GCW4:GDL4"/>
    <mergeCell ref="GDM4:GEB4"/>
    <mergeCell ref="FXY4:FYN4"/>
    <mergeCell ref="FYO4:FZD4"/>
    <mergeCell ref="FZE4:FZT4"/>
    <mergeCell ref="FZU4:GAJ4"/>
    <mergeCell ref="GAK4:GAZ4"/>
    <mergeCell ref="GTM4:GUB4"/>
    <mergeCell ref="GUC4:GUR4"/>
    <mergeCell ref="GUS4:GVH4"/>
    <mergeCell ref="GVI4:GVX4"/>
    <mergeCell ref="GVY4:GWN4"/>
    <mergeCell ref="GQK4:GQZ4"/>
    <mergeCell ref="GRA4:GRP4"/>
    <mergeCell ref="GRQ4:GSF4"/>
    <mergeCell ref="GSG4:GSV4"/>
    <mergeCell ref="GSW4:GTL4"/>
    <mergeCell ref="GNI4:GNX4"/>
    <mergeCell ref="GNY4:GON4"/>
    <mergeCell ref="GOO4:GPD4"/>
    <mergeCell ref="GPE4:GPT4"/>
    <mergeCell ref="GPU4:GQJ4"/>
    <mergeCell ref="GKG4:GKV4"/>
    <mergeCell ref="GKW4:GLL4"/>
    <mergeCell ref="GLM4:GMB4"/>
    <mergeCell ref="GMC4:GMR4"/>
    <mergeCell ref="GMS4:GNH4"/>
    <mergeCell ref="HFU4:HGJ4"/>
    <mergeCell ref="HGK4:HGZ4"/>
    <mergeCell ref="HHA4:HHP4"/>
    <mergeCell ref="HHQ4:HIF4"/>
    <mergeCell ref="HIG4:HIV4"/>
    <mergeCell ref="HCS4:HDH4"/>
    <mergeCell ref="HDI4:HDX4"/>
    <mergeCell ref="HDY4:HEN4"/>
    <mergeCell ref="HEO4:HFD4"/>
    <mergeCell ref="HFE4:HFT4"/>
    <mergeCell ref="GZQ4:HAF4"/>
    <mergeCell ref="HAG4:HAV4"/>
    <mergeCell ref="HAW4:HBL4"/>
    <mergeCell ref="HBM4:HCB4"/>
    <mergeCell ref="HCC4:HCR4"/>
    <mergeCell ref="GWO4:GXD4"/>
    <mergeCell ref="GXE4:GXT4"/>
    <mergeCell ref="GXU4:GYJ4"/>
    <mergeCell ref="GYK4:GYZ4"/>
    <mergeCell ref="GZA4:GZP4"/>
    <mergeCell ref="HSC4:HSR4"/>
    <mergeCell ref="HSS4:HTH4"/>
    <mergeCell ref="HTI4:HTX4"/>
    <mergeCell ref="HTY4:HUN4"/>
    <mergeCell ref="HUO4:HVD4"/>
    <mergeCell ref="HPA4:HPP4"/>
    <mergeCell ref="HPQ4:HQF4"/>
    <mergeCell ref="HQG4:HQV4"/>
    <mergeCell ref="HQW4:HRL4"/>
    <mergeCell ref="HRM4:HSB4"/>
    <mergeCell ref="HLY4:HMN4"/>
    <mergeCell ref="HMO4:HND4"/>
    <mergeCell ref="HNE4:HNT4"/>
    <mergeCell ref="HNU4:HOJ4"/>
    <mergeCell ref="HOK4:HOZ4"/>
    <mergeCell ref="HIW4:HJL4"/>
    <mergeCell ref="HJM4:HKB4"/>
    <mergeCell ref="HKC4:HKR4"/>
    <mergeCell ref="HKS4:HLH4"/>
    <mergeCell ref="HLI4:HLX4"/>
    <mergeCell ref="IEK4:IEZ4"/>
    <mergeCell ref="IFA4:IFP4"/>
    <mergeCell ref="IFQ4:IGF4"/>
    <mergeCell ref="IGG4:IGV4"/>
    <mergeCell ref="IGW4:IHL4"/>
    <mergeCell ref="IBI4:IBX4"/>
    <mergeCell ref="IBY4:ICN4"/>
    <mergeCell ref="ICO4:IDD4"/>
    <mergeCell ref="IDE4:IDT4"/>
    <mergeCell ref="IDU4:IEJ4"/>
    <mergeCell ref="HYG4:HYV4"/>
    <mergeCell ref="HYW4:HZL4"/>
    <mergeCell ref="HZM4:IAB4"/>
    <mergeCell ref="IAC4:IAR4"/>
    <mergeCell ref="IAS4:IBH4"/>
    <mergeCell ref="HVE4:HVT4"/>
    <mergeCell ref="HVU4:HWJ4"/>
    <mergeCell ref="HWK4:HWZ4"/>
    <mergeCell ref="HXA4:HXP4"/>
    <mergeCell ref="HXQ4:HYF4"/>
    <mergeCell ref="IQS4:IRH4"/>
    <mergeCell ref="IRI4:IRX4"/>
    <mergeCell ref="IRY4:ISN4"/>
    <mergeCell ref="ISO4:ITD4"/>
    <mergeCell ref="ITE4:ITT4"/>
    <mergeCell ref="INQ4:IOF4"/>
    <mergeCell ref="IOG4:IOV4"/>
    <mergeCell ref="IOW4:IPL4"/>
    <mergeCell ref="IPM4:IQB4"/>
    <mergeCell ref="IQC4:IQR4"/>
    <mergeCell ref="IKO4:ILD4"/>
    <mergeCell ref="ILE4:ILT4"/>
    <mergeCell ref="ILU4:IMJ4"/>
    <mergeCell ref="IMK4:IMZ4"/>
    <mergeCell ref="INA4:INP4"/>
    <mergeCell ref="IHM4:IIB4"/>
    <mergeCell ref="IIC4:IIR4"/>
    <mergeCell ref="IIS4:IJH4"/>
    <mergeCell ref="IJI4:IJX4"/>
    <mergeCell ref="IJY4:IKN4"/>
    <mergeCell ref="JDA4:JDP4"/>
    <mergeCell ref="JDQ4:JEF4"/>
    <mergeCell ref="JEG4:JEV4"/>
    <mergeCell ref="JEW4:JFL4"/>
    <mergeCell ref="JFM4:JGB4"/>
    <mergeCell ref="IZY4:JAN4"/>
    <mergeCell ref="JAO4:JBD4"/>
    <mergeCell ref="JBE4:JBT4"/>
    <mergeCell ref="JBU4:JCJ4"/>
    <mergeCell ref="JCK4:JCZ4"/>
    <mergeCell ref="IWW4:IXL4"/>
    <mergeCell ref="IXM4:IYB4"/>
    <mergeCell ref="IYC4:IYR4"/>
    <mergeCell ref="IYS4:IZH4"/>
    <mergeCell ref="IZI4:IZX4"/>
    <mergeCell ref="ITU4:IUJ4"/>
    <mergeCell ref="IUK4:IUZ4"/>
    <mergeCell ref="IVA4:IVP4"/>
    <mergeCell ref="IVQ4:IWF4"/>
    <mergeCell ref="IWG4:IWV4"/>
    <mergeCell ref="JPI4:JPX4"/>
    <mergeCell ref="JPY4:JQN4"/>
    <mergeCell ref="JQO4:JRD4"/>
    <mergeCell ref="JRE4:JRT4"/>
    <mergeCell ref="JRU4:JSJ4"/>
    <mergeCell ref="JMG4:JMV4"/>
    <mergeCell ref="JMW4:JNL4"/>
    <mergeCell ref="JNM4:JOB4"/>
    <mergeCell ref="JOC4:JOR4"/>
    <mergeCell ref="JOS4:JPH4"/>
    <mergeCell ref="JJE4:JJT4"/>
    <mergeCell ref="JJU4:JKJ4"/>
    <mergeCell ref="JKK4:JKZ4"/>
    <mergeCell ref="JLA4:JLP4"/>
    <mergeCell ref="JLQ4:JMF4"/>
    <mergeCell ref="JGC4:JGR4"/>
    <mergeCell ref="JGS4:JHH4"/>
    <mergeCell ref="JHI4:JHX4"/>
    <mergeCell ref="JHY4:JIN4"/>
    <mergeCell ref="JIO4:JJD4"/>
    <mergeCell ref="KBQ4:KCF4"/>
    <mergeCell ref="KCG4:KCV4"/>
    <mergeCell ref="KCW4:KDL4"/>
    <mergeCell ref="KDM4:KEB4"/>
    <mergeCell ref="KEC4:KER4"/>
    <mergeCell ref="JYO4:JZD4"/>
    <mergeCell ref="JZE4:JZT4"/>
    <mergeCell ref="JZU4:KAJ4"/>
    <mergeCell ref="KAK4:KAZ4"/>
    <mergeCell ref="KBA4:KBP4"/>
    <mergeCell ref="JVM4:JWB4"/>
    <mergeCell ref="JWC4:JWR4"/>
    <mergeCell ref="JWS4:JXH4"/>
    <mergeCell ref="JXI4:JXX4"/>
    <mergeCell ref="JXY4:JYN4"/>
    <mergeCell ref="JSK4:JSZ4"/>
    <mergeCell ref="JTA4:JTP4"/>
    <mergeCell ref="JTQ4:JUF4"/>
    <mergeCell ref="JUG4:JUV4"/>
    <mergeCell ref="JUW4:JVL4"/>
    <mergeCell ref="KNY4:KON4"/>
    <mergeCell ref="KOO4:KPD4"/>
    <mergeCell ref="KPE4:KPT4"/>
    <mergeCell ref="KPU4:KQJ4"/>
    <mergeCell ref="KQK4:KQZ4"/>
    <mergeCell ref="KKW4:KLL4"/>
    <mergeCell ref="KLM4:KMB4"/>
    <mergeCell ref="KMC4:KMR4"/>
    <mergeCell ref="KMS4:KNH4"/>
    <mergeCell ref="KNI4:KNX4"/>
    <mergeCell ref="KHU4:KIJ4"/>
    <mergeCell ref="KIK4:KIZ4"/>
    <mergeCell ref="KJA4:KJP4"/>
    <mergeCell ref="KJQ4:KKF4"/>
    <mergeCell ref="KKG4:KKV4"/>
    <mergeCell ref="KES4:KFH4"/>
    <mergeCell ref="KFI4:KFX4"/>
    <mergeCell ref="KFY4:KGN4"/>
    <mergeCell ref="KGO4:KHD4"/>
    <mergeCell ref="KHE4:KHT4"/>
    <mergeCell ref="LAG4:LAV4"/>
    <mergeCell ref="LAW4:LBL4"/>
    <mergeCell ref="LBM4:LCB4"/>
    <mergeCell ref="LCC4:LCR4"/>
    <mergeCell ref="LCS4:LDH4"/>
    <mergeCell ref="KXE4:KXT4"/>
    <mergeCell ref="KXU4:KYJ4"/>
    <mergeCell ref="KYK4:KYZ4"/>
    <mergeCell ref="KZA4:KZP4"/>
    <mergeCell ref="KZQ4:LAF4"/>
    <mergeCell ref="KUC4:KUR4"/>
    <mergeCell ref="KUS4:KVH4"/>
    <mergeCell ref="KVI4:KVX4"/>
    <mergeCell ref="KVY4:KWN4"/>
    <mergeCell ref="KWO4:KXD4"/>
    <mergeCell ref="KRA4:KRP4"/>
    <mergeCell ref="KRQ4:KSF4"/>
    <mergeCell ref="KSG4:KSV4"/>
    <mergeCell ref="KSW4:KTL4"/>
    <mergeCell ref="KTM4:KUB4"/>
    <mergeCell ref="LMO4:LND4"/>
    <mergeCell ref="LNE4:LNT4"/>
    <mergeCell ref="LNU4:LOJ4"/>
    <mergeCell ref="LOK4:LOZ4"/>
    <mergeCell ref="LPA4:LPP4"/>
    <mergeCell ref="LJM4:LKB4"/>
    <mergeCell ref="LKC4:LKR4"/>
    <mergeCell ref="LKS4:LLH4"/>
    <mergeCell ref="LLI4:LLX4"/>
    <mergeCell ref="LLY4:LMN4"/>
    <mergeCell ref="LGK4:LGZ4"/>
    <mergeCell ref="LHA4:LHP4"/>
    <mergeCell ref="LHQ4:LIF4"/>
    <mergeCell ref="LIG4:LIV4"/>
    <mergeCell ref="LIW4:LJL4"/>
    <mergeCell ref="LDI4:LDX4"/>
    <mergeCell ref="LDY4:LEN4"/>
    <mergeCell ref="LEO4:LFD4"/>
    <mergeCell ref="LFE4:LFT4"/>
    <mergeCell ref="LFU4:LGJ4"/>
    <mergeCell ref="LYW4:LZL4"/>
    <mergeCell ref="LZM4:MAB4"/>
    <mergeCell ref="MAC4:MAR4"/>
    <mergeCell ref="MAS4:MBH4"/>
    <mergeCell ref="MBI4:MBX4"/>
    <mergeCell ref="LVU4:LWJ4"/>
    <mergeCell ref="LWK4:LWZ4"/>
    <mergeCell ref="LXA4:LXP4"/>
    <mergeCell ref="LXQ4:LYF4"/>
    <mergeCell ref="LYG4:LYV4"/>
    <mergeCell ref="LSS4:LTH4"/>
    <mergeCell ref="LTI4:LTX4"/>
    <mergeCell ref="LTY4:LUN4"/>
    <mergeCell ref="LUO4:LVD4"/>
    <mergeCell ref="LVE4:LVT4"/>
    <mergeCell ref="LPQ4:LQF4"/>
    <mergeCell ref="LQG4:LQV4"/>
    <mergeCell ref="LQW4:LRL4"/>
    <mergeCell ref="LRM4:LSB4"/>
    <mergeCell ref="LSC4:LSR4"/>
    <mergeCell ref="MLE4:MLT4"/>
    <mergeCell ref="MLU4:MMJ4"/>
    <mergeCell ref="MMK4:MMZ4"/>
    <mergeCell ref="MNA4:MNP4"/>
    <mergeCell ref="MNQ4:MOF4"/>
    <mergeCell ref="MIC4:MIR4"/>
    <mergeCell ref="MIS4:MJH4"/>
    <mergeCell ref="MJI4:MJX4"/>
    <mergeCell ref="MJY4:MKN4"/>
    <mergeCell ref="MKO4:MLD4"/>
    <mergeCell ref="MFA4:MFP4"/>
    <mergeCell ref="MFQ4:MGF4"/>
    <mergeCell ref="MGG4:MGV4"/>
    <mergeCell ref="MGW4:MHL4"/>
    <mergeCell ref="MHM4:MIB4"/>
    <mergeCell ref="MBY4:MCN4"/>
    <mergeCell ref="MCO4:MDD4"/>
    <mergeCell ref="MDE4:MDT4"/>
    <mergeCell ref="MDU4:MEJ4"/>
    <mergeCell ref="MEK4:MEZ4"/>
    <mergeCell ref="MXM4:MYB4"/>
    <mergeCell ref="MYC4:MYR4"/>
    <mergeCell ref="MYS4:MZH4"/>
    <mergeCell ref="MZI4:MZX4"/>
    <mergeCell ref="MZY4:NAN4"/>
    <mergeCell ref="MUK4:MUZ4"/>
    <mergeCell ref="MVA4:MVP4"/>
    <mergeCell ref="MVQ4:MWF4"/>
    <mergeCell ref="MWG4:MWV4"/>
    <mergeCell ref="MWW4:MXL4"/>
    <mergeCell ref="MRI4:MRX4"/>
    <mergeCell ref="MRY4:MSN4"/>
    <mergeCell ref="MSO4:MTD4"/>
    <mergeCell ref="MTE4:MTT4"/>
    <mergeCell ref="MTU4:MUJ4"/>
    <mergeCell ref="MOG4:MOV4"/>
    <mergeCell ref="MOW4:MPL4"/>
    <mergeCell ref="MPM4:MQB4"/>
    <mergeCell ref="MQC4:MQR4"/>
    <mergeCell ref="MQS4:MRH4"/>
    <mergeCell ref="NJU4:NKJ4"/>
    <mergeCell ref="NKK4:NKZ4"/>
    <mergeCell ref="NLA4:NLP4"/>
    <mergeCell ref="NLQ4:NMF4"/>
    <mergeCell ref="NMG4:NMV4"/>
    <mergeCell ref="NGS4:NHH4"/>
    <mergeCell ref="NHI4:NHX4"/>
    <mergeCell ref="NHY4:NIN4"/>
    <mergeCell ref="NIO4:NJD4"/>
    <mergeCell ref="NJE4:NJT4"/>
    <mergeCell ref="NDQ4:NEF4"/>
    <mergeCell ref="NEG4:NEV4"/>
    <mergeCell ref="NEW4:NFL4"/>
    <mergeCell ref="NFM4:NGB4"/>
    <mergeCell ref="NGC4:NGR4"/>
    <mergeCell ref="NAO4:NBD4"/>
    <mergeCell ref="NBE4:NBT4"/>
    <mergeCell ref="NBU4:NCJ4"/>
    <mergeCell ref="NCK4:NCZ4"/>
    <mergeCell ref="NDA4:NDP4"/>
    <mergeCell ref="NWC4:NWR4"/>
    <mergeCell ref="NWS4:NXH4"/>
    <mergeCell ref="NXI4:NXX4"/>
    <mergeCell ref="NXY4:NYN4"/>
    <mergeCell ref="NYO4:NZD4"/>
    <mergeCell ref="NTA4:NTP4"/>
    <mergeCell ref="NTQ4:NUF4"/>
    <mergeCell ref="NUG4:NUV4"/>
    <mergeCell ref="NUW4:NVL4"/>
    <mergeCell ref="NVM4:NWB4"/>
    <mergeCell ref="NPY4:NQN4"/>
    <mergeCell ref="NQO4:NRD4"/>
    <mergeCell ref="NRE4:NRT4"/>
    <mergeCell ref="NRU4:NSJ4"/>
    <mergeCell ref="NSK4:NSZ4"/>
    <mergeCell ref="NMW4:NNL4"/>
    <mergeCell ref="NNM4:NOB4"/>
    <mergeCell ref="NOC4:NOR4"/>
    <mergeCell ref="NOS4:NPH4"/>
    <mergeCell ref="NPI4:NPX4"/>
    <mergeCell ref="OIK4:OIZ4"/>
    <mergeCell ref="OJA4:OJP4"/>
    <mergeCell ref="OJQ4:OKF4"/>
    <mergeCell ref="OKG4:OKV4"/>
    <mergeCell ref="OKW4:OLL4"/>
    <mergeCell ref="OFI4:OFX4"/>
    <mergeCell ref="OFY4:OGN4"/>
    <mergeCell ref="OGO4:OHD4"/>
    <mergeCell ref="OHE4:OHT4"/>
    <mergeCell ref="OHU4:OIJ4"/>
    <mergeCell ref="OCG4:OCV4"/>
    <mergeCell ref="OCW4:ODL4"/>
    <mergeCell ref="ODM4:OEB4"/>
    <mergeCell ref="OEC4:OER4"/>
    <mergeCell ref="OES4:OFH4"/>
    <mergeCell ref="NZE4:NZT4"/>
    <mergeCell ref="NZU4:OAJ4"/>
    <mergeCell ref="OAK4:OAZ4"/>
    <mergeCell ref="OBA4:OBP4"/>
    <mergeCell ref="OBQ4:OCF4"/>
    <mergeCell ref="OUS4:OVH4"/>
    <mergeCell ref="OVI4:OVX4"/>
    <mergeCell ref="OVY4:OWN4"/>
    <mergeCell ref="OWO4:OXD4"/>
    <mergeCell ref="OXE4:OXT4"/>
    <mergeCell ref="ORQ4:OSF4"/>
    <mergeCell ref="OSG4:OSV4"/>
    <mergeCell ref="OSW4:OTL4"/>
    <mergeCell ref="OTM4:OUB4"/>
    <mergeCell ref="OUC4:OUR4"/>
    <mergeCell ref="OOO4:OPD4"/>
    <mergeCell ref="OPE4:OPT4"/>
    <mergeCell ref="OPU4:OQJ4"/>
    <mergeCell ref="OQK4:OQZ4"/>
    <mergeCell ref="ORA4:ORP4"/>
    <mergeCell ref="OLM4:OMB4"/>
    <mergeCell ref="OMC4:OMR4"/>
    <mergeCell ref="OMS4:ONH4"/>
    <mergeCell ref="ONI4:ONX4"/>
    <mergeCell ref="ONY4:OON4"/>
    <mergeCell ref="PHA4:PHP4"/>
    <mergeCell ref="PHQ4:PIF4"/>
    <mergeCell ref="PIG4:PIV4"/>
    <mergeCell ref="PIW4:PJL4"/>
    <mergeCell ref="PJM4:PKB4"/>
    <mergeCell ref="PDY4:PEN4"/>
    <mergeCell ref="PEO4:PFD4"/>
    <mergeCell ref="PFE4:PFT4"/>
    <mergeCell ref="PFU4:PGJ4"/>
    <mergeCell ref="PGK4:PGZ4"/>
    <mergeCell ref="PAW4:PBL4"/>
    <mergeCell ref="PBM4:PCB4"/>
    <mergeCell ref="PCC4:PCR4"/>
    <mergeCell ref="PCS4:PDH4"/>
    <mergeCell ref="PDI4:PDX4"/>
    <mergeCell ref="OXU4:OYJ4"/>
    <mergeCell ref="OYK4:OYZ4"/>
    <mergeCell ref="OZA4:OZP4"/>
    <mergeCell ref="OZQ4:PAF4"/>
    <mergeCell ref="PAG4:PAV4"/>
    <mergeCell ref="PTI4:PTX4"/>
    <mergeCell ref="PTY4:PUN4"/>
    <mergeCell ref="PUO4:PVD4"/>
    <mergeCell ref="PVE4:PVT4"/>
    <mergeCell ref="PVU4:PWJ4"/>
    <mergeCell ref="PQG4:PQV4"/>
    <mergeCell ref="PQW4:PRL4"/>
    <mergeCell ref="PRM4:PSB4"/>
    <mergeCell ref="PSC4:PSR4"/>
    <mergeCell ref="PSS4:PTH4"/>
    <mergeCell ref="PNE4:PNT4"/>
    <mergeCell ref="PNU4:POJ4"/>
    <mergeCell ref="POK4:POZ4"/>
    <mergeCell ref="PPA4:PPP4"/>
    <mergeCell ref="PPQ4:PQF4"/>
    <mergeCell ref="PKC4:PKR4"/>
    <mergeCell ref="PKS4:PLH4"/>
    <mergeCell ref="PLI4:PLX4"/>
    <mergeCell ref="PLY4:PMN4"/>
    <mergeCell ref="PMO4:PND4"/>
    <mergeCell ref="QFQ4:QGF4"/>
    <mergeCell ref="QGG4:QGV4"/>
    <mergeCell ref="QGW4:QHL4"/>
    <mergeCell ref="QHM4:QIB4"/>
    <mergeCell ref="QIC4:QIR4"/>
    <mergeCell ref="QCO4:QDD4"/>
    <mergeCell ref="QDE4:QDT4"/>
    <mergeCell ref="QDU4:QEJ4"/>
    <mergeCell ref="QEK4:QEZ4"/>
    <mergeCell ref="QFA4:QFP4"/>
    <mergeCell ref="PZM4:QAB4"/>
    <mergeCell ref="QAC4:QAR4"/>
    <mergeCell ref="QAS4:QBH4"/>
    <mergeCell ref="QBI4:QBX4"/>
    <mergeCell ref="QBY4:QCN4"/>
    <mergeCell ref="PWK4:PWZ4"/>
    <mergeCell ref="PXA4:PXP4"/>
    <mergeCell ref="PXQ4:PYF4"/>
    <mergeCell ref="PYG4:PYV4"/>
    <mergeCell ref="PYW4:PZL4"/>
    <mergeCell ref="QRY4:QSN4"/>
    <mergeCell ref="QSO4:QTD4"/>
    <mergeCell ref="QTE4:QTT4"/>
    <mergeCell ref="QTU4:QUJ4"/>
    <mergeCell ref="QUK4:QUZ4"/>
    <mergeCell ref="QOW4:QPL4"/>
    <mergeCell ref="QPM4:QQB4"/>
    <mergeCell ref="QQC4:QQR4"/>
    <mergeCell ref="QQS4:QRH4"/>
    <mergeCell ref="QRI4:QRX4"/>
    <mergeCell ref="QLU4:QMJ4"/>
    <mergeCell ref="QMK4:QMZ4"/>
    <mergeCell ref="QNA4:QNP4"/>
    <mergeCell ref="QNQ4:QOF4"/>
    <mergeCell ref="QOG4:QOV4"/>
    <mergeCell ref="QIS4:QJH4"/>
    <mergeCell ref="QJI4:QJX4"/>
    <mergeCell ref="QJY4:QKN4"/>
    <mergeCell ref="QKO4:QLD4"/>
    <mergeCell ref="QLE4:QLT4"/>
    <mergeCell ref="REG4:REV4"/>
    <mergeCell ref="REW4:RFL4"/>
    <mergeCell ref="RFM4:RGB4"/>
    <mergeCell ref="RGC4:RGR4"/>
    <mergeCell ref="RGS4:RHH4"/>
    <mergeCell ref="RBE4:RBT4"/>
    <mergeCell ref="RBU4:RCJ4"/>
    <mergeCell ref="RCK4:RCZ4"/>
    <mergeCell ref="RDA4:RDP4"/>
    <mergeCell ref="RDQ4:REF4"/>
    <mergeCell ref="QYC4:QYR4"/>
    <mergeCell ref="QYS4:QZH4"/>
    <mergeCell ref="QZI4:QZX4"/>
    <mergeCell ref="QZY4:RAN4"/>
    <mergeCell ref="RAO4:RBD4"/>
    <mergeCell ref="QVA4:QVP4"/>
    <mergeCell ref="QVQ4:QWF4"/>
    <mergeCell ref="QWG4:QWV4"/>
    <mergeCell ref="QWW4:QXL4"/>
    <mergeCell ref="QXM4:QYB4"/>
    <mergeCell ref="RQO4:RRD4"/>
    <mergeCell ref="RRE4:RRT4"/>
    <mergeCell ref="RRU4:RSJ4"/>
    <mergeCell ref="RSK4:RSZ4"/>
    <mergeCell ref="RTA4:RTP4"/>
    <mergeCell ref="RNM4:ROB4"/>
    <mergeCell ref="ROC4:ROR4"/>
    <mergeCell ref="ROS4:RPH4"/>
    <mergeCell ref="RPI4:RPX4"/>
    <mergeCell ref="RPY4:RQN4"/>
    <mergeCell ref="RKK4:RKZ4"/>
    <mergeCell ref="RLA4:RLP4"/>
    <mergeCell ref="RLQ4:RMF4"/>
    <mergeCell ref="RMG4:RMV4"/>
    <mergeCell ref="RMW4:RNL4"/>
    <mergeCell ref="RHI4:RHX4"/>
    <mergeCell ref="RHY4:RIN4"/>
    <mergeCell ref="RIO4:RJD4"/>
    <mergeCell ref="RJE4:RJT4"/>
    <mergeCell ref="RJU4:RKJ4"/>
    <mergeCell ref="SCW4:SDL4"/>
    <mergeCell ref="SDM4:SEB4"/>
    <mergeCell ref="SEC4:SER4"/>
    <mergeCell ref="SES4:SFH4"/>
    <mergeCell ref="SFI4:SFX4"/>
    <mergeCell ref="RZU4:SAJ4"/>
    <mergeCell ref="SAK4:SAZ4"/>
    <mergeCell ref="SBA4:SBP4"/>
    <mergeCell ref="SBQ4:SCF4"/>
    <mergeCell ref="SCG4:SCV4"/>
    <mergeCell ref="RWS4:RXH4"/>
    <mergeCell ref="RXI4:RXX4"/>
    <mergeCell ref="RXY4:RYN4"/>
    <mergeCell ref="RYO4:RZD4"/>
    <mergeCell ref="RZE4:RZT4"/>
    <mergeCell ref="RTQ4:RUF4"/>
    <mergeCell ref="RUG4:RUV4"/>
    <mergeCell ref="RUW4:RVL4"/>
    <mergeCell ref="RVM4:RWB4"/>
    <mergeCell ref="RWC4:RWR4"/>
    <mergeCell ref="SPE4:SPT4"/>
    <mergeCell ref="SPU4:SQJ4"/>
    <mergeCell ref="SQK4:SQZ4"/>
    <mergeCell ref="SRA4:SRP4"/>
    <mergeCell ref="SRQ4:SSF4"/>
    <mergeCell ref="SMC4:SMR4"/>
    <mergeCell ref="SMS4:SNH4"/>
    <mergeCell ref="SNI4:SNX4"/>
    <mergeCell ref="SNY4:SON4"/>
    <mergeCell ref="SOO4:SPD4"/>
    <mergeCell ref="SJA4:SJP4"/>
    <mergeCell ref="SJQ4:SKF4"/>
    <mergeCell ref="SKG4:SKV4"/>
    <mergeCell ref="SKW4:SLL4"/>
    <mergeCell ref="SLM4:SMB4"/>
    <mergeCell ref="SFY4:SGN4"/>
    <mergeCell ref="SGO4:SHD4"/>
    <mergeCell ref="SHE4:SHT4"/>
    <mergeCell ref="SHU4:SIJ4"/>
    <mergeCell ref="SIK4:SIZ4"/>
    <mergeCell ref="TBM4:TCB4"/>
    <mergeCell ref="TCC4:TCR4"/>
    <mergeCell ref="TCS4:TDH4"/>
    <mergeCell ref="TDI4:TDX4"/>
    <mergeCell ref="TDY4:TEN4"/>
    <mergeCell ref="SYK4:SYZ4"/>
    <mergeCell ref="SZA4:SZP4"/>
    <mergeCell ref="SZQ4:TAF4"/>
    <mergeCell ref="TAG4:TAV4"/>
    <mergeCell ref="TAW4:TBL4"/>
    <mergeCell ref="SVI4:SVX4"/>
    <mergeCell ref="SVY4:SWN4"/>
    <mergeCell ref="SWO4:SXD4"/>
    <mergeCell ref="SXE4:SXT4"/>
    <mergeCell ref="SXU4:SYJ4"/>
    <mergeCell ref="SSG4:SSV4"/>
    <mergeCell ref="SSW4:STL4"/>
    <mergeCell ref="STM4:SUB4"/>
    <mergeCell ref="SUC4:SUR4"/>
    <mergeCell ref="SUS4:SVH4"/>
    <mergeCell ref="TNU4:TOJ4"/>
    <mergeCell ref="TOK4:TOZ4"/>
    <mergeCell ref="TPA4:TPP4"/>
    <mergeCell ref="TPQ4:TQF4"/>
    <mergeCell ref="TQG4:TQV4"/>
    <mergeCell ref="TKS4:TLH4"/>
    <mergeCell ref="TLI4:TLX4"/>
    <mergeCell ref="TLY4:TMN4"/>
    <mergeCell ref="TMO4:TND4"/>
    <mergeCell ref="TNE4:TNT4"/>
    <mergeCell ref="THQ4:TIF4"/>
    <mergeCell ref="TIG4:TIV4"/>
    <mergeCell ref="TIW4:TJL4"/>
    <mergeCell ref="TJM4:TKB4"/>
    <mergeCell ref="TKC4:TKR4"/>
    <mergeCell ref="TEO4:TFD4"/>
    <mergeCell ref="TFE4:TFT4"/>
    <mergeCell ref="TFU4:TGJ4"/>
    <mergeCell ref="TGK4:TGZ4"/>
    <mergeCell ref="THA4:THP4"/>
    <mergeCell ref="UAC4:UAR4"/>
    <mergeCell ref="UAS4:UBH4"/>
    <mergeCell ref="UBI4:UBX4"/>
    <mergeCell ref="UBY4:UCN4"/>
    <mergeCell ref="UCO4:UDD4"/>
    <mergeCell ref="TXA4:TXP4"/>
    <mergeCell ref="TXQ4:TYF4"/>
    <mergeCell ref="TYG4:TYV4"/>
    <mergeCell ref="TYW4:TZL4"/>
    <mergeCell ref="TZM4:UAB4"/>
    <mergeCell ref="TTY4:TUN4"/>
    <mergeCell ref="TUO4:TVD4"/>
    <mergeCell ref="TVE4:TVT4"/>
    <mergeCell ref="TVU4:TWJ4"/>
    <mergeCell ref="TWK4:TWZ4"/>
    <mergeCell ref="TQW4:TRL4"/>
    <mergeCell ref="TRM4:TSB4"/>
    <mergeCell ref="TSC4:TSR4"/>
    <mergeCell ref="TSS4:TTH4"/>
    <mergeCell ref="TTI4:TTX4"/>
    <mergeCell ref="UMK4:UMZ4"/>
    <mergeCell ref="UNA4:UNP4"/>
    <mergeCell ref="UNQ4:UOF4"/>
    <mergeCell ref="UOG4:UOV4"/>
    <mergeCell ref="UOW4:UPL4"/>
    <mergeCell ref="UJI4:UJX4"/>
    <mergeCell ref="UJY4:UKN4"/>
    <mergeCell ref="UKO4:ULD4"/>
    <mergeCell ref="ULE4:ULT4"/>
    <mergeCell ref="ULU4:UMJ4"/>
    <mergeCell ref="UGG4:UGV4"/>
    <mergeCell ref="UGW4:UHL4"/>
    <mergeCell ref="UHM4:UIB4"/>
    <mergeCell ref="UIC4:UIR4"/>
    <mergeCell ref="UIS4:UJH4"/>
    <mergeCell ref="UDE4:UDT4"/>
    <mergeCell ref="UDU4:UEJ4"/>
    <mergeCell ref="UEK4:UEZ4"/>
    <mergeCell ref="UFA4:UFP4"/>
    <mergeCell ref="UFQ4:UGF4"/>
    <mergeCell ref="UZY4:VAN4"/>
    <mergeCell ref="VAO4:VBD4"/>
    <mergeCell ref="VBE4:VBT4"/>
    <mergeCell ref="UVQ4:UWF4"/>
    <mergeCell ref="UWG4:UWV4"/>
    <mergeCell ref="UWW4:UXL4"/>
    <mergeCell ref="UXM4:UYB4"/>
    <mergeCell ref="UYC4:UYR4"/>
    <mergeCell ref="USO4:UTD4"/>
    <mergeCell ref="UTE4:UTT4"/>
    <mergeCell ref="UTU4:UUJ4"/>
    <mergeCell ref="UUK4:UUZ4"/>
    <mergeCell ref="UVA4:UVP4"/>
    <mergeCell ref="UPM4:UQB4"/>
    <mergeCell ref="UQC4:UQR4"/>
    <mergeCell ref="UQS4:URH4"/>
    <mergeCell ref="URI4:URX4"/>
    <mergeCell ref="URY4:USN4"/>
    <mergeCell ref="XCC4:XCR4"/>
    <mergeCell ref="XCS4:XDH4"/>
    <mergeCell ref="XDI4:XDX4"/>
    <mergeCell ref="XDY4:XEN4"/>
    <mergeCell ref="XEO4:XFD4"/>
    <mergeCell ref="WZA4:WZP4"/>
    <mergeCell ref="WZQ4:XAF4"/>
    <mergeCell ref="XAG4:XAV4"/>
    <mergeCell ref="XAW4:XBL4"/>
    <mergeCell ref="XBM4:XCB4"/>
    <mergeCell ref="WVY4:WWN4"/>
    <mergeCell ref="WWO4:WXD4"/>
    <mergeCell ref="WXE4:WXT4"/>
    <mergeCell ref="WXU4:WYJ4"/>
    <mergeCell ref="WYK4:WYZ4"/>
    <mergeCell ref="WSW4:WTL4"/>
    <mergeCell ref="WTM4:WUB4"/>
    <mergeCell ref="WUC4:WUR4"/>
    <mergeCell ref="WUS4:WVH4"/>
    <mergeCell ref="WVI4:WVX4"/>
    <mergeCell ref="WRA4:WRP4"/>
    <mergeCell ref="WRQ4:WSF4"/>
    <mergeCell ref="WSG4:WSV4"/>
    <mergeCell ref="WMS4:WNH4"/>
    <mergeCell ref="WNI4:WNX4"/>
    <mergeCell ref="WNY4:WON4"/>
    <mergeCell ref="WOO4:WPD4"/>
    <mergeCell ref="WPE4:WPT4"/>
    <mergeCell ref="WJQ4:WKF4"/>
    <mergeCell ref="WKG4:WKV4"/>
    <mergeCell ref="WKW4:WLL4"/>
    <mergeCell ref="WLM4:WMB4"/>
    <mergeCell ref="WMC4:WMR4"/>
    <mergeCell ref="WGO4:WHD4"/>
    <mergeCell ref="WHE4:WHT4"/>
    <mergeCell ref="WHU4:WIJ4"/>
    <mergeCell ref="WIK4:WIZ4"/>
    <mergeCell ref="WJA4:WJP4"/>
    <mergeCell ref="WPU4:WQJ4"/>
    <mergeCell ref="VIO4:VJD4"/>
    <mergeCell ref="VJE4:VJT4"/>
    <mergeCell ref="VJU4:VKJ4"/>
    <mergeCell ref="VKK4:VKZ4"/>
    <mergeCell ref="WCW4:WDL4"/>
    <mergeCell ref="VXI4:VXX4"/>
    <mergeCell ref="VXY4:VYN4"/>
    <mergeCell ref="VYO4:VZD4"/>
    <mergeCell ref="VZE4:VZT4"/>
    <mergeCell ref="VZU4:WAJ4"/>
    <mergeCell ref="VUG4:VUV4"/>
    <mergeCell ref="VUW4:VVL4"/>
    <mergeCell ref="VVM4:VWB4"/>
    <mergeCell ref="VWC4:VWR4"/>
    <mergeCell ref="VWS4:VXH4"/>
    <mergeCell ref="VRE4:VRT4"/>
    <mergeCell ref="WQK4:WQZ4"/>
    <mergeCell ref="VTQ4:VUF4"/>
    <mergeCell ref="WFY4:WGN4"/>
    <mergeCell ref="WAK4:WAZ4"/>
    <mergeCell ref="WBA4:WBP4"/>
    <mergeCell ref="WBQ4:WCF4"/>
    <mergeCell ref="WCG4:WCV4"/>
    <mergeCell ref="R25:R26"/>
    <mergeCell ref="E24:E25"/>
    <mergeCell ref="WDM4:WEB4"/>
    <mergeCell ref="WEC4:WER4"/>
    <mergeCell ref="WES4:WFH4"/>
    <mergeCell ref="WFI4:WFX4"/>
    <mergeCell ref="VRU4:VSJ4"/>
    <mergeCell ref="VSK4:VSZ4"/>
    <mergeCell ref="VTA4:VTP4"/>
    <mergeCell ref="VEW4:VFL4"/>
    <mergeCell ref="VFM4:VGB4"/>
    <mergeCell ref="VGC4:VGR4"/>
    <mergeCell ref="VGS4:VHH4"/>
    <mergeCell ref="VHI4:VHX4"/>
    <mergeCell ref="VBU4:VCJ4"/>
    <mergeCell ref="VCK4:VCZ4"/>
    <mergeCell ref="VDA4:VDP4"/>
    <mergeCell ref="VDQ4:VEF4"/>
    <mergeCell ref="VEG4:VEV4"/>
    <mergeCell ref="UYS4:UZH4"/>
    <mergeCell ref="UZI4:UZX4"/>
    <mergeCell ref="VOC4:VOR4"/>
    <mergeCell ref="VOS4:VPH4"/>
    <mergeCell ref="VPI4:VPX4"/>
    <mergeCell ref="VPY4:VQN4"/>
    <mergeCell ref="VQO4:VRD4"/>
    <mergeCell ref="VLA4:VLP4"/>
    <mergeCell ref="VLQ4:VMF4"/>
    <mergeCell ref="VMG4:VMV4"/>
    <mergeCell ref="VMW4:VNL4"/>
    <mergeCell ref="VNM4:VOB4"/>
    <mergeCell ref="VHY4:VIN4"/>
  </mergeCells>
  <conditionalFormatting sqref="I8:I53">
    <cfRule type="cellIs" dxfId="40" priority="28" stopIfTrue="1" operator="lessThan">
      <formula>50</formula>
    </cfRule>
  </conditionalFormatting>
  <conditionalFormatting sqref="P8:P12 P14:P15 P17 P19:P27 P29:P30 P33:P44 P46 P48:P52">
    <cfRule type="cellIs" dxfId="39" priority="10" stopIfTrue="1" operator="greaterThan">
      <formula>1.8</formula>
    </cfRule>
  </conditionalFormatting>
  <conditionalFormatting sqref="R9">
    <cfRule type="cellIs" dxfId="38" priority="9" operator="greaterThan">
      <formula>1.8</formula>
    </cfRule>
  </conditionalFormatting>
  <conditionalFormatting sqref="R11">
    <cfRule type="cellIs" dxfId="37" priority="8" operator="greaterThan">
      <formula>1.8</formula>
    </cfRule>
  </conditionalFormatting>
  <conditionalFormatting sqref="R15">
    <cfRule type="cellIs" dxfId="36" priority="7" operator="greaterThan">
      <formula>1.8</formula>
    </cfRule>
  </conditionalFormatting>
  <conditionalFormatting sqref="R22">
    <cfRule type="cellIs" dxfId="35" priority="6" operator="greaterThan">
      <formula>1.8</formula>
    </cfRule>
  </conditionalFormatting>
  <conditionalFormatting sqref="R25">
    <cfRule type="cellIs" dxfId="34" priority="5" operator="greaterThan">
      <formula>1.8</formula>
    </cfRule>
  </conditionalFormatting>
  <conditionalFormatting sqref="R27">
    <cfRule type="cellIs" dxfId="33" priority="4" operator="greaterThan">
      <formula>1.8</formula>
    </cfRule>
  </conditionalFormatting>
  <conditionalFormatting sqref="R33">
    <cfRule type="cellIs" dxfId="32" priority="3" operator="greaterThan">
      <formula>1.8</formula>
    </cfRule>
  </conditionalFormatting>
  <conditionalFormatting sqref="R36">
    <cfRule type="cellIs" dxfId="31" priority="2" operator="greaterThan">
      <formula>1.8</formula>
    </cfRule>
  </conditionalFormatting>
  <conditionalFormatting sqref="R41">
    <cfRule type="cellIs" dxfId="30" priority="1" operator="greaterThan">
      <formula>1.8</formula>
    </cfRule>
  </conditionalFormatting>
  <pageMargins left="0.25" right="0.25" top="0.75" bottom="0.75" header="0.3" footer="0.3"/>
  <pageSetup scale="58" orientation="landscape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indexed="11"/>
    <pageSetUpPr fitToPage="1"/>
  </sheetPr>
  <dimension ref="B1:T127"/>
  <sheetViews>
    <sheetView topLeftCell="A4" zoomScale="80" zoomScaleNormal="80" zoomScaleSheetLayoutView="80" workbookViewId="0">
      <pane xSplit="2" ySplit="4" topLeftCell="D49" activePane="bottomRight" state="frozen"/>
      <selection activeCell="A4" sqref="A4"/>
      <selection pane="topRight" activeCell="B4" sqref="B4"/>
      <selection pane="bottomLeft" activeCell="A8" sqref="A8"/>
      <selection pane="bottomRight" activeCell="R64" sqref="R64"/>
    </sheetView>
  </sheetViews>
  <sheetFormatPr defaultRowHeight="13.2"/>
  <cols>
    <col min="1" max="1" width="2.44140625" customWidth="1"/>
    <col min="2" max="2" width="9.109375" style="1" customWidth="1"/>
    <col min="3" max="3" width="7" style="1" customWidth="1"/>
    <col min="4" max="4" width="56.109375" style="31" customWidth="1"/>
    <col min="5" max="5" width="13" style="1" customWidth="1"/>
    <col min="6" max="6" width="11" style="23" bestFit="1" customWidth="1"/>
    <col min="7" max="7" width="15.44140625" customWidth="1"/>
    <col min="8" max="8" width="13.5546875" customWidth="1"/>
    <col min="9" max="9" width="10.5546875" style="7" customWidth="1"/>
    <col min="10" max="10" width="11" style="7" customWidth="1"/>
    <col min="11" max="11" width="13.109375" style="7" customWidth="1"/>
    <col min="12" max="12" width="14" style="7" customWidth="1"/>
    <col min="13" max="13" width="16.88671875" style="7" customWidth="1"/>
    <col min="14" max="14" width="16.5546875" style="7" customWidth="1"/>
    <col min="15" max="15" width="9.44140625" style="7" customWidth="1"/>
    <col min="16" max="16" width="18.33203125" style="25" customWidth="1"/>
    <col min="17" max="17" width="12.109375" style="6" customWidth="1"/>
    <col min="18" max="18" width="11" customWidth="1"/>
    <col min="21" max="21" width="20.88671875" customWidth="1"/>
    <col min="22" max="22" width="13.5546875" customWidth="1"/>
    <col min="23" max="23" width="15.88671875" customWidth="1"/>
    <col min="24" max="24" width="10.5546875" customWidth="1"/>
  </cols>
  <sheetData>
    <row r="1" spans="2:20" ht="25.8">
      <c r="B1" s="324" t="s">
        <v>0</v>
      </c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</row>
    <row r="3" spans="2:20" ht="23.4">
      <c r="B3" s="325" t="s">
        <v>1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</row>
    <row r="4" spans="2:20" ht="21" thickBot="1">
      <c r="B4" s="326">
        <v>45931</v>
      </c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</row>
    <row r="5" spans="2:20" ht="16.8" thickTop="1" thickBot="1">
      <c r="B5" s="2" t="s">
        <v>2</v>
      </c>
      <c r="C5" s="2" t="s">
        <v>3</v>
      </c>
      <c r="D5" s="26" t="s">
        <v>4</v>
      </c>
      <c r="E5" s="2" t="s">
        <v>128</v>
      </c>
      <c r="F5" s="19" t="s">
        <v>12</v>
      </c>
      <c r="G5" s="2" t="s">
        <v>5</v>
      </c>
      <c r="H5" s="2" t="s">
        <v>13</v>
      </c>
      <c r="I5" s="327" t="s">
        <v>26</v>
      </c>
      <c r="J5" s="2" t="s">
        <v>18</v>
      </c>
      <c r="K5" s="2" t="s">
        <v>6</v>
      </c>
      <c r="L5" s="330" t="s">
        <v>22</v>
      </c>
      <c r="M5" s="333" t="s">
        <v>24</v>
      </c>
      <c r="N5" s="333" t="s">
        <v>25</v>
      </c>
      <c r="O5" s="333" t="s">
        <v>23</v>
      </c>
      <c r="P5" s="19" t="s">
        <v>6</v>
      </c>
      <c r="Q5" s="4" t="s">
        <v>9</v>
      </c>
      <c r="R5" s="2" t="s">
        <v>20</v>
      </c>
    </row>
    <row r="6" spans="2:20" ht="16.5" customHeight="1" thickTop="1">
      <c r="B6" s="8"/>
      <c r="C6" s="8"/>
      <c r="D6" s="27"/>
      <c r="E6" s="8" t="s">
        <v>11</v>
      </c>
      <c r="F6" s="20" t="s">
        <v>11</v>
      </c>
      <c r="G6" s="8" t="s">
        <v>6</v>
      </c>
      <c r="H6" s="8" t="s">
        <v>14</v>
      </c>
      <c r="I6" s="328"/>
      <c r="J6" s="8" t="s">
        <v>17</v>
      </c>
      <c r="K6" s="8" t="s">
        <v>17</v>
      </c>
      <c r="L6" s="331"/>
      <c r="M6" s="334"/>
      <c r="N6" s="334"/>
      <c r="O6" s="334"/>
      <c r="P6" s="20" t="s">
        <v>19</v>
      </c>
      <c r="Q6" s="9" t="s">
        <v>10</v>
      </c>
      <c r="R6" s="336" t="s">
        <v>21</v>
      </c>
    </row>
    <row r="7" spans="2:20" ht="16.2" thickBot="1">
      <c r="B7" s="10"/>
      <c r="C7" s="10"/>
      <c r="D7" s="28"/>
      <c r="E7" s="8"/>
      <c r="F7" s="21" t="s">
        <v>15</v>
      </c>
      <c r="G7" s="10"/>
      <c r="H7" s="10" t="s">
        <v>16</v>
      </c>
      <c r="I7" s="329"/>
      <c r="J7" s="10"/>
      <c r="K7" s="10"/>
      <c r="L7" s="332"/>
      <c r="M7" s="335"/>
      <c r="N7" s="335"/>
      <c r="O7" s="335"/>
      <c r="P7" s="20"/>
      <c r="Q7" s="11"/>
      <c r="R7" s="337"/>
    </row>
    <row r="8" spans="2:20" ht="15.6">
      <c r="B8" s="59">
        <v>45931</v>
      </c>
      <c r="C8" s="48">
        <v>1</v>
      </c>
      <c r="D8" s="29" t="s">
        <v>50</v>
      </c>
      <c r="E8" s="354">
        <v>1405</v>
      </c>
      <c r="F8" s="387">
        <f>[3]Oct!$N79</f>
        <v>367</v>
      </c>
      <c r="G8" s="17">
        <v>1512</v>
      </c>
      <c r="H8" s="389">
        <f>(G8+G9)*24/(F8/60)/17000*100</f>
        <v>47.82304856547524</v>
      </c>
      <c r="I8" s="54"/>
      <c r="J8" s="389">
        <f>SUM(98.3,40.1)</f>
        <v>138.4</v>
      </c>
      <c r="K8" s="389">
        <f>(G8+G9)*0.066</f>
        <v>136.75200000000001</v>
      </c>
      <c r="L8" s="389">
        <f t="shared" ref="L8" si="0">J8-K8</f>
        <v>1.6479999999999961</v>
      </c>
      <c r="M8" s="54">
        <f>[3]Oct!$AD8</f>
        <v>135</v>
      </c>
      <c r="N8" s="54">
        <v>6</v>
      </c>
      <c r="O8" s="54"/>
      <c r="P8" s="318">
        <f t="shared" ref="P8" si="1">(J8-K8)/J8*100</f>
        <v>1.1907514450867023</v>
      </c>
      <c r="Q8" s="388">
        <f>(G8+G9)/(F8/60)</f>
        <v>338.74659400544959</v>
      </c>
      <c r="R8" s="16"/>
    </row>
    <row r="9" spans="2:20" ht="15.6">
      <c r="B9" s="59">
        <v>45931</v>
      </c>
      <c r="C9" s="48">
        <v>1</v>
      </c>
      <c r="D9" s="29" t="s">
        <v>51</v>
      </c>
      <c r="E9" s="354"/>
      <c r="F9" s="370"/>
      <c r="G9" s="188">
        <v>560</v>
      </c>
      <c r="H9" s="318"/>
      <c r="I9" s="54"/>
      <c r="J9" s="318"/>
      <c r="K9" s="318"/>
      <c r="L9" s="318"/>
      <c r="M9" s="54">
        <f>[3]Oct!$AD9</f>
        <v>5</v>
      </c>
      <c r="N9" s="54"/>
      <c r="O9" s="54"/>
      <c r="P9" s="318"/>
      <c r="Q9" s="319"/>
      <c r="R9" s="16"/>
    </row>
    <row r="10" spans="2:20" ht="15.6">
      <c r="B10" s="59">
        <v>45931</v>
      </c>
      <c r="C10" s="48">
        <v>1</v>
      </c>
      <c r="D10" s="29" t="s">
        <v>27</v>
      </c>
      <c r="E10" s="366"/>
      <c r="F10" s="39">
        <f>[3]Oct!$N81</f>
        <v>854</v>
      </c>
      <c r="G10" s="17">
        <v>6952</v>
      </c>
      <c r="H10" s="53">
        <f t="shared" ref="H10:H23" si="2">(G10)*24/(F10/60)/17000*100</f>
        <v>68.954952472792399</v>
      </c>
      <c r="I10" s="54"/>
      <c r="J10" s="53">
        <f>SUM(93.7,100,90,97,91)</f>
        <v>471.7</v>
      </c>
      <c r="K10" s="53">
        <f>(G10)*0.066+(15*0.19)</f>
        <v>461.68200000000002</v>
      </c>
      <c r="L10" s="53">
        <f t="shared" ref="L10:L31" si="3">J10-K10</f>
        <v>10.017999999999972</v>
      </c>
      <c r="M10" s="54">
        <f>[3]Oct!$AD10</f>
        <v>279</v>
      </c>
      <c r="N10" s="54">
        <f>12+25+3</f>
        <v>40</v>
      </c>
      <c r="O10" s="54">
        <v>15</v>
      </c>
      <c r="P10" s="53">
        <f t="shared" ref="P10:P29" si="4">(J10-K10)/J10*100</f>
        <v>2.1238075047699754</v>
      </c>
      <c r="Q10" s="54">
        <f>(G10)/((F10+F11)/60)</f>
        <v>456.36761487964992</v>
      </c>
      <c r="R10" s="16"/>
      <c r="S10" s="37"/>
      <c r="T10" s="6"/>
    </row>
    <row r="11" spans="2:20" s="304" customFormat="1" ht="15.6">
      <c r="B11" s="196">
        <v>45932</v>
      </c>
      <c r="C11" s="197">
        <v>1</v>
      </c>
      <c r="D11" s="198" t="s">
        <v>122</v>
      </c>
      <c r="E11" s="365">
        <v>1440</v>
      </c>
      <c r="F11" s="192">
        <f>[3]Oct!$N82</f>
        <v>60</v>
      </c>
      <c r="G11" s="188">
        <v>0</v>
      </c>
      <c r="H11" s="187"/>
      <c r="I11" s="193"/>
      <c r="J11" s="187"/>
      <c r="K11" s="187"/>
      <c r="L11" s="187"/>
      <c r="M11" s="193">
        <f>[3]Oct!$AD11</f>
        <v>14</v>
      </c>
      <c r="N11" s="193"/>
      <c r="O11" s="193"/>
      <c r="P11" s="187"/>
      <c r="Q11" s="193"/>
      <c r="R11" s="245"/>
      <c r="S11" s="302"/>
      <c r="T11" s="303"/>
    </row>
    <row r="12" spans="2:20" ht="15.6">
      <c r="B12" s="59">
        <v>45932</v>
      </c>
      <c r="C12" s="48">
        <v>2</v>
      </c>
      <c r="D12" s="29" t="s">
        <v>62</v>
      </c>
      <c r="E12" s="354"/>
      <c r="F12" s="39">
        <f>[3]Oct!$N83</f>
        <v>912</v>
      </c>
      <c r="G12" s="17">
        <v>7513</v>
      </c>
      <c r="H12" s="53">
        <f t="shared" si="2"/>
        <v>69.780185758513937</v>
      </c>
      <c r="I12" s="54"/>
      <c r="J12" s="53">
        <f>SUM(100,98,103.1,98,107.4)</f>
        <v>506.5</v>
      </c>
      <c r="K12" s="53">
        <f>(G12)*0.066</f>
        <v>495.858</v>
      </c>
      <c r="L12" s="53">
        <f t="shared" si="3"/>
        <v>10.641999999999996</v>
      </c>
      <c r="M12" s="54">
        <f>[3]Oct!$AD12</f>
        <v>191</v>
      </c>
      <c r="N12" s="54">
        <f>3+7+3</f>
        <v>13</v>
      </c>
      <c r="O12" s="54"/>
      <c r="P12" s="53">
        <f t="shared" si="4"/>
        <v>2.1010858835143131</v>
      </c>
      <c r="Q12" s="54">
        <f t="shared" ref="Q12:Q29" si="5">(G12)/(F12/60)</f>
        <v>494.2763157894737</v>
      </c>
      <c r="R12" s="16"/>
      <c r="S12" s="37"/>
      <c r="T12" s="6"/>
    </row>
    <row r="13" spans="2:20" ht="15.6">
      <c r="B13" s="59">
        <v>45932</v>
      </c>
      <c r="C13" s="48">
        <v>2</v>
      </c>
      <c r="D13" s="29" t="s">
        <v>49</v>
      </c>
      <c r="E13" s="366"/>
      <c r="F13" s="39">
        <f>[3]Oct!$N84</f>
        <v>286</v>
      </c>
      <c r="G13" s="17">
        <v>2335</v>
      </c>
      <c r="H13" s="53">
        <f t="shared" si="2"/>
        <v>69.156725627313861</v>
      </c>
      <c r="I13" s="54">
        <v>12</v>
      </c>
      <c r="J13" s="53">
        <f>94+(95.1-(35*0.19))-22.8</f>
        <v>159.64999999999998</v>
      </c>
      <c r="K13" s="53">
        <f>(G13)*0.066</f>
        <v>154.11000000000001</v>
      </c>
      <c r="L13" s="53">
        <f t="shared" si="3"/>
        <v>5.5399999999999636</v>
      </c>
      <c r="M13" s="54">
        <f>[3]Oct!$AD13</f>
        <v>98</v>
      </c>
      <c r="N13" s="54"/>
      <c r="O13" s="54">
        <v>35</v>
      </c>
      <c r="P13" s="53">
        <f t="shared" si="4"/>
        <v>3.4700908236767707</v>
      </c>
      <c r="Q13" s="54">
        <f t="shared" si="5"/>
        <v>489.86013986013984</v>
      </c>
      <c r="R13" s="322">
        <f>((J15+J13+J14)-(K13+K15+K14))/(J15+J13+J14)*100</f>
        <v>2.3661453541858202</v>
      </c>
      <c r="S13" s="37"/>
      <c r="T13" s="6"/>
    </row>
    <row r="14" spans="2:20" ht="15.6">
      <c r="B14" s="59">
        <v>45933</v>
      </c>
      <c r="C14" s="48">
        <v>3</v>
      </c>
      <c r="D14" s="29" t="s">
        <v>49</v>
      </c>
      <c r="E14" s="365">
        <v>1210</v>
      </c>
      <c r="F14" s="39">
        <f>[3]Oct!$N85</f>
        <v>208</v>
      </c>
      <c r="G14" s="17">
        <v>1811</v>
      </c>
      <c r="H14" s="53">
        <f t="shared" si="2"/>
        <v>73.751131221719447</v>
      </c>
      <c r="I14" s="54">
        <v>144</v>
      </c>
      <c r="J14" s="53">
        <f>SUM(22.8,100)</f>
        <v>122.8</v>
      </c>
      <c r="K14" s="53">
        <f>(G14)*0.066</f>
        <v>119.52600000000001</v>
      </c>
      <c r="L14" s="53">
        <f t="shared" si="3"/>
        <v>3.2739999999999867</v>
      </c>
      <c r="M14" s="54">
        <f>[3]Oct!$AD14</f>
        <v>39</v>
      </c>
      <c r="N14" s="54">
        <v>12</v>
      </c>
      <c r="O14" s="54"/>
      <c r="P14" s="53">
        <f>(J14-K14)/J14*100</f>
        <v>2.6661237785016176</v>
      </c>
      <c r="Q14" s="54">
        <f>(G14)/(F14/60)</f>
        <v>522.40384615384619</v>
      </c>
      <c r="R14" s="322"/>
      <c r="S14" s="37"/>
      <c r="T14" s="6"/>
    </row>
    <row r="15" spans="2:20" ht="15.6">
      <c r="B15" s="59">
        <v>45933</v>
      </c>
      <c r="C15" s="48">
        <v>3</v>
      </c>
      <c r="D15" s="29" t="s">
        <v>121</v>
      </c>
      <c r="E15" s="354"/>
      <c r="F15" s="39">
        <f>[3]Oct!$N86</f>
        <v>336</v>
      </c>
      <c r="G15" s="17">
        <v>1482</v>
      </c>
      <c r="H15" s="53">
        <f t="shared" si="2"/>
        <v>37.361344537815128</v>
      </c>
      <c r="I15" s="49"/>
      <c r="J15" s="53">
        <v>98</v>
      </c>
      <c r="K15" s="53">
        <f t="shared" ref="K15:K17" si="6">(G15)*0.066</f>
        <v>97.811999999999998</v>
      </c>
      <c r="L15" s="53">
        <f t="shared" si="3"/>
        <v>0.18800000000000239</v>
      </c>
      <c r="M15" s="54">
        <f>[3]Oct!$AD15</f>
        <v>189</v>
      </c>
      <c r="N15" s="54">
        <v>15</v>
      </c>
      <c r="O15" s="54"/>
      <c r="P15" s="53">
        <f t="shared" si="4"/>
        <v>0.19183673469387999</v>
      </c>
      <c r="Q15" s="54">
        <f t="shared" si="5"/>
        <v>264.64285714285717</v>
      </c>
      <c r="R15" s="322"/>
      <c r="S15" s="37"/>
      <c r="T15" s="6"/>
    </row>
    <row r="16" spans="2:20" ht="15.6">
      <c r="B16" s="59">
        <v>45933</v>
      </c>
      <c r="C16" s="48">
        <v>3</v>
      </c>
      <c r="D16" s="29" t="s">
        <v>88</v>
      </c>
      <c r="E16" s="366"/>
      <c r="F16" s="39">
        <f>[3]Oct!$N87</f>
        <v>245</v>
      </c>
      <c r="G16" s="17">
        <v>1184</v>
      </c>
      <c r="H16" s="53">
        <f t="shared" si="2"/>
        <v>40.935414165666266</v>
      </c>
      <c r="I16" s="54">
        <v>274</v>
      </c>
      <c r="J16" s="53">
        <f>K16*1.02</f>
        <v>79.706880000000012</v>
      </c>
      <c r="K16" s="53">
        <f t="shared" si="6"/>
        <v>78.144000000000005</v>
      </c>
      <c r="L16" s="53">
        <f t="shared" si="3"/>
        <v>1.5628800000000069</v>
      </c>
      <c r="M16" s="54">
        <f>[3]Oct!$AD16</f>
        <v>368</v>
      </c>
      <c r="N16" s="54">
        <v>12</v>
      </c>
      <c r="O16" s="54"/>
      <c r="P16" s="53">
        <f t="shared" si="4"/>
        <v>1.9607843137254986</v>
      </c>
      <c r="Q16" s="54">
        <f t="shared" si="5"/>
        <v>289.9591836734694</v>
      </c>
      <c r="R16" s="321">
        <f>((J17+J16)-(K17+K16))/(J17+J16)*100</f>
        <v>1.9607843137254943</v>
      </c>
      <c r="S16" s="37"/>
      <c r="T16" s="6"/>
    </row>
    <row r="17" spans="2:20" ht="15.6">
      <c r="B17" s="59">
        <v>45936</v>
      </c>
      <c r="C17" s="48">
        <v>4</v>
      </c>
      <c r="D17" s="29" t="s">
        <v>88</v>
      </c>
      <c r="E17" s="365">
        <v>847</v>
      </c>
      <c r="F17" s="39">
        <f>[3]Oct!$N88</f>
        <v>344</v>
      </c>
      <c r="G17" s="17">
        <v>2354</v>
      </c>
      <c r="H17" s="53">
        <f t="shared" si="2"/>
        <v>57.964432284541722</v>
      </c>
      <c r="I17" s="54"/>
      <c r="J17" s="53">
        <f>K17*1.02</f>
        <v>158.47128000000001</v>
      </c>
      <c r="K17" s="53">
        <f t="shared" si="6"/>
        <v>155.364</v>
      </c>
      <c r="L17" s="53">
        <f t="shared" si="3"/>
        <v>3.1072800000000029</v>
      </c>
      <c r="M17" s="54">
        <f>[3]Oct!$AD17</f>
        <v>296</v>
      </c>
      <c r="N17" s="54">
        <v>4</v>
      </c>
      <c r="O17" s="54"/>
      <c r="P17" s="53">
        <f t="shared" si="4"/>
        <v>1.9607843137254919</v>
      </c>
      <c r="Q17" s="54">
        <f t="shared" si="5"/>
        <v>410.58139534883719</v>
      </c>
      <c r="R17" s="321"/>
      <c r="S17" s="37"/>
      <c r="T17" s="6"/>
    </row>
    <row r="18" spans="2:20" ht="15.6">
      <c r="B18" s="59">
        <v>45936</v>
      </c>
      <c r="C18" s="48">
        <v>4</v>
      </c>
      <c r="D18" s="29" t="s">
        <v>27</v>
      </c>
      <c r="E18" s="366"/>
      <c r="F18" s="39">
        <f>[3]Oct!$N89</f>
        <v>181</v>
      </c>
      <c r="G18" s="17">
        <v>1540</v>
      </c>
      <c r="H18" s="53">
        <f t="shared" si="2"/>
        <v>72.070198245043883</v>
      </c>
      <c r="I18" s="49"/>
      <c r="J18" s="53">
        <f>SUM(96,96.8)-89</f>
        <v>103.80000000000001</v>
      </c>
      <c r="K18" s="53">
        <f t="shared" ref="K18" si="7">(G18)*0.066</f>
        <v>101.64</v>
      </c>
      <c r="L18" s="53">
        <f t="shared" si="3"/>
        <v>2.1600000000000108</v>
      </c>
      <c r="M18" s="54">
        <f>[3]Oct!$AD18</f>
        <v>90</v>
      </c>
      <c r="N18" s="54">
        <v>6</v>
      </c>
      <c r="O18" s="54"/>
      <c r="P18" s="53">
        <f t="shared" si="4"/>
        <v>2.0809248554913395</v>
      </c>
      <c r="Q18" s="54">
        <f t="shared" si="5"/>
        <v>510.49723756906076</v>
      </c>
      <c r="R18" s="381">
        <f>((J19+J18)-(K19+K18))/(J19+J18)*100</f>
        <v>2.0954356846473137</v>
      </c>
      <c r="S18" s="37"/>
      <c r="T18" s="6"/>
    </row>
    <row r="19" spans="2:20" ht="15.6">
      <c r="B19" s="59">
        <v>45937</v>
      </c>
      <c r="C19" s="48">
        <v>5</v>
      </c>
      <c r="D19" s="29" t="s">
        <v>27</v>
      </c>
      <c r="E19" s="365">
        <v>839</v>
      </c>
      <c r="F19" s="39">
        <f>[3]Oct!$N90</f>
        <v>146</v>
      </c>
      <c r="G19" s="17">
        <v>1320</v>
      </c>
      <c r="H19" s="53">
        <f t="shared" si="2"/>
        <v>76.583400483481071</v>
      </c>
      <c r="I19" s="49"/>
      <c r="J19" s="53">
        <v>89</v>
      </c>
      <c r="K19" s="53">
        <f t="shared" ref="K19:K41" si="8">(G19)*0.066</f>
        <v>87.12</v>
      </c>
      <c r="L19" s="53">
        <f t="shared" si="3"/>
        <v>1.8799999999999955</v>
      </c>
      <c r="M19" s="54">
        <f>[3]Oct!$AD19</f>
        <v>106</v>
      </c>
      <c r="N19" s="54">
        <v>11</v>
      </c>
      <c r="O19" s="54"/>
      <c r="P19" s="53">
        <f t="shared" si="4"/>
        <v>2.1123595505617927</v>
      </c>
      <c r="Q19" s="54">
        <f t="shared" si="5"/>
        <v>542.46575342465758</v>
      </c>
      <c r="R19" s="381"/>
      <c r="S19" s="37"/>
      <c r="T19" s="6"/>
    </row>
    <row r="20" spans="2:20" ht="15.6">
      <c r="B20" s="59">
        <v>45937</v>
      </c>
      <c r="C20" s="48">
        <v>5</v>
      </c>
      <c r="D20" s="29" t="s">
        <v>49</v>
      </c>
      <c r="E20" s="366"/>
      <c r="F20" s="39">
        <f>[3]Oct!$N91</f>
        <v>616</v>
      </c>
      <c r="G20" s="17">
        <v>3225</v>
      </c>
      <c r="H20" s="53">
        <f t="shared" si="2"/>
        <v>44.346829640947284</v>
      </c>
      <c r="I20" s="54"/>
      <c r="J20" s="53">
        <f>SUM(79.5,99.4,98.9,102)-82.2-79</f>
        <v>218.60000000000002</v>
      </c>
      <c r="K20" s="53">
        <f t="shared" si="8"/>
        <v>212.85000000000002</v>
      </c>
      <c r="L20" s="53">
        <f t="shared" si="3"/>
        <v>5.75</v>
      </c>
      <c r="M20" s="54">
        <f>[3]Oct!$AD20</f>
        <v>286</v>
      </c>
      <c r="N20" s="54">
        <v>17</v>
      </c>
      <c r="O20" s="54"/>
      <c r="P20" s="53">
        <f t="shared" si="4"/>
        <v>2.6303751143641354</v>
      </c>
      <c r="Q20" s="54">
        <f t="shared" si="5"/>
        <v>314.1233766233766</v>
      </c>
      <c r="R20" s="323">
        <f>((J21+J20)-(K21+K20))/(J21+J20)*100</f>
        <v>2.1476725521669393</v>
      </c>
      <c r="S20" s="37"/>
      <c r="T20" s="6"/>
    </row>
    <row r="21" spans="2:20" ht="15.6">
      <c r="B21" s="59">
        <v>45938</v>
      </c>
      <c r="C21" s="48">
        <v>6</v>
      </c>
      <c r="D21" s="29" t="s">
        <v>49</v>
      </c>
      <c r="E21" s="365">
        <v>850</v>
      </c>
      <c r="F21" s="39">
        <f>[3]Oct!$N92</f>
        <v>585</v>
      </c>
      <c r="G21" s="17">
        <v>5088</v>
      </c>
      <c r="H21" s="53">
        <f t="shared" si="2"/>
        <v>73.672398190045243</v>
      </c>
      <c r="I21" s="49"/>
      <c r="J21" s="53">
        <f>SUM(82.2,79,81.9,99)</f>
        <v>342.1</v>
      </c>
      <c r="K21" s="53">
        <f t="shared" si="8"/>
        <v>335.80799999999999</v>
      </c>
      <c r="L21" s="53">
        <f t="shared" si="3"/>
        <v>6.29200000000003</v>
      </c>
      <c r="M21" s="54">
        <f>[3]Oct!$AD21</f>
        <v>101</v>
      </c>
      <c r="N21" s="54">
        <f>12+11</f>
        <v>23</v>
      </c>
      <c r="O21" s="54"/>
      <c r="P21" s="53">
        <f t="shared" si="4"/>
        <v>1.8392282958199442</v>
      </c>
      <c r="Q21" s="54">
        <f t="shared" si="5"/>
        <v>521.84615384615381</v>
      </c>
      <c r="R21" s="323"/>
      <c r="S21" s="37"/>
      <c r="T21" s="6"/>
    </row>
    <row r="22" spans="2:20" ht="15.6">
      <c r="B22" s="59">
        <v>45938</v>
      </c>
      <c r="C22" s="48">
        <v>6</v>
      </c>
      <c r="D22" s="29" t="s">
        <v>45</v>
      </c>
      <c r="E22" s="366"/>
      <c r="F22" s="39">
        <f>[3]Oct!$N93</f>
        <v>163</v>
      </c>
      <c r="G22" s="17">
        <v>1100</v>
      </c>
      <c r="H22" s="53">
        <f t="shared" si="2"/>
        <v>57.163478888487909</v>
      </c>
      <c r="I22" s="54"/>
      <c r="J22" s="53">
        <f>SUM(93.9,93)-58.5-54.1</f>
        <v>74.300000000000011</v>
      </c>
      <c r="K22" s="53">
        <f>(G22)*0.066</f>
        <v>72.600000000000009</v>
      </c>
      <c r="L22" s="53">
        <f t="shared" si="3"/>
        <v>1.7000000000000028</v>
      </c>
      <c r="M22" s="54">
        <f>[3]Oct!$AD22</f>
        <v>102</v>
      </c>
      <c r="N22" s="54">
        <v>8</v>
      </c>
      <c r="O22" s="54"/>
      <c r="P22" s="53">
        <f t="shared" si="4"/>
        <v>2.2880215343203263</v>
      </c>
      <c r="Q22" s="54">
        <f t="shared" si="5"/>
        <v>404.90797546012266</v>
      </c>
      <c r="R22" s="391">
        <f>((J23+J22)-(K23+K22))/(J23+J22)*100</f>
        <v>1.300160513643648</v>
      </c>
      <c r="S22" s="37"/>
      <c r="T22" s="6"/>
    </row>
    <row r="23" spans="2:20" ht="15.6">
      <c r="B23" s="59">
        <v>45939</v>
      </c>
      <c r="C23" s="48">
        <v>7</v>
      </c>
      <c r="D23" s="29" t="s">
        <v>45</v>
      </c>
      <c r="E23" s="365">
        <v>846</v>
      </c>
      <c r="F23" s="39">
        <f>[3]Oct!$N94</f>
        <v>248</v>
      </c>
      <c r="G23" s="17">
        <v>1695</v>
      </c>
      <c r="H23" s="53">
        <f t="shared" si="2"/>
        <v>57.893738140417447</v>
      </c>
      <c r="I23" s="54"/>
      <c r="J23" s="53">
        <f>SUM(58.5,54.1)</f>
        <v>112.6</v>
      </c>
      <c r="K23" s="53">
        <f t="shared" si="8"/>
        <v>111.87</v>
      </c>
      <c r="L23" s="53">
        <f t="shared" si="3"/>
        <v>0.72999999999998977</v>
      </c>
      <c r="M23" s="54">
        <f>[3]Oct!$AD23</f>
        <v>127</v>
      </c>
      <c r="N23" s="54">
        <v>17</v>
      </c>
      <c r="O23" s="54"/>
      <c r="P23" s="53">
        <f t="shared" si="4"/>
        <v>0.64831261101242432</v>
      </c>
      <c r="Q23" s="54">
        <f t="shared" si="5"/>
        <v>410.08064516129031</v>
      </c>
      <c r="R23" s="391"/>
      <c r="S23" s="37"/>
      <c r="T23" s="6"/>
    </row>
    <row r="24" spans="2:20" ht="15.6">
      <c r="B24" s="59">
        <v>45939</v>
      </c>
      <c r="C24" s="48">
        <v>7</v>
      </c>
      <c r="D24" s="29" t="s">
        <v>125</v>
      </c>
      <c r="E24" s="366"/>
      <c r="F24" s="39">
        <f>[3]Oct!$N95</f>
        <v>208</v>
      </c>
      <c r="G24" s="17">
        <v>1293</v>
      </c>
      <c r="H24" s="53">
        <f t="shared" ref="H24:H46" si="9">(G24)*24/(F24/60)/17000*100</f>
        <v>52.656108597285069</v>
      </c>
      <c r="I24" s="54"/>
      <c r="J24" s="53">
        <f>K24*1.02</f>
        <v>87.044760000000011</v>
      </c>
      <c r="K24" s="53">
        <f t="shared" si="8"/>
        <v>85.338000000000008</v>
      </c>
      <c r="L24" s="53">
        <f t="shared" si="3"/>
        <v>1.7067600000000027</v>
      </c>
      <c r="M24" s="54">
        <f>[3]Oct!$AD24</f>
        <v>354</v>
      </c>
      <c r="N24" s="54">
        <v>30</v>
      </c>
      <c r="O24" s="54"/>
      <c r="P24" s="53">
        <f t="shared" si="4"/>
        <v>1.960784313725493</v>
      </c>
      <c r="Q24" s="54">
        <f t="shared" si="5"/>
        <v>372.98076923076923</v>
      </c>
      <c r="R24" s="16"/>
      <c r="S24" s="37"/>
      <c r="T24" s="6"/>
    </row>
    <row r="25" spans="2:20" ht="15.6">
      <c r="B25" s="59">
        <v>45940</v>
      </c>
      <c r="C25" s="48">
        <v>8</v>
      </c>
      <c r="D25" s="29" t="s">
        <v>123</v>
      </c>
      <c r="E25" s="365">
        <v>732</v>
      </c>
      <c r="F25" s="39">
        <f>[3]Oct!$N96</f>
        <v>244</v>
      </c>
      <c r="G25" s="17">
        <v>1203</v>
      </c>
      <c r="H25" s="53">
        <f t="shared" si="9"/>
        <v>41.762777242044358</v>
      </c>
      <c r="I25" s="54"/>
      <c r="J25" s="53">
        <f>K25*1.02</f>
        <v>80.985960000000006</v>
      </c>
      <c r="K25" s="53">
        <f t="shared" si="8"/>
        <v>79.39800000000001</v>
      </c>
      <c r="L25" s="53">
        <f t="shared" si="3"/>
        <v>1.5879599999999954</v>
      </c>
      <c r="M25" s="54">
        <f>[3]Oct!$AD25</f>
        <v>206</v>
      </c>
      <c r="N25" s="54">
        <v>52</v>
      </c>
      <c r="O25" s="54"/>
      <c r="P25" s="53">
        <f t="shared" si="4"/>
        <v>1.9607843137254843</v>
      </c>
      <c r="Q25" s="54">
        <f t="shared" si="5"/>
        <v>295.81967213114757</v>
      </c>
      <c r="R25" s="16"/>
      <c r="S25" s="37"/>
      <c r="T25" s="6"/>
    </row>
    <row r="26" spans="2:20" ht="15.6">
      <c r="B26" s="59">
        <v>45940</v>
      </c>
      <c r="C26" s="48">
        <v>8</v>
      </c>
      <c r="D26" s="29" t="s">
        <v>126</v>
      </c>
      <c r="E26" s="366"/>
      <c r="F26" s="39">
        <f>[3]Oct!$N97</f>
        <v>189</v>
      </c>
      <c r="G26" s="17">
        <v>1386</v>
      </c>
      <c r="H26" s="53">
        <f t="shared" si="9"/>
        <v>62.117647058823536</v>
      </c>
      <c r="I26" s="54"/>
      <c r="J26" s="53">
        <f>K26*1.02</f>
        <v>93.305520000000001</v>
      </c>
      <c r="K26" s="53">
        <f t="shared" si="8"/>
        <v>91.475999999999999</v>
      </c>
      <c r="L26" s="53">
        <f t="shared" si="3"/>
        <v>1.8295200000000023</v>
      </c>
      <c r="M26" s="54">
        <f>[3]Oct!$AD26</f>
        <v>202</v>
      </c>
      <c r="N26" s="54">
        <v>10</v>
      </c>
      <c r="O26" s="54"/>
      <c r="P26" s="53">
        <f t="shared" si="4"/>
        <v>1.9607843137254926</v>
      </c>
      <c r="Q26" s="54">
        <f t="shared" si="5"/>
        <v>440</v>
      </c>
      <c r="R26" s="16"/>
      <c r="S26" s="37"/>
      <c r="T26" s="6"/>
    </row>
    <row r="27" spans="2:20" ht="15.6">
      <c r="B27" s="59">
        <v>45943</v>
      </c>
      <c r="C27" s="48">
        <v>9</v>
      </c>
      <c r="D27" s="29" t="s">
        <v>124</v>
      </c>
      <c r="E27" s="147">
        <v>1380</v>
      </c>
      <c r="F27" s="39">
        <f>[3]Oct!$N98</f>
        <v>210</v>
      </c>
      <c r="G27" s="17">
        <v>984</v>
      </c>
      <c r="H27" s="53">
        <f t="shared" si="9"/>
        <v>39.69075630252101</v>
      </c>
      <c r="I27" s="49"/>
      <c r="J27" s="53">
        <f>K27*1.02</f>
        <v>66.24288</v>
      </c>
      <c r="K27" s="53">
        <f t="shared" si="8"/>
        <v>64.944000000000003</v>
      </c>
      <c r="L27" s="53">
        <f t="shared" si="3"/>
        <v>1.2988799999999969</v>
      </c>
      <c r="M27" s="54">
        <f>[3]Oct!$AD27</f>
        <v>1198</v>
      </c>
      <c r="N27" s="54">
        <f>1+3</f>
        <v>4</v>
      </c>
      <c r="O27" s="54"/>
      <c r="P27" s="53">
        <f t="shared" si="4"/>
        <v>1.9607843137254857</v>
      </c>
      <c r="Q27" s="54">
        <f t="shared" si="5"/>
        <v>281.14285714285717</v>
      </c>
      <c r="R27" s="16"/>
      <c r="S27" s="37"/>
      <c r="T27" s="6"/>
    </row>
    <row r="28" spans="2:20" ht="15.6">
      <c r="B28" s="59">
        <v>45944</v>
      </c>
      <c r="C28" s="48">
        <v>10</v>
      </c>
      <c r="D28" s="29" t="s">
        <v>124</v>
      </c>
      <c r="E28" s="365">
        <v>1440</v>
      </c>
      <c r="F28" s="39">
        <f>[3]Oct!$N99</f>
        <v>74</v>
      </c>
      <c r="G28" s="17">
        <v>464</v>
      </c>
      <c r="H28" s="53">
        <f t="shared" si="9"/>
        <v>53.11287758346581</v>
      </c>
      <c r="I28" s="49"/>
      <c r="J28" s="53">
        <f>K28*1.02</f>
        <v>31.236480000000004</v>
      </c>
      <c r="K28" s="53">
        <f t="shared" ref="K28" si="10">(G28)*0.066</f>
        <v>30.624000000000002</v>
      </c>
      <c r="L28" s="53">
        <f t="shared" si="3"/>
        <v>0.61248000000000147</v>
      </c>
      <c r="M28" s="54">
        <f>[3]Oct!$AD28</f>
        <v>37</v>
      </c>
      <c r="N28" s="54">
        <v>2</v>
      </c>
      <c r="O28" s="54"/>
      <c r="P28" s="53">
        <f t="shared" ref="P28" si="11">(J28-K28)/J28*100</f>
        <v>1.9607843137254948</v>
      </c>
      <c r="Q28" s="54">
        <f t="shared" ref="Q28" si="12">(G28)/(F28/60)</f>
        <v>376.2162162162162</v>
      </c>
      <c r="R28" s="16"/>
      <c r="S28" s="37"/>
      <c r="T28" s="6"/>
    </row>
    <row r="29" spans="2:20" ht="15.6">
      <c r="B29" s="59">
        <v>45944</v>
      </c>
      <c r="C29" s="48">
        <v>10</v>
      </c>
      <c r="D29" s="29" t="s">
        <v>127</v>
      </c>
      <c r="E29" s="354"/>
      <c r="F29" s="39">
        <f>[3]Oct!$N100</f>
        <v>240</v>
      </c>
      <c r="G29" s="17">
        <v>1067</v>
      </c>
      <c r="H29" s="53">
        <f t="shared" si="9"/>
        <v>37.658823529411769</v>
      </c>
      <c r="I29" s="53">
        <v>2.19</v>
      </c>
      <c r="J29" s="53">
        <f t="shared" ref="J29" si="13">K29*1.02</f>
        <v>71.830439999999996</v>
      </c>
      <c r="K29" s="53">
        <f t="shared" si="8"/>
        <v>70.421999999999997</v>
      </c>
      <c r="L29" s="53">
        <f t="shared" si="3"/>
        <v>1.4084399999999988</v>
      </c>
      <c r="M29" s="54">
        <f>[3]Oct!$AD29</f>
        <v>89</v>
      </c>
      <c r="N29" s="54">
        <f>2+5</f>
        <v>7</v>
      </c>
      <c r="O29" s="54"/>
      <c r="P29" s="53">
        <f t="shared" si="4"/>
        <v>1.9607843137254888</v>
      </c>
      <c r="Q29" s="54">
        <f t="shared" si="5"/>
        <v>266.75</v>
      </c>
      <c r="R29" s="16"/>
      <c r="S29" s="37"/>
      <c r="T29" s="6"/>
    </row>
    <row r="30" spans="2:20" ht="15.6">
      <c r="B30" s="59">
        <v>45944</v>
      </c>
      <c r="C30" s="48">
        <v>10</v>
      </c>
      <c r="D30" s="29" t="s">
        <v>27</v>
      </c>
      <c r="E30" s="366"/>
      <c r="F30" s="39">
        <f>[3]Oct!$N101</f>
        <v>765</v>
      </c>
      <c r="G30" s="17">
        <v>4041</v>
      </c>
      <c r="H30" s="53">
        <f t="shared" si="9"/>
        <v>44.744636678200692</v>
      </c>
      <c r="I30" s="54">
        <v>2</v>
      </c>
      <c r="J30" s="53">
        <f>SUM(98.2,97.9,104.4,93.9,98)-65.5-4.2-82.3-66.7</f>
        <v>273.7</v>
      </c>
      <c r="K30" s="53">
        <f t="shared" si="8"/>
        <v>266.70600000000002</v>
      </c>
      <c r="L30" s="53">
        <f t="shared" si="3"/>
        <v>6.9939999999999714</v>
      </c>
      <c r="M30" s="54">
        <f>[3]Oct!$AD30</f>
        <v>516</v>
      </c>
      <c r="N30" s="54">
        <f>14+6</f>
        <v>20</v>
      </c>
      <c r="O30" s="54"/>
      <c r="P30" s="53">
        <f t="shared" ref="P30:P42" si="14">(J30-K30)/J30*100</f>
        <v>2.5553525758129232</v>
      </c>
      <c r="Q30" s="54">
        <f>(G30)/(F30/60)</f>
        <v>316.94117647058823</v>
      </c>
      <c r="R30" s="374">
        <f>((J31+J30)-(K31+K30))/(J31+J30)*100</f>
        <v>1.4568449837634401</v>
      </c>
      <c r="S30" s="37"/>
      <c r="T30" s="6"/>
    </row>
    <row r="31" spans="2:20" ht="15.6">
      <c r="B31" s="59">
        <v>45945</v>
      </c>
      <c r="C31" s="48">
        <v>11</v>
      </c>
      <c r="D31" s="29" t="s">
        <v>27</v>
      </c>
      <c r="E31" s="365">
        <v>1437</v>
      </c>
      <c r="F31" s="39">
        <f>[3]Oct!$N102</f>
        <v>646</v>
      </c>
      <c r="G31" s="17">
        <v>4695</v>
      </c>
      <c r="H31" s="53">
        <f t="shared" si="9"/>
        <v>61.562556911309407</v>
      </c>
      <c r="I31" s="54"/>
      <c r="J31" s="53">
        <f>SUM(66.7,65.5,96.9,82.3)</f>
        <v>311.39999999999998</v>
      </c>
      <c r="K31" s="53">
        <f t="shared" si="8"/>
        <v>309.87</v>
      </c>
      <c r="L31" s="53">
        <f t="shared" si="3"/>
        <v>1.5299999999999727</v>
      </c>
      <c r="M31" s="54">
        <f>[3]Oct!$AD31</f>
        <v>141</v>
      </c>
      <c r="N31" s="54">
        <f>4+3</f>
        <v>7</v>
      </c>
      <c r="O31" s="54"/>
      <c r="P31" s="53">
        <f t="shared" si="14"/>
        <v>0.49132947976877739</v>
      </c>
      <c r="Q31" s="54">
        <f t="shared" ref="Q31:Q42" si="15">(G31)/(F31/60)</f>
        <v>436.06811145510835</v>
      </c>
      <c r="R31" s="374"/>
      <c r="S31" s="37"/>
      <c r="T31" s="6"/>
    </row>
    <row r="32" spans="2:20" ht="15.6">
      <c r="B32" s="59">
        <v>45945</v>
      </c>
      <c r="C32" s="48">
        <v>11</v>
      </c>
      <c r="D32" s="29" t="s">
        <v>68</v>
      </c>
      <c r="E32" s="366"/>
      <c r="F32" s="39">
        <f>[3]Oct!$N103</f>
        <v>209</v>
      </c>
      <c r="G32" s="17">
        <v>438</v>
      </c>
      <c r="H32" s="53">
        <f t="shared" si="9"/>
        <v>17.751759076836475</v>
      </c>
      <c r="I32" s="49"/>
      <c r="J32" s="53">
        <f>SUM(80,86)-77.5-58.9</f>
        <v>29.6</v>
      </c>
      <c r="K32" s="53">
        <f>(G32)*0.066</f>
        <v>28.908000000000001</v>
      </c>
      <c r="L32" s="53">
        <f t="shared" ref="L32:L42" si="16">J32-K32</f>
        <v>0.69200000000000017</v>
      </c>
      <c r="M32" s="54">
        <f>[3]Oct!$AD32</f>
        <v>655</v>
      </c>
      <c r="N32" s="54">
        <v>3</v>
      </c>
      <c r="O32" s="54"/>
      <c r="P32" s="53">
        <f t="shared" si="14"/>
        <v>2.3378378378378382</v>
      </c>
      <c r="Q32" s="54">
        <f t="shared" si="15"/>
        <v>125.74162679425837</v>
      </c>
      <c r="R32" s="390">
        <f>((J33+J32)-(K33+K32))/(J33+J32)*100</f>
        <v>2.4313253012048204</v>
      </c>
      <c r="S32" s="37"/>
      <c r="T32" s="6"/>
    </row>
    <row r="33" spans="2:20" ht="15.6">
      <c r="B33" s="59">
        <v>45946</v>
      </c>
      <c r="C33" s="48">
        <v>12</v>
      </c>
      <c r="D33" s="29" t="s">
        <v>68</v>
      </c>
      <c r="E33" s="365">
        <v>1408</v>
      </c>
      <c r="F33" s="39">
        <f>[3]Oct!$N104</f>
        <v>368</v>
      </c>
      <c r="G33" s="17">
        <v>2016</v>
      </c>
      <c r="H33" s="53">
        <f t="shared" si="9"/>
        <v>46.404092071611245</v>
      </c>
      <c r="I33" s="54">
        <v>32</v>
      </c>
      <c r="J33" s="53">
        <f>SUM(77.5,58.9)</f>
        <v>136.4</v>
      </c>
      <c r="K33" s="53">
        <f t="shared" si="8"/>
        <v>133.05600000000001</v>
      </c>
      <c r="L33" s="53">
        <f t="shared" si="16"/>
        <v>3.3439999999999941</v>
      </c>
      <c r="M33" s="54">
        <f>[3]Oct!$AD33</f>
        <v>314</v>
      </c>
      <c r="N33" s="54">
        <f>12+8</f>
        <v>20</v>
      </c>
      <c r="O33" s="54"/>
      <c r="P33" s="53">
        <f t="shared" si="14"/>
        <v>2.4516129032258021</v>
      </c>
      <c r="Q33" s="54">
        <f t="shared" si="15"/>
        <v>328.695652173913</v>
      </c>
      <c r="R33" s="390"/>
      <c r="S33" s="37"/>
      <c r="T33" s="6"/>
    </row>
    <row r="34" spans="2:20" ht="15.6">
      <c r="B34" s="59">
        <v>45946</v>
      </c>
      <c r="C34" s="48">
        <v>12</v>
      </c>
      <c r="D34" s="29" t="s">
        <v>72</v>
      </c>
      <c r="E34" s="366"/>
      <c r="F34" s="39">
        <f>[3]Oct!$N105</f>
        <v>748</v>
      </c>
      <c r="G34" s="17">
        <v>4326</v>
      </c>
      <c r="H34" s="53">
        <f t="shared" si="9"/>
        <v>48.988990248505822</v>
      </c>
      <c r="I34" s="54">
        <v>11</v>
      </c>
      <c r="J34" s="53">
        <f>SUM(93,67,93,98)-56.7</f>
        <v>294.3</v>
      </c>
      <c r="K34" s="53">
        <f t="shared" si="8"/>
        <v>285.51600000000002</v>
      </c>
      <c r="L34" s="53">
        <f t="shared" si="16"/>
        <v>8.7839999999999918</v>
      </c>
      <c r="M34" s="54">
        <f>[3]Oct!$AD34</f>
        <v>306</v>
      </c>
      <c r="N34" s="54">
        <f>9+8</f>
        <v>17</v>
      </c>
      <c r="O34" s="54"/>
      <c r="P34" s="53">
        <f t="shared" si="14"/>
        <v>2.9847094801223215</v>
      </c>
      <c r="Q34" s="54">
        <f t="shared" si="15"/>
        <v>347.00534759358288</v>
      </c>
      <c r="R34" s="382">
        <f>((J35+J34)-(K35+K34))/(J35+J34)*100</f>
        <v>2.9743589743589736</v>
      </c>
      <c r="S34" s="37"/>
      <c r="T34" s="6"/>
    </row>
    <row r="35" spans="2:20" ht="15.6">
      <c r="B35" s="59">
        <v>45947</v>
      </c>
      <c r="C35" s="48">
        <v>13</v>
      </c>
      <c r="D35" s="29" t="s">
        <v>72</v>
      </c>
      <c r="E35" s="365">
        <v>1255</v>
      </c>
      <c r="F35" s="39">
        <f>[3]Oct!$N106</f>
        <v>144</v>
      </c>
      <c r="G35" s="17">
        <v>834</v>
      </c>
      <c r="H35" s="53">
        <f t="shared" si="9"/>
        <v>49.058823529411768</v>
      </c>
      <c r="I35" s="54"/>
      <c r="J35" s="53">
        <v>56.7</v>
      </c>
      <c r="K35" s="53">
        <f t="shared" si="8"/>
        <v>55.044000000000004</v>
      </c>
      <c r="L35" s="53">
        <f t="shared" si="16"/>
        <v>1.6559999999999988</v>
      </c>
      <c r="M35" s="54">
        <f>[3]Oct!$AD35</f>
        <v>44</v>
      </c>
      <c r="N35" s="54">
        <v>8</v>
      </c>
      <c r="O35" s="54"/>
      <c r="P35" s="53">
        <f t="shared" si="14"/>
        <v>2.9206349206349183</v>
      </c>
      <c r="Q35" s="54">
        <f t="shared" si="15"/>
        <v>347.5</v>
      </c>
      <c r="R35" s="382"/>
      <c r="S35" s="37"/>
      <c r="T35" s="6"/>
    </row>
    <row r="36" spans="2:20" ht="15.6">
      <c r="B36" s="59">
        <v>45947</v>
      </c>
      <c r="C36" s="48">
        <v>13</v>
      </c>
      <c r="D36" s="29" t="s">
        <v>121</v>
      </c>
      <c r="E36" s="354"/>
      <c r="F36" s="39">
        <f>[3]Oct!$N107</f>
        <v>354</v>
      </c>
      <c r="G36" s="17">
        <v>1624</v>
      </c>
      <c r="H36" s="53">
        <f t="shared" si="9"/>
        <v>38.85942173479561</v>
      </c>
      <c r="I36" s="49"/>
      <c r="J36" s="318">
        <f>SUM(94.5,97.7,100,101.2,106.7)-94-104</f>
        <v>302.09999999999997</v>
      </c>
      <c r="K36" s="318">
        <f>(G36+G37+G38)*0.066</f>
        <v>295.68</v>
      </c>
      <c r="L36" s="318">
        <f t="shared" si="16"/>
        <v>6.4199999999999591</v>
      </c>
      <c r="M36" s="54">
        <f>[3]Oct!$AD36</f>
        <v>265</v>
      </c>
      <c r="N36" s="54">
        <f>4+3</f>
        <v>7</v>
      </c>
      <c r="O36" s="54"/>
      <c r="P36" s="318">
        <f>(J36-K36)/J36*100</f>
        <v>2.1251241310824098</v>
      </c>
      <c r="Q36" s="54">
        <f t="shared" si="15"/>
        <v>275.25423728813558</v>
      </c>
      <c r="R36" s="386">
        <f>((J37+J36+J39)-(K37+K36+K39))/(J37+J36+J39)*100</f>
        <v>1.8320292123108732</v>
      </c>
      <c r="S36" s="37"/>
      <c r="T36" s="6"/>
    </row>
    <row r="37" spans="2:20" ht="15.6">
      <c r="B37" s="59">
        <v>45947</v>
      </c>
      <c r="C37" s="48">
        <v>13</v>
      </c>
      <c r="D37" s="29" t="s">
        <v>58</v>
      </c>
      <c r="E37" s="354"/>
      <c r="F37" s="39">
        <f>[3]Oct!$N108</f>
        <v>151</v>
      </c>
      <c r="G37" s="17">
        <v>1103</v>
      </c>
      <c r="H37" s="53">
        <f t="shared" si="9"/>
        <v>61.874561745227894</v>
      </c>
      <c r="I37" s="49"/>
      <c r="J37" s="318"/>
      <c r="K37" s="318"/>
      <c r="L37" s="318"/>
      <c r="M37" s="54">
        <f>[3]Oct!$AD37</f>
        <v>201</v>
      </c>
      <c r="N37" s="54">
        <v>3</v>
      </c>
      <c r="O37" s="54"/>
      <c r="P37" s="318"/>
      <c r="Q37" s="54">
        <f t="shared" si="15"/>
        <v>438.27814569536423</v>
      </c>
      <c r="R37" s="386"/>
      <c r="S37" s="37"/>
      <c r="T37" s="6"/>
    </row>
    <row r="38" spans="2:20" ht="15.6">
      <c r="B38" s="59">
        <v>45947</v>
      </c>
      <c r="C38" s="48">
        <v>13</v>
      </c>
      <c r="D38" s="29" t="s">
        <v>49</v>
      </c>
      <c r="E38" s="366"/>
      <c r="F38" s="39">
        <f>[3]Oct!$N109</f>
        <v>210</v>
      </c>
      <c r="G38" s="17">
        <v>1753</v>
      </c>
      <c r="H38" s="53">
        <f t="shared" si="9"/>
        <v>70.709243697478996</v>
      </c>
      <c r="I38" s="54">
        <v>5</v>
      </c>
      <c r="J38" s="318"/>
      <c r="K38" s="318"/>
      <c r="L38" s="318"/>
      <c r="M38" s="54">
        <f>[3]Oct!$AD38</f>
        <v>23</v>
      </c>
      <c r="N38" s="54">
        <v>7</v>
      </c>
      <c r="O38" s="54"/>
      <c r="P38" s="318"/>
      <c r="Q38" s="54">
        <f t="shared" si="15"/>
        <v>500.85714285714283</v>
      </c>
      <c r="R38" s="386"/>
      <c r="S38" s="37"/>
      <c r="T38" s="6"/>
    </row>
    <row r="39" spans="2:20" ht="15.6">
      <c r="B39" s="59">
        <v>45951</v>
      </c>
      <c r="C39" s="48">
        <v>14</v>
      </c>
      <c r="D39" s="29" t="s">
        <v>49</v>
      </c>
      <c r="E39" s="365">
        <v>1440</v>
      </c>
      <c r="F39" s="39">
        <f>[3]Oct!$N110</f>
        <v>520</v>
      </c>
      <c r="G39" s="17">
        <v>4074</v>
      </c>
      <c r="H39" s="53">
        <f t="shared" si="9"/>
        <v>66.363800904977381</v>
      </c>
      <c r="I39" s="54">
        <v>3</v>
      </c>
      <c r="J39" s="53">
        <f>SUM(94,104,75)</f>
        <v>273</v>
      </c>
      <c r="K39" s="53">
        <f t="shared" si="8"/>
        <v>268.88400000000001</v>
      </c>
      <c r="L39" s="53">
        <f t="shared" si="16"/>
        <v>4.1159999999999854</v>
      </c>
      <c r="M39" s="54">
        <f>[3]Oct!$AD39</f>
        <v>865</v>
      </c>
      <c r="N39" s="54">
        <f>10+4</f>
        <v>14</v>
      </c>
      <c r="O39" s="54"/>
      <c r="P39" s="53">
        <f t="shared" si="14"/>
        <v>1.5076923076923023</v>
      </c>
      <c r="Q39" s="54">
        <f t="shared" si="15"/>
        <v>470.07692307692309</v>
      </c>
      <c r="R39" s="386"/>
      <c r="S39" s="37"/>
      <c r="T39" s="6"/>
    </row>
    <row r="40" spans="2:20" ht="15.6">
      <c r="B40" s="59">
        <v>45951</v>
      </c>
      <c r="C40" s="48">
        <v>14</v>
      </c>
      <c r="D40" s="29" t="s">
        <v>27</v>
      </c>
      <c r="E40" s="366"/>
      <c r="F40" s="39">
        <f>[3]Oct!$N111</f>
        <v>90</v>
      </c>
      <c r="G40" s="17">
        <v>678</v>
      </c>
      <c r="H40" s="53">
        <f t="shared" si="9"/>
        <v>63.811764705882354</v>
      </c>
      <c r="I40" s="49"/>
      <c r="J40" s="53">
        <f>SUM(97.5)-51.9</f>
        <v>45.6</v>
      </c>
      <c r="K40" s="53">
        <f t="shared" si="8"/>
        <v>44.748000000000005</v>
      </c>
      <c r="L40" s="53">
        <f>J40-K40</f>
        <v>0.85199999999999676</v>
      </c>
      <c r="M40" s="54">
        <f>[3]Oct!$AD40</f>
        <v>53</v>
      </c>
      <c r="N40" s="54">
        <v>0</v>
      </c>
      <c r="O40" s="54"/>
      <c r="P40" s="53">
        <f t="shared" si="14"/>
        <v>1.8684210526315717</v>
      </c>
      <c r="Q40" s="54">
        <f t="shared" si="15"/>
        <v>452</v>
      </c>
      <c r="R40" s="322">
        <f>((J41+J40)-(K41+K40))/(J41+J40)*100</f>
        <v>1.6697674418604702</v>
      </c>
      <c r="S40" s="37"/>
      <c r="T40" s="6"/>
    </row>
    <row r="41" spans="2:20" ht="15.6">
      <c r="B41" s="59">
        <v>45952</v>
      </c>
      <c r="C41" s="48">
        <v>15</v>
      </c>
      <c r="D41" s="29" t="s">
        <v>27</v>
      </c>
      <c r="E41" s="365">
        <v>1425</v>
      </c>
      <c r="F41" s="39">
        <f>[3]Oct!$N112</f>
        <v>812</v>
      </c>
      <c r="G41" s="17">
        <v>6369</v>
      </c>
      <c r="H41" s="53">
        <f t="shared" si="9"/>
        <v>66.439872500724434</v>
      </c>
      <c r="I41" s="54"/>
      <c r="J41" s="53">
        <f>SUM(51.9,93.5,98.5,97.2,86.3)</f>
        <v>427.40000000000003</v>
      </c>
      <c r="K41" s="53">
        <f t="shared" si="8"/>
        <v>420.35400000000004</v>
      </c>
      <c r="L41" s="53">
        <f t="shared" si="16"/>
        <v>7.0459999999999923</v>
      </c>
      <c r="M41" s="54">
        <f>[3]Oct!$AD41</f>
        <v>197</v>
      </c>
      <c r="N41" s="54">
        <f>28+2+18</f>
        <v>48</v>
      </c>
      <c r="O41" s="54"/>
      <c r="P41" s="53">
        <f t="shared" si="14"/>
        <v>1.6485727655591933</v>
      </c>
      <c r="Q41" s="54">
        <f t="shared" si="15"/>
        <v>470.61576354679801</v>
      </c>
      <c r="R41" s="322"/>
      <c r="S41" s="37"/>
      <c r="T41" s="6"/>
    </row>
    <row r="42" spans="2:20" ht="15.6">
      <c r="B42" s="59">
        <v>45952</v>
      </c>
      <c r="C42" s="48">
        <v>15</v>
      </c>
      <c r="D42" s="29" t="s">
        <v>58</v>
      </c>
      <c r="E42" s="354"/>
      <c r="F42" s="39">
        <f>[3]Oct!$N113</f>
        <v>392</v>
      </c>
      <c r="G42" s="17">
        <v>2946</v>
      </c>
      <c r="H42" s="53">
        <f t="shared" si="9"/>
        <v>63.659063625450187</v>
      </c>
      <c r="I42" s="49"/>
      <c r="J42" s="318">
        <f>SUM(89,98.2,85.4,98.8)-63.6-65</f>
        <v>242.8</v>
      </c>
      <c r="K42" s="318">
        <f>(G42+G43)*0.066</f>
        <v>237.40200000000002</v>
      </c>
      <c r="L42" s="53">
        <f t="shared" si="16"/>
        <v>5.3979999999999961</v>
      </c>
      <c r="M42" s="54">
        <f>[3]Oct!$AD42</f>
        <v>110</v>
      </c>
      <c r="N42" s="54">
        <v>22</v>
      </c>
      <c r="O42" s="54"/>
      <c r="P42" s="318">
        <f t="shared" si="14"/>
        <v>2.2232289950576587</v>
      </c>
      <c r="Q42" s="54">
        <f t="shared" si="15"/>
        <v>450.91836734693879</v>
      </c>
      <c r="R42" s="386">
        <f>((J43+J42+J45+J44)-(K43+K42+K45+K44))/(J43+J42+J45+J44)*100</f>
        <v>2.0263847632360616</v>
      </c>
      <c r="S42" s="37"/>
      <c r="T42" s="6"/>
    </row>
    <row r="43" spans="2:20" ht="16.5" customHeight="1">
      <c r="B43" s="59">
        <v>45952</v>
      </c>
      <c r="C43" s="48">
        <v>15</v>
      </c>
      <c r="D43" s="29" t="s">
        <v>44</v>
      </c>
      <c r="E43" s="366"/>
      <c r="F43" s="39">
        <f>[3]Oct!$N114</f>
        <v>92</v>
      </c>
      <c r="G43" s="17">
        <v>651</v>
      </c>
      <c r="H43" s="53">
        <f t="shared" si="9"/>
        <v>59.9386189258312</v>
      </c>
      <c r="I43" s="49"/>
      <c r="J43" s="318"/>
      <c r="K43" s="318"/>
      <c r="L43" s="53">
        <f t="shared" ref="L43:L63" si="17">J43-K43</f>
        <v>0</v>
      </c>
      <c r="M43" s="54">
        <f>[3]Oct!$AD43</f>
        <v>10</v>
      </c>
      <c r="N43" s="54">
        <v>0</v>
      </c>
      <c r="O43" s="54"/>
      <c r="P43" s="318"/>
      <c r="Q43" s="54">
        <f>(G43)/(F43/60)</f>
        <v>424.56521739130432</v>
      </c>
      <c r="R43" s="386"/>
      <c r="S43" s="37"/>
      <c r="T43" s="6"/>
    </row>
    <row r="44" spans="2:20" ht="15.6">
      <c r="B44" s="59">
        <v>45953</v>
      </c>
      <c r="C44" s="48">
        <v>16</v>
      </c>
      <c r="D44" s="29" t="s">
        <v>44</v>
      </c>
      <c r="E44" s="147">
        <v>1440</v>
      </c>
      <c r="F44" s="39">
        <f>[3]Oct!$N115</f>
        <v>1335</v>
      </c>
      <c r="G44" s="17">
        <v>10392</v>
      </c>
      <c r="H44" s="53">
        <f t="shared" si="9"/>
        <v>65.937343027098478</v>
      </c>
      <c r="I44" s="54">
        <v>7</v>
      </c>
      <c r="J44" s="53">
        <f>SUM(63.6,65,99,99,94.6,90.5,97.8,101,97.3)-43.4-63.8</f>
        <v>700.6</v>
      </c>
      <c r="K44" s="53">
        <f t="shared" ref="K44:K63" si="18">(G44)*0.066</f>
        <v>685.87200000000007</v>
      </c>
      <c r="L44" s="53">
        <f t="shared" si="17"/>
        <v>14.727999999999952</v>
      </c>
      <c r="M44" s="54">
        <f>[3]Oct!$AD44</f>
        <v>285</v>
      </c>
      <c r="N44" s="54">
        <f>24+24+33</f>
        <v>81</v>
      </c>
      <c r="O44" s="54"/>
      <c r="P44" s="53">
        <f>(J44-K44)/J44*100</f>
        <v>2.1021981159006495</v>
      </c>
      <c r="Q44" s="54">
        <f t="shared" ref="Q44:Q64" si="19">(G44)/(F44/60)</f>
        <v>467.0561797752809</v>
      </c>
      <c r="R44" s="386"/>
      <c r="S44" s="37"/>
      <c r="T44" s="6"/>
    </row>
    <row r="45" spans="2:20" ht="15.6">
      <c r="B45" s="59">
        <v>45954</v>
      </c>
      <c r="C45" s="48">
        <v>17</v>
      </c>
      <c r="D45" s="29" t="s">
        <v>49</v>
      </c>
      <c r="E45" s="365">
        <v>1260</v>
      </c>
      <c r="F45" s="39">
        <f>[3]Oct!$N116</f>
        <v>606</v>
      </c>
      <c r="G45" s="17">
        <v>3002</v>
      </c>
      <c r="H45" s="53">
        <f t="shared" si="9"/>
        <v>41.96156086196855</v>
      </c>
      <c r="I45" s="54">
        <v>20</v>
      </c>
      <c r="J45" s="53">
        <f>SUM(43.4,63.8,94)</f>
        <v>201.2</v>
      </c>
      <c r="K45" s="53">
        <f t="shared" si="18"/>
        <v>198.13200000000001</v>
      </c>
      <c r="L45" s="53">
        <f t="shared" si="17"/>
        <v>3.0679999999999836</v>
      </c>
      <c r="M45" s="54">
        <f>[3]Oct!$AD45</f>
        <v>290</v>
      </c>
      <c r="N45" s="54">
        <f>8+6</f>
        <v>14</v>
      </c>
      <c r="O45" s="54"/>
      <c r="P45" s="53">
        <f t="shared" ref="P45:P56" si="20">(J45-K45)/J45*100</f>
        <v>1.5248508946321988</v>
      </c>
      <c r="Q45" s="54">
        <f t="shared" si="19"/>
        <v>297.22772277227722</v>
      </c>
      <c r="R45" s="386"/>
      <c r="S45" s="37"/>
      <c r="T45" s="6"/>
    </row>
    <row r="46" spans="2:20" ht="15.6">
      <c r="B46" s="59">
        <v>45954</v>
      </c>
      <c r="C46" s="48">
        <v>17</v>
      </c>
      <c r="D46" s="29" t="s">
        <v>45</v>
      </c>
      <c r="E46" s="366"/>
      <c r="F46" s="39">
        <f>[3]Oct!$N117</f>
        <v>403</v>
      </c>
      <c r="G46" s="17">
        <v>3287</v>
      </c>
      <c r="H46" s="53">
        <f t="shared" si="9"/>
        <v>69.088892132535392</v>
      </c>
      <c r="I46" s="49"/>
      <c r="J46" s="53">
        <f>SUM(93.5,92,92,95.7)-70.5-85.6</f>
        <v>217.1</v>
      </c>
      <c r="K46" s="53">
        <f t="shared" si="18"/>
        <v>216.94200000000001</v>
      </c>
      <c r="L46" s="53">
        <f t="shared" si="17"/>
        <v>0.15799999999998704</v>
      </c>
      <c r="M46" s="54">
        <f>[3]Oct!$AD46</f>
        <v>128</v>
      </c>
      <c r="N46" s="54">
        <f>15+2</f>
        <v>17</v>
      </c>
      <c r="O46" s="54"/>
      <c r="P46" s="53">
        <f t="shared" si="20"/>
        <v>7.2777521879312315E-2</v>
      </c>
      <c r="Q46" s="54">
        <f t="shared" si="19"/>
        <v>489.37965260545906</v>
      </c>
      <c r="R46" s="375">
        <f>((J47+J46)-(K47+K46))/(J47+J46)*100</f>
        <v>0.16092693916959872</v>
      </c>
      <c r="S46" s="37"/>
      <c r="T46" s="6"/>
    </row>
    <row r="47" spans="2:20" ht="19.5" customHeight="1">
      <c r="B47" s="59">
        <v>45957</v>
      </c>
      <c r="C47" s="48">
        <v>18</v>
      </c>
      <c r="D47" s="29" t="s">
        <v>45</v>
      </c>
      <c r="E47" s="365">
        <v>1355</v>
      </c>
      <c r="F47" s="39">
        <f>[3]Oct!$N118</f>
        <v>192</v>
      </c>
      <c r="G47" s="17">
        <v>1413</v>
      </c>
      <c r="H47" s="53">
        <f t="shared" ref="H47:H54" si="21">(G47)*24/(F47/60)/17000*100</f>
        <v>62.338235294117652</v>
      </c>
      <c r="I47" s="54"/>
      <c r="J47" s="53">
        <f>SUM(70.5,85.6)-62.5</f>
        <v>93.6</v>
      </c>
      <c r="K47" s="53">
        <f t="shared" si="18"/>
        <v>93.25800000000001</v>
      </c>
      <c r="L47" s="53">
        <f t="shared" si="17"/>
        <v>0.34199999999998454</v>
      </c>
      <c r="M47" s="54">
        <f>[3]Oct!$AD47</f>
        <v>85</v>
      </c>
      <c r="N47" s="54">
        <v>12</v>
      </c>
      <c r="O47" s="54"/>
      <c r="P47" s="53">
        <f t="shared" si="20"/>
        <v>0.36538461538459888</v>
      </c>
      <c r="Q47" s="54">
        <f t="shared" si="19"/>
        <v>441.5625</v>
      </c>
      <c r="R47" s="375"/>
    </row>
    <row r="48" spans="2:20" ht="15.6">
      <c r="B48" s="59">
        <v>45957</v>
      </c>
      <c r="C48" s="48">
        <v>18</v>
      </c>
      <c r="D48" s="29" t="s">
        <v>27</v>
      </c>
      <c r="E48" s="354"/>
      <c r="F48" s="39">
        <f>[3]Oct!$N119</f>
        <v>104</v>
      </c>
      <c r="G48" s="17">
        <v>614</v>
      </c>
      <c r="H48" s="53">
        <f>(G48)*24/(F48/60)/17000*100</f>
        <v>50.009049773755656</v>
      </c>
      <c r="I48" s="49"/>
      <c r="J48" s="53">
        <f>SUM(42.1)</f>
        <v>42.1</v>
      </c>
      <c r="K48" s="53">
        <f t="shared" si="18"/>
        <v>40.524000000000001</v>
      </c>
      <c r="L48" s="53">
        <f t="shared" si="17"/>
        <v>1.5760000000000005</v>
      </c>
      <c r="M48" s="54">
        <f>[3]Oct!$AD48</f>
        <v>96</v>
      </c>
      <c r="N48" s="54">
        <v>0</v>
      </c>
      <c r="O48" s="54"/>
      <c r="P48" s="53">
        <f t="shared" si="20"/>
        <v>3.7434679334916878</v>
      </c>
      <c r="Q48" s="54">
        <f t="shared" si="19"/>
        <v>354.23076923076923</v>
      </c>
      <c r="R48" s="16"/>
    </row>
    <row r="49" spans="2:18" ht="15.75" customHeight="1">
      <c r="B49" s="59">
        <v>45957</v>
      </c>
      <c r="C49" s="48">
        <v>18</v>
      </c>
      <c r="D49" s="29" t="s">
        <v>49</v>
      </c>
      <c r="E49" s="366"/>
      <c r="F49" s="39">
        <f>[3]Oct!$N120</f>
        <v>895</v>
      </c>
      <c r="G49" s="17">
        <v>6627</v>
      </c>
      <c r="H49" s="53">
        <f t="shared" si="21"/>
        <v>62.72021031876438</v>
      </c>
      <c r="I49" s="54">
        <v>3</v>
      </c>
      <c r="J49" s="53">
        <f>SUM(97.5,54.4,97.4,64,96.3,81.2)-41.9</f>
        <v>448.90000000000003</v>
      </c>
      <c r="K49" s="53">
        <f t="shared" si="18"/>
        <v>437.38200000000001</v>
      </c>
      <c r="L49" s="53">
        <f t="shared" si="17"/>
        <v>11.518000000000029</v>
      </c>
      <c r="M49" s="54">
        <f>[3]Oct!$AD49</f>
        <v>184</v>
      </c>
      <c r="N49" s="54">
        <f>15+7</f>
        <v>22</v>
      </c>
      <c r="O49" s="54"/>
      <c r="P49" s="53">
        <f t="shared" si="20"/>
        <v>2.5658275785252904</v>
      </c>
      <c r="Q49" s="54">
        <f t="shared" si="19"/>
        <v>444.26815642458104</v>
      </c>
      <c r="R49" s="316">
        <f>((J50+J49)-(K50+K49))/(J50+J49)*100</f>
        <v>1.7885462555066112</v>
      </c>
    </row>
    <row r="50" spans="2:18" ht="15.75" customHeight="1">
      <c r="B50" s="59">
        <v>45958</v>
      </c>
      <c r="C50" s="48">
        <v>19</v>
      </c>
      <c r="D50" s="29" t="s">
        <v>49</v>
      </c>
      <c r="E50" s="365">
        <v>1440</v>
      </c>
      <c r="F50" s="39">
        <f>[3]Oct!$N121</f>
        <v>693</v>
      </c>
      <c r="G50" s="17">
        <v>4520</v>
      </c>
      <c r="H50" s="53">
        <f t="shared" si="21"/>
        <v>55.248281130634069</v>
      </c>
      <c r="I50" s="49"/>
      <c r="J50" s="53">
        <f>SUM(41.9,56,9,64.3,65,64)</f>
        <v>300.2</v>
      </c>
      <c r="K50" s="53">
        <f t="shared" si="18"/>
        <v>298.32</v>
      </c>
      <c r="L50" s="53">
        <f t="shared" si="17"/>
        <v>1.8799999999999955</v>
      </c>
      <c r="M50" s="54">
        <f>[3]Oct!$AD50</f>
        <v>201</v>
      </c>
      <c r="N50" s="54">
        <f>15+6</f>
        <v>21</v>
      </c>
      <c r="O50" s="54"/>
      <c r="P50" s="53">
        <f t="shared" si="20"/>
        <v>0.62624916722185064</v>
      </c>
      <c r="Q50" s="54">
        <f t="shared" si="19"/>
        <v>391.34199134199133</v>
      </c>
      <c r="R50" s="316"/>
    </row>
    <row r="51" spans="2:18" ht="15.75" customHeight="1">
      <c r="B51" s="59">
        <v>45958</v>
      </c>
      <c r="C51" s="48">
        <v>19</v>
      </c>
      <c r="D51" s="29" t="s">
        <v>45</v>
      </c>
      <c r="E51" s="354"/>
      <c r="F51" s="39">
        <f>[3]Oct!$N122</f>
        <v>94</v>
      </c>
      <c r="G51" s="188">
        <v>961</v>
      </c>
      <c r="H51" s="53">
        <f t="shared" si="21"/>
        <v>86.598247809762213</v>
      </c>
      <c r="I51" s="49"/>
      <c r="J51" s="187">
        <f>62.5+1</f>
        <v>63.5</v>
      </c>
      <c r="K51" s="53">
        <f t="shared" si="18"/>
        <v>63.426000000000002</v>
      </c>
      <c r="L51" s="53">
        <f t="shared" si="17"/>
        <v>7.3999999999998067E-2</v>
      </c>
      <c r="M51" s="54">
        <f>[3]Oct!$AD51</f>
        <v>62</v>
      </c>
      <c r="N51" s="54">
        <v>6</v>
      </c>
      <c r="O51" s="54"/>
      <c r="P51" s="53">
        <f t="shared" si="20"/>
        <v>0.1165354330708631</v>
      </c>
      <c r="Q51" s="54">
        <f t="shared" si="19"/>
        <v>613.40425531914889</v>
      </c>
      <c r="R51" s="16"/>
    </row>
    <row r="52" spans="2:18" ht="15.6" customHeight="1">
      <c r="B52" s="59">
        <v>45958</v>
      </c>
      <c r="C52" s="48">
        <v>19</v>
      </c>
      <c r="D52" s="29" t="s">
        <v>27</v>
      </c>
      <c r="E52" s="366"/>
      <c r="F52" s="39">
        <f>[3]Oct!$N123</f>
        <v>443</v>
      </c>
      <c r="G52" s="17">
        <v>3226</v>
      </c>
      <c r="H52" s="53">
        <f t="shared" si="21"/>
        <v>61.684238480945432</v>
      </c>
      <c r="I52" s="54">
        <v>30</v>
      </c>
      <c r="J52" s="53">
        <f>SUM(91.3,95,80)-50</f>
        <v>216.3</v>
      </c>
      <c r="K52" s="53">
        <f t="shared" si="18"/>
        <v>212.916</v>
      </c>
      <c r="L52" s="53">
        <f t="shared" si="17"/>
        <v>3.3840000000000146</v>
      </c>
      <c r="M52" s="54">
        <f>[3]Oct!$AD52</f>
        <v>176</v>
      </c>
      <c r="N52" s="54">
        <v>9</v>
      </c>
      <c r="O52" s="54"/>
      <c r="P52" s="53">
        <f>(J52-K52)/J52*100</f>
        <v>1.5644937586685226</v>
      </c>
      <c r="Q52" s="54">
        <f t="shared" si="19"/>
        <v>436.93002257336343</v>
      </c>
      <c r="R52" s="393">
        <f>((J53+J52)-(K53+K52))/(J53+J52)*100</f>
        <v>0.94282964388833701</v>
      </c>
    </row>
    <row r="53" spans="2:18" ht="15.75" customHeight="1">
      <c r="B53" s="59">
        <v>45959</v>
      </c>
      <c r="C53" s="48">
        <v>20</v>
      </c>
      <c r="D53" s="29" t="s">
        <v>27</v>
      </c>
      <c r="E53" s="365">
        <v>1435</v>
      </c>
      <c r="F53" s="39">
        <f>[3]Oct!$N124</f>
        <v>649</v>
      </c>
      <c r="G53" s="188">
        <v>4571</v>
      </c>
      <c r="H53" s="53">
        <f t="shared" si="21"/>
        <v>59.659566754282601</v>
      </c>
      <c r="I53" s="54"/>
      <c r="J53" s="53">
        <f>SUM(50,100,88.2,65)</f>
        <v>303.2</v>
      </c>
      <c r="K53" s="53">
        <f t="shared" si="18"/>
        <v>301.68600000000004</v>
      </c>
      <c r="L53" s="53">
        <f t="shared" si="17"/>
        <v>1.5139999999999532</v>
      </c>
      <c r="M53" s="54">
        <f>[3]Oct!$AD53</f>
        <v>142</v>
      </c>
      <c r="N53" s="54">
        <v>12</v>
      </c>
      <c r="O53" s="54"/>
      <c r="P53" s="53">
        <f t="shared" si="20"/>
        <v>0.49934036939312443</v>
      </c>
      <c r="Q53" s="54">
        <f t="shared" si="19"/>
        <v>422.58859784283516</v>
      </c>
      <c r="R53" s="393"/>
    </row>
    <row r="54" spans="2:18" ht="15.75" customHeight="1">
      <c r="B54" s="59">
        <v>45959</v>
      </c>
      <c r="C54" s="48">
        <v>20</v>
      </c>
      <c r="D54" s="29" t="s">
        <v>129</v>
      </c>
      <c r="E54" s="366"/>
      <c r="F54" s="39">
        <f>[3]Oct!$N125</f>
        <v>542</v>
      </c>
      <c r="G54" s="17">
        <v>3790</v>
      </c>
      <c r="H54" s="53">
        <f t="shared" si="21"/>
        <v>59.231604080746692</v>
      </c>
      <c r="I54" s="54"/>
      <c r="J54" s="53">
        <f>SUM(96,93.8,97.3,97.6)-59.9-56.2</f>
        <v>268.60000000000008</v>
      </c>
      <c r="K54" s="53">
        <f>(G54)*0.0708</f>
        <v>268.33199999999999</v>
      </c>
      <c r="L54" s="53">
        <f t="shared" si="17"/>
        <v>0.26800000000008595</v>
      </c>
      <c r="M54" s="54">
        <f>[3]Oct!$AD54</f>
        <v>277</v>
      </c>
      <c r="N54" s="54">
        <v>11</v>
      </c>
      <c r="O54" s="54"/>
      <c r="P54" s="53">
        <f t="shared" si="20"/>
        <v>9.9776619508594885E-2</v>
      </c>
      <c r="Q54" s="54">
        <f t="shared" si="19"/>
        <v>419.55719557195573</v>
      </c>
      <c r="R54" s="392">
        <f>((J55+J54)-(K55+K54))/(J55+J54)*100</f>
        <v>0.10335326228231559</v>
      </c>
    </row>
    <row r="55" spans="2:18" ht="15.75" customHeight="1">
      <c r="B55" s="59">
        <v>45960</v>
      </c>
      <c r="C55" s="48">
        <v>21</v>
      </c>
      <c r="D55" s="29" t="s">
        <v>129</v>
      </c>
      <c r="E55" s="365">
        <v>1434</v>
      </c>
      <c r="F55" s="39">
        <f>[3]Oct!$N126</f>
        <v>279</v>
      </c>
      <c r="G55" s="17">
        <v>1638</v>
      </c>
      <c r="H55" s="53">
        <f>(G55)*24/(F55/60)/17000*100</f>
        <v>49.730550284629985</v>
      </c>
      <c r="I55" s="54"/>
      <c r="J55" s="53">
        <f>SUM(59.9,56.2)</f>
        <v>116.1</v>
      </c>
      <c r="K55" s="53">
        <f>(G55)*0.0708</f>
        <v>115.9704</v>
      </c>
      <c r="L55" s="53">
        <f t="shared" si="17"/>
        <v>0.12959999999999638</v>
      </c>
      <c r="M55" s="54">
        <f>[3]Oct!$AD55</f>
        <v>95</v>
      </c>
      <c r="N55" s="54">
        <v>6</v>
      </c>
      <c r="O55" s="54"/>
      <c r="P55" s="53">
        <f t="shared" si="20"/>
        <v>0.11162790697674108</v>
      </c>
      <c r="Q55" s="54">
        <f t="shared" si="19"/>
        <v>352.25806451612902</v>
      </c>
      <c r="R55" s="392"/>
    </row>
    <row r="56" spans="2:18" ht="15.75" customHeight="1">
      <c r="B56" s="59">
        <v>45960</v>
      </c>
      <c r="C56" s="48">
        <v>21</v>
      </c>
      <c r="D56" s="29" t="s">
        <v>49</v>
      </c>
      <c r="E56" s="366"/>
      <c r="F56" s="39">
        <f>[3]Oct!$N127</f>
        <v>901</v>
      </c>
      <c r="G56" s="17">
        <v>7028</v>
      </c>
      <c r="H56" s="53">
        <f t="shared" ref="H56:H62" si="22">(G56)*24/(F56/60)/17000*100</f>
        <v>66.072468499053329</v>
      </c>
      <c r="I56" s="54"/>
      <c r="J56" s="53">
        <f>SUM(98,100,99.2,102,95,79.2)-43-43.8</f>
        <v>486.59999999999997</v>
      </c>
      <c r="K56" s="53">
        <f>(G56)*0.066+(50*0.19)</f>
        <v>473.34800000000001</v>
      </c>
      <c r="L56" s="53">
        <f t="shared" si="17"/>
        <v>13.251999999999953</v>
      </c>
      <c r="M56" s="54">
        <f>[3]Oct!$AD56</f>
        <v>326</v>
      </c>
      <c r="N56" s="54">
        <f>22+10</f>
        <v>32</v>
      </c>
      <c r="O56" s="54">
        <v>50</v>
      </c>
      <c r="P56" s="53">
        <f t="shared" si="20"/>
        <v>2.7233867653103072</v>
      </c>
      <c r="Q56" s="54">
        <f t="shared" si="19"/>
        <v>468.01331853496112</v>
      </c>
      <c r="R56" s="320">
        <f>((J57+J56)-(K57+K56))/(J57+J56)*100</f>
        <v>2.1124009060022524</v>
      </c>
    </row>
    <row r="57" spans="2:18" ht="15.75" customHeight="1">
      <c r="B57" s="59">
        <v>45961</v>
      </c>
      <c r="C57" s="48">
        <v>22</v>
      </c>
      <c r="D57" s="29" t="s">
        <v>49</v>
      </c>
      <c r="E57" s="365">
        <v>1254</v>
      </c>
      <c r="F57" s="39">
        <f>[3]Oct!$N128</f>
        <v>229</v>
      </c>
      <c r="G57" s="17">
        <v>1856</v>
      </c>
      <c r="H57" s="53">
        <f t="shared" si="22"/>
        <v>68.65245312098638</v>
      </c>
      <c r="I57" s="54"/>
      <c r="J57" s="318">
        <f>SUM(43,43.8,95,98)-60</f>
        <v>219.8</v>
      </c>
      <c r="K57" s="318">
        <f>(G57+G58)*0.066</f>
        <v>218.13000000000002</v>
      </c>
      <c r="L57" s="53">
        <f t="shared" si="17"/>
        <v>1.6699999999999875</v>
      </c>
      <c r="M57" s="54">
        <f>[3]Oct!$AD57</f>
        <v>89</v>
      </c>
      <c r="N57" s="54">
        <v>13</v>
      </c>
      <c r="O57" s="54"/>
      <c r="P57" s="318">
        <f t="shared" ref="P57:P61" si="23">(J57-K57)/J57*100</f>
        <v>0.75978161965422542</v>
      </c>
      <c r="Q57" s="54">
        <f t="shared" si="19"/>
        <v>486.28820960698687</v>
      </c>
      <c r="R57" s="320"/>
    </row>
    <row r="58" spans="2:18" ht="15.75" customHeight="1">
      <c r="B58" s="59">
        <v>45961</v>
      </c>
      <c r="C58" s="48">
        <v>22</v>
      </c>
      <c r="D58" s="29" t="s">
        <v>98</v>
      </c>
      <c r="E58" s="354"/>
      <c r="F58" s="39">
        <f>[3]Oct!$N129</f>
        <v>338</v>
      </c>
      <c r="G58" s="17">
        <v>1449</v>
      </c>
      <c r="H58" s="53">
        <f t="shared" si="22"/>
        <v>36.31326139923425</v>
      </c>
      <c r="I58" s="54"/>
      <c r="J58" s="318"/>
      <c r="K58" s="318"/>
      <c r="L58" s="53">
        <f t="shared" si="17"/>
        <v>0</v>
      </c>
      <c r="M58" s="54">
        <f>[3]Oct!$AD58</f>
        <v>283</v>
      </c>
      <c r="N58" s="54">
        <v>2</v>
      </c>
      <c r="O58" s="54"/>
      <c r="P58" s="318"/>
      <c r="Q58" s="54">
        <f t="shared" si="19"/>
        <v>257.21893491124257</v>
      </c>
      <c r="R58" s="320"/>
    </row>
    <row r="59" spans="2:18" ht="15.75" customHeight="1">
      <c r="B59" s="59">
        <v>45961</v>
      </c>
      <c r="C59" s="48">
        <v>22</v>
      </c>
      <c r="D59" s="29" t="s">
        <v>130</v>
      </c>
      <c r="E59" s="366"/>
      <c r="F59" s="39">
        <f>[3]Oct!$N130</f>
        <v>405</v>
      </c>
      <c r="G59" s="17">
        <v>470</v>
      </c>
      <c r="H59" s="53">
        <f t="shared" si="22"/>
        <v>9.830065359477123</v>
      </c>
      <c r="I59" s="54">
        <v>70</v>
      </c>
      <c r="J59" s="53">
        <f>SUM(102.9)-70</f>
        <v>32.900000000000006</v>
      </c>
      <c r="K59" s="53">
        <f>(G59)*0.066</f>
        <v>31.020000000000003</v>
      </c>
      <c r="L59" s="53">
        <f t="shared" si="17"/>
        <v>1.8800000000000026</v>
      </c>
      <c r="M59" s="54">
        <f>[3]Oct!$AD59</f>
        <v>394</v>
      </c>
      <c r="N59" s="54"/>
      <c r="O59" s="54"/>
      <c r="P59" s="53">
        <f>(J59-K59)/J59*100</f>
        <v>5.7142857142857206</v>
      </c>
      <c r="Q59" s="54">
        <f t="shared" si="19"/>
        <v>69.629629629629633</v>
      </c>
      <c r="R59" s="16"/>
    </row>
    <row r="60" spans="2:18" ht="15.75" customHeight="1">
      <c r="B60" s="59"/>
      <c r="C60" s="48"/>
      <c r="D60" s="29"/>
      <c r="E60" s="147"/>
      <c r="F60" s="39"/>
      <c r="G60" s="17"/>
      <c r="H60" s="53" t="e">
        <f t="shared" si="22"/>
        <v>#DIV/0!</v>
      </c>
      <c r="I60" s="54"/>
      <c r="J60" s="53"/>
      <c r="K60" s="53">
        <f t="shared" si="18"/>
        <v>0</v>
      </c>
      <c r="L60" s="53">
        <f t="shared" si="17"/>
        <v>0</v>
      </c>
      <c r="M60" s="54"/>
      <c r="N60" s="54"/>
      <c r="O60" s="54"/>
      <c r="P60" s="53" t="e">
        <f t="shared" si="23"/>
        <v>#DIV/0!</v>
      </c>
      <c r="Q60" s="54" t="e">
        <f t="shared" si="19"/>
        <v>#DIV/0!</v>
      </c>
      <c r="R60" s="16"/>
    </row>
    <row r="61" spans="2:18" ht="15.75" customHeight="1">
      <c r="B61" s="59"/>
      <c r="C61" s="48"/>
      <c r="D61" s="29"/>
      <c r="E61" s="147"/>
      <c r="F61" s="39"/>
      <c r="G61" s="17"/>
      <c r="H61" s="53" t="e">
        <f t="shared" si="22"/>
        <v>#DIV/0!</v>
      </c>
      <c r="I61" s="54"/>
      <c r="J61" s="53"/>
      <c r="K61" s="53">
        <f t="shared" si="18"/>
        <v>0</v>
      </c>
      <c r="L61" s="53">
        <f t="shared" si="17"/>
        <v>0</v>
      </c>
      <c r="M61" s="54"/>
      <c r="N61" s="54"/>
      <c r="O61" s="54"/>
      <c r="P61" s="53" t="e">
        <f t="shared" si="23"/>
        <v>#DIV/0!</v>
      </c>
      <c r="Q61" s="54" t="e">
        <f t="shared" si="19"/>
        <v>#DIV/0!</v>
      </c>
      <c r="R61" s="16"/>
    </row>
    <row r="62" spans="2:18" ht="15.75" customHeight="1">
      <c r="B62" s="59"/>
      <c r="C62" s="48"/>
      <c r="D62" s="29"/>
      <c r="E62" s="147"/>
      <c r="F62" s="39"/>
      <c r="G62" s="17"/>
      <c r="H62" s="53" t="e">
        <f t="shared" si="22"/>
        <v>#DIV/0!</v>
      </c>
      <c r="I62" s="54"/>
      <c r="J62" s="53"/>
      <c r="K62" s="53">
        <f t="shared" si="18"/>
        <v>0</v>
      </c>
      <c r="L62" s="53">
        <f t="shared" si="17"/>
        <v>0</v>
      </c>
      <c r="M62" s="54"/>
      <c r="N62" s="54"/>
      <c r="O62" s="54"/>
      <c r="P62" s="53" t="e">
        <f>(J62-K62)/J62*100</f>
        <v>#DIV/0!</v>
      </c>
      <c r="Q62" s="54" t="e">
        <f t="shared" si="19"/>
        <v>#DIV/0!</v>
      </c>
      <c r="R62" s="16"/>
    </row>
    <row r="63" spans="2:18" ht="16.350000000000001" customHeight="1" thickBot="1">
      <c r="B63" s="3"/>
      <c r="C63" s="48"/>
      <c r="D63" s="29"/>
      <c r="E63" s="147"/>
      <c r="F63" s="39"/>
      <c r="G63" s="17"/>
      <c r="H63" s="53" t="e">
        <f>(G63)*24/(F63/60)/17000*100</f>
        <v>#DIV/0!</v>
      </c>
      <c r="I63" s="38"/>
      <c r="J63" s="33"/>
      <c r="K63" s="53">
        <f t="shared" si="18"/>
        <v>0</v>
      </c>
      <c r="L63" s="53">
        <f t="shared" si="17"/>
        <v>0</v>
      </c>
      <c r="M63" s="54"/>
      <c r="N63" s="195"/>
      <c r="O63" s="54"/>
      <c r="P63" s="53" t="e">
        <f>(J63-K63)/J63*100</f>
        <v>#DIV/0!</v>
      </c>
      <c r="Q63" s="54" t="e">
        <f t="shared" si="19"/>
        <v>#DIV/0!</v>
      </c>
      <c r="R63" s="16"/>
    </row>
    <row r="64" spans="2:18" ht="16.8" thickTop="1" thickBot="1">
      <c r="B64" s="12"/>
      <c r="C64" s="12"/>
      <c r="D64" s="30"/>
      <c r="E64" s="22">
        <f>SUM(E8:E63)</f>
        <v>27572</v>
      </c>
      <c r="F64" s="22">
        <f>SUM(F8:F63)</f>
        <v>20325</v>
      </c>
      <c r="G64" s="15">
        <f>SUM(G8:G63)</f>
        <v>136460</v>
      </c>
      <c r="H64" s="13">
        <f>(G64)*24/(F64/60)/17000*100</f>
        <v>56.870675059691777</v>
      </c>
      <c r="I64" s="14">
        <f>SUM(I8:I63)</f>
        <v>615.19000000000005</v>
      </c>
      <c r="J64" s="51">
        <f>SUM(J8:J63)</f>
        <v>9209.9742000000006</v>
      </c>
      <c r="K64" s="13">
        <f>SUM(K8:K63)</f>
        <v>9044.7644</v>
      </c>
      <c r="L64" s="51">
        <f>J64-K64</f>
        <v>165.20980000000054</v>
      </c>
      <c r="M64" s="52">
        <f>SUM(M8:M63)</f>
        <v>11325</v>
      </c>
      <c r="N64" s="36">
        <f>SUM(N8:N63)</f>
        <v>723</v>
      </c>
      <c r="O64" s="14">
        <f>SUM(O8:O63)</f>
        <v>100</v>
      </c>
      <c r="P64" s="24">
        <f>(J64-K64)/J64</f>
        <v>1.7938139283821288E-2</v>
      </c>
      <c r="Q64" s="396">
        <f>G64/(E64/60)</f>
        <v>296.95343101697375</v>
      </c>
      <c r="R64" s="400">
        <f>(January_2025!G65+February_2025!G63+March_2025!G62+'April_2025 '!G54+May_2025!G63+June_2025!G57+July_2025!G55+August_2025!G57+September_2025!G54+G64)/((January_2025!E65+February_2025!E63+March_2025!E62+'April_2025 '!E54+May_2025!E63+June_2025!E57+July_2025!E55+August_2025!E57+September_2025!E54+E64)/60)</f>
        <v>277.09488612463196</v>
      </c>
    </row>
    <row r="65" spans="6:18" ht="16.8" thickTop="1" thickBot="1">
      <c r="G65" s="1"/>
      <c r="H65" s="1"/>
      <c r="L65" s="18"/>
      <c r="M65" s="18"/>
      <c r="N65" s="40" t="s">
        <v>23</v>
      </c>
      <c r="O65" s="18"/>
      <c r="Q65" s="5"/>
    </row>
    <row r="66" spans="6:18" ht="21" thickTop="1" thickBot="1">
      <c r="F66" s="1"/>
      <c r="G66" s="1"/>
      <c r="H66" s="1"/>
      <c r="I66" s="1"/>
      <c r="K66" s="45" t="s">
        <v>36</v>
      </c>
      <c r="L66" s="15">
        <f>G64+O66</f>
        <v>136735</v>
      </c>
      <c r="M66" s="18"/>
      <c r="N66" s="40" t="s">
        <v>31</v>
      </c>
      <c r="O66" s="18">
        <f>O64*2.75</f>
        <v>275</v>
      </c>
      <c r="P66" s="398" t="s">
        <v>146</v>
      </c>
      <c r="Q66" s="397">
        <v>402.83394833948341</v>
      </c>
      <c r="R66" s="399">
        <v>376.58321990526491</v>
      </c>
    </row>
    <row r="67" spans="6:18" ht="16.2" thickTop="1">
      <c r="G67" s="1"/>
      <c r="H67" s="1" t="s">
        <v>38</v>
      </c>
      <c r="L67" s="18"/>
      <c r="M67" s="18"/>
      <c r="N67" s="18"/>
      <c r="O67" s="18"/>
      <c r="Q67" s="5"/>
    </row>
    <row r="68" spans="6:18" ht="15.6">
      <c r="G68" s="1"/>
      <c r="H68" s="1">
        <v>689</v>
      </c>
      <c r="I68" s="7" t="s">
        <v>33</v>
      </c>
      <c r="L68" s="18"/>
      <c r="M68" s="18"/>
      <c r="N68" s="41" t="s">
        <v>32</v>
      </c>
      <c r="O68" s="62">
        <f>SUM(O9+O30+O39)</f>
        <v>0</v>
      </c>
      <c r="P68" s="57"/>
      <c r="Q68" s="58"/>
    </row>
    <row r="69" spans="6:18" ht="15.6">
      <c r="F69" s="56"/>
      <c r="G69" s="1"/>
      <c r="H69" s="1">
        <v>1120</v>
      </c>
      <c r="I69" s="7" t="s">
        <v>33</v>
      </c>
      <c r="J69" s="7" t="s">
        <v>131</v>
      </c>
      <c r="L69" s="18"/>
      <c r="M69" s="18"/>
      <c r="N69" s="41" t="s">
        <v>33</v>
      </c>
      <c r="O69" s="62">
        <f>SUM(O8+O27+O40)</f>
        <v>0</v>
      </c>
      <c r="P69" s="57"/>
      <c r="Q69" s="58"/>
    </row>
    <row r="70" spans="6:18" ht="15.6">
      <c r="F70" s="56"/>
      <c r="G70" s="1"/>
      <c r="H70" s="1"/>
      <c r="L70" s="18"/>
      <c r="M70" s="18"/>
      <c r="N70" s="41" t="s">
        <v>34</v>
      </c>
      <c r="O70" s="42"/>
      <c r="Q70" s="5"/>
    </row>
    <row r="71" spans="6:18" ht="15.6">
      <c r="F71" s="56"/>
      <c r="G71" s="1"/>
      <c r="H71" s="1"/>
      <c r="L71" s="18"/>
      <c r="M71" s="18"/>
      <c r="N71" s="43" t="s">
        <v>35</v>
      </c>
      <c r="O71" s="44">
        <f>SUM(O68:O70)</f>
        <v>0</v>
      </c>
      <c r="Q71" s="5"/>
    </row>
    <row r="72" spans="6:18" ht="15.6">
      <c r="F72" s="56"/>
      <c r="G72" s="1"/>
      <c r="H72" s="1"/>
      <c r="L72" s="18"/>
      <c r="M72" s="18"/>
      <c r="N72" s="18"/>
      <c r="O72" s="18"/>
      <c r="Q72" s="5"/>
    </row>
    <row r="73" spans="6:18" ht="15.6">
      <c r="F73" s="56"/>
      <c r="G73" s="1"/>
      <c r="H73" s="1"/>
      <c r="L73" s="18"/>
      <c r="M73" s="18"/>
      <c r="N73" s="18"/>
      <c r="O73" s="18"/>
      <c r="Q73" s="5"/>
    </row>
    <row r="74" spans="6:18" ht="15.6">
      <c r="F74" s="56"/>
      <c r="G74" s="1"/>
      <c r="H74" s="1"/>
      <c r="L74" s="18"/>
      <c r="M74" s="18"/>
      <c r="N74" s="18"/>
      <c r="O74" s="18"/>
      <c r="Q74" s="5"/>
    </row>
    <row r="75" spans="6:18" ht="15.6">
      <c r="F75" s="56"/>
      <c r="G75" s="1"/>
      <c r="H75" s="1"/>
      <c r="L75" s="18"/>
      <c r="M75" s="18"/>
      <c r="N75" s="18"/>
      <c r="O75" s="18"/>
      <c r="P75" s="53" t="e">
        <f>(J75-K75)/J75*100</f>
        <v>#DIV/0!</v>
      </c>
      <c r="Q75" s="5"/>
    </row>
    <row r="76" spans="6:18" ht="15.6">
      <c r="F76" s="56"/>
      <c r="G76" s="1"/>
      <c r="H76" s="1"/>
      <c r="L76" s="18"/>
      <c r="M76" s="18"/>
      <c r="N76" s="18"/>
      <c r="O76" s="18"/>
      <c r="Q76" s="5"/>
    </row>
    <row r="77" spans="6:18" ht="15.6">
      <c r="G77" s="1"/>
      <c r="H77" s="1"/>
      <c r="L77" s="18"/>
      <c r="M77" s="18"/>
      <c r="N77" s="18"/>
      <c r="O77" s="18"/>
      <c r="Q77" s="5"/>
    </row>
    <row r="78" spans="6:18" ht="15.6">
      <c r="F78" s="56"/>
      <c r="G78" s="1"/>
      <c r="H78" s="1"/>
      <c r="L78" s="18"/>
      <c r="M78" s="18"/>
      <c r="N78" s="18"/>
      <c r="O78" s="18"/>
      <c r="Q78" s="5"/>
    </row>
    <row r="79" spans="6:18" ht="15.6">
      <c r="G79" s="1"/>
      <c r="H79" s="1"/>
      <c r="L79" s="18"/>
      <c r="M79" s="18"/>
      <c r="N79" s="18"/>
      <c r="O79" s="18"/>
      <c r="Q79" s="5"/>
    </row>
    <row r="80" spans="6:18">
      <c r="G80" s="1"/>
      <c r="H80" s="1"/>
      <c r="Q80" s="5"/>
    </row>
    <row r="81" spans="7:17">
      <c r="G81" s="1"/>
      <c r="H81" s="1"/>
      <c r="Q81" s="5"/>
    </row>
    <row r="82" spans="7:17">
      <c r="G82" s="1"/>
      <c r="H82" s="1"/>
      <c r="Q82" s="5"/>
    </row>
    <row r="83" spans="7:17">
      <c r="G83" s="1"/>
      <c r="H83" s="1"/>
      <c r="Q83" s="5"/>
    </row>
    <row r="84" spans="7:17">
      <c r="G84" s="1"/>
      <c r="H84" s="1"/>
      <c r="Q84" s="5"/>
    </row>
    <row r="85" spans="7:17">
      <c r="G85" s="1"/>
      <c r="H85" s="1"/>
      <c r="Q85" s="5"/>
    </row>
    <row r="86" spans="7:17">
      <c r="G86" s="1"/>
      <c r="H86" s="1"/>
      <c r="Q86" s="5"/>
    </row>
    <row r="87" spans="7:17">
      <c r="G87" s="1"/>
      <c r="H87" s="1"/>
      <c r="Q87" s="5"/>
    </row>
    <row r="88" spans="7:17">
      <c r="G88" s="1"/>
      <c r="H88" s="1"/>
      <c r="Q88" s="5"/>
    </row>
    <row r="89" spans="7:17">
      <c r="G89" s="1"/>
      <c r="H89" s="1"/>
      <c r="Q89" s="5"/>
    </row>
    <row r="90" spans="7:17">
      <c r="G90" s="1"/>
      <c r="H90" s="1"/>
      <c r="Q90" s="5"/>
    </row>
    <row r="91" spans="7:17">
      <c r="G91" s="1"/>
      <c r="H91" s="1"/>
      <c r="Q91" s="5"/>
    </row>
    <row r="92" spans="7:17">
      <c r="G92" s="1"/>
      <c r="H92" s="1"/>
      <c r="Q92" s="5"/>
    </row>
    <row r="93" spans="7:17">
      <c r="G93" s="1"/>
      <c r="H93" s="1"/>
      <c r="Q93" s="5"/>
    </row>
    <row r="94" spans="7:17">
      <c r="G94" s="1"/>
      <c r="H94" s="1"/>
      <c r="Q94" s="5"/>
    </row>
    <row r="95" spans="7:17">
      <c r="G95" s="1"/>
      <c r="H95" s="1"/>
      <c r="Q95" s="5"/>
    </row>
    <row r="96" spans="7:17">
      <c r="G96" s="1"/>
      <c r="H96" s="1"/>
      <c r="Q96" s="5"/>
    </row>
    <row r="97" spans="7:17">
      <c r="G97" s="1"/>
      <c r="H97" s="1"/>
      <c r="Q97" s="5"/>
    </row>
    <row r="98" spans="7:17">
      <c r="G98" s="1"/>
      <c r="H98" s="1"/>
      <c r="Q98" s="5"/>
    </row>
    <row r="99" spans="7:17">
      <c r="G99" s="1"/>
      <c r="H99" s="1"/>
      <c r="Q99" s="5"/>
    </row>
    <row r="100" spans="7:17">
      <c r="G100" s="1"/>
      <c r="H100" s="1"/>
      <c r="Q100" s="5"/>
    </row>
    <row r="101" spans="7:17">
      <c r="G101" s="1"/>
      <c r="H101" s="1"/>
      <c r="Q101" s="5"/>
    </row>
    <row r="102" spans="7:17">
      <c r="G102" s="1"/>
      <c r="H102" s="1"/>
      <c r="Q102" s="5"/>
    </row>
    <row r="103" spans="7:17">
      <c r="G103" s="1"/>
      <c r="H103" s="1"/>
      <c r="Q103" s="5"/>
    </row>
    <row r="104" spans="7:17">
      <c r="G104" s="1"/>
      <c r="H104" s="1"/>
      <c r="Q104" s="5"/>
    </row>
    <row r="105" spans="7:17">
      <c r="G105" s="1"/>
      <c r="H105" s="1"/>
      <c r="Q105" s="5"/>
    </row>
    <row r="106" spans="7:17">
      <c r="G106" s="1"/>
      <c r="H106" s="1"/>
      <c r="Q106" s="5"/>
    </row>
    <row r="107" spans="7:17">
      <c r="G107" s="1"/>
      <c r="H107" s="1"/>
      <c r="Q107" s="5"/>
    </row>
    <row r="108" spans="7:17">
      <c r="G108" s="1"/>
      <c r="H108" s="1"/>
      <c r="Q108" s="5"/>
    </row>
    <row r="109" spans="7:17">
      <c r="G109" s="1"/>
      <c r="H109" s="1"/>
      <c r="Q109" s="5"/>
    </row>
    <row r="110" spans="7:17">
      <c r="G110" s="1"/>
      <c r="H110" s="1"/>
      <c r="Q110" s="5"/>
    </row>
    <row r="111" spans="7:17">
      <c r="G111" s="1"/>
      <c r="H111" s="1"/>
      <c r="Q111" s="5"/>
    </row>
    <row r="112" spans="7:17">
      <c r="G112" s="1"/>
      <c r="H112" s="1"/>
      <c r="Q112" s="5"/>
    </row>
    <row r="113" spans="7:17">
      <c r="G113" s="1"/>
      <c r="H113" s="1"/>
      <c r="Q113" s="5"/>
    </row>
    <row r="114" spans="7:17">
      <c r="G114" s="1"/>
      <c r="H114" s="1"/>
      <c r="Q114" s="5"/>
    </row>
    <row r="115" spans="7:17">
      <c r="G115" s="1"/>
      <c r="H115" s="1"/>
      <c r="Q115" s="5"/>
    </row>
    <row r="116" spans="7:17">
      <c r="G116" s="1"/>
      <c r="H116" s="1"/>
      <c r="Q116" s="5"/>
    </row>
    <row r="117" spans="7:17">
      <c r="G117" s="1"/>
      <c r="H117" s="1"/>
      <c r="Q117" s="5"/>
    </row>
    <row r="118" spans="7:17">
      <c r="G118" s="1"/>
      <c r="H118" s="1"/>
      <c r="Q118" s="5"/>
    </row>
    <row r="119" spans="7:17">
      <c r="G119" s="1"/>
      <c r="H119" s="1"/>
      <c r="Q119" s="5"/>
    </row>
    <row r="120" spans="7:17">
      <c r="G120" s="1"/>
      <c r="H120" s="1"/>
      <c r="Q120" s="5"/>
    </row>
    <row r="121" spans="7:17">
      <c r="G121" s="1"/>
      <c r="H121" s="1"/>
      <c r="Q121" s="5"/>
    </row>
    <row r="122" spans="7:17">
      <c r="G122" s="1"/>
      <c r="H122" s="1"/>
      <c r="Q122" s="5"/>
    </row>
    <row r="123" spans="7:17">
      <c r="G123" s="1"/>
      <c r="H123" s="1"/>
      <c r="Q123" s="5"/>
    </row>
    <row r="124" spans="7:17">
      <c r="G124" s="1"/>
      <c r="H124" s="1"/>
      <c r="Q124" s="5"/>
    </row>
    <row r="125" spans="7:17">
      <c r="G125" s="1"/>
      <c r="H125" s="1"/>
      <c r="Q125" s="5"/>
    </row>
    <row r="126" spans="7:17">
      <c r="G126" s="1"/>
      <c r="H126" s="1"/>
      <c r="Q126" s="5"/>
    </row>
    <row r="127" spans="7:17">
      <c r="G127" s="1"/>
      <c r="H127" s="1"/>
      <c r="Q127" s="5"/>
    </row>
  </sheetData>
  <autoFilter ref="B5:R63" xr:uid="{00000000-0001-0000-0900-000000000000}"/>
  <mergeCells count="62">
    <mergeCell ref="K57:K58"/>
    <mergeCell ref="P57:P58"/>
    <mergeCell ref="R56:R58"/>
    <mergeCell ref="E55:E56"/>
    <mergeCell ref="R54:R55"/>
    <mergeCell ref="E53:E54"/>
    <mergeCell ref="R52:R53"/>
    <mergeCell ref="E11:E13"/>
    <mergeCell ref="E19:E20"/>
    <mergeCell ref="E25:E26"/>
    <mergeCell ref="E57:E59"/>
    <mergeCell ref="J57:J58"/>
    <mergeCell ref="E17:E18"/>
    <mergeCell ref="E31:E32"/>
    <mergeCell ref="L8:L9"/>
    <mergeCell ref="P8:P9"/>
    <mergeCell ref="H8:H9"/>
    <mergeCell ref="R13:R15"/>
    <mergeCell ref="E35:E38"/>
    <mergeCell ref="J36:J38"/>
    <mergeCell ref="K36:K38"/>
    <mergeCell ref="L36:L38"/>
    <mergeCell ref="P36:P38"/>
    <mergeCell ref="E21:E22"/>
    <mergeCell ref="R20:R21"/>
    <mergeCell ref="R32:R33"/>
    <mergeCell ref="E14:E16"/>
    <mergeCell ref="R16:R17"/>
    <mergeCell ref="R22:R23"/>
    <mergeCell ref="E23:E24"/>
    <mergeCell ref="R36:R39"/>
    <mergeCell ref="R18:R19"/>
    <mergeCell ref="B1:Q1"/>
    <mergeCell ref="B3:Q3"/>
    <mergeCell ref="B4:Q4"/>
    <mergeCell ref="I5:I7"/>
    <mergeCell ref="L5:L7"/>
    <mergeCell ref="M5:M7"/>
    <mergeCell ref="N5:N7"/>
    <mergeCell ref="O5:O7"/>
    <mergeCell ref="R6:R7"/>
    <mergeCell ref="E8:E10"/>
    <mergeCell ref="F8:F9"/>
    <mergeCell ref="Q8:Q9"/>
    <mergeCell ref="J8:J9"/>
    <mergeCell ref="K8:K9"/>
    <mergeCell ref="R30:R31"/>
    <mergeCell ref="E28:E30"/>
    <mergeCell ref="R34:R35"/>
    <mergeCell ref="R40:R41"/>
    <mergeCell ref="R49:R50"/>
    <mergeCell ref="E50:E52"/>
    <mergeCell ref="E47:E49"/>
    <mergeCell ref="R46:R47"/>
    <mergeCell ref="E33:E34"/>
    <mergeCell ref="P42:P43"/>
    <mergeCell ref="R42:R45"/>
    <mergeCell ref="E41:E43"/>
    <mergeCell ref="J42:J43"/>
    <mergeCell ref="K42:K43"/>
    <mergeCell ref="E45:E46"/>
    <mergeCell ref="E39:E40"/>
  </mergeCells>
  <conditionalFormatting sqref="I52:I63">
    <cfRule type="cellIs" dxfId="29" priority="38" stopIfTrue="1" operator="lessThan">
      <formula>50</formula>
    </cfRule>
  </conditionalFormatting>
  <conditionalFormatting sqref="P8 P10:P36 P39:P42 P44:P57 P59:P63">
    <cfRule type="cellIs" dxfId="28" priority="11" stopIfTrue="1" operator="greaterThan">
      <formula>1.8</formula>
    </cfRule>
  </conditionalFormatting>
  <conditionalFormatting sqref="P75">
    <cfRule type="cellIs" dxfId="27" priority="10" stopIfTrue="1" operator="greaterThan">
      <formula>1.1</formula>
    </cfRule>
  </conditionalFormatting>
  <conditionalFormatting sqref="R13">
    <cfRule type="cellIs" dxfId="26" priority="9" operator="greaterThan">
      <formula>1.8</formula>
    </cfRule>
  </conditionalFormatting>
  <conditionalFormatting sqref="R16 R18 R20 R22">
    <cfRule type="cellIs" dxfId="25" priority="8" operator="greaterThan">
      <formula>1.8</formula>
    </cfRule>
  </conditionalFormatting>
  <conditionalFormatting sqref="R30 R32 R34 R36">
    <cfRule type="cellIs" dxfId="24" priority="7" operator="greaterThan">
      <formula>1.8</formula>
    </cfRule>
  </conditionalFormatting>
  <conditionalFormatting sqref="R40">
    <cfRule type="cellIs" dxfId="23" priority="5" operator="greaterThan">
      <formula>1.8</formula>
    </cfRule>
  </conditionalFormatting>
  <conditionalFormatting sqref="R42">
    <cfRule type="cellIs" dxfId="22" priority="4" operator="greaterThan">
      <formula>1.8</formula>
    </cfRule>
  </conditionalFormatting>
  <conditionalFormatting sqref="R46">
    <cfRule type="cellIs" dxfId="21" priority="3" operator="greaterThan">
      <formula>1.8</formula>
    </cfRule>
  </conditionalFormatting>
  <conditionalFormatting sqref="R49">
    <cfRule type="cellIs" dxfId="20" priority="2" operator="greaterThan">
      <formula>1.8</formula>
    </cfRule>
  </conditionalFormatting>
  <conditionalFormatting sqref="R52 R54 R56">
    <cfRule type="cellIs" dxfId="19" priority="1" operator="greaterThan">
      <formula>1.8</formula>
    </cfRule>
  </conditionalFormatting>
  <pageMargins left="0.25" right="0.25" top="0.75" bottom="0.75" header="0.3" footer="0.3"/>
  <pageSetup paperSize="5" scale="41" orientation="portrait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indexed="11"/>
    <pageSetUpPr fitToPage="1"/>
  </sheetPr>
  <dimension ref="A1:Z125"/>
  <sheetViews>
    <sheetView topLeftCell="A4" zoomScale="80" zoomScaleNormal="80" zoomScaleSheetLayoutView="80" workbookViewId="0">
      <pane xSplit="2" ySplit="4" topLeftCell="C47" activePane="bottomRight" state="frozen"/>
      <selection activeCell="A4" sqref="A4"/>
      <selection pane="topRight" activeCell="B4" sqref="B4"/>
      <selection pane="bottomLeft" activeCell="A8" sqref="A8"/>
      <selection pane="bottomRight" activeCell="R62" sqref="R62"/>
    </sheetView>
  </sheetViews>
  <sheetFormatPr defaultRowHeight="13.2"/>
  <cols>
    <col min="1" max="1" width="2.44140625" customWidth="1"/>
    <col min="2" max="2" width="9.109375" style="82" customWidth="1"/>
    <col min="3" max="3" width="7" style="1" customWidth="1"/>
    <col min="4" max="4" width="44.5546875" style="31" customWidth="1"/>
    <col min="5" max="5" width="13" style="1" customWidth="1"/>
    <col min="6" max="6" width="7.5546875" style="23" customWidth="1"/>
    <col min="7" max="8" width="13.5546875" customWidth="1"/>
    <col min="9" max="9" width="9.44140625" style="7" customWidth="1"/>
    <col min="10" max="10" width="11" style="7" customWidth="1"/>
    <col min="11" max="11" width="13.109375" style="7" customWidth="1"/>
    <col min="12" max="12" width="14" style="7" customWidth="1"/>
    <col min="13" max="13" width="16.88671875" style="7" customWidth="1"/>
    <col min="14" max="14" width="16.5546875" style="7" customWidth="1"/>
    <col min="15" max="15" width="9.44140625" style="7" customWidth="1"/>
    <col min="16" max="16" width="18.33203125" style="25" customWidth="1"/>
    <col min="17" max="17" width="12.109375" style="6" customWidth="1"/>
    <col min="18" max="18" width="11" customWidth="1"/>
    <col min="21" max="21" width="20.88671875" customWidth="1"/>
    <col min="22" max="22" width="13.5546875" customWidth="1"/>
    <col min="23" max="23" width="15.88671875" customWidth="1"/>
    <col min="24" max="24" width="10.5546875" customWidth="1"/>
  </cols>
  <sheetData>
    <row r="1" spans="2:19" ht="25.8">
      <c r="B1" s="324" t="s">
        <v>0</v>
      </c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</row>
    <row r="3" spans="2:19" ht="23.4">
      <c r="B3" s="325" t="s">
        <v>1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</row>
    <row r="4" spans="2:19" ht="21" thickBot="1">
      <c r="B4" s="326">
        <v>45962</v>
      </c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</row>
    <row r="5" spans="2:19" ht="16.8" thickTop="1" thickBot="1">
      <c r="B5" s="158" t="s">
        <v>2</v>
      </c>
      <c r="C5" s="2" t="s">
        <v>3</v>
      </c>
      <c r="D5" s="26" t="s">
        <v>4</v>
      </c>
      <c r="E5" s="2" t="s">
        <v>37</v>
      </c>
      <c r="F5" s="19" t="s">
        <v>12</v>
      </c>
      <c r="G5" s="2" t="s">
        <v>5</v>
      </c>
      <c r="H5" s="2" t="s">
        <v>13</v>
      </c>
      <c r="I5" s="327" t="s">
        <v>26</v>
      </c>
      <c r="J5" s="2" t="s">
        <v>18</v>
      </c>
      <c r="K5" s="2" t="s">
        <v>6</v>
      </c>
      <c r="L5" s="330" t="s">
        <v>22</v>
      </c>
      <c r="M5" s="333" t="s">
        <v>24</v>
      </c>
      <c r="N5" s="333" t="s">
        <v>25</v>
      </c>
      <c r="O5" s="333" t="s">
        <v>23</v>
      </c>
      <c r="P5" s="19" t="s">
        <v>6</v>
      </c>
      <c r="Q5" s="4" t="s">
        <v>9</v>
      </c>
      <c r="R5" s="2" t="s">
        <v>20</v>
      </c>
    </row>
    <row r="6" spans="2:19" ht="16.5" customHeight="1" thickTop="1">
      <c r="B6" s="159"/>
      <c r="C6" s="8"/>
      <c r="D6" s="27"/>
      <c r="E6" s="8" t="s">
        <v>11</v>
      </c>
      <c r="F6" s="20" t="s">
        <v>11</v>
      </c>
      <c r="G6" s="8" t="s">
        <v>6</v>
      </c>
      <c r="H6" s="8" t="s">
        <v>14</v>
      </c>
      <c r="I6" s="328"/>
      <c r="J6" s="8" t="s">
        <v>17</v>
      </c>
      <c r="K6" s="8" t="s">
        <v>17</v>
      </c>
      <c r="L6" s="331"/>
      <c r="M6" s="334"/>
      <c r="N6" s="334"/>
      <c r="O6" s="334"/>
      <c r="P6" s="20" t="s">
        <v>19</v>
      </c>
      <c r="Q6" s="9" t="s">
        <v>10</v>
      </c>
      <c r="R6" s="336" t="s">
        <v>21</v>
      </c>
    </row>
    <row r="7" spans="2:19" ht="16.2" thickBot="1">
      <c r="B7" s="160"/>
      <c r="C7" s="10"/>
      <c r="D7" s="28"/>
      <c r="E7" s="8"/>
      <c r="F7" s="21" t="s">
        <v>15</v>
      </c>
      <c r="G7" s="10"/>
      <c r="H7" s="10" t="s">
        <v>16</v>
      </c>
      <c r="I7" s="329"/>
      <c r="J7" s="8"/>
      <c r="K7" s="10"/>
      <c r="L7" s="332"/>
      <c r="M7" s="335"/>
      <c r="N7" s="335"/>
      <c r="O7" s="335"/>
      <c r="P7" s="21"/>
      <c r="Q7" s="11"/>
      <c r="R7" s="337"/>
    </row>
    <row r="8" spans="2:19" ht="15.6">
      <c r="B8" s="59">
        <v>45964</v>
      </c>
      <c r="C8" s="48">
        <v>1</v>
      </c>
      <c r="D8" s="29" t="s">
        <v>57</v>
      </c>
      <c r="E8" s="354">
        <v>1380</v>
      </c>
      <c r="F8" s="35">
        <f>[3]Nov!$N78</f>
        <v>373</v>
      </c>
      <c r="G8" s="188">
        <v>2546</v>
      </c>
      <c r="H8" s="53">
        <f t="shared" ref="H8:H47" si="0">(G8)*24/(F8/60)/17000*100</f>
        <v>57.818009777637599</v>
      </c>
      <c r="I8" s="54"/>
      <c r="J8" s="53">
        <f>SUM(70,100)</f>
        <v>170</v>
      </c>
      <c r="K8" s="53">
        <f t="shared" ref="K8" si="1">(G8)*0.066</f>
        <v>168.036</v>
      </c>
      <c r="L8" s="53">
        <f t="shared" ref="L8" si="2">J8-K8</f>
        <v>1.9639999999999986</v>
      </c>
      <c r="M8" s="54">
        <f>[3]Nov!$AD8</f>
        <v>433</v>
      </c>
      <c r="N8" s="54">
        <f>12+5</f>
        <v>17</v>
      </c>
      <c r="O8" s="54"/>
      <c r="P8" s="50">
        <f>(J8-K8)/J8*100</f>
        <v>1.1552941176470579</v>
      </c>
      <c r="Q8" s="54">
        <f t="shared" ref="Q8:Q61" si="3">(G8)/(F8/60)</f>
        <v>409.54423592493299</v>
      </c>
      <c r="R8" s="16"/>
    </row>
    <row r="9" spans="2:19" ht="15.6">
      <c r="B9" s="59">
        <v>45964</v>
      </c>
      <c r="C9" s="48">
        <v>1</v>
      </c>
      <c r="D9" s="29" t="s">
        <v>133</v>
      </c>
      <c r="E9" s="354"/>
      <c r="F9" s="35">
        <f>[3]Nov!$N79</f>
        <v>195</v>
      </c>
      <c r="G9" s="17">
        <v>791</v>
      </c>
      <c r="H9" s="53">
        <f t="shared" si="0"/>
        <v>34.360180995475112</v>
      </c>
      <c r="I9" s="54">
        <v>358</v>
      </c>
      <c r="J9" s="318">
        <f>SUM(99.9,60,101.7)-58.8-64.4</f>
        <v>138.4</v>
      </c>
      <c r="K9" s="318">
        <f>(G9+G10)*0.066</f>
        <v>137.74200000000002</v>
      </c>
      <c r="L9" s="53">
        <f t="shared" ref="L9:L57" si="4">J9-K9</f>
        <v>0.65799999999998704</v>
      </c>
      <c r="M9" s="54">
        <f>[3]Nov!$AD9</f>
        <v>206</v>
      </c>
      <c r="N9" s="54">
        <v>3</v>
      </c>
      <c r="O9" s="54"/>
      <c r="P9" s="318">
        <f>(J9-K9)/J9*100</f>
        <v>0.47543352601155137</v>
      </c>
      <c r="Q9" s="54">
        <f t="shared" si="3"/>
        <v>243.38461538461539</v>
      </c>
      <c r="R9" s="381">
        <f>((J10+J9)-(K10+K9))/(J10+J9)*100</f>
        <v>0.47543352601155137</v>
      </c>
    </row>
    <row r="10" spans="2:19" ht="15.6">
      <c r="B10" s="59">
        <v>45964</v>
      </c>
      <c r="C10" s="48">
        <v>1</v>
      </c>
      <c r="D10" s="29" t="s">
        <v>132</v>
      </c>
      <c r="E10" s="366"/>
      <c r="F10" s="35">
        <f>[3]Nov!$N80</f>
        <v>245</v>
      </c>
      <c r="G10" s="17">
        <v>1296</v>
      </c>
      <c r="H10" s="53">
        <f t="shared" si="0"/>
        <v>44.807683073229292</v>
      </c>
      <c r="I10" s="54"/>
      <c r="J10" s="318"/>
      <c r="K10" s="318"/>
      <c r="L10" s="53">
        <f t="shared" si="4"/>
        <v>0</v>
      </c>
      <c r="M10" s="54">
        <f>[3]Nov!$AD10</f>
        <v>119</v>
      </c>
      <c r="N10" s="54">
        <v>2</v>
      </c>
      <c r="O10" s="54"/>
      <c r="P10" s="318"/>
      <c r="Q10" s="54">
        <f t="shared" si="3"/>
        <v>317.38775510204084</v>
      </c>
      <c r="R10" s="381"/>
      <c r="S10" s="37"/>
    </row>
    <row r="11" spans="2:19" ht="15.6">
      <c r="B11" s="59">
        <v>45965</v>
      </c>
      <c r="C11" s="48">
        <v>2</v>
      </c>
      <c r="D11" s="29" t="s">
        <v>132</v>
      </c>
      <c r="E11" s="365">
        <v>1452</v>
      </c>
      <c r="F11" s="35">
        <f>[3]Nov!$N81</f>
        <v>192</v>
      </c>
      <c r="G11" s="17">
        <v>882</v>
      </c>
      <c r="H11" s="53">
        <f t="shared" si="0"/>
        <v>38.911764705882348</v>
      </c>
      <c r="I11" s="54"/>
      <c r="J11" s="318">
        <f>58.8+64.4+102+64.2+99.5+93+104.8+42-15</f>
        <v>613.69999999999993</v>
      </c>
      <c r="K11" s="318">
        <f>(G11+G12)*0.066</f>
        <v>605.22</v>
      </c>
      <c r="L11" s="318">
        <f t="shared" si="4"/>
        <v>8.4799999999999045</v>
      </c>
      <c r="M11" s="54">
        <f>[3]Nov!$AD11</f>
        <v>113</v>
      </c>
      <c r="N11" s="54">
        <f>10</f>
        <v>10</v>
      </c>
      <c r="O11" s="54"/>
      <c r="P11" s="318">
        <f t="shared" ref="P11:P57" si="5">(J11-K11)/J11*100</f>
        <v>1.3817826299494713</v>
      </c>
      <c r="Q11" s="54">
        <f t="shared" si="3"/>
        <v>275.625</v>
      </c>
      <c r="R11" s="322">
        <f>((J13+J11+J12)-(K11+K13+K12))/(J13+J11+J12)*100</f>
        <v>1.3831716239859893</v>
      </c>
      <c r="S11" s="37"/>
    </row>
    <row r="12" spans="2:19" ht="15" customHeight="1">
      <c r="B12" s="59">
        <v>45965</v>
      </c>
      <c r="C12" s="48">
        <v>2</v>
      </c>
      <c r="D12" s="29" t="s">
        <v>49</v>
      </c>
      <c r="E12" s="366"/>
      <c r="F12" s="35">
        <f>[3]Nov!$N82</f>
        <v>1098</v>
      </c>
      <c r="G12" s="17">
        <v>8288</v>
      </c>
      <c r="H12" s="53">
        <f t="shared" si="0"/>
        <v>63.938283510125359</v>
      </c>
      <c r="I12" s="54"/>
      <c r="J12" s="318"/>
      <c r="K12" s="318"/>
      <c r="L12" s="318"/>
      <c r="M12" s="54">
        <f>[3]Nov!$AD12</f>
        <v>234</v>
      </c>
      <c r="N12" s="54">
        <f>16+21</f>
        <v>37</v>
      </c>
      <c r="O12" s="54"/>
      <c r="P12" s="318"/>
      <c r="Q12" s="54">
        <f t="shared" si="3"/>
        <v>452.89617486338796</v>
      </c>
      <c r="R12" s="322"/>
      <c r="S12" s="37"/>
    </row>
    <row r="13" spans="2:19" ht="15.6">
      <c r="B13" s="59">
        <v>45966</v>
      </c>
      <c r="C13" s="48">
        <v>3</v>
      </c>
      <c r="D13" s="29" t="s">
        <v>49</v>
      </c>
      <c r="E13" s="365">
        <v>1426</v>
      </c>
      <c r="F13" s="35">
        <f>[3]Nov!$N83</f>
        <v>21</v>
      </c>
      <c r="G13" s="17">
        <v>224</v>
      </c>
      <c r="H13" s="53">
        <f t="shared" si="0"/>
        <v>90.352941176470608</v>
      </c>
      <c r="I13" s="54"/>
      <c r="J13" s="53">
        <v>15</v>
      </c>
      <c r="K13" s="53">
        <f t="shared" ref="K13:K57" si="6">(G13)*0.066</f>
        <v>14.784000000000001</v>
      </c>
      <c r="L13" s="53">
        <f t="shared" si="4"/>
        <v>0.2159999999999993</v>
      </c>
      <c r="M13" s="54">
        <f>[3]Nov!$AD13</f>
        <v>14</v>
      </c>
      <c r="N13" s="54">
        <v>3</v>
      </c>
      <c r="O13" s="54"/>
      <c r="P13" s="50">
        <f t="shared" si="5"/>
        <v>1.4399999999999953</v>
      </c>
      <c r="Q13" s="54">
        <f t="shared" si="3"/>
        <v>640</v>
      </c>
      <c r="R13" s="322"/>
      <c r="S13" s="37"/>
    </row>
    <row r="14" spans="2:19" ht="15.6">
      <c r="B14" s="59">
        <v>45966</v>
      </c>
      <c r="C14" s="48">
        <v>3</v>
      </c>
      <c r="D14" s="29" t="s">
        <v>62</v>
      </c>
      <c r="E14" s="354"/>
      <c r="F14" s="35">
        <f>[3]Nov!$N84</f>
        <v>329</v>
      </c>
      <c r="G14" s="17">
        <v>2891</v>
      </c>
      <c r="H14" s="53">
        <f t="shared" si="0"/>
        <v>74.433041301627028</v>
      </c>
      <c r="I14" s="54"/>
      <c r="J14" s="53">
        <f>SUM(96,100)</f>
        <v>196</v>
      </c>
      <c r="K14" s="53">
        <f>(G14)*0.066</f>
        <v>190.80600000000001</v>
      </c>
      <c r="L14" s="53">
        <f t="shared" si="4"/>
        <v>5.1939999999999884</v>
      </c>
      <c r="M14" s="54">
        <f>[3]Nov!$AD14</f>
        <v>150</v>
      </c>
      <c r="N14" s="54">
        <f>2+7</f>
        <v>9</v>
      </c>
      <c r="O14" s="54"/>
      <c r="P14" s="50">
        <f t="shared" si="5"/>
        <v>2.6499999999999941</v>
      </c>
      <c r="Q14" s="54">
        <f t="shared" si="3"/>
        <v>527.23404255319144</v>
      </c>
      <c r="R14" s="16"/>
      <c r="S14" s="37"/>
    </row>
    <row r="15" spans="2:19" ht="15.6">
      <c r="B15" s="59">
        <v>45966</v>
      </c>
      <c r="C15" s="48">
        <v>3</v>
      </c>
      <c r="D15" s="29" t="s">
        <v>27</v>
      </c>
      <c r="E15" s="366"/>
      <c r="F15" s="35">
        <f>[3]Nov!$N85</f>
        <v>771</v>
      </c>
      <c r="G15" s="17">
        <v>4542</v>
      </c>
      <c r="H15" s="53">
        <f t="shared" si="0"/>
        <v>49.900663767452514</v>
      </c>
      <c r="I15" s="54"/>
      <c r="J15" s="53">
        <f>SUM(95.5,91.5,93,101.9)-76.6</f>
        <v>305.29999999999995</v>
      </c>
      <c r="K15" s="53">
        <f t="shared" si="6"/>
        <v>299.77199999999999</v>
      </c>
      <c r="L15" s="53">
        <f t="shared" si="4"/>
        <v>5.5279999999999632</v>
      </c>
      <c r="M15" s="54">
        <f>[3]Nov!$AD15</f>
        <v>280</v>
      </c>
      <c r="N15" s="54">
        <f>7+3</f>
        <v>10</v>
      </c>
      <c r="O15" s="54"/>
      <c r="P15" s="50">
        <f t="shared" si="5"/>
        <v>1.8106780216180687</v>
      </c>
      <c r="Q15" s="54">
        <f t="shared" si="3"/>
        <v>353.46303501945528</v>
      </c>
      <c r="R15" s="320">
        <f>((J16+J15)-(K16+K15))/(J16+J15)*100</f>
        <v>1.5141161661571385</v>
      </c>
      <c r="S15" s="37"/>
    </row>
    <row r="16" spans="2:19" ht="15.6">
      <c r="B16" s="59">
        <v>45967</v>
      </c>
      <c r="C16" s="48">
        <v>4</v>
      </c>
      <c r="D16" s="29" t="s">
        <v>27</v>
      </c>
      <c r="E16" s="365">
        <v>1440</v>
      </c>
      <c r="F16" s="35">
        <f>[3]Nov!$N86</f>
        <v>552</v>
      </c>
      <c r="G16" s="17">
        <v>3713</v>
      </c>
      <c r="H16" s="53">
        <f t="shared" si="0"/>
        <v>56.976982097186699</v>
      </c>
      <c r="I16" s="54"/>
      <c r="J16" s="53">
        <f>SUM(98.2,76,76.6)</f>
        <v>250.79999999999998</v>
      </c>
      <c r="K16" s="53">
        <f>(G16)*0.066+ (15*0.19)</f>
        <v>247.90800000000002</v>
      </c>
      <c r="L16" s="53">
        <f t="shared" si="4"/>
        <v>2.8919999999999675</v>
      </c>
      <c r="M16" s="54">
        <f>[3]Nov!$AD16</f>
        <v>311</v>
      </c>
      <c r="N16" s="54">
        <f>5+7</f>
        <v>12</v>
      </c>
      <c r="O16" s="54">
        <v>15</v>
      </c>
      <c r="P16" s="50">
        <f t="shared" si="5"/>
        <v>1.153110047846877</v>
      </c>
      <c r="Q16" s="54">
        <f t="shared" si="3"/>
        <v>403.58695652173918</v>
      </c>
      <c r="R16" s="320"/>
      <c r="S16" s="37"/>
    </row>
    <row r="17" spans="1:26" s="149" customFormat="1" ht="15.6">
      <c r="A17"/>
      <c r="B17" s="59">
        <v>45967</v>
      </c>
      <c r="C17" s="48">
        <v>4</v>
      </c>
      <c r="D17" s="29" t="s">
        <v>129</v>
      </c>
      <c r="E17" s="366"/>
      <c r="F17" s="35">
        <f>[3]Nov!$N87</f>
        <v>399</v>
      </c>
      <c r="G17" s="17">
        <v>2621</v>
      </c>
      <c r="H17" s="53">
        <f t="shared" si="0"/>
        <v>55.642636001769134</v>
      </c>
      <c r="I17" s="54">
        <f>171+560</f>
        <v>731</v>
      </c>
      <c r="J17" s="53">
        <f>SUM(95,93.4)</f>
        <v>188.4</v>
      </c>
      <c r="K17" s="53">
        <f>(G17)*0.0708</f>
        <v>185.5668</v>
      </c>
      <c r="L17" s="53">
        <f t="shared" si="4"/>
        <v>2.833200000000005</v>
      </c>
      <c r="M17" s="54">
        <f>[3]Nov!$AD17</f>
        <v>237</v>
      </c>
      <c r="N17" s="54">
        <v>10</v>
      </c>
      <c r="O17" s="54"/>
      <c r="P17" s="50">
        <f t="shared" si="5"/>
        <v>1.5038216560509581</v>
      </c>
      <c r="Q17" s="54">
        <f t="shared" si="3"/>
        <v>394.13533834586462</v>
      </c>
      <c r="R17" s="393">
        <f>((J18+J17)-(K18+K17))/(J18+J17)*100</f>
        <v>1.1056283731688565</v>
      </c>
      <c r="S17" s="37"/>
      <c r="T17"/>
      <c r="U17"/>
      <c r="V17"/>
      <c r="W17"/>
      <c r="X17"/>
      <c r="Y17"/>
      <c r="Z17"/>
    </row>
    <row r="18" spans="1:26" s="149" customFormat="1" ht="15.6">
      <c r="A18"/>
      <c r="B18" s="59">
        <v>45968</v>
      </c>
      <c r="C18" s="48">
        <v>5</v>
      </c>
      <c r="D18" s="29" t="s">
        <v>87</v>
      </c>
      <c r="E18" s="365">
        <v>1260</v>
      </c>
      <c r="F18" s="35">
        <f>[3]Nov!$N88</f>
        <v>429</v>
      </c>
      <c r="G18" s="17">
        <v>2814</v>
      </c>
      <c r="H18" s="53">
        <f t="shared" si="0"/>
        <v>55.562320032908261</v>
      </c>
      <c r="I18" s="54"/>
      <c r="J18" s="53">
        <f>SUM(100.5,100.2)</f>
        <v>200.7</v>
      </c>
      <c r="K18" s="53">
        <f>(G18)*0.0708</f>
        <v>199.2312</v>
      </c>
      <c r="L18" s="53">
        <f t="shared" si="4"/>
        <v>1.4687999999999874</v>
      </c>
      <c r="M18" s="54">
        <f>[3]Nov!$AD18</f>
        <v>122</v>
      </c>
      <c r="N18" s="193"/>
      <c r="O18" s="54"/>
      <c r="P18" s="50">
        <f t="shared" si="5"/>
        <v>0.73183856502241529</v>
      </c>
      <c r="Q18" s="54">
        <f t="shared" si="3"/>
        <v>393.56643356643355</v>
      </c>
      <c r="R18" s="393"/>
      <c r="S18" s="37"/>
      <c r="T18"/>
      <c r="U18"/>
      <c r="V18"/>
      <c r="W18"/>
      <c r="X18"/>
      <c r="Y18"/>
      <c r="Z18"/>
    </row>
    <row r="19" spans="1:26" s="149" customFormat="1" ht="15.6">
      <c r="A19"/>
      <c r="B19" s="59">
        <v>45968</v>
      </c>
      <c r="C19" s="48">
        <v>5</v>
      </c>
      <c r="D19" s="29" t="s">
        <v>134</v>
      </c>
      <c r="E19" s="354"/>
      <c r="F19" s="35">
        <f>[3]Nov!$N89</f>
        <v>205</v>
      </c>
      <c r="G19" s="17">
        <v>1418</v>
      </c>
      <c r="H19" s="53">
        <f t="shared" si="0"/>
        <v>58.591678622668589</v>
      </c>
      <c r="I19" s="54"/>
      <c r="J19" s="53">
        <f>SUM(97.7)</f>
        <v>97.7</v>
      </c>
      <c r="K19" s="53">
        <f t="shared" si="6"/>
        <v>93.588000000000008</v>
      </c>
      <c r="L19" s="53">
        <f t="shared" si="4"/>
        <v>4.1119999999999948</v>
      </c>
      <c r="M19" s="54">
        <f>[3]Nov!$AD19</f>
        <v>101</v>
      </c>
      <c r="N19" s="54">
        <v>8</v>
      </c>
      <c r="O19" s="54"/>
      <c r="P19" s="50">
        <f t="shared" si="5"/>
        <v>4.208802456499483</v>
      </c>
      <c r="Q19" s="54">
        <f t="shared" si="3"/>
        <v>415.02439024390247</v>
      </c>
      <c r="R19" s="16"/>
      <c r="S19" s="37"/>
      <c r="T19"/>
      <c r="U19"/>
      <c r="V19"/>
      <c r="W19"/>
      <c r="X19"/>
      <c r="Y19"/>
      <c r="Z19"/>
    </row>
    <row r="20" spans="1:26" s="144" customFormat="1" ht="15.6">
      <c r="A20"/>
      <c r="B20" s="59">
        <v>45968</v>
      </c>
      <c r="C20" s="48">
        <v>5</v>
      </c>
      <c r="D20" s="29" t="s">
        <v>135</v>
      </c>
      <c r="E20" s="366"/>
      <c r="F20" s="35">
        <f>[3]Nov!$N90</f>
        <v>157</v>
      </c>
      <c r="G20" s="17">
        <v>1477</v>
      </c>
      <c r="H20" s="53">
        <f t="shared" si="0"/>
        <v>79.688272761333835</v>
      </c>
      <c r="I20" s="54">
        <v>1477</v>
      </c>
      <c r="J20" s="53">
        <v>101.8</v>
      </c>
      <c r="K20" s="53">
        <f t="shared" si="6"/>
        <v>97.481999999999999</v>
      </c>
      <c r="L20" s="53">
        <f t="shared" si="4"/>
        <v>4.3179999999999978</v>
      </c>
      <c r="M20" s="54">
        <f>[3]Nov!$AD20</f>
        <v>70</v>
      </c>
      <c r="N20" s="54">
        <v>5</v>
      </c>
      <c r="O20" s="54"/>
      <c r="P20" s="50">
        <f t="shared" si="5"/>
        <v>4.2416502946954795</v>
      </c>
      <c r="Q20" s="54">
        <f t="shared" si="3"/>
        <v>564.45859872611459</v>
      </c>
      <c r="R20" s="16"/>
      <c r="S20" s="37"/>
      <c r="T20"/>
      <c r="U20"/>
      <c r="V20"/>
      <c r="W20"/>
      <c r="X20"/>
      <c r="Y20"/>
      <c r="Z20"/>
    </row>
    <row r="21" spans="1:26" s="144" customFormat="1" ht="15.6">
      <c r="A21"/>
      <c r="B21" s="59">
        <v>45971</v>
      </c>
      <c r="C21" s="48">
        <v>6</v>
      </c>
      <c r="D21" s="29" t="s">
        <v>45</v>
      </c>
      <c r="E21" s="147">
        <v>910</v>
      </c>
      <c r="F21" s="35">
        <f>[3]Nov!$N91</f>
        <v>358</v>
      </c>
      <c r="G21" s="17">
        <v>2675</v>
      </c>
      <c r="H21" s="53">
        <f t="shared" si="0"/>
        <v>63.29280315478146</v>
      </c>
      <c r="I21" s="54"/>
      <c r="J21" s="53">
        <f>SUM(97,80)</f>
        <v>177</v>
      </c>
      <c r="K21" s="53">
        <f t="shared" si="6"/>
        <v>176.55</v>
      </c>
      <c r="L21" s="53">
        <f t="shared" si="4"/>
        <v>0.44999999999998863</v>
      </c>
      <c r="M21" s="54">
        <f>[3]Nov!$AD21</f>
        <v>595</v>
      </c>
      <c r="N21" s="54">
        <v>14</v>
      </c>
      <c r="O21" s="54"/>
      <c r="P21" s="50">
        <f t="shared" si="5"/>
        <v>0.25423728813558677</v>
      </c>
      <c r="Q21" s="54">
        <f t="shared" si="3"/>
        <v>448.32402234636868</v>
      </c>
      <c r="R21" s="16"/>
      <c r="S21" s="37"/>
      <c r="T21"/>
      <c r="U21"/>
      <c r="V21"/>
      <c r="W21"/>
      <c r="X21"/>
      <c r="Y21"/>
      <c r="Z21"/>
    </row>
    <row r="22" spans="1:26" s="144" customFormat="1" ht="15.6">
      <c r="A22"/>
      <c r="B22" s="59">
        <v>45972</v>
      </c>
      <c r="C22" s="48">
        <v>7</v>
      </c>
      <c r="D22" s="29" t="s">
        <v>136</v>
      </c>
      <c r="E22" s="365">
        <v>855</v>
      </c>
      <c r="F22" s="35">
        <f>[3]Nov!$N92</f>
        <v>593</v>
      </c>
      <c r="G22" s="17">
        <v>2249</v>
      </c>
      <c r="H22" s="53">
        <f t="shared" si="0"/>
        <v>32.125384386469598</v>
      </c>
      <c r="I22" s="54"/>
      <c r="J22" s="318">
        <f>SUM(99.4,97.6,90.8,80.7)-75-75.7</f>
        <v>217.8</v>
      </c>
      <c r="K22" s="318">
        <f>(G22+G23)*0.066</f>
        <v>212.85000000000002</v>
      </c>
      <c r="L22" s="318">
        <f t="shared" si="4"/>
        <v>4.9499999999999886</v>
      </c>
      <c r="M22" s="54">
        <f>[3]Nov!$AD22</f>
        <v>326</v>
      </c>
      <c r="N22" s="319">
        <v>8</v>
      </c>
      <c r="O22" s="54"/>
      <c r="P22" s="318">
        <f t="shared" si="5"/>
        <v>2.2727272727272672</v>
      </c>
      <c r="Q22" s="54">
        <f t="shared" si="3"/>
        <v>227.55480607082632</v>
      </c>
      <c r="R22" s="386">
        <f>((J23+J22+J25+J24+J26+J28+J29+J30)-(K23+K22+K25+K24+K26+K28+K29+K30))/(J23+J22+J25+J24+J26+J28+J29+J30)*100</f>
        <v>2.6703457230968994</v>
      </c>
      <c r="S22" s="37"/>
      <c r="T22"/>
      <c r="U22"/>
      <c r="V22"/>
      <c r="W22"/>
      <c r="X22"/>
      <c r="Y22"/>
      <c r="Z22"/>
    </row>
    <row r="23" spans="1:26" s="144" customFormat="1" ht="15.6">
      <c r="A23"/>
      <c r="B23" s="59">
        <v>45972</v>
      </c>
      <c r="C23" s="48">
        <v>7</v>
      </c>
      <c r="D23" s="29" t="s">
        <v>137</v>
      </c>
      <c r="E23" s="366"/>
      <c r="F23" s="35">
        <f>[3]Nov!$N93</f>
        <v>181</v>
      </c>
      <c r="G23" s="17">
        <v>976</v>
      </c>
      <c r="H23" s="53">
        <f t="shared" si="0"/>
        <v>45.675658108547289</v>
      </c>
      <c r="I23" s="54"/>
      <c r="J23" s="318"/>
      <c r="K23" s="318"/>
      <c r="L23" s="318"/>
      <c r="M23" s="54">
        <f>[3]Nov!$AD23</f>
        <v>56</v>
      </c>
      <c r="N23" s="319"/>
      <c r="O23" s="54"/>
      <c r="P23" s="318"/>
      <c r="Q23" s="54">
        <f t="shared" si="3"/>
        <v>323.53591160220998</v>
      </c>
      <c r="R23" s="386"/>
      <c r="S23" s="37"/>
      <c r="T23"/>
      <c r="U23"/>
      <c r="V23"/>
      <c r="W23"/>
      <c r="X23"/>
      <c r="Y23"/>
      <c r="Z23"/>
    </row>
    <row r="24" spans="1:26" s="144" customFormat="1" ht="15.6">
      <c r="A24"/>
      <c r="B24" s="59">
        <v>45973</v>
      </c>
      <c r="C24" s="48">
        <v>8</v>
      </c>
      <c r="D24" s="29" t="s">
        <v>132</v>
      </c>
      <c r="E24" s="365">
        <v>875</v>
      </c>
      <c r="F24" s="35">
        <f>[3]Nov!$N94</f>
        <v>442</v>
      </c>
      <c r="G24" s="17">
        <v>2013</v>
      </c>
      <c r="H24" s="53">
        <f t="shared" si="0"/>
        <v>38.577588501463936</v>
      </c>
      <c r="I24" s="54"/>
      <c r="J24" s="318">
        <f>SUM(75,75.7,98.6,98.2)-32.3-40.2</f>
        <v>275</v>
      </c>
      <c r="K24" s="318">
        <f>(G24+G25)*0.066+(40*0.19)</f>
        <v>267.77200000000005</v>
      </c>
      <c r="L24" s="318">
        <f t="shared" si="4"/>
        <v>7.2279999999999518</v>
      </c>
      <c r="M24" s="54">
        <f>[3]Nov!$AD24</f>
        <v>308</v>
      </c>
      <c r="N24" s="54">
        <v>24</v>
      </c>
      <c r="O24" s="54">
        <v>40</v>
      </c>
      <c r="P24" s="318">
        <f t="shared" si="5"/>
        <v>2.6283636363636189</v>
      </c>
      <c r="Q24" s="54">
        <f t="shared" si="3"/>
        <v>273.25791855203619</v>
      </c>
      <c r="R24" s="386"/>
      <c r="S24" s="37"/>
      <c r="T24"/>
      <c r="U24"/>
      <c r="V24"/>
      <c r="W24"/>
      <c r="X24"/>
      <c r="Y24"/>
      <c r="Z24"/>
    </row>
    <row r="25" spans="1:26" ht="15.6">
      <c r="B25" s="91">
        <v>45973</v>
      </c>
      <c r="C25" s="87">
        <v>8</v>
      </c>
      <c r="D25" s="29" t="s">
        <v>116</v>
      </c>
      <c r="E25" s="366"/>
      <c r="F25" s="35">
        <f>[3]Nov!$N95</f>
        <v>323</v>
      </c>
      <c r="G25" s="188">
        <v>1929</v>
      </c>
      <c r="H25" s="53">
        <f t="shared" si="0"/>
        <v>50.587506829357118</v>
      </c>
      <c r="I25" s="54"/>
      <c r="J25" s="318"/>
      <c r="K25" s="318"/>
      <c r="L25" s="318"/>
      <c r="M25" s="54">
        <f>[3]Nov!$AD25</f>
        <v>88</v>
      </c>
      <c r="N25" s="54">
        <v>24</v>
      </c>
      <c r="O25" s="54"/>
      <c r="P25" s="318"/>
      <c r="Q25" s="54">
        <f t="shared" si="3"/>
        <v>358.32817337461296</v>
      </c>
      <c r="R25" s="386"/>
      <c r="S25" s="37"/>
    </row>
    <row r="26" spans="1:26" ht="15.6">
      <c r="B26" s="91">
        <v>45974</v>
      </c>
      <c r="C26" s="87">
        <v>9</v>
      </c>
      <c r="D26" s="29" t="s">
        <v>116</v>
      </c>
      <c r="E26" s="365">
        <v>910</v>
      </c>
      <c r="F26" s="35">
        <f>[3]Nov!$N96</f>
        <v>338</v>
      </c>
      <c r="G26" s="17">
        <v>1936</v>
      </c>
      <c r="H26" s="53">
        <f t="shared" si="0"/>
        <v>48.51792551340062</v>
      </c>
      <c r="I26" s="54"/>
      <c r="J26" s="318">
        <f>SUM(95,32.3,40.2,95)-45.7</f>
        <v>216.8</v>
      </c>
      <c r="K26" s="318">
        <f>(G26+G27)*0.066</f>
        <v>212.19</v>
      </c>
      <c r="L26" s="53">
        <f t="shared" si="4"/>
        <v>4.6100000000000136</v>
      </c>
      <c r="M26" s="54">
        <f>[3]Nov!$AD26</f>
        <v>135</v>
      </c>
      <c r="N26" s="54">
        <v>15</v>
      </c>
      <c r="O26" s="54"/>
      <c r="P26" s="318">
        <f t="shared" si="5"/>
        <v>2.1263837638376448</v>
      </c>
      <c r="Q26" s="54">
        <f t="shared" si="3"/>
        <v>343.66863905325442</v>
      </c>
      <c r="R26" s="386"/>
      <c r="S26" s="37"/>
    </row>
    <row r="27" spans="1:26" ht="15.6">
      <c r="B27" s="91">
        <v>45974</v>
      </c>
      <c r="C27" s="87">
        <v>9</v>
      </c>
      <c r="D27" s="29" t="s">
        <v>49</v>
      </c>
      <c r="E27" s="366"/>
      <c r="F27" s="35">
        <f>[3]Nov!$N97</f>
        <v>221</v>
      </c>
      <c r="G27" s="17">
        <v>1279</v>
      </c>
      <c r="H27" s="53">
        <f t="shared" si="0"/>
        <v>49.022092094756466</v>
      </c>
      <c r="I27" s="54"/>
      <c r="J27" s="318"/>
      <c r="K27" s="318"/>
      <c r="L27" s="53">
        <f t="shared" si="4"/>
        <v>0</v>
      </c>
      <c r="M27" s="54">
        <f>[3]Nov!$AD27</f>
        <v>446</v>
      </c>
      <c r="N27" s="54">
        <v>5</v>
      </c>
      <c r="O27" s="54"/>
      <c r="P27" s="318"/>
      <c r="Q27" s="54">
        <f t="shared" si="3"/>
        <v>347.23981900452492</v>
      </c>
      <c r="R27" s="386"/>
      <c r="S27" s="37"/>
    </row>
    <row r="28" spans="1:26" ht="15.6">
      <c r="B28" s="91">
        <v>45975</v>
      </c>
      <c r="C28" s="87">
        <v>10</v>
      </c>
      <c r="D28" s="29" t="s">
        <v>44</v>
      </c>
      <c r="E28" s="147">
        <v>719</v>
      </c>
      <c r="F28" s="35">
        <f>[3]Nov!$N98</f>
        <v>677</v>
      </c>
      <c r="G28" s="17">
        <v>2145</v>
      </c>
      <c r="H28" s="53">
        <f t="shared" si="0"/>
        <v>26.838126683465113</v>
      </c>
      <c r="I28" s="54"/>
      <c r="J28" s="53">
        <f>SUM(100.1,103.3,45.7)-29-79.2</f>
        <v>140.89999999999998</v>
      </c>
      <c r="K28" s="53">
        <f>(G28)*0.066</f>
        <v>141.57</v>
      </c>
      <c r="L28" s="53">
        <f t="shared" si="4"/>
        <v>-0.67000000000001592</v>
      </c>
      <c r="M28" s="54">
        <f>[3]Nov!$AD28</f>
        <v>500</v>
      </c>
      <c r="N28" s="54">
        <f>3+11</f>
        <v>14</v>
      </c>
      <c r="O28" s="54"/>
      <c r="P28" s="50">
        <f t="shared" si="5"/>
        <v>-0.47551454932577436</v>
      </c>
      <c r="Q28" s="54">
        <f t="shared" si="3"/>
        <v>190.10339734121123</v>
      </c>
      <c r="R28" s="386"/>
      <c r="S28" s="37"/>
    </row>
    <row r="29" spans="1:26" s="150" customFormat="1" ht="15.6">
      <c r="A29"/>
      <c r="B29" s="91">
        <v>45978</v>
      </c>
      <c r="C29" s="87">
        <v>11</v>
      </c>
      <c r="D29" s="29" t="s">
        <v>49</v>
      </c>
      <c r="E29" s="147">
        <v>495</v>
      </c>
      <c r="F29" s="35">
        <f>[3]Nov!$N99</f>
        <v>404</v>
      </c>
      <c r="G29" s="17">
        <v>3337</v>
      </c>
      <c r="H29" s="53">
        <f t="shared" si="0"/>
        <v>69.96622015142691</v>
      </c>
      <c r="I29" s="54"/>
      <c r="J29" s="53">
        <f>SUM(95.1,100.2,79.2,107.2)-57.3-93.9</f>
        <v>230.49999999999997</v>
      </c>
      <c r="K29" s="53">
        <f t="shared" si="6"/>
        <v>220.24200000000002</v>
      </c>
      <c r="L29" s="53">
        <f t="shared" si="4"/>
        <v>10.257999999999953</v>
      </c>
      <c r="M29" s="54">
        <f>[3]Nov!$AD29</f>
        <v>85</v>
      </c>
      <c r="N29" s="54">
        <f>3+10</f>
        <v>13</v>
      </c>
      <c r="O29" s="54"/>
      <c r="P29" s="50">
        <f t="shared" si="5"/>
        <v>4.4503253796095246</v>
      </c>
      <c r="Q29" s="54">
        <f t="shared" si="3"/>
        <v>495.59405940594058</v>
      </c>
      <c r="R29" s="386"/>
      <c r="S29" s="37"/>
      <c r="T29"/>
      <c r="U29"/>
      <c r="V29"/>
      <c r="W29"/>
      <c r="X29"/>
      <c r="Y29"/>
      <c r="Z29"/>
    </row>
    <row r="30" spans="1:26" s="150" customFormat="1" ht="18">
      <c r="A30"/>
      <c r="B30" s="91">
        <v>45979</v>
      </c>
      <c r="C30" s="87">
        <v>12</v>
      </c>
      <c r="D30" s="29" t="s">
        <v>44</v>
      </c>
      <c r="E30" s="365">
        <v>1420</v>
      </c>
      <c r="F30" s="35">
        <f>[3]Nov!$N100</f>
        <v>329</v>
      </c>
      <c r="G30" s="17">
        <v>2192</v>
      </c>
      <c r="H30" s="53">
        <f t="shared" si="0"/>
        <v>56.436259610227069</v>
      </c>
      <c r="I30" s="54"/>
      <c r="J30" s="108">
        <f>SUM(57.3,93.9)</f>
        <v>151.19999999999999</v>
      </c>
      <c r="K30" s="53">
        <f t="shared" si="6"/>
        <v>144.672</v>
      </c>
      <c r="L30" s="53">
        <f t="shared" si="4"/>
        <v>6.5279999999999916</v>
      </c>
      <c r="M30" s="54">
        <f>[3]Nov!$AD30</f>
        <v>577</v>
      </c>
      <c r="N30" s="54">
        <f>32+1</f>
        <v>33</v>
      </c>
      <c r="O30" s="54"/>
      <c r="P30" s="50">
        <f t="shared" si="5"/>
        <v>4.3174603174603119</v>
      </c>
      <c r="Q30" s="54">
        <f>(G30)/(F30/60)</f>
        <v>399.75683890577506</v>
      </c>
      <c r="R30" s="386"/>
      <c r="S30" s="37"/>
      <c r="T30"/>
      <c r="U30"/>
      <c r="V30"/>
      <c r="W30"/>
      <c r="X30"/>
      <c r="Y30"/>
      <c r="Z30"/>
    </row>
    <row r="31" spans="1:26" s="150" customFormat="1" ht="15.6">
      <c r="A31"/>
      <c r="B31" s="91">
        <v>45979</v>
      </c>
      <c r="C31" s="87">
        <v>12</v>
      </c>
      <c r="D31" s="29" t="s">
        <v>122</v>
      </c>
      <c r="E31" s="366"/>
      <c r="F31" s="35">
        <f>[3]Nov!$N101</f>
        <v>486</v>
      </c>
      <c r="G31" s="17">
        <v>4057</v>
      </c>
      <c r="H31" s="53">
        <f t="shared" si="0"/>
        <v>70.710239651416117</v>
      </c>
      <c r="I31" s="54"/>
      <c r="J31" s="53">
        <f>SUM(90,99.8,92,93)-44.3-54</f>
        <v>276.5</v>
      </c>
      <c r="K31" s="53">
        <f>(G31)*0.066+ (15*0.19)</f>
        <v>270.61200000000002</v>
      </c>
      <c r="L31" s="53">
        <f t="shared" si="4"/>
        <v>5.8879999999999768</v>
      </c>
      <c r="M31" s="54">
        <f>[3]Nov!$AD31</f>
        <v>91</v>
      </c>
      <c r="N31" s="54">
        <v>15</v>
      </c>
      <c r="O31" s="54"/>
      <c r="P31" s="50">
        <f t="shared" si="5"/>
        <v>2.1294755877034275</v>
      </c>
      <c r="Q31" s="54">
        <f t="shared" si="3"/>
        <v>500.8641975308642</v>
      </c>
      <c r="R31" s="374">
        <f>((J32+J31)-(K32+K31))/(J32+J31)*100</f>
        <v>1.4745395449620695</v>
      </c>
      <c r="S31" s="37"/>
      <c r="T31"/>
      <c r="U31"/>
      <c r="V31"/>
      <c r="W31"/>
      <c r="X31"/>
      <c r="Y31"/>
      <c r="Z31"/>
    </row>
    <row r="32" spans="1:26" s="150" customFormat="1" ht="15.6">
      <c r="A32"/>
      <c r="B32" s="59">
        <v>45980</v>
      </c>
      <c r="C32" s="48">
        <v>13</v>
      </c>
      <c r="D32" s="29" t="s">
        <v>27</v>
      </c>
      <c r="E32" s="365">
        <v>1440</v>
      </c>
      <c r="F32" s="35">
        <f>[3]Nov!$N102</f>
        <v>715</v>
      </c>
      <c r="G32" s="17">
        <v>4167</v>
      </c>
      <c r="H32" s="53">
        <f t="shared" si="0"/>
        <v>49.366351295763067</v>
      </c>
      <c r="I32" s="54"/>
      <c r="J32" s="53">
        <f>SUM(44.3,54,84,95)</f>
        <v>277.3</v>
      </c>
      <c r="K32" s="53">
        <f t="shared" si="6"/>
        <v>275.02199999999999</v>
      </c>
      <c r="L32" s="53">
        <f t="shared" si="4"/>
        <v>2.27800000000002</v>
      </c>
      <c r="M32" s="54">
        <f>[3]Nov!$AD32</f>
        <v>186</v>
      </c>
      <c r="N32" s="54">
        <f>10+3</f>
        <v>13</v>
      </c>
      <c r="O32" s="54"/>
      <c r="P32" s="50">
        <f t="shared" si="5"/>
        <v>0.82149296790480342</v>
      </c>
      <c r="Q32" s="54">
        <f t="shared" si="3"/>
        <v>349.67832167832171</v>
      </c>
      <c r="R32" s="374"/>
      <c r="S32" s="37"/>
      <c r="T32"/>
      <c r="U32"/>
      <c r="V32"/>
      <c r="W32"/>
      <c r="X32"/>
      <c r="Y32"/>
      <c r="Z32"/>
    </row>
    <row r="33" spans="1:26" ht="15.6">
      <c r="B33" s="59">
        <v>45980</v>
      </c>
      <c r="C33" s="48">
        <v>13</v>
      </c>
      <c r="D33" s="29" t="s">
        <v>138</v>
      </c>
      <c r="E33" s="366"/>
      <c r="F33" s="35">
        <f>[3]Nov!$N103</f>
        <v>154</v>
      </c>
      <c r="G33" s="17">
        <v>1746</v>
      </c>
      <c r="H33" s="53">
        <f t="shared" si="0"/>
        <v>96.036669213139788</v>
      </c>
      <c r="I33" s="54"/>
      <c r="J33" s="53">
        <f>SUM(86,85.7,86)-67.8-68.2</f>
        <v>121.69999999999997</v>
      </c>
      <c r="K33" s="53">
        <f>(G33)*0.066</f>
        <v>115.236</v>
      </c>
      <c r="L33" s="53">
        <f t="shared" si="4"/>
        <v>6.4639999999999702</v>
      </c>
      <c r="M33" s="54">
        <f>[3]Nov!$AD33</f>
        <v>472</v>
      </c>
      <c r="N33" s="54">
        <v>10</v>
      </c>
      <c r="O33" s="54"/>
      <c r="P33" s="50">
        <f t="shared" si="5"/>
        <v>5.3114215283483741</v>
      </c>
      <c r="Q33" s="54">
        <f t="shared" si="3"/>
        <v>680.25974025974017</v>
      </c>
      <c r="R33" s="394">
        <f>((J34+J33)-(K34+K33))/(J34+J33)*100</f>
        <v>3.3604749787955801</v>
      </c>
      <c r="S33" s="37"/>
    </row>
    <row r="34" spans="1:26" ht="15.6">
      <c r="B34" s="59">
        <v>45981</v>
      </c>
      <c r="C34" s="48">
        <v>14</v>
      </c>
      <c r="D34" s="29" t="s">
        <v>138</v>
      </c>
      <c r="E34" s="365">
        <v>1434</v>
      </c>
      <c r="F34" s="35">
        <f>[3]Nov!$N104</f>
        <v>576</v>
      </c>
      <c r="G34" s="17">
        <v>3433</v>
      </c>
      <c r="H34" s="53">
        <f t="shared" si="0"/>
        <v>50.485294117647058</v>
      </c>
      <c r="I34" s="54"/>
      <c r="J34" s="53">
        <f>SUM(67.8,68.2,96)</f>
        <v>232</v>
      </c>
      <c r="K34" s="53">
        <f t="shared" si="6"/>
        <v>226.578</v>
      </c>
      <c r="L34" s="53">
        <f t="shared" si="4"/>
        <v>5.421999999999997</v>
      </c>
      <c r="M34" s="54">
        <f>[3]Nov!$AD34</f>
        <v>395</v>
      </c>
      <c r="N34" s="54">
        <f>16+9</f>
        <v>25</v>
      </c>
      <c r="O34" s="54"/>
      <c r="P34" s="50">
        <f t="shared" si="5"/>
        <v>2.3370689655172403</v>
      </c>
      <c r="Q34" s="54">
        <f t="shared" si="3"/>
        <v>357.60416666666669</v>
      </c>
      <c r="R34" s="394"/>
      <c r="S34" s="37"/>
    </row>
    <row r="35" spans="1:26" ht="15.6">
      <c r="B35" s="59">
        <v>45981</v>
      </c>
      <c r="C35" s="48">
        <v>14</v>
      </c>
      <c r="D35" s="29" t="s">
        <v>45</v>
      </c>
      <c r="E35" s="366"/>
      <c r="F35" s="35">
        <f>[3]Nov!$N105</f>
        <v>298</v>
      </c>
      <c r="G35" s="17">
        <v>2264</v>
      </c>
      <c r="H35" s="53">
        <f t="shared" si="0"/>
        <v>64.35373075404658</v>
      </c>
      <c r="I35" s="54"/>
      <c r="J35" s="53">
        <f>SUM(95,91,4)-40</f>
        <v>150</v>
      </c>
      <c r="K35" s="53">
        <f t="shared" si="6"/>
        <v>149.42400000000001</v>
      </c>
      <c r="L35" s="53">
        <f t="shared" si="4"/>
        <v>0.57599999999999341</v>
      </c>
      <c r="M35" s="54">
        <f>[3]Nov!$AD35</f>
        <v>344</v>
      </c>
      <c r="N35" s="54">
        <v>8</v>
      </c>
      <c r="O35" s="54"/>
      <c r="P35" s="50">
        <f t="shared" si="5"/>
        <v>0.38399999999999557</v>
      </c>
      <c r="Q35" s="54">
        <f t="shared" si="3"/>
        <v>455.83892617449663</v>
      </c>
      <c r="R35" s="312">
        <f>((J36+J35)-(K36+K35))/(J36+J35)*100</f>
        <v>0.33999999999999297</v>
      </c>
      <c r="S35" s="37"/>
    </row>
    <row r="36" spans="1:26" ht="15.6">
      <c r="B36" s="59">
        <v>45982</v>
      </c>
      <c r="C36" s="48">
        <v>15</v>
      </c>
      <c r="D36" s="29" t="s">
        <v>45</v>
      </c>
      <c r="E36" s="365">
        <v>1256</v>
      </c>
      <c r="F36" s="35">
        <f>[3]Nov!$N106</f>
        <v>70</v>
      </c>
      <c r="G36" s="17">
        <v>605</v>
      </c>
      <c r="H36" s="53">
        <f t="shared" si="0"/>
        <v>73.210084033613441</v>
      </c>
      <c r="I36" s="54"/>
      <c r="J36" s="53">
        <v>40</v>
      </c>
      <c r="K36" s="53">
        <f t="shared" si="6"/>
        <v>39.93</v>
      </c>
      <c r="L36" s="53">
        <f t="shared" si="4"/>
        <v>7.0000000000000284E-2</v>
      </c>
      <c r="M36" s="54">
        <f>[3]Nov!$AD36</f>
        <v>12</v>
      </c>
      <c r="N36" s="54">
        <v>7</v>
      </c>
      <c r="O36" s="54"/>
      <c r="P36" s="50">
        <f t="shared" si="5"/>
        <v>0.17500000000000071</v>
      </c>
      <c r="Q36" s="54">
        <f t="shared" si="3"/>
        <v>518.57142857142856</v>
      </c>
      <c r="R36" s="312"/>
      <c r="S36" s="37"/>
    </row>
    <row r="37" spans="1:26" ht="15.6">
      <c r="B37" s="59">
        <v>45982</v>
      </c>
      <c r="C37" s="48">
        <v>15</v>
      </c>
      <c r="D37" s="29" t="s">
        <v>30</v>
      </c>
      <c r="E37" s="366"/>
      <c r="F37" s="35">
        <f>[3]Nov!$N107</f>
        <v>1013</v>
      </c>
      <c r="G37" s="17">
        <v>8120</v>
      </c>
      <c r="H37" s="53">
        <f t="shared" si="0"/>
        <v>67.89849602229836</v>
      </c>
      <c r="I37" s="54"/>
      <c r="J37" s="53">
        <f>SUM(98.5,94,95.5,98.7,94.8,63.8)</f>
        <v>545.29999999999995</v>
      </c>
      <c r="K37" s="53">
        <f t="shared" si="6"/>
        <v>535.92000000000007</v>
      </c>
      <c r="L37" s="53">
        <f t="shared" si="4"/>
        <v>9.3799999999998818</v>
      </c>
      <c r="M37" s="54">
        <f>[3]Nov!$AD37</f>
        <v>173</v>
      </c>
      <c r="N37" s="54">
        <f>11+11</f>
        <v>22</v>
      </c>
      <c r="O37" s="54"/>
      <c r="P37" s="50">
        <f t="shared" si="5"/>
        <v>1.7201540436456781</v>
      </c>
      <c r="Q37" s="54">
        <f t="shared" si="3"/>
        <v>480.94768015794671</v>
      </c>
      <c r="R37" s="338">
        <f>((J39+J37+J38+J40+J43)-(K37+K39+K38+K40+K43))/(J39+J37+J38+J40+J43)*100</f>
        <v>2.591204132997738</v>
      </c>
      <c r="S37" s="37"/>
    </row>
    <row r="38" spans="1:26" s="150" customFormat="1" ht="15.6">
      <c r="A38"/>
      <c r="B38" s="59">
        <v>45983</v>
      </c>
      <c r="C38" s="48">
        <v>16</v>
      </c>
      <c r="D38" s="29" t="s">
        <v>44</v>
      </c>
      <c r="E38" s="147">
        <v>916</v>
      </c>
      <c r="F38" s="35">
        <f>[3]Nov!$N108</f>
        <v>534</v>
      </c>
      <c r="G38" s="188">
        <v>3789</v>
      </c>
      <c r="H38" s="53">
        <f t="shared" si="0"/>
        <v>60.103106411103767</v>
      </c>
      <c r="I38" s="54"/>
      <c r="J38" s="53">
        <f>SUM(93.5,95.7,97.5,95.4)-95.3-28.8</f>
        <v>258</v>
      </c>
      <c r="K38" s="53">
        <f>(G38)*0.066</f>
        <v>250.07400000000001</v>
      </c>
      <c r="L38" s="53">
        <f t="shared" si="4"/>
        <v>7.9259999999999877</v>
      </c>
      <c r="M38" s="54">
        <f>[3]Nov!$AD38</f>
        <v>474</v>
      </c>
      <c r="N38" s="54">
        <f>11+13+9</f>
        <v>33</v>
      </c>
      <c r="O38" s="54"/>
      <c r="P38" s="50">
        <f t="shared" si="5"/>
        <v>3.072093023255809</v>
      </c>
      <c r="Q38" s="54">
        <f t="shared" si="3"/>
        <v>425.73033707865164</v>
      </c>
      <c r="R38" s="338"/>
      <c r="S38" s="37"/>
      <c r="T38"/>
      <c r="U38"/>
      <c r="V38"/>
      <c r="W38"/>
      <c r="X38"/>
      <c r="Y38"/>
      <c r="Z38"/>
    </row>
    <row r="39" spans="1:26" ht="15.6">
      <c r="B39" s="59">
        <v>45984</v>
      </c>
      <c r="C39" s="48">
        <v>17</v>
      </c>
      <c r="D39" s="29" t="s">
        <v>49</v>
      </c>
      <c r="E39" s="147">
        <v>1020</v>
      </c>
      <c r="F39" s="35">
        <f>[3]Nov!$N109</f>
        <v>627</v>
      </c>
      <c r="G39" s="17">
        <v>4328</v>
      </c>
      <c r="H39" s="53">
        <f t="shared" si="0"/>
        <v>58.470025330706441</v>
      </c>
      <c r="I39" s="54"/>
      <c r="J39" s="53">
        <f>SUM(28.8,95.3,95,92.8)-16</f>
        <v>295.89999999999998</v>
      </c>
      <c r="K39" s="53">
        <f>(G39)*0.066</f>
        <v>285.64800000000002</v>
      </c>
      <c r="L39" s="53">
        <f t="shared" si="4"/>
        <v>10.251999999999953</v>
      </c>
      <c r="M39" s="54">
        <f>[3]Nov!$AD39</f>
        <v>480</v>
      </c>
      <c r="N39" s="54">
        <v>39</v>
      </c>
      <c r="O39" s="54"/>
      <c r="P39" s="50">
        <f t="shared" si="5"/>
        <v>3.4646840148698725</v>
      </c>
      <c r="Q39" s="54">
        <f t="shared" si="3"/>
        <v>414.16267942583733</v>
      </c>
      <c r="R39" s="338"/>
      <c r="S39" s="37"/>
    </row>
    <row r="40" spans="1:26" ht="15.6">
      <c r="B40" s="59">
        <v>45986</v>
      </c>
      <c r="C40" s="48">
        <v>18</v>
      </c>
      <c r="D40" s="29" t="s">
        <v>49</v>
      </c>
      <c r="E40" s="365">
        <v>720</v>
      </c>
      <c r="F40" s="35">
        <f>[3]Nov!$N110</f>
        <v>211</v>
      </c>
      <c r="G40" s="17">
        <v>1369</v>
      </c>
      <c r="H40" s="53">
        <f t="shared" si="0"/>
        <v>54.958461109562307</v>
      </c>
      <c r="I40" s="54"/>
      <c r="J40" s="318">
        <f>SUM(99,110,103,98.6)-85.2-67.5</f>
        <v>257.90000000000003</v>
      </c>
      <c r="K40" s="318">
        <f>(G40+G41+G42)*0.066</f>
        <v>253.90200000000002</v>
      </c>
      <c r="L40" s="53">
        <f t="shared" si="4"/>
        <v>3.9980000000000189</v>
      </c>
      <c r="M40" s="54">
        <f>[3]Nov!$AD41</f>
        <v>170</v>
      </c>
      <c r="N40" s="54">
        <v>6</v>
      </c>
      <c r="O40" s="54"/>
      <c r="P40" s="318">
        <f t="shared" si="5"/>
        <v>1.5502132609538652</v>
      </c>
      <c r="Q40" s="54">
        <f t="shared" si="3"/>
        <v>389.28909952606637</v>
      </c>
      <c r="R40" s="338"/>
      <c r="S40" s="37"/>
    </row>
    <row r="41" spans="1:26" ht="15.6">
      <c r="B41" s="59">
        <v>45986</v>
      </c>
      <c r="C41" s="48">
        <v>18</v>
      </c>
      <c r="D41" s="29" t="s">
        <v>121</v>
      </c>
      <c r="E41" s="354"/>
      <c r="F41" s="35">
        <f>[3]Nov!$N111</f>
        <v>233</v>
      </c>
      <c r="G41" s="17">
        <v>1351</v>
      </c>
      <c r="H41" s="53">
        <f t="shared" si="0"/>
        <v>49.114869982327704</v>
      </c>
      <c r="I41" s="54"/>
      <c r="J41" s="318"/>
      <c r="K41" s="318"/>
      <c r="L41" s="53">
        <f t="shared" si="4"/>
        <v>0</v>
      </c>
      <c r="M41" s="54">
        <f>[3]Nov!$AD42</f>
        <v>79</v>
      </c>
      <c r="N41" s="54">
        <v>14</v>
      </c>
      <c r="O41" s="54"/>
      <c r="P41" s="318"/>
      <c r="Q41" s="54">
        <f t="shared" si="3"/>
        <v>347.89699570815452</v>
      </c>
      <c r="R41" s="338"/>
    </row>
    <row r="42" spans="1:26" ht="15.6">
      <c r="B42" s="59">
        <v>45986</v>
      </c>
      <c r="C42" s="48">
        <v>18</v>
      </c>
      <c r="D42" s="29" t="s">
        <v>49</v>
      </c>
      <c r="E42" s="366"/>
      <c r="F42" s="35">
        <f>[3]Nov!$N112</f>
        <v>233</v>
      </c>
      <c r="G42" s="17">
        <v>1127</v>
      </c>
      <c r="H42" s="53">
        <f t="shared" si="0"/>
        <v>40.971471850542798</v>
      </c>
      <c r="I42" s="54"/>
      <c r="J42" s="318"/>
      <c r="K42" s="318"/>
      <c r="L42" s="53">
        <f t="shared" si="4"/>
        <v>0</v>
      </c>
      <c r="M42" s="54">
        <f>[3]Nov!$AD43</f>
        <v>137</v>
      </c>
      <c r="N42" s="54">
        <f>17+2</f>
        <v>19</v>
      </c>
      <c r="O42" s="54"/>
      <c r="P42" s="318"/>
      <c r="Q42" s="54">
        <f t="shared" si="3"/>
        <v>290.21459227467813</v>
      </c>
      <c r="R42" s="338"/>
    </row>
    <row r="43" spans="1:26" ht="15.6">
      <c r="B43" s="59">
        <v>45987</v>
      </c>
      <c r="C43" s="48">
        <v>19</v>
      </c>
      <c r="D43" s="29" t="s">
        <v>49</v>
      </c>
      <c r="E43" s="365">
        <v>1430</v>
      </c>
      <c r="F43" s="35">
        <f>[3]Nov!$N113</f>
        <v>420</v>
      </c>
      <c r="G43" s="17">
        <v>2199</v>
      </c>
      <c r="H43" s="53">
        <f t="shared" si="0"/>
        <v>44.349579831932772</v>
      </c>
      <c r="I43" s="54"/>
      <c r="J43" s="53">
        <f>SUM(85.2,67.5)</f>
        <v>152.69999999999999</v>
      </c>
      <c r="K43" s="53">
        <f t="shared" si="6"/>
        <v>145.13400000000001</v>
      </c>
      <c r="L43" s="53">
        <f t="shared" si="4"/>
        <v>7.5659999999999741</v>
      </c>
      <c r="M43" s="54">
        <f>[3]Nov!$AD44</f>
        <v>365</v>
      </c>
      <c r="N43" s="54">
        <v>5</v>
      </c>
      <c r="O43" s="54"/>
      <c r="P43" s="50">
        <f t="shared" si="5"/>
        <v>4.9548133595284707</v>
      </c>
      <c r="Q43" s="54">
        <f t="shared" si="3"/>
        <v>314.14285714285717</v>
      </c>
      <c r="R43" s="338"/>
    </row>
    <row r="44" spans="1:26" ht="15.6">
      <c r="B44" s="59">
        <v>45987</v>
      </c>
      <c r="C44" s="48">
        <v>20</v>
      </c>
      <c r="D44" s="29" t="s">
        <v>139</v>
      </c>
      <c r="E44" s="366"/>
      <c r="F44" s="35">
        <f>[3]Nov!$N114</f>
        <v>591</v>
      </c>
      <c r="G44" s="17">
        <v>3895</v>
      </c>
      <c r="H44" s="53">
        <f t="shared" si="0"/>
        <v>55.8256195879367</v>
      </c>
      <c r="I44" s="54"/>
      <c r="J44" s="53">
        <f>SUM(90,92,90)</f>
        <v>272</v>
      </c>
      <c r="K44" s="53">
        <f t="shared" si="6"/>
        <v>257.07</v>
      </c>
      <c r="L44" s="53">
        <f t="shared" si="4"/>
        <v>14.930000000000007</v>
      </c>
      <c r="M44" s="54">
        <f>[3]Nov!$AD45</f>
        <v>303</v>
      </c>
      <c r="N44" s="54">
        <f>6+9</f>
        <v>15</v>
      </c>
      <c r="O44" s="54"/>
      <c r="P44" s="50">
        <f t="shared" si="5"/>
        <v>5.4889705882352962</v>
      </c>
      <c r="Q44" s="54">
        <f t="shared" si="3"/>
        <v>395.43147208121826</v>
      </c>
      <c r="R44" s="395">
        <f>((J45+J44)-(K45+K44))/(J45+J44)*100</f>
        <v>4.1935483870967785</v>
      </c>
    </row>
    <row r="45" spans="1:26" ht="15.6">
      <c r="B45" s="59">
        <v>45988</v>
      </c>
      <c r="C45" s="48">
        <v>21</v>
      </c>
      <c r="D45" s="29" t="s">
        <v>139</v>
      </c>
      <c r="E45" s="365">
        <v>1440</v>
      </c>
      <c r="F45" s="35">
        <f>[3]Nov!$N115</f>
        <v>1223</v>
      </c>
      <c r="G45" s="17">
        <v>3755</v>
      </c>
      <c r="H45" s="53">
        <f t="shared" si="0"/>
        <v>26.007407051127888</v>
      </c>
      <c r="I45" s="54"/>
      <c r="J45" s="53">
        <f>85+85+85</f>
        <v>255</v>
      </c>
      <c r="K45" s="53">
        <f t="shared" si="6"/>
        <v>247.83</v>
      </c>
      <c r="L45" s="53">
        <f t="shared" si="4"/>
        <v>7.1699999999999875</v>
      </c>
      <c r="M45" s="54">
        <f>[3]Nov!$AD46</f>
        <v>771</v>
      </c>
      <c r="N45" s="54">
        <f>5+5+3</f>
        <v>13</v>
      </c>
      <c r="O45" s="54"/>
      <c r="P45" s="50">
        <f t="shared" si="5"/>
        <v>2.8117647058823478</v>
      </c>
      <c r="Q45" s="54">
        <f t="shared" si="3"/>
        <v>184.21913327882257</v>
      </c>
      <c r="R45" s="395"/>
    </row>
    <row r="46" spans="1:26" ht="15.6">
      <c r="B46" s="59">
        <v>45988</v>
      </c>
      <c r="C46" s="48">
        <v>21</v>
      </c>
      <c r="D46" s="29" t="s">
        <v>138</v>
      </c>
      <c r="E46" s="366"/>
      <c r="F46" s="35">
        <f>[3]Nov!$N116</f>
        <v>119</v>
      </c>
      <c r="G46" s="17">
        <v>648</v>
      </c>
      <c r="H46" s="53">
        <f t="shared" si="0"/>
        <v>46.12555610479486</v>
      </c>
      <c r="I46" s="54"/>
      <c r="J46" s="53">
        <f>76+77-2-103.2</f>
        <v>47.8</v>
      </c>
      <c r="K46" s="53">
        <f t="shared" si="6"/>
        <v>42.768000000000001</v>
      </c>
      <c r="L46" s="53">
        <f t="shared" si="4"/>
        <v>5.0319999999999965</v>
      </c>
      <c r="M46" s="54">
        <f>[3]Nov!$AD47</f>
        <v>81</v>
      </c>
      <c r="N46" s="54">
        <v>7</v>
      </c>
      <c r="O46" s="54"/>
      <c r="P46" s="50">
        <f>(J46-K46)/J46*100</f>
        <v>10.527196652719658</v>
      </c>
      <c r="Q46" s="54">
        <f t="shared" si="3"/>
        <v>326.72268907563023</v>
      </c>
      <c r="R46" s="394">
        <f>((J47+J46)-(K47+K46))/(J47+J46)*100</f>
        <v>4.1490196078431456</v>
      </c>
    </row>
    <row r="47" spans="1:26" ht="15.6">
      <c r="B47" s="59">
        <v>45989</v>
      </c>
      <c r="C47" s="48">
        <v>22</v>
      </c>
      <c r="D47" s="29" t="s">
        <v>138</v>
      </c>
      <c r="E47" s="365">
        <v>1250</v>
      </c>
      <c r="F47" s="35">
        <f>[3]Nov!$N117</f>
        <v>275</v>
      </c>
      <c r="G47" s="17">
        <v>1574</v>
      </c>
      <c r="H47" s="53">
        <f t="shared" si="0"/>
        <v>48.482566844919781</v>
      </c>
      <c r="I47" s="54">
        <v>6</v>
      </c>
      <c r="J47" s="53">
        <f>SUM(2,103.2)</f>
        <v>105.2</v>
      </c>
      <c r="K47" s="53">
        <f t="shared" si="6"/>
        <v>103.884</v>
      </c>
      <c r="L47" s="53">
        <f t="shared" si="4"/>
        <v>1.3160000000000025</v>
      </c>
      <c r="M47" s="54">
        <f>[3]Nov!$AD48</f>
        <v>199</v>
      </c>
      <c r="N47" s="54">
        <f>12+5+16</f>
        <v>33</v>
      </c>
      <c r="O47" s="54"/>
      <c r="P47" s="50">
        <f t="shared" si="5"/>
        <v>1.2509505703422077</v>
      </c>
      <c r="Q47" s="54">
        <f t="shared" si="3"/>
        <v>343.41818181818184</v>
      </c>
      <c r="R47" s="394"/>
    </row>
    <row r="48" spans="1:26" ht="15.6">
      <c r="B48" s="59">
        <v>45989</v>
      </c>
      <c r="C48" s="48">
        <v>22</v>
      </c>
      <c r="D48" s="29" t="s">
        <v>27</v>
      </c>
      <c r="E48" s="366"/>
      <c r="F48" s="35">
        <f>[3]Nov!$N118</f>
        <v>633</v>
      </c>
      <c r="G48" s="17">
        <v>4358</v>
      </c>
      <c r="H48" s="53">
        <f>(G48)*24/(F48/60)/17000*100</f>
        <v>58.317256760524103</v>
      </c>
      <c r="I48" s="54">
        <v>9</v>
      </c>
      <c r="J48" s="53">
        <f>SUM(95.5,98.8,86,100.2)-29.7-57.8</f>
        <v>293</v>
      </c>
      <c r="K48" s="53">
        <f t="shared" si="6"/>
        <v>287.62799999999999</v>
      </c>
      <c r="L48" s="53">
        <f t="shared" si="4"/>
        <v>5.3720000000000141</v>
      </c>
      <c r="M48" s="54">
        <f>[3]Nov!$AD49</f>
        <v>260</v>
      </c>
      <c r="N48" s="54">
        <v>17</v>
      </c>
      <c r="O48" s="54"/>
      <c r="P48" s="50">
        <f t="shared" si="5"/>
        <v>1.833447098976114</v>
      </c>
      <c r="Q48" s="54">
        <f t="shared" si="3"/>
        <v>413.08056872037912</v>
      </c>
      <c r="R48" s="16"/>
    </row>
    <row r="49" spans="2:21" ht="15.6">
      <c r="B49" s="91"/>
      <c r="C49" s="87"/>
      <c r="D49" s="29"/>
      <c r="E49" s="147"/>
      <c r="F49" s="35"/>
      <c r="G49" s="17"/>
      <c r="H49" s="53" t="e">
        <f>(G49)*24/(F49/60)/17000*100</f>
        <v>#DIV/0!</v>
      </c>
      <c r="I49" s="54"/>
      <c r="J49" s="53"/>
      <c r="K49" s="53">
        <f t="shared" si="6"/>
        <v>0</v>
      </c>
      <c r="L49" s="53">
        <f t="shared" si="4"/>
        <v>0</v>
      </c>
      <c r="M49" s="54">
        <f>[3]Nov!$AD50</f>
        <v>0</v>
      </c>
      <c r="N49" s="54"/>
      <c r="O49" s="54"/>
      <c r="P49" s="50" t="e">
        <f t="shared" si="5"/>
        <v>#DIV/0!</v>
      </c>
      <c r="Q49" s="54" t="e">
        <f t="shared" si="3"/>
        <v>#DIV/0!</v>
      </c>
      <c r="R49" s="16"/>
    </row>
    <row r="50" spans="2:21" ht="15.6">
      <c r="B50" s="91"/>
      <c r="C50" s="87"/>
      <c r="D50" s="29"/>
      <c r="E50" s="147"/>
      <c r="F50" s="35"/>
      <c r="G50" s="17"/>
      <c r="H50" s="53" t="e">
        <f>(G50)*24/(F50/60)/17000*100</f>
        <v>#DIV/0!</v>
      </c>
      <c r="I50" s="54"/>
      <c r="J50" s="53"/>
      <c r="K50" s="53">
        <f t="shared" si="6"/>
        <v>0</v>
      </c>
      <c r="L50" s="53">
        <f t="shared" si="4"/>
        <v>0</v>
      </c>
      <c r="M50" s="54">
        <f>[3]Nov!$AD51</f>
        <v>0</v>
      </c>
      <c r="N50" s="54"/>
      <c r="O50" s="54"/>
      <c r="P50" s="50" t="e">
        <f t="shared" si="5"/>
        <v>#DIV/0!</v>
      </c>
      <c r="Q50" s="54" t="e">
        <f t="shared" si="3"/>
        <v>#DIV/0!</v>
      </c>
      <c r="R50" s="16"/>
    </row>
    <row r="51" spans="2:21" ht="15.6">
      <c r="B51" s="91"/>
      <c r="C51" s="87"/>
      <c r="D51" s="29"/>
      <c r="E51" s="147"/>
      <c r="F51" s="35"/>
      <c r="G51" s="17"/>
      <c r="H51" s="53" t="e">
        <f>(G51)*24/(F51/60)/17000*100</f>
        <v>#DIV/0!</v>
      </c>
      <c r="I51" s="54"/>
      <c r="J51" s="53"/>
      <c r="K51" s="53">
        <f t="shared" si="6"/>
        <v>0</v>
      </c>
      <c r="L51" s="53">
        <f t="shared" si="4"/>
        <v>0</v>
      </c>
      <c r="M51" s="54">
        <f>[3]Nov!$AD52</f>
        <v>0</v>
      </c>
      <c r="N51" s="54"/>
      <c r="O51" s="54"/>
      <c r="P51" s="50" t="e">
        <f t="shared" si="5"/>
        <v>#DIV/0!</v>
      </c>
      <c r="Q51" s="54" t="e">
        <f t="shared" si="3"/>
        <v>#DIV/0!</v>
      </c>
      <c r="R51" s="16"/>
    </row>
    <row r="52" spans="2:21" ht="15.6">
      <c r="B52" s="91"/>
      <c r="C52" s="87"/>
      <c r="D52" s="29"/>
      <c r="E52" s="147"/>
      <c r="F52" s="35"/>
      <c r="G52" s="17"/>
      <c r="H52" s="53" t="e">
        <f t="shared" ref="H52:H59" si="7">(G52)*24/(F52/60)/17000*100</f>
        <v>#DIV/0!</v>
      </c>
      <c r="I52" s="54"/>
      <c r="J52" s="53"/>
      <c r="K52" s="53">
        <f t="shared" si="6"/>
        <v>0</v>
      </c>
      <c r="L52" s="53">
        <f t="shared" si="4"/>
        <v>0</v>
      </c>
      <c r="M52" s="54">
        <f>[3]Nov!$AD53</f>
        <v>0</v>
      </c>
      <c r="N52" s="54"/>
      <c r="O52" s="54"/>
      <c r="P52" s="50" t="e">
        <f t="shared" si="5"/>
        <v>#DIV/0!</v>
      </c>
      <c r="Q52" s="54" t="e">
        <f t="shared" si="3"/>
        <v>#DIV/0!</v>
      </c>
      <c r="R52" s="16"/>
    </row>
    <row r="53" spans="2:21" ht="15.6">
      <c r="B53" s="91"/>
      <c r="C53" s="87"/>
      <c r="D53" s="201"/>
      <c r="E53" s="147"/>
      <c r="F53" s="35"/>
      <c r="G53" s="17"/>
      <c r="H53" s="53" t="e">
        <f t="shared" si="7"/>
        <v>#DIV/0!</v>
      </c>
      <c r="I53" s="54"/>
      <c r="J53" s="53"/>
      <c r="K53" s="53">
        <f t="shared" si="6"/>
        <v>0</v>
      </c>
      <c r="L53" s="53">
        <f t="shared" si="4"/>
        <v>0</v>
      </c>
      <c r="M53" s="54">
        <f>[3]Nov!$AD54</f>
        <v>0</v>
      </c>
      <c r="N53" s="54"/>
      <c r="O53" s="54"/>
      <c r="P53" s="50" t="e">
        <f t="shared" si="5"/>
        <v>#DIV/0!</v>
      </c>
      <c r="Q53" s="54" t="e">
        <f t="shared" si="3"/>
        <v>#DIV/0!</v>
      </c>
      <c r="R53" s="16"/>
    </row>
    <row r="54" spans="2:21" ht="15.6">
      <c r="B54" s="91"/>
      <c r="C54" s="87"/>
      <c r="D54" s="29"/>
      <c r="E54" s="147"/>
      <c r="F54" s="35"/>
      <c r="G54" s="17"/>
      <c r="H54" s="53" t="e">
        <f t="shared" si="7"/>
        <v>#DIV/0!</v>
      </c>
      <c r="I54" s="54"/>
      <c r="J54" s="53"/>
      <c r="K54" s="53">
        <f t="shared" si="6"/>
        <v>0</v>
      </c>
      <c r="L54" s="53">
        <f t="shared" si="4"/>
        <v>0</v>
      </c>
      <c r="M54" s="54"/>
      <c r="N54" s="54"/>
      <c r="O54" s="54"/>
      <c r="P54" s="50" t="e">
        <f t="shared" si="5"/>
        <v>#DIV/0!</v>
      </c>
      <c r="Q54" s="54" t="e">
        <f t="shared" si="3"/>
        <v>#DIV/0!</v>
      </c>
      <c r="R54" s="16"/>
    </row>
    <row r="55" spans="2:21" ht="15.6">
      <c r="B55" s="162"/>
      <c r="C55" s="90"/>
      <c r="D55" s="29"/>
      <c r="E55" s="147"/>
      <c r="F55" s="35"/>
      <c r="G55" s="17"/>
      <c r="H55" s="53" t="e">
        <f t="shared" si="7"/>
        <v>#DIV/0!</v>
      </c>
      <c r="I55" s="54"/>
      <c r="J55" s="53"/>
      <c r="K55" s="53">
        <f t="shared" si="6"/>
        <v>0</v>
      </c>
      <c r="L55" s="53">
        <f t="shared" si="4"/>
        <v>0</v>
      </c>
      <c r="M55" s="54"/>
      <c r="N55" s="54"/>
      <c r="O55" s="54"/>
      <c r="P55" s="50" t="e">
        <f t="shared" si="5"/>
        <v>#DIV/0!</v>
      </c>
      <c r="Q55" s="54" t="e">
        <f t="shared" si="3"/>
        <v>#DIV/0!</v>
      </c>
      <c r="R55" s="16"/>
    </row>
    <row r="56" spans="2:21" ht="15.6">
      <c r="B56" s="162"/>
      <c r="C56" s="90"/>
      <c r="D56" s="29"/>
      <c r="E56" s="147"/>
      <c r="F56" s="35"/>
      <c r="G56" s="17"/>
      <c r="H56" s="53" t="e">
        <f t="shared" si="7"/>
        <v>#DIV/0!</v>
      </c>
      <c r="I56" s="54"/>
      <c r="J56" s="32"/>
      <c r="K56" s="53">
        <f t="shared" si="6"/>
        <v>0</v>
      </c>
      <c r="L56" s="53">
        <f t="shared" si="4"/>
        <v>0</v>
      </c>
      <c r="M56" s="54"/>
      <c r="N56" s="49"/>
      <c r="O56" s="54"/>
      <c r="P56" s="50" t="e">
        <f t="shared" si="5"/>
        <v>#DIV/0!</v>
      </c>
      <c r="Q56" s="54" t="e">
        <f t="shared" si="3"/>
        <v>#DIV/0!</v>
      </c>
      <c r="R56" s="16"/>
    </row>
    <row r="57" spans="2:21" ht="16.2" thickBot="1">
      <c r="B57" s="162"/>
      <c r="C57" s="90"/>
      <c r="D57" s="29"/>
      <c r="E57" s="147"/>
      <c r="F57" s="35"/>
      <c r="G57" s="17"/>
      <c r="H57" s="53" t="e">
        <f t="shared" si="7"/>
        <v>#DIV/0!</v>
      </c>
      <c r="I57" s="54"/>
      <c r="J57" s="32"/>
      <c r="K57" s="53">
        <f t="shared" si="6"/>
        <v>0</v>
      </c>
      <c r="L57" s="53">
        <f t="shared" si="4"/>
        <v>0</v>
      </c>
      <c r="M57" s="54"/>
      <c r="N57" s="49"/>
      <c r="O57" s="54"/>
      <c r="P57" s="50" t="e">
        <f t="shared" si="5"/>
        <v>#DIV/0!</v>
      </c>
      <c r="Q57" s="54" t="e">
        <f t="shared" si="3"/>
        <v>#DIV/0!</v>
      </c>
      <c r="R57" s="16"/>
    </row>
    <row r="58" spans="2:21" ht="16.2" hidden="1" thickBot="1">
      <c r="B58" s="162"/>
      <c r="C58" s="90"/>
      <c r="D58" s="29"/>
      <c r="E58" s="147"/>
      <c r="F58" s="35"/>
      <c r="G58" s="17"/>
      <c r="H58" s="53" t="e">
        <f t="shared" si="7"/>
        <v>#DIV/0!</v>
      </c>
      <c r="I58" s="54"/>
      <c r="J58" s="53"/>
      <c r="K58" s="53">
        <f t="shared" ref="K58:K59" si="8">(G58)*0.066</f>
        <v>0</v>
      </c>
      <c r="L58" s="53">
        <f t="shared" ref="L58:L59" si="9">J58-K58</f>
        <v>0</v>
      </c>
      <c r="M58" s="54"/>
      <c r="N58" s="54"/>
      <c r="O58" s="54"/>
      <c r="P58" s="50" t="e">
        <f>(J58-K58)/J58*100</f>
        <v>#DIV/0!</v>
      </c>
      <c r="Q58" s="54" t="e">
        <f t="shared" si="3"/>
        <v>#DIV/0!</v>
      </c>
      <c r="R58" s="16"/>
    </row>
    <row r="59" spans="2:21" ht="16.2" hidden="1" thickBot="1">
      <c r="B59" s="162"/>
      <c r="C59" s="90"/>
      <c r="D59" s="29"/>
      <c r="E59" s="147"/>
      <c r="F59" s="35"/>
      <c r="G59" s="17"/>
      <c r="H59" s="53" t="e">
        <f t="shared" si="7"/>
        <v>#DIV/0!</v>
      </c>
      <c r="I59" s="54"/>
      <c r="J59" s="53"/>
      <c r="K59" s="53">
        <f t="shared" si="8"/>
        <v>0</v>
      </c>
      <c r="L59" s="53">
        <f t="shared" si="9"/>
        <v>0</v>
      </c>
      <c r="M59" s="54"/>
      <c r="N59" s="54"/>
      <c r="O59" s="54"/>
      <c r="P59" s="50" t="e">
        <f>(J59-K59)/J59*100</f>
        <v>#DIV/0!</v>
      </c>
      <c r="Q59" s="54" t="e">
        <f t="shared" si="3"/>
        <v>#DIV/0!</v>
      </c>
      <c r="R59" s="16"/>
    </row>
    <row r="60" spans="2:21" ht="16.2" hidden="1" thickBot="1">
      <c r="B60" s="162"/>
      <c r="C60" s="90"/>
      <c r="D60" s="29"/>
      <c r="E60" s="147"/>
      <c r="F60" s="35"/>
      <c r="G60" s="17"/>
      <c r="H60" s="53" t="e">
        <f>(G60)*24/(F60/60)/17000*100</f>
        <v>#DIV/0!</v>
      </c>
      <c r="I60" s="54"/>
      <c r="J60" s="53"/>
      <c r="K60" s="53"/>
      <c r="L60" s="53">
        <f>J60-K60</f>
        <v>0</v>
      </c>
      <c r="M60" s="54"/>
      <c r="N60" s="54"/>
      <c r="O60" s="54"/>
      <c r="P60" s="50" t="e">
        <f>(J60-K60)/J60*100</f>
        <v>#DIV/0!</v>
      </c>
      <c r="Q60" s="54" t="e">
        <f t="shared" si="3"/>
        <v>#DIV/0!</v>
      </c>
      <c r="R60" s="16"/>
    </row>
    <row r="61" spans="2:21" ht="16.2" hidden="1" thickBot="1">
      <c r="B61" s="161"/>
      <c r="C61" s="87"/>
      <c r="D61" s="29"/>
      <c r="E61" s="147"/>
      <c r="F61" s="35"/>
      <c r="G61" s="17"/>
      <c r="H61" s="53" t="e">
        <f>(G61)*24/(F61/60)/17000*100</f>
        <v>#DIV/0!</v>
      </c>
      <c r="I61" s="54"/>
      <c r="J61" s="53"/>
      <c r="K61" s="53">
        <f>(G61)*0.066</f>
        <v>0</v>
      </c>
      <c r="L61" s="53">
        <f>J61-K61</f>
        <v>0</v>
      </c>
      <c r="M61" s="54"/>
      <c r="N61" s="54"/>
      <c r="O61" s="54"/>
      <c r="P61" s="50" t="e">
        <f>(J61-K61)/J61*100</f>
        <v>#DIV/0!</v>
      </c>
      <c r="Q61" s="54" t="e">
        <f t="shared" si="3"/>
        <v>#DIV/0!</v>
      </c>
      <c r="R61" s="16"/>
    </row>
    <row r="62" spans="2:21" s="89" customFormat="1" ht="16.8" thickTop="1" thickBot="1">
      <c r="B62" s="163"/>
      <c r="C62" s="88"/>
      <c r="D62" s="63"/>
      <c r="E62" s="22">
        <f>SUM(E8:E61)</f>
        <v>24048</v>
      </c>
      <c r="F62" s="22">
        <f>SUM(F8:F61)</f>
        <v>17243</v>
      </c>
      <c r="G62" s="15">
        <f>SUM(G8:G61)</f>
        <v>107019</v>
      </c>
      <c r="H62" s="13">
        <f>(G62)*24/(F62/60)/17000*100</f>
        <v>52.572863327317819</v>
      </c>
      <c r="I62" s="14">
        <f>SUM(I8:I36)</f>
        <v>2566</v>
      </c>
      <c r="J62" s="13">
        <f>SUM(J8:J61)</f>
        <v>7267.2999999999993</v>
      </c>
      <c r="K62" s="13">
        <f>SUM(K8:K61)</f>
        <v>7102.6420000000007</v>
      </c>
      <c r="L62" s="51">
        <f>J62-K62</f>
        <v>164.65799999999854</v>
      </c>
      <c r="M62" s="52">
        <f>SUM(M8:M61)</f>
        <v>10498</v>
      </c>
      <c r="N62" s="36">
        <f>SUM(N8:N61)</f>
        <v>577</v>
      </c>
      <c r="O62" s="14">
        <f>SUM(O8:O61)</f>
        <v>55</v>
      </c>
      <c r="P62" s="24">
        <f>(J62-K62)/J62</f>
        <v>2.2657383072117367E-2</v>
      </c>
      <c r="Q62" s="396">
        <f>G62/(E62/60)</f>
        <v>267.0134730538922</v>
      </c>
      <c r="R62" s="400">
        <f>(January_2025!G65+February_2025!G63+March_2025!G62+'April_2025 '!G54+May_2025!G63+June_2025!G57+July_2025!G55+August_2025!G57+September_2025!G54+October_2025!G64+G62)/((January_2025!E65+February_2025!E63+March_2025!E62+'April_2025 '!E54+May_2025!E63+June_2025!E57+July_2025!E55+August_2025!E57+September_2025!E54+October_2025!E64+E62)/60)</f>
        <v>276.20898696572061</v>
      </c>
      <c r="T62"/>
      <c r="U62"/>
    </row>
    <row r="63" spans="2:21" ht="16.8" thickTop="1" thickBot="1">
      <c r="G63" s="1"/>
      <c r="H63" s="1"/>
      <c r="L63" s="18"/>
      <c r="M63" s="18"/>
      <c r="N63" s="40" t="s">
        <v>23</v>
      </c>
      <c r="O63" s="18"/>
      <c r="Q63" s="5"/>
    </row>
    <row r="64" spans="2:21" ht="21" thickTop="1" thickBot="1">
      <c r="G64" s="1"/>
      <c r="H64" s="1"/>
      <c r="K64" s="45" t="s">
        <v>36</v>
      </c>
      <c r="L64" s="15">
        <f>G62+O64</f>
        <v>107170.25</v>
      </c>
      <c r="M64" s="18"/>
      <c r="N64" s="40" t="s">
        <v>31</v>
      </c>
      <c r="O64" s="18">
        <f>O62*2.75</f>
        <v>151.25</v>
      </c>
      <c r="P64" s="398" t="s">
        <v>146</v>
      </c>
      <c r="Q64" s="397">
        <v>372.39111523516789</v>
      </c>
      <c r="R64" s="399">
        <v>376.22343999641635</v>
      </c>
    </row>
    <row r="65" spans="6:17" ht="16.2" thickTop="1">
      <c r="G65" s="1"/>
      <c r="H65" s="1"/>
      <c r="L65" s="18"/>
      <c r="M65" s="18"/>
      <c r="N65" s="18"/>
      <c r="O65" s="18"/>
      <c r="Q65" s="5"/>
    </row>
    <row r="66" spans="6:17" ht="15.6">
      <c r="G66" s="1"/>
      <c r="H66" s="1"/>
      <c r="L66" s="18"/>
      <c r="M66" s="18"/>
      <c r="N66" s="41" t="s">
        <v>32</v>
      </c>
      <c r="O66" s="62">
        <f>SUM(O49+O13+O36+O33)</f>
        <v>0</v>
      </c>
      <c r="P66" s="57"/>
      <c r="Q66" s="58"/>
    </row>
    <row r="67" spans="6:17" ht="15.6">
      <c r="F67" s="56"/>
      <c r="G67" s="1"/>
      <c r="H67" s="1"/>
      <c r="L67" s="18"/>
      <c r="M67" s="18"/>
      <c r="N67" s="164" t="s">
        <v>33</v>
      </c>
      <c r="O67" s="62">
        <f>SUM(O9+O19+O27+O40+O51)</f>
        <v>0</v>
      </c>
      <c r="P67" s="57"/>
      <c r="Q67" s="58"/>
    </row>
    <row r="68" spans="6:17" ht="15.6">
      <c r="F68" s="56"/>
      <c r="G68" s="1"/>
      <c r="H68" s="1"/>
      <c r="L68" s="18"/>
      <c r="M68" s="18"/>
      <c r="N68" s="41" t="s">
        <v>43</v>
      </c>
      <c r="O68" s="62">
        <f>SUM(O10+O20+O28+O41+O52)</f>
        <v>0</v>
      </c>
      <c r="Q68" s="5"/>
    </row>
    <row r="69" spans="6:17" ht="15.6">
      <c r="F69" s="56"/>
      <c r="G69" s="1"/>
      <c r="H69" s="1"/>
      <c r="L69" s="18"/>
      <c r="M69" s="18"/>
      <c r="N69" s="43" t="s">
        <v>35</v>
      </c>
      <c r="O69" s="64">
        <f>SUM(O66:O68)</f>
        <v>0</v>
      </c>
      <c r="Q69" s="5"/>
    </row>
    <row r="70" spans="6:17" ht="15.6">
      <c r="F70" s="56"/>
      <c r="G70" s="1"/>
      <c r="H70" s="1"/>
      <c r="L70" s="18"/>
      <c r="M70" s="18"/>
      <c r="N70" s="18"/>
      <c r="O70" s="18"/>
      <c r="Q70" s="5"/>
    </row>
    <row r="71" spans="6:17" ht="15.6">
      <c r="F71" s="56"/>
      <c r="G71" s="1"/>
      <c r="H71" s="1"/>
      <c r="L71" s="18"/>
      <c r="M71" s="18"/>
      <c r="N71" s="18"/>
      <c r="O71" s="18"/>
      <c r="Q71" s="5"/>
    </row>
    <row r="72" spans="6:17" ht="15.6">
      <c r="F72" s="56"/>
      <c r="G72" s="1"/>
      <c r="H72" s="1"/>
      <c r="L72" s="18"/>
      <c r="M72" s="18"/>
      <c r="N72" s="18"/>
      <c r="O72" s="18"/>
      <c r="Q72" s="5"/>
    </row>
    <row r="73" spans="6:17" ht="15.6">
      <c r="F73" s="56"/>
      <c r="G73" s="1"/>
      <c r="H73" s="1"/>
      <c r="L73" s="18"/>
      <c r="M73" s="70"/>
      <c r="N73" s="18"/>
      <c r="O73" s="18"/>
      <c r="Q73" s="5"/>
    </row>
    <row r="74" spans="6:17" ht="15.6">
      <c r="F74" s="56"/>
      <c r="G74" s="1"/>
      <c r="H74" s="1"/>
      <c r="L74" s="18"/>
      <c r="M74" s="70"/>
      <c r="N74" s="18"/>
      <c r="O74" s="18"/>
      <c r="Q74" s="5"/>
    </row>
    <row r="75" spans="6:17" ht="15.6">
      <c r="G75" s="1"/>
      <c r="H75" s="1"/>
      <c r="L75" s="18"/>
      <c r="M75" s="70"/>
      <c r="N75" s="18"/>
      <c r="O75" s="18"/>
      <c r="Q75" s="5"/>
    </row>
    <row r="76" spans="6:17" ht="15.6">
      <c r="F76" s="56"/>
      <c r="G76" s="1"/>
      <c r="H76" s="1"/>
      <c r="L76" s="18"/>
      <c r="M76" s="70"/>
      <c r="N76" s="18"/>
      <c r="O76" s="18"/>
      <c r="Q76" s="5"/>
    </row>
    <row r="77" spans="6:17" ht="15.6">
      <c r="G77" s="1"/>
      <c r="H77" s="1"/>
      <c r="L77" s="18"/>
      <c r="M77" s="18"/>
      <c r="N77" s="18"/>
      <c r="O77" s="18"/>
      <c r="Q77" s="5"/>
    </row>
    <row r="78" spans="6:17">
      <c r="G78" s="1"/>
      <c r="H78" s="1"/>
      <c r="Q78" s="5"/>
    </row>
    <row r="79" spans="6:17">
      <c r="G79" s="1"/>
      <c r="H79" s="1"/>
      <c r="Q79" s="5"/>
    </row>
    <row r="80" spans="6:17">
      <c r="G80" s="1"/>
      <c r="H80" s="1"/>
      <c r="Q80" s="5"/>
    </row>
    <row r="81" spans="7:17">
      <c r="G81" s="1"/>
      <c r="H81" s="1"/>
      <c r="Q81" s="5"/>
    </row>
    <row r="82" spans="7:17">
      <c r="G82" s="1"/>
      <c r="H82" s="1"/>
      <c r="Q82" s="5"/>
    </row>
    <row r="83" spans="7:17">
      <c r="G83" s="1"/>
      <c r="H83" s="1"/>
      <c r="Q83" s="5"/>
    </row>
    <row r="84" spans="7:17">
      <c r="G84" s="1"/>
      <c r="H84" s="1"/>
      <c r="Q84" s="5"/>
    </row>
    <row r="85" spans="7:17">
      <c r="G85" s="1"/>
      <c r="H85" s="1"/>
      <c r="Q85" s="5"/>
    </row>
    <row r="86" spans="7:17">
      <c r="G86" s="1"/>
      <c r="H86" s="1"/>
      <c r="Q86" s="5"/>
    </row>
    <row r="87" spans="7:17">
      <c r="G87" s="1"/>
      <c r="H87" s="1"/>
      <c r="Q87" s="5"/>
    </row>
    <row r="88" spans="7:17">
      <c r="G88" s="1"/>
      <c r="H88" s="1"/>
      <c r="Q88" s="5"/>
    </row>
    <row r="89" spans="7:17">
      <c r="G89" s="1"/>
      <c r="H89" s="1"/>
      <c r="Q89" s="5"/>
    </row>
    <row r="90" spans="7:17">
      <c r="G90" s="1"/>
      <c r="H90" s="1"/>
      <c r="Q90" s="5"/>
    </row>
    <row r="91" spans="7:17">
      <c r="G91" s="1"/>
      <c r="H91" s="1"/>
      <c r="Q91" s="5"/>
    </row>
    <row r="92" spans="7:17">
      <c r="G92" s="1"/>
      <c r="H92" s="1"/>
      <c r="Q92" s="5"/>
    </row>
    <row r="93" spans="7:17">
      <c r="G93" s="1"/>
      <c r="H93" s="1"/>
      <c r="Q93" s="5"/>
    </row>
    <row r="94" spans="7:17">
      <c r="G94" s="1"/>
      <c r="H94" s="1"/>
      <c r="Q94" s="5"/>
    </row>
    <row r="95" spans="7:17">
      <c r="G95" s="1"/>
      <c r="H95" s="1"/>
      <c r="Q95" s="5"/>
    </row>
    <row r="96" spans="7:17">
      <c r="G96" s="1"/>
      <c r="H96" s="1"/>
      <c r="Q96" s="5"/>
    </row>
    <row r="97" spans="7:17">
      <c r="G97" s="1"/>
      <c r="H97" s="1"/>
      <c r="Q97" s="5"/>
    </row>
    <row r="98" spans="7:17">
      <c r="G98" s="1"/>
      <c r="H98" s="1"/>
      <c r="Q98" s="5"/>
    </row>
    <row r="99" spans="7:17">
      <c r="G99" s="1"/>
      <c r="H99" s="1"/>
      <c r="Q99" s="5"/>
    </row>
    <row r="100" spans="7:17">
      <c r="G100" s="1"/>
      <c r="H100" s="1"/>
      <c r="Q100" s="5"/>
    </row>
    <row r="101" spans="7:17">
      <c r="G101" s="1"/>
      <c r="H101" s="1"/>
      <c r="Q101" s="5"/>
    </row>
    <row r="102" spans="7:17">
      <c r="G102" s="1"/>
      <c r="H102" s="1"/>
      <c r="Q102" s="5"/>
    </row>
    <row r="103" spans="7:17">
      <c r="G103" s="1"/>
      <c r="H103" s="1"/>
      <c r="Q103" s="5"/>
    </row>
    <row r="104" spans="7:17">
      <c r="G104" s="1"/>
      <c r="H104" s="1"/>
      <c r="Q104" s="5"/>
    </row>
    <row r="105" spans="7:17">
      <c r="G105" s="1"/>
      <c r="H105" s="1"/>
      <c r="Q105" s="5"/>
    </row>
    <row r="106" spans="7:17">
      <c r="G106" s="1"/>
      <c r="H106" s="1"/>
      <c r="Q106" s="5"/>
    </row>
    <row r="107" spans="7:17">
      <c r="G107" s="1"/>
      <c r="H107" s="1"/>
      <c r="Q107" s="5"/>
    </row>
    <row r="108" spans="7:17">
      <c r="G108" s="1"/>
      <c r="H108" s="1"/>
      <c r="Q108" s="5"/>
    </row>
    <row r="109" spans="7:17">
      <c r="G109" s="1"/>
      <c r="H109" s="1"/>
      <c r="Q109" s="5"/>
    </row>
    <row r="110" spans="7:17">
      <c r="G110" s="1"/>
      <c r="H110" s="1"/>
      <c r="Q110" s="5"/>
    </row>
    <row r="111" spans="7:17">
      <c r="G111" s="1"/>
      <c r="H111" s="1"/>
      <c r="Q111" s="5"/>
    </row>
    <row r="112" spans="7:17">
      <c r="G112" s="1"/>
      <c r="H112" s="1"/>
      <c r="Q112" s="5"/>
    </row>
    <row r="113" spans="7:17">
      <c r="G113" s="1"/>
      <c r="H113" s="1"/>
      <c r="Q113" s="5"/>
    </row>
    <row r="114" spans="7:17">
      <c r="G114" s="1"/>
      <c r="H114" s="1"/>
      <c r="Q114" s="5"/>
    </row>
    <row r="115" spans="7:17">
      <c r="G115" s="1"/>
      <c r="H115" s="1"/>
      <c r="Q115" s="5"/>
    </row>
    <row r="116" spans="7:17">
      <c r="G116" s="1"/>
      <c r="H116" s="1"/>
      <c r="Q116" s="5"/>
    </row>
    <row r="117" spans="7:17">
      <c r="G117" s="1"/>
      <c r="H117" s="1"/>
      <c r="Q117" s="5"/>
    </row>
    <row r="118" spans="7:17">
      <c r="G118" s="1"/>
      <c r="H118" s="1"/>
      <c r="Q118" s="5"/>
    </row>
    <row r="119" spans="7:17">
      <c r="G119" s="1"/>
      <c r="H119" s="1"/>
      <c r="Q119" s="5"/>
    </row>
    <row r="120" spans="7:17">
      <c r="G120" s="1"/>
      <c r="H120" s="1"/>
      <c r="Q120" s="5"/>
    </row>
    <row r="121" spans="7:17">
      <c r="G121" s="1"/>
      <c r="H121" s="1"/>
      <c r="Q121" s="5"/>
    </row>
    <row r="122" spans="7:17">
      <c r="G122" s="1"/>
      <c r="H122" s="1"/>
      <c r="Q122" s="5"/>
    </row>
    <row r="123" spans="7:17">
      <c r="G123" s="1"/>
      <c r="H123" s="1"/>
      <c r="Q123" s="5"/>
    </row>
    <row r="124" spans="7:17">
      <c r="G124" s="1"/>
      <c r="H124" s="1"/>
      <c r="Q124" s="5"/>
    </row>
    <row r="125" spans="7:17">
      <c r="G125" s="1"/>
      <c r="H125" s="1"/>
      <c r="Q125" s="5"/>
    </row>
  </sheetData>
  <autoFilter ref="B5:Q57" xr:uid="{00000000-0001-0000-0A00-000000000000}"/>
  <mergeCells count="58">
    <mergeCell ref="E47:E48"/>
    <mergeCell ref="E45:E46"/>
    <mergeCell ref="R44:R45"/>
    <mergeCell ref="R46:R47"/>
    <mergeCell ref="E24:E25"/>
    <mergeCell ref="K24:K25"/>
    <mergeCell ref="J24:J25"/>
    <mergeCell ref="E34:E35"/>
    <mergeCell ref="E36:E37"/>
    <mergeCell ref="J26:J27"/>
    <mergeCell ref="K26:K27"/>
    <mergeCell ref="E30:E31"/>
    <mergeCell ref="E26:E27"/>
    <mergeCell ref="E32:E33"/>
    <mergeCell ref="R22:R30"/>
    <mergeCell ref="L22:L23"/>
    <mergeCell ref="P26:P27"/>
    <mergeCell ref="R6:R7"/>
    <mergeCell ref="R15:R16"/>
    <mergeCell ref="R17:R18"/>
    <mergeCell ref="R11:R13"/>
    <mergeCell ref="J9:J10"/>
    <mergeCell ref="K9:K10"/>
    <mergeCell ref="P9:P10"/>
    <mergeCell ref="R9:R10"/>
    <mergeCell ref="L24:L25"/>
    <mergeCell ref="P22:P23"/>
    <mergeCell ref="P24:P25"/>
    <mergeCell ref="E22:E23"/>
    <mergeCell ref="N22:N23"/>
    <mergeCell ref="K22:K23"/>
    <mergeCell ref="J22:J23"/>
    <mergeCell ref="E18:E20"/>
    <mergeCell ref="E13:E15"/>
    <mergeCell ref="E16:E17"/>
    <mergeCell ref="B1:Q1"/>
    <mergeCell ref="B3:Q3"/>
    <mergeCell ref="B4:Q4"/>
    <mergeCell ref="I5:I7"/>
    <mergeCell ref="L5:L7"/>
    <mergeCell ref="M5:M7"/>
    <mergeCell ref="N5:N7"/>
    <mergeCell ref="O5:O7"/>
    <mergeCell ref="E11:E12"/>
    <mergeCell ref="J11:J12"/>
    <mergeCell ref="K11:K12"/>
    <mergeCell ref="L11:L12"/>
    <mergeCell ref="P11:P12"/>
    <mergeCell ref="E8:E10"/>
    <mergeCell ref="R31:R32"/>
    <mergeCell ref="E43:E44"/>
    <mergeCell ref="E40:E42"/>
    <mergeCell ref="K40:K42"/>
    <mergeCell ref="J40:J42"/>
    <mergeCell ref="P40:P42"/>
    <mergeCell ref="R37:R43"/>
    <mergeCell ref="R33:R34"/>
    <mergeCell ref="R35:R36"/>
  </mergeCells>
  <conditionalFormatting sqref="I8:I61">
    <cfRule type="cellIs" dxfId="18" priority="20" stopIfTrue="1" operator="lessThan">
      <formula>50</formula>
    </cfRule>
  </conditionalFormatting>
  <conditionalFormatting sqref="P8:P9 P11 P13:P22 P24 P26 P28:P40 P43:P61">
    <cfRule type="cellIs" dxfId="17" priority="16" stopIfTrue="1" operator="greaterThan">
      <formula>1.8</formula>
    </cfRule>
  </conditionalFormatting>
  <conditionalFormatting sqref="R9">
    <cfRule type="cellIs" dxfId="16" priority="6" operator="greaterThan">
      <formula>1.8</formula>
    </cfRule>
  </conditionalFormatting>
  <conditionalFormatting sqref="R11">
    <cfRule type="cellIs" dxfId="15" priority="7" operator="greaterThan">
      <formula>1.8</formula>
    </cfRule>
  </conditionalFormatting>
  <conditionalFormatting sqref="R15 R17">
    <cfRule type="cellIs" dxfId="14" priority="5" operator="greaterThan">
      <formula>1.8</formula>
    </cfRule>
  </conditionalFormatting>
  <conditionalFormatting sqref="R22">
    <cfRule type="cellIs" dxfId="13" priority="4" operator="greaterThan">
      <formula>1.8</formula>
    </cfRule>
  </conditionalFormatting>
  <conditionalFormatting sqref="R31 R33 R35">
    <cfRule type="cellIs" dxfId="12" priority="3" operator="greaterThan">
      <formula>1.8</formula>
    </cfRule>
  </conditionalFormatting>
  <conditionalFormatting sqref="R37">
    <cfRule type="cellIs" dxfId="11" priority="2" operator="greaterThan">
      <formula>1.8</formula>
    </cfRule>
  </conditionalFormatting>
  <conditionalFormatting sqref="R44 R46">
    <cfRule type="cellIs" dxfId="10" priority="1" operator="greaterThan">
      <formula>1.8</formula>
    </cfRule>
  </conditionalFormatting>
  <pageMargins left="0.25" right="0.25" top="0.75" bottom="0.75" header="0.3" footer="0.3"/>
  <pageSetup paperSize="5" scale="44" orientation="portrait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indexed="11"/>
    <pageSetUpPr fitToPage="1"/>
  </sheetPr>
  <dimension ref="A1:BE123"/>
  <sheetViews>
    <sheetView topLeftCell="A4" zoomScale="70" zoomScaleNormal="70" zoomScaleSheetLayoutView="80" workbookViewId="0">
      <pane xSplit="2" ySplit="4" topLeftCell="C43" activePane="bottomRight" state="frozen"/>
      <selection activeCell="A4" sqref="A4"/>
      <selection pane="topRight" activeCell="B4" sqref="B4"/>
      <selection pane="bottomLeft" activeCell="A8" sqref="A8"/>
      <selection pane="bottomRight" activeCell="S60" sqref="S60"/>
    </sheetView>
  </sheetViews>
  <sheetFormatPr defaultRowHeight="13.2"/>
  <cols>
    <col min="1" max="1" width="2.44140625" customWidth="1"/>
    <col min="2" max="2" width="9.109375" style="1" customWidth="1"/>
    <col min="3" max="3" width="7" style="1" customWidth="1"/>
    <col min="4" max="4" width="44.5546875" style="31" customWidth="1"/>
    <col min="5" max="5" width="13" style="1" customWidth="1"/>
    <col min="6" max="6" width="9" style="23" customWidth="1"/>
    <col min="7" max="8" width="13.5546875" customWidth="1"/>
    <col min="9" max="9" width="10.5546875" style="7" customWidth="1"/>
    <col min="10" max="10" width="11" style="7" customWidth="1"/>
    <col min="11" max="11" width="13.109375" style="7" customWidth="1"/>
    <col min="12" max="12" width="14" style="7" customWidth="1"/>
    <col min="13" max="13" width="16.88671875" style="7" customWidth="1"/>
    <col min="14" max="14" width="16.5546875" style="7" customWidth="1"/>
    <col min="15" max="15" width="9.44140625" style="7" customWidth="1"/>
    <col min="16" max="16" width="23.109375" style="25" customWidth="1"/>
    <col min="17" max="18" width="12.109375" style="6" customWidth="1"/>
    <col min="19" max="19" width="11" customWidth="1"/>
    <col min="22" max="22" width="20.88671875" customWidth="1"/>
    <col min="23" max="23" width="13.5546875" customWidth="1"/>
    <col min="24" max="24" width="15.88671875" customWidth="1"/>
    <col min="25" max="25" width="10.5546875" customWidth="1"/>
  </cols>
  <sheetData>
    <row r="1" spans="1:35" ht="25.8">
      <c r="B1" s="324" t="s">
        <v>0</v>
      </c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07"/>
    </row>
    <row r="3" spans="1:35" ht="23.4">
      <c r="B3" s="325" t="s">
        <v>1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08"/>
    </row>
    <row r="4" spans="1:35" ht="21" thickBot="1">
      <c r="B4" s="326">
        <v>45992</v>
      </c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09"/>
    </row>
    <row r="5" spans="1:35" ht="16.8" thickTop="1" thickBot="1">
      <c r="B5" s="2" t="s">
        <v>2</v>
      </c>
      <c r="C5" s="2" t="s">
        <v>3</v>
      </c>
      <c r="D5" s="26" t="s">
        <v>4</v>
      </c>
      <c r="E5" s="2" t="s">
        <v>37</v>
      </c>
      <c r="F5" s="19" t="s">
        <v>12</v>
      </c>
      <c r="G5" s="2" t="s">
        <v>5</v>
      </c>
      <c r="H5" s="2" t="s">
        <v>13</v>
      </c>
      <c r="I5" s="327" t="s">
        <v>26</v>
      </c>
      <c r="J5" s="2" t="s">
        <v>18</v>
      </c>
      <c r="K5" s="2" t="s">
        <v>6</v>
      </c>
      <c r="L5" s="330" t="s">
        <v>22</v>
      </c>
      <c r="M5" s="333" t="s">
        <v>24</v>
      </c>
      <c r="N5" s="333" t="s">
        <v>25</v>
      </c>
      <c r="O5" s="333" t="s">
        <v>23</v>
      </c>
      <c r="P5" s="19" t="s">
        <v>6</v>
      </c>
      <c r="Q5" s="4" t="s">
        <v>9</v>
      </c>
      <c r="R5" s="4" t="s">
        <v>143</v>
      </c>
      <c r="S5" s="2" t="s">
        <v>20</v>
      </c>
    </row>
    <row r="6" spans="1:35" ht="16.5" customHeight="1" thickTop="1">
      <c r="B6" s="8"/>
      <c r="C6" s="8"/>
      <c r="D6" s="27"/>
      <c r="E6" s="8" t="s">
        <v>11</v>
      </c>
      <c r="F6" s="20" t="s">
        <v>11</v>
      </c>
      <c r="G6" s="8" t="s">
        <v>6</v>
      </c>
      <c r="H6" s="8" t="s">
        <v>14</v>
      </c>
      <c r="I6" s="328"/>
      <c r="J6" s="8" t="s">
        <v>17</v>
      </c>
      <c r="K6" s="8" t="s">
        <v>17</v>
      </c>
      <c r="L6" s="331"/>
      <c r="M6" s="334"/>
      <c r="N6" s="334"/>
      <c r="O6" s="334"/>
      <c r="P6" s="20" t="s">
        <v>19</v>
      </c>
      <c r="Q6" s="9" t="s">
        <v>10</v>
      </c>
      <c r="R6" s="9" t="s">
        <v>144</v>
      </c>
      <c r="S6" s="336" t="s">
        <v>21</v>
      </c>
    </row>
    <row r="7" spans="1:35" ht="16.2" thickBot="1">
      <c r="B7" s="10"/>
      <c r="C7" s="10"/>
      <c r="D7" s="28"/>
      <c r="E7" s="8"/>
      <c r="F7" s="21" t="s">
        <v>15</v>
      </c>
      <c r="G7" s="10"/>
      <c r="H7" s="10" t="s">
        <v>16</v>
      </c>
      <c r="I7" s="329"/>
      <c r="J7" s="10"/>
      <c r="K7" s="10"/>
      <c r="L7" s="332"/>
      <c r="M7" s="335"/>
      <c r="N7" s="335"/>
      <c r="O7" s="335"/>
      <c r="P7" s="21"/>
      <c r="Q7" s="11"/>
      <c r="R7" s="11"/>
      <c r="S7" s="337"/>
    </row>
    <row r="8" spans="1:35" s="202" customFormat="1" ht="15.6">
      <c r="A8"/>
      <c r="B8" s="91">
        <v>45992</v>
      </c>
      <c r="C8" s="87">
        <v>1</v>
      </c>
      <c r="D8" s="152" t="s">
        <v>27</v>
      </c>
      <c r="E8" s="310">
        <v>1380</v>
      </c>
      <c r="F8" s="287">
        <f>[3]Dec!$N66</f>
        <v>327</v>
      </c>
      <c r="G8" s="17">
        <v>3933</v>
      </c>
      <c r="H8" s="53">
        <f t="shared" ref="H8:H26" si="0">(G8)*24/(F8/60)/17000*100</f>
        <v>101.88019427954667</v>
      </c>
      <c r="I8" s="54">
        <v>17.149999999999999</v>
      </c>
      <c r="J8" s="53">
        <f>SUM(29.7,57.8,87.4,93.1)</f>
        <v>268</v>
      </c>
      <c r="K8" s="53">
        <f t="shared" ref="K8" si="1">(G8)*0.066</f>
        <v>259.57800000000003</v>
      </c>
      <c r="L8" s="53">
        <f t="shared" ref="L8" si="2">J8-K8</f>
        <v>8.4219999999999686</v>
      </c>
      <c r="M8" s="54">
        <f>[3]Dec!$AD8</f>
        <v>392</v>
      </c>
      <c r="N8" s="54">
        <f>14+38</f>
        <v>52</v>
      </c>
      <c r="O8" s="54"/>
      <c r="P8" s="50">
        <f t="shared" ref="P8:P29" si="3">(J8-K8)/J8*100</f>
        <v>3.1425373134328241</v>
      </c>
      <c r="Q8" s="54">
        <f t="shared" ref="Q8:Q29" si="4">(G8)/(F8/60)</f>
        <v>721.65137614678895</v>
      </c>
      <c r="R8" s="54"/>
      <c r="S8" s="16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</row>
    <row r="9" spans="1:35" s="202" customFormat="1" ht="15.6">
      <c r="A9"/>
      <c r="B9" s="91">
        <v>45992</v>
      </c>
      <c r="C9" s="87">
        <v>1</v>
      </c>
      <c r="D9" s="152" t="s">
        <v>49</v>
      </c>
      <c r="E9" s="311"/>
      <c r="F9" s="287">
        <f>[3]Dec!$N67</f>
        <v>556</v>
      </c>
      <c r="G9" s="17">
        <v>2963</v>
      </c>
      <c r="H9" s="53">
        <f t="shared" si="0"/>
        <v>45.14092255607278</v>
      </c>
      <c r="I9" s="54"/>
      <c r="J9" s="53">
        <f>SUM(98.4,97.5,99.8,95)-36-73-77.1</f>
        <v>204.6</v>
      </c>
      <c r="K9" s="53">
        <f>(G9)*0.066+(40*0.19)</f>
        <v>203.15800000000002</v>
      </c>
      <c r="L9" s="53">
        <f t="shared" ref="L9:L42" si="5">J9-K9</f>
        <v>1.4419999999999789</v>
      </c>
      <c r="M9" s="54">
        <f>[3]Dec!$AD9</f>
        <v>226</v>
      </c>
      <c r="N9" s="54">
        <v>9</v>
      </c>
      <c r="O9" s="54">
        <v>40</v>
      </c>
      <c r="P9" s="50">
        <f t="shared" si="3"/>
        <v>0.70478983382208149</v>
      </c>
      <c r="Q9" s="54">
        <f t="shared" si="4"/>
        <v>319.74820143884887</v>
      </c>
      <c r="R9" s="54"/>
      <c r="S9" s="338">
        <f>((J9+J11+J12+J10+J13)-(K9+K11+K12+K10+K13))/(J9+J11+J10+J12+J13)*100</f>
        <v>0.81835515444259255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</row>
    <row r="10" spans="1:35" s="202" customFormat="1" ht="15.6">
      <c r="A10"/>
      <c r="B10" s="91">
        <v>45993</v>
      </c>
      <c r="C10" s="87">
        <v>2</v>
      </c>
      <c r="D10" s="152" t="s">
        <v>49</v>
      </c>
      <c r="E10" s="47">
        <v>1440</v>
      </c>
      <c r="F10" s="287">
        <f>[3]Dec!$N68</f>
        <v>471</v>
      </c>
      <c r="G10" s="17">
        <v>3211</v>
      </c>
      <c r="H10" s="53">
        <f t="shared" si="0"/>
        <v>57.747470962907457</v>
      </c>
      <c r="I10" s="54"/>
      <c r="J10" s="53">
        <f>SUM(73,77.1,95.5,98.8)-48-84.1</f>
        <v>212.29999999999998</v>
      </c>
      <c r="K10" s="53">
        <f t="shared" ref="K10:K59" si="6">(G10)*0.066</f>
        <v>211.92600000000002</v>
      </c>
      <c r="L10" s="53">
        <f t="shared" si="5"/>
        <v>0.3739999999999668</v>
      </c>
      <c r="M10" s="54">
        <f>[3]Dec!$AD10</f>
        <v>1061</v>
      </c>
      <c r="N10" s="54">
        <f>15+4</f>
        <v>19</v>
      </c>
      <c r="O10" s="54"/>
      <c r="P10" s="50">
        <f t="shared" si="3"/>
        <v>0.17616580310879265</v>
      </c>
      <c r="Q10" s="54">
        <f t="shared" si="4"/>
        <v>409.04458598726114</v>
      </c>
      <c r="R10" s="54"/>
      <c r="S10" s="338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</row>
    <row r="11" spans="1:35" s="202" customFormat="1" ht="15.6">
      <c r="A11"/>
      <c r="B11" s="91">
        <v>45994</v>
      </c>
      <c r="C11" s="87">
        <v>3</v>
      </c>
      <c r="D11" s="152" t="s">
        <v>49</v>
      </c>
      <c r="E11" s="310">
        <v>1440</v>
      </c>
      <c r="F11" s="287">
        <f>[3]Dec!$N69</f>
        <v>448</v>
      </c>
      <c r="G11" s="17">
        <v>3175</v>
      </c>
      <c r="H11" s="53">
        <f t="shared" si="0"/>
        <v>60.031512605042018</v>
      </c>
      <c r="I11" s="54"/>
      <c r="J11" s="318">
        <f>SUM(84.1,100,93.7,92)-18.9</f>
        <v>350.90000000000003</v>
      </c>
      <c r="K11" s="318">
        <f>(G11+G12)*0.066</f>
        <v>346.5</v>
      </c>
      <c r="L11" s="53">
        <f t="shared" si="5"/>
        <v>4.4000000000000341</v>
      </c>
      <c r="M11" s="54">
        <f>[3]Dec!$AD11</f>
        <v>172</v>
      </c>
      <c r="N11" s="54">
        <v>7</v>
      </c>
      <c r="O11" s="54"/>
      <c r="P11" s="318">
        <f t="shared" si="3"/>
        <v>1.2539184952978153</v>
      </c>
      <c r="Q11" s="54">
        <f t="shared" si="4"/>
        <v>425.22321428571428</v>
      </c>
      <c r="R11" s="54"/>
      <c r="S11" s="338"/>
      <c r="T11"/>
      <c r="U11"/>
      <c r="V11"/>
      <c r="W11"/>
      <c r="X11"/>
      <c r="Y11">
        <f>36+10.8</f>
        <v>46.8</v>
      </c>
      <c r="Z11"/>
      <c r="AA11"/>
      <c r="AB11"/>
      <c r="AC11"/>
      <c r="AD11"/>
      <c r="AE11"/>
      <c r="AF11"/>
      <c r="AG11"/>
      <c r="AH11"/>
      <c r="AI11"/>
    </row>
    <row r="12" spans="1:35" s="202" customFormat="1" ht="15.6">
      <c r="A12"/>
      <c r="B12" s="91">
        <v>45994</v>
      </c>
      <c r="C12" s="87">
        <v>3</v>
      </c>
      <c r="D12" s="152" t="s">
        <v>99</v>
      </c>
      <c r="E12" s="311"/>
      <c r="F12" s="287">
        <f>[3]Dec!$N70</f>
        <v>683</v>
      </c>
      <c r="G12" s="17">
        <v>2075</v>
      </c>
      <c r="H12" s="53">
        <f t="shared" si="0"/>
        <v>25.734217552321077</v>
      </c>
      <c r="I12" s="54">
        <v>179</v>
      </c>
      <c r="J12" s="318"/>
      <c r="K12" s="318"/>
      <c r="L12" s="53">
        <f t="shared" si="5"/>
        <v>0</v>
      </c>
      <c r="M12" s="54">
        <f>[3]Dec!$AD12</f>
        <v>467</v>
      </c>
      <c r="N12" s="54">
        <v>21</v>
      </c>
      <c r="O12" s="54"/>
      <c r="P12" s="318"/>
      <c r="Q12" s="54">
        <f t="shared" si="4"/>
        <v>182.28404099560763</v>
      </c>
      <c r="R12" s="54"/>
      <c r="S12" s="338"/>
      <c r="T12"/>
      <c r="U12"/>
      <c r="V12"/>
      <c r="W12"/>
      <c r="X12"/>
      <c r="Y12">
        <f>+Y11+50.7</f>
        <v>97.5</v>
      </c>
      <c r="Z12"/>
      <c r="AA12"/>
      <c r="AB12"/>
      <c r="AC12"/>
      <c r="AD12"/>
      <c r="AE12"/>
      <c r="AF12"/>
      <c r="AG12"/>
      <c r="AH12"/>
      <c r="AI12"/>
    </row>
    <row r="13" spans="1:35" s="202" customFormat="1" ht="15.6">
      <c r="A13"/>
      <c r="B13" s="91">
        <v>45995</v>
      </c>
      <c r="C13" s="87">
        <v>4</v>
      </c>
      <c r="D13" s="152" t="s">
        <v>140</v>
      </c>
      <c r="E13" s="310">
        <v>1436</v>
      </c>
      <c r="F13" s="287">
        <f>[3]Dec!$N71</f>
        <v>49</v>
      </c>
      <c r="G13" s="17">
        <v>283</v>
      </c>
      <c r="H13" s="53">
        <f t="shared" si="0"/>
        <v>48.921968787515006</v>
      </c>
      <c r="I13" s="54"/>
      <c r="J13" s="53">
        <v>18.899999999999999</v>
      </c>
      <c r="K13" s="53">
        <f>(G13)*0.066</f>
        <v>18.678000000000001</v>
      </c>
      <c r="L13" s="53">
        <f t="shared" si="5"/>
        <v>0.22199999999999775</v>
      </c>
      <c r="M13" s="54">
        <f>[3]Dec!$AD13</f>
        <v>296</v>
      </c>
      <c r="N13" s="54">
        <v>6</v>
      </c>
      <c r="O13" s="54"/>
      <c r="P13" s="50">
        <f t="shared" si="3"/>
        <v>1.1746031746031627</v>
      </c>
      <c r="Q13" s="54">
        <f t="shared" si="4"/>
        <v>346.53061224489795</v>
      </c>
      <c r="R13" s="54"/>
      <c r="S13" s="16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</row>
    <row r="14" spans="1:35" s="202" customFormat="1" ht="15.6">
      <c r="A14"/>
      <c r="B14" s="91">
        <v>45995</v>
      </c>
      <c r="C14" s="87">
        <v>4</v>
      </c>
      <c r="D14" s="152" t="s">
        <v>72</v>
      </c>
      <c r="E14" s="315"/>
      <c r="F14" s="287">
        <f>[3]Dec!$N72</f>
        <v>631</v>
      </c>
      <c r="G14" s="17">
        <v>3563</v>
      </c>
      <c r="H14" s="53">
        <f t="shared" si="0"/>
        <v>47.829961778689281</v>
      </c>
      <c r="I14" s="54"/>
      <c r="J14" s="53">
        <f>SUM(82,83.8,82)</f>
        <v>247.8</v>
      </c>
      <c r="K14" s="53">
        <f t="shared" si="6"/>
        <v>235.15800000000002</v>
      </c>
      <c r="L14" s="53">
        <f t="shared" si="5"/>
        <v>12.641999999999996</v>
      </c>
      <c r="M14" s="54">
        <f>[3]Dec!$AD14</f>
        <v>474</v>
      </c>
      <c r="N14" s="54">
        <f>14+19</f>
        <v>33</v>
      </c>
      <c r="O14" s="54"/>
      <c r="P14" s="50">
        <f t="shared" si="3"/>
        <v>5.1016949152542352</v>
      </c>
      <c r="Q14" s="54">
        <f t="shared" si="4"/>
        <v>338.79556259904911</v>
      </c>
      <c r="R14" s="54"/>
      <c r="S14" s="16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</row>
    <row r="15" spans="1:35" s="304" customFormat="1" ht="15.6">
      <c r="B15" s="196">
        <v>45995</v>
      </c>
      <c r="C15" s="197">
        <v>4</v>
      </c>
      <c r="D15" s="288" t="s">
        <v>27</v>
      </c>
      <c r="E15" s="311"/>
      <c r="F15" s="305">
        <f>[3]Dec!$N73</f>
        <v>17</v>
      </c>
      <c r="G15" s="188">
        <v>0</v>
      </c>
      <c r="H15" s="187">
        <f t="shared" si="0"/>
        <v>0</v>
      </c>
      <c r="I15" s="193"/>
      <c r="J15" s="187"/>
      <c r="K15" s="187">
        <f t="shared" si="6"/>
        <v>0</v>
      </c>
      <c r="L15" s="187">
        <f t="shared" si="5"/>
        <v>0</v>
      </c>
      <c r="M15" s="193">
        <f>[3]Dec!$AD15</f>
        <v>99</v>
      </c>
      <c r="N15" s="193"/>
      <c r="O15" s="193"/>
      <c r="P15" s="199" t="e">
        <f t="shared" si="3"/>
        <v>#DIV/0!</v>
      </c>
      <c r="Q15" s="193">
        <f t="shared" si="4"/>
        <v>0</v>
      </c>
      <c r="R15" s="193"/>
      <c r="S15" s="16"/>
    </row>
    <row r="16" spans="1:35" ht="15.6">
      <c r="B16" s="91">
        <v>45996</v>
      </c>
      <c r="C16" s="87">
        <v>5</v>
      </c>
      <c r="D16" s="152" t="s">
        <v>27</v>
      </c>
      <c r="E16" s="47">
        <v>1260</v>
      </c>
      <c r="F16" s="287">
        <f>[3]Dec!$N74</f>
        <v>482</v>
      </c>
      <c r="G16" s="17">
        <v>3981</v>
      </c>
      <c r="H16" s="53">
        <f t="shared" si="0"/>
        <v>69.96143519648524</v>
      </c>
      <c r="I16" s="54">
        <v>4</v>
      </c>
      <c r="J16" s="53">
        <f>SUM(98,100.5,101,104.9)-64.8-72</f>
        <v>267.59999999999997</v>
      </c>
      <c r="K16" s="53">
        <f t="shared" si="6"/>
        <v>262.74600000000004</v>
      </c>
      <c r="L16" s="53">
        <f t="shared" si="5"/>
        <v>4.8539999999999281</v>
      </c>
      <c r="M16" s="54">
        <f>[3]Dec!$AD16</f>
        <v>780</v>
      </c>
      <c r="N16" s="54">
        <f>3+5+7</f>
        <v>15</v>
      </c>
      <c r="O16" s="54"/>
      <c r="P16" s="50">
        <f t="shared" si="3"/>
        <v>1.8139013452914532</v>
      </c>
      <c r="Q16" s="54">
        <f t="shared" si="4"/>
        <v>495.56016597510376</v>
      </c>
      <c r="R16" s="54"/>
      <c r="S16" s="323">
        <f>((J16+J17)-(K16+K17))/(J16+J17)*100</f>
        <v>2.0914285714285672</v>
      </c>
    </row>
    <row r="17" spans="1:35" ht="15.6">
      <c r="B17" s="91">
        <v>45997</v>
      </c>
      <c r="C17" s="87">
        <v>6</v>
      </c>
      <c r="D17" s="152" t="s">
        <v>27</v>
      </c>
      <c r="E17" s="47">
        <v>960</v>
      </c>
      <c r="F17" s="287">
        <f>[3]Dec!$N75</f>
        <v>673</v>
      </c>
      <c r="G17" s="17">
        <v>4586</v>
      </c>
      <c r="H17" s="53">
        <f t="shared" si="0"/>
        <v>57.720828598898699</v>
      </c>
      <c r="I17" s="54">
        <v>106</v>
      </c>
      <c r="J17" s="53">
        <f>SUM(64.8,72,89.3,83.8)</f>
        <v>309.90000000000003</v>
      </c>
      <c r="K17" s="53">
        <f t="shared" si="6"/>
        <v>302.67599999999999</v>
      </c>
      <c r="L17" s="53">
        <f t="shared" si="5"/>
        <v>7.2240000000000464</v>
      </c>
      <c r="M17" s="54">
        <f>[3]Dec!$AD17</f>
        <v>237</v>
      </c>
      <c r="N17" s="54">
        <f>20+16</f>
        <v>36</v>
      </c>
      <c r="O17" s="54"/>
      <c r="P17" s="50">
        <f t="shared" si="3"/>
        <v>2.3310745401742645</v>
      </c>
      <c r="Q17" s="54">
        <f t="shared" si="4"/>
        <v>408.85586924219911</v>
      </c>
      <c r="R17" s="54"/>
      <c r="S17" s="323"/>
    </row>
    <row r="18" spans="1:35" ht="15.6">
      <c r="B18" s="91">
        <v>45998</v>
      </c>
      <c r="C18" s="87">
        <v>7</v>
      </c>
      <c r="D18" s="152" t="s">
        <v>59</v>
      </c>
      <c r="E18" s="47">
        <v>1020</v>
      </c>
      <c r="F18" s="287">
        <f>[3]Dec!$N76</f>
        <v>781</v>
      </c>
      <c r="G18" s="17">
        <v>5488</v>
      </c>
      <c r="H18" s="53">
        <f t="shared" si="0"/>
        <v>59.521879942758147</v>
      </c>
      <c r="I18" s="54">
        <f>980+19</f>
        <v>999</v>
      </c>
      <c r="J18" s="53">
        <f>SUM(93,94.8,94,98,93.5)-83.8</f>
        <v>389.5</v>
      </c>
      <c r="K18" s="53">
        <f>(G18)*0.0708</f>
        <v>388.55040000000002</v>
      </c>
      <c r="L18" s="53">
        <f t="shared" si="5"/>
        <v>0.94959999999997535</v>
      </c>
      <c r="M18" s="54">
        <f>[3]Dec!$AD18</f>
        <v>300</v>
      </c>
      <c r="N18" s="54">
        <f>11+9</f>
        <v>20</v>
      </c>
      <c r="O18" s="54"/>
      <c r="P18" s="50">
        <f t="shared" si="3"/>
        <v>0.24379974326058418</v>
      </c>
      <c r="Q18" s="54">
        <f t="shared" si="4"/>
        <v>421.61331626120358</v>
      </c>
      <c r="R18" s="54"/>
      <c r="S18" s="316">
        <f>((J18+J19)-(K18+K19))/(J18+J19)*100</f>
        <v>0.21685134852602642</v>
      </c>
    </row>
    <row r="19" spans="1:35" ht="15.6">
      <c r="B19" s="91">
        <v>45999</v>
      </c>
      <c r="C19" s="87">
        <v>8</v>
      </c>
      <c r="D19" s="152" t="s">
        <v>74</v>
      </c>
      <c r="E19" s="310">
        <v>1440</v>
      </c>
      <c r="F19" s="287">
        <f>[3]Dec!$N77</f>
        <v>196</v>
      </c>
      <c r="G19" s="17">
        <v>1253</v>
      </c>
      <c r="H19" s="53">
        <f t="shared" si="0"/>
        <v>54.15126050420168</v>
      </c>
      <c r="I19" s="54">
        <v>258</v>
      </c>
      <c r="J19" s="53">
        <f>83.8+5</f>
        <v>88.8</v>
      </c>
      <c r="K19" s="53">
        <f>(G19)*0.0708</f>
        <v>88.712400000000002</v>
      </c>
      <c r="L19" s="53">
        <f t="shared" si="5"/>
        <v>8.7599999999994793E-2</v>
      </c>
      <c r="M19" s="54">
        <f>[3]Dec!$AD19</f>
        <v>72</v>
      </c>
      <c r="N19" s="54">
        <v>9</v>
      </c>
      <c r="O19" s="54"/>
      <c r="P19" s="50">
        <f t="shared" si="3"/>
        <v>9.8648648648642798E-2</v>
      </c>
      <c r="Q19" s="54">
        <f t="shared" si="4"/>
        <v>383.57142857142856</v>
      </c>
      <c r="R19" s="54"/>
      <c r="S19" s="316"/>
    </row>
    <row r="20" spans="1:35" ht="15.6">
      <c r="B20" s="91">
        <v>45999</v>
      </c>
      <c r="C20" s="87">
        <v>8</v>
      </c>
      <c r="D20" s="152" t="s">
        <v>45</v>
      </c>
      <c r="E20" s="311"/>
      <c r="F20" s="287">
        <f>[3]Dec!$N78</f>
        <v>1050</v>
      </c>
      <c r="G20" s="188">
        <v>5446</v>
      </c>
      <c r="H20" s="53">
        <f t="shared" si="0"/>
        <v>43.934117647058827</v>
      </c>
      <c r="I20" s="54">
        <v>2</v>
      </c>
      <c r="J20" s="53">
        <f>SUM(92.7,66.5,104.8,96.1)</f>
        <v>360.1</v>
      </c>
      <c r="K20" s="53">
        <f t="shared" si="6"/>
        <v>359.43600000000004</v>
      </c>
      <c r="L20" s="53">
        <f t="shared" si="5"/>
        <v>0.66399999999998727</v>
      </c>
      <c r="M20" s="54">
        <f>[3]Dec!$AD20</f>
        <v>524</v>
      </c>
      <c r="N20" s="54">
        <f>40+15+21</f>
        <v>76</v>
      </c>
      <c r="O20" s="54"/>
      <c r="P20" s="50">
        <f t="shared" si="3"/>
        <v>0.18439322410441189</v>
      </c>
      <c r="Q20" s="54">
        <f t="shared" si="4"/>
        <v>311.2</v>
      </c>
      <c r="R20" s="54"/>
      <c r="S20" s="16"/>
    </row>
    <row r="21" spans="1:35" ht="15.6">
      <c r="B21" s="91">
        <v>46000</v>
      </c>
      <c r="C21" s="87">
        <v>9</v>
      </c>
      <c r="D21" s="152" t="s">
        <v>49</v>
      </c>
      <c r="E21" s="47">
        <v>1440</v>
      </c>
      <c r="F21" s="287">
        <f>[3]Dec!$N79</f>
        <v>480</v>
      </c>
      <c r="G21" s="17">
        <v>3254</v>
      </c>
      <c r="H21" s="53">
        <f t="shared" si="0"/>
        <v>57.423529411764704</v>
      </c>
      <c r="I21" s="54"/>
      <c r="J21" s="53">
        <f>SUM(95.2,102,86,97)-94-66.9</f>
        <v>219.29999999999998</v>
      </c>
      <c r="K21" s="53">
        <f t="shared" si="6"/>
        <v>214.76400000000001</v>
      </c>
      <c r="L21" s="53">
        <f t="shared" si="5"/>
        <v>4.5359999999999729</v>
      </c>
      <c r="M21" s="54">
        <f>[3]Dec!$AD21</f>
        <v>1030</v>
      </c>
      <c r="N21" s="54">
        <v>24</v>
      </c>
      <c r="O21" s="54"/>
      <c r="P21" s="50">
        <f t="shared" si="3"/>
        <v>2.0683994528043654</v>
      </c>
      <c r="Q21" s="54">
        <f t="shared" si="4"/>
        <v>406.75</v>
      </c>
      <c r="R21" s="54"/>
      <c r="S21" s="16"/>
    </row>
    <row r="22" spans="1:35" ht="15.6">
      <c r="B22" s="91">
        <v>46001</v>
      </c>
      <c r="C22" s="87">
        <v>10</v>
      </c>
      <c r="D22" s="152" t="s">
        <v>49</v>
      </c>
      <c r="E22" s="310">
        <v>1435</v>
      </c>
      <c r="F22" s="287">
        <f>[3]Dec!$N80</f>
        <v>799</v>
      </c>
      <c r="G22" s="17">
        <v>5217</v>
      </c>
      <c r="H22" s="53">
        <f t="shared" si="0"/>
        <v>55.307958477508649</v>
      </c>
      <c r="I22" s="54">
        <v>2</v>
      </c>
      <c r="J22" s="53">
        <f>SUM(94,66.9,99,92)</f>
        <v>351.9</v>
      </c>
      <c r="K22" s="53">
        <f t="shared" si="6"/>
        <v>344.322</v>
      </c>
      <c r="L22" s="53">
        <f t="shared" si="5"/>
        <v>7.5779999999999745</v>
      </c>
      <c r="M22" s="54">
        <f>[3]Dec!$AD22</f>
        <v>187</v>
      </c>
      <c r="N22" s="54">
        <f>3+7</f>
        <v>10</v>
      </c>
      <c r="O22" s="54"/>
      <c r="P22" s="50">
        <f t="shared" si="3"/>
        <v>2.1534526854219878</v>
      </c>
      <c r="Q22" s="54">
        <f t="shared" si="4"/>
        <v>391.76470588235293</v>
      </c>
      <c r="R22" s="54"/>
      <c r="S22" s="16"/>
    </row>
    <row r="23" spans="1:35" ht="15.6">
      <c r="B23" s="91">
        <v>46001</v>
      </c>
      <c r="C23" s="87">
        <v>10</v>
      </c>
      <c r="D23" s="152" t="s">
        <v>72</v>
      </c>
      <c r="E23" s="311"/>
      <c r="F23" s="287">
        <f>[3]Dec!$N81</f>
        <v>337</v>
      </c>
      <c r="G23" s="17">
        <v>1405</v>
      </c>
      <c r="H23" s="53">
        <f t="shared" si="0"/>
        <v>35.315063710944315</v>
      </c>
      <c r="I23" s="54"/>
      <c r="J23" s="53">
        <f>SUM(87,87)-80.2</f>
        <v>93.8</v>
      </c>
      <c r="K23" s="53">
        <f t="shared" si="6"/>
        <v>92.73</v>
      </c>
      <c r="L23" s="53">
        <f t="shared" si="5"/>
        <v>1.0699999999999932</v>
      </c>
      <c r="M23" s="54">
        <f>[3]Dec!$AD23</f>
        <v>316</v>
      </c>
      <c r="N23" s="54">
        <v>37</v>
      </c>
      <c r="O23" s="54"/>
      <c r="P23" s="50">
        <f t="shared" si="3"/>
        <v>1.1407249466950886</v>
      </c>
      <c r="Q23" s="54">
        <f t="shared" si="4"/>
        <v>250.14836795252228</v>
      </c>
      <c r="R23" s="54"/>
      <c r="S23" s="16"/>
    </row>
    <row r="24" spans="1:35" ht="15.6">
      <c r="B24" s="91">
        <v>46002</v>
      </c>
      <c r="C24" s="87">
        <v>11</v>
      </c>
      <c r="D24" s="152" t="s">
        <v>72</v>
      </c>
      <c r="E24" s="47">
        <v>1436</v>
      </c>
      <c r="F24" s="287">
        <f>[3]Dec!$N82</f>
        <v>1203</v>
      </c>
      <c r="G24" s="188">
        <v>5043</v>
      </c>
      <c r="H24" s="53">
        <f t="shared" si="0"/>
        <v>35.508874871644416</v>
      </c>
      <c r="I24" s="54">
        <f>183+36</f>
        <v>219</v>
      </c>
      <c r="J24" s="53">
        <f>SUM(87,80.2,90,90,40)-42.9</f>
        <v>344.3</v>
      </c>
      <c r="K24" s="53">
        <f t="shared" si="6"/>
        <v>332.83800000000002</v>
      </c>
      <c r="L24" s="53">
        <f t="shared" si="5"/>
        <v>11.461999999999989</v>
      </c>
      <c r="M24" s="54">
        <f>[3]Dec!$AD24</f>
        <v>689</v>
      </c>
      <c r="N24" s="54">
        <f>10+37+38</f>
        <v>85</v>
      </c>
      <c r="O24" s="54"/>
      <c r="P24" s="50">
        <f t="shared" si="3"/>
        <v>3.3290734824281119</v>
      </c>
      <c r="Q24" s="54">
        <f t="shared" si="4"/>
        <v>251.52119700748128</v>
      </c>
      <c r="R24" s="54"/>
      <c r="S24" s="16"/>
    </row>
    <row r="25" spans="1:35" s="202" customFormat="1" ht="18.75" customHeight="1">
      <c r="A25"/>
      <c r="B25" s="91">
        <v>46003</v>
      </c>
      <c r="C25" s="87">
        <v>12</v>
      </c>
      <c r="D25" s="152" t="s">
        <v>72</v>
      </c>
      <c r="E25" s="310">
        <v>1260</v>
      </c>
      <c r="F25" s="287">
        <f>[3]Dec!$N83</f>
        <v>150</v>
      </c>
      <c r="G25" s="17">
        <v>615</v>
      </c>
      <c r="H25" s="53">
        <f t="shared" si="0"/>
        <v>34.72941176470588</v>
      </c>
      <c r="I25" s="54"/>
      <c r="J25" s="53">
        <v>42.9</v>
      </c>
      <c r="K25" s="53">
        <f>(G25)*0.066</f>
        <v>40.590000000000003</v>
      </c>
      <c r="L25" s="53">
        <f t="shared" si="5"/>
        <v>2.3099999999999952</v>
      </c>
      <c r="M25" s="54">
        <f>[3]Dec!$AD25</f>
        <v>257</v>
      </c>
      <c r="N25" s="54">
        <v>5</v>
      </c>
      <c r="O25" s="54"/>
      <c r="P25" s="50">
        <f t="shared" si="3"/>
        <v>5.3846153846153735</v>
      </c>
      <c r="Q25" s="54">
        <f t="shared" si="4"/>
        <v>246</v>
      </c>
      <c r="R25" s="54"/>
      <c r="S25" s="16"/>
      <c r="T25" t="s">
        <v>145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 s="202" customFormat="1" ht="15.6">
      <c r="A26"/>
      <c r="B26" s="91">
        <v>46003</v>
      </c>
      <c r="C26" s="87">
        <v>12</v>
      </c>
      <c r="D26" s="152" t="s">
        <v>68</v>
      </c>
      <c r="E26" s="315"/>
      <c r="F26" s="287">
        <f>[3]Dec!$N84</f>
        <v>92</v>
      </c>
      <c r="G26" s="188">
        <v>665</v>
      </c>
      <c r="H26" s="53">
        <f t="shared" si="0"/>
        <v>61.227621483375948</v>
      </c>
      <c r="I26" s="54"/>
      <c r="J26" s="53">
        <v>47</v>
      </c>
      <c r="K26" s="53">
        <f t="shared" si="6"/>
        <v>43.89</v>
      </c>
      <c r="L26" s="53">
        <f t="shared" si="5"/>
        <v>3.1099999999999994</v>
      </c>
      <c r="M26" s="54">
        <f>[3]Dec!$AD26</f>
        <v>75</v>
      </c>
      <c r="N26" s="54">
        <v>10</v>
      </c>
      <c r="O26" s="54"/>
      <c r="P26" s="50">
        <f t="shared" si="3"/>
        <v>6.617021276595743</v>
      </c>
      <c r="Q26" s="54">
        <f t="shared" si="4"/>
        <v>433.695652173913</v>
      </c>
      <c r="R26" s="54"/>
      <c r="S26" s="1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35" ht="15.6">
      <c r="B27" s="91">
        <v>46003</v>
      </c>
      <c r="C27" s="87">
        <v>12</v>
      </c>
      <c r="D27" s="152" t="s">
        <v>65</v>
      </c>
      <c r="E27" s="311"/>
      <c r="F27" s="287">
        <f>[3]Dec!$N85</f>
        <v>524</v>
      </c>
      <c r="G27" s="17">
        <v>2645</v>
      </c>
      <c r="H27" s="53">
        <f t="shared" ref="H27:H45" si="7">(G27)*24/(F27/60)/17000*100</f>
        <v>42.75707229456669</v>
      </c>
      <c r="I27" s="54"/>
      <c r="J27" s="53">
        <f>SUM(106.2,94)-22.3</f>
        <v>177.89999999999998</v>
      </c>
      <c r="K27" s="53">
        <f t="shared" si="6"/>
        <v>174.57000000000002</v>
      </c>
      <c r="L27" s="53">
        <f t="shared" si="5"/>
        <v>3.3299999999999557</v>
      </c>
      <c r="M27" s="54">
        <f>[3]Dec!$AD27</f>
        <v>241</v>
      </c>
      <c r="N27" s="54">
        <f>35+45</f>
        <v>80</v>
      </c>
      <c r="O27" s="54"/>
      <c r="P27" s="50">
        <f t="shared" si="3"/>
        <v>1.8718381112984577</v>
      </c>
      <c r="Q27" s="54">
        <f t="shared" si="4"/>
        <v>302.86259541984737</v>
      </c>
      <c r="R27" s="54"/>
      <c r="S27" s="322">
        <f>((J29+J27+J28)-(K27+K29+K28))/(J29+J27+J28)*100</f>
        <v>0.99344066785925933</v>
      </c>
    </row>
    <row r="28" spans="1:35" ht="15.6">
      <c r="B28" s="91">
        <v>46004</v>
      </c>
      <c r="C28" s="87">
        <v>13</v>
      </c>
      <c r="D28" s="152" t="s">
        <v>65</v>
      </c>
      <c r="E28" s="47">
        <v>960</v>
      </c>
      <c r="F28" s="287">
        <f>[3]Dec!$N86</f>
        <v>410</v>
      </c>
      <c r="G28" s="17">
        <v>2888</v>
      </c>
      <c r="H28" s="53">
        <f t="shared" si="7"/>
        <v>59.665997130559546</v>
      </c>
      <c r="I28" s="54"/>
      <c r="J28" s="53">
        <f>SUM(90.7,105.5,29)-33.2</f>
        <v>192</v>
      </c>
      <c r="K28" s="53">
        <f t="shared" si="6"/>
        <v>190.608</v>
      </c>
      <c r="L28" s="53">
        <f t="shared" si="5"/>
        <v>1.3919999999999959</v>
      </c>
      <c r="M28" s="54">
        <f>[3]Dec!$AD28</f>
        <v>583</v>
      </c>
      <c r="N28" s="54">
        <v>0</v>
      </c>
      <c r="O28" s="54"/>
      <c r="P28" s="50">
        <f t="shared" si="3"/>
        <v>0.72499999999999787</v>
      </c>
      <c r="Q28" s="54">
        <f t="shared" si="4"/>
        <v>422.63414634146341</v>
      </c>
      <c r="R28" s="54"/>
      <c r="S28" s="322"/>
    </row>
    <row r="29" spans="1:35" ht="15.6">
      <c r="A29" s="142" t="s">
        <v>38</v>
      </c>
      <c r="B29" s="91">
        <v>46005</v>
      </c>
      <c r="C29" s="87">
        <v>14</v>
      </c>
      <c r="D29" s="152" t="s">
        <v>65</v>
      </c>
      <c r="E29" s="47">
        <v>960</v>
      </c>
      <c r="F29" s="287">
        <f>[3]Dec!$N87</f>
        <v>281</v>
      </c>
      <c r="G29" s="17">
        <v>2014</v>
      </c>
      <c r="H29" s="53">
        <f t="shared" si="7"/>
        <v>60.710906426627588</v>
      </c>
      <c r="I29" s="54">
        <v>4</v>
      </c>
      <c r="J29" s="53">
        <f>SUM(100,33.2)</f>
        <v>133.19999999999999</v>
      </c>
      <c r="K29" s="53">
        <f t="shared" si="6"/>
        <v>132.92400000000001</v>
      </c>
      <c r="L29" s="53">
        <f t="shared" si="5"/>
        <v>0.27599999999998204</v>
      </c>
      <c r="M29" s="54">
        <f>[3]Dec!$AD29</f>
        <v>105</v>
      </c>
      <c r="N29" s="54"/>
      <c r="O29" s="54"/>
      <c r="P29" s="50">
        <f t="shared" si="3"/>
        <v>0.20720720720719374</v>
      </c>
      <c r="Q29" s="54">
        <f t="shared" si="4"/>
        <v>430.03558718861206</v>
      </c>
      <c r="R29" s="54"/>
      <c r="S29" s="322"/>
    </row>
    <row r="30" spans="1:35" ht="15.6">
      <c r="B30" s="91">
        <v>46005</v>
      </c>
      <c r="C30" s="87">
        <v>14</v>
      </c>
      <c r="D30" s="152" t="s">
        <v>74</v>
      </c>
      <c r="E30" s="47"/>
      <c r="F30" s="287">
        <f>[3]Dec!$N88</f>
        <v>469</v>
      </c>
      <c r="G30" s="17">
        <v>3620</v>
      </c>
      <c r="H30" s="53">
        <f t="shared" si="7"/>
        <v>65.380659726577193</v>
      </c>
      <c r="I30" s="54"/>
      <c r="J30" s="53">
        <f>SUM(92.3,95.2,98)-29.1</f>
        <v>256.39999999999998</v>
      </c>
      <c r="K30" s="53">
        <f>(G30)*0.0708</f>
        <v>256.29599999999999</v>
      </c>
      <c r="L30" s="53">
        <f t="shared" si="5"/>
        <v>0.10399999999998499</v>
      </c>
      <c r="M30" s="54">
        <f>[3]Dec!$AD30</f>
        <v>187</v>
      </c>
      <c r="N30" s="54">
        <v>118</v>
      </c>
      <c r="O30" s="54"/>
      <c r="P30" s="50">
        <f t="shared" ref="P30:P44" si="8">(J30-K30)/J30*100</f>
        <v>4.0561622464892748E-2</v>
      </c>
      <c r="Q30" s="54">
        <f t="shared" ref="Q30:Q44" si="9">(G30)/(F30/60)</f>
        <v>463.1130063965885</v>
      </c>
      <c r="R30" s="54"/>
      <c r="S30" s="317">
        <f>((J30+J31)-(K30+K31))/(J30+J31)*100</f>
        <v>8.6444833625221526E-2</v>
      </c>
    </row>
    <row r="31" spans="1:35" ht="15.6">
      <c r="B31" s="91">
        <v>46006</v>
      </c>
      <c r="C31" s="87">
        <v>15</v>
      </c>
      <c r="D31" s="152" t="s">
        <v>74</v>
      </c>
      <c r="E31" s="310">
        <v>1422</v>
      </c>
      <c r="F31" s="287">
        <f>[3]Dec!$N89</f>
        <v>44</v>
      </c>
      <c r="G31" s="188">
        <v>409</v>
      </c>
      <c r="H31" s="53">
        <f t="shared" si="7"/>
        <v>78.737967914438499</v>
      </c>
      <c r="I31" s="54"/>
      <c r="J31" s="53">
        <v>29.1</v>
      </c>
      <c r="K31" s="53">
        <f>(G31)*0.0708</f>
        <v>28.9572</v>
      </c>
      <c r="L31" s="53">
        <f t="shared" si="5"/>
        <v>0.14280000000000115</v>
      </c>
      <c r="M31" s="54">
        <f>[3]Dec!$AD31</f>
        <v>44</v>
      </c>
      <c r="N31" s="54">
        <v>15</v>
      </c>
      <c r="O31" s="54"/>
      <c r="P31" s="50">
        <f t="shared" si="8"/>
        <v>0.49072164948454</v>
      </c>
      <c r="Q31" s="54">
        <f t="shared" si="9"/>
        <v>557.72727272727275</v>
      </c>
      <c r="R31" s="54"/>
      <c r="S31" s="317"/>
    </row>
    <row r="32" spans="1:35" ht="15.6">
      <c r="B32" s="91">
        <v>46006</v>
      </c>
      <c r="C32" s="87">
        <v>15</v>
      </c>
      <c r="D32" s="152" t="s">
        <v>27</v>
      </c>
      <c r="E32" s="311"/>
      <c r="F32" s="287">
        <f>[3]Dec!$N90</f>
        <v>756</v>
      </c>
      <c r="G32" s="17">
        <v>5158</v>
      </c>
      <c r="H32" s="53">
        <f t="shared" si="7"/>
        <v>57.792717086834735</v>
      </c>
      <c r="I32" s="54">
        <v>2</v>
      </c>
      <c r="J32" s="53">
        <f>SUM(99,49.3,100,99.9)</f>
        <v>348.20000000000005</v>
      </c>
      <c r="K32" s="53">
        <f>(G32)*0.066 +(10*0.19)</f>
        <v>342.32799999999997</v>
      </c>
      <c r="L32" s="53">
        <f t="shared" si="5"/>
        <v>5.8720000000000709</v>
      </c>
      <c r="M32" s="54">
        <f>[3]Dec!$AD32</f>
        <v>735</v>
      </c>
      <c r="N32" s="54">
        <f>28+85+4</f>
        <v>117</v>
      </c>
      <c r="O32" s="54">
        <v>10</v>
      </c>
      <c r="P32" s="50">
        <f t="shared" si="8"/>
        <v>1.6863871338311516</v>
      </c>
      <c r="Q32" s="54">
        <f>(G32)/(F32/60)</f>
        <v>409.3650793650794</v>
      </c>
      <c r="R32" s="54"/>
      <c r="S32" s="16"/>
    </row>
    <row r="33" spans="1:57" ht="15.6">
      <c r="B33" s="91">
        <v>46007</v>
      </c>
      <c r="C33" s="87">
        <v>16</v>
      </c>
      <c r="D33" s="152" t="s">
        <v>99</v>
      </c>
      <c r="E33" s="310">
        <v>1400</v>
      </c>
      <c r="F33" s="287">
        <f>[3]Dec!$N91</f>
        <v>439</v>
      </c>
      <c r="G33" s="17">
        <v>2017</v>
      </c>
      <c r="H33" s="53">
        <f t="shared" si="7"/>
        <v>38.918397427308058</v>
      </c>
      <c r="I33" s="319">
        <v>4</v>
      </c>
      <c r="J33" s="318">
        <f>SUM(97,101,100.3,96.5)-8.3-14</f>
        <v>372.5</v>
      </c>
      <c r="K33" s="318">
        <f>(G33+G34)*0.066</f>
        <v>362.80200000000002</v>
      </c>
      <c r="L33" s="53">
        <f t="shared" si="5"/>
        <v>9.6979999999999791</v>
      </c>
      <c r="M33" s="54">
        <f>[3]Dec!$AD33</f>
        <v>232</v>
      </c>
      <c r="N33" s="54">
        <v>32</v>
      </c>
      <c r="O33" s="54"/>
      <c r="P33" s="318">
        <f t="shared" si="8"/>
        <v>2.6034899328859002</v>
      </c>
      <c r="Q33" s="54">
        <f t="shared" si="9"/>
        <v>275.67198177676539</v>
      </c>
      <c r="R33" s="54"/>
      <c r="S33" s="320">
        <f>((J33+J35+J36)-(K33+K35+K36))/(J33+J35+J36+7)*100</f>
        <v>1.4766412842148615</v>
      </c>
    </row>
    <row r="34" spans="1:57" ht="15.6">
      <c r="B34" s="91">
        <v>46007</v>
      </c>
      <c r="C34" s="87">
        <v>16</v>
      </c>
      <c r="D34" s="152" t="s">
        <v>141</v>
      </c>
      <c r="E34" s="311"/>
      <c r="F34" s="287">
        <f>[3]Dec!$N92</f>
        <v>754</v>
      </c>
      <c r="G34" s="17">
        <v>3480</v>
      </c>
      <c r="H34" s="53">
        <f t="shared" si="7"/>
        <v>39.095022624434392</v>
      </c>
      <c r="I34" s="319"/>
      <c r="J34" s="318"/>
      <c r="K34" s="318"/>
      <c r="L34" s="53">
        <f t="shared" si="5"/>
        <v>0</v>
      </c>
      <c r="M34" s="54">
        <f>[3]Dec!$AD34</f>
        <v>333</v>
      </c>
      <c r="N34" s="54">
        <f>46+21</f>
        <v>67</v>
      </c>
      <c r="O34" s="54"/>
      <c r="P34" s="318"/>
      <c r="Q34" s="54">
        <f t="shared" si="9"/>
        <v>276.92307692307691</v>
      </c>
      <c r="R34" s="54"/>
      <c r="S34" s="320"/>
      <c r="T34" s="37"/>
      <c r="U34" s="6"/>
    </row>
    <row r="35" spans="1:57" s="202" customFormat="1" ht="15.6">
      <c r="A35"/>
      <c r="B35" s="91">
        <v>46008</v>
      </c>
      <c r="C35" s="87">
        <v>17</v>
      </c>
      <c r="D35" s="152" t="s">
        <v>49</v>
      </c>
      <c r="E35" s="47">
        <v>1427</v>
      </c>
      <c r="F35" s="287">
        <f>[3]Dec!$N93</f>
        <v>1315</v>
      </c>
      <c r="G35" s="17">
        <v>7410</v>
      </c>
      <c r="H35" s="53">
        <f t="shared" si="7"/>
        <v>47.731603668083203</v>
      </c>
      <c r="I35" s="54"/>
      <c r="J35" s="53">
        <f>SUM(8.3,96,99.6,97.7,95.9,100,94.8)-0.8-92</f>
        <v>499.5</v>
      </c>
      <c r="K35" s="53">
        <f>(G35)*0.066+(35*0.19)</f>
        <v>495.71</v>
      </c>
      <c r="L35" s="53">
        <f t="shared" si="5"/>
        <v>3.7900000000000205</v>
      </c>
      <c r="M35" s="54">
        <f>[3]Dec!$AD35</f>
        <v>517</v>
      </c>
      <c r="N35" s="54">
        <f>9+101+40</f>
        <v>150</v>
      </c>
      <c r="O35" s="54">
        <v>35</v>
      </c>
      <c r="P35" s="50">
        <f t="shared" si="8"/>
        <v>0.75875875875876286</v>
      </c>
      <c r="Q35" s="54">
        <f>(G35)/(F35/60)</f>
        <v>338.09885931558932</v>
      </c>
      <c r="R35" s="54"/>
      <c r="S35" s="320"/>
      <c r="T35" s="37"/>
      <c r="U35" s="6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ht="15.6">
      <c r="B36" s="91">
        <v>46009</v>
      </c>
      <c r="C36" s="87">
        <v>18</v>
      </c>
      <c r="D36" s="152" t="s">
        <v>49</v>
      </c>
      <c r="E36" s="310">
        <v>1430</v>
      </c>
      <c r="F36" s="287">
        <f>[3]Dec!$N94</f>
        <v>199</v>
      </c>
      <c r="G36" s="17">
        <v>1393</v>
      </c>
      <c r="H36" s="53">
        <f t="shared" si="7"/>
        <v>59.294117647058819</v>
      </c>
      <c r="I36" s="54"/>
      <c r="J36" s="53">
        <f>SUM(0.8,92)</f>
        <v>92.8</v>
      </c>
      <c r="K36" s="53">
        <f t="shared" si="6"/>
        <v>91.938000000000002</v>
      </c>
      <c r="L36" s="53">
        <f t="shared" si="5"/>
        <v>0.86199999999999477</v>
      </c>
      <c r="M36" s="54">
        <f>[3]Dec!$AD36</f>
        <v>45</v>
      </c>
      <c r="N36" s="54">
        <v>23</v>
      </c>
      <c r="O36" s="54"/>
      <c r="P36" s="50">
        <f t="shared" si="8"/>
        <v>0.92887931034482207</v>
      </c>
      <c r="Q36" s="54">
        <f t="shared" si="9"/>
        <v>420</v>
      </c>
      <c r="R36" s="54"/>
      <c r="S36" s="320"/>
      <c r="T36" s="37"/>
      <c r="U36" s="6"/>
    </row>
    <row r="37" spans="1:57" ht="15.6">
      <c r="B37" s="91">
        <v>46009</v>
      </c>
      <c r="C37" s="87">
        <v>18</v>
      </c>
      <c r="D37" s="152" t="s">
        <v>73</v>
      </c>
      <c r="E37" s="315"/>
      <c r="F37" s="287">
        <f>[3]Dec!$N95</f>
        <v>334</v>
      </c>
      <c r="G37" s="17">
        <v>1298</v>
      </c>
      <c r="H37" s="53">
        <f>(G37)*24/(F37/60)/17000*100</f>
        <v>32.918633321592111</v>
      </c>
      <c r="I37" s="54"/>
      <c r="J37" s="53">
        <v>88.6</v>
      </c>
      <c r="K37" s="53">
        <f t="shared" si="6"/>
        <v>85.668000000000006</v>
      </c>
      <c r="L37" s="53">
        <f t="shared" si="5"/>
        <v>2.9319999999999879</v>
      </c>
      <c r="M37" s="54">
        <f>[3]Dec!$AD37</f>
        <v>241</v>
      </c>
      <c r="N37" s="54">
        <f>5+28</f>
        <v>33</v>
      </c>
      <c r="O37" s="54"/>
      <c r="P37" s="50">
        <f t="shared" si="8"/>
        <v>3.3092550790067587</v>
      </c>
      <c r="Q37" s="54">
        <f t="shared" si="9"/>
        <v>233.17365269461078</v>
      </c>
      <c r="R37" s="54"/>
      <c r="S37" s="16"/>
      <c r="T37" s="37"/>
      <c r="U37" s="6"/>
    </row>
    <row r="38" spans="1:57" ht="15.6">
      <c r="B38" s="91">
        <v>46009</v>
      </c>
      <c r="C38" s="87">
        <v>18</v>
      </c>
      <c r="D38" s="152" t="s">
        <v>142</v>
      </c>
      <c r="E38" s="315"/>
      <c r="F38" s="287">
        <f>[3]Dec!$N96</f>
        <v>403</v>
      </c>
      <c r="G38" s="188">
        <v>2736</v>
      </c>
      <c r="H38" s="53">
        <f t="shared" si="7"/>
        <v>57.507517150780906</v>
      </c>
      <c r="I38" s="54"/>
      <c r="J38" s="53">
        <f>SUM(90,92.7)</f>
        <v>182.7</v>
      </c>
      <c r="K38" s="53">
        <f t="shared" si="6"/>
        <v>180.57600000000002</v>
      </c>
      <c r="L38" s="53">
        <f t="shared" si="5"/>
        <v>2.1239999999999668</v>
      </c>
      <c r="M38" s="54">
        <f>[3]Dec!$AD38</f>
        <v>183</v>
      </c>
      <c r="N38" s="54">
        <f>43+54</f>
        <v>97</v>
      </c>
      <c r="O38" s="54"/>
      <c r="P38" s="50">
        <f t="shared" si="8"/>
        <v>1.1625615763546617</v>
      </c>
      <c r="Q38" s="54">
        <f t="shared" si="9"/>
        <v>407.34491315136478</v>
      </c>
      <c r="R38" s="54"/>
      <c r="S38" s="16"/>
      <c r="T38" s="37"/>
      <c r="U38" s="6"/>
    </row>
    <row r="39" spans="1:57" ht="15.6">
      <c r="B39" s="91">
        <v>46009</v>
      </c>
      <c r="C39" s="87">
        <v>18</v>
      </c>
      <c r="D39" s="152" t="s">
        <v>49</v>
      </c>
      <c r="E39" s="311"/>
      <c r="F39" s="287">
        <f>[3]Dec!$N97</f>
        <v>263</v>
      </c>
      <c r="G39" s="17">
        <v>1537</v>
      </c>
      <c r="H39" s="53">
        <f t="shared" si="7"/>
        <v>49.503019458734052</v>
      </c>
      <c r="I39" s="54"/>
      <c r="J39" s="53">
        <f>SUM(97.3,102.5)-96.5</f>
        <v>103.30000000000001</v>
      </c>
      <c r="K39" s="53">
        <f t="shared" si="6"/>
        <v>101.44200000000001</v>
      </c>
      <c r="L39" s="53">
        <f t="shared" si="5"/>
        <v>1.8580000000000041</v>
      </c>
      <c r="M39" s="54">
        <f>[3]Dec!$AD39</f>
        <v>80</v>
      </c>
      <c r="N39" s="54">
        <v>20</v>
      </c>
      <c r="O39" s="54"/>
      <c r="P39" s="50">
        <f t="shared" si="8"/>
        <v>1.7986447241045538</v>
      </c>
      <c r="Q39" s="54">
        <f t="shared" si="9"/>
        <v>350.64638783269959</v>
      </c>
      <c r="R39" s="54"/>
      <c r="S39" s="321">
        <f>((J39+J40)-(K39+K40))/(J39+J40)*100</f>
        <v>1.5285285285285295</v>
      </c>
    </row>
    <row r="40" spans="1:57" ht="15.6">
      <c r="B40" s="91">
        <v>46010</v>
      </c>
      <c r="C40" s="87">
        <v>19</v>
      </c>
      <c r="D40" s="152" t="s">
        <v>49</v>
      </c>
      <c r="E40" s="310">
        <v>1217</v>
      </c>
      <c r="F40" s="287">
        <f>[3]Dec!$N98</f>
        <v>211</v>
      </c>
      <c r="G40" s="17">
        <v>1444</v>
      </c>
      <c r="H40" s="53">
        <f t="shared" si="7"/>
        <v>57.969333705045997</v>
      </c>
      <c r="I40" s="54">
        <v>3</v>
      </c>
      <c r="J40" s="53">
        <v>96.5</v>
      </c>
      <c r="K40" s="53">
        <f t="shared" si="6"/>
        <v>95.304000000000002</v>
      </c>
      <c r="L40" s="53">
        <f t="shared" si="5"/>
        <v>1.195999999999998</v>
      </c>
      <c r="M40" s="54">
        <f>[3]Dec!$AD40</f>
        <v>51</v>
      </c>
      <c r="N40" s="54">
        <v>12</v>
      </c>
      <c r="O40" s="54"/>
      <c r="P40" s="50">
        <f>(J40-K40)/J40*100</f>
        <v>1.2393782383419669</v>
      </c>
      <c r="Q40" s="54">
        <f t="shared" si="9"/>
        <v>410.61611374407585</v>
      </c>
      <c r="R40" s="54"/>
      <c r="S40" s="321"/>
    </row>
    <row r="41" spans="1:57" ht="15.6">
      <c r="B41" s="91">
        <v>46010</v>
      </c>
      <c r="C41" s="87">
        <v>19</v>
      </c>
      <c r="D41" s="152" t="s">
        <v>65</v>
      </c>
      <c r="E41" s="311"/>
      <c r="F41" s="287">
        <f>[3]Dec!$N99</f>
        <v>830</v>
      </c>
      <c r="G41" s="17">
        <v>5817</v>
      </c>
      <c r="H41" s="53">
        <f t="shared" si="7"/>
        <v>59.365556343019129</v>
      </c>
      <c r="I41" s="54"/>
      <c r="J41" s="53">
        <f>SUM(90.7,101.5,96.2,107)</f>
        <v>395.4</v>
      </c>
      <c r="K41" s="53">
        <f t="shared" si="6"/>
        <v>383.92200000000003</v>
      </c>
      <c r="L41" s="53">
        <f t="shared" si="5"/>
        <v>11.477999999999952</v>
      </c>
      <c r="M41" s="54">
        <f>[3]Dec!$AD41</f>
        <v>252</v>
      </c>
      <c r="N41" s="54">
        <v>61</v>
      </c>
      <c r="O41" s="54"/>
      <c r="P41" s="50">
        <f t="shared" si="8"/>
        <v>2.902883156297408</v>
      </c>
      <c r="Q41" s="54">
        <f>(G41)/(F41/60)</f>
        <v>420.50602409638554</v>
      </c>
      <c r="R41" s="54"/>
      <c r="S41" s="16"/>
    </row>
    <row r="42" spans="1:57" ht="17.399999999999999">
      <c r="B42" s="59">
        <v>46013</v>
      </c>
      <c r="C42" s="48">
        <v>20</v>
      </c>
      <c r="D42" s="306" t="s">
        <v>49</v>
      </c>
      <c r="E42" s="47">
        <v>1388</v>
      </c>
      <c r="F42" s="287">
        <f>[3]Dec!$N100</f>
        <v>1213</v>
      </c>
      <c r="G42" s="17">
        <v>8227</v>
      </c>
      <c r="H42" s="53">
        <f t="shared" si="7"/>
        <v>57.450560108627137</v>
      </c>
      <c r="I42" s="54"/>
      <c r="J42" s="53">
        <f>SUM(63,97.7,99.8,98.2,96.6,101)</f>
        <v>556.29999999999995</v>
      </c>
      <c r="K42" s="53">
        <f t="shared" si="6"/>
        <v>542.98199999999997</v>
      </c>
      <c r="L42" s="53">
        <f t="shared" si="5"/>
        <v>13.317999999999984</v>
      </c>
      <c r="M42" s="54">
        <f>[3]Dec!$AD42</f>
        <v>325</v>
      </c>
      <c r="N42" s="54">
        <f>17+6+5+1</f>
        <v>29</v>
      </c>
      <c r="O42" s="54"/>
      <c r="P42" s="50">
        <f t="shared" si="8"/>
        <v>2.3940319971238511</v>
      </c>
      <c r="Q42" s="54">
        <f>(G42)/(F42/60)</f>
        <v>406.94146743610884</v>
      </c>
      <c r="R42" s="54"/>
      <c r="S42" s="16"/>
    </row>
    <row r="43" spans="1:57" ht="15.6">
      <c r="B43" s="59">
        <v>46014</v>
      </c>
      <c r="C43" s="48">
        <v>21</v>
      </c>
      <c r="D43" s="152" t="s">
        <v>27</v>
      </c>
      <c r="E43" s="47">
        <v>1467</v>
      </c>
      <c r="F43" s="287">
        <f>[3]Dec!$N101</f>
        <v>1320</v>
      </c>
      <c r="G43" s="17">
        <f>6835+8</f>
        <v>6843</v>
      </c>
      <c r="H43" s="53">
        <f t="shared" si="7"/>
        <v>43.912299465240636</v>
      </c>
      <c r="I43" s="54"/>
      <c r="J43" s="53">
        <f>SUM(96,93.5,102,86.8,79.4)</f>
        <v>457.70000000000005</v>
      </c>
      <c r="K43" s="53">
        <f t="shared" si="6"/>
        <v>451.63800000000003</v>
      </c>
      <c r="L43" s="53">
        <f>J42-K43</f>
        <v>104.66199999999992</v>
      </c>
      <c r="M43" s="54">
        <f>[3]Dec!$AD43</f>
        <v>611</v>
      </c>
      <c r="N43" s="54">
        <f>34+14+7+4</f>
        <v>59</v>
      </c>
      <c r="O43" s="54"/>
      <c r="P43" s="50">
        <f t="shared" si="8"/>
        <v>1.3244483285995219</v>
      </c>
      <c r="Q43" s="54">
        <f t="shared" si="9"/>
        <v>311.04545454545456</v>
      </c>
      <c r="R43" s="54"/>
      <c r="S43" s="16"/>
    </row>
    <row r="44" spans="1:57" ht="15.6">
      <c r="B44" s="59">
        <v>46015</v>
      </c>
      <c r="C44" s="48">
        <v>22</v>
      </c>
      <c r="D44" s="152" t="s">
        <v>45</v>
      </c>
      <c r="E44" s="47">
        <v>1025</v>
      </c>
      <c r="F44" s="287">
        <f>[3]Dec!$N102</f>
        <v>708</v>
      </c>
      <c r="G44" s="17">
        <v>4430</v>
      </c>
      <c r="H44" s="53">
        <f t="shared" si="7"/>
        <v>53.000997008973073</v>
      </c>
      <c r="I44" s="54">
        <v>1</v>
      </c>
      <c r="J44" s="53">
        <f>SUM(93.4,92,91,92)-75.6</f>
        <v>292.79999999999995</v>
      </c>
      <c r="K44" s="53">
        <f t="shared" si="6"/>
        <v>292.38</v>
      </c>
      <c r="L44" s="53">
        <f t="shared" ref="L44:L59" si="10">J44-K44</f>
        <v>0.41999999999995907</v>
      </c>
      <c r="M44" s="54">
        <f>[3]Dec!$AD44</f>
        <v>330</v>
      </c>
      <c r="N44" s="54">
        <f>2+15+2</f>
        <v>19</v>
      </c>
      <c r="O44" s="54"/>
      <c r="P44" s="50">
        <f t="shared" si="8"/>
        <v>0.14344262295080573</v>
      </c>
      <c r="Q44" s="54">
        <f t="shared" si="9"/>
        <v>375.42372881355931</v>
      </c>
      <c r="R44" s="54"/>
      <c r="S44" s="314">
        <f>((J44+J45)-(K44+K45))/(J44+J45)*100</f>
        <v>0.12214983713354742</v>
      </c>
    </row>
    <row r="45" spans="1:57" ht="15.6">
      <c r="B45" s="59">
        <v>46020</v>
      </c>
      <c r="C45" s="48">
        <v>23</v>
      </c>
      <c r="D45" s="152" t="s">
        <v>45</v>
      </c>
      <c r="E45" s="310">
        <v>1380</v>
      </c>
      <c r="F45" s="287">
        <f>[3]Dec!$N103</f>
        <v>208</v>
      </c>
      <c r="G45" s="17">
        <v>1145</v>
      </c>
      <c r="H45" s="53">
        <f t="shared" si="7"/>
        <v>46.628959276018094</v>
      </c>
      <c r="I45" s="54"/>
      <c r="J45" s="53">
        <v>75.599999999999994</v>
      </c>
      <c r="K45" s="53">
        <f t="shared" si="6"/>
        <v>75.570000000000007</v>
      </c>
      <c r="L45" s="53">
        <f t="shared" si="10"/>
        <v>2.9999999999986926E-2</v>
      </c>
      <c r="M45" s="54">
        <f>[3]Dec!$AD45</f>
        <v>511</v>
      </c>
      <c r="N45" s="54">
        <v>9</v>
      </c>
      <c r="O45" s="54"/>
      <c r="P45" s="50">
        <f t="shared" ref="P45:P55" si="11">(J45-K45)/J45*100</f>
        <v>3.9682539682522389E-2</v>
      </c>
      <c r="Q45" s="54">
        <f t="shared" ref="Q45:Q55" si="12">(G45)/(F45/60)</f>
        <v>330.28846153846155</v>
      </c>
      <c r="R45" s="54"/>
      <c r="S45" s="314"/>
    </row>
    <row r="46" spans="1:57" ht="15.6">
      <c r="B46" s="59">
        <v>46020</v>
      </c>
      <c r="C46" s="48">
        <v>23</v>
      </c>
      <c r="D46" s="152" t="s">
        <v>44</v>
      </c>
      <c r="E46" s="311"/>
      <c r="F46" s="287">
        <f>[3]Dec!$N104</f>
        <v>710</v>
      </c>
      <c r="G46" s="17">
        <v>4510</v>
      </c>
      <c r="H46" s="53">
        <f t="shared" ref="H46:H59" si="13">(G46)*24/(F46/60)/17000*100</f>
        <v>53.806130903065444</v>
      </c>
      <c r="I46" s="54"/>
      <c r="J46" s="53">
        <f>SUM(97,95,100,99)-84.6</f>
        <v>306.39999999999998</v>
      </c>
      <c r="K46" s="53">
        <f t="shared" si="6"/>
        <v>297.66000000000003</v>
      </c>
      <c r="L46" s="53">
        <f t="shared" si="10"/>
        <v>8.7399999999999523</v>
      </c>
      <c r="M46" s="54">
        <f>[3]Dec!$AD46</f>
        <v>211</v>
      </c>
      <c r="N46" s="54">
        <f>4+5</f>
        <v>9</v>
      </c>
      <c r="O46" s="54"/>
      <c r="P46" s="50">
        <f t="shared" si="11"/>
        <v>2.852480417754554</v>
      </c>
      <c r="Q46" s="54">
        <f t="shared" si="12"/>
        <v>381.12676056338029</v>
      </c>
      <c r="R46" s="54"/>
      <c r="S46" s="312">
        <f>((J46+J47)-(K46+K47))/(J46+J47)*100</f>
        <v>1.9165085388994327</v>
      </c>
    </row>
    <row r="47" spans="1:57" ht="19.350000000000001" customHeight="1">
      <c r="B47" s="59">
        <v>46021</v>
      </c>
      <c r="C47" s="48">
        <v>24</v>
      </c>
      <c r="D47" s="152" t="s">
        <v>49</v>
      </c>
      <c r="E47" s="310">
        <v>1435</v>
      </c>
      <c r="F47" s="287">
        <f>[3]Dec!$N105</f>
        <v>648</v>
      </c>
      <c r="G47" s="17">
        <v>4105</v>
      </c>
      <c r="H47" s="53">
        <f t="shared" si="13"/>
        <v>53.660130718954235</v>
      </c>
      <c r="I47" s="54"/>
      <c r="J47" s="53">
        <f>SUM(84.6,92.7,96)</f>
        <v>273.3</v>
      </c>
      <c r="K47" s="53">
        <f t="shared" si="6"/>
        <v>270.93</v>
      </c>
      <c r="L47" s="53">
        <f t="shared" si="10"/>
        <v>2.3700000000000045</v>
      </c>
      <c r="M47" s="54">
        <f>[3]Dec!$AD47</f>
        <v>225</v>
      </c>
      <c r="N47" s="54">
        <f>5+4</f>
        <v>9</v>
      </c>
      <c r="O47" s="54"/>
      <c r="P47" s="50">
        <f t="shared" si="11"/>
        <v>0.86717892425905752</v>
      </c>
      <c r="Q47" s="54">
        <f t="shared" si="12"/>
        <v>380.09259259259255</v>
      </c>
      <c r="R47" s="54"/>
      <c r="S47" s="312"/>
    </row>
    <row r="48" spans="1:57" ht="15.6">
      <c r="B48" s="59">
        <v>46021</v>
      </c>
      <c r="C48" s="48">
        <v>24</v>
      </c>
      <c r="D48" s="152" t="s">
        <v>27</v>
      </c>
      <c r="E48" s="311"/>
      <c r="F48" s="287">
        <f>[3]Dec!$N106</f>
        <v>687</v>
      </c>
      <c r="G48" s="17">
        <v>3668</v>
      </c>
      <c r="H48" s="53">
        <f t="shared" si="13"/>
        <v>45.225789879270486</v>
      </c>
      <c r="I48" s="54"/>
      <c r="J48" s="53">
        <f>SUM(91.5,95.2,92,88.9)-57-59.9</f>
        <v>250.70000000000002</v>
      </c>
      <c r="K48" s="53">
        <f t="shared" si="6"/>
        <v>242.08800000000002</v>
      </c>
      <c r="L48" s="53">
        <f t="shared" si="10"/>
        <v>8.6119999999999948</v>
      </c>
      <c r="M48" s="54">
        <f>[3]Dec!$AD48</f>
        <v>248</v>
      </c>
      <c r="N48" s="54">
        <f>2+7</f>
        <v>9</v>
      </c>
      <c r="O48" s="54"/>
      <c r="P48" s="50">
        <f t="shared" si="11"/>
        <v>3.435181491822894</v>
      </c>
      <c r="Q48" s="54">
        <f t="shared" si="12"/>
        <v>320.34934497816596</v>
      </c>
      <c r="R48" s="54"/>
      <c r="S48" s="313">
        <f>((J48+J49)-(K48+K49))/(J48+J49)*100</f>
        <v>1.5974188922745869</v>
      </c>
    </row>
    <row r="49" spans="2:19" ht="15.6" customHeight="1">
      <c r="B49" s="59">
        <v>46022</v>
      </c>
      <c r="C49" s="48">
        <v>25</v>
      </c>
      <c r="D49" s="152" t="s">
        <v>27</v>
      </c>
      <c r="E49" s="310">
        <v>1053</v>
      </c>
      <c r="F49" s="287">
        <f>[3]Dec!$N107</f>
        <v>692</v>
      </c>
      <c r="G49" s="17">
        <v>4650</v>
      </c>
      <c r="H49" s="53">
        <f t="shared" si="13"/>
        <v>56.919415164909907</v>
      </c>
      <c r="I49" s="54"/>
      <c r="J49" s="53">
        <f>SUM(57,59.9,97.6,92.7)</f>
        <v>307.2</v>
      </c>
      <c r="K49" s="53">
        <f t="shared" si="6"/>
        <v>306.90000000000003</v>
      </c>
      <c r="L49" s="53">
        <f t="shared" si="10"/>
        <v>0.29999999999995453</v>
      </c>
      <c r="M49" s="54">
        <f>[3]Dec!$AD49</f>
        <v>187</v>
      </c>
      <c r="N49" s="54">
        <v>3</v>
      </c>
      <c r="O49" s="54"/>
      <c r="P49" s="50">
        <f t="shared" si="11"/>
        <v>9.7656249999985206E-2</v>
      </c>
      <c r="Q49" s="54">
        <f t="shared" si="12"/>
        <v>403.17919075144511</v>
      </c>
      <c r="R49" s="54"/>
      <c r="S49" s="313"/>
    </row>
    <row r="50" spans="2:19" ht="15.6" customHeight="1">
      <c r="B50" s="59">
        <v>46022</v>
      </c>
      <c r="C50" s="48">
        <v>25</v>
      </c>
      <c r="D50" s="152" t="s">
        <v>30</v>
      </c>
      <c r="E50" s="311"/>
      <c r="F50" s="287">
        <f>[3]Dec!$N108</f>
        <v>288</v>
      </c>
      <c r="G50" s="188">
        <v>1873</v>
      </c>
      <c r="H50" s="53">
        <f t="shared" si="13"/>
        <v>55.088235294117652</v>
      </c>
      <c r="I50" s="54"/>
      <c r="J50" s="53">
        <f>SUM(90,88.2)-52.3</f>
        <v>125.89999999999999</v>
      </c>
      <c r="K50" s="53">
        <f t="shared" si="6"/>
        <v>123.61800000000001</v>
      </c>
      <c r="L50" s="53">
        <f>J50-K50</f>
        <v>2.2819999999999823</v>
      </c>
      <c r="M50" s="54">
        <f>[3]Dec!$AD50</f>
        <v>56</v>
      </c>
      <c r="N50" s="54">
        <f>2+9</f>
        <v>11</v>
      </c>
      <c r="O50" s="54"/>
      <c r="P50" s="50">
        <f t="shared" si="11"/>
        <v>1.8125496425734571</v>
      </c>
      <c r="Q50" s="54">
        <f t="shared" si="12"/>
        <v>390.20833333333337</v>
      </c>
      <c r="R50" s="54"/>
      <c r="S50" s="16"/>
    </row>
    <row r="51" spans="2:19" ht="15.6" customHeight="1">
      <c r="B51" s="59"/>
      <c r="C51" s="48"/>
      <c r="D51" s="152"/>
      <c r="E51" s="47"/>
      <c r="F51" s="287">
        <f>[3]Dec!$N109</f>
        <v>0</v>
      </c>
      <c r="G51" s="17"/>
      <c r="H51" s="53" t="e">
        <f>(G51)*24/(F51/60)/17000*100</f>
        <v>#DIV/0!</v>
      </c>
      <c r="I51" s="54"/>
      <c r="J51" s="53"/>
      <c r="K51" s="53">
        <f t="shared" si="6"/>
        <v>0</v>
      </c>
      <c r="L51" s="53">
        <f t="shared" si="10"/>
        <v>0</v>
      </c>
      <c r="M51" s="54">
        <f>[3]Dec!$AD51</f>
        <v>0</v>
      </c>
      <c r="N51" s="54"/>
      <c r="O51" s="54"/>
      <c r="P51" s="50" t="e">
        <f t="shared" si="11"/>
        <v>#DIV/0!</v>
      </c>
      <c r="Q51" s="54" t="e">
        <f t="shared" si="12"/>
        <v>#DIV/0!</v>
      </c>
      <c r="R51" s="54"/>
      <c r="S51" s="16"/>
    </row>
    <row r="52" spans="2:19" ht="15.6">
      <c r="B52" s="59"/>
      <c r="C52" s="48"/>
      <c r="D52" s="152"/>
      <c r="E52" s="47"/>
      <c r="F52" s="287">
        <f>[3]Dec!$N110</f>
        <v>0</v>
      </c>
      <c r="G52" s="17"/>
      <c r="H52" s="53" t="e">
        <f>(G52)*24/(F52/60)/17000*100</f>
        <v>#DIV/0!</v>
      </c>
      <c r="I52" s="54"/>
      <c r="J52" s="53"/>
      <c r="K52" s="53">
        <f t="shared" si="6"/>
        <v>0</v>
      </c>
      <c r="L52" s="53">
        <f t="shared" si="10"/>
        <v>0</v>
      </c>
      <c r="M52" s="54">
        <f>[3]Dec!$AD52</f>
        <v>0</v>
      </c>
      <c r="N52" s="54"/>
      <c r="O52" s="54"/>
      <c r="P52" s="53" t="e">
        <f t="shared" si="11"/>
        <v>#DIV/0!</v>
      </c>
      <c r="Q52" s="54" t="e">
        <f t="shared" si="12"/>
        <v>#DIV/0!</v>
      </c>
      <c r="R52" s="54"/>
      <c r="S52" s="16"/>
    </row>
    <row r="53" spans="2:19" ht="15.75" customHeight="1">
      <c r="B53" s="59"/>
      <c r="C53" s="48"/>
      <c r="D53" s="152"/>
      <c r="E53" s="47"/>
      <c r="F53" s="287">
        <f>[3]Dec!$N111</f>
        <v>0</v>
      </c>
      <c r="G53" s="17"/>
      <c r="H53" s="53" t="e">
        <f>(G53)*24/(F53/60)/17000*100</f>
        <v>#DIV/0!</v>
      </c>
      <c r="I53" s="54"/>
      <c r="J53" s="53"/>
      <c r="K53" s="53">
        <f t="shared" si="6"/>
        <v>0</v>
      </c>
      <c r="L53" s="53">
        <f t="shared" si="10"/>
        <v>0</v>
      </c>
      <c r="M53" s="54">
        <f>[3]Dec!$AD53</f>
        <v>0</v>
      </c>
      <c r="N53" s="54"/>
      <c r="O53" s="54"/>
      <c r="P53" s="53" t="e">
        <f t="shared" si="11"/>
        <v>#DIV/0!</v>
      </c>
      <c r="Q53" s="54" t="e">
        <f t="shared" si="12"/>
        <v>#DIV/0!</v>
      </c>
      <c r="R53" s="54"/>
      <c r="S53" s="16"/>
    </row>
    <row r="54" spans="2:19" ht="15.75" customHeight="1">
      <c r="B54" s="59"/>
      <c r="C54" s="48"/>
      <c r="D54" s="152"/>
      <c r="E54" s="47"/>
      <c r="F54" s="287">
        <f>[3]Dec!$N112</f>
        <v>0</v>
      </c>
      <c r="G54" s="17"/>
      <c r="H54" s="53" t="e">
        <f>(G54)*24/(F54/60)/17000*100</f>
        <v>#DIV/0!</v>
      </c>
      <c r="I54" s="54"/>
      <c r="J54" s="53"/>
      <c r="K54" s="53">
        <f t="shared" si="6"/>
        <v>0</v>
      </c>
      <c r="L54" s="53">
        <f t="shared" si="10"/>
        <v>0</v>
      </c>
      <c r="M54" s="54">
        <f>[3]Dec!$AD54</f>
        <v>0</v>
      </c>
      <c r="N54" s="54"/>
      <c r="O54" s="54"/>
      <c r="P54" s="53" t="e">
        <f t="shared" si="11"/>
        <v>#DIV/0!</v>
      </c>
      <c r="Q54" s="54" t="e">
        <f t="shared" si="12"/>
        <v>#DIV/0!</v>
      </c>
      <c r="R54" s="54"/>
      <c r="S54" s="16"/>
    </row>
    <row r="55" spans="2:19" ht="15.75" customHeight="1">
      <c r="B55" s="59"/>
      <c r="C55" s="48"/>
      <c r="D55" s="152"/>
      <c r="E55" s="47"/>
      <c r="F55" s="287">
        <f>[3]Dec!$N113</f>
        <v>0</v>
      </c>
      <c r="G55" s="17"/>
      <c r="H55" s="53" t="e">
        <f>(G55)*24/(F55/60)/17000*100</f>
        <v>#DIV/0!</v>
      </c>
      <c r="I55" s="54"/>
      <c r="J55" s="53"/>
      <c r="K55" s="53">
        <f t="shared" si="6"/>
        <v>0</v>
      </c>
      <c r="L55" s="53">
        <f t="shared" si="10"/>
        <v>0</v>
      </c>
      <c r="M55" s="54">
        <f>[3]Dec!$AD55</f>
        <v>0</v>
      </c>
      <c r="N55" s="54"/>
      <c r="O55" s="54"/>
      <c r="P55" s="53" t="e">
        <f t="shared" si="11"/>
        <v>#DIV/0!</v>
      </c>
      <c r="Q55" s="54" t="e">
        <f t="shared" si="12"/>
        <v>#DIV/0!</v>
      </c>
      <c r="R55" s="54"/>
      <c r="S55" s="16"/>
    </row>
    <row r="56" spans="2:19" ht="15.75" customHeight="1">
      <c r="B56" s="59"/>
      <c r="C56" s="48"/>
      <c r="D56" s="152"/>
      <c r="E56" s="47"/>
      <c r="F56" s="287">
        <f>[3]Dec!$N114</f>
        <v>0</v>
      </c>
      <c r="G56" s="17"/>
      <c r="H56" s="53" t="e">
        <f t="shared" si="13"/>
        <v>#DIV/0!</v>
      </c>
      <c r="I56" s="54"/>
      <c r="J56" s="53"/>
      <c r="K56" s="53">
        <f t="shared" si="6"/>
        <v>0</v>
      </c>
      <c r="L56" s="53">
        <f t="shared" si="10"/>
        <v>0</v>
      </c>
      <c r="M56" s="54">
        <f>[3]Dec!$AD56</f>
        <v>0</v>
      </c>
      <c r="N56" s="54"/>
      <c r="O56" s="54"/>
      <c r="P56" s="50" t="e">
        <f>(J56-K56)/J56*100</f>
        <v>#DIV/0!</v>
      </c>
      <c r="Q56" s="54" t="e">
        <f>(G56)/(F56/60)</f>
        <v>#DIV/0!</v>
      </c>
      <c r="R56" s="54"/>
      <c r="S56" s="16"/>
    </row>
    <row r="57" spans="2:19" ht="15.75" customHeight="1">
      <c r="B57" s="59"/>
      <c r="C57" s="48"/>
      <c r="D57" s="152"/>
      <c r="E57" s="47"/>
      <c r="F57" s="287">
        <f>[3]Dec!$N115</f>
        <v>0</v>
      </c>
      <c r="G57" s="17"/>
      <c r="H57" s="53" t="e">
        <f t="shared" si="13"/>
        <v>#DIV/0!</v>
      </c>
      <c r="I57" s="54"/>
      <c r="J57" s="53"/>
      <c r="K57" s="53">
        <f t="shared" si="6"/>
        <v>0</v>
      </c>
      <c r="L57" s="53">
        <f t="shared" si="10"/>
        <v>0</v>
      </c>
      <c r="M57" s="54">
        <f>[3]Dec!$AD57</f>
        <v>0</v>
      </c>
      <c r="N57" s="54"/>
      <c r="O57" s="54"/>
      <c r="P57" s="50" t="e">
        <f>(J57-K57)/J57*100</f>
        <v>#DIV/0!</v>
      </c>
      <c r="Q57" s="54" t="e">
        <f>(G57)/(F57/60)</f>
        <v>#DIV/0!</v>
      </c>
      <c r="R57" s="54"/>
      <c r="S57" s="16"/>
    </row>
    <row r="58" spans="2:19" ht="15.6">
      <c r="B58" s="59"/>
      <c r="C58" s="48"/>
      <c r="D58" s="152"/>
      <c r="E58" s="47"/>
      <c r="F58" s="287">
        <f>[3]Dec!$N116</f>
        <v>0</v>
      </c>
      <c r="G58" s="17"/>
      <c r="H58" s="53" t="e">
        <f t="shared" si="13"/>
        <v>#DIV/0!</v>
      </c>
      <c r="I58" s="54"/>
      <c r="J58" s="53"/>
      <c r="K58" s="53">
        <f t="shared" si="6"/>
        <v>0</v>
      </c>
      <c r="L58" s="53">
        <f t="shared" si="10"/>
        <v>0</v>
      </c>
      <c r="M58" s="54"/>
      <c r="N58" s="54"/>
      <c r="O58" s="54"/>
      <c r="P58" s="50" t="e">
        <f>(J58-K58)/J58*100</f>
        <v>#DIV/0!</v>
      </c>
      <c r="Q58" s="54" t="e">
        <f>(G58)/(F58/60)</f>
        <v>#DIV/0!</v>
      </c>
      <c r="R58" s="54"/>
      <c r="S58" s="16"/>
    </row>
    <row r="59" spans="2:19" ht="16.2" thickBot="1">
      <c r="B59" s="154"/>
      <c r="C59" s="48"/>
      <c r="D59" s="152"/>
      <c r="E59" s="47"/>
      <c r="F59" s="287">
        <f>[3]Dec!$N117</f>
        <v>0</v>
      </c>
      <c r="G59" s="17"/>
      <c r="H59" s="53" t="e">
        <f t="shared" si="13"/>
        <v>#DIV/0!</v>
      </c>
      <c r="I59" s="38"/>
      <c r="J59" s="53"/>
      <c r="K59" s="53">
        <f t="shared" si="6"/>
        <v>0</v>
      </c>
      <c r="L59" s="53">
        <f t="shared" si="10"/>
        <v>0</v>
      </c>
      <c r="M59" s="54">
        <f>[3]Dec!$AD59</f>
        <v>0</v>
      </c>
      <c r="N59" s="54"/>
      <c r="O59" s="54"/>
      <c r="P59" s="50" t="e">
        <f>(J59-K59)/J59*100</f>
        <v>#DIV/0!</v>
      </c>
      <c r="Q59" s="54" t="e">
        <f>(G59)/(F59/60)</f>
        <v>#DIV/0!</v>
      </c>
      <c r="R59" s="54"/>
      <c r="S59" s="16"/>
    </row>
    <row r="60" spans="2:19" ht="16.8" thickTop="1" thickBot="1">
      <c r="B60" s="12"/>
      <c r="C60" s="12"/>
      <c r="D60" s="30"/>
      <c r="E60" s="177">
        <f>SUM(E8:E59)</f>
        <v>32511</v>
      </c>
      <c r="F60" s="22">
        <f>SUM(F8:F59)</f>
        <v>23131</v>
      </c>
      <c r="G60" s="15">
        <f>SUM(G8:G59)</f>
        <v>139473</v>
      </c>
      <c r="H60" s="13">
        <f>(G60)*24/(F60/60)/17000*100</f>
        <v>51.075109288019391</v>
      </c>
      <c r="I60" s="14">
        <f>SUM(I8:I37)</f>
        <v>1796.15</v>
      </c>
      <c r="J60" s="13">
        <f>SUM(J8:J59)</f>
        <v>9431.6000000000022</v>
      </c>
      <c r="K60" s="13">
        <f>SUM(K8:K59)</f>
        <v>9273.0640000000003</v>
      </c>
      <c r="L60" s="51">
        <f>J60-K60</f>
        <v>158.53600000000188</v>
      </c>
      <c r="M60" s="52">
        <f>SUM(M8:M59)</f>
        <v>14187</v>
      </c>
      <c r="N60" s="36">
        <f>SUM(N8:N59)</f>
        <v>1456</v>
      </c>
      <c r="O60" s="14">
        <f>SUM(O8:O59)</f>
        <v>85</v>
      </c>
      <c r="P60" s="24">
        <f>(J60-K60)/J60</f>
        <v>1.6809024979855151E-2</v>
      </c>
      <c r="Q60" s="396">
        <f>G60/(E60/60)</f>
        <v>257.40149487865642</v>
      </c>
      <c r="R60" s="14"/>
      <c r="S60" s="400">
        <f>(January_2025!G65+February_2025!G63+March_2025!G62+'April_2025 '!G54+May_2025!G63+June_2025!G57+July_2025!G55+August_2025!G57+September_2025!G54+October_2025!G64+November_2025!G62+G60)/((January_2025!E65+February_2025!E63+March_2025!E62+'April_2025 '!E54+May_2025!E63+June_2025!E57+July_2025!E55+August_2025!E57+September_2025!E54+October_2025!E64+November_2025!E62+E60)/60)</f>
        <v>274.21191871288875</v>
      </c>
    </row>
    <row r="61" spans="2:19" ht="16.8" thickTop="1" thickBot="1">
      <c r="G61" s="1"/>
      <c r="H61" s="1"/>
      <c r="L61" s="18"/>
      <c r="M61" s="18"/>
      <c r="N61" s="40" t="s">
        <v>23</v>
      </c>
      <c r="O61" s="18"/>
      <c r="Q61" s="5"/>
      <c r="R61" s="5"/>
    </row>
    <row r="62" spans="2:19" ht="21" thickTop="1" thickBot="1">
      <c r="G62" s="1"/>
      <c r="H62" s="1"/>
      <c r="K62" s="45" t="s">
        <v>36</v>
      </c>
      <c r="L62" s="15">
        <f>G60+O62</f>
        <v>139706.75</v>
      </c>
      <c r="M62" s="18"/>
      <c r="N62" s="40" t="s">
        <v>31</v>
      </c>
      <c r="O62" s="18">
        <f>O60*2.75</f>
        <v>233.75</v>
      </c>
      <c r="P62" s="398" t="s">
        <v>146</v>
      </c>
      <c r="Q62" s="397">
        <v>361.78202412347071</v>
      </c>
      <c r="R62" s="5"/>
      <c r="S62" s="399">
        <v>374.73246326614418</v>
      </c>
    </row>
    <row r="63" spans="2:19" ht="16.2" thickTop="1">
      <c r="G63" s="1"/>
      <c r="H63" s="1"/>
      <c r="L63" s="18"/>
      <c r="M63" s="18"/>
      <c r="N63" s="18"/>
      <c r="O63" s="18"/>
      <c r="Q63" s="5"/>
      <c r="R63" s="5"/>
    </row>
    <row r="64" spans="2:19" ht="15.6">
      <c r="G64" s="1"/>
      <c r="H64" s="1"/>
      <c r="L64" s="18"/>
      <c r="M64" s="18"/>
      <c r="N64" s="41" t="s">
        <v>32</v>
      </c>
      <c r="O64" s="62">
        <f>SUM(O24+O38)</f>
        <v>0</v>
      </c>
      <c r="P64" s="57"/>
      <c r="Q64" s="58"/>
      <c r="R64" s="58"/>
    </row>
    <row r="65" spans="6:18" ht="15.6">
      <c r="F65" s="56"/>
      <c r="G65" s="1"/>
      <c r="H65" s="1"/>
      <c r="L65" s="18"/>
      <c r="M65" s="18"/>
      <c r="N65" s="41" t="s">
        <v>33</v>
      </c>
      <c r="O65" s="62">
        <f>O13+O17+O26+O32+O39</f>
        <v>10</v>
      </c>
      <c r="P65" s="57"/>
      <c r="Q65" s="58"/>
      <c r="R65" s="58"/>
    </row>
    <row r="66" spans="6:18" ht="15.6">
      <c r="F66" s="56"/>
      <c r="G66" s="1"/>
      <c r="H66" s="1"/>
      <c r="L66" s="18"/>
      <c r="M66" s="18"/>
      <c r="N66" s="41" t="s">
        <v>34</v>
      </c>
      <c r="O66" s="42"/>
      <c r="Q66" s="5"/>
      <c r="R66" s="5"/>
    </row>
    <row r="67" spans="6:18" ht="15.6">
      <c r="F67" s="56"/>
      <c r="G67" s="1"/>
      <c r="H67" s="1"/>
      <c r="L67" s="18"/>
      <c r="M67" s="18"/>
      <c r="N67" s="43" t="s">
        <v>35</v>
      </c>
      <c r="O67" s="44">
        <f>SUM(O64:O66)</f>
        <v>10</v>
      </c>
      <c r="Q67" s="5"/>
      <c r="R67" s="5"/>
    </row>
    <row r="68" spans="6:18" ht="15.6">
      <c r="F68" s="56"/>
      <c r="G68" s="1"/>
      <c r="H68" s="1"/>
      <c r="L68" s="18"/>
      <c r="M68" s="18"/>
      <c r="N68" s="18"/>
      <c r="O68" s="18"/>
      <c r="Q68" s="5"/>
      <c r="R68" s="5"/>
    </row>
    <row r="69" spans="6:18" ht="15.6">
      <c r="F69" s="56"/>
      <c r="G69" s="1"/>
      <c r="H69" s="1"/>
      <c r="L69" s="18"/>
      <c r="M69" s="18"/>
      <c r="N69" s="18"/>
      <c r="O69" s="18"/>
      <c r="Q69" s="5"/>
      <c r="R69" s="5"/>
    </row>
    <row r="70" spans="6:18" ht="15.6">
      <c r="F70" s="56"/>
      <c r="G70" s="1"/>
      <c r="H70" s="1"/>
      <c r="L70" s="18"/>
      <c r="M70" s="18"/>
      <c r="N70" s="18"/>
      <c r="O70" s="18"/>
      <c r="Q70" s="5"/>
      <c r="R70" s="5">
        <f>100.5+101+104.9+98+69.9+87.8+81.8</f>
        <v>643.89999999999986</v>
      </c>
    </row>
    <row r="71" spans="6:18" ht="15.6">
      <c r="F71" s="56"/>
      <c r="G71" s="1"/>
      <c r="H71" s="1"/>
      <c r="L71" s="18"/>
      <c r="M71" s="18"/>
      <c r="N71" s="18"/>
      <c r="O71" s="18"/>
      <c r="Q71" s="5"/>
      <c r="R71" s="5"/>
    </row>
    <row r="72" spans="6:18" ht="15.6">
      <c r="F72" s="56"/>
      <c r="G72" s="1"/>
      <c r="H72" s="1"/>
      <c r="L72" s="18"/>
      <c r="M72" s="18"/>
      <c r="N72" s="18"/>
      <c r="O72" s="18"/>
      <c r="Q72" s="5"/>
      <c r="R72" s="5"/>
    </row>
    <row r="73" spans="6:18" ht="15.6">
      <c r="G73" s="1"/>
      <c r="H73" s="1"/>
      <c r="L73" s="18"/>
      <c r="M73" s="18"/>
      <c r="N73" s="18"/>
      <c r="O73" s="18"/>
      <c r="Q73" s="5"/>
      <c r="R73" s="5"/>
    </row>
    <row r="74" spans="6:18" ht="15.6">
      <c r="F74" s="56"/>
      <c r="G74" s="1"/>
      <c r="H74" s="1"/>
      <c r="L74" s="18"/>
      <c r="M74" s="18"/>
      <c r="N74" s="18"/>
      <c r="O74" s="18"/>
      <c r="Q74" s="5"/>
      <c r="R74" s="5"/>
    </row>
    <row r="75" spans="6:18" ht="15.6">
      <c r="G75" s="1"/>
      <c r="H75" s="1"/>
      <c r="L75" s="18"/>
      <c r="M75" s="18"/>
      <c r="N75" s="18"/>
      <c r="O75" s="18"/>
      <c r="Q75" s="5"/>
      <c r="R75" s="5"/>
    </row>
    <row r="76" spans="6:18">
      <c r="G76" s="1"/>
      <c r="H76" s="1"/>
      <c r="Q76" s="5"/>
      <c r="R76" s="5"/>
    </row>
    <row r="77" spans="6:18">
      <c r="G77" s="1"/>
      <c r="H77" s="1"/>
      <c r="Q77" s="5"/>
      <c r="R77" s="5"/>
    </row>
    <row r="78" spans="6:18">
      <c r="G78" s="1"/>
      <c r="H78" s="1"/>
      <c r="Q78" s="5"/>
      <c r="R78" s="5"/>
    </row>
    <row r="79" spans="6:18">
      <c r="G79" s="1"/>
      <c r="H79" s="1"/>
      <c r="Q79" s="5"/>
      <c r="R79" s="5"/>
    </row>
    <row r="80" spans="6:18">
      <c r="G80" s="1"/>
      <c r="H80" s="1"/>
      <c r="Q80" s="5"/>
      <c r="R80" s="5"/>
    </row>
    <row r="81" spans="7:18">
      <c r="G81" s="1"/>
      <c r="H81" s="1"/>
      <c r="Q81" s="5"/>
      <c r="R81" s="5"/>
    </row>
    <row r="82" spans="7:18">
      <c r="G82" s="1"/>
      <c r="H82" s="1"/>
      <c r="Q82" s="5"/>
      <c r="R82" s="5"/>
    </row>
    <row r="83" spans="7:18">
      <c r="G83" s="1"/>
      <c r="H83" s="1"/>
      <c r="Q83" s="5"/>
      <c r="R83" s="5"/>
    </row>
    <row r="84" spans="7:18">
      <c r="G84" s="1"/>
      <c r="H84" s="1"/>
      <c r="Q84" s="5"/>
      <c r="R84" s="5"/>
    </row>
    <row r="85" spans="7:18">
      <c r="G85" s="1"/>
      <c r="H85" s="1"/>
      <c r="Q85" s="5"/>
      <c r="R85" s="5"/>
    </row>
    <row r="86" spans="7:18">
      <c r="G86" s="1"/>
      <c r="H86" s="1"/>
      <c r="Q86" s="5"/>
      <c r="R86" s="5"/>
    </row>
    <row r="87" spans="7:18">
      <c r="G87" s="1"/>
      <c r="H87" s="1"/>
      <c r="Q87" s="5"/>
      <c r="R87" s="5"/>
    </row>
    <row r="88" spans="7:18">
      <c r="G88" s="1"/>
      <c r="H88" s="1"/>
      <c r="Q88" s="5"/>
      <c r="R88" s="5"/>
    </row>
    <row r="89" spans="7:18">
      <c r="G89" s="1"/>
      <c r="H89" s="1"/>
      <c r="Q89" s="5"/>
      <c r="R89" s="5"/>
    </row>
    <row r="90" spans="7:18">
      <c r="G90" s="1"/>
      <c r="H90" s="1"/>
      <c r="Q90" s="5"/>
      <c r="R90" s="5"/>
    </row>
    <row r="91" spans="7:18">
      <c r="G91" s="1"/>
      <c r="H91" s="1"/>
      <c r="Q91" s="5"/>
      <c r="R91" s="5"/>
    </row>
    <row r="92" spans="7:18">
      <c r="G92" s="1"/>
      <c r="H92" s="1"/>
      <c r="Q92" s="5"/>
      <c r="R92" s="5"/>
    </row>
    <row r="93" spans="7:18">
      <c r="G93" s="1"/>
      <c r="H93" s="1"/>
      <c r="Q93" s="5"/>
      <c r="R93" s="5"/>
    </row>
    <row r="94" spans="7:18">
      <c r="G94" s="1"/>
      <c r="H94" s="1"/>
      <c r="Q94" s="5"/>
      <c r="R94" s="5"/>
    </row>
    <row r="95" spans="7:18">
      <c r="G95" s="1"/>
      <c r="H95" s="1"/>
      <c r="Q95" s="5"/>
      <c r="R95" s="5"/>
    </row>
    <row r="96" spans="7:18">
      <c r="G96" s="1"/>
      <c r="H96" s="1"/>
      <c r="Q96" s="5"/>
      <c r="R96" s="5"/>
    </row>
    <row r="97" spans="7:18">
      <c r="G97" s="1"/>
      <c r="H97" s="1"/>
      <c r="Q97" s="5"/>
      <c r="R97" s="5"/>
    </row>
    <row r="98" spans="7:18">
      <c r="G98" s="1"/>
      <c r="H98" s="1"/>
      <c r="Q98" s="5"/>
      <c r="R98" s="5"/>
    </row>
    <row r="99" spans="7:18">
      <c r="G99" s="1"/>
      <c r="H99" s="1"/>
      <c r="Q99" s="5"/>
      <c r="R99" s="5"/>
    </row>
    <row r="100" spans="7:18">
      <c r="G100" s="1"/>
      <c r="H100" s="1"/>
      <c r="Q100" s="5"/>
      <c r="R100" s="5"/>
    </row>
    <row r="101" spans="7:18">
      <c r="G101" s="1"/>
      <c r="H101" s="1"/>
      <c r="Q101" s="5"/>
      <c r="R101" s="5"/>
    </row>
    <row r="102" spans="7:18">
      <c r="G102" s="1"/>
      <c r="H102" s="1"/>
      <c r="Q102" s="5"/>
      <c r="R102" s="5"/>
    </row>
    <row r="103" spans="7:18">
      <c r="G103" s="1"/>
      <c r="H103" s="1"/>
      <c r="Q103" s="5"/>
      <c r="R103" s="5"/>
    </row>
    <row r="104" spans="7:18">
      <c r="G104" s="1"/>
      <c r="H104" s="1"/>
      <c r="Q104" s="5"/>
      <c r="R104" s="5"/>
    </row>
    <row r="105" spans="7:18">
      <c r="G105" s="1"/>
      <c r="H105" s="1"/>
      <c r="Q105" s="5"/>
      <c r="R105" s="5"/>
    </row>
    <row r="106" spans="7:18">
      <c r="G106" s="1"/>
      <c r="H106" s="1"/>
      <c r="Q106" s="5"/>
      <c r="R106" s="5"/>
    </row>
    <row r="107" spans="7:18">
      <c r="G107" s="1"/>
      <c r="H107" s="1"/>
      <c r="Q107" s="5"/>
      <c r="R107" s="5"/>
    </row>
    <row r="108" spans="7:18">
      <c r="G108" s="1"/>
      <c r="H108" s="1"/>
      <c r="Q108" s="5"/>
      <c r="R108" s="5"/>
    </row>
    <row r="109" spans="7:18">
      <c r="G109" s="1"/>
      <c r="H109" s="1"/>
      <c r="Q109" s="5"/>
      <c r="R109" s="5"/>
    </row>
    <row r="110" spans="7:18">
      <c r="G110" s="1"/>
      <c r="H110" s="1"/>
      <c r="Q110" s="5"/>
      <c r="R110" s="5"/>
    </row>
    <row r="111" spans="7:18">
      <c r="G111" s="1"/>
      <c r="H111" s="1"/>
      <c r="Q111" s="5"/>
      <c r="R111" s="5"/>
    </row>
    <row r="112" spans="7:18">
      <c r="G112" s="1"/>
      <c r="H112" s="1"/>
      <c r="Q112" s="5"/>
      <c r="R112" s="5"/>
    </row>
    <row r="113" spans="7:18">
      <c r="G113" s="1"/>
      <c r="H113" s="1"/>
      <c r="Q113" s="5"/>
      <c r="R113" s="5"/>
    </row>
    <row r="114" spans="7:18">
      <c r="G114" s="1"/>
      <c r="H114" s="1"/>
      <c r="Q114" s="5"/>
      <c r="R114" s="5"/>
    </row>
    <row r="115" spans="7:18">
      <c r="G115" s="1"/>
      <c r="H115" s="1"/>
      <c r="Q115" s="5"/>
      <c r="R115" s="5"/>
    </row>
    <row r="116" spans="7:18">
      <c r="G116" s="1"/>
      <c r="H116" s="1"/>
      <c r="Q116" s="5"/>
      <c r="R116" s="5"/>
    </row>
    <row r="117" spans="7:18">
      <c r="G117" s="1"/>
      <c r="H117" s="1"/>
      <c r="Q117" s="5"/>
      <c r="R117" s="5"/>
    </row>
    <row r="118" spans="7:18">
      <c r="G118" s="1"/>
      <c r="H118" s="1"/>
      <c r="Q118" s="5"/>
      <c r="R118" s="5"/>
    </row>
    <row r="119" spans="7:18">
      <c r="G119" s="1"/>
      <c r="H119" s="1"/>
      <c r="Q119" s="5"/>
      <c r="R119" s="5"/>
    </row>
    <row r="120" spans="7:18">
      <c r="G120" s="1"/>
      <c r="H120" s="1"/>
      <c r="Q120" s="5"/>
      <c r="R120" s="5"/>
    </row>
    <row r="121" spans="7:18">
      <c r="G121" s="1"/>
      <c r="H121" s="1"/>
      <c r="Q121" s="5"/>
      <c r="R121" s="5"/>
    </row>
    <row r="122" spans="7:18">
      <c r="G122" s="1"/>
      <c r="H122" s="1"/>
      <c r="Q122" s="5"/>
      <c r="R122" s="5"/>
    </row>
    <row r="123" spans="7:18">
      <c r="G123" s="1"/>
      <c r="H123" s="1"/>
      <c r="Q123" s="5"/>
      <c r="R123" s="5"/>
    </row>
  </sheetData>
  <autoFilter ref="B5:P62" xr:uid="{00000000-0001-0000-0B00-000000000000}"/>
  <mergeCells count="39">
    <mergeCell ref="S6:S7"/>
    <mergeCell ref="E11:E12"/>
    <mergeCell ref="J11:J12"/>
    <mergeCell ref="K11:K12"/>
    <mergeCell ref="P11:P12"/>
    <mergeCell ref="E8:E9"/>
    <mergeCell ref="S9:S12"/>
    <mergeCell ref="B1:Q1"/>
    <mergeCell ref="B3:Q3"/>
    <mergeCell ref="B4:Q4"/>
    <mergeCell ref="I5:I7"/>
    <mergeCell ref="L5:L7"/>
    <mergeCell ref="M5:M7"/>
    <mergeCell ref="N5:N7"/>
    <mergeCell ref="O5:O7"/>
    <mergeCell ref="E36:E39"/>
    <mergeCell ref="S33:S36"/>
    <mergeCell ref="S39:S40"/>
    <mergeCell ref="S27:S29"/>
    <mergeCell ref="S16:S17"/>
    <mergeCell ref="E31:E32"/>
    <mergeCell ref="E25:E27"/>
    <mergeCell ref="E22:E23"/>
    <mergeCell ref="E19:E20"/>
    <mergeCell ref="E40:E41"/>
    <mergeCell ref="E13:E15"/>
    <mergeCell ref="S18:S19"/>
    <mergeCell ref="S30:S31"/>
    <mergeCell ref="E33:E34"/>
    <mergeCell ref="K33:K34"/>
    <mergeCell ref="J33:J34"/>
    <mergeCell ref="P33:P34"/>
    <mergeCell ref="I33:I34"/>
    <mergeCell ref="E49:E50"/>
    <mergeCell ref="S46:S47"/>
    <mergeCell ref="S48:S49"/>
    <mergeCell ref="E47:E48"/>
    <mergeCell ref="S44:S45"/>
    <mergeCell ref="E45:E46"/>
  </mergeCells>
  <conditionalFormatting sqref="I8:I33 I35:I59">
    <cfRule type="cellIs" dxfId="9" priority="13" stopIfTrue="1" operator="lessThan">
      <formula>50</formula>
    </cfRule>
  </conditionalFormatting>
  <conditionalFormatting sqref="P8:P11 P13:P33 P35:P59">
    <cfRule type="cellIs" dxfId="8" priority="9" stopIfTrue="1" operator="greaterThan">
      <formula>1.8</formula>
    </cfRule>
  </conditionalFormatting>
  <conditionalFormatting sqref="S9">
    <cfRule type="cellIs" dxfId="7" priority="4" operator="greaterThan">
      <formula>1.8</formula>
    </cfRule>
  </conditionalFormatting>
  <conditionalFormatting sqref="S16 S18">
    <cfRule type="cellIs" dxfId="6" priority="8" operator="greaterThan">
      <formula>1.8</formula>
    </cfRule>
  </conditionalFormatting>
  <conditionalFormatting sqref="S27">
    <cfRule type="cellIs" dxfId="5" priority="5" operator="greaterThan">
      <formula>1.8</formula>
    </cfRule>
  </conditionalFormatting>
  <conditionalFormatting sqref="S30">
    <cfRule type="cellIs" dxfId="4" priority="7" operator="greaterThan">
      <formula>1.8</formula>
    </cfRule>
  </conditionalFormatting>
  <conditionalFormatting sqref="S33">
    <cfRule type="cellIs" dxfId="3" priority="3" operator="greaterThan">
      <formula>1.8</formula>
    </cfRule>
  </conditionalFormatting>
  <conditionalFormatting sqref="S39">
    <cfRule type="cellIs" dxfId="2" priority="6" operator="greaterThan">
      <formula>1.8</formula>
    </cfRule>
  </conditionalFormatting>
  <conditionalFormatting sqref="S44">
    <cfRule type="cellIs" dxfId="1" priority="2" operator="greaterThan">
      <formula>1.8</formula>
    </cfRule>
  </conditionalFormatting>
  <conditionalFormatting sqref="S46 S48">
    <cfRule type="cellIs" dxfId="0" priority="1" operator="greaterThan">
      <formula>1.8</formula>
    </cfRule>
  </conditionalFormatting>
  <pageMargins left="0.25" right="0.25" top="0.75" bottom="0.75" header="0.3" footer="0.3"/>
  <pageSetup scale="58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Summary 2025 CPH </vt:lpstr>
      <vt:lpstr>January_2025</vt:lpstr>
      <vt:lpstr>February_2025</vt:lpstr>
      <vt:lpstr>March_2025</vt:lpstr>
      <vt:lpstr>April_2025 </vt:lpstr>
      <vt:lpstr>May_2025</vt:lpstr>
      <vt:lpstr>June_2025</vt:lpstr>
      <vt:lpstr>July_2025</vt:lpstr>
      <vt:lpstr>August_2025</vt:lpstr>
      <vt:lpstr>September_2025</vt:lpstr>
      <vt:lpstr>October_2025</vt:lpstr>
      <vt:lpstr>November_2025</vt:lpstr>
      <vt:lpstr>December_2025</vt:lpstr>
      <vt:lpstr>'April_2025 '!Print_Area</vt:lpstr>
      <vt:lpstr>August_2025!Print_Area</vt:lpstr>
      <vt:lpstr>December_2025!Print_Area</vt:lpstr>
      <vt:lpstr>February_2025!Print_Area</vt:lpstr>
      <vt:lpstr>January_2025!Print_Area</vt:lpstr>
      <vt:lpstr>July_2025!Print_Area</vt:lpstr>
      <vt:lpstr>June_2025!Print_Area</vt:lpstr>
      <vt:lpstr>March_2025!Print_Area</vt:lpstr>
      <vt:lpstr>May_2025!Print_Area</vt:lpstr>
      <vt:lpstr>November_2025!Print_Area</vt:lpstr>
      <vt:lpstr>October_2025!Print_Area</vt:lpstr>
      <vt:lpstr>September_2025!Print_Area</vt:lpstr>
    </vt:vector>
  </TitlesOfParts>
  <Company>Grenada Breweries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Reshelle Fleming</cp:lastModifiedBy>
  <cp:lastPrinted>2025-02-25T20:00:42Z</cp:lastPrinted>
  <dcterms:created xsi:type="dcterms:W3CDTF">2006-02-15T13:46:59Z</dcterms:created>
  <dcterms:modified xsi:type="dcterms:W3CDTF">2026-08-13T17:29:43Z</dcterms:modified>
</cp:coreProperties>
</file>