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UTILITIES\Tracking\2025\"/>
    </mc:Choice>
  </mc:AlternateContent>
  <xr:revisionPtr revIDLastSave="0" documentId="13_ncr:1_{CCE8B528-5383-4E56-AD33-9B79CCB84345}" xr6:coauthVersionLast="47" xr6:coauthVersionMax="47" xr10:uidLastSave="{00000000-0000-0000-0000-000000000000}"/>
  <bookViews>
    <workbookView xWindow="-120" yWindow="-120" windowWidth="29040" windowHeight="15720" tabRatio="592" activeTab="3" xr2:uid="{00000000-000D-0000-FFFF-FFFF00000000}"/>
  </bookViews>
  <sheets>
    <sheet name="Entries September'25" sheetId="27" r:id="rId1"/>
    <sheet name="Utility Analysis September'25 " sheetId="23" r:id="rId2"/>
    <sheet name="Steam Mass Flow " sheetId="113" r:id="rId3"/>
    <sheet name="Fuel " sheetId="29" r:id="rId4"/>
    <sheet name="Water " sheetId="31" r:id="rId5"/>
    <sheet name="Elec.September'25" sheetId="30" r:id="rId6"/>
    <sheet name="PROD.FIG. " sheetId="32" r:id="rId7"/>
    <sheet name="CO2" sheetId="28" r:id="rId8"/>
    <sheet name="Daily KPIs CO2" sheetId="111" r:id="rId9"/>
    <sheet name="Daily KPIs" sheetId="110" r:id="rId10"/>
    <sheet name="Water Analysis. '25" sheetId="109" r:id="rId11"/>
    <sheet name="Sheet1" sheetId="112" state="hidden" r:id="rId12"/>
  </sheets>
  <definedNames>
    <definedName name="_1__123Graph_BCHART_8" localSheetId="5" hidden="1">'Elec.September''25'!$B$7:$B$37</definedName>
    <definedName name="_2__123Graph_CCHART_8" localSheetId="5" hidden="1">'Elec.September''25'!$C$7:$C$37</definedName>
    <definedName name="_xlnm.Print_Area" localSheetId="9">'Daily KPIs'!$A$1:$AJ$122</definedName>
    <definedName name="_xlnm.Print_Area" localSheetId="8" xml:space="preserve">                                                              'Daily KPIs CO2'!$A$1:$AI$96</definedName>
    <definedName name="_xlnm.Print_Area" localSheetId="0">'Entries September''25'!$A$1:$AI$38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8" i="110" l="1"/>
  <c r="P9" i="110"/>
  <c r="P8" i="110"/>
  <c r="T8" i="110"/>
  <c r="X8" i="110"/>
  <c r="Z8" i="110"/>
  <c r="AA8" i="110"/>
  <c r="AE12" i="110"/>
  <c r="AE14" i="110"/>
  <c r="AE8" i="110" l="1"/>
  <c r="AE9" i="110" s="1"/>
  <c r="AD74" i="110"/>
  <c r="AD9" i="110"/>
  <c r="T14" i="110"/>
  <c r="AH14" i="110" l="1"/>
  <c r="AA9" i="110"/>
  <c r="Z9" i="110"/>
  <c r="Y14" i="110"/>
  <c r="X9" i="110"/>
  <c r="W9" i="110" l="1"/>
  <c r="T9" i="110"/>
  <c r="S9" i="110"/>
  <c r="R8" i="110"/>
  <c r="R14" i="110"/>
  <c r="R9" i="110" l="1"/>
  <c r="Q9" i="110"/>
  <c r="M9" i="110"/>
  <c r="L14" i="110"/>
  <c r="L9" i="110"/>
  <c r="K9" i="110"/>
  <c r="J14" i="110"/>
  <c r="J9" i="110" l="1"/>
  <c r="I8" i="110"/>
  <c r="I9" i="110"/>
  <c r="F74" i="110"/>
  <c r="E14" i="110"/>
  <c r="C14" i="110"/>
  <c r="B14" i="110"/>
  <c r="E9" i="110"/>
  <c r="F8" i="110"/>
  <c r="F9" i="110" s="1"/>
  <c r="D8" i="110"/>
  <c r="D9" i="110" s="1"/>
  <c r="C8" i="110"/>
  <c r="C9" i="110" s="1"/>
  <c r="B8" i="110"/>
  <c r="B9" i="110" s="1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B11" i="23"/>
  <c r="C11" i="23"/>
  <c r="B12" i="23"/>
  <c r="C12" i="23"/>
  <c r="B13" i="23"/>
  <c r="C13" i="23"/>
  <c r="B14" i="23"/>
  <c r="C14" i="23"/>
  <c r="B15" i="23"/>
  <c r="C15" i="23"/>
  <c r="B16" i="23"/>
  <c r="C16" i="23"/>
  <c r="B17" i="23"/>
  <c r="C17" i="23"/>
  <c r="B18" i="23"/>
  <c r="C18" i="23"/>
  <c r="B19" i="23"/>
  <c r="C19" i="23"/>
  <c r="B20" i="23"/>
  <c r="C20" i="23"/>
  <c r="B21" i="23"/>
  <c r="C21" i="23"/>
  <c r="B22" i="23"/>
  <c r="C22" i="23"/>
  <c r="B23" i="23"/>
  <c r="C23" i="23"/>
  <c r="B24" i="23"/>
  <c r="C24" i="23"/>
  <c r="B25" i="23"/>
  <c r="C25" i="23"/>
  <c r="B26" i="23"/>
  <c r="C26" i="23"/>
  <c r="B27" i="23"/>
  <c r="C27" i="23"/>
  <c r="B28" i="23"/>
  <c r="C28" i="23"/>
  <c r="B29" i="23"/>
  <c r="C29" i="23"/>
  <c r="B30" i="23"/>
  <c r="C30" i="23"/>
  <c r="B31" i="23"/>
  <c r="C31" i="23"/>
  <c r="B32" i="23"/>
  <c r="C32" i="23"/>
  <c r="B33" i="23"/>
  <c r="C33" i="23"/>
  <c r="B34" i="23"/>
  <c r="C34" i="23"/>
  <c r="B35" i="23"/>
  <c r="C35" i="23"/>
  <c r="B36" i="23"/>
  <c r="C36" i="23"/>
  <c r="B37" i="23"/>
  <c r="C37" i="23"/>
  <c r="B38" i="23"/>
  <c r="C38" i="23"/>
  <c r="B39" i="23"/>
  <c r="C39" i="23"/>
  <c r="B40" i="23"/>
  <c r="C40" i="23"/>
  <c r="E10" i="23"/>
  <c r="C10" i="23"/>
  <c r="B10" i="23"/>
  <c r="D13" i="23" l="1"/>
  <c r="F13" i="23" l="1"/>
  <c r="B10" i="30"/>
  <c r="AH74" i="110"/>
  <c r="AO13" i="27" l="1"/>
  <c r="R38" i="28" l="1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R39" i="28"/>
  <c r="R7" i="28"/>
  <c r="C8" i="28" l="1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7" i="28"/>
  <c r="C8" i="111"/>
  <c r="D8" i="111"/>
  <c r="E8" i="111"/>
  <c r="F8" i="111"/>
  <c r="G8" i="111"/>
  <c r="H8" i="111"/>
  <c r="I8" i="111"/>
  <c r="J8" i="111"/>
  <c r="K8" i="111"/>
  <c r="L8" i="111"/>
  <c r="M8" i="111"/>
  <c r="N8" i="111"/>
  <c r="O8" i="111"/>
  <c r="P8" i="111"/>
  <c r="Q8" i="111"/>
  <c r="R8" i="111"/>
  <c r="S8" i="111"/>
  <c r="T8" i="111"/>
  <c r="U8" i="111"/>
  <c r="V8" i="111"/>
  <c r="W8" i="111"/>
  <c r="X8" i="111"/>
  <c r="Y8" i="111"/>
  <c r="Z8" i="111"/>
  <c r="AA8" i="111"/>
  <c r="AB8" i="111"/>
  <c r="AC8" i="111"/>
  <c r="B9" i="111"/>
  <c r="C9" i="111"/>
  <c r="D9" i="111"/>
  <c r="E9" i="111"/>
  <c r="F9" i="111"/>
  <c r="G9" i="111"/>
  <c r="H9" i="111"/>
  <c r="I9" i="111"/>
  <c r="J9" i="111"/>
  <c r="K9" i="111"/>
  <c r="L9" i="111"/>
  <c r="M9" i="111"/>
  <c r="N9" i="111"/>
  <c r="O9" i="111"/>
  <c r="P9" i="111"/>
  <c r="Q9" i="111"/>
  <c r="R9" i="111"/>
  <c r="S9" i="111"/>
  <c r="T9" i="111"/>
  <c r="U9" i="111"/>
  <c r="V9" i="111"/>
  <c r="W9" i="111"/>
  <c r="X9" i="111"/>
  <c r="Y9" i="111"/>
  <c r="Z9" i="111"/>
  <c r="AA9" i="111"/>
  <c r="AB9" i="111"/>
  <c r="AC9" i="111"/>
  <c r="B10" i="111"/>
  <c r="C10" i="111"/>
  <c r="D10" i="111"/>
  <c r="E10" i="111"/>
  <c r="F10" i="111"/>
  <c r="G10" i="111"/>
  <c r="H10" i="111"/>
  <c r="I10" i="111"/>
  <c r="J10" i="111"/>
  <c r="K10" i="111"/>
  <c r="L10" i="111"/>
  <c r="M10" i="111"/>
  <c r="N10" i="111"/>
  <c r="O10" i="111"/>
  <c r="P10" i="111"/>
  <c r="Q10" i="111"/>
  <c r="R10" i="111"/>
  <c r="S10" i="111"/>
  <c r="T10" i="111"/>
  <c r="U10" i="111"/>
  <c r="V10" i="111"/>
  <c r="W10" i="111"/>
  <c r="X10" i="111"/>
  <c r="Y10" i="111"/>
  <c r="AA10" i="111"/>
  <c r="AB10" i="111"/>
  <c r="AC10" i="111"/>
  <c r="B21" i="28"/>
  <c r="B22" i="28"/>
  <c r="C38" i="28" l="1"/>
  <c r="B77" i="110" a="1"/>
  <c r="B77" i="110" s="1"/>
  <c r="D24" i="31" l="1"/>
  <c r="E7" i="28" l="1" a="1"/>
  <c r="E7" i="28" s="1"/>
  <c r="I10" i="23" s="1"/>
  <c r="I21" i="23" l="1"/>
  <c r="I40" i="23"/>
  <c r="I20" i="23"/>
  <c r="I39" i="23"/>
  <c r="I19" i="23"/>
  <c r="I38" i="23"/>
  <c r="I18" i="23"/>
  <c r="I26" i="23"/>
  <c r="I25" i="23"/>
  <c r="I24" i="23"/>
  <c r="I23" i="23"/>
  <c r="I22" i="23"/>
  <c r="I37" i="23"/>
  <c r="I17" i="23"/>
  <c r="I36" i="23"/>
  <c r="I16" i="23"/>
  <c r="I35" i="23"/>
  <c r="I15" i="23"/>
  <c r="I34" i="23"/>
  <c r="I14" i="23"/>
  <c r="I33" i="23"/>
  <c r="I13" i="23"/>
  <c r="I32" i="23"/>
  <c r="I12" i="23"/>
  <c r="I31" i="23"/>
  <c r="I11" i="23"/>
  <c r="I30" i="23"/>
  <c r="I29" i="23"/>
  <c r="I28" i="23"/>
  <c r="I27" i="23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W91" i="110" l="1"/>
  <c r="S91" i="110" l="1"/>
  <c r="V8" i="28" l="1"/>
  <c r="S39" i="28" l="1" a="1"/>
  <c r="S39" i="28" s="1"/>
  <c r="V39" i="28"/>
  <c r="T39" i="28"/>
  <c r="U39" i="28"/>
  <c r="W39" i="28" l="1"/>
  <c r="S18" i="28" l="1" a="1"/>
  <c r="S18" i="28" s="1"/>
  <c r="S19" i="28" a="1"/>
  <c r="S19" i="28" s="1"/>
  <c r="S20" i="28" a="1"/>
  <c r="S20" i="28" s="1"/>
  <c r="S21" i="28" a="1"/>
  <c r="S21" i="28" s="1"/>
  <c r="S23" i="28" a="1"/>
  <c r="S23" i="28" s="1"/>
  <c r="S24" i="28" a="1"/>
  <c r="S24" i="28" s="1"/>
  <c r="S22" i="28" a="1"/>
  <c r="S22" i="28" s="1"/>
  <c r="S27" i="28" l="1" a="1"/>
  <c r="S27" i="28" s="1"/>
  <c r="S25" i="28" a="1"/>
  <c r="S25" i="28" s="1"/>
  <c r="S26" i="28" a="1"/>
  <c r="S26" i="28" s="1"/>
  <c r="S28" i="28" a="1"/>
  <c r="S28" i="28" s="1"/>
  <c r="S29" i="28" a="1"/>
  <c r="S29" i="28" s="1"/>
  <c r="S30" i="28" a="1"/>
  <c r="S30" i="28" s="1"/>
  <c r="S31" i="28" a="1"/>
  <c r="S31" i="28" s="1"/>
  <c r="S32" i="28" a="1"/>
  <c r="S32" i="28" s="1"/>
  <c r="S33" i="28" a="1"/>
  <c r="S33" i="28" s="1"/>
  <c r="S34" i="28" a="1"/>
  <c r="S34" i="28" s="1"/>
  <c r="S35" i="28" a="1"/>
  <c r="S35" i="28" s="1"/>
  <c r="S36" i="28" a="1"/>
  <c r="S36" i="28" s="1"/>
  <c r="S37" i="28" a="1"/>
  <c r="S37" i="28" s="1"/>
  <c r="W37" i="28" s="1"/>
  <c r="S38" i="28" a="1"/>
  <c r="S38" i="28" s="1"/>
  <c r="W38" i="28" s="1"/>
  <c r="T8" i="28"/>
  <c r="U8" i="28"/>
  <c r="T9" i="28"/>
  <c r="U9" i="28"/>
  <c r="V9" i="28"/>
  <c r="T10" i="28"/>
  <c r="U10" i="28"/>
  <c r="V10" i="28"/>
  <c r="T11" i="28"/>
  <c r="U11" i="28"/>
  <c r="V11" i="28"/>
  <c r="T12" i="28"/>
  <c r="U12" i="28"/>
  <c r="V12" i="28"/>
  <c r="T13" i="28"/>
  <c r="U13" i="28"/>
  <c r="V13" i="28"/>
  <c r="T14" i="28"/>
  <c r="U14" i="28"/>
  <c r="V14" i="28"/>
  <c r="T15" i="28"/>
  <c r="U15" i="28"/>
  <c r="V15" i="28"/>
  <c r="T16" i="28"/>
  <c r="U16" i="28"/>
  <c r="V16" i="28"/>
  <c r="T17" i="28"/>
  <c r="U17" i="28"/>
  <c r="V17" i="28"/>
  <c r="T18" i="28"/>
  <c r="U18" i="28"/>
  <c r="V18" i="28"/>
  <c r="T19" i="28"/>
  <c r="U19" i="28"/>
  <c r="V19" i="28"/>
  <c r="T20" i="28"/>
  <c r="U20" i="28"/>
  <c r="V20" i="28"/>
  <c r="T21" i="28"/>
  <c r="U21" i="28"/>
  <c r="V21" i="28"/>
  <c r="T22" i="28"/>
  <c r="U22" i="28"/>
  <c r="V22" i="28"/>
  <c r="T23" i="28"/>
  <c r="U23" i="28"/>
  <c r="V23" i="28"/>
  <c r="T24" i="28"/>
  <c r="U24" i="28"/>
  <c r="V24" i="28"/>
  <c r="T25" i="28"/>
  <c r="U25" i="28"/>
  <c r="V25" i="28"/>
  <c r="T26" i="28"/>
  <c r="U26" i="28"/>
  <c r="V26" i="28"/>
  <c r="T27" i="28"/>
  <c r="U27" i="28"/>
  <c r="V27" i="28"/>
  <c r="T28" i="28"/>
  <c r="U28" i="28"/>
  <c r="V28" i="28"/>
  <c r="T29" i="28"/>
  <c r="U29" i="28"/>
  <c r="V29" i="28"/>
  <c r="T30" i="28"/>
  <c r="U30" i="28"/>
  <c r="V30" i="28"/>
  <c r="T31" i="28"/>
  <c r="U31" i="28"/>
  <c r="V31" i="28"/>
  <c r="T32" i="28"/>
  <c r="U32" i="28"/>
  <c r="V32" i="28"/>
  <c r="T33" i="28"/>
  <c r="U33" i="28"/>
  <c r="V33" i="28"/>
  <c r="T34" i="28"/>
  <c r="U34" i="28"/>
  <c r="V34" i="28"/>
  <c r="T35" i="28"/>
  <c r="U35" i="28"/>
  <c r="V35" i="28"/>
  <c r="T36" i="28"/>
  <c r="U36" i="28"/>
  <c r="V36" i="28"/>
  <c r="T37" i="28"/>
  <c r="U37" i="28"/>
  <c r="V37" i="28"/>
  <c r="T38" i="28"/>
  <c r="U38" i="28"/>
  <c r="V38" i="28"/>
  <c r="V7" i="28"/>
  <c r="U7" i="28"/>
  <c r="T7" i="28"/>
  <c r="K40" i="28"/>
  <c r="K39" i="28"/>
  <c r="K38" i="28"/>
  <c r="K37" i="28"/>
  <c r="K36" i="28"/>
  <c r="K35" i="28"/>
  <c r="K34" i="28"/>
  <c r="K33" i="28"/>
  <c r="S10" i="28" s="1" a="1"/>
  <c r="S10" i="28" s="1"/>
  <c r="W10" i="28" s="1"/>
  <c r="K32" i="28"/>
  <c r="K31" i="28"/>
  <c r="K30" i="28"/>
  <c r="K29" i="28"/>
  <c r="K28" i="28"/>
  <c r="K27" i="28"/>
  <c r="K26" i="28"/>
  <c r="K25" i="28"/>
  <c r="K24" i="28"/>
  <c r="K23" i="28"/>
  <c r="K22" i="28"/>
  <c r="K21" i="28"/>
  <c r="S14" i="28" s="1" a="1"/>
  <c r="S14" i="28" s="1"/>
  <c r="K20" i="28"/>
  <c r="S13" i="28" s="1" a="1"/>
  <c r="S13" i="28" s="1"/>
  <c r="K19" i="28"/>
  <c r="K18" i="28"/>
  <c r="K17" i="28"/>
  <c r="K16" i="28"/>
  <c r="K15" i="28"/>
  <c r="K14" i="28"/>
  <c r="K13" i="28"/>
  <c r="K12" i="28"/>
  <c r="K11" i="28"/>
  <c r="K10" i="28"/>
  <c r="K9" i="28"/>
  <c r="K8" i="28"/>
  <c r="K7" i="28"/>
  <c r="K6" i="28"/>
  <c r="W32" i="28" l="1"/>
  <c r="W35" i="28"/>
  <c r="W33" i="28"/>
  <c r="O7" i="28" a="1"/>
  <c r="O7" i="28" s="1"/>
  <c r="N7" i="28" s="1"/>
  <c r="S17" i="28" a="1"/>
  <c r="S17" i="28" s="1"/>
  <c r="W17" i="28" s="1"/>
  <c r="W36" i="28"/>
  <c r="S16" i="28" a="1"/>
  <c r="S16" i="28" s="1"/>
  <c r="W16" i="28" s="1"/>
  <c r="S15" i="28" a="1"/>
  <c r="S15" i="28" s="1"/>
  <c r="W15" i="28" s="1"/>
  <c r="W34" i="28"/>
  <c r="W19" i="28"/>
  <c r="W31" i="28"/>
  <c r="S12" i="28" a="1"/>
  <c r="S12" i="28" s="1"/>
  <c r="W12" i="28" s="1"/>
  <c r="S11" i="28" a="1"/>
  <c r="S11" i="28" s="1"/>
  <c r="W11" i="28" s="1"/>
  <c r="X10" i="28" s="1"/>
  <c r="W30" i="28"/>
  <c r="W28" i="28"/>
  <c r="W26" i="28"/>
  <c r="W14" i="28"/>
  <c r="W22" i="28"/>
  <c r="W20" i="28"/>
  <c r="W25" i="28"/>
  <c r="W21" i="28"/>
  <c r="W29" i="28"/>
  <c r="W18" i="28"/>
  <c r="W24" i="28"/>
  <c r="W23" i="28"/>
  <c r="W13" i="28"/>
  <c r="W27" i="28"/>
  <c r="S7" i="28" a="1"/>
  <c r="S7" i="28" s="1"/>
  <c r="W7" i="28" s="1"/>
  <c r="S8" i="28" a="1"/>
  <c r="S8" i="28" s="1"/>
  <c r="W8" i="28" s="1"/>
  <c r="S9" i="28" a="1"/>
  <c r="S9" i="28" s="1"/>
  <c r="W9" i="28" s="1"/>
  <c r="X14" i="28" l="1"/>
  <c r="X8" i="28"/>
  <c r="X9" i="28"/>
  <c r="X11" i="28"/>
  <c r="X12" i="28"/>
  <c r="D30" i="28" l="1"/>
  <c r="D31" i="28"/>
  <c r="D32" i="28"/>
  <c r="D33" i="28"/>
  <c r="D34" i="28"/>
  <c r="D35" i="28"/>
  <c r="D36" i="28"/>
  <c r="D37" i="28"/>
  <c r="B75" i="110" l="1" a="1"/>
  <c r="B75" i="110" s="1"/>
  <c r="AH75" i="110" s="1"/>
  <c r="X27" i="28"/>
  <c r="X38" i="28"/>
  <c r="X35" i="28"/>
  <c r="B91" i="110"/>
  <c r="D38" i="28"/>
  <c r="X29" i="28" l="1"/>
  <c r="X16" i="28"/>
  <c r="X26" i="28"/>
  <c r="X37" i="28"/>
  <c r="X28" i="28"/>
  <c r="X31" i="28"/>
  <c r="X19" i="28"/>
  <c r="X30" i="28"/>
  <c r="X20" i="28"/>
  <c r="X32" i="28"/>
  <c r="X33" i="28"/>
  <c r="X25" i="28"/>
  <c r="X17" i="28"/>
  <c r="X36" i="28"/>
  <c r="X34" i="28"/>
  <c r="X21" i="28"/>
  <c r="X18" i="28"/>
  <c r="X22" i="28"/>
  <c r="X24" i="28"/>
  <c r="X23" i="28"/>
  <c r="AA91" i="110"/>
  <c r="E38" i="28" l="1"/>
  <c r="X40" i="28"/>
  <c r="AH9" i="110"/>
  <c r="AH91" i="110" l="1"/>
  <c r="AH90" i="110"/>
  <c r="AI68" i="110"/>
  <c r="H7" i="31"/>
  <c r="C7" i="29" l="1"/>
  <c r="D40" i="23" l="1"/>
  <c r="H40" i="23"/>
  <c r="B37" i="30" l="1"/>
  <c r="F40" i="23"/>
  <c r="AH8" i="110"/>
  <c r="H11" i="23" l="1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N10" i="23" a="1"/>
  <c r="O40" i="23" s="1"/>
  <c r="N10" i="23" l="1"/>
  <c r="D28" i="23"/>
  <c r="F28" i="23" l="1"/>
  <c r="O28" i="23" s="1"/>
  <c r="B25" i="30"/>
  <c r="D26" i="23"/>
  <c r="D27" i="23"/>
  <c r="F27" i="23" l="1"/>
  <c r="O27" i="23" s="1"/>
  <c r="B24" i="30"/>
  <c r="F26" i="23"/>
  <c r="O26" i="23" s="1"/>
  <c r="B23" i="30"/>
  <c r="D25" i="23"/>
  <c r="F25" i="23" l="1"/>
  <c r="O25" i="23" s="1"/>
  <c r="B22" i="30"/>
  <c r="D22" i="23"/>
  <c r="F22" i="23" l="1"/>
  <c r="B19" i="30"/>
  <c r="B37" i="28"/>
  <c r="AH12" i="110"/>
  <c r="U37" i="31"/>
  <c r="V37" i="31"/>
  <c r="W37" i="31"/>
  <c r="X37" i="31"/>
  <c r="Y37" i="31"/>
  <c r="J37" i="31"/>
  <c r="K37" i="31"/>
  <c r="L37" i="31"/>
  <c r="M37" i="31"/>
  <c r="N37" i="31"/>
  <c r="O37" i="31"/>
  <c r="P37" i="31"/>
  <c r="Q37" i="31"/>
  <c r="R37" i="31"/>
  <c r="C37" i="31"/>
  <c r="D37" i="31"/>
  <c r="E37" i="31"/>
  <c r="F37" i="31"/>
  <c r="B37" i="29"/>
  <c r="K37" i="29" s="1"/>
  <c r="C37" i="29"/>
  <c r="E37" i="29"/>
  <c r="I37" i="29" s="1"/>
  <c r="J37" i="29"/>
  <c r="B6" i="113"/>
  <c r="B7" i="113"/>
  <c r="B8" i="113"/>
  <c r="B9" i="113"/>
  <c r="B10" i="113"/>
  <c r="B11" i="113"/>
  <c r="B12" i="113"/>
  <c r="B13" i="113"/>
  <c r="B14" i="113"/>
  <c r="B15" i="113"/>
  <c r="B16" i="113"/>
  <c r="B17" i="113"/>
  <c r="B18" i="113"/>
  <c r="B19" i="113"/>
  <c r="B20" i="113"/>
  <c r="B21" i="113"/>
  <c r="B22" i="113"/>
  <c r="B23" i="113"/>
  <c r="B24" i="113"/>
  <c r="B25" i="113"/>
  <c r="B26" i="113"/>
  <c r="B27" i="113"/>
  <c r="B28" i="113"/>
  <c r="B29" i="113"/>
  <c r="B30" i="113"/>
  <c r="B31" i="113"/>
  <c r="B32" i="113"/>
  <c r="B33" i="113"/>
  <c r="B34" i="113"/>
  <c r="Z37" i="31" l="1"/>
  <c r="G40" i="23" s="1"/>
  <c r="P40" i="23" s="1"/>
  <c r="Q40" i="23" s="1"/>
  <c r="R40" i="23" s="1"/>
  <c r="G37" i="31"/>
  <c r="S37" i="31" s="1"/>
  <c r="H37" i="29"/>
  <c r="D35" i="23"/>
  <c r="D32" i="23"/>
  <c r="D34" i="23"/>
  <c r="D31" i="23"/>
  <c r="D39" i="23"/>
  <c r="D37" i="23"/>
  <c r="D33" i="23"/>
  <c r="D30" i="23"/>
  <c r="D38" i="23"/>
  <c r="D36" i="23"/>
  <c r="D29" i="23"/>
  <c r="F39" i="23" l="1"/>
  <c r="O39" i="23" s="1"/>
  <c r="B36" i="30"/>
  <c r="B35" i="30"/>
  <c r="F38" i="23"/>
  <c r="O38" i="23" s="1"/>
  <c r="B34" i="30"/>
  <c r="F37" i="23"/>
  <c r="F36" i="23"/>
  <c r="B33" i="30"/>
  <c r="B32" i="30"/>
  <c r="F35" i="23"/>
  <c r="O35" i="23" s="1"/>
  <c r="F34" i="23"/>
  <c r="B31" i="30"/>
  <c r="F33" i="23"/>
  <c r="B30" i="30"/>
  <c r="O32" i="23"/>
  <c r="F32" i="23"/>
  <c r="B29" i="30"/>
  <c r="F29" i="23"/>
  <c r="B26" i="30"/>
  <c r="F30" i="23"/>
  <c r="B27" i="30"/>
  <c r="F31" i="23"/>
  <c r="O31" i="23" s="1"/>
  <c r="B28" i="30"/>
  <c r="O29" i="23"/>
  <c r="O36" i="23"/>
  <c r="O30" i="23"/>
  <c r="O33" i="23"/>
  <c r="O37" i="23"/>
  <c r="D37" i="30"/>
  <c r="O34" i="23"/>
  <c r="AF15" i="110"/>
  <c r="AF19" i="110"/>
  <c r="AF39" i="110"/>
  <c r="AF40" i="110"/>
  <c r="AF46" i="110"/>
  <c r="AF47" i="110"/>
  <c r="AF56" i="110"/>
  <c r="AF57" i="110"/>
  <c r="AF58" i="110"/>
  <c r="AF65" i="110"/>
  <c r="AF79" i="110"/>
  <c r="AF84" i="110"/>
  <c r="AF91" i="110"/>
  <c r="AF99" i="110"/>
  <c r="AF102" i="110"/>
  <c r="AF104" i="110" s="1"/>
  <c r="AF105" i="110"/>
  <c r="C15" i="30" l="1"/>
  <c r="D16" i="23"/>
  <c r="B8" i="28"/>
  <c r="B9" i="28"/>
  <c r="B10" i="28"/>
  <c r="B11" i="28"/>
  <c r="B12" i="28"/>
  <c r="B13" i="28"/>
  <c r="C8" i="30"/>
  <c r="C9" i="30"/>
  <c r="C12" i="30"/>
  <c r="O13" i="23"/>
  <c r="C11" i="30"/>
  <c r="C14" i="30"/>
  <c r="C17" i="30"/>
  <c r="C16" i="30"/>
  <c r="C18" i="30"/>
  <c r="C19" i="30"/>
  <c r="C20" i="30"/>
  <c r="C21" i="30"/>
  <c r="C22" i="30"/>
  <c r="C23" i="30"/>
  <c r="C24" i="30"/>
  <c r="C25" i="30"/>
  <c r="C26" i="30"/>
  <c r="C27" i="30"/>
  <c r="C33" i="30"/>
  <c r="C34" i="30"/>
  <c r="C35" i="30"/>
  <c r="C36" i="30"/>
  <c r="C7" i="30"/>
  <c r="D17" i="23"/>
  <c r="D18" i="23"/>
  <c r="D19" i="23"/>
  <c r="D20" i="23"/>
  <c r="D21" i="23"/>
  <c r="D23" i="23"/>
  <c r="D24" i="23"/>
  <c r="F23" i="23" l="1"/>
  <c r="B20" i="30"/>
  <c r="F24" i="23"/>
  <c r="B21" i="30"/>
  <c r="B18" i="30"/>
  <c r="F21" i="23"/>
  <c r="O21" i="23" s="1"/>
  <c r="O20" i="23"/>
  <c r="B17" i="30"/>
  <c r="F20" i="23"/>
  <c r="F19" i="23"/>
  <c r="O19" i="23" s="1"/>
  <c r="B16" i="30"/>
  <c r="B15" i="30"/>
  <c r="F18" i="23"/>
  <c r="F17" i="23"/>
  <c r="O17" i="23" s="1"/>
  <c r="B14" i="30"/>
  <c r="O16" i="23"/>
  <c r="B13" i="30"/>
  <c r="F16" i="23"/>
  <c r="O18" i="23"/>
  <c r="O24" i="23"/>
  <c r="D11" i="23"/>
  <c r="D12" i="23"/>
  <c r="D15" i="23"/>
  <c r="C32" i="30"/>
  <c r="D10" i="23"/>
  <c r="F10" i="23" s="1"/>
  <c r="C30" i="30"/>
  <c r="O22" i="23"/>
  <c r="C13" i="30"/>
  <c r="C31" i="30"/>
  <c r="C29" i="30"/>
  <c r="C28" i="30"/>
  <c r="D14" i="23"/>
  <c r="AH25" i="110"/>
  <c r="B9" i="30" l="1"/>
  <c r="F12" i="23"/>
  <c r="B8" i="30"/>
  <c r="F11" i="23"/>
  <c r="B11" i="30"/>
  <c r="F14" i="23"/>
  <c r="F15" i="23"/>
  <c r="B12" i="30"/>
  <c r="O10" i="23"/>
  <c r="B7" i="30"/>
  <c r="O15" i="23"/>
  <c r="O12" i="23"/>
  <c r="O23" i="23"/>
  <c r="O14" i="23"/>
  <c r="O11" i="23"/>
  <c r="D43" i="23"/>
  <c r="C38" i="30"/>
  <c r="E43" i="23"/>
  <c r="AF90" i="111"/>
  <c r="AE90" i="111"/>
  <c r="AD90" i="111"/>
  <c r="AA90" i="111"/>
  <c r="Z90" i="111"/>
  <c r="Y90" i="111"/>
  <c r="S90" i="111"/>
  <c r="B90" i="111"/>
  <c r="C90" i="111"/>
  <c r="E90" i="111"/>
  <c r="R90" i="111"/>
  <c r="Q90" i="111"/>
  <c r="P90" i="111"/>
  <c r="O90" i="111"/>
  <c r="D90" i="111"/>
  <c r="F90" i="111"/>
  <c r="AF87" i="111"/>
  <c r="AE87" i="111"/>
  <c r="AD87" i="111"/>
  <c r="S87" i="111"/>
  <c r="R87" i="111"/>
  <c r="Q87" i="111"/>
  <c r="P87" i="111"/>
  <c r="O87" i="111"/>
  <c r="D87" i="111"/>
  <c r="B87" i="111"/>
  <c r="C87" i="111"/>
  <c r="E87" i="111"/>
  <c r="F87" i="111"/>
  <c r="S47" i="111"/>
  <c r="T47" i="111"/>
  <c r="U47" i="111"/>
  <c r="D7" i="30" l="1"/>
  <c r="B38" i="30"/>
  <c r="F43" i="23"/>
  <c r="B5" i="113"/>
  <c r="N43" i="23"/>
  <c r="B14" i="28"/>
  <c r="B15" i="28"/>
  <c r="B16" i="28"/>
  <c r="B17" i="28"/>
  <c r="B18" i="28"/>
  <c r="B19" i="28"/>
  <c r="B20" i="28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7" i="29"/>
  <c r="O44" i="23" l="1"/>
  <c r="M11" i="23" l="1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35" i="23"/>
  <c r="K36" i="23"/>
  <c r="K37" i="23"/>
  <c r="K38" i="23"/>
  <c r="K39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H5" i="32" l="1" a="1"/>
  <c r="H5" i="32" s="1"/>
  <c r="H36" i="32" s="1"/>
  <c r="AA93" i="111"/>
  <c r="AB93" i="111"/>
  <c r="AC93" i="111"/>
  <c r="AD93" i="111"/>
  <c r="AE93" i="111"/>
  <c r="AE63" i="111" s="1"/>
  <c r="AA94" i="111"/>
  <c r="AB94" i="111"/>
  <c r="AC94" i="111"/>
  <c r="AD94" i="111"/>
  <c r="AE94" i="111"/>
  <c r="AA95" i="111"/>
  <c r="AB95" i="111"/>
  <c r="AC95" i="111"/>
  <c r="AD95" i="111"/>
  <c r="AE95" i="111"/>
  <c r="AD59" i="111"/>
  <c r="AE59" i="111"/>
  <c r="V47" i="111"/>
  <c r="W47" i="111"/>
  <c r="X47" i="111"/>
  <c r="Y47" i="111"/>
  <c r="Z47" i="111"/>
  <c r="AA47" i="111"/>
  <c r="AB47" i="111"/>
  <c r="AC47" i="111"/>
  <c r="AD47" i="111"/>
  <c r="AE47" i="111"/>
  <c r="AF47" i="111"/>
  <c r="AD79" i="110" s="1"/>
  <c r="T52" i="111"/>
  <c r="U52" i="111"/>
  <c r="U101" i="111" s="1"/>
  <c r="V52" i="111"/>
  <c r="V101" i="111" s="1"/>
  <c r="W52" i="111"/>
  <c r="W101" i="111" s="1"/>
  <c r="X52" i="111"/>
  <c r="X101" i="111" s="1"/>
  <c r="Y52" i="111"/>
  <c r="Y101" i="111" s="1"/>
  <c r="Z52" i="111"/>
  <c r="Z101" i="111" s="1"/>
  <c r="AA52" i="111"/>
  <c r="AA101" i="111" s="1"/>
  <c r="AB52" i="111"/>
  <c r="AB101" i="111" s="1"/>
  <c r="AC52" i="111"/>
  <c r="AC101" i="111" s="1"/>
  <c r="AD52" i="111"/>
  <c r="AD101" i="111" s="1"/>
  <c r="AE52" i="111"/>
  <c r="AE101" i="111" s="1"/>
  <c r="AF52" i="111"/>
  <c r="AD62" i="111"/>
  <c r="AE62" i="111"/>
  <c r="AD64" i="111"/>
  <c r="AE64" i="111"/>
  <c r="AD67" i="111"/>
  <c r="AE67" i="111"/>
  <c r="AD68" i="111"/>
  <c r="AE68" i="111"/>
  <c r="AD69" i="111"/>
  <c r="AE69" i="111"/>
  <c r="AD71" i="111"/>
  <c r="AE71" i="111"/>
  <c r="AD72" i="111"/>
  <c r="AE72" i="111"/>
  <c r="AD73" i="111"/>
  <c r="AE73" i="111"/>
  <c r="AD74" i="111"/>
  <c r="AE74" i="111"/>
  <c r="AD75" i="111"/>
  <c r="AE75" i="111"/>
  <c r="AD80" i="111"/>
  <c r="AE80" i="111"/>
  <c r="AD81" i="111"/>
  <c r="AE81" i="111"/>
  <c r="AD82" i="111"/>
  <c r="AE82" i="111"/>
  <c r="AD84" i="111"/>
  <c r="AE84" i="111"/>
  <c r="AA86" i="111"/>
  <c r="AA70" i="111" s="1"/>
  <c r="AB86" i="111"/>
  <c r="AB70" i="111" s="1"/>
  <c r="AC86" i="111"/>
  <c r="AC70" i="111" s="1"/>
  <c r="AD86" i="111"/>
  <c r="AD70" i="111" s="1"/>
  <c r="AE86" i="111"/>
  <c r="AE70" i="111" s="1"/>
  <c r="AF86" i="111"/>
  <c r="AF70" i="111" s="1"/>
  <c r="AD89" i="111"/>
  <c r="AE89" i="111"/>
  <c r="AF89" i="111"/>
  <c r="AD26" i="111"/>
  <c r="AE26" i="111"/>
  <c r="AD35" i="111"/>
  <c r="AE35" i="111"/>
  <c r="AF35" i="111"/>
  <c r="AD39" i="111"/>
  <c r="AE39" i="111"/>
  <c r="AF39" i="111"/>
  <c r="AD79" i="111" l="1"/>
  <c r="AE79" i="111"/>
  <c r="AE78" i="111"/>
  <c r="I43" i="23" l="1"/>
  <c r="AA7" i="31" a="1"/>
  <c r="AA7" i="31" s="1"/>
  <c r="E8" i="29"/>
  <c r="E9" i="29"/>
  <c r="I9" i="29" s="1"/>
  <c r="E10" i="29"/>
  <c r="I10" i="29" s="1"/>
  <c r="E11" i="29"/>
  <c r="I11" i="29" s="1"/>
  <c r="E12" i="29"/>
  <c r="I12" i="29" s="1"/>
  <c r="E13" i="29"/>
  <c r="I13" i="29" s="1"/>
  <c r="E14" i="29"/>
  <c r="I14" i="29" s="1"/>
  <c r="E15" i="29"/>
  <c r="I15" i="29" s="1"/>
  <c r="E16" i="29"/>
  <c r="I16" i="29" s="1"/>
  <c r="E17" i="29"/>
  <c r="I17" i="29" s="1"/>
  <c r="E18" i="29"/>
  <c r="I18" i="29" s="1"/>
  <c r="E19" i="29"/>
  <c r="I19" i="29" s="1"/>
  <c r="E20" i="29"/>
  <c r="I20" i="29" s="1"/>
  <c r="E21" i="29"/>
  <c r="I21" i="29" s="1"/>
  <c r="E22" i="29"/>
  <c r="I22" i="29" s="1"/>
  <c r="E23" i="29"/>
  <c r="I23" i="29" s="1"/>
  <c r="E24" i="29"/>
  <c r="I24" i="29" s="1"/>
  <c r="E25" i="29"/>
  <c r="I25" i="29" s="1"/>
  <c r="E26" i="29"/>
  <c r="I26" i="29" s="1"/>
  <c r="E27" i="29"/>
  <c r="I27" i="29" s="1"/>
  <c r="E28" i="29"/>
  <c r="I28" i="29" s="1"/>
  <c r="E29" i="29"/>
  <c r="I29" i="29" s="1"/>
  <c r="E30" i="29"/>
  <c r="I30" i="29" s="1"/>
  <c r="E31" i="29"/>
  <c r="I31" i="29" s="1"/>
  <c r="E32" i="29"/>
  <c r="I32" i="29" s="1"/>
  <c r="E33" i="29"/>
  <c r="I33" i="29" s="1"/>
  <c r="E34" i="29"/>
  <c r="I34" i="29" s="1"/>
  <c r="E35" i="29"/>
  <c r="I35" i="29" s="1"/>
  <c r="E36" i="29"/>
  <c r="I36" i="29" s="1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H28" i="29" s="1"/>
  <c r="C29" i="29"/>
  <c r="H29" i="29" s="1"/>
  <c r="C30" i="29"/>
  <c r="C31" i="29"/>
  <c r="C32" i="29"/>
  <c r="C33" i="29"/>
  <c r="C34" i="29"/>
  <c r="C35" i="29"/>
  <c r="C36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K35" i="29" s="1"/>
  <c r="B36" i="29"/>
  <c r="K36" i="29" s="1"/>
  <c r="L7" i="29" a="1"/>
  <c r="L7" i="29" s="1"/>
  <c r="L38" i="29" s="1"/>
  <c r="F7" i="28" a="1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U8" i="31"/>
  <c r="V8" i="31"/>
  <c r="W8" i="31"/>
  <c r="X8" i="31"/>
  <c r="Y8" i="31"/>
  <c r="U9" i="31"/>
  <c r="V9" i="31"/>
  <c r="W9" i="31"/>
  <c r="X9" i="31"/>
  <c r="Y9" i="31"/>
  <c r="U10" i="31"/>
  <c r="V10" i="31"/>
  <c r="W10" i="31"/>
  <c r="X10" i="31"/>
  <c r="Y10" i="31"/>
  <c r="U11" i="31"/>
  <c r="V11" i="31"/>
  <c r="W11" i="31"/>
  <c r="X11" i="31"/>
  <c r="Y11" i="31"/>
  <c r="U12" i="31"/>
  <c r="V12" i="31"/>
  <c r="W12" i="31"/>
  <c r="X12" i="31"/>
  <c r="Y12" i="31"/>
  <c r="U13" i="31"/>
  <c r="V13" i="31"/>
  <c r="W13" i="31"/>
  <c r="X13" i="31"/>
  <c r="Y13" i="31"/>
  <c r="U14" i="31"/>
  <c r="V14" i="31"/>
  <c r="W14" i="31"/>
  <c r="X14" i="31"/>
  <c r="Y14" i="31"/>
  <c r="U15" i="31"/>
  <c r="V15" i="31"/>
  <c r="W15" i="31"/>
  <c r="X15" i="31"/>
  <c r="Y15" i="31"/>
  <c r="U16" i="31"/>
  <c r="V16" i="31"/>
  <c r="W16" i="31"/>
  <c r="X16" i="31"/>
  <c r="Y16" i="31"/>
  <c r="U17" i="31"/>
  <c r="V17" i="31"/>
  <c r="W17" i="31"/>
  <c r="X17" i="31"/>
  <c r="Y17" i="31"/>
  <c r="U18" i="31"/>
  <c r="V18" i="31"/>
  <c r="W18" i="31"/>
  <c r="X18" i="31"/>
  <c r="Y18" i="31"/>
  <c r="U19" i="31"/>
  <c r="V19" i="31"/>
  <c r="W19" i="31"/>
  <c r="X19" i="31"/>
  <c r="Y19" i="31"/>
  <c r="U20" i="31"/>
  <c r="V20" i="31"/>
  <c r="W20" i="31"/>
  <c r="X20" i="31"/>
  <c r="Y20" i="31"/>
  <c r="U21" i="31"/>
  <c r="V21" i="31"/>
  <c r="W21" i="31"/>
  <c r="X21" i="31"/>
  <c r="Y21" i="31"/>
  <c r="U22" i="31"/>
  <c r="V22" i="31"/>
  <c r="W22" i="31"/>
  <c r="X22" i="31"/>
  <c r="Y22" i="31"/>
  <c r="U23" i="31"/>
  <c r="V23" i="31"/>
  <c r="W23" i="31"/>
  <c r="X23" i="31"/>
  <c r="Y23" i="31"/>
  <c r="U24" i="31"/>
  <c r="V24" i="31"/>
  <c r="W24" i="31"/>
  <c r="X24" i="31"/>
  <c r="Y24" i="31"/>
  <c r="U25" i="31"/>
  <c r="V25" i="31"/>
  <c r="W25" i="31"/>
  <c r="X25" i="31"/>
  <c r="Y25" i="31"/>
  <c r="U26" i="31"/>
  <c r="V26" i="31"/>
  <c r="W26" i="31"/>
  <c r="X26" i="31"/>
  <c r="Y26" i="31"/>
  <c r="U27" i="31"/>
  <c r="V27" i="31"/>
  <c r="W27" i="31"/>
  <c r="X27" i="31"/>
  <c r="Y27" i="31"/>
  <c r="U28" i="31"/>
  <c r="V28" i="31"/>
  <c r="W28" i="31"/>
  <c r="X28" i="31"/>
  <c r="Y28" i="31"/>
  <c r="U29" i="31"/>
  <c r="V29" i="31"/>
  <c r="W29" i="31"/>
  <c r="X29" i="31"/>
  <c r="Y29" i="31"/>
  <c r="U30" i="31"/>
  <c r="V30" i="31"/>
  <c r="W30" i="31"/>
  <c r="X30" i="31"/>
  <c r="Y30" i="31"/>
  <c r="U31" i="31"/>
  <c r="V31" i="31"/>
  <c r="AD23" i="111" s="1"/>
  <c r="W31" i="31"/>
  <c r="X31" i="31"/>
  <c r="Y31" i="31"/>
  <c r="U32" i="31"/>
  <c r="V32" i="31"/>
  <c r="AE23" i="111" s="1"/>
  <c r="W32" i="31"/>
  <c r="X32" i="31"/>
  <c r="Y32" i="31"/>
  <c r="U33" i="31"/>
  <c r="V33" i="31"/>
  <c r="AF23" i="111" s="1"/>
  <c r="W33" i="31"/>
  <c r="X33" i="31"/>
  <c r="Y33" i="31"/>
  <c r="U34" i="31"/>
  <c r="V34" i="31"/>
  <c r="W34" i="31"/>
  <c r="X34" i="31"/>
  <c r="Y34" i="31"/>
  <c r="U35" i="31"/>
  <c r="V35" i="31"/>
  <c r="W35" i="31"/>
  <c r="X35" i="31"/>
  <c r="Y35" i="31"/>
  <c r="U36" i="31"/>
  <c r="V36" i="31"/>
  <c r="W36" i="31"/>
  <c r="X36" i="31"/>
  <c r="Y36" i="31"/>
  <c r="H8" i="31"/>
  <c r="I8" i="31"/>
  <c r="H9" i="31"/>
  <c r="I9" i="31"/>
  <c r="H10" i="31"/>
  <c r="I10" i="31"/>
  <c r="H11" i="31"/>
  <c r="I11" i="31"/>
  <c r="H12" i="31"/>
  <c r="I12" i="31"/>
  <c r="H13" i="31"/>
  <c r="I13" i="31"/>
  <c r="H14" i="31"/>
  <c r="I14" i="31"/>
  <c r="H15" i="31"/>
  <c r="I15" i="31"/>
  <c r="H16" i="31"/>
  <c r="I16" i="31"/>
  <c r="H17" i="31"/>
  <c r="I17" i="31"/>
  <c r="H18" i="31"/>
  <c r="I18" i="31"/>
  <c r="H19" i="31"/>
  <c r="I19" i="31"/>
  <c r="H20" i="31"/>
  <c r="I20" i="31"/>
  <c r="H21" i="31"/>
  <c r="I21" i="31"/>
  <c r="H22" i="31"/>
  <c r="I22" i="31"/>
  <c r="H23" i="31"/>
  <c r="I23" i="31"/>
  <c r="H24" i="31"/>
  <c r="I24" i="31"/>
  <c r="H25" i="31"/>
  <c r="I25" i="31"/>
  <c r="H26" i="31"/>
  <c r="I26" i="31"/>
  <c r="H27" i="31"/>
  <c r="I27" i="31"/>
  <c r="H28" i="31"/>
  <c r="I28" i="31"/>
  <c r="H29" i="31"/>
  <c r="I29" i="31"/>
  <c r="H30" i="31"/>
  <c r="I30" i="31"/>
  <c r="H31" i="31"/>
  <c r="I31" i="31"/>
  <c r="H32" i="31"/>
  <c r="I32" i="31"/>
  <c r="H33" i="31"/>
  <c r="I33" i="31"/>
  <c r="H34" i="31"/>
  <c r="I34" i="31"/>
  <c r="H35" i="31"/>
  <c r="I35" i="31"/>
  <c r="H36" i="31"/>
  <c r="I36" i="31"/>
  <c r="AF29" i="110"/>
  <c r="J8" i="31"/>
  <c r="K8" i="31"/>
  <c r="L8" i="31"/>
  <c r="M8" i="31"/>
  <c r="N8" i="31"/>
  <c r="O8" i="31"/>
  <c r="P8" i="31"/>
  <c r="Q8" i="31"/>
  <c r="R8" i="31"/>
  <c r="J9" i="31"/>
  <c r="K9" i="31"/>
  <c r="L9" i="31"/>
  <c r="M9" i="31"/>
  <c r="N9" i="31"/>
  <c r="O9" i="31"/>
  <c r="P9" i="31"/>
  <c r="Q9" i="31"/>
  <c r="R9" i="31"/>
  <c r="J10" i="31"/>
  <c r="K10" i="31"/>
  <c r="L10" i="31"/>
  <c r="M10" i="31"/>
  <c r="N10" i="31"/>
  <c r="O10" i="31"/>
  <c r="P10" i="31"/>
  <c r="Q10" i="31"/>
  <c r="R10" i="31"/>
  <c r="J11" i="31"/>
  <c r="K11" i="31"/>
  <c r="L11" i="31"/>
  <c r="M11" i="31"/>
  <c r="N11" i="31"/>
  <c r="O11" i="31"/>
  <c r="P11" i="31"/>
  <c r="Q11" i="31"/>
  <c r="R11" i="31"/>
  <c r="J12" i="31"/>
  <c r="K12" i="31"/>
  <c r="L12" i="31"/>
  <c r="M12" i="31"/>
  <c r="N12" i="31"/>
  <c r="O12" i="31"/>
  <c r="P12" i="31"/>
  <c r="Q12" i="31"/>
  <c r="R12" i="31"/>
  <c r="J13" i="31"/>
  <c r="K13" i="31"/>
  <c r="L13" i="31"/>
  <c r="M13" i="31"/>
  <c r="N13" i="31"/>
  <c r="O13" i="31"/>
  <c r="P13" i="31"/>
  <c r="Q13" i="31"/>
  <c r="R13" i="31"/>
  <c r="J14" i="31"/>
  <c r="K14" i="31"/>
  <c r="L14" i="31"/>
  <c r="M14" i="31"/>
  <c r="N14" i="31"/>
  <c r="O14" i="31"/>
  <c r="P14" i="31"/>
  <c r="Q14" i="31"/>
  <c r="R14" i="31"/>
  <c r="J15" i="31"/>
  <c r="K15" i="31"/>
  <c r="L15" i="31"/>
  <c r="M15" i="31"/>
  <c r="N15" i="31"/>
  <c r="O15" i="31"/>
  <c r="P15" i="31"/>
  <c r="Q15" i="31"/>
  <c r="R15" i="31"/>
  <c r="J16" i="31"/>
  <c r="K16" i="31"/>
  <c r="L16" i="31"/>
  <c r="M16" i="31"/>
  <c r="N16" i="31"/>
  <c r="O16" i="31"/>
  <c r="P16" i="31"/>
  <c r="Q16" i="31"/>
  <c r="R16" i="31"/>
  <c r="J17" i="31"/>
  <c r="K17" i="31"/>
  <c r="L17" i="31"/>
  <c r="M17" i="31"/>
  <c r="N17" i="31"/>
  <c r="O17" i="31"/>
  <c r="P17" i="31"/>
  <c r="Q17" i="31"/>
  <c r="R17" i="31"/>
  <c r="J18" i="31"/>
  <c r="K18" i="31"/>
  <c r="L18" i="31"/>
  <c r="M18" i="31"/>
  <c r="N18" i="31"/>
  <c r="O18" i="31"/>
  <c r="P18" i="31"/>
  <c r="Q18" i="31"/>
  <c r="R18" i="31"/>
  <c r="J19" i="31"/>
  <c r="K19" i="31"/>
  <c r="L19" i="31"/>
  <c r="M19" i="31"/>
  <c r="N19" i="31"/>
  <c r="O19" i="31"/>
  <c r="P19" i="31"/>
  <c r="Q19" i="31"/>
  <c r="R19" i="31"/>
  <c r="J20" i="31"/>
  <c r="K20" i="31"/>
  <c r="L20" i="31"/>
  <c r="M20" i="31"/>
  <c r="N20" i="31"/>
  <c r="O20" i="31"/>
  <c r="P20" i="31"/>
  <c r="Q20" i="31"/>
  <c r="R20" i="31"/>
  <c r="J21" i="31"/>
  <c r="K21" i="31"/>
  <c r="L21" i="31"/>
  <c r="M21" i="31"/>
  <c r="N21" i="31"/>
  <c r="O21" i="31"/>
  <c r="P21" i="31"/>
  <c r="Q21" i="31"/>
  <c r="R21" i="31"/>
  <c r="J22" i="31"/>
  <c r="K22" i="31"/>
  <c r="L22" i="31"/>
  <c r="M22" i="31"/>
  <c r="N22" i="31"/>
  <c r="O22" i="31"/>
  <c r="P22" i="31"/>
  <c r="Q22" i="31"/>
  <c r="R22" i="31"/>
  <c r="J23" i="31"/>
  <c r="K23" i="31"/>
  <c r="L23" i="31"/>
  <c r="M23" i="31"/>
  <c r="N23" i="31"/>
  <c r="O23" i="31"/>
  <c r="P23" i="31"/>
  <c r="Q23" i="31"/>
  <c r="R23" i="31"/>
  <c r="J24" i="31"/>
  <c r="K24" i="31"/>
  <c r="L24" i="31"/>
  <c r="M24" i="31"/>
  <c r="N24" i="31"/>
  <c r="O24" i="31"/>
  <c r="P24" i="31"/>
  <c r="Q24" i="31"/>
  <c r="R24" i="31"/>
  <c r="J25" i="31"/>
  <c r="K25" i="31"/>
  <c r="L25" i="31"/>
  <c r="M25" i="31"/>
  <c r="N25" i="31"/>
  <c r="O25" i="31"/>
  <c r="P25" i="31"/>
  <c r="Q25" i="31"/>
  <c r="R25" i="31"/>
  <c r="J26" i="31"/>
  <c r="K26" i="31"/>
  <c r="L26" i="31"/>
  <c r="M26" i="31"/>
  <c r="N26" i="31"/>
  <c r="O26" i="31"/>
  <c r="P26" i="31"/>
  <c r="Q26" i="31"/>
  <c r="R26" i="31"/>
  <c r="J27" i="31"/>
  <c r="K27" i="31"/>
  <c r="L27" i="31"/>
  <c r="M27" i="31"/>
  <c r="N27" i="31"/>
  <c r="O27" i="31"/>
  <c r="P27" i="31"/>
  <c r="Q27" i="31"/>
  <c r="R27" i="31"/>
  <c r="J28" i="31"/>
  <c r="K28" i="31"/>
  <c r="L28" i="31"/>
  <c r="M28" i="31"/>
  <c r="N28" i="31"/>
  <c r="O28" i="31"/>
  <c r="P28" i="31"/>
  <c r="Q28" i="31"/>
  <c r="R28" i="31"/>
  <c r="J29" i="31"/>
  <c r="K29" i="31"/>
  <c r="L29" i="31"/>
  <c r="M29" i="31"/>
  <c r="N29" i="31"/>
  <c r="O29" i="31"/>
  <c r="P29" i="31"/>
  <c r="Q29" i="31"/>
  <c r="R29" i="31"/>
  <c r="J30" i="31"/>
  <c r="K30" i="31"/>
  <c r="L30" i="31"/>
  <c r="M30" i="31"/>
  <c r="N30" i="31"/>
  <c r="O30" i="31"/>
  <c r="P30" i="31"/>
  <c r="Q30" i="31"/>
  <c r="R30" i="31"/>
  <c r="J31" i="31"/>
  <c r="AD28" i="111" s="1"/>
  <c r="AD63" i="111" s="1"/>
  <c r="AD78" i="111" s="1"/>
  <c r="K31" i="31"/>
  <c r="AD31" i="111" s="1"/>
  <c r="L31" i="31"/>
  <c r="AD24" i="111" s="1"/>
  <c r="M31" i="31"/>
  <c r="N31" i="31"/>
  <c r="AD33" i="111" s="1"/>
  <c r="O31" i="31"/>
  <c r="AD34" i="111" s="1"/>
  <c r="P31" i="31"/>
  <c r="AD32" i="111" s="1"/>
  <c r="Q31" i="31"/>
  <c r="AD37" i="111" s="1"/>
  <c r="R31" i="31"/>
  <c r="J32" i="31"/>
  <c r="AE28" i="111" s="1"/>
  <c r="K32" i="31"/>
  <c r="AE31" i="111" s="1"/>
  <c r="L32" i="31"/>
  <c r="AE24" i="111" s="1"/>
  <c r="M32" i="31"/>
  <c r="N32" i="31"/>
  <c r="AE33" i="111" s="1"/>
  <c r="O32" i="31"/>
  <c r="AE34" i="111" s="1"/>
  <c r="P32" i="31"/>
  <c r="AE32" i="111" s="1"/>
  <c r="Q32" i="31"/>
  <c r="AE37" i="111" s="1"/>
  <c r="R32" i="31"/>
  <c r="J33" i="31"/>
  <c r="AF28" i="111" s="1"/>
  <c r="K33" i="31"/>
  <c r="AF31" i="111" s="1"/>
  <c r="L33" i="31"/>
  <c r="AF24" i="111" s="1"/>
  <c r="M33" i="31"/>
  <c r="N33" i="31"/>
  <c r="AF33" i="111" s="1"/>
  <c r="O33" i="31"/>
  <c r="AF34" i="111" s="1"/>
  <c r="P33" i="31"/>
  <c r="AF32" i="111" s="1"/>
  <c r="Q33" i="31"/>
  <c r="AF37" i="111" s="1"/>
  <c r="R33" i="31"/>
  <c r="J34" i="31"/>
  <c r="K34" i="31"/>
  <c r="L34" i="31"/>
  <c r="M34" i="31"/>
  <c r="N34" i="31"/>
  <c r="O34" i="31"/>
  <c r="P34" i="31"/>
  <c r="Q34" i="31"/>
  <c r="R34" i="31"/>
  <c r="J35" i="31"/>
  <c r="K35" i="31"/>
  <c r="L35" i="31"/>
  <c r="M35" i="31"/>
  <c r="N35" i="31"/>
  <c r="O35" i="31"/>
  <c r="P35" i="31"/>
  <c r="Q35" i="31"/>
  <c r="R35" i="31"/>
  <c r="J36" i="31"/>
  <c r="K36" i="31"/>
  <c r="L36" i="31"/>
  <c r="M36" i="31"/>
  <c r="N36" i="31"/>
  <c r="O36" i="31"/>
  <c r="P36" i="31"/>
  <c r="Q36" i="31"/>
  <c r="R36" i="31"/>
  <c r="AF36" i="110"/>
  <c r="AF44" i="110"/>
  <c r="AF62" i="110" s="1"/>
  <c r="AF41" i="110"/>
  <c r="AF59" i="110" s="1"/>
  <c r="AF42" i="110"/>
  <c r="AF60" i="110" s="1"/>
  <c r="AF45" i="110"/>
  <c r="AF28" i="110"/>
  <c r="J7" i="31"/>
  <c r="D8" i="31"/>
  <c r="E8" i="31"/>
  <c r="F8" i="31"/>
  <c r="D9" i="31"/>
  <c r="E9" i="31"/>
  <c r="F9" i="31"/>
  <c r="D10" i="31"/>
  <c r="E10" i="31"/>
  <c r="F10" i="31"/>
  <c r="D11" i="31"/>
  <c r="E11" i="31"/>
  <c r="F11" i="31"/>
  <c r="D12" i="31"/>
  <c r="E12" i="31"/>
  <c r="F12" i="31"/>
  <c r="D13" i="31"/>
  <c r="E13" i="31"/>
  <c r="F13" i="31"/>
  <c r="D14" i="31"/>
  <c r="E14" i="31"/>
  <c r="F14" i="31"/>
  <c r="D15" i="31"/>
  <c r="E15" i="31"/>
  <c r="F15" i="31"/>
  <c r="D16" i="31"/>
  <c r="E16" i="31"/>
  <c r="F16" i="31"/>
  <c r="D17" i="31"/>
  <c r="E17" i="31"/>
  <c r="F17" i="31"/>
  <c r="D18" i="31"/>
  <c r="E18" i="31"/>
  <c r="F18" i="31"/>
  <c r="D19" i="31"/>
  <c r="E19" i="31"/>
  <c r="F19" i="31"/>
  <c r="D20" i="31"/>
  <c r="E20" i="31"/>
  <c r="F20" i="31"/>
  <c r="D21" i="31"/>
  <c r="E21" i="31"/>
  <c r="F21" i="31"/>
  <c r="D22" i="31"/>
  <c r="E22" i="31"/>
  <c r="F22" i="31"/>
  <c r="D23" i="31"/>
  <c r="E23" i="31"/>
  <c r="F23" i="31"/>
  <c r="E24" i="31"/>
  <c r="F24" i="31"/>
  <c r="D25" i="31"/>
  <c r="E25" i="31"/>
  <c r="F25" i="31"/>
  <c r="D26" i="31"/>
  <c r="E26" i="31"/>
  <c r="F26" i="31"/>
  <c r="D27" i="31"/>
  <c r="E27" i="31"/>
  <c r="F27" i="31"/>
  <c r="D28" i="31"/>
  <c r="E28" i="31"/>
  <c r="F28" i="31"/>
  <c r="D29" i="31"/>
  <c r="E29" i="31"/>
  <c r="F29" i="31"/>
  <c r="D30" i="31"/>
  <c r="E30" i="31"/>
  <c r="F30" i="31"/>
  <c r="D31" i="31"/>
  <c r="E31" i="31"/>
  <c r="AD17" i="111" s="1"/>
  <c r="F31" i="31"/>
  <c r="D32" i="31"/>
  <c r="E32" i="31"/>
  <c r="AE17" i="111" s="1"/>
  <c r="F32" i="31"/>
  <c r="D33" i="31"/>
  <c r="E33" i="31"/>
  <c r="AF17" i="111" s="1"/>
  <c r="F33" i="31"/>
  <c r="D34" i="31"/>
  <c r="E34" i="31"/>
  <c r="F34" i="31"/>
  <c r="D35" i="31"/>
  <c r="E35" i="31"/>
  <c r="F35" i="31"/>
  <c r="D36" i="31"/>
  <c r="E36" i="31"/>
  <c r="F36" i="31"/>
  <c r="AF20" i="110"/>
  <c r="AF21" i="110"/>
  <c r="AF71" i="110"/>
  <c r="AF26" i="110" s="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AD15" i="111" s="1"/>
  <c r="C32" i="31"/>
  <c r="AE15" i="111" s="1"/>
  <c r="C33" i="31"/>
  <c r="AF15" i="111" s="1"/>
  <c r="C34" i="31"/>
  <c r="C35" i="31"/>
  <c r="C36" i="31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H15" i="29" l="1"/>
  <c r="H12" i="29"/>
  <c r="AF31" i="110"/>
  <c r="AF63" i="110"/>
  <c r="AF30" i="110"/>
  <c r="AF54" i="110"/>
  <c r="H35" i="29"/>
  <c r="G8" i="28"/>
  <c r="G9" i="28"/>
  <c r="G10" i="28"/>
  <c r="G11" i="28"/>
  <c r="G12" i="28"/>
  <c r="G13" i="28"/>
  <c r="G14" i="28"/>
  <c r="G15" i="28"/>
  <c r="G35" i="28"/>
  <c r="G36" i="28"/>
  <c r="G37" i="28"/>
  <c r="G29" i="28"/>
  <c r="G30" i="28"/>
  <c r="G31" i="28"/>
  <c r="G32" i="28"/>
  <c r="G33" i="28"/>
  <c r="G34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H27" i="29"/>
  <c r="C39" i="29"/>
  <c r="H13" i="29"/>
  <c r="Z24" i="31"/>
  <c r="G27" i="23" s="1"/>
  <c r="P27" i="23" s="1"/>
  <c r="Q27" i="23" s="1"/>
  <c r="R27" i="23" s="1"/>
  <c r="H11" i="29"/>
  <c r="Z26" i="31"/>
  <c r="G29" i="23" s="1"/>
  <c r="P29" i="23" s="1"/>
  <c r="Q29" i="23" s="1"/>
  <c r="R29" i="23" s="1"/>
  <c r="H17" i="29"/>
  <c r="H16" i="29"/>
  <c r="Z22" i="31"/>
  <c r="G25" i="23" s="1"/>
  <c r="P25" i="23" s="1"/>
  <c r="Q25" i="23" s="1"/>
  <c r="R25" i="23" s="1"/>
  <c r="Z18" i="31"/>
  <c r="G21" i="23" s="1"/>
  <c r="P21" i="23" s="1"/>
  <c r="Q21" i="23" s="1"/>
  <c r="R21" i="23" s="1"/>
  <c r="H8" i="29"/>
  <c r="H21" i="29"/>
  <c r="G8" i="31"/>
  <c r="S8" i="31" s="1"/>
  <c r="H14" i="29"/>
  <c r="G9" i="31"/>
  <c r="S9" i="31" s="1"/>
  <c r="Z19" i="31"/>
  <c r="G22" i="23" s="1"/>
  <c r="P22" i="23" s="1"/>
  <c r="Q22" i="23" s="1"/>
  <c r="R22" i="23" s="1"/>
  <c r="H30" i="29"/>
  <c r="H10" i="29"/>
  <c r="H9" i="29"/>
  <c r="Z12" i="31"/>
  <c r="G15" i="23" s="1"/>
  <c r="P15" i="23" s="1"/>
  <c r="Q15" i="23" s="1"/>
  <c r="R15" i="23" s="1"/>
  <c r="H22" i="29"/>
  <c r="H20" i="29"/>
  <c r="H19" i="29"/>
  <c r="H18" i="29"/>
  <c r="H36" i="29"/>
  <c r="G36" i="31"/>
  <c r="S36" i="31" s="1"/>
  <c r="Z36" i="31"/>
  <c r="G39" i="23" s="1"/>
  <c r="P39" i="23" s="1"/>
  <c r="Q39" i="23" s="1"/>
  <c r="R39" i="23" s="1"/>
  <c r="G35" i="31"/>
  <c r="S35" i="31" s="1"/>
  <c r="Z35" i="31"/>
  <c r="G38" i="23" s="1"/>
  <c r="P38" i="23" s="1"/>
  <c r="Q38" i="23" s="1"/>
  <c r="R38" i="23" s="1"/>
  <c r="Z34" i="31"/>
  <c r="G37" i="23" s="1"/>
  <c r="P37" i="23" s="1"/>
  <c r="Q37" i="23" s="1"/>
  <c r="R37" i="23" s="1"/>
  <c r="H34" i="29"/>
  <c r="H33" i="29"/>
  <c r="G34" i="31"/>
  <c r="S34" i="31" s="1"/>
  <c r="AF16" i="111"/>
  <c r="AF18" i="111" s="1"/>
  <c r="G33" i="31"/>
  <c r="S33" i="31" s="1"/>
  <c r="Z33" i="31"/>
  <c r="G36" i="23" s="1"/>
  <c r="P36" i="23" s="1"/>
  <c r="Q36" i="23" s="1"/>
  <c r="R36" i="23" s="1"/>
  <c r="H32" i="29"/>
  <c r="AE16" i="111"/>
  <c r="AE18" i="111" s="1"/>
  <c r="Z32" i="31"/>
  <c r="G35" i="23" s="1"/>
  <c r="G32" i="31"/>
  <c r="S32" i="31" s="1"/>
  <c r="AD16" i="111"/>
  <c r="AD18" i="111" s="1"/>
  <c r="G31" i="31"/>
  <c r="S31" i="31" s="1"/>
  <c r="Z31" i="31"/>
  <c r="G34" i="23" s="1"/>
  <c r="P34" i="23" s="1"/>
  <c r="Q34" i="23" s="1"/>
  <c r="R34" i="23" s="1"/>
  <c r="G30" i="31"/>
  <c r="S30" i="31" s="1"/>
  <c r="Z30" i="31"/>
  <c r="G33" i="23" s="1"/>
  <c r="P33" i="23" s="1"/>
  <c r="Q33" i="23" s="1"/>
  <c r="R33" i="23" s="1"/>
  <c r="H31" i="29"/>
  <c r="G29" i="31"/>
  <c r="S29" i="31" s="1"/>
  <c r="Z29" i="31"/>
  <c r="AB29" i="31" s="1"/>
  <c r="Z28" i="31"/>
  <c r="G31" i="23" s="1"/>
  <c r="P31" i="23" s="1"/>
  <c r="Q31" i="23" s="1"/>
  <c r="R31" i="23" s="1"/>
  <c r="G28" i="31"/>
  <c r="S28" i="31" s="1"/>
  <c r="G27" i="31"/>
  <c r="S27" i="31" s="1"/>
  <c r="Z27" i="31"/>
  <c r="G30" i="23" s="1"/>
  <c r="P30" i="23" s="1"/>
  <c r="Q30" i="23" s="1"/>
  <c r="R30" i="23" s="1"/>
  <c r="AA38" i="31"/>
  <c r="H26" i="29"/>
  <c r="G26" i="31"/>
  <c r="S26" i="31" s="1"/>
  <c r="Z25" i="31"/>
  <c r="G28" i="23" s="1"/>
  <c r="P28" i="23" s="1"/>
  <c r="Q28" i="23" s="1"/>
  <c r="R28" i="23" s="1"/>
  <c r="G25" i="31"/>
  <c r="S25" i="31" s="1"/>
  <c r="G24" i="31"/>
  <c r="S24" i="31" s="1"/>
  <c r="H25" i="29"/>
  <c r="H24" i="29"/>
  <c r="Z23" i="31"/>
  <c r="G26" i="23" s="1"/>
  <c r="P26" i="23" s="1"/>
  <c r="Q26" i="23" s="1"/>
  <c r="R26" i="23" s="1"/>
  <c r="G23" i="31"/>
  <c r="S23" i="31" s="1"/>
  <c r="H23" i="29"/>
  <c r="G22" i="31"/>
  <c r="S22" i="31" s="1"/>
  <c r="Z21" i="31"/>
  <c r="G24" i="23" s="1"/>
  <c r="P24" i="23" s="1"/>
  <c r="Q24" i="23" s="1"/>
  <c r="R24" i="23" s="1"/>
  <c r="G21" i="31"/>
  <c r="S21" i="31" s="1"/>
  <c r="G19" i="31"/>
  <c r="S19" i="31" s="1"/>
  <c r="G20" i="31"/>
  <c r="S20" i="31" s="1"/>
  <c r="Z20" i="31"/>
  <c r="G23" i="23" s="1"/>
  <c r="P23" i="23" s="1"/>
  <c r="Q23" i="23" s="1"/>
  <c r="R23" i="23" s="1"/>
  <c r="G17" i="31"/>
  <c r="S17" i="31" s="1"/>
  <c r="G16" i="31"/>
  <c r="S16" i="31" s="1"/>
  <c r="Z16" i="31"/>
  <c r="G19" i="23" s="1"/>
  <c r="P19" i="23" s="1"/>
  <c r="Q19" i="23" s="1"/>
  <c r="R19" i="23" s="1"/>
  <c r="Z17" i="31"/>
  <c r="G20" i="23" s="1"/>
  <c r="P20" i="23" s="1"/>
  <c r="Q20" i="23" s="1"/>
  <c r="R20" i="23" s="1"/>
  <c r="G18" i="31"/>
  <c r="S18" i="31" s="1"/>
  <c r="G15" i="31"/>
  <c r="S15" i="31" s="1"/>
  <c r="Z15" i="31"/>
  <c r="G18" i="23" s="1"/>
  <c r="P18" i="23" s="1"/>
  <c r="Q18" i="23" s="1"/>
  <c r="R18" i="23" s="1"/>
  <c r="G14" i="31"/>
  <c r="S14" i="31" s="1"/>
  <c r="Z14" i="31"/>
  <c r="G17" i="23" s="1"/>
  <c r="P17" i="23" s="1"/>
  <c r="Q17" i="23" s="1"/>
  <c r="R17" i="23" s="1"/>
  <c r="Z13" i="31"/>
  <c r="G16" i="23" s="1"/>
  <c r="P16" i="23" s="1"/>
  <c r="Q16" i="23" s="1"/>
  <c r="R16" i="23" s="1"/>
  <c r="G13" i="31"/>
  <c r="S13" i="31" s="1"/>
  <c r="Z11" i="31"/>
  <c r="G14" i="23" s="1"/>
  <c r="P14" i="23" s="1"/>
  <c r="Q14" i="23" s="1"/>
  <c r="R14" i="23" s="1"/>
  <c r="G12" i="31"/>
  <c r="S12" i="31" s="1"/>
  <c r="G11" i="31"/>
  <c r="S11" i="31" s="1"/>
  <c r="G10" i="31"/>
  <c r="S10" i="31" s="1"/>
  <c r="Z10" i="31"/>
  <c r="G13" i="23" s="1"/>
  <c r="P13" i="23" s="1"/>
  <c r="Q13" i="23" s="1"/>
  <c r="R13" i="23" s="1"/>
  <c r="Z9" i="31"/>
  <c r="G12" i="23" s="1"/>
  <c r="P12" i="23" s="1"/>
  <c r="Q12" i="23" s="1"/>
  <c r="R12" i="23" s="1"/>
  <c r="Z8" i="31"/>
  <c r="G11" i="23" s="1"/>
  <c r="P11" i="23" s="1"/>
  <c r="Q11" i="23" s="1"/>
  <c r="R11" i="23" s="1"/>
  <c r="AF22" i="110"/>
  <c r="AF89" i="110" s="1"/>
  <c r="T28" i="31"/>
  <c r="T23" i="31"/>
  <c r="T30" i="31"/>
  <c r="B80" i="110" a="1"/>
  <c r="D38" i="30"/>
  <c r="T29" i="31"/>
  <c r="T35" i="31"/>
  <c r="T26" i="31"/>
  <c r="T24" i="31"/>
  <c r="T21" i="31"/>
  <c r="T20" i="31"/>
  <c r="T19" i="31"/>
  <c r="AB18" i="31"/>
  <c r="T22" i="31"/>
  <c r="T8" i="31"/>
  <c r="T36" i="31"/>
  <c r="T34" i="31"/>
  <c r="T27" i="31"/>
  <c r="T25" i="31"/>
  <c r="T14" i="31"/>
  <c r="T18" i="31"/>
  <c r="AF25" i="111"/>
  <c r="T17" i="31"/>
  <c r="AD25" i="111"/>
  <c r="T31" i="31"/>
  <c r="AF36" i="111"/>
  <c r="AF40" i="111"/>
  <c r="AE96" i="111"/>
  <c r="AE21" i="111" s="1"/>
  <c r="AA96" i="111"/>
  <c r="AB96" i="111"/>
  <c r="AC96" i="111"/>
  <c r="AD96" i="111"/>
  <c r="AD21" i="111" s="1"/>
  <c r="AE36" i="111"/>
  <c r="AE40" i="111"/>
  <c r="AE25" i="111"/>
  <c r="AD36" i="111"/>
  <c r="AD40" i="111"/>
  <c r="T33" i="31"/>
  <c r="T32" i="31"/>
  <c r="T16" i="31"/>
  <c r="T15" i="31"/>
  <c r="T13" i="31"/>
  <c r="T12" i="31"/>
  <c r="T11" i="31"/>
  <c r="F7" i="28"/>
  <c r="G7" i="28" s="1"/>
  <c r="T9" i="31"/>
  <c r="T10" i="31"/>
  <c r="E11" i="30"/>
  <c r="F11" i="30" s="1"/>
  <c r="E17" i="30"/>
  <c r="F17" i="30" s="1"/>
  <c r="E23" i="30"/>
  <c r="F23" i="30" s="1"/>
  <c r="E29" i="30"/>
  <c r="F29" i="30" s="1"/>
  <c r="E35" i="30"/>
  <c r="F35" i="30" s="1"/>
  <c r="E19" i="30"/>
  <c r="F19" i="30" s="1"/>
  <c r="E25" i="30"/>
  <c r="F25" i="30" s="1"/>
  <c r="E31" i="30"/>
  <c r="F31" i="30" s="1"/>
  <c r="E8" i="30"/>
  <c r="F8" i="30" s="1"/>
  <c r="E14" i="30"/>
  <c r="F14" i="30" s="1"/>
  <c r="E20" i="30"/>
  <c r="F20" i="30" s="1"/>
  <c r="E26" i="30"/>
  <c r="F26" i="30" s="1"/>
  <c r="E32" i="30"/>
  <c r="F32" i="30" s="1"/>
  <c r="E9" i="30"/>
  <c r="F9" i="30" s="1"/>
  <c r="E15" i="30"/>
  <c r="F15" i="30" s="1"/>
  <c r="E21" i="30"/>
  <c r="F21" i="30" s="1"/>
  <c r="E27" i="30"/>
  <c r="F27" i="30" s="1"/>
  <c r="E33" i="30"/>
  <c r="F33" i="30" s="1"/>
  <c r="E10" i="30"/>
  <c r="F10" i="30" s="1"/>
  <c r="E16" i="30"/>
  <c r="F16" i="30" s="1"/>
  <c r="E22" i="30"/>
  <c r="F22" i="30" s="1"/>
  <c r="E28" i="30"/>
  <c r="F28" i="30" s="1"/>
  <c r="E34" i="30"/>
  <c r="F34" i="30" s="1"/>
  <c r="E12" i="30"/>
  <c r="F12" i="30" s="1"/>
  <c r="E18" i="30"/>
  <c r="F18" i="30" s="1"/>
  <c r="E24" i="30"/>
  <c r="F24" i="30" s="1"/>
  <c r="E30" i="30"/>
  <c r="F30" i="30" s="1"/>
  <c r="E36" i="30"/>
  <c r="F36" i="30" s="1"/>
  <c r="E13" i="30"/>
  <c r="F13" i="30" s="1"/>
  <c r="M36" i="29"/>
  <c r="M35" i="29"/>
  <c r="AB36" i="31"/>
  <c r="AB23" i="31" l="1"/>
  <c r="AF32" i="110"/>
  <c r="AB26" i="31"/>
  <c r="AF93" i="110"/>
  <c r="T93" i="110"/>
  <c r="AB25" i="31"/>
  <c r="AB30" i="31"/>
  <c r="AB21" i="31"/>
  <c r="AB34" i="31"/>
  <c r="AB31" i="31"/>
  <c r="AD29" i="111" s="1"/>
  <c r="AD42" i="111" s="1"/>
  <c r="AB15" i="31"/>
  <c r="AB14" i="31"/>
  <c r="AB27" i="31"/>
  <c r="AB17" i="31"/>
  <c r="AB22" i="31"/>
  <c r="AB24" i="31"/>
  <c r="AF115" i="110"/>
  <c r="W93" i="110"/>
  <c r="AB8" i="31"/>
  <c r="F38" i="28"/>
  <c r="G38" i="28" s="1"/>
  <c r="AB9" i="31"/>
  <c r="AB19" i="31"/>
  <c r="AB10" i="31"/>
  <c r="AB16" i="31"/>
  <c r="G32" i="23"/>
  <c r="P32" i="23" s="1"/>
  <c r="Q32" i="23" s="1"/>
  <c r="R32" i="23" s="1"/>
  <c r="AB28" i="31"/>
  <c r="AB12" i="31"/>
  <c r="AB33" i="31"/>
  <c r="AF29" i="111" s="1"/>
  <c r="AF42" i="111" s="1"/>
  <c r="AB11" i="31"/>
  <c r="AB13" i="31"/>
  <c r="AB20" i="31"/>
  <c r="P35" i="23"/>
  <c r="Q35" i="23" s="1"/>
  <c r="R35" i="23" s="1"/>
  <c r="AB32" i="31"/>
  <c r="AE29" i="111" s="1"/>
  <c r="AE42" i="111" s="1"/>
  <c r="AB35" i="31"/>
  <c r="AF37" i="110"/>
  <c r="B80" i="110"/>
  <c r="B93" i="110" s="1"/>
  <c r="V93" i="110"/>
  <c r="D91" i="110"/>
  <c r="B7" i="28"/>
  <c r="B36" i="113"/>
  <c r="B7" i="29"/>
  <c r="D44" i="110"/>
  <c r="E44" i="110"/>
  <c r="F44" i="110"/>
  <c r="Y7" i="31"/>
  <c r="X7" i="31"/>
  <c r="W7" i="31"/>
  <c r="V7" i="31"/>
  <c r="V38" i="31" s="1"/>
  <c r="L7" i="31"/>
  <c r="N7" i="109"/>
  <c r="N8" i="109"/>
  <c r="N9" i="109"/>
  <c r="N10" i="109"/>
  <c r="N11" i="109"/>
  <c r="N12" i="109"/>
  <c r="N13" i="109"/>
  <c r="N14" i="109"/>
  <c r="N15" i="109"/>
  <c r="N16" i="109"/>
  <c r="N17" i="109"/>
  <c r="N18" i="109"/>
  <c r="N19" i="109"/>
  <c r="P7" i="31"/>
  <c r="B43" i="110" s="1" a="1"/>
  <c r="J10" i="23"/>
  <c r="J43" i="23" s="1"/>
  <c r="H8" i="109"/>
  <c r="H9" i="109"/>
  <c r="H10" i="109"/>
  <c r="H11" i="109"/>
  <c r="H12" i="109"/>
  <c r="H13" i="109"/>
  <c r="H14" i="109"/>
  <c r="H15" i="109"/>
  <c r="H16" i="109"/>
  <c r="H17" i="109"/>
  <c r="H18" i="109"/>
  <c r="H19" i="109"/>
  <c r="H20" i="109"/>
  <c r="H21" i="109"/>
  <c r="H22" i="109"/>
  <c r="H23" i="109"/>
  <c r="H24" i="109"/>
  <c r="H25" i="109"/>
  <c r="H26" i="109"/>
  <c r="H27" i="109"/>
  <c r="H28" i="109"/>
  <c r="H29" i="109"/>
  <c r="H30" i="109"/>
  <c r="H31" i="109"/>
  <c r="H32" i="109"/>
  <c r="H33" i="109"/>
  <c r="H34" i="109"/>
  <c r="H35" i="109"/>
  <c r="H7" i="109"/>
  <c r="D35" i="109"/>
  <c r="F35" i="109"/>
  <c r="P38" i="109"/>
  <c r="Q38" i="109"/>
  <c r="F8" i="109"/>
  <c r="F9" i="109"/>
  <c r="F10" i="109"/>
  <c r="F11" i="109"/>
  <c r="F12" i="109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7" i="109"/>
  <c r="B35" i="109"/>
  <c r="B8" i="109"/>
  <c r="B9" i="109"/>
  <c r="B10" i="109"/>
  <c r="B11" i="109"/>
  <c r="B12" i="109"/>
  <c r="B13" i="109"/>
  <c r="B14" i="109"/>
  <c r="B15" i="109"/>
  <c r="B16" i="109"/>
  <c r="B17" i="109"/>
  <c r="B18" i="109"/>
  <c r="B19" i="109"/>
  <c r="B20" i="109"/>
  <c r="B21" i="109"/>
  <c r="B22" i="109"/>
  <c r="B23" i="109"/>
  <c r="B24" i="109"/>
  <c r="B25" i="109"/>
  <c r="B26" i="109"/>
  <c r="B27" i="109"/>
  <c r="B28" i="109"/>
  <c r="B29" i="109"/>
  <c r="B30" i="109"/>
  <c r="B31" i="109"/>
  <c r="B32" i="109"/>
  <c r="B33" i="109"/>
  <c r="B34" i="109"/>
  <c r="AH80" i="110" l="1"/>
  <c r="AH93" i="110" s="1"/>
  <c r="AK93" i="110" s="1"/>
  <c r="B38" i="29"/>
  <c r="B39" i="29"/>
  <c r="AF61" i="110"/>
  <c r="AF69" i="110" s="1"/>
  <c r="B76" i="110" a="1"/>
  <c r="P92" i="110" s="1"/>
  <c r="C17" i="109"/>
  <c r="C31" i="109"/>
  <c r="C15" i="109"/>
  <c r="B38" i="28"/>
  <c r="AF50" i="110"/>
  <c r="C34" i="109"/>
  <c r="C32" i="109"/>
  <c r="B43" i="110"/>
  <c r="AH43" i="110" s="1"/>
  <c r="C24" i="109"/>
  <c r="C23" i="109"/>
  <c r="C20" i="109"/>
  <c r="C19" i="109"/>
  <c r="C18" i="109"/>
  <c r="C29" i="109"/>
  <c r="C21" i="109"/>
  <c r="C28" i="109"/>
  <c r="C33" i="109"/>
  <c r="C13" i="109"/>
  <c r="C30" i="109"/>
  <c r="C10" i="109"/>
  <c r="C27" i="109"/>
  <c r="C26" i="109"/>
  <c r="C25" i="109"/>
  <c r="C16" i="109"/>
  <c r="C12" i="109"/>
  <c r="AB80" i="111"/>
  <c r="AB74" i="111"/>
  <c r="AB82" i="111"/>
  <c r="C11" i="109"/>
  <c r="C9" i="109"/>
  <c r="C22" i="109"/>
  <c r="G9" i="109"/>
  <c r="C14" i="109"/>
  <c r="C8" i="109"/>
  <c r="P38" i="31"/>
  <c r="C39" i="32"/>
  <c r="AF68" i="110" l="1"/>
  <c r="V92" i="110"/>
  <c r="AF92" i="110"/>
  <c r="S92" i="110"/>
  <c r="B76" i="110"/>
  <c r="AH76" i="110" s="1"/>
  <c r="AH92" i="110" s="1"/>
  <c r="O92" i="110"/>
  <c r="T49" i="111"/>
  <c r="Y49" i="111"/>
  <c r="AF49" i="111"/>
  <c r="V49" i="111"/>
  <c r="AB49" i="111"/>
  <c r="AB81" i="111" s="1"/>
  <c r="X49" i="111"/>
  <c r="AD92" i="110"/>
  <c r="U49" i="111"/>
  <c r="AE49" i="111"/>
  <c r="Z49" i="111"/>
  <c r="AA49" i="111"/>
  <c r="W49" i="111"/>
  <c r="AC49" i="111"/>
  <c r="D9" i="109"/>
  <c r="R7" i="31"/>
  <c r="M11" i="109"/>
  <c r="AJ92" i="110" l="1"/>
  <c r="B23" i="111"/>
  <c r="B24" i="111"/>
  <c r="B29" i="110"/>
  <c r="B25" i="111" l="1"/>
  <c r="AD49" i="111"/>
  <c r="U95" i="111" l="1"/>
  <c r="V95" i="111"/>
  <c r="W94" i="111"/>
  <c r="X94" i="111"/>
  <c r="Y94" i="111"/>
  <c r="Z94" i="111"/>
  <c r="U94" i="111"/>
  <c r="V94" i="111"/>
  <c r="AK92" i="110" l="1"/>
  <c r="AK90" i="110" l="1"/>
  <c r="L20" i="110"/>
  <c r="E7" i="30" l="1"/>
  <c r="E38" i="30" s="1"/>
  <c r="F38" i="30" s="1"/>
  <c r="AC91" i="110"/>
  <c r="F7" i="30" l="1"/>
  <c r="G91" i="110"/>
  <c r="AK91" i="110" l="1"/>
  <c r="AJ91" i="110"/>
  <c r="T91" i="110"/>
  <c r="V91" i="110" l="1"/>
  <c r="U91" i="110" l="1"/>
  <c r="K91" i="110" l="1"/>
  <c r="L91" i="110" l="1"/>
  <c r="L56" i="110"/>
  <c r="G93" i="111"/>
  <c r="I56" i="110"/>
  <c r="C56" i="110"/>
  <c r="J92" i="110"/>
  <c r="O91" i="110"/>
  <c r="S56" i="110"/>
  <c r="AA92" i="110"/>
  <c r="X95" i="111"/>
  <c r="W92" i="110"/>
  <c r="P93" i="111"/>
  <c r="P95" i="111"/>
  <c r="C39" i="110"/>
  <c r="F39" i="110"/>
  <c r="F57" i="110" s="1"/>
  <c r="E31" i="111"/>
  <c r="F31" i="111"/>
  <c r="M91" i="110"/>
  <c r="AB56" i="110"/>
  <c r="J91" i="110"/>
  <c r="AC23" i="111"/>
  <c r="C84" i="110"/>
  <c r="D84" i="110"/>
  <c r="E84" i="110"/>
  <c r="F84" i="110"/>
  <c r="G84" i="110"/>
  <c r="H84" i="110"/>
  <c r="I84" i="110"/>
  <c r="J84" i="110"/>
  <c r="K84" i="110"/>
  <c r="L84" i="110"/>
  <c r="M84" i="110"/>
  <c r="N84" i="110"/>
  <c r="O84" i="110"/>
  <c r="P84" i="110"/>
  <c r="Q84" i="110"/>
  <c r="R84" i="110"/>
  <c r="S84" i="110"/>
  <c r="T84" i="110"/>
  <c r="U84" i="110"/>
  <c r="V84" i="110"/>
  <c r="W84" i="110"/>
  <c r="X84" i="110"/>
  <c r="Y84" i="110"/>
  <c r="Z84" i="110"/>
  <c r="AA84" i="110"/>
  <c r="AB84" i="110"/>
  <c r="AC84" i="110"/>
  <c r="AD84" i="110"/>
  <c r="AD91" i="110"/>
  <c r="AH78" i="110"/>
  <c r="AC92" i="110"/>
  <c r="AB91" i="110"/>
  <c r="AB92" i="110"/>
  <c r="AI69" i="110"/>
  <c r="AJ67" i="110"/>
  <c r="AJ66" i="110"/>
  <c r="AD56" i="110"/>
  <c r="AC56" i="110"/>
  <c r="W56" i="110"/>
  <c r="F24" i="111"/>
  <c r="G29" i="110"/>
  <c r="H29" i="110"/>
  <c r="K24" i="111"/>
  <c r="AF10" i="111"/>
  <c r="AF8" i="111"/>
  <c r="AG8" i="111" s="1"/>
  <c r="O7" i="31"/>
  <c r="D42" i="110"/>
  <c r="Z79" i="110"/>
  <c r="Y79" i="110"/>
  <c r="G27" i="109"/>
  <c r="D27" i="109" s="1"/>
  <c r="AC79" i="110"/>
  <c r="AB79" i="110"/>
  <c r="AA79" i="110"/>
  <c r="X79" i="110"/>
  <c r="W79" i="110"/>
  <c r="V79" i="110"/>
  <c r="U79" i="110"/>
  <c r="T79" i="110"/>
  <c r="S79" i="110"/>
  <c r="R47" i="111"/>
  <c r="R79" i="110" s="1"/>
  <c r="Q47" i="111"/>
  <c r="Q79" i="110" s="1"/>
  <c r="P47" i="111"/>
  <c r="P79" i="110" s="1"/>
  <c r="O47" i="111"/>
  <c r="O79" i="110" s="1"/>
  <c r="N47" i="111"/>
  <c r="M47" i="111"/>
  <c r="M79" i="110" s="1"/>
  <c r="L47" i="111"/>
  <c r="K47" i="111"/>
  <c r="K79" i="110" s="1"/>
  <c r="J47" i="111"/>
  <c r="J79" i="110" s="1"/>
  <c r="I47" i="111"/>
  <c r="I79" i="110" s="1"/>
  <c r="H47" i="111"/>
  <c r="H79" i="110" s="1"/>
  <c r="G47" i="111"/>
  <c r="G79" i="110" s="1"/>
  <c r="F47" i="111"/>
  <c r="F79" i="110" s="1"/>
  <c r="E47" i="111"/>
  <c r="E79" i="110" s="1"/>
  <c r="D47" i="111"/>
  <c r="D79" i="110" s="1"/>
  <c r="C47" i="111"/>
  <c r="C79" i="110" s="1"/>
  <c r="B47" i="111"/>
  <c r="S74" i="111"/>
  <c r="F7" i="31"/>
  <c r="F38" i="31" s="1"/>
  <c r="C71" i="110"/>
  <c r="D96" i="111"/>
  <c r="E96" i="111"/>
  <c r="G96" i="111"/>
  <c r="J71" i="110"/>
  <c r="K71" i="110"/>
  <c r="L71" i="110"/>
  <c r="M71" i="110"/>
  <c r="N96" i="111"/>
  <c r="O71" i="110"/>
  <c r="P71" i="110"/>
  <c r="Q71" i="110"/>
  <c r="S71" i="110"/>
  <c r="T71" i="110"/>
  <c r="U71" i="110"/>
  <c r="Z71" i="110"/>
  <c r="AF96" i="111"/>
  <c r="AF21" i="111" s="1"/>
  <c r="I24" i="111"/>
  <c r="AB37" i="111"/>
  <c r="AB73" i="111" s="1"/>
  <c r="AD45" i="110"/>
  <c r="AD31" i="110" s="1"/>
  <c r="AA37" i="111"/>
  <c r="G40" i="110"/>
  <c r="G36" i="111"/>
  <c r="AG27" i="111"/>
  <c r="Y99" i="110"/>
  <c r="X99" i="110"/>
  <c r="S93" i="111"/>
  <c r="R93" i="111"/>
  <c r="R28" i="111"/>
  <c r="Q95" i="111"/>
  <c r="K93" i="111"/>
  <c r="J95" i="111"/>
  <c r="E95" i="111"/>
  <c r="L115" i="110"/>
  <c r="M115" i="110"/>
  <c r="N115" i="110"/>
  <c r="O52" i="111"/>
  <c r="R115" i="110"/>
  <c r="W115" i="110"/>
  <c r="X115" i="110"/>
  <c r="AA115" i="110"/>
  <c r="C116" i="110"/>
  <c r="E52" i="111"/>
  <c r="E101" i="111" s="1"/>
  <c r="F52" i="111"/>
  <c r="G52" i="111"/>
  <c r="G101" i="111" s="1"/>
  <c r="H52" i="111"/>
  <c r="H101" i="111" s="1"/>
  <c r="J115" i="110"/>
  <c r="K52" i="111"/>
  <c r="K101" i="111" s="1"/>
  <c r="AF94" i="111"/>
  <c r="Z105" i="110"/>
  <c r="Y105" i="110"/>
  <c r="AA105" i="110"/>
  <c r="AB105" i="110"/>
  <c r="AC105" i="110"/>
  <c r="AD105" i="110"/>
  <c r="AE105" i="110"/>
  <c r="D13" i="29"/>
  <c r="K13" i="29" s="1"/>
  <c r="M13" i="29" s="1"/>
  <c r="D12" i="29"/>
  <c r="K12" i="29" s="1"/>
  <c r="M12" i="29" s="1"/>
  <c r="R44" i="110"/>
  <c r="R62" i="110" s="1"/>
  <c r="R35" i="111"/>
  <c r="R37" i="110"/>
  <c r="R46" i="110"/>
  <c r="R65" i="110" s="1"/>
  <c r="O34" i="111"/>
  <c r="R40" i="111"/>
  <c r="S44" i="110"/>
  <c r="S45" i="110"/>
  <c r="S31" i="110" s="1"/>
  <c r="S35" i="111"/>
  <c r="S37" i="110"/>
  <c r="T29" i="111"/>
  <c r="U29" i="111"/>
  <c r="V37" i="110"/>
  <c r="S46" i="110"/>
  <c r="F20" i="110"/>
  <c r="F23" i="111"/>
  <c r="F36" i="110"/>
  <c r="G29" i="111"/>
  <c r="F32" i="111"/>
  <c r="F33" i="111"/>
  <c r="G41" i="110"/>
  <c r="G59" i="110" s="1"/>
  <c r="H33" i="111"/>
  <c r="F42" i="110"/>
  <c r="F35" i="111"/>
  <c r="F36" i="111"/>
  <c r="H45" i="110"/>
  <c r="H31" i="110" s="1"/>
  <c r="F39" i="111"/>
  <c r="F49" i="111"/>
  <c r="AA29" i="110"/>
  <c r="L45" i="110"/>
  <c r="O86" i="111"/>
  <c r="O70" i="111" s="1"/>
  <c r="P86" i="111"/>
  <c r="P70" i="111" s="1"/>
  <c r="Q86" i="111"/>
  <c r="Q70" i="111" s="1"/>
  <c r="R86" i="111"/>
  <c r="R70" i="111" s="1"/>
  <c r="S86" i="111"/>
  <c r="S70" i="111" s="1"/>
  <c r="O89" i="111"/>
  <c r="P89" i="111"/>
  <c r="R89" i="111"/>
  <c r="S89" i="111"/>
  <c r="O93" i="111"/>
  <c r="Q93" i="111"/>
  <c r="O94" i="111"/>
  <c r="P94" i="111"/>
  <c r="Q94" i="111"/>
  <c r="R94" i="111"/>
  <c r="S94" i="111"/>
  <c r="O95" i="111"/>
  <c r="R95" i="111"/>
  <c r="S95" i="111"/>
  <c r="N93" i="111"/>
  <c r="N86" i="111"/>
  <c r="N70" i="111" s="1"/>
  <c r="N87" i="111"/>
  <c r="N89" i="111" s="1"/>
  <c r="N90" i="111"/>
  <c r="N94" i="111"/>
  <c r="N95" i="111"/>
  <c r="Z35" i="111"/>
  <c r="U93" i="111"/>
  <c r="O28" i="111"/>
  <c r="Q29" i="110"/>
  <c r="Q36" i="110"/>
  <c r="R29" i="110"/>
  <c r="S29" i="110"/>
  <c r="T24" i="111"/>
  <c r="U24" i="111"/>
  <c r="V29" i="110"/>
  <c r="X24" i="111"/>
  <c r="Y29" i="110"/>
  <c r="Z24" i="111"/>
  <c r="Z36" i="110"/>
  <c r="AB24" i="111"/>
  <c r="AC29" i="110"/>
  <c r="AD29" i="110"/>
  <c r="AE29" i="110"/>
  <c r="O16" i="111"/>
  <c r="P20" i="110"/>
  <c r="Q20" i="110"/>
  <c r="R20" i="110"/>
  <c r="S16" i="111"/>
  <c r="X20" i="110"/>
  <c r="T20" i="110"/>
  <c r="U16" i="111"/>
  <c r="V20" i="110"/>
  <c r="W16" i="111"/>
  <c r="Y16" i="111"/>
  <c r="Z19" i="110"/>
  <c r="Z20" i="110"/>
  <c r="AA15" i="111"/>
  <c r="AB20" i="110"/>
  <c r="AC20" i="110"/>
  <c r="AD20" i="110"/>
  <c r="AD21" i="110"/>
  <c r="AE19" i="110"/>
  <c r="AE21" i="110"/>
  <c r="M93" i="111"/>
  <c r="P28" i="111"/>
  <c r="P45" i="110"/>
  <c r="R45" i="110"/>
  <c r="U28" i="111"/>
  <c r="U37" i="111"/>
  <c r="V36" i="110"/>
  <c r="V30" i="110" s="1"/>
  <c r="W28" i="111"/>
  <c r="X28" i="111"/>
  <c r="Y36" i="110"/>
  <c r="Y15" i="110" s="1"/>
  <c r="Y37" i="111"/>
  <c r="AA36" i="110"/>
  <c r="AA15" i="110" s="1"/>
  <c r="AB28" i="111"/>
  <c r="AE36" i="110"/>
  <c r="AE54" i="110" s="1"/>
  <c r="AH59" i="111"/>
  <c r="AH81" i="111"/>
  <c r="AH80" i="111"/>
  <c r="AH82" i="111"/>
  <c r="AH84" i="111"/>
  <c r="C49" i="111"/>
  <c r="D49" i="111"/>
  <c r="E49" i="111"/>
  <c r="C41" i="110"/>
  <c r="B49" i="111"/>
  <c r="G28" i="111"/>
  <c r="AC61" i="110"/>
  <c r="T42" i="110"/>
  <c r="T60" i="110" s="1"/>
  <c r="T41" i="110"/>
  <c r="T59" i="110" s="1"/>
  <c r="T44" i="110"/>
  <c r="T40" i="110"/>
  <c r="U34" i="111"/>
  <c r="V34" i="111"/>
  <c r="W42" i="110"/>
  <c r="W60" i="110" s="1"/>
  <c r="Y34" i="111"/>
  <c r="Z34" i="111"/>
  <c r="AA42" i="110"/>
  <c r="AA60" i="110" s="1"/>
  <c r="AB42" i="110"/>
  <c r="AB60" i="110" s="1"/>
  <c r="D28" i="110"/>
  <c r="D28" i="111"/>
  <c r="D45" i="110"/>
  <c r="D31" i="110" s="1"/>
  <c r="H44" i="110"/>
  <c r="H62" i="110" s="1"/>
  <c r="AH73" i="110"/>
  <c r="D95" i="111"/>
  <c r="F95" i="111"/>
  <c r="G95" i="111"/>
  <c r="H95" i="111"/>
  <c r="I95" i="111"/>
  <c r="K95" i="111"/>
  <c r="L95" i="111"/>
  <c r="M95" i="111"/>
  <c r="T95" i="111"/>
  <c r="W95" i="111"/>
  <c r="Y95" i="111"/>
  <c r="Z95" i="111"/>
  <c r="AF95" i="111"/>
  <c r="B95" i="111"/>
  <c r="C94" i="111"/>
  <c r="D94" i="111"/>
  <c r="E94" i="111"/>
  <c r="F94" i="111"/>
  <c r="G94" i="111"/>
  <c r="H94" i="111"/>
  <c r="I94" i="111"/>
  <c r="J94" i="111"/>
  <c r="K94" i="111"/>
  <c r="L94" i="111"/>
  <c r="M94" i="111"/>
  <c r="T94" i="111"/>
  <c r="B94" i="111"/>
  <c r="C28" i="111"/>
  <c r="E93" i="111"/>
  <c r="H93" i="111"/>
  <c r="I93" i="111"/>
  <c r="J37" i="110"/>
  <c r="J39" i="110"/>
  <c r="J32" i="111"/>
  <c r="J44" i="110"/>
  <c r="K34" i="111"/>
  <c r="J86" i="111"/>
  <c r="J70" i="111" s="1"/>
  <c r="J35" i="111"/>
  <c r="M35" i="111"/>
  <c r="N35" i="111"/>
  <c r="O35" i="111"/>
  <c r="P35" i="111"/>
  <c r="Q35" i="111"/>
  <c r="T35" i="111"/>
  <c r="U35" i="111"/>
  <c r="X35" i="111"/>
  <c r="Y35" i="111"/>
  <c r="V35" i="111"/>
  <c r="J46" i="110"/>
  <c r="J65" i="110" s="1"/>
  <c r="I39" i="111"/>
  <c r="K46" i="110"/>
  <c r="K65" i="110" s="1"/>
  <c r="L46" i="110"/>
  <c r="L65" i="110" s="1"/>
  <c r="N46" i="110"/>
  <c r="N65" i="110" s="1"/>
  <c r="K37" i="110"/>
  <c r="K40" i="110"/>
  <c r="K33" i="111"/>
  <c r="K86" i="111"/>
  <c r="K70" i="111" s="1"/>
  <c r="K35" i="111"/>
  <c r="B35" i="111"/>
  <c r="C35" i="111"/>
  <c r="D35" i="111"/>
  <c r="E35" i="111"/>
  <c r="G35" i="111"/>
  <c r="H35" i="111"/>
  <c r="I35" i="111"/>
  <c r="L35" i="111"/>
  <c r="W35" i="111"/>
  <c r="AA35" i="111"/>
  <c r="AB35" i="111"/>
  <c r="AB71" i="111" s="1"/>
  <c r="AC35" i="111"/>
  <c r="L93" i="111"/>
  <c r="T93" i="111"/>
  <c r="V93" i="111"/>
  <c r="W93" i="111"/>
  <c r="X93" i="111"/>
  <c r="Y93" i="111"/>
  <c r="Z93" i="111"/>
  <c r="AF93" i="111"/>
  <c r="AF63" i="111" s="1"/>
  <c r="B93" i="111"/>
  <c r="C23" i="111"/>
  <c r="H28" i="110"/>
  <c r="I37" i="111"/>
  <c r="J23" i="111"/>
  <c r="J24" i="111"/>
  <c r="A31" i="110"/>
  <c r="A30" i="110"/>
  <c r="AH49" i="110"/>
  <c r="H10" i="23"/>
  <c r="H43" i="23" s="1"/>
  <c r="D24" i="29"/>
  <c r="K24" i="29" s="1"/>
  <c r="D19" i="29"/>
  <c r="K19" i="29" s="1"/>
  <c r="D20" i="29"/>
  <c r="K20" i="29" s="1"/>
  <c r="M20" i="29" s="1"/>
  <c r="D18" i="29"/>
  <c r="K18" i="29" s="1"/>
  <c r="D21" i="29"/>
  <c r="K21" i="29" s="1"/>
  <c r="D22" i="29"/>
  <c r="K22" i="29" s="1"/>
  <c r="Q83" i="110" s="1"/>
  <c r="D23" i="29"/>
  <c r="K23" i="29" s="1"/>
  <c r="D25" i="29"/>
  <c r="K25" i="29" s="1"/>
  <c r="D26" i="29"/>
  <c r="K26" i="29" s="1"/>
  <c r="D27" i="29"/>
  <c r="K27" i="29" s="1"/>
  <c r="M27" i="29" s="1"/>
  <c r="D28" i="29"/>
  <c r="K28" i="29" s="1"/>
  <c r="D29" i="29"/>
  <c r="K29" i="29" s="1"/>
  <c r="D30" i="29"/>
  <c r="K30" i="29" s="1"/>
  <c r="M30" i="29" s="1"/>
  <c r="D31" i="29"/>
  <c r="K31" i="29" s="1"/>
  <c r="M31" i="29" s="1"/>
  <c r="D32" i="29"/>
  <c r="K32" i="29" s="1"/>
  <c r="M32" i="29" s="1"/>
  <c r="D33" i="29"/>
  <c r="K33" i="29" s="1"/>
  <c r="M33" i="29" s="1"/>
  <c r="D34" i="29"/>
  <c r="K34" i="29" s="1"/>
  <c r="M34" i="29" s="1"/>
  <c r="AF83" i="110"/>
  <c r="AF95" i="110" s="1"/>
  <c r="M86" i="111"/>
  <c r="M70" i="111" s="1"/>
  <c r="AJ33" i="111"/>
  <c r="U102" i="110"/>
  <c r="U104" i="110" s="1"/>
  <c r="P39" i="110"/>
  <c r="P57" i="110" s="1"/>
  <c r="C29" i="111"/>
  <c r="C36" i="111"/>
  <c r="C45" i="110"/>
  <c r="C31" i="110" s="1"/>
  <c r="C39" i="111"/>
  <c r="D39" i="111"/>
  <c r="B46" i="110"/>
  <c r="G46" i="110"/>
  <c r="G65" i="110" s="1"/>
  <c r="H39" i="111"/>
  <c r="O46" i="110"/>
  <c r="P39" i="111"/>
  <c r="Q39" i="111"/>
  <c r="T46" i="110"/>
  <c r="U46" i="110"/>
  <c r="U65" i="110" s="1"/>
  <c r="V46" i="110"/>
  <c r="V65" i="110" s="1"/>
  <c r="W46" i="110"/>
  <c r="W65" i="110" s="1"/>
  <c r="X39" i="111"/>
  <c r="AA39" i="111"/>
  <c r="AB39" i="111"/>
  <c r="AB75" i="111" s="1"/>
  <c r="AC39" i="111"/>
  <c r="E37" i="110"/>
  <c r="I29" i="111"/>
  <c r="I31" i="111"/>
  <c r="L42" i="110"/>
  <c r="L60" i="110" s="1"/>
  <c r="M42" i="110"/>
  <c r="M60" i="110" s="1"/>
  <c r="I36" i="111"/>
  <c r="I47" i="110"/>
  <c r="L29" i="111"/>
  <c r="O29" i="111"/>
  <c r="Z37" i="110"/>
  <c r="AA37" i="110"/>
  <c r="AB37" i="110"/>
  <c r="P40" i="110"/>
  <c r="P41" i="110"/>
  <c r="P59" i="110" s="1"/>
  <c r="N7" i="31"/>
  <c r="B41" i="110" s="1"/>
  <c r="E41" i="110"/>
  <c r="M33" i="111"/>
  <c r="N33" i="111"/>
  <c r="O41" i="110"/>
  <c r="Q42" i="110"/>
  <c r="Q60" i="110" s="1"/>
  <c r="Q40" i="111"/>
  <c r="R41" i="110"/>
  <c r="R59" i="110" s="1"/>
  <c r="R39" i="110"/>
  <c r="R57" i="110" s="1"/>
  <c r="R40" i="110"/>
  <c r="R42" i="110"/>
  <c r="R60" i="110" s="1"/>
  <c r="R61" i="110"/>
  <c r="S41" i="110"/>
  <c r="S59" i="110" s="1"/>
  <c r="U41" i="110"/>
  <c r="U59" i="110" s="1"/>
  <c r="S39" i="110"/>
  <c r="S57" i="110" s="1"/>
  <c r="S40" i="110"/>
  <c r="S42" i="110"/>
  <c r="S60" i="110" s="1"/>
  <c r="S61" i="110"/>
  <c r="S40" i="111"/>
  <c r="V33" i="111"/>
  <c r="X41" i="110"/>
  <c r="X59" i="110" s="1"/>
  <c r="Z41" i="110"/>
  <c r="Z59" i="110" s="1"/>
  <c r="AA41" i="110"/>
  <c r="AA59" i="110" s="1"/>
  <c r="AC39" i="110"/>
  <c r="AC57" i="110" s="1"/>
  <c r="AC32" i="111"/>
  <c r="AC42" i="110"/>
  <c r="AC60" i="110" s="1"/>
  <c r="AC40" i="111"/>
  <c r="P61" i="110"/>
  <c r="P36" i="111"/>
  <c r="P40" i="111"/>
  <c r="AD42" i="110"/>
  <c r="AD60" i="110" s="1"/>
  <c r="AD44" i="110"/>
  <c r="AD62" i="110" s="1"/>
  <c r="Z86" i="111"/>
  <c r="Z70" i="111" s="1"/>
  <c r="Y86" i="111"/>
  <c r="Y70" i="111" s="1"/>
  <c r="X86" i="111"/>
  <c r="X70" i="111" s="1"/>
  <c r="W86" i="111"/>
  <c r="W70" i="111" s="1"/>
  <c r="V86" i="111"/>
  <c r="V70" i="111" s="1"/>
  <c r="U86" i="111"/>
  <c r="U70" i="111" s="1"/>
  <c r="T86" i="111"/>
  <c r="T70" i="111" s="1"/>
  <c r="L86" i="111"/>
  <c r="L70" i="111" s="1"/>
  <c r="I86" i="111"/>
  <c r="I70" i="111" s="1"/>
  <c r="H86" i="111"/>
  <c r="H70" i="111" s="1"/>
  <c r="G86" i="111"/>
  <c r="G70" i="111" s="1"/>
  <c r="F86" i="111"/>
  <c r="F70" i="111" s="1"/>
  <c r="E86" i="111"/>
  <c r="E70" i="111" s="1"/>
  <c r="B86" i="111"/>
  <c r="C86" i="111"/>
  <c r="C70" i="111" s="1"/>
  <c r="AG97" i="111"/>
  <c r="AC90" i="111"/>
  <c r="AB90" i="111"/>
  <c r="G90" i="111"/>
  <c r="H90" i="111"/>
  <c r="I90" i="111"/>
  <c r="J90" i="111"/>
  <c r="K90" i="111"/>
  <c r="L90" i="111"/>
  <c r="M90" i="111"/>
  <c r="T90" i="111"/>
  <c r="U90" i="111"/>
  <c r="V90" i="111"/>
  <c r="W90" i="111"/>
  <c r="X90" i="111"/>
  <c r="AG88" i="111"/>
  <c r="AC87" i="111"/>
  <c r="AC89" i="111" s="1"/>
  <c r="AB87" i="111"/>
  <c r="AB89" i="111" s="1"/>
  <c r="AA87" i="111"/>
  <c r="AA89" i="111" s="1"/>
  <c r="Z87" i="111"/>
  <c r="Z89" i="111" s="1"/>
  <c r="Y87" i="111"/>
  <c r="Y89" i="111" s="1"/>
  <c r="X87" i="111"/>
  <c r="X89" i="111" s="1"/>
  <c r="W87" i="111"/>
  <c r="W89" i="111" s="1"/>
  <c r="V87" i="111"/>
  <c r="V89" i="111" s="1"/>
  <c r="U87" i="111"/>
  <c r="U89" i="111" s="1"/>
  <c r="T87" i="111"/>
  <c r="T89" i="111" s="1"/>
  <c r="M87" i="111"/>
  <c r="M89" i="111" s="1"/>
  <c r="L87" i="111"/>
  <c r="L89" i="111" s="1"/>
  <c r="K87" i="111"/>
  <c r="K89" i="111" s="1"/>
  <c r="J87" i="111"/>
  <c r="J89" i="111" s="1"/>
  <c r="I87" i="111"/>
  <c r="I89" i="111" s="1"/>
  <c r="H87" i="111"/>
  <c r="H89" i="111" s="1"/>
  <c r="G87" i="111"/>
  <c r="F89" i="111"/>
  <c r="E89" i="111"/>
  <c r="D89" i="111"/>
  <c r="C89" i="111"/>
  <c r="B89" i="111"/>
  <c r="AH79" i="111"/>
  <c r="AH78" i="111"/>
  <c r="AH83" i="111" s="1"/>
  <c r="AI83" i="111" s="1"/>
  <c r="AI77" i="111"/>
  <c r="AI76" i="111"/>
  <c r="O42" i="110"/>
  <c r="J47" i="110"/>
  <c r="F61" i="110"/>
  <c r="AI65" i="111"/>
  <c r="H40" i="111"/>
  <c r="AG38" i="111"/>
  <c r="H31" i="111"/>
  <c r="H32" i="111"/>
  <c r="AG20" i="111"/>
  <c r="N29" i="110"/>
  <c r="AD28" i="110"/>
  <c r="M7" i="31"/>
  <c r="M38" i="31" s="1"/>
  <c r="L49" i="111"/>
  <c r="K49" i="111"/>
  <c r="N49" i="111"/>
  <c r="O49" i="111"/>
  <c r="G49" i="111"/>
  <c r="H49" i="111"/>
  <c r="J49" i="111"/>
  <c r="R49" i="111"/>
  <c r="S49" i="111"/>
  <c r="T102" i="110"/>
  <c r="T104" i="110" s="1"/>
  <c r="M102" i="110"/>
  <c r="M104" i="110" s="1"/>
  <c r="F102" i="110"/>
  <c r="F104" i="110" s="1"/>
  <c r="E102" i="110"/>
  <c r="E104" i="110" s="1"/>
  <c r="D102" i="110"/>
  <c r="D104" i="110" s="1"/>
  <c r="C102" i="110"/>
  <c r="C104" i="110" s="1"/>
  <c r="B105" i="110"/>
  <c r="C105" i="110"/>
  <c r="D105" i="110"/>
  <c r="E105" i="110"/>
  <c r="F105" i="110"/>
  <c r="G105" i="110"/>
  <c r="J105" i="110"/>
  <c r="K105" i="110"/>
  <c r="H105" i="110"/>
  <c r="I105" i="110"/>
  <c r="L105" i="110"/>
  <c r="M105" i="110"/>
  <c r="N105" i="110"/>
  <c r="O105" i="110"/>
  <c r="P105" i="110"/>
  <c r="Q105" i="110"/>
  <c r="R105" i="110"/>
  <c r="S105" i="110"/>
  <c r="T105" i="110"/>
  <c r="U105" i="110"/>
  <c r="V105" i="110"/>
  <c r="W105" i="110"/>
  <c r="X105" i="110"/>
  <c r="G61" i="110"/>
  <c r="H61" i="110"/>
  <c r="K61" i="110"/>
  <c r="L61" i="110"/>
  <c r="M61" i="110"/>
  <c r="N61" i="110"/>
  <c r="U61" i="110"/>
  <c r="X61" i="110"/>
  <c r="Y61" i="110"/>
  <c r="V61" i="110"/>
  <c r="W61" i="110"/>
  <c r="Z61" i="110"/>
  <c r="AA61" i="110"/>
  <c r="AB61" i="110"/>
  <c r="AD61" i="110"/>
  <c r="AE61" i="110"/>
  <c r="H47" i="110"/>
  <c r="B102" i="110"/>
  <c r="B104" i="110" s="1"/>
  <c r="G102" i="110"/>
  <c r="H102" i="110"/>
  <c r="H104" i="110" s="1"/>
  <c r="I102" i="110"/>
  <c r="I104" i="110" s="1"/>
  <c r="J102" i="110"/>
  <c r="J104" i="110" s="1"/>
  <c r="K102" i="110"/>
  <c r="K104" i="110" s="1"/>
  <c r="L102" i="110"/>
  <c r="L104" i="110" s="1"/>
  <c r="N102" i="110"/>
  <c r="N104" i="110" s="1"/>
  <c r="O102" i="110"/>
  <c r="O104" i="110" s="1"/>
  <c r="P102" i="110"/>
  <c r="P104" i="110" s="1"/>
  <c r="Q102" i="110"/>
  <c r="Q104" i="110" s="1"/>
  <c r="R102" i="110"/>
  <c r="R104" i="110" s="1"/>
  <c r="S102" i="110"/>
  <c r="S104" i="110" s="1"/>
  <c r="V102" i="110"/>
  <c r="V104" i="110" s="1"/>
  <c r="W102" i="110"/>
  <c r="W104" i="110" s="1"/>
  <c r="X102" i="110"/>
  <c r="X104" i="110" s="1"/>
  <c r="Y102" i="110"/>
  <c r="Y104" i="110" s="1"/>
  <c r="Z102" i="110"/>
  <c r="Z104" i="110" s="1"/>
  <c r="AA102" i="110"/>
  <c r="AA104" i="110" s="1"/>
  <c r="AB102" i="110"/>
  <c r="AB104" i="110" s="1"/>
  <c r="AC102" i="110"/>
  <c r="AC104" i="110" s="1"/>
  <c r="AD102" i="110"/>
  <c r="AD104" i="110" s="1"/>
  <c r="AE102" i="110"/>
  <c r="AE104" i="110" s="1"/>
  <c r="B7" i="109"/>
  <c r="C7" i="109" s="1"/>
  <c r="E7" i="109"/>
  <c r="J7" i="109"/>
  <c r="M7" i="109"/>
  <c r="E8" i="109"/>
  <c r="J8" i="109"/>
  <c r="M8" i="109"/>
  <c r="E9" i="109"/>
  <c r="J9" i="109"/>
  <c r="J10" i="109"/>
  <c r="M9" i="109"/>
  <c r="E10" i="109"/>
  <c r="M10" i="109"/>
  <c r="E11" i="109"/>
  <c r="J11" i="109"/>
  <c r="E12" i="109"/>
  <c r="J12" i="109"/>
  <c r="M12" i="109"/>
  <c r="E13" i="109"/>
  <c r="J13" i="109"/>
  <c r="M13" i="109"/>
  <c r="E14" i="109"/>
  <c r="J15" i="109"/>
  <c r="J14" i="109"/>
  <c r="M14" i="109"/>
  <c r="E15" i="109"/>
  <c r="M15" i="109"/>
  <c r="E16" i="109"/>
  <c r="J16" i="109"/>
  <c r="M16" i="109"/>
  <c r="E17" i="109"/>
  <c r="J17" i="109"/>
  <c r="M17" i="109"/>
  <c r="E18" i="109"/>
  <c r="J18" i="109"/>
  <c r="M18" i="109"/>
  <c r="E19" i="109"/>
  <c r="J19" i="109"/>
  <c r="J20" i="109"/>
  <c r="M19" i="109"/>
  <c r="E20" i="109"/>
  <c r="M20" i="109"/>
  <c r="N20" i="109"/>
  <c r="E21" i="109"/>
  <c r="J21" i="109"/>
  <c r="M21" i="109"/>
  <c r="N21" i="109"/>
  <c r="E22" i="109"/>
  <c r="J22" i="109"/>
  <c r="M22" i="109"/>
  <c r="N22" i="109"/>
  <c r="E23" i="109"/>
  <c r="J23" i="109"/>
  <c r="J24" i="109"/>
  <c r="M23" i="109"/>
  <c r="N23" i="109"/>
  <c r="E24" i="109"/>
  <c r="M24" i="109"/>
  <c r="N24" i="109"/>
  <c r="E25" i="109"/>
  <c r="J25" i="109"/>
  <c r="M25" i="109"/>
  <c r="N25" i="109"/>
  <c r="E26" i="109"/>
  <c r="J26" i="109"/>
  <c r="M26" i="109"/>
  <c r="N26" i="109"/>
  <c r="E27" i="109"/>
  <c r="J27" i="109"/>
  <c r="M27" i="109"/>
  <c r="N27" i="109"/>
  <c r="E28" i="109"/>
  <c r="J28" i="109"/>
  <c r="M28" i="109"/>
  <c r="N28" i="109"/>
  <c r="E29" i="109"/>
  <c r="J30" i="109"/>
  <c r="J29" i="109"/>
  <c r="M29" i="109"/>
  <c r="N29" i="109"/>
  <c r="E30" i="109"/>
  <c r="M30" i="109"/>
  <c r="N30" i="109"/>
  <c r="E31" i="109"/>
  <c r="J31" i="109"/>
  <c r="J32" i="109"/>
  <c r="M31" i="109"/>
  <c r="N31" i="109"/>
  <c r="E32" i="109"/>
  <c r="M32" i="109"/>
  <c r="N32" i="109"/>
  <c r="E33" i="109"/>
  <c r="J34" i="109"/>
  <c r="J33" i="109"/>
  <c r="M33" i="109"/>
  <c r="N33" i="109"/>
  <c r="E34" i="109"/>
  <c r="M34" i="109"/>
  <c r="N34" i="109"/>
  <c r="C7" i="31"/>
  <c r="D7" i="31"/>
  <c r="E7" i="31"/>
  <c r="E38" i="31" s="1"/>
  <c r="I7" i="31"/>
  <c r="B40" i="111" s="1"/>
  <c r="K7" i="31"/>
  <c r="B31" i="111" s="1"/>
  <c r="Q7" i="31"/>
  <c r="U7" i="31"/>
  <c r="U38" i="31" s="1"/>
  <c r="C16" i="111"/>
  <c r="D47" i="110"/>
  <c r="D40" i="110"/>
  <c r="E20" i="110"/>
  <c r="E27" i="110" s="1"/>
  <c r="E24" i="111"/>
  <c r="E40" i="111"/>
  <c r="G16" i="111"/>
  <c r="G40" i="111"/>
  <c r="H20" i="110"/>
  <c r="I20" i="110"/>
  <c r="J20" i="110"/>
  <c r="K20" i="110"/>
  <c r="L16" i="111"/>
  <c r="L47" i="110"/>
  <c r="L39" i="110"/>
  <c r="L57" i="110" s="1"/>
  <c r="L32" i="111"/>
  <c r="L44" i="110"/>
  <c r="L62" i="110" s="1"/>
  <c r="M16" i="111"/>
  <c r="M24" i="111"/>
  <c r="M47" i="110"/>
  <c r="M31" i="111"/>
  <c r="M32" i="111"/>
  <c r="M36" i="111"/>
  <c r="AB32" i="111"/>
  <c r="AB67" i="111" s="1"/>
  <c r="O40" i="110"/>
  <c r="O36" i="111"/>
  <c r="T31" i="111"/>
  <c r="U32" i="111"/>
  <c r="V32" i="111"/>
  <c r="W40" i="110"/>
  <c r="X32" i="111"/>
  <c r="Y40" i="110"/>
  <c r="Z40" i="110"/>
  <c r="AA40" i="110"/>
  <c r="M37" i="111"/>
  <c r="N16" i="111"/>
  <c r="N40" i="111"/>
  <c r="P31" i="111"/>
  <c r="O32" i="111"/>
  <c r="N37" i="111"/>
  <c r="O40" i="111"/>
  <c r="O39" i="110"/>
  <c r="U47" i="110"/>
  <c r="U39" i="110"/>
  <c r="U57" i="110" s="1"/>
  <c r="V40" i="111"/>
  <c r="W47" i="110"/>
  <c r="W31" i="111"/>
  <c r="W36" i="111"/>
  <c r="X47" i="110"/>
  <c r="X39" i="110"/>
  <c r="X57" i="110" s="1"/>
  <c r="X36" i="111"/>
  <c r="Y47" i="110"/>
  <c r="Y39" i="110"/>
  <c r="Y57" i="110" s="1"/>
  <c r="Y44" i="110"/>
  <c r="Y62" i="110" s="1"/>
  <c r="Z40" i="111"/>
  <c r="Z39" i="110"/>
  <c r="Z57" i="110" s="1"/>
  <c r="Z44" i="110"/>
  <c r="Z62" i="110" s="1"/>
  <c r="AA36" i="111"/>
  <c r="AB47" i="110"/>
  <c r="AB44" i="110"/>
  <c r="AB62" i="110" s="1"/>
  <c r="AE44" i="110"/>
  <c r="AD47" i="110"/>
  <c r="AD39" i="110"/>
  <c r="AD57" i="110" s="1"/>
  <c r="AE47" i="110"/>
  <c r="AE99" i="110"/>
  <c r="D7" i="29"/>
  <c r="K7" i="29" s="1"/>
  <c r="M7" i="29" s="1"/>
  <c r="E7" i="29"/>
  <c r="I7" i="29" s="1"/>
  <c r="D8" i="29"/>
  <c r="D9" i="29"/>
  <c r="K9" i="29" s="1"/>
  <c r="M9" i="29" s="1"/>
  <c r="D10" i="29"/>
  <c r="K10" i="29" s="1"/>
  <c r="M10" i="29" s="1"/>
  <c r="D11" i="29"/>
  <c r="K11" i="29" s="1"/>
  <c r="M11" i="29" s="1"/>
  <c r="D14" i="29"/>
  <c r="K14" i="29" s="1"/>
  <c r="D15" i="29"/>
  <c r="K15" i="29" s="1"/>
  <c r="D16" i="29"/>
  <c r="K16" i="29" s="1"/>
  <c r="M16" i="29" s="1"/>
  <c r="D17" i="29"/>
  <c r="K17" i="29" s="1"/>
  <c r="K10" i="23"/>
  <c r="L10" i="23"/>
  <c r="L43" i="23" s="1"/>
  <c r="M10" i="23"/>
  <c r="M43" i="23" s="1"/>
  <c r="O1" i="27"/>
  <c r="B99" i="110"/>
  <c r="Z99" i="110"/>
  <c r="S99" i="110"/>
  <c r="L99" i="110"/>
  <c r="G99" i="110"/>
  <c r="AA99" i="110"/>
  <c r="AB99" i="110"/>
  <c r="H99" i="110"/>
  <c r="K99" i="110"/>
  <c r="E99" i="110"/>
  <c r="T99" i="110"/>
  <c r="F99" i="110"/>
  <c r="U99" i="110"/>
  <c r="Q99" i="110"/>
  <c r="R99" i="110"/>
  <c r="W99" i="110"/>
  <c r="AC99" i="110"/>
  <c r="AD99" i="110"/>
  <c r="O99" i="110"/>
  <c r="N99" i="110"/>
  <c r="C99" i="110"/>
  <c r="P99" i="110"/>
  <c r="V99" i="110"/>
  <c r="J99" i="110"/>
  <c r="I99" i="110"/>
  <c r="D86" i="111"/>
  <c r="D70" i="111" s="1"/>
  <c r="D99" i="110"/>
  <c r="M99" i="110"/>
  <c r="AH98" i="110"/>
  <c r="F93" i="111"/>
  <c r="AH103" i="110"/>
  <c r="AF9" i="111"/>
  <c r="W74" i="111"/>
  <c r="J93" i="111"/>
  <c r="AI70" i="111"/>
  <c r="Q89" i="111"/>
  <c r="AB16" i="111"/>
  <c r="P49" i="111"/>
  <c r="AD46" i="110"/>
  <c r="AD65" i="110" s="1"/>
  <c r="M49" i="111"/>
  <c r="Q49" i="111"/>
  <c r="I49" i="111"/>
  <c r="AJ64" i="110"/>
  <c r="H91" i="110"/>
  <c r="H92" i="110"/>
  <c r="H56" i="110"/>
  <c r="H74" i="111"/>
  <c r="C95" i="111"/>
  <c r="L92" i="110"/>
  <c r="O56" i="110"/>
  <c r="Z91" i="110"/>
  <c r="Z56" i="110"/>
  <c r="Z92" i="110"/>
  <c r="U56" i="110"/>
  <c r="U92" i="110"/>
  <c r="M56" i="110"/>
  <c r="M92" i="110"/>
  <c r="AJ8" i="110"/>
  <c r="V56" i="110"/>
  <c r="R91" i="110"/>
  <c r="R56" i="110"/>
  <c r="R92" i="110"/>
  <c r="R74" i="111"/>
  <c r="P91" i="110"/>
  <c r="P56" i="110"/>
  <c r="X92" i="110"/>
  <c r="X91" i="110"/>
  <c r="X56" i="110"/>
  <c r="N92" i="110"/>
  <c r="N74" i="111"/>
  <c r="N91" i="110"/>
  <c r="N56" i="110"/>
  <c r="K56" i="110"/>
  <c r="K92" i="110"/>
  <c r="G92" i="110"/>
  <c r="G56" i="110"/>
  <c r="F56" i="110"/>
  <c r="F91" i="110"/>
  <c r="F92" i="110"/>
  <c r="Y91" i="110"/>
  <c r="I74" i="111"/>
  <c r="Q91" i="110"/>
  <c r="I92" i="110"/>
  <c r="I91" i="110"/>
  <c r="AA56" i="110"/>
  <c r="Y56" i="110"/>
  <c r="Y92" i="110"/>
  <c r="Q61" i="110"/>
  <c r="Q92" i="110"/>
  <c r="I61" i="110"/>
  <c r="Q56" i="110"/>
  <c r="X93" i="110"/>
  <c r="G47" i="110"/>
  <c r="G19" i="109"/>
  <c r="D19" i="109" s="1"/>
  <c r="G20" i="109"/>
  <c r="D20" i="109" s="1"/>
  <c r="AE37" i="110"/>
  <c r="I37" i="110"/>
  <c r="AE62" i="110"/>
  <c r="AE92" i="110"/>
  <c r="AE56" i="110"/>
  <c r="AE91" i="110"/>
  <c r="AH94" i="110" l="1"/>
  <c r="AK94" i="110" s="1"/>
  <c r="M23" i="29"/>
  <c r="R83" i="110"/>
  <c r="AG35" i="111"/>
  <c r="D38" i="31"/>
  <c r="G7" i="31"/>
  <c r="S7" i="31" s="1"/>
  <c r="Z7" i="31"/>
  <c r="AB7" i="31" s="1"/>
  <c r="H7" i="29"/>
  <c r="C38" i="29"/>
  <c r="Q30" i="110"/>
  <c r="Q15" i="110"/>
  <c r="F54" i="110"/>
  <c r="F15" i="110"/>
  <c r="W83" i="110"/>
  <c r="W95" i="110" s="1"/>
  <c r="M28" i="29"/>
  <c r="X83" i="110"/>
  <c r="X95" i="110" s="1"/>
  <c r="M29" i="29"/>
  <c r="P83" i="110"/>
  <c r="P95" i="110" s="1"/>
  <c r="M21" i="29"/>
  <c r="I83" i="110"/>
  <c r="I95" i="110" s="1"/>
  <c r="M14" i="29"/>
  <c r="Q54" i="111"/>
  <c r="Q84" i="111" s="1"/>
  <c r="M22" i="29"/>
  <c r="J54" i="111"/>
  <c r="M15" i="29"/>
  <c r="K8" i="29"/>
  <c r="K38" i="29" s="1"/>
  <c r="M38" i="29" s="1"/>
  <c r="O38" i="29" s="1"/>
  <c r="I8" i="29"/>
  <c r="U83" i="110"/>
  <c r="U95" i="110" s="1"/>
  <c r="M26" i="29"/>
  <c r="T83" i="110"/>
  <c r="T95" i="110" s="1"/>
  <c r="M25" i="29"/>
  <c r="AB63" i="111"/>
  <c r="AB62" i="111"/>
  <c r="B79" i="110"/>
  <c r="AG47" i="111"/>
  <c r="AE79" i="110" s="1"/>
  <c r="S54" i="111"/>
  <c r="S84" i="111" s="1"/>
  <c r="M24" i="29"/>
  <c r="G89" i="111"/>
  <c r="AG87" i="111"/>
  <c r="AG89" i="111" s="1"/>
  <c r="K43" i="23"/>
  <c r="M83" i="110"/>
  <c r="M95" i="110" s="1"/>
  <c r="M18" i="29"/>
  <c r="N83" i="110"/>
  <c r="N95" i="110" s="1"/>
  <c r="M19" i="29"/>
  <c r="L83" i="110"/>
  <c r="L95" i="110" s="1"/>
  <c r="M17" i="29"/>
  <c r="B70" i="111"/>
  <c r="AG86" i="111"/>
  <c r="B83" i="110"/>
  <c r="B95" i="110" s="1"/>
  <c r="D83" i="110"/>
  <c r="D95" i="110" s="1"/>
  <c r="AF54" i="111"/>
  <c r="AF84" i="111" s="1"/>
  <c r="U54" i="111"/>
  <c r="U84" i="111" s="1"/>
  <c r="T54" i="111"/>
  <c r="AE54" i="111"/>
  <c r="AC54" i="111"/>
  <c r="AC84" i="111" s="1"/>
  <c r="V54" i="111"/>
  <c r="V84" i="111" s="1"/>
  <c r="W54" i="111"/>
  <c r="W84" i="111" s="1"/>
  <c r="Y54" i="111"/>
  <c r="Y84" i="111" s="1"/>
  <c r="Z54" i="111"/>
  <c r="Z84" i="111" s="1"/>
  <c r="AA54" i="111"/>
  <c r="AA84" i="111" s="1"/>
  <c r="AD54" i="111"/>
  <c r="X54" i="111"/>
  <c r="X84" i="111" s="1"/>
  <c r="AB54" i="111"/>
  <c r="AB84" i="111" s="1"/>
  <c r="B115" i="110"/>
  <c r="E83" i="110"/>
  <c r="E95" i="110" s="1"/>
  <c r="H83" i="110"/>
  <c r="H95" i="110" s="1"/>
  <c r="F54" i="111"/>
  <c r="AI8" i="111"/>
  <c r="AC81" i="111"/>
  <c r="AC82" i="111"/>
  <c r="AC75" i="111"/>
  <c r="AC80" i="111"/>
  <c r="AC71" i="111"/>
  <c r="AC74" i="111"/>
  <c r="AC67" i="111"/>
  <c r="Y71" i="111"/>
  <c r="Y69" i="111"/>
  <c r="Y74" i="111"/>
  <c r="Y73" i="111"/>
  <c r="AA80" i="111"/>
  <c r="AA71" i="111"/>
  <c r="AA74" i="111"/>
  <c r="AA81" i="111"/>
  <c r="AA72" i="111"/>
  <c r="AA73" i="111"/>
  <c r="AA82" i="111"/>
  <c r="AA75" i="111"/>
  <c r="AF68" i="111"/>
  <c r="AF26" i="111"/>
  <c r="AF80" i="111"/>
  <c r="AF59" i="111"/>
  <c r="AF69" i="111"/>
  <c r="AF74" i="111"/>
  <c r="AF67" i="111"/>
  <c r="AF72" i="111"/>
  <c r="AF75" i="111"/>
  <c r="AF73" i="111"/>
  <c r="AF64" i="111"/>
  <c r="AF71" i="111"/>
  <c r="AF62" i="111"/>
  <c r="AF81" i="111"/>
  <c r="AF82" i="111"/>
  <c r="Z69" i="111"/>
  <c r="Z74" i="111"/>
  <c r="Z71" i="111"/>
  <c r="V15" i="110"/>
  <c r="S19" i="110"/>
  <c r="S26" i="110" s="1"/>
  <c r="I19" i="110"/>
  <c r="E19" i="110"/>
  <c r="H19" i="110"/>
  <c r="W19" i="110"/>
  <c r="R38" i="31"/>
  <c r="Q19" i="110"/>
  <c r="Q26" i="110" s="1"/>
  <c r="J19" i="110"/>
  <c r="J26" i="110" s="1"/>
  <c r="R52" i="111"/>
  <c r="R101" i="111" s="1"/>
  <c r="U19" i="110"/>
  <c r="U26" i="110" s="1"/>
  <c r="O19" i="110"/>
  <c r="O26" i="110" s="1"/>
  <c r="AB19" i="110"/>
  <c r="R93" i="110"/>
  <c r="X15" i="111"/>
  <c r="N38" i="109"/>
  <c r="G19" i="110"/>
  <c r="L19" i="110"/>
  <c r="L26" i="110" s="1"/>
  <c r="D38" i="29"/>
  <c r="M38" i="109"/>
  <c r="J38" i="109"/>
  <c r="C15" i="111"/>
  <c r="B37" i="111"/>
  <c r="Q38" i="31"/>
  <c r="E38" i="29"/>
  <c r="D19" i="110"/>
  <c r="B15" i="111"/>
  <c r="C38" i="109"/>
  <c r="T7" i="31"/>
  <c r="T38" i="31" s="1"/>
  <c r="Q52" i="111"/>
  <c r="Q101" i="111" s="1"/>
  <c r="Q115" i="110"/>
  <c r="AA58" i="110"/>
  <c r="S58" i="110"/>
  <c r="Z58" i="110"/>
  <c r="Y58" i="110"/>
  <c r="W58" i="110"/>
  <c r="K58" i="110"/>
  <c r="T58" i="110"/>
  <c r="O58" i="110"/>
  <c r="G58" i="110"/>
  <c r="R58" i="110"/>
  <c r="P58" i="110"/>
  <c r="AA54" i="110"/>
  <c r="V54" i="110"/>
  <c r="Q47" i="110"/>
  <c r="Z31" i="111"/>
  <c r="L37" i="110"/>
  <c r="E15" i="111"/>
  <c r="E21" i="111" s="1"/>
  <c r="C21" i="110"/>
  <c r="X17" i="111"/>
  <c r="I29" i="110"/>
  <c r="Z21" i="110"/>
  <c r="Z22" i="110" s="1"/>
  <c r="Z89" i="110" s="1"/>
  <c r="S17" i="111"/>
  <c r="R23" i="111"/>
  <c r="R21" i="110"/>
  <c r="Q23" i="111"/>
  <c r="B96" i="111"/>
  <c r="V21" i="110"/>
  <c r="F21" i="110"/>
  <c r="H42" i="110"/>
  <c r="H60" i="110" s="1"/>
  <c r="H69" i="110" s="1"/>
  <c r="B20" i="110"/>
  <c r="C29" i="110"/>
  <c r="H38" i="31"/>
  <c r="Q17" i="111"/>
  <c r="Y28" i="110"/>
  <c r="L17" i="111"/>
  <c r="Z28" i="110"/>
  <c r="I21" i="110"/>
  <c r="AB28" i="110"/>
  <c r="X23" i="111"/>
  <c r="X25" i="111" s="1"/>
  <c r="X26" i="111" s="1"/>
  <c r="P21" i="110"/>
  <c r="O23" i="111"/>
  <c r="G21" i="110"/>
  <c r="E17" i="111"/>
  <c r="B84" i="110"/>
  <c r="AH84" i="110" s="1"/>
  <c r="AE84" i="110"/>
  <c r="W23" i="111"/>
  <c r="T28" i="110"/>
  <c r="K21" i="110"/>
  <c r="M29" i="110"/>
  <c r="Y80" i="111"/>
  <c r="O17" i="111"/>
  <c r="N15" i="111"/>
  <c r="N21" i="111" s="1"/>
  <c r="N19" i="110"/>
  <c r="L23" i="111"/>
  <c r="N21" i="110"/>
  <c r="AC28" i="110"/>
  <c r="D21" i="110"/>
  <c r="Y21" i="110"/>
  <c r="W17" i="111"/>
  <c r="AA21" i="110"/>
  <c r="N28" i="110"/>
  <c r="H17" i="111"/>
  <c r="K23" i="111"/>
  <c r="K25" i="111" s="1"/>
  <c r="K26" i="111" s="1"/>
  <c r="G42" i="110"/>
  <c r="U17" i="111"/>
  <c r="M17" i="111"/>
  <c r="G28" i="109"/>
  <c r="S63" i="110"/>
  <c r="O71" i="111"/>
  <c r="O83" i="110"/>
  <c r="O95" i="110" s="1"/>
  <c r="K45" i="110"/>
  <c r="K31" i="110" s="1"/>
  <c r="K29" i="110"/>
  <c r="Z28" i="111"/>
  <c r="Z62" i="111" s="1"/>
  <c r="Y20" i="110"/>
  <c r="P47" i="110"/>
  <c r="AD63" i="110"/>
  <c r="Q46" i="110"/>
  <c r="Q65" i="110" s="1"/>
  <c r="AB23" i="111"/>
  <c r="AB25" i="111" s="1"/>
  <c r="AB26" i="111" s="1"/>
  <c r="X63" i="111"/>
  <c r="T39" i="111"/>
  <c r="Q54" i="110"/>
  <c r="AA30" i="110"/>
  <c r="O44" i="110"/>
  <c r="O62" i="110" s="1"/>
  <c r="I39" i="110"/>
  <c r="I57" i="110" s="1"/>
  <c r="E33" i="111"/>
  <c r="J40" i="111"/>
  <c r="N93" i="110"/>
  <c r="AE115" i="110"/>
  <c r="Z17" i="111"/>
  <c r="G71" i="110"/>
  <c r="K18" i="109"/>
  <c r="R39" i="111"/>
  <c r="R75" i="111" s="1"/>
  <c r="G37" i="110"/>
  <c r="F17" i="111"/>
  <c r="D46" i="110"/>
  <c r="D65" i="110" s="1"/>
  <c r="K7" i="109"/>
  <c r="U33" i="111"/>
  <c r="U68" i="111" s="1"/>
  <c r="N47" i="110"/>
  <c r="AA29" i="111"/>
  <c r="AA64" i="111" s="1"/>
  <c r="AA46" i="110"/>
  <c r="AA65" i="110" s="1"/>
  <c r="AE93" i="110"/>
  <c r="AC34" i="111"/>
  <c r="AC69" i="111" s="1"/>
  <c r="AA34" i="111"/>
  <c r="AA69" i="111" s="1"/>
  <c r="V29" i="111"/>
  <c r="V64" i="111" s="1"/>
  <c r="U96" i="111"/>
  <c r="Q28" i="110"/>
  <c r="Q37" i="111"/>
  <c r="Q73" i="111" s="1"/>
  <c r="K23" i="109"/>
  <c r="H39" i="110"/>
  <c r="H57" i="110" s="1"/>
  <c r="O36" i="110"/>
  <c r="C36" i="110"/>
  <c r="T34" i="111"/>
  <c r="V28" i="111"/>
  <c r="V62" i="111" s="1"/>
  <c r="N17" i="111"/>
  <c r="Z54" i="110"/>
  <c r="Z15" i="110"/>
  <c r="R37" i="111"/>
  <c r="R73" i="111" s="1"/>
  <c r="Z16" i="111"/>
  <c r="U37" i="110"/>
  <c r="X46" i="110"/>
  <c r="X65" i="110" s="1"/>
  <c r="H40" i="110"/>
  <c r="Q45" i="110"/>
  <c r="Q31" i="110" s="1"/>
  <c r="K31" i="109"/>
  <c r="I14" i="109"/>
  <c r="D34" i="111"/>
  <c r="U40" i="111"/>
  <c r="O20" i="110"/>
  <c r="I46" i="110"/>
  <c r="I65" i="110" s="1"/>
  <c r="R96" i="111"/>
  <c r="Q96" i="111"/>
  <c r="K80" i="111"/>
  <c r="AC47" i="110"/>
  <c r="X40" i="111"/>
  <c r="T37" i="110"/>
  <c r="R47" i="110"/>
  <c r="Q93" i="110"/>
  <c r="B65" i="110"/>
  <c r="Q16" i="111"/>
  <c r="N23" i="111"/>
  <c r="N52" i="111"/>
  <c r="N101" i="111" s="1"/>
  <c r="P34" i="111"/>
  <c r="P69" i="111" s="1"/>
  <c r="S34" i="111"/>
  <c r="S69" i="111" s="1"/>
  <c r="I45" i="110"/>
  <c r="I31" i="110" s="1"/>
  <c r="D63" i="110"/>
  <c r="D37" i="111"/>
  <c r="C37" i="110"/>
  <c r="O47" i="110"/>
  <c r="Z32" i="111"/>
  <c r="Z67" i="111" s="1"/>
  <c r="J15" i="111"/>
  <c r="M20" i="110"/>
  <c r="L81" i="111"/>
  <c r="U31" i="111"/>
  <c r="U66" i="111" s="1"/>
  <c r="I24" i="109"/>
  <c r="P46" i="110"/>
  <c r="P65" i="110" s="1"/>
  <c r="I31" i="109"/>
  <c r="I18" i="109"/>
  <c r="Q24" i="111"/>
  <c r="Q28" i="111"/>
  <c r="Q63" i="111" s="1"/>
  <c r="K8" i="109"/>
  <c r="B19" i="110"/>
  <c r="K17" i="109"/>
  <c r="K16" i="111"/>
  <c r="O28" i="110"/>
  <c r="W44" i="110"/>
  <c r="W62" i="110" s="1"/>
  <c r="W69" i="110" s="1"/>
  <c r="Y17" i="111"/>
  <c r="U45" i="110"/>
  <c r="K24" i="109"/>
  <c r="F67" i="111"/>
  <c r="N39" i="111"/>
  <c r="N75" i="111" s="1"/>
  <c r="F40" i="110"/>
  <c r="AA17" i="111"/>
  <c r="M41" i="110"/>
  <c r="M59" i="110" s="1"/>
  <c r="M52" i="111"/>
  <c r="M101" i="111" s="1"/>
  <c r="E21" i="110"/>
  <c r="J16" i="111"/>
  <c r="H37" i="111"/>
  <c r="H73" i="111" s="1"/>
  <c r="H54" i="111"/>
  <c r="H84" i="111" s="1"/>
  <c r="G39" i="111"/>
  <c r="G75" i="111" s="1"/>
  <c r="I22" i="109"/>
  <c r="L64" i="111"/>
  <c r="P71" i="111"/>
  <c r="U64" i="111"/>
  <c r="AE45" i="110"/>
  <c r="X19" i="110"/>
  <c r="W15" i="111"/>
  <c r="D23" i="111"/>
  <c r="I17" i="109"/>
  <c r="I23" i="109"/>
  <c r="P44" i="110"/>
  <c r="P62" i="110" s="1"/>
  <c r="S39" i="111"/>
  <c r="S75" i="111" s="1"/>
  <c r="V41" i="110"/>
  <c r="V59" i="110" s="1"/>
  <c r="AA19" i="110"/>
  <c r="S47" i="110"/>
  <c r="K32" i="111"/>
  <c r="K67" i="111" s="1"/>
  <c r="G15" i="111"/>
  <c r="G21" i="111" s="1"/>
  <c r="I11" i="109"/>
  <c r="U63" i="111"/>
  <c r="I15" i="111"/>
  <c r="U42" i="110"/>
  <c r="U60" i="110" s="1"/>
  <c r="K22" i="109"/>
  <c r="V67" i="111"/>
  <c r="H63" i="110"/>
  <c r="L96" i="111"/>
  <c r="K37" i="111"/>
  <c r="K73" i="111" s="1"/>
  <c r="P37" i="111"/>
  <c r="P73" i="111" s="1"/>
  <c r="U21" i="110"/>
  <c r="D71" i="110"/>
  <c r="G17" i="109"/>
  <c r="D17" i="109" s="1"/>
  <c r="M39" i="110"/>
  <c r="M57" i="110" s="1"/>
  <c r="N45" i="110"/>
  <c r="S29" i="111"/>
  <c r="S64" i="111" s="1"/>
  <c r="M28" i="111"/>
  <c r="M62" i="111" s="1"/>
  <c r="T96" i="111"/>
  <c r="E29" i="111"/>
  <c r="Y28" i="111"/>
  <c r="Y63" i="111" s="1"/>
  <c r="D31" i="111"/>
  <c r="O27" i="109"/>
  <c r="R27" i="109" s="1"/>
  <c r="J29" i="111"/>
  <c r="L93" i="110"/>
  <c r="AE39" i="110"/>
  <c r="AC46" i="110"/>
  <c r="AC65" i="110" s="1"/>
  <c r="AC31" i="111"/>
  <c r="AB40" i="110"/>
  <c r="I34" i="109"/>
  <c r="G33" i="109"/>
  <c r="D33" i="109" s="1"/>
  <c r="AA71" i="110"/>
  <c r="AA23" i="111"/>
  <c r="Z23" i="111"/>
  <c r="Z25" i="111" s="1"/>
  <c r="Z26" i="111" s="1"/>
  <c r="AA28" i="110"/>
  <c r="X36" i="110"/>
  <c r="I27" i="109"/>
  <c r="U74" i="111"/>
  <c r="U81" i="111"/>
  <c r="I26" i="109"/>
  <c r="T39" i="110"/>
  <c r="T57" i="110" s="1"/>
  <c r="R28" i="110"/>
  <c r="X29" i="110"/>
  <c r="E47" i="110"/>
  <c r="W39" i="111"/>
  <c r="W75" i="111" s="1"/>
  <c r="Y31" i="111"/>
  <c r="AB40" i="111"/>
  <c r="AA32" i="111"/>
  <c r="AA67" i="111" s="1"/>
  <c r="Q34" i="111"/>
  <c r="Q69" i="111" s="1"/>
  <c r="R36" i="111"/>
  <c r="R72" i="111" s="1"/>
  <c r="X44" i="110"/>
  <c r="X62" i="110" s="1"/>
  <c r="M34" i="111"/>
  <c r="M69" i="111" s="1"/>
  <c r="N24" i="111"/>
  <c r="H46" i="110"/>
  <c r="H65" i="110" s="1"/>
  <c r="U36" i="110"/>
  <c r="U15" i="111"/>
  <c r="N42" i="110"/>
  <c r="N60" i="110" s="1"/>
  <c r="M44" i="110"/>
  <c r="M62" i="110" s="1"/>
  <c r="M69" i="110" s="1"/>
  <c r="P17" i="111"/>
  <c r="J36" i="111"/>
  <c r="I40" i="111"/>
  <c r="I16" i="109"/>
  <c r="R34" i="111"/>
  <c r="R69" i="111" s="1"/>
  <c r="L21" i="110"/>
  <c r="AA33" i="111"/>
  <c r="AA68" i="111" s="1"/>
  <c r="X31" i="111"/>
  <c r="Z29" i="111"/>
  <c r="Z64" i="111" s="1"/>
  <c r="G36" i="110"/>
  <c r="X40" i="110"/>
  <c r="U29" i="110"/>
  <c r="T32" i="111"/>
  <c r="O15" i="111"/>
  <c r="L37" i="111"/>
  <c r="L73" i="111" s="1"/>
  <c r="N34" i="111"/>
  <c r="N69" i="111" s="1"/>
  <c r="G44" i="110"/>
  <c r="G62" i="110" s="1"/>
  <c r="G33" i="111"/>
  <c r="G68" i="111" s="1"/>
  <c r="O37" i="111"/>
  <c r="O73" i="111" s="1"/>
  <c r="B39" i="110"/>
  <c r="D39" i="110"/>
  <c r="D57" i="110" s="1"/>
  <c r="K28" i="110"/>
  <c r="R17" i="111"/>
  <c r="Q15" i="111"/>
  <c r="M36" i="110"/>
  <c r="M15" i="110" s="1"/>
  <c r="AB46" i="110"/>
  <c r="AB65" i="110" s="1"/>
  <c r="S15" i="111"/>
  <c r="G32" i="111"/>
  <c r="G67" i="111" s="1"/>
  <c r="I16" i="111"/>
  <c r="V17" i="111"/>
  <c r="K20" i="109"/>
  <c r="X33" i="111"/>
  <c r="X68" i="111" s="1"/>
  <c r="S24" i="111"/>
  <c r="S20" i="110"/>
  <c r="R36" i="110"/>
  <c r="R15" i="110" s="1"/>
  <c r="J29" i="110"/>
  <c r="K17" i="111"/>
  <c r="I54" i="111"/>
  <c r="I84" i="111" s="1"/>
  <c r="J39" i="111"/>
  <c r="I52" i="111"/>
  <c r="I101" i="111" s="1"/>
  <c r="G34" i="111"/>
  <c r="G69" i="111" s="1"/>
  <c r="F29" i="110"/>
  <c r="F16" i="111"/>
  <c r="G12" i="109"/>
  <c r="D12" i="109" s="1"/>
  <c r="F41" i="110"/>
  <c r="F59" i="110" s="1"/>
  <c r="H16" i="111"/>
  <c r="H41" i="110"/>
  <c r="H59" i="110" s="1"/>
  <c r="B56" i="110"/>
  <c r="B92" i="110"/>
  <c r="B61" i="110"/>
  <c r="AG49" i="111"/>
  <c r="R71" i="111"/>
  <c r="B59" i="110"/>
  <c r="O67" i="111"/>
  <c r="M80" i="111"/>
  <c r="M74" i="111"/>
  <c r="K13" i="109"/>
  <c r="I10" i="109"/>
  <c r="C52" i="111"/>
  <c r="C101" i="111" s="1"/>
  <c r="B36" i="110"/>
  <c r="B15" i="110" s="1"/>
  <c r="O21" i="110"/>
  <c r="C44" i="110"/>
  <c r="C62" i="110" s="1"/>
  <c r="I28" i="109"/>
  <c r="K16" i="109"/>
  <c r="K14" i="109"/>
  <c r="O39" i="111"/>
  <c r="O75" i="111" s="1"/>
  <c r="K21" i="109"/>
  <c r="M40" i="110"/>
  <c r="K12" i="109"/>
  <c r="AC16" i="111"/>
  <c r="H36" i="111"/>
  <c r="H72" i="111" s="1"/>
  <c r="Z30" i="110"/>
  <c r="L34" i="111"/>
  <c r="L69" i="111" s="1"/>
  <c r="C24" i="111"/>
  <c r="C25" i="111" s="1"/>
  <c r="I25" i="109"/>
  <c r="I19" i="109"/>
  <c r="K25" i="109"/>
  <c r="AB36" i="111"/>
  <c r="AB72" i="111" s="1"/>
  <c r="K32" i="109"/>
  <c r="G13" i="109"/>
  <c r="D13" i="109" s="1"/>
  <c r="X28" i="110"/>
  <c r="L40" i="110"/>
  <c r="O37" i="110"/>
  <c r="Y42" i="110"/>
  <c r="Y60" i="110" s="1"/>
  <c r="K29" i="111"/>
  <c r="K64" i="111" s="1"/>
  <c r="E39" i="110"/>
  <c r="E57" i="110" s="1"/>
  <c r="S93" i="110"/>
  <c r="S52" i="111"/>
  <c r="S101" i="111" s="1"/>
  <c r="K81" i="111"/>
  <c r="AB71" i="110"/>
  <c r="AC24" i="111"/>
  <c r="AC25" i="111" s="1"/>
  <c r="AC26" i="111" s="1"/>
  <c r="AB29" i="110"/>
  <c r="AB29" i="111"/>
  <c r="AB64" i="111" s="1"/>
  <c r="AB15" i="111"/>
  <c r="AB21" i="111" s="1"/>
  <c r="AD36" i="110"/>
  <c r="AD15" i="110" s="1"/>
  <c r="AD40" i="110"/>
  <c r="G32" i="109"/>
  <c r="D32" i="109" s="1"/>
  <c r="Z37" i="111"/>
  <c r="Z73" i="111" s="1"/>
  <c r="Z42" i="110"/>
  <c r="Z60" i="110" s="1"/>
  <c r="Z69" i="110" s="1"/>
  <c r="AA24" i="111"/>
  <c r="Z29" i="110"/>
  <c r="AA83" i="110"/>
  <c r="AA95" i="110" s="1"/>
  <c r="Y40" i="111"/>
  <c r="G29" i="109"/>
  <c r="D29" i="109" s="1"/>
  <c r="X16" i="111"/>
  <c r="W28" i="110"/>
  <c r="W20" i="110"/>
  <c r="W21" i="110"/>
  <c r="V40" i="110"/>
  <c r="V42" i="110"/>
  <c r="V60" i="110" s="1"/>
  <c r="G26" i="109"/>
  <c r="D26" i="109" s="1"/>
  <c r="S71" i="111"/>
  <c r="T16" i="111"/>
  <c r="T23" i="111"/>
  <c r="T25" i="111" s="1"/>
  <c r="O63" i="111"/>
  <c r="R16" i="111"/>
  <c r="S83" i="110"/>
  <c r="S95" i="110" s="1"/>
  <c r="O45" i="110"/>
  <c r="P54" i="111"/>
  <c r="P84" i="111" s="1"/>
  <c r="M45" i="110"/>
  <c r="M63" i="110" s="1"/>
  <c r="N54" i="111"/>
  <c r="N84" i="111" s="1"/>
  <c r="M93" i="110"/>
  <c r="M96" i="111"/>
  <c r="M54" i="111"/>
  <c r="M84" i="111" s="1"/>
  <c r="K96" i="111"/>
  <c r="L52" i="111"/>
  <c r="K39" i="111"/>
  <c r="K75" i="111" s="1"/>
  <c r="L15" i="111"/>
  <c r="K82" i="111"/>
  <c r="K68" i="111"/>
  <c r="K71" i="111"/>
  <c r="K69" i="111"/>
  <c r="K74" i="111"/>
  <c r="K83" i="110"/>
  <c r="K95" i="110" s="1"/>
  <c r="K54" i="111"/>
  <c r="K84" i="111" s="1"/>
  <c r="K15" i="109"/>
  <c r="H21" i="110"/>
  <c r="J28" i="110"/>
  <c r="J31" i="111"/>
  <c r="H24" i="111"/>
  <c r="I15" i="109"/>
  <c r="H15" i="111"/>
  <c r="G64" i="111"/>
  <c r="I13" i="109"/>
  <c r="G20" i="110"/>
  <c r="D40" i="111"/>
  <c r="F62" i="110"/>
  <c r="F28" i="110"/>
  <c r="E54" i="111"/>
  <c r="I9" i="109"/>
  <c r="D54" i="111"/>
  <c r="F46" i="110"/>
  <c r="F65" i="110" s="1"/>
  <c r="D36" i="111"/>
  <c r="D32" i="111"/>
  <c r="K9" i="109"/>
  <c r="C17" i="111"/>
  <c r="C19" i="110"/>
  <c r="B47" i="110"/>
  <c r="C46" i="110"/>
  <c r="C65" i="110" s="1"/>
  <c r="B52" i="111"/>
  <c r="B45" i="110"/>
  <c r="I7" i="109"/>
  <c r="B33" i="111"/>
  <c r="V36" i="111"/>
  <c r="V72" i="111" s="1"/>
  <c r="V44" i="110"/>
  <c r="V62" i="110" s="1"/>
  <c r="K39" i="110"/>
  <c r="K57" i="110" s="1"/>
  <c r="K31" i="111"/>
  <c r="K66" i="111" s="1"/>
  <c r="G45" i="110"/>
  <c r="G37" i="111"/>
  <c r="L28" i="111"/>
  <c r="L62" i="111" s="1"/>
  <c r="P16" i="111"/>
  <c r="Y36" i="111"/>
  <c r="Y72" i="111" s="1"/>
  <c r="D36" i="110"/>
  <c r="J40" i="110"/>
  <c r="B21" i="110"/>
  <c r="B17" i="111"/>
  <c r="K10" i="109"/>
  <c r="C40" i="110"/>
  <c r="C58" i="110" s="1"/>
  <c r="C32" i="111"/>
  <c r="G23" i="111"/>
  <c r="G28" i="110"/>
  <c r="D24" i="111"/>
  <c r="D29" i="110"/>
  <c r="AC45" i="110"/>
  <c r="T21" i="110"/>
  <c r="T17" i="111"/>
  <c r="F45" i="110"/>
  <c r="F37" i="111"/>
  <c r="F73" i="111" s="1"/>
  <c r="H37" i="110"/>
  <c r="H29" i="111"/>
  <c r="H64" i="111" s="1"/>
  <c r="AB45" i="110"/>
  <c r="Y71" i="110"/>
  <c r="Y96" i="111"/>
  <c r="I71" i="110"/>
  <c r="I96" i="111"/>
  <c r="AC33" i="111"/>
  <c r="AC68" i="111" s="1"/>
  <c r="AC41" i="110"/>
  <c r="AC59" i="110" s="1"/>
  <c r="X42" i="110"/>
  <c r="X60" i="110" s="1"/>
  <c r="X34" i="111"/>
  <c r="X69" i="111" s="1"/>
  <c r="S28" i="111"/>
  <c r="S96" i="111"/>
  <c r="N71" i="110"/>
  <c r="T29" i="110"/>
  <c r="L36" i="110"/>
  <c r="Y32" i="111"/>
  <c r="Y67" i="111" s="1"/>
  <c r="H34" i="111"/>
  <c r="H69" i="111" s="1"/>
  <c r="W39" i="110"/>
  <c r="W57" i="110" s="1"/>
  <c r="C33" i="111"/>
  <c r="D15" i="111"/>
  <c r="D21" i="111" s="1"/>
  <c r="P96" i="111"/>
  <c r="N41" i="110"/>
  <c r="N59" i="110" s="1"/>
  <c r="R29" i="111"/>
  <c r="R64" i="111" s="1"/>
  <c r="S36" i="110"/>
  <c r="Y45" i="110"/>
  <c r="P32" i="111"/>
  <c r="P67" i="111" s="1"/>
  <c r="AD71" i="110"/>
  <c r="K42" i="110"/>
  <c r="K60" i="110" s="1"/>
  <c r="AC37" i="111"/>
  <c r="AC73" i="111" s="1"/>
  <c r="H23" i="111"/>
  <c r="J96" i="111"/>
  <c r="Z15" i="111"/>
  <c r="AB34" i="111"/>
  <c r="AB69" i="111" s="1"/>
  <c r="R24" i="111"/>
  <c r="AA44" i="110"/>
  <c r="AA62" i="110" s="1"/>
  <c r="AA69" i="110" s="1"/>
  <c r="G31" i="111"/>
  <c r="G66" i="111" s="1"/>
  <c r="G39" i="110"/>
  <c r="L33" i="111"/>
  <c r="L68" i="111" s="1"/>
  <c r="L41" i="110"/>
  <c r="L59" i="110" s="1"/>
  <c r="D29" i="111"/>
  <c r="D37" i="110"/>
  <c r="Z46" i="110"/>
  <c r="Z65" i="110" s="1"/>
  <c r="Z39" i="111"/>
  <c r="Z75" i="111" s="1"/>
  <c r="C31" i="111"/>
  <c r="Y19" i="110"/>
  <c r="Y15" i="111"/>
  <c r="P23" i="111"/>
  <c r="P28" i="110"/>
  <c r="L63" i="110"/>
  <c r="L31" i="110"/>
  <c r="J28" i="111"/>
  <c r="J63" i="111" s="1"/>
  <c r="J36" i="110"/>
  <c r="J15" i="110" s="1"/>
  <c r="F34" i="111"/>
  <c r="F69" i="111" s="1"/>
  <c r="V71" i="110"/>
  <c r="V96" i="111"/>
  <c r="O33" i="111"/>
  <c r="O68" i="111" s="1"/>
  <c r="J25" i="111"/>
  <c r="M40" i="111"/>
  <c r="O96" i="111"/>
  <c r="G24" i="111"/>
  <c r="M21" i="110"/>
  <c r="U40" i="110"/>
  <c r="Q21" i="110"/>
  <c r="Z36" i="111"/>
  <c r="Z72" i="111" s="1"/>
  <c r="L28" i="110"/>
  <c r="T40" i="111"/>
  <c r="T47" i="110"/>
  <c r="N20" i="110"/>
  <c r="P33" i="111"/>
  <c r="P68" i="111" s="1"/>
  <c r="Y39" i="111"/>
  <c r="Y75" i="111" s="1"/>
  <c r="Y46" i="110"/>
  <c r="Y65" i="110" s="1"/>
  <c r="P36" i="110"/>
  <c r="P15" i="110" s="1"/>
  <c r="AC19" i="110"/>
  <c r="AC15" i="111"/>
  <c r="U20" i="110"/>
  <c r="R19" i="110"/>
  <c r="R15" i="111"/>
  <c r="G34" i="109"/>
  <c r="D34" i="109" s="1"/>
  <c r="G22" i="109"/>
  <c r="D22" i="109" s="1"/>
  <c r="K11" i="109"/>
  <c r="AB69" i="110"/>
  <c r="W40" i="111"/>
  <c r="AB83" i="110"/>
  <c r="AB95" i="110" s="1"/>
  <c r="AH102" i="110"/>
  <c r="AH104" i="110" s="1"/>
  <c r="J83" i="110"/>
  <c r="J95" i="110" s="1"/>
  <c r="D52" i="111"/>
  <c r="D101" i="111" s="1"/>
  <c r="L54" i="111"/>
  <c r="L84" i="111" s="1"/>
  <c r="G63" i="111"/>
  <c r="D58" i="110"/>
  <c r="F80" i="111"/>
  <c r="F68" i="111"/>
  <c r="D60" i="110"/>
  <c r="D92" i="110"/>
  <c r="D61" i="110"/>
  <c r="F74" i="111"/>
  <c r="R80" i="111"/>
  <c r="U69" i="111"/>
  <c r="D56" i="110"/>
  <c r="F72" i="111"/>
  <c r="F71" i="111"/>
  <c r="R81" i="111"/>
  <c r="U62" i="111"/>
  <c r="F81" i="111"/>
  <c r="F66" i="111"/>
  <c r="U73" i="111"/>
  <c r="U80" i="111"/>
  <c r="Q74" i="111"/>
  <c r="Q75" i="111"/>
  <c r="Q71" i="111"/>
  <c r="AE20" i="110"/>
  <c r="AE22" i="110" s="1"/>
  <c r="AE89" i="110" s="1"/>
  <c r="AD41" i="110"/>
  <c r="AD59" i="110" s="1"/>
  <c r="AC83" i="110"/>
  <c r="AC95" i="110" s="1"/>
  <c r="Y24" i="111"/>
  <c r="Z96" i="111"/>
  <c r="Z33" i="111"/>
  <c r="Z68" i="111" s="1"/>
  <c r="Z45" i="110"/>
  <c r="Z83" i="110"/>
  <c r="Z95" i="110" s="1"/>
  <c r="X21" i="110"/>
  <c r="X80" i="111"/>
  <c r="X75" i="111"/>
  <c r="K28" i="109"/>
  <c r="V83" i="110"/>
  <c r="V95" i="110" s="1"/>
  <c r="V39" i="111"/>
  <c r="V75" i="111" s="1"/>
  <c r="V16" i="111"/>
  <c r="W32" i="111"/>
  <c r="W67" i="111" s="1"/>
  <c r="V24" i="111"/>
  <c r="U39" i="111"/>
  <c r="U75" i="111" s="1"/>
  <c r="P31" i="110"/>
  <c r="P63" i="110"/>
  <c r="G16" i="109"/>
  <c r="H67" i="111"/>
  <c r="H75" i="111"/>
  <c r="H68" i="111"/>
  <c r="I64" i="111"/>
  <c r="H66" i="111"/>
  <c r="I80" i="111"/>
  <c r="H80" i="111"/>
  <c r="H81" i="111"/>
  <c r="H82" i="111"/>
  <c r="H71" i="111"/>
  <c r="G54" i="111"/>
  <c r="G84" i="111" s="1"/>
  <c r="G83" i="110"/>
  <c r="G95" i="110" s="1"/>
  <c r="C28" i="110"/>
  <c r="C37" i="111"/>
  <c r="C96" i="111"/>
  <c r="C111" i="110"/>
  <c r="AH111" i="110" s="1"/>
  <c r="B71" i="110"/>
  <c r="G7" i="109"/>
  <c r="D7" i="109" s="1"/>
  <c r="C20" i="110"/>
  <c r="C91" i="110"/>
  <c r="C64" i="111"/>
  <c r="X62" i="111"/>
  <c r="C59" i="110"/>
  <c r="C63" i="110"/>
  <c r="L67" i="111"/>
  <c r="C61" i="110"/>
  <c r="L71" i="111"/>
  <c r="Q81" i="111"/>
  <c r="I81" i="111"/>
  <c r="X72" i="111"/>
  <c r="X74" i="111"/>
  <c r="X71" i="111"/>
  <c r="C57" i="110"/>
  <c r="D62" i="110"/>
  <c r="Q80" i="111"/>
  <c r="I75" i="111"/>
  <c r="X81" i="111"/>
  <c r="L74" i="111"/>
  <c r="AD69" i="110"/>
  <c r="C92" i="110"/>
  <c r="C93" i="110"/>
  <c r="X67" i="111"/>
  <c r="N28" i="111"/>
  <c r="N62" i="111" s="1"/>
  <c r="N36" i="110"/>
  <c r="N15" i="110" s="1"/>
  <c r="Q40" i="110"/>
  <c r="Q32" i="111"/>
  <c r="Q67" i="111" s="1"/>
  <c r="AC29" i="111"/>
  <c r="AC64" i="111" s="1"/>
  <c r="AC37" i="110"/>
  <c r="P37" i="110"/>
  <c r="P29" i="111"/>
  <c r="P64" i="111" s="1"/>
  <c r="H28" i="111"/>
  <c r="H63" i="111" s="1"/>
  <c r="J34" i="111"/>
  <c r="J42" i="110"/>
  <c r="J60" i="110" s="1"/>
  <c r="AE71" i="110"/>
  <c r="AE26" i="110" s="1"/>
  <c r="W71" i="110"/>
  <c r="W96" i="111"/>
  <c r="M28" i="110"/>
  <c r="M23" i="111"/>
  <c r="M25" i="111" s="1"/>
  <c r="M26" i="111" s="1"/>
  <c r="B39" i="111"/>
  <c r="B28" i="110"/>
  <c r="AE42" i="110"/>
  <c r="AE60" i="110" s="1"/>
  <c r="AE69" i="110" s="1"/>
  <c r="V31" i="111"/>
  <c r="V66" i="111" s="1"/>
  <c r="V39" i="110"/>
  <c r="V57" i="110" s="1"/>
  <c r="B40" i="110"/>
  <c r="B32" i="111"/>
  <c r="L29" i="110"/>
  <c r="L24" i="111"/>
  <c r="M46" i="110"/>
  <c r="M65" i="110" s="1"/>
  <c r="M39" i="111"/>
  <c r="M75" i="111" s="1"/>
  <c r="V28" i="110"/>
  <c r="V23" i="111"/>
  <c r="Q36" i="111"/>
  <c r="Q72" i="111" s="1"/>
  <c r="Q44" i="110"/>
  <c r="Q62" i="110" s="1"/>
  <c r="Q69" i="110" s="1"/>
  <c r="R32" i="111"/>
  <c r="R67" i="111" s="1"/>
  <c r="J17" i="111"/>
  <c r="J21" i="110"/>
  <c r="E42" i="110"/>
  <c r="E60" i="110" s="1"/>
  <c r="E34" i="111"/>
  <c r="AC40" i="110"/>
  <c r="W37" i="111"/>
  <c r="W73" i="111" s="1"/>
  <c r="W45" i="110"/>
  <c r="Y23" i="111"/>
  <c r="F29" i="111"/>
  <c r="F64" i="111" s="1"/>
  <c r="F37" i="110"/>
  <c r="X29" i="111"/>
  <c r="X64" i="111" s="1"/>
  <c r="X37" i="110"/>
  <c r="G17" i="111"/>
  <c r="E62" i="110"/>
  <c r="E36" i="111"/>
  <c r="M15" i="111"/>
  <c r="M19" i="110"/>
  <c r="M26" i="110" s="1"/>
  <c r="Q39" i="110"/>
  <c r="Q57" i="110" s="1"/>
  <c r="S31" i="111"/>
  <c r="S66" i="111" s="1"/>
  <c r="Q31" i="111"/>
  <c r="Q66" i="111" s="1"/>
  <c r="T33" i="111"/>
  <c r="W34" i="111"/>
  <c r="W69" i="111" s="1"/>
  <c r="N36" i="111"/>
  <c r="N72" i="111" s="1"/>
  <c r="N44" i="110"/>
  <c r="N62" i="110" s="1"/>
  <c r="AE40" i="110"/>
  <c r="AE58" i="110" s="1"/>
  <c r="P42" i="110"/>
  <c r="P60" i="110" s="1"/>
  <c r="W36" i="110"/>
  <c r="W54" i="110" s="1"/>
  <c r="C42" i="110"/>
  <c r="C60" i="110" s="1"/>
  <c r="C34" i="111"/>
  <c r="L39" i="111"/>
  <c r="L75" i="111" s="1"/>
  <c r="Z47" i="110"/>
  <c r="H36" i="110"/>
  <c r="V47" i="110"/>
  <c r="O38" i="31"/>
  <c r="R31" i="111"/>
  <c r="R66" i="111" s="1"/>
  <c r="N31" i="111"/>
  <c r="N66" i="111" s="1"/>
  <c r="O31" i="111"/>
  <c r="O66" i="111" s="1"/>
  <c r="N39" i="110"/>
  <c r="N57" i="110" s="1"/>
  <c r="AE41" i="110"/>
  <c r="AE59" i="110" s="1"/>
  <c r="C47" i="110"/>
  <c r="C40" i="111"/>
  <c r="AB36" i="110"/>
  <c r="AC21" i="110"/>
  <c r="AC17" i="111"/>
  <c r="AA16" i="111"/>
  <c r="AA20" i="110"/>
  <c r="F47" i="110"/>
  <c r="F40" i="111"/>
  <c r="B34" i="111"/>
  <c r="B42" i="110"/>
  <c r="B60" i="110" s="1"/>
  <c r="T36" i="111"/>
  <c r="Y37" i="110"/>
  <c r="Y29" i="111"/>
  <c r="Y64" i="111" s="1"/>
  <c r="Y30" i="110"/>
  <c r="I29" i="109"/>
  <c r="L31" i="111"/>
  <c r="L66" i="111" s="1"/>
  <c r="S21" i="110"/>
  <c r="K41" i="110"/>
  <c r="K59" i="110" s="1"/>
  <c r="AA21" i="111"/>
  <c r="AA31" i="111"/>
  <c r="AA39" i="110"/>
  <c r="AA57" i="110" s="1"/>
  <c r="K47" i="110"/>
  <c r="K40" i="111"/>
  <c r="I21" i="109"/>
  <c r="I20" i="109"/>
  <c r="O20" i="109"/>
  <c r="R20" i="109" s="1"/>
  <c r="B36" i="111"/>
  <c r="B44" i="110"/>
  <c r="B62" i="110" s="1"/>
  <c r="N37" i="110"/>
  <c r="N29" i="111"/>
  <c r="N64" i="111" s="1"/>
  <c r="I42" i="110"/>
  <c r="I60" i="110" s="1"/>
  <c r="I34" i="111"/>
  <c r="I69" i="111" s="1"/>
  <c r="AE46" i="110"/>
  <c r="AE65" i="110" s="1"/>
  <c r="E36" i="110"/>
  <c r="E28" i="111"/>
  <c r="E63" i="111" s="1"/>
  <c r="AA28" i="111"/>
  <c r="AA63" i="111" s="1"/>
  <c r="G15" i="109"/>
  <c r="D15" i="109" s="1"/>
  <c r="Y33" i="111"/>
  <c r="Y68" i="111" s="1"/>
  <c r="Y41" i="110"/>
  <c r="Y59" i="110" s="1"/>
  <c r="T37" i="111"/>
  <c r="T45" i="110"/>
  <c r="Y54" i="110"/>
  <c r="AE30" i="110"/>
  <c r="AE15" i="110"/>
  <c r="S37" i="111"/>
  <c r="S73" i="111" s="1"/>
  <c r="AB39" i="110"/>
  <c r="AB57" i="110" s="1"/>
  <c r="AB31" i="111"/>
  <c r="I17" i="111"/>
  <c r="B16" i="111"/>
  <c r="I33" i="109"/>
  <c r="I32" i="109"/>
  <c r="G11" i="109"/>
  <c r="D11" i="109" s="1"/>
  <c r="G10" i="109"/>
  <c r="D10" i="109" s="1"/>
  <c r="M29" i="111"/>
  <c r="M64" i="111" s="1"/>
  <c r="M37" i="110"/>
  <c r="I33" i="111"/>
  <c r="I68" i="111" s="1"/>
  <c r="I41" i="110"/>
  <c r="I59" i="110" s="1"/>
  <c r="I23" i="111"/>
  <c r="I25" i="111" s="1"/>
  <c r="I26" i="111" s="1"/>
  <c r="I28" i="110"/>
  <c r="J37" i="111"/>
  <c r="J45" i="110"/>
  <c r="J31" i="110" s="1"/>
  <c r="J33" i="111"/>
  <c r="J41" i="110"/>
  <c r="J59" i="110" s="1"/>
  <c r="P15" i="111"/>
  <c r="P19" i="110"/>
  <c r="P29" i="110"/>
  <c r="P24" i="111"/>
  <c r="H96" i="111"/>
  <c r="H71" i="110"/>
  <c r="E29" i="110"/>
  <c r="AG90" i="111"/>
  <c r="G14" i="109"/>
  <c r="D14" i="109" s="1"/>
  <c r="D17" i="111"/>
  <c r="AH105" i="110"/>
  <c r="I12" i="109"/>
  <c r="B28" i="111"/>
  <c r="B63" i="111" s="1"/>
  <c r="P63" i="111"/>
  <c r="L36" i="111"/>
  <c r="L72" i="111" s="1"/>
  <c r="K19" i="109"/>
  <c r="Z26" i="110"/>
  <c r="I30" i="109"/>
  <c r="Y83" i="110"/>
  <c r="Y95" i="110" s="1"/>
  <c r="W63" i="111"/>
  <c r="W72" i="111"/>
  <c r="W80" i="111"/>
  <c r="W71" i="111"/>
  <c r="W81" i="111"/>
  <c r="W62" i="111"/>
  <c r="G24" i="109"/>
  <c r="D24" i="109" s="1"/>
  <c r="R69" i="110"/>
  <c r="R63" i="111"/>
  <c r="G18" i="109"/>
  <c r="F30" i="110"/>
  <c r="F28" i="111"/>
  <c r="F63" i="111" s="1"/>
  <c r="E37" i="111"/>
  <c r="E45" i="110"/>
  <c r="E31" i="110" s="1"/>
  <c r="E71" i="110"/>
  <c r="E28" i="110"/>
  <c r="F25" i="111"/>
  <c r="F26" i="111" s="1"/>
  <c r="E23" i="111"/>
  <c r="E25" i="111" s="1"/>
  <c r="E16" i="111"/>
  <c r="E115" i="110"/>
  <c r="F83" i="110"/>
  <c r="F95" i="110" s="1"/>
  <c r="AG95" i="111"/>
  <c r="I8" i="109"/>
  <c r="I72" i="111"/>
  <c r="N80" i="111"/>
  <c r="N68" i="111"/>
  <c r="N81" i="111"/>
  <c r="N71" i="111"/>
  <c r="N73" i="111"/>
  <c r="I71" i="111"/>
  <c r="T65" i="110"/>
  <c r="O69" i="111"/>
  <c r="P81" i="111"/>
  <c r="O81" i="111"/>
  <c r="F84" i="111"/>
  <c r="P75" i="111"/>
  <c r="P66" i="111"/>
  <c r="V80" i="111"/>
  <c r="O62" i="111"/>
  <c r="J61" i="110"/>
  <c r="J62" i="110"/>
  <c r="V68" i="111"/>
  <c r="V69" i="111"/>
  <c r="O64" i="111"/>
  <c r="J56" i="110"/>
  <c r="V74" i="111"/>
  <c r="J57" i="110"/>
  <c r="I66" i="111"/>
  <c r="M73" i="111"/>
  <c r="M81" i="111"/>
  <c r="O80" i="111"/>
  <c r="M71" i="111"/>
  <c r="T92" i="110"/>
  <c r="S81" i="111"/>
  <c r="U67" i="111"/>
  <c r="I73" i="111"/>
  <c r="F75" i="111"/>
  <c r="L80" i="111"/>
  <c r="V81" i="111"/>
  <c r="M68" i="111"/>
  <c r="T56" i="110"/>
  <c r="M72" i="111"/>
  <c r="T61" i="110"/>
  <c r="O74" i="111"/>
  <c r="M66" i="111"/>
  <c r="V71" i="111"/>
  <c r="T62" i="110"/>
  <c r="J93" i="110"/>
  <c r="F60" i="110"/>
  <c r="E40" i="110"/>
  <c r="E32" i="111"/>
  <c r="L38" i="31"/>
  <c r="E46" i="110"/>
  <c r="E65" i="110" s="1"/>
  <c r="E39" i="111"/>
  <c r="V45" i="110"/>
  <c r="V37" i="111"/>
  <c r="Q41" i="110"/>
  <c r="Q59" i="110" s="1"/>
  <c r="S33" i="111"/>
  <c r="S68" i="111" s="1"/>
  <c r="Q33" i="111"/>
  <c r="Q68" i="111" s="1"/>
  <c r="R33" i="111"/>
  <c r="S32" i="111"/>
  <c r="S67" i="111" s="1"/>
  <c r="X71" i="110"/>
  <c r="X96" i="111"/>
  <c r="R71" i="110"/>
  <c r="U44" i="110"/>
  <c r="U36" i="111"/>
  <c r="U72" i="111" s="1"/>
  <c r="I40" i="110"/>
  <c r="I32" i="111"/>
  <c r="I67" i="111" s="1"/>
  <c r="R31" i="110"/>
  <c r="R63" i="110"/>
  <c r="D20" i="110"/>
  <c r="D16" i="111"/>
  <c r="K30" i="109"/>
  <c r="K29" i="109"/>
  <c r="K26" i="109"/>
  <c r="K27" i="109"/>
  <c r="L69" i="110"/>
  <c r="Q37" i="110"/>
  <c r="Q29" i="111"/>
  <c r="K36" i="111"/>
  <c r="K72" i="111" s="1"/>
  <c r="K44" i="110"/>
  <c r="K62" i="110" s="1"/>
  <c r="X45" i="110"/>
  <c r="X37" i="111"/>
  <c r="W29" i="111"/>
  <c r="W64" i="111" s="1"/>
  <c r="W37" i="110"/>
  <c r="AC71" i="110"/>
  <c r="AC36" i="110"/>
  <c r="J38" i="31"/>
  <c r="AC28" i="111"/>
  <c r="AC63" i="111" s="1"/>
  <c r="K19" i="110"/>
  <c r="K26" i="110" s="1"/>
  <c r="C38" i="31"/>
  <c r="K15" i="111"/>
  <c r="M67" i="111"/>
  <c r="AA40" i="111"/>
  <c r="AA47" i="110"/>
  <c r="N40" i="110"/>
  <c r="N32" i="111"/>
  <c r="AD37" i="110"/>
  <c r="B37" i="110"/>
  <c r="B29" i="111"/>
  <c r="AD19" i="110"/>
  <c r="L40" i="111"/>
  <c r="K36" i="110"/>
  <c r="K15" i="110" s="1"/>
  <c r="K28" i="111"/>
  <c r="K63" i="111" s="1"/>
  <c r="AA45" i="110"/>
  <c r="G30" i="109"/>
  <c r="D30" i="109" s="1"/>
  <c r="G8" i="109"/>
  <c r="D8" i="109" s="1"/>
  <c r="D41" i="110"/>
  <c r="D33" i="111"/>
  <c r="I28" i="111"/>
  <c r="I63" i="111" s="1"/>
  <c r="I36" i="110"/>
  <c r="I15" i="110" s="1"/>
  <c r="S23" i="111"/>
  <c r="S28" i="110"/>
  <c r="F15" i="111"/>
  <c r="F19" i="110"/>
  <c r="T36" i="110"/>
  <c r="T15" i="110" s="1"/>
  <c r="T28" i="111"/>
  <c r="T63" i="111" s="1"/>
  <c r="W41" i="110"/>
  <c r="W59" i="110" s="1"/>
  <c r="W33" i="111"/>
  <c r="W68" i="111" s="1"/>
  <c r="T19" i="110"/>
  <c r="T15" i="111"/>
  <c r="U23" i="111"/>
  <c r="U25" i="111" s="1"/>
  <c r="U26" i="111" s="1"/>
  <c r="U28" i="110"/>
  <c r="AB41" i="110"/>
  <c r="AB59" i="110" s="1"/>
  <c r="AB33" i="111"/>
  <c r="AB68" i="111" s="1"/>
  <c r="I44" i="110"/>
  <c r="AB17" i="111"/>
  <c r="AB21" i="110"/>
  <c r="W29" i="110"/>
  <c r="W24" i="111"/>
  <c r="S36" i="111"/>
  <c r="S72" i="111" s="1"/>
  <c r="AE28" i="110"/>
  <c r="K33" i="109"/>
  <c r="K34" i="109"/>
  <c r="AC36" i="111"/>
  <c r="AC72" i="111" s="1"/>
  <c r="AC44" i="110"/>
  <c r="AC62" i="110" s="1"/>
  <c r="AC69" i="110" s="1"/>
  <c r="V19" i="110"/>
  <c r="V15" i="111"/>
  <c r="O29" i="110"/>
  <c r="O24" i="111"/>
  <c r="F71" i="110"/>
  <c r="F96" i="111"/>
  <c r="G23" i="109"/>
  <c r="D23" i="109" s="1"/>
  <c r="E59" i="110"/>
  <c r="G31" i="109"/>
  <c r="D31" i="109" s="1"/>
  <c r="G25" i="109"/>
  <c r="D25" i="109" s="1"/>
  <c r="S65" i="110"/>
  <c r="F82" i="111"/>
  <c r="F101" i="111"/>
  <c r="T115" i="110"/>
  <c r="I93" i="110"/>
  <c r="I115" i="110"/>
  <c r="Z93" i="110"/>
  <c r="Z115" i="110"/>
  <c r="J52" i="111"/>
  <c r="J101" i="111" s="1"/>
  <c r="Q95" i="110"/>
  <c r="AD83" i="110"/>
  <c r="AD95" i="110" s="1"/>
  <c r="B54" i="111"/>
  <c r="G80" i="111"/>
  <c r="AE83" i="110"/>
  <c r="AE95" i="110" s="1"/>
  <c r="S80" i="111"/>
  <c r="R54" i="111"/>
  <c r="R84" i="111" s="1"/>
  <c r="AA93" i="110"/>
  <c r="R95" i="110"/>
  <c r="G81" i="111"/>
  <c r="G62" i="111"/>
  <c r="G82" i="111"/>
  <c r="G74" i="111"/>
  <c r="G72" i="111"/>
  <c r="G71" i="111"/>
  <c r="E56" i="110"/>
  <c r="E92" i="110"/>
  <c r="E61" i="110"/>
  <c r="E91" i="110"/>
  <c r="Z81" i="111"/>
  <c r="Z80" i="111"/>
  <c r="Y81" i="111"/>
  <c r="U71" i="111"/>
  <c r="G21" i="109"/>
  <c r="D21" i="109" s="1"/>
  <c r="R62" i="111"/>
  <c r="P80" i="111"/>
  <c r="P62" i="111"/>
  <c r="P72" i="111"/>
  <c r="P74" i="111"/>
  <c r="N38" i="31"/>
  <c r="O57" i="110"/>
  <c r="O60" i="110"/>
  <c r="O59" i="110"/>
  <c r="O115" i="110"/>
  <c r="P52" i="111"/>
  <c r="O101" i="111"/>
  <c r="O82" i="111"/>
  <c r="O54" i="111"/>
  <c r="O61" i="110"/>
  <c r="O72" i="111"/>
  <c r="O65" i="110"/>
  <c r="S15" i="110" l="1"/>
  <c r="S50" i="110"/>
  <c r="G15" i="110"/>
  <c r="G54" i="110"/>
  <c r="G50" i="110"/>
  <c r="G60" i="110"/>
  <c r="G69" i="110" s="1"/>
  <c r="AH42" i="110"/>
  <c r="AH99" i="110" s="1"/>
  <c r="AJ99" i="110" s="1"/>
  <c r="AH20" i="110"/>
  <c r="AH21" i="110"/>
  <c r="R22" i="110"/>
  <c r="R89" i="110" s="1"/>
  <c r="Q50" i="110"/>
  <c r="G38" i="31"/>
  <c r="L30" i="110"/>
  <c r="L32" i="110" s="1"/>
  <c r="L15" i="110"/>
  <c r="Q32" i="110"/>
  <c r="G10" i="23"/>
  <c r="Z38" i="31"/>
  <c r="AB38" i="31" s="1"/>
  <c r="AD38" i="31" s="1"/>
  <c r="S54" i="110"/>
  <c r="E54" i="110"/>
  <c r="E15" i="110"/>
  <c r="AH29" i="110"/>
  <c r="C69" i="110"/>
  <c r="H30" i="110"/>
  <c r="H32" i="110" s="1"/>
  <c r="H15" i="110"/>
  <c r="O30" i="110"/>
  <c r="O15" i="110"/>
  <c r="D54" i="110"/>
  <c r="D15" i="110"/>
  <c r="C30" i="110"/>
  <c r="C32" i="110" s="1"/>
  <c r="C15" i="110"/>
  <c r="H38" i="29"/>
  <c r="AH19" i="110"/>
  <c r="C54" i="111"/>
  <c r="AG54" i="111" s="1"/>
  <c r="Q62" i="111"/>
  <c r="AC62" i="111"/>
  <c r="Y62" i="111"/>
  <c r="Y78" i="111" s="1"/>
  <c r="C54" i="110"/>
  <c r="C68" i="110" s="1"/>
  <c r="C83" i="110"/>
  <c r="C95" i="110" s="1"/>
  <c r="M8" i="29"/>
  <c r="Q82" i="111"/>
  <c r="B22" i="110"/>
  <c r="B89" i="110" s="1"/>
  <c r="AA62" i="111"/>
  <c r="AA78" i="111" s="1"/>
  <c r="Z63" i="111"/>
  <c r="AH71" i="110"/>
  <c r="AH41" i="110"/>
  <c r="AH59" i="110" s="1"/>
  <c r="AJ59" i="110" s="1"/>
  <c r="AH40" i="110"/>
  <c r="AH58" i="110" s="1"/>
  <c r="AJ58" i="110" s="1"/>
  <c r="E26" i="110"/>
  <c r="B63" i="110"/>
  <c r="AH45" i="110"/>
  <c r="B54" i="110"/>
  <c r="AH36" i="110"/>
  <c r="B57" i="110"/>
  <c r="AH39" i="110"/>
  <c r="AH57" i="110" s="1"/>
  <c r="AJ57" i="110" s="1"/>
  <c r="AH28" i="110"/>
  <c r="AH37" i="110"/>
  <c r="AH55" i="110" s="1"/>
  <c r="AJ55" i="110" s="1"/>
  <c r="AB26" i="110"/>
  <c r="H22" i="110"/>
  <c r="H89" i="110" s="1"/>
  <c r="W26" i="110"/>
  <c r="AF79" i="111"/>
  <c r="Q22" i="110"/>
  <c r="Q89" i="110" s="1"/>
  <c r="H26" i="110"/>
  <c r="AF78" i="111"/>
  <c r="L18" i="109"/>
  <c r="E22" i="110"/>
  <c r="E89" i="110" s="1"/>
  <c r="S38" i="31"/>
  <c r="I22" i="110"/>
  <c r="I89" i="110" s="1"/>
  <c r="X21" i="111"/>
  <c r="AG15" i="111"/>
  <c r="I26" i="110"/>
  <c r="AG9" i="111"/>
  <c r="B21" i="111"/>
  <c r="C21" i="111"/>
  <c r="C18" i="111"/>
  <c r="C59" i="111" s="1"/>
  <c r="D26" i="110"/>
  <c r="G26" i="110"/>
  <c r="L22" i="110"/>
  <c r="L89" i="110" s="1"/>
  <c r="D18" i="109"/>
  <c r="O18" i="109" s="1"/>
  <c r="R18" i="109" s="1"/>
  <c r="D16" i="109"/>
  <c r="O16" i="109" s="1"/>
  <c r="R16" i="109" s="1"/>
  <c r="R50" i="110"/>
  <c r="D28" i="109"/>
  <c r="O28" i="109" s="1"/>
  <c r="R28" i="109" s="1"/>
  <c r="R82" i="111"/>
  <c r="J22" i="110"/>
  <c r="J89" i="110" s="1"/>
  <c r="B101" i="111"/>
  <c r="AG52" i="111"/>
  <c r="AG101" i="111" s="1"/>
  <c r="K38" i="109"/>
  <c r="D40" i="31"/>
  <c r="D43" i="31" s="1"/>
  <c r="D45" i="31" s="1"/>
  <c r="D47" i="31" s="1"/>
  <c r="D49" i="31" s="1"/>
  <c r="G38" i="109"/>
  <c r="P22" i="110"/>
  <c r="P89" i="110" s="1"/>
  <c r="T50" i="110"/>
  <c r="B74" i="111"/>
  <c r="K50" i="110"/>
  <c r="Y50" i="110"/>
  <c r="O50" i="110"/>
  <c r="P50" i="110"/>
  <c r="AE57" i="110"/>
  <c r="AE50" i="110"/>
  <c r="W50" i="110"/>
  <c r="N50" i="110"/>
  <c r="D50" i="110"/>
  <c r="Z50" i="110"/>
  <c r="AA50" i="110"/>
  <c r="C50" i="110"/>
  <c r="V58" i="110"/>
  <c r="V50" i="110"/>
  <c r="J58" i="110"/>
  <c r="J50" i="110"/>
  <c r="X58" i="110"/>
  <c r="X50" i="110"/>
  <c r="AD58" i="110"/>
  <c r="AD50" i="110"/>
  <c r="L58" i="110"/>
  <c r="L50" i="110"/>
  <c r="AC58" i="110"/>
  <c r="AC50" i="110"/>
  <c r="H58" i="110"/>
  <c r="H50" i="110"/>
  <c r="F58" i="110"/>
  <c r="F50" i="110"/>
  <c r="U58" i="110"/>
  <c r="U50" i="110"/>
  <c r="M58" i="110"/>
  <c r="M50" i="110"/>
  <c r="Q58" i="110"/>
  <c r="I58" i="110"/>
  <c r="I50" i="110"/>
  <c r="E58" i="110"/>
  <c r="E50" i="110"/>
  <c r="AB58" i="110"/>
  <c r="AB50" i="110"/>
  <c r="B58" i="110"/>
  <c r="B50" i="110"/>
  <c r="W18" i="111"/>
  <c r="W59" i="111" s="1"/>
  <c r="X18" i="111"/>
  <c r="X59" i="111" s="1"/>
  <c r="B26" i="110"/>
  <c r="F22" i="110"/>
  <c r="F89" i="110" s="1"/>
  <c r="L18" i="111"/>
  <c r="L59" i="111" s="1"/>
  <c r="S18" i="111"/>
  <c r="S59" i="111" s="1"/>
  <c r="G18" i="111"/>
  <c r="G59" i="111" s="1"/>
  <c r="T75" i="111"/>
  <c r="N18" i="111"/>
  <c r="N59" i="111" s="1"/>
  <c r="M18" i="111"/>
  <c r="M59" i="111" s="1"/>
  <c r="R25" i="111"/>
  <c r="R26" i="111" s="1"/>
  <c r="O18" i="111"/>
  <c r="O59" i="111" s="1"/>
  <c r="I38" i="109"/>
  <c r="L20" i="109"/>
  <c r="K63" i="110"/>
  <c r="W25" i="111"/>
  <c r="W26" i="111" s="1"/>
  <c r="V63" i="111"/>
  <c r="L25" i="111"/>
  <c r="L26" i="111" s="1"/>
  <c r="Q25" i="111"/>
  <c r="Q26" i="111" s="1"/>
  <c r="L31" i="109"/>
  <c r="Y22" i="110"/>
  <c r="Y89" i="110" s="1"/>
  <c r="H38" i="30"/>
  <c r="P25" i="111"/>
  <c r="P26" i="111" s="1"/>
  <c r="O93" i="110"/>
  <c r="AA22" i="110"/>
  <c r="AA89" i="110" s="1"/>
  <c r="I63" i="110"/>
  <c r="M63" i="111"/>
  <c r="M78" i="111" s="1"/>
  <c r="O54" i="110"/>
  <c r="X69" i="110"/>
  <c r="Z18" i="111"/>
  <c r="Z59" i="111" s="1"/>
  <c r="F18" i="111"/>
  <c r="F59" i="111" s="1"/>
  <c r="L22" i="109"/>
  <c r="O21" i="109"/>
  <c r="R21" i="109" s="1"/>
  <c r="L24" i="109"/>
  <c r="L16" i="109"/>
  <c r="L11" i="109"/>
  <c r="L7" i="109"/>
  <c r="L8" i="109"/>
  <c r="O8" i="109"/>
  <c r="R8" i="109" s="1"/>
  <c r="U21" i="111"/>
  <c r="I21" i="111"/>
  <c r="J21" i="111"/>
  <c r="L34" i="109"/>
  <c r="L23" i="109"/>
  <c r="L17" i="109"/>
  <c r="O22" i="110"/>
  <c r="O89" i="110" s="1"/>
  <c r="O12" i="109"/>
  <c r="R12" i="109" s="1"/>
  <c r="L26" i="109"/>
  <c r="N25" i="111"/>
  <c r="N26" i="111" s="1"/>
  <c r="N63" i="111"/>
  <c r="O24" i="109"/>
  <c r="R24" i="109" s="1"/>
  <c r="N82" i="111"/>
  <c r="C22" i="110"/>
  <c r="C89" i="110" s="1"/>
  <c r="Q21" i="111"/>
  <c r="M82" i="111"/>
  <c r="O17" i="109"/>
  <c r="R17" i="109" s="1"/>
  <c r="O9" i="109"/>
  <c r="R9" i="109" s="1"/>
  <c r="L27" i="109"/>
  <c r="X22" i="110"/>
  <c r="X89" i="110" s="1"/>
  <c r="L14" i="109"/>
  <c r="O21" i="111"/>
  <c r="AE31" i="110"/>
  <c r="AE32" i="110" s="1"/>
  <c r="AE63" i="110"/>
  <c r="Q63" i="110"/>
  <c r="P21" i="111"/>
  <c r="R21" i="111"/>
  <c r="AB18" i="111"/>
  <c r="AB59" i="111" s="1"/>
  <c r="Q18" i="111"/>
  <c r="Q59" i="111" s="1"/>
  <c r="H25" i="111"/>
  <c r="H26" i="111" s="1"/>
  <c r="X26" i="110"/>
  <c r="L19" i="109"/>
  <c r="L32" i="109"/>
  <c r="I82" i="111"/>
  <c r="AA26" i="110"/>
  <c r="AA18" i="111"/>
  <c r="AA59" i="111" s="1"/>
  <c r="U31" i="110"/>
  <c r="U63" i="110"/>
  <c r="O26" i="109"/>
  <c r="R26" i="109" s="1"/>
  <c r="M31" i="110"/>
  <c r="H21" i="111"/>
  <c r="H18" i="111"/>
  <c r="H59" i="111" s="1"/>
  <c r="D66" i="111"/>
  <c r="D25" i="111"/>
  <c r="D26" i="111" s="1"/>
  <c r="B18" i="111"/>
  <c r="B59" i="111" s="1"/>
  <c r="L21" i="109"/>
  <c r="Z21" i="111"/>
  <c r="S21" i="111"/>
  <c r="D69" i="111"/>
  <c r="X30" i="110"/>
  <c r="X54" i="110"/>
  <c r="X15" i="110"/>
  <c r="D67" i="111"/>
  <c r="D80" i="111"/>
  <c r="B72" i="111"/>
  <c r="B84" i="111"/>
  <c r="B26" i="111"/>
  <c r="D81" i="111"/>
  <c r="D73" i="111"/>
  <c r="D72" i="111"/>
  <c r="B66" i="111"/>
  <c r="D84" i="111"/>
  <c r="D74" i="111"/>
  <c r="D75" i="111"/>
  <c r="Y18" i="111"/>
  <c r="Y59" i="111" s="1"/>
  <c r="S115" i="110"/>
  <c r="O23" i="109"/>
  <c r="R23" i="109" s="1"/>
  <c r="L54" i="110"/>
  <c r="S25" i="111"/>
  <c r="S26" i="111" s="1"/>
  <c r="J18" i="111"/>
  <c r="J59" i="111" s="1"/>
  <c r="L25" i="109"/>
  <c r="L28" i="109"/>
  <c r="L21" i="111"/>
  <c r="L63" i="111"/>
  <c r="L78" i="111" s="1"/>
  <c r="L30" i="109"/>
  <c r="P18" i="111"/>
  <c r="P59" i="111" s="1"/>
  <c r="L12" i="109"/>
  <c r="I18" i="111"/>
  <c r="I59" i="111" s="1"/>
  <c r="E63" i="110"/>
  <c r="D82" i="111"/>
  <c r="N69" i="110"/>
  <c r="O7" i="109"/>
  <c r="R7" i="109" s="1"/>
  <c r="R38" i="109" s="1"/>
  <c r="B30" i="110"/>
  <c r="AC26" i="110"/>
  <c r="O31" i="110"/>
  <c r="O63" i="110"/>
  <c r="G22" i="110"/>
  <c r="G89" i="110" s="1"/>
  <c r="S22" i="110"/>
  <c r="N22" i="110"/>
  <c r="N89" i="110" s="1"/>
  <c r="O13" i="109"/>
  <c r="R13" i="109" s="1"/>
  <c r="S62" i="111"/>
  <c r="S63" i="111"/>
  <c r="U30" i="110"/>
  <c r="U15" i="110"/>
  <c r="U54" i="110"/>
  <c r="O33" i="109"/>
  <c r="R33" i="109" s="1"/>
  <c r="O15" i="109"/>
  <c r="R15" i="109" s="1"/>
  <c r="G30" i="110"/>
  <c r="H54" i="110"/>
  <c r="W21" i="111"/>
  <c r="U22" i="110"/>
  <c r="U89" i="110" s="1"/>
  <c r="N31" i="110"/>
  <c r="N63" i="110"/>
  <c r="U18" i="111"/>
  <c r="U59" i="111" s="1"/>
  <c r="O14" i="109"/>
  <c r="R14" i="109" s="1"/>
  <c r="E93" i="110"/>
  <c r="L101" i="111"/>
  <c r="L82" i="111"/>
  <c r="F115" i="110"/>
  <c r="F93" i="110"/>
  <c r="AD30" i="110"/>
  <c r="AD32" i="110" s="1"/>
  <c r="AD54" i="110"/>
  <c r="AC31" i="110"/>
  <c r="AC63" i="110"/>
  <c r="AC115" i="110"/>
  <c r="AC93" i="110"/>
  <c r="AC18" i="111"/>
  <c r="AC59" i="111" s="1"/>
  <c r="AA25" i="111"/>
  <c r="AA26" i="111" s="1"/>
  <c r="AA79" i="111"/>
  <c r="Y25" i="111"/>
  <c r="Y26" i="111" s="1"/>
  <c r="O32" i="109"/>
  <c r="R32" i="109" s="1"/>
  <c r="O25" i="109"/>
  <c r="R25" i="109" s="1"/>
  <c r="P30" i="110"/>
  <c r="P32" i="110" s="1"/>
  <c r="P54" i="110"/>
  <c r="P68" i="110" s="1"/>
  <c r="R79" i="111"/>
  <c r="S82" i="111"/>
  <c r="M30" i="110"/>
  <c r="M54" i="110"/>
  <c r="L13" i="109"/>
  <c r="B67" i="111"/>
  <c r="B73" i="111"/>
  <c r="B69" i="111"/>
  <c r="B82" i="111"/>
  <c r="B64" i="111"/>
  <c r="B80" i="111"/>
  <c r="B75" i="111"/>
  <c r="C80" i="111"/>
  <c r="B81" i="111"/>
  <c r="B68" i="111"/>
  <c r="W82" i="111"/>
  <c r="V69" i="110"/>
  <c r="R18" i="111"/>
  <c r="R59" i="111" s="1"/>
  <c r="R54" i="110"/>
  <c r="R68" i="110" s="1"/>
  <c r="R30" i="110"/>
  <c r="R32" i="110" s="1"/>
  <c r="J30" i="110"/>
  <c r="J32" i="110" s="1"/>
  <c r="J54" i="110"/>
  <c r="J63" i="110"/>
  <c r="O11" i="109"/>
  <c r="R11" i="109" s="1"/>
  <c r="L10" i="109"/>
  <c r="D64" i="111"/>
  <c r="D71" i="111"/>
  <c r="D62" i="111"/>
  <c r="C73" i="111"/>
  <c r="C81" i="111"/>
  <c r="B71" i="111"/>
  <c r="R26" i="110"/>
  <c r="P26" i="110"/>
  <c r="Y21" i="111"/>
  <c r="G42" i="111"/>
  <c r="L15" i="109"/>
  <c r="AB79" i="111"/>
  <c r="K69" i="110"/>
  <c r="AB78" i="111"/>
  <c r="AC22" i="110"/>
  <c r="AC89" i="110" s="1"/>
  <c r="AB30" i="110"/>
  <c r="AB15" i="110"/>
  <c r="AB54" i="110"/>
  <c r="AB115" i="110"/>
  <c r="AB93" i="110"/>
  <c r="AB31" i="110"/>
  <c r="AB63" i="110"/>
  <c r="AA42" i="111"/>
  <c r="Z42" i="111"/>
  <c r="O31" i="109"/>
  <c r="R31" i="109" s="1"/>
  <c r="Y82" i="111"/>
  <c r="Z82" i="111"/>
  <c r="Y31" i="110"/>
  <c r="Y32" i="110" s="1"/>
  <c r="Y63" i="110"/>
  <c r="Y68" i="110" s="1"/>
  <c r="Z31" i="110"/>
  <c r="Z32" i="110" s="1"/>
  <c r="Z63" i="110"/>
  <c r="Z68" i="110" s="1"/>
  <c r="Y115" i="110"/>
  <c r="Y93" i="110"/>
  <c r="O29" i="109"/>
  <c r="R29" i="109" s="1"/>
  <c r="W22" i="110"/>
  <c r="W89" i="110" s="1"/>
  <c r="T26" i="111"/>
  <c r="V25" i="111"/>
  <c r="V26" i="111" s="1"/>
  <c r="T18" i="111"/>
  <c r="T59" i="111" s="1"/>
  <c r="P69" i="110"/>
  <c r="O22" i="109"/>
  <c r="R22" i="109" s="1"/>
  <c r="P42" i="111"/>
  <c r="O42" i="111"/>
  <c r="N26" i="110"/>
  <c r="M21" i="111"/>
  <c r="K54" i="110"/>
  <c r="K115" i="110"/>
  <c r="K93" i="110"/>
  <c r="K62" i="111"/>
  <c r="K78" i="111" s="1"/>
  <c r="K79" i="111"/>
  <c r="H42" i="111"/>
  <c r="H115" i="110"/>
  <c r="H93" i="110"/>
  <c r="J42" i="111"/>
  <c r="H62" i="111"/>
  <c r="H78" i="111" s="1"/>
  <c r="G73" i="111"/>
  <c r="G78" i="111" s="1"/>
  <c r="G31" i="110"/>
  <c r="G63" i="110"/>
  <c r="G57" i="110"/>
  <c r="G25" i="111"/>
  <c r="G26" i="111" s="1"/>
  <c r="F31" i="110"/>
  <c r="F32" i="110" s="1"/>
  <c r="F63" i="110"/>
  <c r="F79" i="111"/>
  <c r="F69" i="110"/>
  <c r="F62" i="111"/>
  <c r="F78" i="111" s="1"/>
  <c r="F42" i="111"/>
  <c r="O10" i="109"/>
  <c r="R10" i="109" s="1"/>
  <c r="L9" i="109"/>
  <c r="F26" i="110"/>
  <c r="D30" i="110"/>
  <c r="D32" i="110" s="1"/>
  <c r="AG17" i="111"/>
  <c r="B31" i="110"/>
  <c r="C26" i="110"/>
  <c r="U42" i="111"/>
  <c r="D69" i="110"/>
  <c r="Y26" i="110"/>
  <c r="AD26" i="110"/>
  <c r="AC21" i="111"/>
  <c r="M42" i="111"/>
  <c r="S30" i="110"/>
  <c r="S32" i="110" s="1"/>
  <c r="C75" i="111"/>
  <c r="C66" i="111"/>
  <c r="C74" i="111"/>
  <c r="C68" i="111"/>
  <c r="C82" i="111"/>
  <c r="C69" i="111"/>
  <c r="H79" i="111"/>
  <c r="AD115" i="110"/>
  <c r="AD93" i="110"/>
  <c r="AC54" i="110"/>
  <c r="AC15" i="110"/>
  <c r="AF101" i="111"/>
  <c r="X79" i="111"/>
  <c r="W31" i="110"/>
  <c r="W63" i="110"/>
  <c r="W68" i="110" s="1"/>
  <c r="AG24" i="111"/>
  <c r="V18" i="111"/>
  <c r="V59" i="111" s="1"/>
  <c r="AG34" i="111"/>
  <c r="AG96" i="111"/>
  <c r="V82" i="111"/>
  <c r="V115" i="110"/>
  <c r="U82" i="111"/>
  <c r="U115" i="110"/>
  <c r="U93" i="110"/>
  <c r="T31" i="110"/>
  <c r="T63" i="110"/>
  <c r="T71" i="111"/>
  <c r="AG36" i="111"/>
  <c r="N30" i="110"/>
  <c r="N54" i="110"/>
  <c r="N79" i="111"/>
  <c r="O19" i="109"/>
  <c r="R19" i="109" s="1"/>
  <c r="AG31" i="111"/>
  <c r="B69" i="110"/>
  <c r="B62" i="111"/>
  <c r="C72" i="111"/>
  <c r="C26" i="111"/>
  <c r="C71" i="111"/>
  <c r="C84" i="111"/>
  <c r="C62" i="111"/>
  <c r="C67" i="111"/>
  <c r="C42" i="111"/>
  <c r="Q79" i="111"/>
  <c r="L79" i="111"/>
  <c r="X42" i="111"/>
  <c r="X73" i="111"/>
  <c r="X78" i="111" s="1"/>
  <c r="AG37" i="111"/>
  <c r="S79" i="111"/>
  <c r="AB42" i="111"/>
  <c r="Y42" i="111"/>
  <c r="I79" i="111"/>
  <c r="M22" i="110"/>
  <c r="M89" i="110" s="1"/>
  <c r="X31" i="110"/>
  <c r="X63" i="110"/>
  <c r="L33" i="109"/>
  <c r="D18" i="111"/>
  <c r="D59" i="111" s="1"/>
  <c r="P79" i="111"/>
  <c r="L42" i="111"/>
  <c r="T21" i="111"/>
  <c r="AG39" i="111"/>
  <c r="E30" i="110"/>
  <c r="E32" i="110" s="1"/>
  <c r="AH47" i="110"/>
  <c r="W15" i="110"/>
  <c r="W30" i="110"/>
  <c r="O30" i="109"/>
  <c r="R30" i="109" s="1"/>
  <c r="L29" i="109"/>
  <c r="AD22" i="110"/>
  <c r="AD89" i="110" s="1"/>
  <c r="X82" i="111"/>
  <c r="AB22" i="110"/>
  <c r="AB89" i="110" s="1"/>
  <c r="AC42" i="111"/>
  <c r="AC79" i="111"/>
  <c r="W78" i="111"/>
  <c r="W79" i="111"/>
  <c r="E22" i="111"/>
  <c r="E18" i="111"/>
  <c r="E59" i="111" s="1"/>
  <c r="I62" i="110"/>
  <c r="I69" i="110" s="1"/>
  <c r="AH44" i="110"/>
  <c r="AH62" i="110" s="1"/>
  <c r="AJ62" i="110" s="1"/>
  <c r="Y69" i="110"/>
  <c r="V79" i="111"/>
  <c r="J64" i="111"/>
  <c r="J72" i="111"/>
  <c r="J66" i="111"/>
  <c r="J62" i="111"/>
  <c r="J69" i="111"/>
  <c r="J80" i="111"/>
  <c r="J84" i="111"/>
  <c r="J81" i="111"/>
  <c r="J73" i="111"/>
  <c r="J74" i="111"/>
  <c r="J75" i="111"/>
  <c r="J71" i="111"/>
  <c r="J68" i="111"/>
  <c r="J82" i="111"/>
  <c r="J26" i="111"/>
  <c r="J67" i="111"/>
  <c r="T72" i="111"/>
  <c r="T66" i="111"/>
  <c r="T81" i="111"/>
  <c r="T80" i="111"/>
  <c r="T68" i="111"/>
  <c r="T67" i="111"/>
  <c r="T74" i="111"/>
  <c r="T84" i="111"/>
  <c r="T69" i="111"/>
  <c r="T73" i="111"/>
  <c r="J69" i="110"/>
  <c r="M79" i="111"/>
  <c r="O78" i="111"/>
  <c r="T69" i="110"/>
  <c r="T64" i="111"/>
  <c r="AG23" i="111"/>
  <c r="Y79" i="111"/>
  <c r="AH46" i="110"/>
  <c r="AH65" i="110" s="1"/>
  <c r="AJ65" i="110" s="1"/>
  <c r="T62" i="111"/>
  <c r="T42" i="111"/>
  <c r="D59" i="110"/>
  <c r="K42" i="111"/>
  <c r="N58" i="110"/>
  <c r="R42" i="111"/>
  <c r="R68" i="111"/>
  <c r="R78" i="111" s="1"/>
  <c r="V73" i="111"/>
  <c r="V42" i="111"/>
  <c r="S62" i="110"/>
  <c r="T54" i="110"/>
  <c r="T30" i="110"/>
  <c r="K30" i="110"/>
  <c r="K32" i="110" s="1"/>
  <c r="V31" i="110"/>
  <c r="V32" i="110" s="1"/>
  <c r="V63" i="110"/>
  <c r="S42" i="111"/>
  <c r="U78" i="111"/>
  <c r="O25" i="111"/>
  <c r="O26" i="111" s="1"/>
  <c r="AG16" i="111"/>
  <c r="U62" i="110"/>
  <c r="W42" i="111"/>
  <c r="D22" i="110"/>
  <c r="D89" i="110" s="1"/>
  <c r="AG40" i="111"/>
  <c r="K21" i="111"/>
  <c r="K18" i="111"/>
  <c r="K59" i="111" s="1"/>
  <c r="T22" i="110"/>
  <c r="T89" i="110" s="1"/>
  <c r="T26" i="110"/>
  <c r="I30" i="110"/>
  <c r="I32" i="110" s="1"/>
  <c r="I54" i="110"/>
  <c r="D42" i="111"/>
  <c r="D68" i="111"/>
  <c r="AC30" i="110"/>
  <c r="AG33" i="111"/>
  <c r="V22" i="110"/>
  <c r="V26" i="110"/>
  <c r="V21" i="111"/>
  <c r="F21" i="111"/>
  <c r="I62" i="111"/>
  <c r="I78" i="111" s="1"/>
  <c r="I42" i="111"/>
  <c r="AG28" i="111"/>
  <c r="AA63" i="110"/>
  <c r="AA68" i="110" s="1"/>
  <c r="AA31" i="110"/>
  <c r="AA32" i="110" s="1"/>
  <c r="AG29" i="111"/>
  <c r="B42" i="111"/>
  <c r="N67" i="111"/>
  <c r="N42" i="111"/>
  <c r="K22" i="110"/>
  <c r="K89" i="110" s="1"/>
  <c r="Q42" i="111"/>
  <c r="Q64" i="111"/>
  <c r="AG32" i="111"/>
  <c r="E42" i="111"/>
  <c r="T82" i="111"/>
  <c r="T101" i="111"/>
  <c r="G115" i="110"/>
  <c r="G93" i="110"/>
  <c r="D93" i="110"/>
  <c r="D115" i="110"/>
  <c r="G79" i="111"/>
  <c r="AH61" i="110"/>
  <c r="AJ61" i="110" s="1"/>
  <c r="E66" i="111"/>
  <c r="E75" i="111"/>
  <c r="E72" i="111"/>
  <c r="E73" i="111"/>
  <c r="E84" i="111"/>
  <c r="E80" i="111"/>
  <c r="E67" i="111"/>
  <c r="E68" i="111"/>
  <c r="E74" i="111"/>
  <c r="E81" i="111"/>
  <c r="E26" i="111"/>
  <c r="E82" i="111"/>
  <c r="E71" i="111"/>
  <c r="E64" i="111"/>
  <c r="E69" i="111"/>
  <c r="E62" i="111"/>
  <c r="AH56" i="110"/>
  <c r="AJ56" i="110" s="1"/>
  <c r="E69" i="110"/>
  <c r="Z79" i="111"/>
  <c r="U79" i="111"/>
  <c r="P115" i="110"/>
  <c r="P93" i="110"/>
  <c r="P101" i="111"/>
  <c r="P82" i="111"/>
  <c r="P78" i="111"/>
  <c r="O69" i="110"/>
  <c r="O79" i="111"/>
  <c r="O84" i="111"/>
  <c r="S89" i="110" l="1"/>
  <c r="AH22" i="110"/>
  <c r="AH89" i="110" s="1"/>
  <c r="O32" i="110"/>
  <c r="G43" i="23"/>
  <c r="P44" i="23" s="1"/>
  <c r="Q44" i="23" s="1"/>
  <c r="R44" i="23" s="1"/>
  <c r="P10" i="23"/>
  <c r="Q10" i="23" s="1"/>
  <c r="R10" i="23" s="1"/>
  <c r="Q78" i="111"/>
  <c r="AH31" i="110"/>
  <c r="AH63" i="110"/>
  <c r="AJ63" i="110" s="1"/>
  <c r="V89" i="110"/>
  <c r="AH83" i="110"/>
  <c r="AH95" i="110" s="1"/>
  <c r="AH50" i="110"/>
  <c r="B68" i="110"/>
  <c r="AH30" i="110"/>
  <c r="AH54" i="110"/>
  <c r="AJ54" i="110" s="1"/>
  <c r="AH26" i="110"/>
  <c r="AG62" i="111"/>
  <c r="AG81" i="111"/>
  <c r="AI81" i="111" s="1"/>
  <c r="AG80" i="111"/>
  <c r="AI80" i="111" s="1"/>
  <c r="D38" i="109"/>
  <c r="AE68" i="110"/>
  <c r="AC32" i="110"/>
  <c r="B32" i="110"/>
  <c r="AH115" i="110"/>
  <c r="AD68" i="110"/>
  <c r="V68" i="110"/>
  <c r="F68" i="110"/>
  <c r="Q68" i="110"/>
  <c r="E68" i="110"/>
  <c r="Z78" i="111"/>
  <c r="L68" i="110"/>
  <c r="H68" i="110"/>
  <c r="M68" i="110"/>
  <c r="K68" i="110"/>
  <c r="V78" i="111"/>
  <c r="AG42" i="111"/>
  <c r="L38" i="109"/>
  <c r="O34" i="109"/>
  <c r="O38" i="109" s="1"/>
  <c r="O68" i="110"/>
  <c r="M32" i="110"/>
  <c r="N78" i="111"/>
  <c r="U32" i="110"/>
  <c r="X68" i="110"/>
  <c r="X32" i="110"/>
  <c r="N32" i="110"/>
  <c r="S78" i="111"/>
  <c r="D79" i="111"/>
  <c r="J68" i="110"/>
  <c r="G32" i="110"/>
  <c r="AC68" i="110"/>
  <c r="B79" i="111"/>
  <c r="B78" i="111"/>
  <c r="AG25" i="111"/>
  <c r="AB32" i="110"/>
  <c r="G68" i="110"/>
  <c r="D68" i="110"/>
  <c r="N68" i="110"/>
  <c r="AB68" i="110"/>
  <c r="T32" i="110"/>
  <c r="AH60" i="110"/>
  <c r="AJ60" i="110" s="1"/>
  <c r="AJ69" i="110" s="1"/>
  <c r="AC78" i="111"/>
  <c r="T68" i="110"/>
  <c r="T79" i="111"/>
  <c r="W32" i="110"/>
  <c r="C79" i="111"/>
  <c r="I68" i="110"/>
  <c r="AG21" i="111"/>
  <c r="AG18" i="111"/>
  <c r="AG59" i="111" s="1"/>
  <c r="AI59" i="111" s="1"/>
  <c r="AH21" i="111"/>
  <c r="AJ21" i="111" s="1"/>
  <c r="J79" i="111"/>
  <c r="J78" i="111"/>
  <c r="T78" i="111"/>
  <c r="S69" i="110"/>
  <c r="S68" i="110"/>
  <c r="E79" i="111"/>
  <c r="U69" i="110"/>
  <c r="U68" i="110"/>
  <c r="AI26" i="110"/>
  <c r="AK26" i="110" s="1"/>
  <c r="AG67" i="111"/>
  <c r="AI67" i="111" s="1"/>
  <c r="AG74" i="111"/>
  <c r="AI74" i="111" s="1"/>
  <c r="AG68" i="111"/>
  <c r="AI68" i="111" s="1"/>
  <c r="AG66" i="111"/>
  <c r="AI66" i="111" s="1"/>
  <c r="AG75" i="111"/>
  <c r="AI75" i="111" s="1"/>
  <c r="AG64" i="111"/>
  <c r="AI64" i="111" s="1"/>
  <c r="AG69" i="111"/>
  <c r="AG73" i="111"/>
  <c r="AI73" i="111" s="1"/>
  <c r="AG72" i="111"/>
  <c r="AI72" i="111" s="1"/>
  <c r="AG71" i="111"/>
  <c r="AI71" i="111" s="1"/>
  <c r="AG84" i="111"/>
  <c r="AI84" i="111" s="1"/>
  <c r="E78" i="111"/>
  <c r="AG82" i="111"/>
  <c r="AI82" i="111" s="1"/>
  <c r="AJ89" i="110" l="1"/>
  <c r="AK95" i="110"/>
  <c r="AJ93" i="110"/>
  <c r="AH32" i="110"/>
  <c r="R34" i="109"/>
  <c r="AH69" i="110"/>
  <c r="AH68" i="110"/>
  <c r="AI69" i="111"/>
  <c r="AI79" i="111" s="1"/>
  <c r="AG79" i="111"/>
  <c r="AI62" i="111"/>
  <c r="AJ68" i="110"/>
  <c r="AJ95" i="110" l="1"/>
  <c r="AK89" i="110"/>
  <c r="D93" i="111"/>
  <c r="D63" i="111" s="1"/>
  <c r="D78" i="111" s="1"/>
  <c r="C93" i="111" l="1"/>
  <c r="AH15" i="110" l="1"/>
  <c r="AG93" i="111"/>
  <c r="AG63" i="111" s="1"/>
  <c r="C63" i="111"/>
  <c r="C78" i="111" s="1"/>
  <c r="AI63" i="111" l="1"/>
  <c r="AG78" i="111"/>
  <c r="AI78" i="1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S4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Note: this is not truly accurate since this includes the service water reading on the inlet and not the outlet side (meters to be installed there)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C4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 xml:space="preserve">Note: Unit of measurement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</authors>
  <commentList>
    <comment ref="A7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  <author>Anthony Foresyth</author>
    <author>Delano Pasea</author>
  </authors>
  <commentList>
    <comment ref="Y8" authorId="0" shapeId="0" xr:uid="{47D3FEC7-EECC-48F0-830A-5C41116C8504}">
      <text>
        <r>
          <rPr>
            <b/>
            <sz val="12"/>
            <color indexed="81"/>
            <rFont val="Tahoma"/>
            <family val="2"/>
          </rPr>
          <t>Kaylil Baptiste:</t>
        </r>
        <r>
          <rPr>
            <sz val="12"/>
            <color indexed="81"/>
            <rFont val="Tahoma"/>
            <family val="2"/>
          </rPr>
          <t xml:space="preserve">
No production due to damaged shaft on Washer</t>
        </r>
      </text>
    </comment>
    <comment ref="A69" authorId="1" shapeId="0" xr:uid="{ED9D378C-2650-49E3-9B15-6A52CFC9A936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  <comment ref="B74" authorId="2" shapeId="0" xr:uid="{23F2989A-E1D8-4468-B1D3-BAC4DA73F4C1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11700 Kgs
Mobile approx. 19100 kgs</t>
        </r>
      </text>
    </comment>
    <comment ref="C74" authorId="2" shapeId="0" xr:uid="{EEB2B176-26CA-42B9-95A8-C1DA41F0ECF7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9300 Kgs
Mobile approx. 0 kgs</t>
        </r>
      </text>
    </comment>
    <comment ref="D74" authorId="2" shapeId="0" xr:uid="{C0CC44B5-AA4F-4AD6-9CDE-E6E81B4958D9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11400 kgs
Tank B 0 kgs
Tank C 14300 Kgs
Mobile approx. 0 kgs</t>
        </r>
      </text>
    </comment>
    <comment ref="E74" authorId="2" shapeId="0" xr:uid="{99E24B20-0B3B-403F-8750-06714577250D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9600 kgs
Tank B 0 kgs
Tank C 14300 Kgs
Mobile approx. 0 kgs</t>
        </r>
      </text>
    </comment>
    <comment ref="F74" authorId="2" shapeId="0" xr:uid="{9ED58DAE-41F2-452E-A384-BAC7394B69B0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9600 kgs
Tank B 0 kgs
Tank C 14300 Kgs
Mobile approx. 0 kgs</t>
        </r>
      </text>
    </comment>
    <comment ref="G74" authorId="2" shapeId="0" xr:uid="{845D56E1-7A12-4BB0-AF2A-EF2D67F07E9D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9600 kgs
Tank B 0 kgs
Tank C 13400 Kgs
Mobile approx. 0 kgs</t>
        </r>
      </text>
    </comment>
    <comment ref="I74" authorId="2" shapeId="0" xr:uid="{73A19CBE-F879-4A5A-BF85-7444E7D74F52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9600 kgs
Tank B 0 kgs
Tank C 13400 Kgs
Mobile approx. 15500 kgs</t>
        </r>
      </text>
    </comment>
    <comment ref="J74" authorId="2" shapeId="0" xr:uid="{B02B0239-F0DA-4991-922E-EABCBB871333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8000 kgs
Tank B 0 kgs
Tank C 13400 Kgs
Mobile approx. 15500 kgs</t>
        </r>
      </text>
    </comment>
    <comment ref="K74" authorId="2" shapeId="0" xr:uid="{ED69400B-E34B-49D0-A0F2-2DA16EF29DC0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6600 kgs
Tank B 0 kgs
Tank C 13400 Kgs
Mobile approx. 15500 kgs</t>
        </r>
      </text>
    </comment>
    <comment ref="L74" authorId="2" shapeId="0" xr:uid="{63043545-E778-4E8C-B519-8A5B607BCC91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A7800 (5500+2300) kgs
Tank B 0 kgs
Tank C 24800(13400+11400) Kgs
Mobile approx. 0 kgs</t>
        </r>
      </text>
    </comment>
    <comment ref="M74" authorId="2" shapeId="0" xr:uid="{94071DB3-4BE4-4B1F-96F0-7304866B1088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A7800 (5500+2300) kgs
Tank B 0 kgs
Tank C 24800 Kgs
Mobile approx. 0 kgs</t>
        </r>
      </text>
    </comment>
    <comment ref="N74" authorId="2" shapeId="0" xr:uid="{FFC62299-895C-4D6A-BD19-71692A6B41C6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A7500 kgs
Tank B 0 kgs
Tank C 24800 Kgs
Mobile approx. 0 kgs</t>
        </r>
      </text>
    </comment>
    <comment ref="P74" authorId="2" shapeId="0" xr:uid="{B518834F-1629-4124-B328-094F6A8346CA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A7500 (5500+2300) kgs
Tank B 0 kgs
Tank C 24800 Kgs
Mobile approx. 0 kgs</t>
        </r>
      </text>
    </comment>
    <comment ref="Q74" authorId="2" shapeId="0" xr:uid="{781A57C1-5A6D-4C38-B05F-133F1D9FD157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A5300 kgs
Tank B 0 kgs
Tank C 24800 Kgs
Mobile approx. 0 kgs</t>
        </r>
      </text>
    </comment>
    <comment ref="R74" authorId="2" shapeId="0" xr:uid="{552B8327-CED3-4D0D-AFA5-6E9B4C5626E4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3000 kgs
Tank B 0 kgs
Tank C 24800 Kgs
Mobile approx. 0 kgs</t>
        </r>
      </text>
    </comment>
    <comment ref="S74" authorId="2" shapeId="0" xr:uid="{25DD3295-CB82-40D8-89E8-24331FA5D520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24800 Kgs
Mobile approx. 0 kgs</t>
        </r>
      </text>
    </comment>
    <comment ref="T74" authorId="2" shapeId="0" xr:uid="{A8289114-8538-492E-822E-93D44C32F464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22400 Kgs
Mobile approx. 0 kgs</t>
        </r>
      </text>
    </comment>
    <comment ref="U74" authorId="2" shapeId="0" xr:uid="{4E35DF3F-F172-47E2-A778-3A432F6022A0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19100 Kgs
Mobile approx. 0 kgs</t>
        </r>
      </text>
    </comment>
    <comment ref="W74" authorId="2" shapeId="0" xr:uid="{979B265A-2F78-438F-999A-3CE7E7FBE723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19100 Kgs
Mobile approx. 0 kgs</t>
        </r>
      </text>
    </comment>
    <comment ref="X74" authorId="2" shapeId="0" xr:uid="{DF8BCEDA-2484-4F1B-8C97-E2C94F626D59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18300 Kgs
Mobile approx. 0 kgs</t>
        </r>
      </text>
    </comment>
    <comment ref="Y74" authorId="2" shapeId="0" xr:uid="{E4D7C472-3338-40D7-8ECA-FADCFF7EBFEF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15900 Kgs
Mobile approx. 0 kgs</t>
        </r>
      </text>
    </comment>
    <comment ref="Z74" authorId="2" shapeId="0" xr:uid="{3157BD1D-1D34-40C1-BA30-CC8663D0B3A6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15100 Kgs
Mobile approx. 0 kgs</t>
        </r>
      </text>
    </comment>
    <comment ref="AA74" authorId="2" shapeId="0" xr:uid="{BEAE52EE-565A-4AF7-BAE8-B003DCBF6E14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14100 Kgs
Mobile approx. 19100 kgs</t>
        </r>
      </text>
    </comment>
    <comment ref="AB74" authorId="2" shapeId="0" xr:uid="{86D309C7-7983-4EE7-B8DA-F975575000EB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11000 Kgs
Mobile approx. 0 kgs</t>
        </r>
      </text>
    </comment>
    <comment ref="AD74" authorId="2" shapeId="0" xr:uid="{C1A75609-E8D2-49F8-B452-D0E5C9FA92D8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11000 Kgs
Mobile approx. 20900 kgs</t>
        </r>
      </text>
    </comment>
    <comment ref="AE74" authorId="2" shapeId="0" xr:uid="{7BB0B54D-2F0F-401D-ADD2-8659D98FF52F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2500 kgs
Tank B 0 kgs
Tank C 24900 Kgs
Mobile approx. 0 kgs</t>
        </r>
      </text>
    </comment>
    <comment ref="AF74" authorId="2" shapeId="0" xr:uid="{B59952C4-EA3F-4AE5-9221-940C24180B76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1200 kgs
Tank B 0 kgs
Tank C 24900 Kgs
Mobile approx. 0 kgs</t>
        </r>
      </text>
    </comment>
    <comment ref="AG74" authorId="2" shapeId="0" xr:uid="{C7AEA55B-8C0A-4652-8AA4-BD9F7E2BC749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14100 Kgs
Mobile approx. 0 kgs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<sst xmlns="http://schemas.openxmlformats.org/spreadsheetml/2006/main" count="612" uniqueCount="319">
  <si>
    <t>UTILITY ANALYSIS</t>
  </si>
  <si>
    <t>GRENADA BREWERIES LIMITED</t>
  </si>
  <si>
    <t>MONTH:</t>
  </si>
  <si>
    <t>WATER</t>
  </si>
  <si>
    <t>FUEL</t>
  </si>
  <si>
    <t>BREWED</t>
  </si>
  <si>
    <t>BOTTLED</t>
  </si>
  <si>
    <t>DATE</t>
  </si>
  <si>
    <t>KEGS</t>
  </si>
  <si>
    <t>Fuel</t>
  </si>
  <si>
    <t>OTHER</t>
  </si>
  <si>
    <t>UTILITY RATIOS</t>
  </si>
  <si>
    <t xml:space="preserve">TOTAL </t>
  </si>
  <si>
    <t>KWH/Hl</t>
  </si>
  <si>
    <t>Elect</t>
  </si>
  <si>
    <t>Water</t>
  </si>
  <si>
    <t>Litres/hl</t>
  </si>
  <si>
    <t>PRODUCTION - HL</t>
  </si>
  <si>
    <t>Nawasa</t>
  </si>
  <si>
    <t>Total</t>
  </si>
  <si>
    <t>hl</t>
  </si>
  <si>
    <t>Kwhr</t>
  </si>
  <si>
    <t>ELECT.</t>
  </si>
  <si>
    <t>Boilers tot.</t>
  </si>
  <si>
    <t>Boiler 2</t>
  </si>
  <si>
    <t>Gen. meter</t>
  </si>
  <si>
    <t>Tank level</t>
  </si>
  <si>
    <t>Boiler 1</t>
  </si>
  <si>
    <t>Gen</t>
  </si>
  <si>
    <t>Meter1</t>
  </si>
  <si>
    <t>Meter 2</t>
  </si>
  <si>
    <t>Gen Meter</t>
  </si>
  <si>
    <t>(Imp. gals)</t>
  </si>
  <si>
    <t xml:space="preserve">  (inches)</t>
  </si>
  <si>
    <t>Hrs</t>
  </si>
  <si>
    <t>Hrs.</t>
  </si>
  <si>
    <t>(Kwhr)</t>
  </si>
  <si>
    <t>-</t>
  </si>
  <si>
    <t xml:space="preserve">Gen. </t>
  </si>
  <si>
    <t xml:space="preserve">Gen </t>
  </si>
  <si>
    <t>Boiler 1 sp.</t>
  </si>
  <si>
    <t>Boiler 2 sp.</t>
  </si>
  <si>
    <t>Gen. sp</t>
  </si>
  <si>
    <t>Daily cons.</t>
  </si>
  <si>
    <t>Cons ( l )</t>
  </si>
  <si>
    <t>cons (l/hr)</t>
  </si>
  <si>
    <t>Cons.(l/hr)</t>
  </si>
  <si>
    <t>(litres)</t>
  </si>
  <si>
    <t>Total Prod.</t>
  </si>
  <si>
    <t xml:space="preserve">Grenlec </t>
  </si>
  <si>
    <t xml:space="preserve">In -house </t>
  </si>
  <si>
    <t>In-feed (Kwhr)</t>
  </si>
  <si>
    <t>Gen. (Kwhr)</t>
  </si>
  <si>
    <t>Plant Cons</t>
  </si>
  <si>
    <t>Comments</t>
  </si>
  <si>
    <t>total</t>
  </si>
  <si>
    <t>CO2</t>
  </si>
  <si>
    <t>TOTAL ( Hls)</t>
  </si>
  <si>
    <t xml:space="preserve"> </t>
  </si>
  <si>
    <t>old</t>
  </si>
  <si>
    <t>USAGE (kwh)</t>
  </si>
  <si>
    <t>USAGE (Hl)</t>
  </si>
  <si>
    <t>USAGE (l)</t>
  </si>
  <si>
    <t>Tot.(Hl)</t>
  </si>
  <si>
    <t>Hl/Hl</t>
  </si>
  <si>
    <t>Hl/hl</t>
  </si>
  <si>
    <t>USAGE (Kg.)</t>
  </si>
  <si>
    <t xml:space="preserve">CO2 </t>
  </si>
  <si>
    <t>kg./Hl</t>
  </si>
  <si>
    <t>OTHER (Filtered)</t>
  </si>
  <si>
    <t>Transferred</t>
  </si>
  <si>
    <t>Brewed</t>
  </si>
  <si>
    <t>Permeate #1</t>
  </si>
  <si>
    <t>Permeate #2</t>
  </si>
  <si>
    <t>Brewhouse</t>
  </si>
  <si>
    <t>RO - Well</t>
  </si>
  <si>
    <t>RO - Nawasa</t>
  </si>
  <si>
    <t>Service Water</t>
  </si>
  <si>
    <t xml:space="preserve">Nawasa Daily </t>
  </si>
  <si>
    <t>Total Permeate</t>
  </si>
  <si>
    <t>Water KPI (Hl/Hl)</t>
  </si>
  <si>
    <t>KEGS (Hl)</t>
  </si>
  <si>
    <t>BOTTLED (Hl)</t>
  </si>
  <si>
    <t>Gals.</t>
  </si>
  <si>
    <t>Hl</t>
  </si>
  <si>
    <t>L</t>
  </si>
  <si>
    <t>MTD</t>
  </si>
  <si>
    <t>NAWASA Cost/gal</t>
  </si>
  <si>
    <t>Add basic charge</t>
  </si>
  <si>
    <t>Proxy NAWASA water Cost</t>
  </si>
  <si>
    <t>Proxy sewage charge (2/3)</t>
  </si>
  <si>
    <t>Proxy MTD NAWASA cost</t>
  </si>
  <si>
    <t>kg.</t>
  </si>
  <si>
    <t>Thursday</t>
  </si>
  <si>
    <t>Friday</t>
  </si>
  <si>
    <t>Saturday</t>
  </si>
  <si>
    <t>Sunday</t>
  </si>
  <si>
    <t>Monday</t>
  </si>
  <si>
    <t>Tuesday</t>
  </si>
  <si>
    <t>Wednesday</t>
  </si>
  <si>
    <t>CIP Process</t>
  </si>
  <si>
    <t>Bottle Washer</t>
  </si>
  <si>
    <t xml:space="preserve">Boiler </t>
  </si>
  <si>
    <t>∑ Service Water to Processes</t>
  </si>
  <si>
    <r>
      <t>Nawasa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</si>
  <si>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Annandale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</si>
  <si>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</si>
  <si>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Pasteuriser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</si>
  <si>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</si>
  <si>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Well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</si>
  <si>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Nawasa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</si>
  <si>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</si>
  <si>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Water Received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</si>
  <si>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/ Old Pepsi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</si>
  <si>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Permeate Produced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</si>
  <si>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CIP Process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</si>
  <si>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Bottles Washer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</si>
  <si>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Boiler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</si>
  <si>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</si>
  <si>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Consump.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</si>
  <si>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</si>
  <si>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Intake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</si>
  <si>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</si>
  <si>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Produced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</si>
  <si>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t>Area</t>
  </si>
  <si>
    <t>Nawasa Supply</t>
  </si>
  <si>
    <t>Annanale Supply</t>
  </si>
  <si>
    <t>Brewhouse / Old Pepsi Area</t>
  </si>
  <si>
    <t>Pasteuriser</t>
  </si>
  <si>
    <t>Bottles Washer</t>
  </si>
  <si>
    <t>Boiler Supply</t>
  </si>
  <si>
    <t>Permeate Produced</t>
  </si>
  <si>
    <t>Days</t>
  </si>
  <si>
    <t>Electricity (Kwh.)</t>
  </si>
  <si>
    <t>Fuel (L)</t>
  </si>
  <si>
    <t>Utilities Daily Consumption</t>
  </si>
  <si>
    <t>Product Type</t>
  </si>
  <si>
    <t>Cases Produced</t>
  </si>
  <si>
    <t>Total water consumption</t>
  </si>
  <si>
    <t>HL produced</t>
  </si>
  <si>
    <t>Well Supply (from filtered water)</t>
  </si>
  <si>
    <t>Consumption detail</t>
  </si>
  <si>
    <t>Mon</t>
  </si>
  <si>
    <t>Tue</t>
  </si>
  <si>
    <t>Wed</t>
  </si>
  <si>
    <t>Thu</t>
  </si>
  <si>
    <t>Fri</t>
  </si>
  <si>
    <t>Sat</t>
  </si>
  <si>
    <t>Sun</t>
  </si>
  <si>
    <t xml:space="preserve">Raw Water In - Nawasa </t>
  </si>
  <si>
    <t>Into RO</t>
  </si>
  <si>
    <t>_</t>
  </si>
  <si>
    <t>Theoretical permeate</t>
  </si>
  <si>
    <t>Water consumption</t>
  </si>
  <si>
    <t>Target</t>
  </si>
  <si>
    <r>
      <t>Bottle 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</si>
  <si>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Bottle  Filler</t>
  </si>
  <si>
    <r>
      <t>Bottle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</si>
  <si>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1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</si>
  <si>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2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</si>
  <si>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into RO #1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</si>
  <si>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r>
      <t>Water into RO #2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</si>
  <si>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t>Tanks on Collection</t>
  </si>
  <si>
    <r>
      <t>Recovered  Water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</si>
  <si>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Supply to Plant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</si>
  <si>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Service Water Supply to Plant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</si>
  <si>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Service Water Plant Supply </t>
  </si>
  <si>
    <t>Backwash Supply</t>
  </si>
  <si>
    <t>Total Water Supply</t>
  </si>
  <si>
    <t>Water Consumption detail</t>
  </si>
  <si>
    <t>Bottle Filler</t>
  </si>
  <si>
    <t>Consumption (Filler) (kg)</t>
  </si>
  <si>
    <t>Filtration/Cellars</t>
  </si>
  <si>
    <t>Spent Grains/Wash-down Areas</t>
  </si>
  <si>
    <t>Processing/Cellars</t>
  </si>
  <si>
    <r>
      <t>Cellars/Filtration 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</si>
  <si>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Cellars/Process Areas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</si>
  <si>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Cellars/Process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</si>
  <si>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Filtration/Cellars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</si>
  <si>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</si>
  <si>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</si>
  <si>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Plant-Well # 1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</si>
  <si>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CO2 TANKS' READING</t>
  </si>
  <si>
    <t>Tank "A"</t>
  </si>
  <si>
    <t>Tank "B"</t>
  </si>
  <si>
    <t>Mobile Tanker</t>
  </si>
  <si>
    <t>(Kg.)</t>
  </si>
  <si>
    <t>.</t>
  </si>
  <si>
    <t>CO2 Scrubber</t>
  </si>
  <si>
    <t>Whirlpool</t>
  </si>
  <si>
    <t>Electricity (Kwh./Hl.)    KPI</t>
  </si>
  <si>
    <t>Fuel (L/Hl.)                  KPI</t>
  </si>
  <si>
    <r>
      <t>Water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</si>
  <si>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Total 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</si>
  <si>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(Tank Gauges)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</si>
  <si>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(Ex. Vap'r)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</si>
  <si>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(kg.) (Filler)</t>
    </r>
  </si>
  <si>
    <r>
      <t>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</si>
  <si>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</si>
  <si>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Filler (kg./Hl.)                KPI</t>
    </r>
  </si>
  <si>
    <r>
      <t>Water Recovered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</si>
  <si>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Personnel Consumption</t>
  </si>
  <si>
    <t>Refrigeration Unit</t>
  </si>
  <si>
    <t>Diff</t>
  </si>
  <si>
    <t>Bottling Hall water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</si>
  <si>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to Liqufier (kg.)</t>
    </r>
  </si>
  <si>
    <t>CO2 recovered (Kg - liquid)</t>
  </si>
  <si>
    <t>CO2 liquid conversion efficiency</t>
  </si>
  <si>
    <r>
      <t>Supply to 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</si>
  <si>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to 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</si>
  <si>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</si>
  <si>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</si>
  <si>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</t>
  </si>
  <si>
    <t>ENTRIES FOR DAILY CONS. MONITOR</t>
  </si>
  <si>
    <t>Hls Brewed</t>
  </si>
  <si>
    <t>Product</t>
  </si>
  <si>
    <t>Brewhouse (Hls brewed)</t>
  </si>
  <si>
    <t>No. of Brews</t>
  </si>
  <si>
    <t>Total Bottles Washed</t>
  </si>
  <si>
    <t>Bottle Washer (Including rejects)</t>
  </si>
  <si>
    <t>Monthly Target</t>
  </si>
  <si>
    <t>Cellars/Filtration</t>
  </si>
  <si>
    <r>
      <t>Water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</si>
  <si>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Total 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</si>
  <si>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(Ex. Vap'r)</t>
    </r>
  </si>
  <si>
    <r>
      <t>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</si>
  <si>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</si>
  <si>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to Liqufier (kg.)</t>
    </r>
  </si>
  <si>
    <r>
      <t>Water Recovered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</si>
  <si>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t>Brewhouse/Filtration/Cellar</t>
  </si>
  <si>
    <t>Spent grains/wash-down area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</si>
  <si>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</si>
  <si>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</si>
  <si>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Diff.</t>
  </si>
  <si>
    <t>Water Plant Total (Before Sand Filter)</t>
  </si>
  <si>
    <r>
      <rPr>
        <b/>
        <sz val="12"/>
        <rFont val="Arial"/>
        <family val="2"/>
      </rPr>
      <t>Service</t>
    </r>
    <r>
      <rPr>
        <sz val="12"/>
        <rFont val="Arial"/>
        <family val="2"/>
      </rPr>
      <t xml:space="preserve"> </t>
    </r>
    <r>
      <rPr>
        <b/>
        <sz val="12"/>
        <color rgb="FF92D050"/>
        <rFont val="Arial"/>
        <family val="2"/>
      </rPr>
      <t>227.3</t>
    </r>
    <r>
      <rPr>
        <sz val="12"/>
        <color rgb="FF92D050"/>
        <rFont val="Arial"/>
        <family val="2"/>
      </rPr>
      <t xml:space="preserve"> </t>
    </r>
    <r>
      <rPr>
        <sz val="12"/>
        <rFont val="Arial"/>
        <family val="2"/>
      </rPr>
      <t>cubic meters (2273 Hls)</t>
    </r>
    <r>
      <rPr>
        <b/>
        <sz val="12"/>
        <rFont val="Arial"/>
        <family val="2"/>
      </rPr>
      <t>Filtered</t>
    </r>
    <r>
      <rPr>
        <sz val="12"/>
        <rFont val="Arial"/>
        <family val="2"/>
      </rPr>
      <t xml:space="preserve"> </t>
    </r>
    <r>
      <rPr>
        <b/>
        <sz val="12"/>
        <color rgb="FF00B0F0"/>
        <rFont val="Arial"/>
        <family val="2"/>
      </rPr>
      <t>189.3</t>
    </r>
    <r>
      <rPr>
        <sz val="12"/>
        <rFont val="Arial"/>
        <family val="2"/>
      </rPr>
      <t xml:space="preserve"> cubic meters(1893 Hls)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</si>
  <si>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(kg.)Consumption Meter</t>
    </r>
  </si>
  <si>
    <t>Steam Mass Flow Meter</t>
  </si>
  <si>
    <t>Steam Mass Flow</t>
  </si>
  <si>
    <t xml:space="preserve">Steam Mass Flow Reading </t>
  </si>
  <si>
    <r>
      <t>Water Plant-Nawasa Annadale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</si>
  <si>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                                                                                                                                                      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</si>
  <si>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Filler</t>
    </r>
  </si>
  <si>
    <r>
      <t>RO Water Plant Nawasa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</si>
  <si>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Plant Cons. USAGE (Hl.)</t>
  </si>
  <si>
    <t>TOTAL</t>
  </si>
  <si>
    <r>
      <t>Bottles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</si>
  <si>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Total Prod.(HL)</t>
  </si>
  <si>
    <t>TARGET</t>
  </si>
  <si>
    <t>Total Cons. (KW-HR)</t>
  </si>
  <si>
    <t>Fuel(Litres/HL)</t>
  </si>
  <si>
    <r>
      <t>TOTAL SUPPLY 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</si>
  <si>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%</t>
  </si>
  <si>
    <r>
      <t>CO</t>
    </r>
    <r>
      <rPr>
        <b/>
        <vertAlign val="subscript"/>
        <sz val="10"/>
        <color rgb="FFFFFFFF"/>
        <rFont val="Arial"/>
        <family val="2"/>
      </rPr>
      <t>2</t>
    </r>
    <r>
      <rPr>
        <b/>
        <sz val="10"/>
        <color indexed="9"/>
        <rFont val="Arial"/>
        <family val="2"/>
      </rPr>
      <t xml:space="preserve"> ( Kg./HL)</t>
    </r>
  </si>
  <si>
    <t>FILLER</t>
  </si>
  <si>
    <t>FILLER Cons. (Kg.)</t>
  </si>
  <si>
    <t>(liters)</t>
  </si>
  <si>
    <t>KPI. Elect (KW-H/Hl)</t>
  </si>
  <si>
    <t>ELECTRICITY GRENLEC</t>
  </si>
  <si>
    <t>CARIB GENSET</t>
  </si>
  <si>
    <t>ELECTRICITY TOTAL</t>
  </si>
  <si>
    <t>METER 1</t>
  </si>
  <si>
    <t>METER 2</t>
  </si>
  <si>
    <t>AVE.</t>
  </si>
  <si>
    <t>Consumption (Totalizer Flowmeter)</t>
  </si>
  <si>
    <t>(kg)</t>
  </si>
  <si>
    <t>CO2 meter</t>
  </si>
  <si>
    <t>TAYLOR WHARTON CALIBRATION TANK</t>
  </si>
  <si>
    <t>inH2O</t>
  </si>
  <si>
    <t>LBS_CO2</t>
  </si>
  <si>
    <t>KG_CO2</t>
  </si>
  <si>
    <r>
      <t>READING Today (inH</t>
    </r>
    <r>
      <rPr>
        <b/>
        <vertAlign val="subscript"/>
        <sz val="10"/>
        <color rgb="FFEE0000"/>
        <rFont val="Calibri"/>
        <family val="2"/>
        <scheme val="minor"/>
      </rPr>
      <t>2</t>
    </r>
    <r>
      <rPr>
        <b/>
        <sz val="10"/>
        <color rgb="FFEE0000"/>
        <rFont val="Calibri"/>
        <family val="2"/>
        <scheme val="minor"/>
      </rPr>
      <t>O)</t>
    </r>
  </si>
  <si>
    <t>TANK C</t>
  </si>
  <si>
    <t>TANK A</t>
  </si>
  <si>
    <t>TANK B</t>
  </si>
  <si>
    <t>STOCK (KG)</t>
  </si>
  <si>
    <t>TOTAL CONSUMPTION (KG)</t>
  </si>
  <si>
    <t>POUNDS</t>
  </si>
  <si>
    <t>KG</t>
  </si>
  <si>
    <t>READING 00:30 hrs (inH2O)</t>
  </si>
  <si>
    <t>QUANTITY (KG)</t>
  </si>
  <si>
    <t>Tank "C"</t>
  </si>
  <si>
    <t>INPUTS MOBILE(kg)</t>
  </si>
  <si>
    <t>(pounds)</t>
  </si>
  <si>
    <t>CO2 (kg.) (Ex. Vap'r Flowmeter)</t>
  </si>
  <si>
    <t>CO2 (kg.) (Ex. Vap'r Calculation)</t>
  </si>
  <si>
    <r>
      <t>CO</t>
    </r>
    <r>
      <rPr>
        <b/>
        <vertAlign val="subscript"/>
        <sz val="14"/>
        <rFont val="Arial"/>
        <family val="2"/>
      </rPr>
      <t>2</t>
    </r>
    <r>
      <rPr>
        <b/>
        <sz val="14"/>
        <rFont val="Arial"/>
        <family val="2"/>
      </rPr>
      <t xml:space="preserve"> (kg.) (Filler)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</si>
  <si>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Filler (kg./Hl.)    KPI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</si>
  <si>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(BMF)</t>
    </r>
  </si>
  <si>
    <t>BMF Cons. (Kg.)</t>
  </si>
  <si>
    <t>Consumption (BMF) (kg)</t>
  </si>
  <si>
    <t>NOT READY</t>
  </si>
  <si>
    <t>DAILY FUEL CONSUMPTION FOR  SEPTEMBER 2025</t>
  </si>
  <si>
    <t>DAILY  ELECTRICITY  CONSUMPTION FOR  SEPTEMBER 2025</t>
  </si>
  <si>
    <t>PRODUCTION FOR SEPTEMBER 2025</t>
  </si>
  <si>
    <t>CO2 Daily Consumption for SEPTEMBER 2025</t>
  </si>
  <si>
    <t>DAILY WATER CONSUMPTION FOR SEPTEMBER 2025</t>
  </si>
  <si>
    <t>CB/ST</t>
  </si>
  <si>
    <t>CB/SM</t>
  </si>
  <si>
    <t>ST/CB</t>
  </si>
  <si>
    <t>SM/CB</t>
  </si>
  <si>
    <t>CB</t>
  </si>
  <si>
    <t>SM</t>
  </si>
  <si>
    <t>ST</t>
  </si>
  <si>
    <t>VM</t>
  </si>
  <si>
    <t>VM/ CB</t>
  </si>
  <si>
    <t>CB/GN</t>
  </si>
  <si>
    <t>CB/ ST</t>
  </si>
  <si>
    <t>GN</t>
  </si>
  <si>
    <t>VM/ ST</t>
  </si>
  <si>
    <t>MK</t>
  </si>
  <si>
    <t>MK/CB</t>
  </si>
  <si>
    <r>
      <rPr>
        <b/>
        <sz val="20"/>
        <color rgb="FF170EC2"/>
        <rFont val="Arial"/>
        <family val="2"/>
      </rPr>
      <t>CB</t>
    </r>
    <r>
      <rPr>
        <b/>
        <sz val="20"/>
        <color rgb="FF00A44A"/>
        <rFont val="Arial"/>
        <family val="2"/>
      </rPr>
      <t>/ST</t>
    </r>
  </si>
  <si>
    <r>
      <rPr>
        <b/>
        <sz val="20"/>
        <color rgb="FF0000FF"/>
        <rFont val="Arial"/>
        <family val="2"/>
      </rPr>
      <t>CB</t>
    </r>
    <r>
      <rPr>
        <b/>
        <sz val="20"/>
        <color rgb="FF00A44A"/>
        <rFont val="Arial"/>
        <family val="2"/>
      </rPr>
      <t>/ST</t>
    </r>
  </si>
  <si>
    <r>
      <rPr>
        <b/>
        <sz val="20"/>
        <color rgb="FF0000FF"/>
        <rFont val="Arial"/>
        <family val="2"/>
      </rPr>
      <t>CB</t>
    </r>
    <r>
      <rPr>
        <b/>
        <sz val="20"/>
        <color rgb="FFFF0000"/>
        <rFont val="Arial"/>
        <family val="2"/>
      </rPr>
      <t>/GN</t>
    </r>
  </si>
  <si>
    <r>
      <t>ST</t>
    </r>
    <r>
      <rPr>
        <b/>
        <sz val="20"/>
        <color rgb="FF170EC2"/>
        <rFont val="Arial"/>
        <family val="2"/>
      </rPr>
      <t>/</t>
    </r>
    <r>
      <rPr>
        <b/>
        <sz val="20"/>
        <color rgb="FF0000FF"/>
        <rFont val="Arial"/>
        <family val="2"/>
      </rPr>
      <t>CB</t>
    </r>
  </si>
  <si>
    <r>
      <rPr>
        <b/>
        <sz val="20"/>
        <color theme="5" tint="-0.249977111117893"/>
        <rFont val="Arial"/>
        <family val="2"/>
      </rPr>
      <t>MK</t>
    </r>
    <r>
      <rPr>
        <b/>
        <sz val="20"/>
        <color theme="5" tint="-0.499984740745262"/>
        <rFont val="Arial"/>
        <family val="2"/>
      </rPr>
      <t>/</t>
    </r>
    <r>
      <rPr>
        <b/>
        <sz val="20"/>
        <color rgb="FF0000FF"/>
        <rFont val="Arial"/>
        <family val="2"/>
      </rPr>
      <t>CB</t>
    </r>
  </si>
  <si>
    <r>
      <t>CB/</t>
    </r>
    <r>
      <rPr>
        <b/>
        <sz val="20"/>
        <color rgb="FF99CC00"/>
        <rFont val="Arial"/>
        <family val="2"/>
      </rPr>
      <t>LSh</t>
    </r>
    <r>
      <rPr>
        <b/>
        <sz val="20"/>
        <color rgb="FF0000FF"/>
        <rFont val="Arial"/>
        <family val="2"/>
      </rPr>
      <t>/</t>
    </r>
    <r>
      <rPr>
        <b/>
        <sz val="20"/>
        <color theme="5"/>
        <rFont val="Arial"/>
        <family val="2"/>
      </rPr>
      <t>GSh</t>
    </r>
  </si>
  <si>
    <t>SM/ST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</si>
</sst>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#,##0.00000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_);[Red]\(#,##0.0\)"/>
    <numFmt numFmtId="170" formatCode="0.0%"/>
    <numFmt numFmtId="171" formatCode="[$-409]mmmm\-yy;@"/>
    <numFmt numFmtId="172" formatCode="[$-409]mmmm\ d\,\ yyyy;@"/>
  </numFmts>
  <fonts count="14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Lucida Sans Unicode"/>
      <family val="2"/>
    </font>
    <font>
      <u/>
      <sz val="12"/>
      <name val="Arial"/>
      <family val="2"/>
    </font>
    <font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Lucida Sans Unicode"/>
      <family val="2"/>
    </font>
    <font>
      <sz val="12"/>
      <color indexed="17"/>
      <name val="Arial"/>
      <family val="2"/>
    </font>
    <font>
      <u/>
      <sz val="12"/>
      <color indexed="17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b/>
      <u/>
      <sz val="12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u/>
      <sz val="12"/>
      <color indexed="9"/>
      <name val="Arial"/>
      <family val="2"/>
    </font>
    <font>
      <b/>
      <vertAlign val="superscript"/>
      <sz val="12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i/>
      <sz val="8"/>
      <color indexed="9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12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b/>
      <vertAlign val="superscript"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b/>
      <u/>
      <sz val="10"/>
      <name val="Arial"/>
      <family val="2"/>
    </font>
    <font>
      <sz val="10"/>
      <color indexed="30"/>
      <name val="Arial"/>
      <family val="2"/>
    </font>
    <font>
      <u/>
      <sz val="10"/>
      <name val="Arial"/>
      <family val="2"/>
    </font>
    <font>
      <u/>
      <sz val="12"/>
      <color indexed="9"/>
      <name val="Arial"/>
      <family val="2"/>
    </font>
    <font>
      <vertAlign val="superscript"/>
      <sz val="10"/>
      <color indexed="9"/>
      <name val="Arial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vertAlign val="subscript"/>
      <sz val="10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4"/>
      <color indexed="30"/>
      <name val="Arial"/>
      <family val="2"/>
    </font>
    <font>
      <b/>
      <sz val="16"/>
      <color indexed="30"/>
      <name val="Arial"/>
      <family val="2"/>
    </font>
    <font>
      <b/>
      <sz val="12"/>
      <color indexed="30"/>
      <name val="Arial"/>
      <family val="2"/>
    </font>
    <font>
      <u/>
      <sz val="14"/>
      <name val="Arial"/>
      <family val="2"/>
    </font>
    <font>
      <sz val="14"/>
      <color theme="1"/>
      <name val="Arial"/>
      <family val="2"/>
    </font>
    <font>
      <b/>
      <sz val="14"/>
      <color indexed="9"/>
      <name val="Arial"/>
      <family val="2"/>
    </font>
    <font>
      <b/>
      <sz val="16"/>
      <color theme="1"/>
      <name val="Arial"/>
      <family val="2"/>
    </font>
    <font>
      <sz val="14"/>
      <color indexed="10"/>
      <name val="Arial"/>
      <family val="2"/>
    </font>
    <font>
      <b/>
      <sz val="14"/>
      <color indexed="10"/>
      <name val="Arial"/>
      <family val="2"/>
    </font>
    <font>
      <i/>
      <sz val="14"/>
      <color indexed="10"/>
      <name val="Arial"/>
      <family val="2"/>
    </font>
    <font>
      <i/>
      <sz val="14"/>
      <name val="Arial"/>
      <family val="2"/>
    </font>
    <font>
      <sz val="14"/>
      <color indexed="9"/>
      <name val="Arial"/>
      <family val="2"/>
    </font>
    <font>
      <sz val="16"/>
      <color rgb="FF0000FF"/>
      <name val="Arial"/>
      <family val="2"/>
    </font>
    <font>
      <b/>
      <sz val="12"/>
      <color theme="5" tint="-0.499984740745262"/>
      <name val="Arial"/>
      <family val="2"/>
    </font>
    <font>
      <b/>
      <sz val="8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b/>
      <i/>
      <sz val="14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sz val="20"/>
      <color indexed="30"/>
      <name val="Arial"/>
      <family val="2"/>
    </font>
    <font>
      <b/>
      <sz val="20"/>
      <color theme="6" tint="-0.249977111117893"/>
      <name val="Arial"/>
      <family val="2"/>
    </font>
    <font>
      <b/>
      <sz val="20"/>
      <color indexed="30"/>
      <name val="Arial"/>
      <family val="2"/>
    </font>
    <font>
      <b/>
      <sz val="20"/>
      <color theme="1"/>
      <name val="Arial"/>
      <family val="2"/>
    </font>
    <font>
      <b/>
      <i/>
      <sz val="20"/>
      <name val="Arial"/>
      <family val="2"/>
    </font>
    <font>
      <i/>
      <sz val="20"/>
      <name val="Arial"/>
      <family val="2"/>
    </font>
    <font>
      <b/>
      <vertAlign val="superscript"/>
      <sz val="20"/>
      <name val="Arial"/>
      <family val="2"/>
    </font>
    <font>
      <u/>
      <sz val="20"/>
      <name val="Arial"/>
      <family val="2"/>
    </font>
    <font>
      <b/>
      <sz val="20"/>
      <color indexed="9"/>
      <name val="Arial"/>
      <family val="2"/>
    </font>
    <font>
      <sz val="20"/>
      <color indexed="9"/>
      <name val="Arial"/>
      <family val="2"/>
    </font>
    <font>
      <b/>
      <vertAlign val="subscript"/>
      <sz val="20"/>
      <name val="Arial"/>
      <family val="2"/>
    </font>
    <font>
      <sz val="20"/>
      <color indexed="10"/>
      <name val="Arial"/>
      <family val="2"/>
    </font>
    <font>
      <b/>
      <sz val="20"/>
      <color indexed="10"/>
      <name val="Arial"/>
      <family val="2"/>
    </font>
    <font>
      <i/>
      <sz val="20"/>
      <color indexed="10"/>
      <name val="Arial"/>
      <family val="2"/>
    </font>
    <font>
      <sz val="18"/>
      <name val="Arial"/>
      <family val="2"/>
    </font>
    <font>
      <b/>
      <i/>
      <sz val="20"/>
      <color theme="1"/>
      <name val="Arial"/>
      <family val="2"/>
    </font>
    <font>
      <i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20"/>
      <color rgb="FF0000FF"/>
      <name val="Arial"/>
      <family val="2"/>
    </font>
    <font>
      <b/>
      <i/>
      <sz val="20"/>
      <color rgb="FFFF0000"/>
      <name val="Arial"/>
      <family val="2"/>
    </font>
    <font>
      <b/>
      <sz val="12"/>
      <color rgb="FF92D050"/>
      <name val="Arial"/>
      <family val="2"/>
    </font>
    <font>
      <sz val="12"/>
      <color rgb="FF92D050"/>
      <name val="Arial"/>
      <family val="2"/>
    </font>
    <font>
      <b/>
      <sz val="12"/>
      <color rgb="FF00B0F0"/>
      <name val="Arial"/>
      <family val="2"/>
    </font>
    <font>
      <b/>
      <i/>
      <sz val="20"/>
      <color theme="5" tint="0.39997558519241921"/>
      <name val="Arial"/>
      <family val="2"/>
    </font>
    <font>
      <sz val="20"/>
      <color rgb="FFFF0000"/>
      <name val="Arial"/>
      <family val="2"/>
    </font>
    <font>
      <b/>
      <sz val="20"/>
      <color theme="9" tint="-0.249977111117893"/>
      <name val="Arial"/>
      <family val="2"/>
    </font>
    <font>
      <b/>
      <sz val="20"/>
      <color rgb="FF00A44A"/>
      <name val="Arial"/>
      <family val="2"/>
    </font>
    <font>
      <sz val="12"/>
      <color theme="1"/>
      <name val="Arial"/>
      <family val="2"/>
    </font>
    <font>
      <sz val="14"/>
      <color indexed="12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4"/>
      <color indexed="12"/>
      <name val="Arial"/>
      <family val="2"/>
    </font>
    <font>
      <b/>
      <vertAlign val="subscript"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2"/>
      <color rgb="FFFF0000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  <font>
      <b/>
      <sz val="11"/>
      <color indexed="9"/>
      <name val="Arial"/>
      <family val="2"/>
    </font>
    <font>
      <b/>
      <sz val="20"/>
      <color rgb="FF00B050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EE0000"/>
      <name val="Calibri"/>
      <family val="2"/>
      <scheme val="minor"/>
    </font>
    <font>
      <b/>
      <sz val="10"/>
      <color rgb="FFEE0000"/>
      <name val="Calibri"/>
      <family val="2"/>
      <scheme val="minor"/>
    </font>
    <font>
      <b/>
      <vertAlign val="subscript"/>
      <sz val="10"/>
      <color rgb="FFEE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2"/>
      <color rgb="FFEE0000"/>
      <name val="Arial"/>
      <family val="2"/>
    </font>
    <font>
      <sz val="11"/>
      <color rgb="FF0000FF"/>
      <name val="Calibri"/>
      <family val="2"/>
      <scheme val="minor"/>
    </font>
    <font>
      <b/>
      <sz val="20"/>
      <color rgb="FFEE0000"/>
      <name val="Arial"/>
      <family val="2"/>
    </font>
    <font>
      <sz val="12"/>
      <color rgb="FF170EC2"/>
      <name val="Arial"/>
      <family val="2"/>
    </font>
    <font>
      <b/>
      <sz val="20"/>
      <color rgb="FFFF00FF"/>
      <name val="Arial"/>
      <family val="2"/>
    </font>
    <font>
      <b/>
      <vertAlign val="subscript"/>
      <sz val="14"/>
      <name val="Arial"/>
      <family val="2"/>
    </font>
    <font>
      <sz val="12"/>
      <color indexed="81"/>
      <name val="Tahoma"/>
      <family val="2"/>
    </font>
    <font>
      <b/>
      <sz val="20"/>
      <color theme="5" tint="-0.499984740745262"/>
      <name val="Arial"/>
      <family val="2"/>
    </font>
    <font>
      <b/>
      <sz val="20"/>
      <color rgb="FFC00000"/>
      <name val="Arial"/>
      <family val="2"/>
    </font>
    <font>
      <b/>
      <sz val="20"/>
      <color theme="5" tint="-0.249977111117893"/>
      <name val="Arial"/>
      <family val="2"/>
    </font>
    <font>
      <b/>
      <sz val="20"/>
      <color rgb="FF170EC2"/>
      <name val="Arial"/>
      <family val="2"/>
    </font>
    <font>
      <b/>
      <sz val="12"/>
      <color indexed="81"/>
      <name val="Tahoma"/>
      <family val="2"/>
    </font>
    <font>
      <b/>
      <sz val="20"/>
      <color theme="5"/>
      <name val="Arial"/>
      <family val="2"/>
    </font>
    <font>
      <b/>
      <sz val="20"/>
      <color rgb="FF99CC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gray0625"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bgColor rgb="FFFFFF00"/>
      </patternFill>
    </fill>
    <fill>
      <patternFill patternType="solid">
        <fgColor rgb="FF99CC00"/>
        <bgColor indexed="64"/>
      </patternFill>
    </fill>
  </fills>
  <borders count="127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58"/>
      </bottom>
      <diagonal/>
    </border>
    <border>
      <left/>
      <right style="thin">
        <color indexed="64"/>
      </right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9" fontId="49" fillId="0" borderId="0" applyFont="0" applyFill="0" applyBorder="0" applyAlignment="0" applyProtection="0"/>
    <xf numFmtId="172" fontId="1" fillId="0" borderId="0"/>
  </cellStyleXfs>
  <cellXfs count="983">
    <xf numFmtId="0" fontId="0" fillId="0" borderId="0" xfId="0"/>
    <xf numFmtId="0" fontId="3" fillId="0" borderId="0" xfId="0" applyFont="1"/>
    <xf numFmtId="0" fontId="2" fillId="0" borderId="0" xfId="0" applyFont="1"/>
    <xf numFmtId="17" fontId="3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7" fillId="0" borderId="0" xfId="3"/>
    <xf numFmtId="0" fontId="6" fillId="0" borderId="0" xfId="3" applyFont="1"/>
    <xf numFmtId="37" fontId="7" fillId="0" borderId="0" xfId="3" applyNumberFormat="1" applyAlignment="1">
      <alignment horizontal="center"/>
    </xf>
    <xf numFmtId="0" fontId="7" fillId="0" borderId="0" xfId="3" applyAlignment="1">
      <alignment horizontal="center"/>
    </xf>
    <xf numFmtId="0" fontId="3" fillId="0" borderId="0" xfId="3" applyFont="1"/>
    <xf numFmtId="39" fontId="7" fillId="0" borderId="0" xfId="3" applyNumberFormat="1" applyAlignment="1">
      <alignment horizontal="center"/>
    </xf>
    <xf numFmtId="0" fontId="3" fillId="0" borderId="0" xfId="0" applyFont="1" applyAlignment="1">
      <alignment horizontal="left"/>
    </xf>
    <xf numFmtId="3" fontId="7" fillId="0" borderId="0" xfId="3" applyNumberFormat="1" applyAlignment="1">
      <alignment horizontal="center"/>
    </xf>
    <xf numFmtId="0" fontId="15" fillId="0" borderId="5" xfId="3" applyFont="1" applyBorder="1" applyAlignment="1">
      <alignment horizontal="center"/>
    </xf>
    <xf numFmtId="3" fontId="7" fillId="0" borderId="0" xfId="3" applyNumberFormat="1"/>
    <xf numFmtId="0" fontId="7" fillId="0" borderId="6" xfId="3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7" fillId="0" borderId="8" xfId="3" applyBorder="1" applyAlignment="1">
      <alignment horizontal="center"/>
    </xf>
    <xf numFmtId="166" fontId="7" fillId="0" borderId="0" xfId="3" applyNumberFormat="1"/>
    <xf numFmtId="167" fontId="7" fillId="0" borderId="0" xfId="1" applyNumberFormat="1" applyFont="1"/>
    <xf numFmtId="0" fontId="9" fillId="2" borderId="0" xfId="3" applyFont="1" applyFill="1"/>
    <xf numFmtId="0" fontId="14" fillId="0" borderId="9" xfId="0" applyFont="1" applyBorder="1" applyAlignment="1">
      <alignment horizontal="center"/>
    </xf>
    <xf numFmtId="4" fontId="7" fillId="0" borderId="10" xfId="3" applyNumberFormat="1" applyBorder="1"/>
    <xf numFmtId="0" fontId="0" fillId="0" borderId="0" xfId="0" applyAlignment="1">
      <alignment horizontal="center"/>
    </xf>
    <xf numFmtId="168" fontId="9" fillId="2" borderId="0" xfId="2" applyNumberFormat="1" applyFont="1" applyFill="1"/>
    <xf numFmtId="0" fontId="7" fillId="2" borderId="0" xfId="3" applyFill="1"/>
    <xf numFmtId="37" fontId="7" fillId="0" borderId="0" xfId="3" applyNumberFormat="1"/>
    <xf numFmtId="3" fontId="15" fillId="0" borderId="4" xfId="3" applyNumberFormat="1" applyFont="1" applyBorder="1" applyAlignment="1">
      <alignment horizontal="center"/>
    </xf>
    <xf numFmtId="2" fontId="7" fillId="0" borderId="0" xfId="3" applyNumberFormat="1"/>
    <xf numFmtId="2" fontId="7" fillId="0" borderId="0" xfId="3" applyNumberFormat="1" applyAlignment="1">
      <alignment horizontal="center"/>
    </xf>
    <xf numFmtId="0" fontId="19" fillId="4" borderId="0" xfId="3" applyFont="1" applyFill="1" applyAlignment="1">
      <alignment horizontal="center"/>
    </xf>
    <xf numFmtId="0" fontId="0" fillId="5" borderId="0" xfId="0" applyFill="1"/>
    <xf numFmtId="0" fontId="15" fillId="0" borderId="0" xfId="3" applyFont="1" applyAlignment="1">
      <alignment horizontal="center"/>
    </xf>
    <xf numFmtId="2" fontId="15" fillId="0" borderId="3" xfId="3" applyNumberFormat="1" applyFont="1" applyBorder="1" applyAlignment="1">
      <alignment horizontal="center"/>
    </xf>
    <xf numFmtId="2" fontId="15" fillId="0" borderId="5" xfId="3" applyNumberFormat="1" applyFont="1" applyBorder="1" applyAlignment="1">
      <alignment horizontal="center"/>
    </xf>
    <xf numFmtId="0" fontId="19" fillId="4" borderId="27" xfId="3" applyFont="1" applyFill="1" applyBorder="1" applyAlignment="1">
      <alignment horizontal="center"/>
    </xf>
    <xf numFmtId="37" fontId="19" fillId="4" borderId="28" xfId="3" applyNumberFormat="1" applyFont="1" applyFill="1" applyBorder="1" applyAlignment="1">
      <alignment horizontal="center"/>
    </xf>
    <xf numFmtId="0" fontId="27" fillId="0" borderId="0" xfId="3" applyFont="1"/>
    <xf numFmtId="0" fontId="28" fillId="0" borderId="5" xfId="3" applyFont="1" applyBorder="1" applyAlignment="1">
      <alignment horizontal="center"/>
    </xf>
    <xf numFmtId="37" fontId="28" fillId="0" borderId="6" xfId="3" applyNumberFormat="1" applyFont="1" applyBorder="1" applyAlignment="1">
      <alignment horizontal="center"/>
    </xf>
    <xf numFmtId="37" fontId="28" fillId="0" borderId="30" xfId="3" applyNumberFormat="1" applyFont="1" applyBorder="1" applyAlignment="1">
      <alignment horizontal="center"/>
    </xf>
    <xf numFmtId="0" fontId="28" fillId="0" borderId="3" xfId="3" applyFont="1" applyBorder="1" applyAlignment="1">
      <alignment horizontal="center"/>
    </xf>
    <xf numFmtId="0" fontId="28" fillId="0" borderId="0" xfId="3" applyFont="1" applyAlignment="1">
      <alignment horizontal="center"/>
    </xf>
    <xf numFmtId="3" fontId="15" fillId="0" borderId="3" xfId="3" applyNumberFormat="1" applyFont="1" applyBorder="1" applyAlignment="1">
      <alignment horizont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15" fillId="0" borderId="32" xfId="3" applyFont="1" applyBorder="1" applyAlignment="1">
      <alignment horizontal="center"/>
    </xf>
    <xf numFmtId="3" fontId="15" fillId="0" borderId="6" xfId="3" applyNumberFormat="1" applyFont="1" applyBorder="1" applyAlignment="1">
      <alignment horizontal="center"/>
    </xf>
    <xf numFmtId="0" fontId="25" fillId="4" borderId="34" xfId="3" applyFont="1" applyFill="1" applyBorder="1"/>
    <xf numFmtId="0" fontId="18" fillId="0" borderId="5" xfId="3" applyFont="1" applyBorder="1" applyAlignment="1">
      <alignment horizontal="center"/>
    </xf>
    <xf numFmtId="3" fontId="28" fillId="0" borderId="3" xfId="3" applyNumberFormat="1" applyFont="1" applyBorder="1" applyAlignment="1">
      <alignment horizontal="center"/>
    </xf>
    <xf numFmtId="37" fontId="28" fillId="0" borderId="35" xfId="3" applyNumberFormat="1" applyFont="1" applyBorder="1" applyAlignment="1">
      <alignment horizontal="center"/>
    </xf>
    <xf numFmtId="37" fontId="28" fillId="0" borderId="4" xfId="3" applyNumberFormat="1" applyFont="1" applyBorder="1" applyAlignment="1">
      <alignment horizontal="center"/>
    </xf>
    <xf numFmtId="37" fontId="29" fillId="0" borderId="4" xfId="3" applyNumberFormat="1" applyFont="1" applyBorder="1" applyAlignment="1">
      <alignment horizontal="center"/>
    </xf>
    <xf numFmtId="0" fontId="28" fillId="0" borderId="4" xfId="3" applyFont="1" applyBorder="1"/>
    <xf numFmtId="2" fontId="28" fillId="0" borderId="3" xfId="3" applyNumberFormat="1" applyFont="1" applyBorder="1" applyAlignment="1">
      <alignment horizontal="center"/>
    </xf>
    <xf numFmtId="3" fontId="28" fillId="0" borderId="5" xfId="3" applyNumberFormat="1" applyFont="1" applyBorder="1" applyAlignment="1">
      <alignment horizontal="center"/>
    </xf>
    <xf numFmtId="0" fontId="28" fillId="0" borderId="6" xfId="3" applyFont="1" applyBorder="1"/>
    <xf numFmtId="3" fontId="29" fillId="0" borderId="3" xfId="3" applyNumberFormat="1" applyFont="1" applyBorder="1" applyAlignment="1">
      <alignment horizontal="center"/>
    </xf>
    <xf numFmtId="3" fontId="29" fillId="0" borderId="5" xfId="3" applyNumberFormat="1" applyFont="1" applyBorder="1" applyAlignment="1">
      <alignment horizontal="center"/>
    </xf>
    <xf numFmtId="3" fontId="28" fillId="0" borderId="0" xfId="3" applyNumberFormat="1" applyFont="1" applyAlignment="1">
      <alignment horizontal="center"/>
    </xf>
    <xf numFmtId="0" fontId="17" fillId="0" borderId="0" xfId="3" applyFont="1"/>
    <xf numFmtId="0" fontId="19" fillId="4" borderId="5" xfId="3" applyFont="1" applyFill="1" applyBorder="1"/>
    <xf numFmtId="0" fontId="26" fillId="4" borderId="5" xfId="3" applyFont="1" applyFill="1" applyBorder="1" applyAlignment="1">
      <alignment horizontal="center"/>
    </xf>
    <xf numFmtId="0" fontId="26" fillId="4" borderId="5" xfId="3" applyFont="1" applyFill="1" applyBorder="1"/>
    <xf numFmtId="0" fontId="19" fillId="4" borderId="5" xfId="3" applyFont="1" applyFill="1" applyBorder="1" applyAlignment="1">
      <alignment horizontal="center"/>
    </xf>
    <xf numFmtId="0" fontId="22" fillId="4" borderId="26" xfId="3" applyFont="1" applyFill="1" applyBorder="1"/>
    <xf numFmtId="3" fontId="7" fillId="0" borderId="0" xfId="3" applyNumberFormat="1" applyAlignment="1">
      <alignment horizontal="left"/>
    </xf>
    <xf numFmtId="0" fontId="34" fillId="0" borderId="0" xfId="3" applyFont="1"/>
    <xf numFmtId="0" fontId="35" fillId="0" borderId="0" xfId="0" applyFont="1"/>
    <xf numFmtId="3" fontId="3" fillId="0" borderId="0" xfId="0" applyNumberFormat="1" applyFont="1" applyAlignment="1">
      <alignment horizontal="center"/>
    </xf>
    <xf numFmtId="0" fontId="36" fillId="0" borderId="0" xfId="0" applyFont="1"/>
    <xf numFmtId="0" fontId="37" fillId="0" borderId="0" xfId="0" applyFont="1"/>
    <xf numFmtId="0" fontId="3" fillId="6" borderId="0" xfId="0" applyFont="1" applyFill="1"/>
    <xf numFmtId="3" fontId="15" fillId="0" borderId="29" xfId="3" applyNumberFormat="1" applyFont="1" applyBorder="1" applyAlignment="1">
      <alignment horizontal="center"/>
    </xf>
    <xf numFmtId="0" fontId="30" fillId="4" borderId="4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left"/>
    </xf>
    <xf numFmtId="167" fontId="1" fillId="0" borderId="0" xfId="1" applyNumberFormat="1" applyAlignment="1">
      <alignment horizontal="center"/>
    </xf>
    <xf numFmtId="0" fontId="3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6" borderId="0" xfId="0" applyFont="1" applyFill="1"/>
    <xf numFmtId="0" fontId="47" fillId="0" borderId="0" xfId="0" applyFont="1"/>
    <xf numFmtId="0" fontId="48" fillId="0" borderId="0" xfId="0" applyFont="1"/>
    <xf numFmtId="0" fontId="48" fillId="2" borderId="0" xfId="0" applyFont="1" applyFill="1"/>
    <xf numFmtId="0" fontId="1" fillId="3" borderId="0" xfId="0" applyFont="1" applyFill="1" applyAlignment="1">
      <alignment horizontal="center"/>
    </xf>
    <xf numFmtId="167" fontId="1" fillId="3" borderId="0" xfId="1" applyNumberFormat="1" applyFill="1" applyAlignment="1">
      <alignment horizontal="center"/>
    </xf>
    <xf numFmtId="0" fontId="1" fillId="3" borderId="0" xfId="0" applyFont="1" applyFill="1"/>
    <xf numFmtId="0" fontId="52" fillId="0" borderId="0" xfId="0" applyFont="1" applyAlignment="1">
      <alignment horizontal="center"/>
    </xf>
    <xf numFmtId="0" fontId="52" fillId="3" borderId="0" xfId="0" applyFont="1" applyFill="1" applyAlignment="1">
      <alignment horizontal="center"/>
    </xf>
    <xf numFmtId="17" fontId="8" fillId="0" borderId="0" xfId="0" applyNumberFormat="1" applyFont="1" applyAlignment="1">
      <alignment horizontal="left" wrapText="1"/>
    </xf>
    <xf numFmtId="17" fontId="52" fillId="0" borderId="0" xfId="0" applyNumberFormat="1" applyFont="1" applyAlignment="1">
      <alignment horizontal="left" wrapText="1"/>
    </xf>
    <xf numFmtId="167" fontId="54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right"/>
    </xf>
    <xf numFmtId="167" fontId="55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center" vertical="center"/>
    </xf>
    <xf numFmtId="0" fontId="57" fillId="0" borderId="0" xfId="0" applyFont="1"/>
    <xf numFmtId="0" fontId="52" fillId="0" borderId="0" xfId="0" applyFont="1"/>
    <xf numFmtId="0" fontId="53" fillId="0" borderId="0" xfId="0" applyFont="1"/>
    <xf numFmtId="0" fontId="8" fillId="0" borderId="27" xfId="0" applyFont="1" applyBorder="1"/>
    <xf numFmtId="0" fontId="60" fillId="0" borderId="0" xfId="0" applyFont="1" applyAlignment="1">
      <alignment horizontal="center"/>
    </xf>
    <xf numFmtId="0" fontId="60" fillId="3" borderId="0" xfId="0" applyFont="1" applyFill="1" applyAlignment="1">
      <alignment horizontal="center"/>
    </xf>
    <xf numFmtId="0" fontId="52" fillId="0" borderId="0" xfId="3" applyFont="1" applyAlignment="1">
      <alignment vertical="center" wrapText="1"/>
    </xf>
    <xf numFmtId="3" fontId="52" fillId="0" borderId="0" xfId="3" applyNumberFormat="1" applyFont="1" applyAlignment="1">
      <alignment horizontal="center"/>
    </xf>
    <xf numFmtId="3" fontId="52" fillId="3" borderId="0" xfId="3" applyNumberFormat="1" applyFont="1" applyFill="1" applyAlignment="1">
      <alignment horizontal="center"/>
    </xf>
    <xf numFmtId="3" fontId="52" fillId="0" borderId="28" xfId="3" applyNumberFormat="1" applyFont="1" applyBorder="1" applyAlignment="1">
      <alignment horizontal="center"/>
    </xf>
    <xf numFmtId="0" fontId="61" fillId="0" borderId="28" xfId="3" applyFont="1" applyBorder="1" applyAlignment="1">
      <alignment horizontal="center"/>
    </xf>
    <xf numFmtId="0" fontId="52" fillId="0" borderId="28" xfId="3" applyFont="1" applyBorder="1" applyAlignment="1">
      <alignment horizontal="center"/>
    </xf>
    <xf numFmtId="0" fontId="52" fillId="3" borderId="28" xfId="3" applyFont="1" applyFill="1" applyBorder="1" applyAlignment="1">
      <alignment horizontal="center"/>
    </xf>
    <xf numFmtId="1" fontId="52" fillId="0" borderId="28" xfId="3" applyNumberFormat="1" applyFont="1" applyBorder="1" applyAlignment="1">
      <alignment horizontal="center"/>
    </xf>
    <xf numFmtId="0" fontId="53" fillId="6" borderId="0" xfId="3" applyFont="1" applyFill="1" applyAlignment="1">
      <alignment vertical="center" wrapText="1"/>
    </xf>
    <xf numFmtId="3" fontId="51" fillId="6" borderId="0" xfId="0" applyNumberFormat="1" applyFont="1" applyFill="1" applyAlignment="1">
      <alignment horizontal="center"/>
    </xf>
    <xf numFmtId="3" fontId="52" fillId="0" borderId="0" xfId="0" applyNumberFormat="1" applyFont="1" applyAlignment="1">
      <alignment horizontal="center"/>
    </xf>
    <xf numFmtId="3" fontId="52" fillId="3" borderId="0" xfId="0" applyNumberFormat="1" applyFont="1" applyFill="1" applyAlignment="1">
      <alignment horizontal="center"/>
    </xf>
    <xf numFmtId="0" fontId="52" fillId="0" borderId="0" xfId="3" applyFont="1" applyAlignment="1">
      <alignment horizontal="left" vertical="center" wrapText="1"/>
    </xf>
    <xf numFmtId="0" fontId="52" fillId="0" borderId="28" xfId="3" applyFont="1" applyBorder="1" applyAlignment="1">
      <alignment vertical="center" wrapText="1"/>
    </xf>
    <xf numFmtId="3" fontId="52" fillId="3" borderId="28" xfId="3" applyNumberFormat="1" applyFont="1" applyFill="1" applyBorder="1" applyAlignment="1">
      <alignment horizontal="center"/>
    </xf>
    <xf numFmtId="0" fontId="53" fillId="6" borderId="0" xfId="3" applyFont="1" applyFill="1" applyAlignment="1">
      <alignment horizontal="left" vertical="center" wrapText="1"/>
    </xf>
    <xf numFmtId="164" fontId="52" fillId="0" borderId="0" xfId="0" applyNumberFormat="1" applyFont="1" applyAlignment="1">
      <alignment horizontal="center"/>
    </xf>
    <xf numFmtId="0" fontId="53" fillId="0" borderId="28" xfId="3" applyFont="1" applyBorder="1" applyAlignment="1">
      <alignment vertical="center" wrapText="1"/>
    </xf>
    <xf numFmtId="0" fontId="52" fillId="0" borderId="0" xfId="3" applyFont="1" applyAlignment="1">
      <alignment horizontal="center"/>
    </xf>
    <xf numFmtId="0" fontId="52" fillId="3" borderId="0" xfId="3" applyFont="1" applyFill="1" applyAlignment="1">
      <alignment horizontal="center"/>
    </xf>
    <xf numFmtId="0" fontId="52" fillId="7" borderId="0" xfId="3" applyFont="1" applyFill="1" applyAlignment="1">
      <alignment horizontal="left" vertical="center" wrapText="1"/>
    </xf>
    <xf numFmtId="0" fontId="52" fillId="6" borderId="0" xfId="3" applyFont="1" applyFill="1" applyAlignment="1">
      <alignment vertical="center" wrapText="1"/>
    </xf>
    <xf numFmtId="3" fontId="52" fillId="6" borderId="0" xfId="3" applyNumberFormat="1" applyFont="1" applyFill="1" applyAlignment="1">
      <alignment horizontal="center"/>
    </xf>
    <xf numFmtId="0" fontId="52" fillId="6" borderId="0" xfId="3" applyFont="1" applyFill="1" applyAlignment="1">
      <alignment horizontal="left" vertical="center" wrapText="1"/>
    </xf>
    <xf numFmtId="3" fontId="52" fillId="6" borderId="0" xfId="0" applyNumberFormat="1" applyFont="1" applyFill="1" applyAlignment="1">
      <alignment horizontal="center"/>
    </xf>
    <xf numFmtId="3" fontId="52" fillId="7" borderId="0" xfId="3" applyNumberFormat="1" applyFont="1" applyFill="1" applyAlignment="1">
      <alignment horizontal="center"/>
    </xf>
    <xf numFmtId="0" fontId="52" fillId="2" borderId="0" xfId="3" applyFont="1" applyFill="1" applyAlignment="1">
      <alignment horizontal="left" vertical="center" wrapText="1"/>
    </xf>
    <xf numFmtId="3" fontId="52" fillId="2" borderId="0" xfId="3" applyNumberFormat="1" applyFont="1" applyFill="1" applyAlignment="1">
      <alignment horizontal="center"/>
    </xf>
    <xf numFmtId="0" fontId="53" fillId="6" borderId="0" xfId="0" applyFont="1" applyFill="1"/>
    <xf numFmtId="3" fontId="51" fillId="6" borderId="27" xfId="0" applyNumberFormat="1" applyFont="1" applyFill="1" applyBorder="1" applyAlignment="1">
      <alignment horizontal="center"/>
    </xf>
    <xf numFmtId="0" fontId="53" fillId="0" borderId="0" xfId="3" applyFont="1" applyAlignment="1">
      <alignment horizontal="left" vertical="center" wrapText="1"/>
    </xf>
    <xf numFmtId="3" fontId="56" fillId="0" borderId="0" xfId="0" applyNumberFormat="1" applyFont="1" applyAlignment="1">
      <alignment horizontal="center"/>
    </xf>
    <xf numFmtId="37" fontId="51" fillId="6" borderId="0" xfId="0" applyNumberFormat="1" applyFont="1" applyFill="1" applyAlignment="1">
      <alignment horizontal="center"/>
    </xf>
    <xf numFmtId="0" fontId="54" fillId="0" borderId="0" xfId="0" applyFont="1" applyAlignment="1">
      <alignment horizontal="center"/>
    </xf>
    <xf numFmtId="37" fontId="51" fillId="6" borderId="0" xfId="3" applyNumberFormat="1" applyFont="1" applyFill="1" applyAlignment="1">
      <alignment horizontal="center"/>
    </xf>
    <xf numFmtId="165" fontId="51" fillId="6" borderId="0" xfId="0" applyNumberFormat="1" applyFont="1" applyFill="1" applyAlignment="1">
      <alignment horizontal="center"/>
    </xf>
    <xf numFmtId="165" fontId="52" fillId="0" borderId="0" xfId="0" applyNumberFormat="1" applyFont="1" applyAlignment="1">
      <alignment horizontal="center"/>
    </xf>
    <xf numFmtId="0" fontId="64" fillId="0" borderId="0" xfId="3" applyFont="1" applyAlignment="1">
      <alignment horizontal="left" vertical="center" wrapText="1"/>
    </xf>
    <xf numFmtId="165" fontId="64" fillId="0" borderId="0" xfId="0" applyNumberFormat="1" applyFont="1" applyAlignment="1">
      <alignment horizontal="center"/>
    </xf>
    <xf numFmtId="165" fontId="52" fillId="2" borderId="0" xfId="0" applyNumberFormat="1" applyFont="1" applyFill="1" applyAlignment="1">
      <alignment horizontal="center"/>
    </xf>
    <xf numFmtId="0" fontId="64" fillId="2" borderId="0" xfId="3" applyFont="1" applyFill="1" applyAlignment="1">
      <alignment horizontal="left" vertical="center" wrapText="1"/>
    </xf>
    <xf numFmtId="165" fontId="64" fillId="2" borderId="0" xfId="0" applyNumberFormat="1" applyFont="1" applyFill="1" applyAlignment="1">
      <alignment horizontal="center"/>
    </xf>
    <xf numFmtId="0" fontId="53" fillId="0" borderId="27" xfId="3" applyFont="1" applyBorder="1" applyAlignment="1">
      <alignment horizontal="left" shrinkToFit="1"/>
    </xf>
    <xf numFmtId="165" fontId="53" fillId="0" borderId="27" xfId="0" applyNumberFormat="1" applyFont="1" applyBorder="1" applyAlignment="1">
      <alignment horizontal="center"/>
    </xf>
    <xf numFmtId="0" fontId="66" fillId="0" borderId="38" xfId="3" applyFont="1" applyBorder="1" applyAlignment="1">
      <alignment horizontal="left" wrapText="1"/>
    </xf>
    <xf numFmtId="164" fontId="67" fillId="0" borderId="38" xfId="0" applyNumberFormat="1" applyFont="1" applyBorder="1" applyAlignment="1">
      <alignment horizontal="center"/>
    </xf>
    <xf numFmtId="164" fontId="51" fillId="6" borderId="0" xfId="0" applyNumberFormat="1" applyFont="1" applyFill="1" applyAlignment="1">
      <alignment horizontal="center"/>
    </xf>
    <xf numFmtId="0" fontId="53" fillId="8" borderId="0" xfId="0" applyFont="1" applyFill="1"/>
    <xf numFmtId="43" fontId="51" fillId="8" borderId="0" xfId="0" applyNumberFormat="1" applyFont="1" applyFill="1"/>
    <xf numFmtId="0" fontId="51" fillId="0" borderId="0" xfId="0" applyFont="1" applyAlignment="1">
      <alignment horizontal="center"/>
    </xf>
    <xf numFmtId="37" fontId="52" fillId="0" borderId="0" xfId="0" applyNumberFormat="1" applyFont="1" applyAlignment="1">
      <alignment horizontal="center"/>
    </xf>
    <xf numFmtId="170" fontId="52" fillId="0" borderId="0" xfId="4" applyNumberFormat="1" applyFont="1" applyAlignment="1">
      <alignment horizontal="center"/>
    </xf>
    <xf numFmtId="0" fontId="68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7" fontId="69" fillId="0" borderId="0" xfId="1" applyNumberFormat="1" applyFont="1" applyAlignment="1">
      <alignment horizontal="center"/>
    </xf>
    <xf numFmtId="0" fontId="61" fillId="13" borderId="0" xfId="0" applyFont="1" applyFill="1"/>
    <xf numFmtId="164" fontId="61" fillId="13" borderId="0" xfId="0" applyNumberFormat="1" applyFont="1" applyFill="1" applyAlignment="1">
      <alignment horizontal="center"/>
    </xf>
    <xf numFmtId="0" fontId="61" fillId="13" borderId="0" xfId="0" applyFont="1" applyFill="1" applyAlignment="1">
      <alignment horizontal="center"/>
    </xf>
    <xf numFmtId="0" fontId="67" fillId="13" borderId="0" xfId="3" applyFont="1" applyFill="1" applyAlignment="1">
      <alignment vertical="center" wrapText="1"/>
    </xf>
    <xf numFmtId="165" fontId="67" fillId="13" borderId="0" xfId="0" applyNumberFormat="1" applyFont="1" applyFill="1" applyAlignment="1">
      <alignment horizontal="center"/>
    </xf>
    <xf numFmtId="0" fontId="67" fillId="14" borderId="0" xfId="3" applyFont="1" applyFill="1" applyAlignment="1">
      <alignment horizontal="left" vertical="center" wrapText="1"/>
    </xf>
    <xf numFmtId="165" fontId="67" fillId="14" borderId="0" xfId="0" applyNumberFormat="1" applyFont="1" applyFill="1" applyAlignment="1">
      <alignment horizontal="center"/>
    </xf>
    <xf numFmtId="0" fontId="67" fillId="14" borderId="0" xfId="0" applyFont="1" applyFill="1"/>
    <xf numFmtId="3" fontId="67" fillId="14" borderId="0" xfId="0" applyNumberFormat="1" applyFont="1" applyFill="1" applyAlignment="1">
      <alignment horizontal="center"/>
    </xf>
    <xf numFmtId="0" fontId="52" fillId="13" borderId="0" xfId="0" applyFont="1" applyFill="1"/>
    <xf numFmtId="0" fontId="52" fillId="13" borderId="0" xfId="0" applyFont="1" applyFill="1" applyAlignment="1">
      <alignment horizontal="center"/>
    </xf>
    <xf numFmtId="3" fontId="51" fillId="18" borderId="0" xfId="0" applyNumberFormat="1" applyFont="1" applyFill="1" applyAlignment="1">
      <alignment horizontal="center"/>
    </xf>
    <xf numFmtId="167" fontId="56" fillId="0" borderId="0" xfId="1" applyNumberFormat="1" applyFont="1" applyAlignment="1">
      <alignment horizontal="center"/>
    </xf>
    <xf numFmtId="3" fontId="82" fillId="0" borderId="0" xfId="0" applyNumberFormat="1" applyFont="1" applyAlignment="1">
      <alignment horizontal="center"/>
    </xf>
    <xf numFmtId="3" fontId="82" fillId="12" borderId="0" xfId="0" applyNumberFormat="1" applyFont="1" applyFill="1" applyAlignment="1">
      <alignment horizontal="center"/>
    </xf>
    <xf numFmtId="3" fontId="51" fillId="0" borderId="27" xfId="0" applyNumberFormat="1" applyFont="1" applyBorder="1" applyAlignment="1">
      <alignment horizontal="center"/>
    </xf>
    <xf numFmtId="3" fontId="51" fillId="0" borderId="54" xfId="0" applyNumberFormat="1" applyFont="1" applyBorder="1" applyAlignment="1">
      <alignment horizontal="center"/>
    </xf>
    <xf numFmtId="0" fontId="53" fillId="22" borderId="0" xfId="0" applyFont="1" applyFill="1"/>
    <xf numFmtId="0" fontId="1" fillId="22" borderId="0" xfId="0" applyFont="1" applyFill="1"/>
    <xf numFmtId="171" fontId="75" fillId="0" borderId="0" xfId="0" applyNumberFormat="1" applyFont="1"/>
    <xf numFmtId="3" fontId="15" fillId="0" borderId="0" xfId="3" applyNumberFormat="1" applyFont="1" applyAlignment="1">
      <alignment horizontal="center"/>
    </xf>
    <xf numFmtId="3" fontId="15" fillId="0" borderId="5" xfId="3" applyNumberFormat="1" applyFont="1" applyBorder="1" applyAlignment="1">
      <alignment horizontal="center"/>
    </xf>
    <xf numFmtId="0" fontId="52" fillId="23" borderId="0" xfId="0" applyFont="1" applyFill="1"/>
    <xf numFmtId="3" fontId="56" fillId="23" borderId="0" xfId="0" applyNumberFormat="1" applyFont="1" applyFill="1" applyAlignment="1">
      <alignment horizontal="center"/>
    </xf>
    <xf numFmtId="0" fontId="1" fillId="23" borderId="0" xfId="0" applyFont="1" applyFill="1"/>
    <xf numFmtId="0" fontId="7" fillId="0" borderId="0" xfId="3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15" fillId="0" borderId="37" xfId="3" applyNumberFormat="1" applyFont="1" applyBorder="1" applyAlignment="1">
      <alignment horizontal="center" vertical="center"/>
    </xf>
    <xf numFmtId="3" fontId="15" fillId="17" borderId="37" xfId="3" applyNumberFormat="1" applyFont="1" applyFill="1" applyBorder="1" applyAlignment="1">
      <alignment horizontal="center" vertical="center"/>
    </xf>
    <xf numFmtId="3" fontId="15" fillId="16" borderId="37" xfId="3" applyNumberFormat="1" applyFont="1" applyFill="1" applyBorder="1" applyAlignment="1">
      <alignment horizontal="center" vertical="center"/>
    </xf>
    <xf numFmtId="3" fontId="15" fillId="30" borderId="37" xfId="3" applyNumberFormat="1" applyFont="1" applyFill="1" applyBorder="1" applyAlignment="1">
      <alignment horizontal="center" vertical="center"/>
    </xf>
    <xf numFmtId="3" fontId="7" fillId="0" borderId="37" xfId="3" applyNumberFormat="1" applyBorder="1" applyAlignment="1">
      <alignment horizontal="center" vertical="center"/>
    </xf>
    <xf numFmtId="3" fontId="15" fillId="28" borderId="37" xfId="3" applyNumberFormat="1" applyFont="1" applyFill="1" applyBorder="1" applyAlignment="1">
      <alignment horizontal="center" vertical="center"/>
    </xf>
    <xf numFmtId="3" fontId="15" fillId="20" borderId="37" xfId="3" applyNumberFormat="1" applyFont="1" applyFill="1" applyBorder="1" applyAlignment="1">
      <alignment horizontal="center" vertical="center"/>
    </xf>
    <xf numFmtId="3" fontId="15" fillId="23" borderId="37" xfId="3" applyNumberFormat="1" applyFont="1" applyFill="1" applyBorder="1" applyAlignment="1">
      <alignment horizontal="center" vertical="center"/>
    </xf>
    <xf numFmtId="3" fontId="15" fillId="0" borderId="55" xfId="3" applyNumberFormat="1" applyFont="1" applyBorder="1" applyAlignment="1">
      <alignment horizontal="center" vertical="center"/>
    </xf>
    <xf numFmtId="0" fontId="1" fillId="15" borderId="0" xfId="0" applyFont="1" applyFill="1"/>
    <xf numFmtId="0" fontId="1" fillId="15" borderId="0" xfId="0" applyFont="1" applyFill="1" applyAlignment="1">
      <alignment horizontal="center"/>
    </xf>
    <xf numFmtId="167" fontId="54" fillId="15" borderId="0" xfId="1" applyNumberFormat="1" applyFont="1" applyFill="1" applyAlignment="1">
      <alignment horizontal="center" vertical="center"/>
    </xf>
    <xf numFmtId="167" fontId="54" fillId="15" borderId="0" xfId="1" applyNumberFormat="1" applyFont="1" applyFill="1" applyAlignment="1">
      <alignment horizontal="center"/>
    </xf>
    <xf numFmtId="167" fontId="69" fillId="15" borderId="0" xfId="1" applyNumberFormat="1" applyFont="1" applyFill="1" applyAlignment="1">
      <alignment horizontal="center"/>
    </xf>
    <xf numFmtId="3" fontId="52" fillId="15" borderId="0" xfId="3" applyNumberFormat="1" applyFont="1" applyFill="1" applyAlignment="1">
      <alignment horizontal="center"/>
    </xf>
    <xf numFmtId="0" fontId="52" fillId="15" borderId="0" xfId="0" applyFont="1" applyFill="1" applyAlignment="1">
      <alignment horizontal="center"/>
    </xf>
    <xf numFmtId="37" fontId="52" fillId="15" borderId="0" xfId="0" applyNumberFormat="1" applyFont="1" applyFill="1" applyAlignment="1">
      <alignment horizontal="center"/>
    </xf>
    <xf numFmtId="164" fontId="61" fillId="15" borderId="0" xfId="0" applyNumberFormat="1" applyFont="1" applyFill="1" applyAlignment="1">
      <alignment horizontal="center"/>
    </xf>
    <xf numFmtId="0" fontId="61" fillId="15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167" fontId="8" fillId="0" borderId="0" xfId="1" applyNumberFormat="1" applyFont="1" applyAlignment="1">
      <alignment horizontal="center" vertical="center"/>
    </xf>
    <xf numFmtId="3" fontId="51" fillId="2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53" fillId="0" borderId="28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3" fontId="51" fillId="6" borderId="0" xfId="0" applyNumberFormat="1" applyFont="1" applyFill="1" applyAlignment="1">
      <alignment horizontal="center" vertical="center"/>
    </xf>
    <xf numFmtId="3" fontId="62" fillId="0" borderId="0" xfId="0" applyNumberFormat="1" applyFont="1" applyAlignment="1">
      <alignment horizontal="center" vertical="center"/>
    </xf>
    <xf numFmtId="2" fontId="52" fillId="0" borderId="0" xfId="0" applyNumberFormat="1" applyFont="1" applyAlignment="1">
      <alignment horizontal="center" vertical="center"/>
    </xf>
    <xf numFmtId="3" fontId="53" fillId="6" borderId="0" xfId="0" applyNumberFormat="1" applyFont="1" applyFill="1" applyAlignment="1">
      <alignment horizontal="center" vertical="center"/>
    </xf>
    <xf numFmtId="3" fontId="52" fillId="7" borderId="0" xfId="3" applyNumberFormat="1" applyFont="1" applyFill="1" applyAlignment="1">
      <alignment horizontal="center" vertical="center"/>
    </xf>
    <xf numFmtId="3" fontId="53" fillId="2" borderId="0" xfId="0" applyNumberFormat="1" applyFont="1" applyFill="1" applyAlignment="1">
      <alignment horizontal="center" vertical="center"/>
    </xf>
    <xf numFmtId="3" fontId="51" fillId="6" borderId="27" xfId="0" applyNumberFormat="1" applyFont="1" applyFill="1" applyBorder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" fontId="63" fillId="22" borderId="0" xfId="0" applyNumberFormat="1" applyFont="1" applyFill="1" applyAlignment="1">
      <alignment horizontal="center" vertical="center"/>
    </xf>
    <xf numFmtId="3" fontId="54" fillId="22" borderId="0" xfId="0" applyNumberFormat="1" applyFont="1" applyFill="1" applyAlignment="1">
      <alignment horizontal="center" vertical="center"/>
    </xf>
    <xf numFmtId="3" fontId="63" fillId="0" borderId="0" xfId="0" applyNumberFormat="1" applyFont="1" applyAlignment="1">
      <alignment horizontal="center" vertical="center"/>
    </xf>
    <xf numFmtId="3" fontId="63" fillId="23" borderId="0" xfId="0" applyNumberFormat="1" applyFont="1" applyFill="1" applyAlignment="1">
      <alignment horizontal="center" vertical="center"/>
    </xf>
    <xf numFmtId="3" fontId="51" fillId="23" borderId="0" xfId="0" applyNumberFormat="1" applyFont="1" applyFill="1" applyAlignment="1">
      <alignment horizontal="center" vertical="center"/>
    </xf>
    <xf numFmtId="3" fontId="63" fillId="6" borderId="0" xfId="0" applyNumberFormat="1" applyFont="1" applyFill="1" applyAlignment="1">
      <alignment horizontal="center" vertical="center"/>
    </xf>
    <xf numFmtId="165" fontId="51" fillId="2" borderId="0" xfId="0" applyNumberFormat="1" applyFont="1" applyFill="1" applyAlignment="1">
      <alignment horizontal="center" vertical="center"/>
    </xf>
    <xf numFmtId="165" fontId="51" fillId="6" borderId="0" xfId="0" applyNumberFormat="1" applyFont="1" applyFill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5" fontId="53" fillId="0" borderId="0" xfId="1" applyNumberFormat="1" applyFont="1" applyAlignment="1">
      <alignment horizontal="center" vertical="center"/>
    </xf>
    <xf numFmtId="169" fontId="53" fillId="0" borderId="0" xfId="1" applyNumberFormat="1" applyFont="1" applyAlignment="1">
      <alignment horizontal="center" vertical="center"/>
    </xf>
    <xf numFmtId="165" fontId="73" fillId="13" borderId="0" xfId="1" applyNumberFormat="1" applyFont="1" applyFill="1" applyAlignment="1">
      <alignment horizontal="center" vertical="center"/>
    </xf>
    <xf numFmtId="169" fontId="73" fillId="13" borderId="0" xfId="1" applyNumberFormat="1" applyFont="1" applyFill="1" applyAlignment="1">
      <alignment horizontal="center" vertical="center"/>
    </xf>
    <xf numFmtId="165" fontId="65" fillId="0" borderId="0" xfId="1" applyNumberFormat="1" applyFont="1" applyAlignment="1">
      <alignment horizontal="center" vertical="center"/>
    </xf>
    <xf numFmtId="169" fontId="65" fillId="0" borderId="0" xfId="1" applyNumberFormat="1" applyFont="1" applyAlignment="1">
      <alignment horizontal="center" vertical="center"/>
    </xf>
    <xf numFmtId="165" fontId="53" fillId="2" borderId="0" xfId="1" applyNumberFormat="1" applyFont="1" applyFill="1" applyAlignment="1">
      <alignment horizontal="center" vertical="center"/>
    </xf>
    <xf numFmtId="169" fontId="53" fillId="2" borderId="0" xfId="1" applyNumberFormat="1" applyFont="1" applyFill="1" applyAlignment="1">
      <alignment horizontal="center" vertical="center"/>
    </xf>
    <xf numFmtId="165" fontId="65" fillId="2" borderId="0" xfId="1" applyNumberFormat="1" applyFont="1" applyFill="1" applyAlignment="1">
      <alignment horizontal="center" vertical="center"/>
    </xf>
    <xf numFmtId="169" fontId="65" fillId="2" borderId="0" xfId="1" applyNumberFormat="1" applyFont="1" applyFill="1" applyAlignment="1">
      <alignment horizontal="center" vertical="center"/>
    </xf>
    <xf numFmtId="165" fontId="73" fillId="14" borderId="0" xfId="1" applyNumberFormat="1" applyFont="1" applyFill="1" applyAlignment="1">
      <alignment horizontal="center" vertical="center"/>
    </xf>
    <xf numFmtId="169" fontId="73" fillId="14" borderId="0" xfId="1" applyNumberFormat="1" applyFont="1" applyFill="1" applyAlignment="1">
      <alignment horizontal="center" vertical="center"/>
    </xf>
    <xf numFmtId="165" fontId="53" fillId="0" borderId="27" xfId="0" applyNumberFormat="1" applyFont="1" applyBorder="1" applyAlignment="1">
      <alignment horizontal="center" vertical="center"/>
    </xf>
    <xf numFmtId="164" fontId="67" fillId="0" borderId="38" xfId="0" applyNumberFormat="1" applyFont="1" applyBorder="1" applyAlignment="1">
      <alignment horizontal="center" vertical="center"/>
    </xf>
    <xf numFmtId="4" fontId="51" fillId="2" borderId="0" xfId="0" applyNumberFormat="1" applyFont="1" applyFill="1" applyAlignment="1">
      <alignment horizontal="center" vertical="center"/>
    </xf>
    <xf numFmtId="4" fontId="51" fillId="6" borderId="0" xfId="0" applyNumberFormat="1" applyFont="1" applyFill="1" applyAlignment="1">
      <alignment horizontal="center" vertical="center"/>
    </xf>
    <xf numFmtId="165" fontId="51" fillId="3" borderId="0" xfId="0" applyNumberFormat="1" applyFont="1" applyFill="1" applyAlignment="1">
      <alignment horizontal="center" vertical="center"/>
    </xf>
    <xf numFmtId="3" fontId="73" fillId="14" borderId="0" xfId="0" applyNumberFormat="1" applyFont="1" applyFill="1" applyAlignment="1">
      <alignment horizontal="center" vertical="center"/>
    </xf>
    <xf numFmtId="170" fontId="52" fillId="0" borderId="0" xfId="4" applyNumberFormat="1" applyFont="1" applyAlignment="1">
      <alignment horizontal="center" vertical="center"/>
    </xf>
    <xf numFmtId="164" fontId="74" fillId="13" borderId="0" xfId="0" applyNumberFormat="1" applyFont="1" applyFill="1" applyAlignment="1">
      <alignment horizontal="center" vertical="center"/>
    </xf>
    <xf numFmtId="0" fontId="74" fillId="13" borderId="0" xfId="0" applyFont="1" applyFill="1" applyAlignment="1">
      <alignment horizontal="center" vertical="center"/>
    </xf>
    <xf numFmtId="0" fontId="53" fillId="13" borderId="0" xfId="0" applyFont="1" applyFill="1" applyAlignment="1">
      <alignment horizontal="center" vertical="center"/>
    </xf>
    <xf numFmtId="37" fontId="5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1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0" fontId="54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23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40" fontId="51" fillId="9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40" fontId="51" fillId="6" borderId="0" xfId="0" applyNumberFormat="1" applyFont="1" applyFill="1" applyAlignment="1">
      <alignment horizontal="center" vertical="center"/>
    </xf>
    <xf numFmtId="43" fontId="51" fillId="8" borderId="0" xfId="0" applyNumberFormat="1" applyFont="1" applyFill="1" applyAlignment="1">
      <alignment horizontal="center" vertical="center"/>
    </xf>
    <xf numFmtId="3" fontId="67" fillId="14" borderId="0" xfId="0" applyNumberFormat="1" applyFont="1" applyFill="1" applyAlignment="1">
      <alignment horizontal="center" vertical="center"/>
    </xf>
    <xf numFmtId="0" fontId="61" fillId="13" borderId="0" xfId="0" applyFont="1" applyFill="1" applyAlignment="1">
      <alignment horizontal="center" vertical="center"/>
    </xf>
    <xf numFmtId="0" fontId="52" fillId="13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3" fontId="75" fillId="27" borderId="0" xfId="0" applyNumberFormat="1" applyFont="1" applyFill="1" applyAlignment="1">
      <alignment horizontal="center" vertical="center"/>
    </xf>
    <xf numFmtId="3" fontId="77" fillId="0" borderId="0" xfId="0" applyNumberFormat="1" applyFont="1" applyAlignment="1">
      <alignment horizontal="center" vertical="center"/>
    </xf>
    <xf numFmtId="164" fontId="106" fillId="0" borderId="5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167" fontId="33" fillId="0" borderId="5" xfId="0" applyNumberFormat="1" applyFont="1" applyBorder="1" applyAlignment="1">
      <alignment horizontal="center"/>
    </xf>
    <xf numFmtId="164" fontId="15" fillId="0" borderId="5" xfId="3" applyNumberFormat="1" applyFont="1" applyBorder="1" applyAlignment="1">
      <alignment horizontal="center"/>
    </xf>
    <xf numFmtId="2" fontId="3" fillId="0" borderId="0" xfId="3" applyNumberFormat="1" applyFont="1"/>
    <xf numFmtId="2" fontId="4" fillId="0" borderId="0" xfId="3" applyNumberFormat="1" applyFont="1"/>
    <xf numFmtId="2" fontId="10" fillId="0" borderId="0" xfId="3" applyNumberFormat="1" applyFont="1" applyAlignment="1">
      <alignment horizontal="center"/>
    </xf>
    <xf numFmtId="2" fontId="10" fillId="0" borderId="0" xfId="3" applyNumberFormat="1" applyFont="1"/>
    <xf numFmtId="0" fontId="7" fillId="0" borderId="0" xfId="3" applyAlignment="1">
      <alignment wrapText="1"/>
    </xf>
    <xf numFmtId="0" fontId="52" fillId="0" borderId="0" xfId="3" applyFont="1"/>
    <xf numFmtId="0" fontId="107" fillId="0" borderId="0" xfId="3" applyFont="1" applyAlignment="1">
      <alignment horizontal="center"/>
    </xf>
    <xf numFmtId="3" fontId="107" fillId="0" borderId="0" xfId="3" applyNumberFormat="1" applyFont="1" applyAlignment="1">
      <alignment horizontal="center"/>
    </xf>
    <xf numFmtId="3" fontId="108" fillId="0" borderId="0" xfId="3" applyNumberFormat="1" applyFont="1" applyAlignment="1">
      <alignment horizontal="center"/>
    </xf>
    <xf numFmtId="3" fontId="10" fillId="0" borderId="3" xfId="3" applyNumberFormat="1" applyFont="1" applyBorder="1" applyAlignment="1">
      <alignment horizontal="center"/>
    </xf>
    <xf numFmtId="0" fontId="109" fillId="0" borderId="0" xfId="3" applyFont="1"/>
    <xf numFmtId="0" fontId="108" fillId="16" borderId="0" xfId="3" applyFont="1" applyFill="1" applyAlignment="1">
      <alignment horizontal="center"/>
    </xf>
    <xf numFmtId="3" fontId="108" fillId="16" borderId="0" xfId="3" applyNumberFormat="1" applyFont="1" applyFill="1" applyAlignment="1">
      <alignment horizontal="center"/>
    </xf>
    <xf numFmtId="37" fontId="15" fillId="0" borderId="5" xfId="3" applyNumberFormat="1" applyFont="1" applyBorder="1" applyAlignment="1">
      <alignment horizontal="center"/>
    </xf>
    <xf numFmtId="0" fontId="15" fillId="0" borderId="3" xfId="3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2" fontId="22" fillId="4" borderId="5" xfId="3" applyNumberFormat="1" applyFont="1" applyFill="1" applyBorder="1"/>
    <xf numFmtId="0" fontId="22" fillId="4" borderId="5" xfId="3" applyFont="1" applyFill="1" applyBorder="1"/>
    <xf numFmtId="0" fontId="7" fillId="0" borderId="56" xfId="3" applyBorder="1"/>
    <xf numFmtId="0" fontId="19" fillId="4" borderId="57" xfId="3" applyFont="1" applyFill="1" applyBorder="1" applyAlignment="1">
      <alignment horizontal="center"/>
    </xf>
    <xf numFmtId="2" fontId="22" fillId="4" borderId="57" xfId="3" applyNumberFormat="1" applyFont="1" applyFill="1" applyBorder="1"/>
    <xf numFmtId="0" fontId="22" fillId="4" borderId="57" xfId="3" applyFont="1" applyFill="1" applyBorder="1"/>
    <xf numFmtId="3" fontId="22" fillId="4" borderId="58" xfId="3" applyNumberFormat="1" applyFont="1" applyFill="1" applyBorder="1"/>
    <xf numFmtId="0" fontId="7" fillId="0" borderId="59" xfId="3" applyBorder="1"/>
    <xf numFmtId="3" fontId="22" fillId="4" borderId="60" xfId="3" applyNumberFormat="1" applyFont="1" applyFill="1" applyBorder="1"/>
    <xf numFmtId="3" fontId="15" fillId="0" borderId="60" xfId="3" applyNumberFormat="1" applyFont="1" applyBorder="1" applyAlignment="1">
      <alignment horizontal="center"/>
    </xf>
    <xf numFmtId="0" fontId="108" fillId="16" borderId="24" xfId="3" applyFont="1" applyFill="1" applyBorder="1" applyAlignment="1">
      <alignment horizontal="center"/>
    </xf>
    <xf numFmtId="3" fontId="108" fillId="16" borderId="64" xfId="3" applyNumberFormat="1" applyFont="1" applyFill="1" applyBorder="1" applyAlignment="1">
      <alignment horizontal="center"/>
    </xf>
    <xf numFmtId="37" fontId="7" fillId="0" borderId="3" xfId="3" applyNumberFormat="1" applyBorder="1" applyAlignment="1">
      <alignment horizontal="center"/>
    </xf>
    <xf numFmtId="37" fontId="28" fillId="0" borderId="5" xfId="3" applyNumberFormat="1" applyFont="1" applyBorder="1" applyAlignment="1">
      <alignment horizontal="center"/>
    </xf>
    <xf numFmtId="37" fontId="28" fillId="0" borderId="62" xfId="3" applyNumberFormat="1" applyFont="1" applyBorder="1" applyAlignment="1">
      <alignment horizontal="center"/>
    </xf>
    <xf numFmtId="0" fontId="9" fillId="0" borderId="0" xfId="3" applyFont="1" applyAlignment="1">
      <alignment horizontal="center" vertical="center"/>
    </xf>
    <xf numFmtId="0" fontId="53" fillId="0" borderId="0" xfId="3" applyFont="1" applyAlignment="1">
      <alignment horizontal="center" vertical="center"/>
    </xf>
    <xf numFmtId="3" fontId="15" fillId="0" borderId="0" xfId="3" applyNumberFormat="1" applyFont="1" applyAlignment="1">
      <alignment horizontal="center" vertical="center"/>
    </xf>
    <xf numFmtId="4" fontId="7" fillId="0" borderId="0" xfId="3" applyNumberFormat="1"/>
    <xf numFmtId="167" fontId="7" fillId="0" borderId="0" xfId="1" applyNumberFormat="1" applyFont="1" applyBorder="1"/>
    <xf numFmtId="168" fontId="9" fillId="2" borderId="0" xfId="2" applyNumberFormat="1" applyFont="1" applyFill="1" applyBorder="1"/>
    <xf numFmtId="0" fontId="7" fillId="18" borderId="6" xfId="3" applyFill="1" applyBorder="1" applyAlignment="1">
      <alignment horizontal="center" vertical="center"/>
    </xf>
    <xf numFmtId="0" fontId="7" fillId="18" borderId="6" xfId="3" applyFill="1" applyBorder="1" applyAlignment="1">
      <alignment horizontal="center"/>
    </xf>
    <xf numFmtId="0" fontId="4" fillId="18" borderId="7" xfId="3" applyFont="1" applyFill="1" applyBorder="1"/>
    <xf numFmtId="3" fontId="15" fillId="18" borderId="6" xfId="3" applyNumberFormat="1" applyFont="1" applyFill="1" applyBorder="1" applyAlignment="1">
      <alignment horizontal="center" vertical="center"/>
    </xf>
    <xf numFmtId="3" fontId="15" fillId="18" borderId="6" xfId="3" applyNumberFormat="1" applyFont="1" applyFill="1" applyBorder="1" applyAlignment="1">
      <alignment horizontal="center"/>
    </xf>
    <xf numFmtId="4" fontId="15" fillId="18" borderId="7" xfId="3" applyNumberFormat="1" applyFont="1" applyFill="1" applyBorder="1" applyAlignment="1">
      <alignment horizontal="center"/>
    </xf>
    <xf numFmtId="3" fontId="107" fillId="18" borderId="0" xfId="3" applyNumberFormat="1" applyFont="1" applyFill="1" applyAlignment="1">
      <alignment horizontal="center"/>
    </xf>
    <xf numFmtId="2" fontId="7" fillId="0" borderId="0" xfId="3" applyNumberFormat="1" applyAlignment="1">
      <alignment horizontal="center" vertical="center"/>
    </xf>
    <xf numFmtId="164" fontId="7" fillId="0" borderId="0" xfId="3" applyNumberFormat="1" applyAlignment="1">
      <alignment horizontal="center" vertical="center"/>
    </xf>
    <xf numFmtId="164" fontId="109" fillId="0" borderId="0" xfId="3" applyNumberFormat="1" applyFont="1" applyAlignment="1">
      <alignment horizontal="center" vertical="center"/>
    </xf>
    <xf numFmtId="37" fontId="15" fillId="15" borderId="46" xfId="3" applyNumberFormat="1" applyFont="1" applyFill="1" applyBorder="1" applyAlignment="1">
      <alignment horizontal="center"/>
    </xf>
    <xf numFmtId="4" fontId="15" fillId="15" borderId="48" xfId="3" applyNumberFormat="1" applyFont="1" applyFill="1" applyBorder="1" applyAlignment="1">
      <alignment horizontal="center"/>
    </xf>
    <xf numFmtId="3" fontId="108" fillId="15" borderId="65" xfId="3" applyNumberFormat="1" applyFont="1" applyFill="1" applyBorder="1" applyAlignment="1">
      <alignment horizontal="center"/>
    </xf>
    <xf numFmtId="4" fontId="108" fillId="15" borderId="66" xfId="3" applyNumberFormat="1" applyFont="1" applyFill="1" applyBorder="1" applyAlignment="1">
      <alignment horizontal="center"/>
    </xf>
    <xf numFmtId="3" fontId="7" fillId="18" borderId="3" xfId="3" applyNumberFormat="1" applyFill="1" applyBorder="1" applyAlignment="1">
      <alignment horizontal="center"/>
    </xf>
    <xf numFmtId="3" fontId="28" fillId="18" borderId="5" xfId="3" applyNumberFormat="1" applyFont="1" applyFill="1" applyBorder="1" applyAlignment="1">
      <alignment horizontal="center"/>
    </xf>
    <xf numFmtId="0" fontId="34" fillId="0" borderId="0" xfId="3" applyFont="1" applyAlignment="1">
      <alignment horizontal="center" vertical="center"/>
    </xf>
    <xf numFmtId="0" fontId="108" fillId="16" borderId="0" xfId="3" applyFont="1" applyFill="1" applyAlignment="1">
      <alignment horizontal="center" vertical="center"/>
    </xf>
    <xf numFmtId="164" fontId="52" fillId="0" borderId="0" xfId="3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37" fontId="0" fillId="0" borderId="0" xfId="0" applyNumberFormat="1"/>
    <xf numFmtId="0" fontId="9" fillId="0" borderId="0" xfId="3" applyFont="1"/>
    <xf numFmtId="3" fontId="28" fillId="18" borderId="43" xfId="3" applyNumberFormat="1" applyFont="1" applyFill="1" applyBorder="1" applyAlignment="1">
      <alignment horizontal="center"/>
    </xf>
    <xf numFmtId="3" fontId="110" fillId="0" borderId="5" xfId="3" applyNumberFormat="1" applyFont="1" applyBorder="1" applyAlignment="1">
      <alignment horizontal="center"/>
    </xf>
    <xf numFmtId="4" fontId="107" fillId="15" borderId="5" xfId="3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10" fillId="16" borderId="5" xfId="3" applyNumberFormat="1" applyFont="1" applyFill="1" applyBorder="1" applyAlignment="1">
      <alignment horizontal="center"/>
    </xf>
    <xf numFmtId="164" fontId="7" fillId="0" borderId="0" xfId="3" applyNumberFormat="1"/>
    <xf numFmtId="164" fontId="34" fillId="0" borderId="0" xfId="3" applyNumberFormat="1" applyFont="1" applyAlignment="1">
      <alignment horizontal="center" vertical="center"/>
    </xf>
    <xf numFmtId="3" fontId="15" fillId="0" borderId="39" xfId="3" applyNumberFormat="1" applyFont="1" applyBorder="1" applyAlignment="1">
      <alignment horizontal="center" vertical="center"/>
    </xf>
    <xf numFmtId="0" fontId="7" fillId="15" borderId="23" xfId="3" applyFill="1" applyBorder="1"/>
    <xf numFmtId="0" fontId="15" fillId="15" borderId="24" xfId="3" applyFont="1" applyFill="1" applyBorder="1" applyAlignment="1">
      <alignment horizontal="center"/>
    </xf>
    <xf numFmtId="164" fontId="106" fillId="15" borderId="24" xfId="0" applyNumberFormat="1" applyFont="1" applyFill="1" applyBorder="1" applyAlignment="1">
      <alignment horizontal="center" vertical="center"/>
    </xf>
    <xf numFmtId="0" fontId="15" fillId="15" borderId="24" xfId="0" applyFont="1" applyFill="1" applyBorder="1" applyAlignment="1">
      <alignment horizontal="center"/>
    </xf>
    <xf numFmtId="37" fontId="113" fillId="16" borderId="30" xfId="3" applyNumberFormat="1" applyFont="1" applyFill="1" applyBorder="1" applyAlignment="1">
      <alignment horizontal="center"/>
    </xf>
    <xf numFmtId="2" fontId="0" fillId="0" borderId="0" xfId="0" applyNumberFormat="1"/>
    <xf numFmtId="1" fontId="7" fillId="0" borderId="0" xfId="3" applyNumberFormat="1"/>
    <xf numFmtId="1" fontId="7" fillId="18" borderId="3" xfId="3" applyNumberFormat="1" applyFill="1" applyBorder="1" applyAlignment="1">
      <alignment horizontal="center"/>
    </xf>
    <xf numFmtId="1" fontId="28" fillId="18" borderId="5" xfId="3" applyNumberFormat="1" applyFont="1" applyFill="1" applyBorder="1" applyAlignment="1">
      <alignment horizontal="center"/>
    </xf>
    <xf numFmtId="39" fontId="28" fillId="0" borderId="5" xfId="3" applyNumberFormat="1" applyFont="1" applyBorder="1" applyAlignment="1">
      <alignment horizontal="center"/>
    </xf>
    <xf numFmtId="0" fontId="7" fillId="0" borderId="71" xfId="3" applyBorder="1" applyAlignment="1">
      <alignment horizontal="center"/>
    </xf>
    <xf numFmtId="0" fontId="28" fillId="0" borderId="72" xfId="3" applyFont="1" applyBorder="1" applyAlignment="1">
      <alignment horizontal="center"/>
    </xf>
    <xf numFmtId="1" fontId="15" fillId="18" borderId="5" xfId="3" applyNumberFormat="1" applyFont="1" applyFill="1" applyBorder="1" applyAlignment="1">
      <alignment horizontal="center"/>
    </xf>
    <xf numFmtId="0" fontId="70" fillId="12" borderId="56" xfId="3" applyFont="1" applyFill="1" applyBorder="1" applyAlignment="1">
      <alignment horizontal="center"/>
    </xf>
    <xf numFmtId="0" fontId="70" fillId="12" borderId="57" xfId="3" applyFont="1" applyFill="1" applyBorder="1" applyAlignment="1">
      <alignment horizontal="center"/>
    </xf>
    <xf numFmtId="37" fontId="28" fillId="0" borderId="59" xfId="3" applyNumberFormat="1" applyFont="1" applyBorder="1" applyAlignment="1">
      <alignment horizontal="center"/>
    </xf>
    <xf numFmtId="4" fontId="15" fillId="18" borderId="60" xfId="3" applyNumberFormat="1" applyFont="1" applyFill="1" applyBorder="1" applyAlignment="1">
      <alignment horizontal="center"/>
    </xf>
    <xf numFmtId="0" fontId="29" fillId="0" borderId="62" xfId="3" applyFont="1" applyBorder="1" applyAlignment="1">
      <alignment horizontal="center"/>
    </xf>
    <xf numFmtId="37" fontId="108" fillId="16" borderId="62" xfId="3" applyNumberFormat="1" applyFont="1" applyFill="1" applyBorder="1" applyAlignment="1">
      <alignment horizontal="center"/>
    </xf>
    <xf numFmtId="1" fontId="108" fillId="16" borderId="62" xfId="3" applyNumberFormat="1" applyFont="1" applyFill="1" applyBorder="1" applyAlignment="1">
      <alignment horizontal="center"/>
    </xf>
    <xf numFmtId="4" fontId="108" fillId="18" borderId="63" xfId="3" applyNumberFormat="1" applyFont="1" applyFill="1" applyBorder="1" applyAlignment="1">
      <alignment horizontal="center"/>
    </xf>
    <xf numFmtId="37" fontId="28" fillId="0" borderId="46" xfId="3" applyNumberFormat="1" applyFont="1" applyBorder="1" applyAlignment="1">
      <alignment horizontal="center"/>
    </xf>
    <xf numFmtId="2" fontId="10" fillId="18" borderId="48" xfId="3" applyNumberFormat="1" applyFont="1" applyFill="1" applyBorder="1" applyAlignment="1">
      <alignment horizontal="center"/>
    </xf>
    <xf numFmtId="0" fontId="70" fillId="12" borderId="61" xfId="3" applyFont="1" applyFill="1" applyBorder="1" applyAlignment="1">
      <alignment horizontal="center"/>
    </xf>
    <xf numFmtId="0" fontId="70" fillId="12" borderId="62" xfId="3" applyFont="1" applyFill="1" applyBorder="1" applyAlignment="1">
      <alignment horizontal="center"/>
    </xf>
    <xf numFmtId="0" fontId="114" fillId="12" borderId="62" xfId="3" applyFont="1" applyFill="1" applyBorder="1" applyAlignment="1">
      <alignment horizontal="center"/>
    </xf>
    <xf numFmtId="3" fontId="108" fillId="16" borderId="5" xfId="3" applyNumberFormat="1" applyFont="1" applyFill="1" applyBorder="1" applyAlignment="1">
      <alignment horizontal="center"/>
    </xf>
    <xf numFmtId="3" fontId="108" fillId="16" borderId="65" xfId="3" applyNumberFormat="1" applyFont="1" applyFill="1" applyBorder="1" applyAlignment="1">
      <alignment horizontal="center"/>
    </xf>
    <xf numFmtId="2" fontId="6" fillId="0" borderId="0" xfId="3" applyNumberFormat="1" applyFont="1"/>
    <xf numFmtId="2" fontId="19" fillId="4" borderId="27" xfId="3" applyNumberFormat="1" applyFont="1" applyFill="1" applyBorder="1" applyAlignment="1">
      <alignment horizontal="center"/>
    </xf>
    <xf numFmtId="2" fontId="19" fillId="4" borderId="0" xfId="3" applyNumberFormat="1" applyFont="1" applyFill="1" applyAlignment="1">
      <alignment horizontal="center"/>
    </xf>
    <xf numFmtId="2" fontId="19" fillId="4" borderId="28" xfId="3" applyNumberFormat="1" applyFont="1" applyFill="1" applyBorder="1" applyAlignment="1">
      <alignment horizontal="center"/>
    </xf>
    <xf numFmtId="3" fontId="7" fillId="33" borderId="5" xfId="0" applyNumberFormat="1" applyFont="1" applyFill="1" applyBorder="1" applyAlignment="1">
      <alignment horizontal="center"/>
    </xf>
    <xf numFmtId="37" fontId="7" fillId="33" borderId="5" xfId="3" applyNumberFormat="1" applyFill="1" applyBorder="1" applyAlignment="1">
      <alignment horizontal="center"/>
    </xf>
    <xf numFmtId="0" fontId="17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9" fillId="4" borderId="12" xfId="3" applyFont="1" applyFill="1" applyBorder="1" applyAlignment="1">
      <alignment horizontal="center" vertical="center"/>
    </xf>
    <xf numFmtId="0" fontId="19" fillId="4" borderId="13" xfId="3" applyFont="1" applyFill="1" applyBorder="1" applyAlignment="1">
      <alignment horizontal="center" vertical="center"/>
    </xf>
    <xf numFmtId="0" fontId="19" fillId="4" borderId="14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19" fillId="4" borderId="15" xfId="3" applyFont="1" applyFill="1" applyBorder="1" applyAlignment="1">
      <alignment horizontal="center" vertical="center"/>
    </xf>
    <xf numFmtId="0" fontId="19" fillId="4" borderId="1" xfId="3" applyFont="1" applyFill="1" applyBorder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38" fillId="4" borderId="0" xfId="3" applyFont="1" applyFill="1" applyAlignment="1">
      <alignment horizontal="center" vertical="center"/>
    </xf>
    <xf numFmtId="0" fontId="19" fillId="4" borderId="16" xfId="3" applyFont="1" applyFill="1" applyBorder="1" applyAlignment="1">
      <alignment horizontal="center" vertical="center"/>
    </xf>
    <xf numFmtId="0" fontId="19" fillId="4" borderId="17" xfId="3" applyFont="1" applyFill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19" fillId="4" borderId="18" xfId="3" applyFont="1" applyFill="1" applyBorder="1" applyAlignment="1">
      <alignment horizontal="center" vertical="center"/>
    </xf>
    <xf numFmtId="0" fontId="7" fillId="0" borderId="5" xfId="3" applyBorder="1" applyAlignment="1">
      <alignment horizontal="center" vertical="center"/>
    </xf>
    <xf numFmtId="0" fontId="7" fillId="26" borderId="0" xfId="3" applyFill="1" applyAlignment="1">
      <alignment horizontal="center" vertical="center"/>
    </xf>
    <xf numFmtId="3" fontId="15" fillId="0" borderId="36" xfId="3" applyNumberFormat="1" applyFont="1" applyBorder="1" applyAlignment="1">
      <alignment horizontal="center" vertical="center"/>
    </xf>
    <xf numFmtId="37" fontId="7" fillId="0" borderId="0" xfId="3" applyNumberFormat="1" applyAlignment="1">
      <alignment horizontal="center" vertical="center"/>
    </xf>
    <xf numFmtId="0" fontId="7" fillId="20" borderId="0" xfId="3" applyFill="1" applyAlignment="1">
      <alignment horizontal="center" vertical="center"/>
    </xf>
    <xf numFmtId="0" fontId="22" fillId="4" borderId="5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1" fontId="15" fillId="15" borderId="3" xfId="3" applyNumberFormat="1" applyFont="1" applyFill="1" applyBorder="1" applyAlignment="1">
      <alignment horizontal="center"/>
    </xf>
    <xf numFmtId="3" fontId="15" fillId="31" borderId="37" xfId="3" applyNumberFormat="1" applyFont="1" applyFill="1" applyBorder="1" applyAlignment="1">
      <alignment horizontal="center" vertical="center"/>
    </xf>
    <xf numFmtId="37" fontId="110" fillId="16" borderId="61" xfId="3" applyNumberFormat="1" applyFont="1" applyFill="1" applyBorder="1" applyAlignment="1">
      <alignment horizontal="center"/>
    </xf>
    <xf numFmtId="37" fontId="110" fillId="16" borderId="62" xfId="3" applyNumberFormat="1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37" fontId="29" fillId="0" borderId="3" xfId="3" applyNumberFormat="1" applyFont="1" applyBorder="1" applyAlignment="1">
      <alignment horizontal="center"/>
    </xf>
    <xf numFmtId="39" fontId="29" fillId="0" borderId="3" xfId="3" applyNumberFormat="1" applyFont="1" applyBorder="1" applyAlignment="1">
      <alignment horizontal="center"/>
    </xf>
    <xf numFmtId="39" fontId="110" fillId="16" borderId="5" xfId="3" applyNumberFormat="1" applyFont="1" applyFill="1" applyBorder="1" applyAlignment="1">
      <alignment horizontal="center"/>
    </xf>
    <xf numFmtId="0" fontId="22" fillId="4" borderId="44" xfId="0" applyFont="1" applyFill="1" applyBorder="1" applyAlignment="1">
      <alignment horizontal="center"/>
    </xf>
    <xf numFmtId="3" fontId="7" fillId="33" borderId="44" xfId="0" quotePrefix="1" applyNumberFormat="1" applyFont="1" applyFill="1" applyBorder="1" applyAlignment="1">
      <alignment horizontal="center"/>
    </xf>
    <xf numFmtId="0" fontId="22" fillId="4" borderId="59" xfId="0" applyFont="1" applyFill="1" applyBorder="1" applyAlignment="1">
      <alignment horizontal="center"/>
    </xf>
    <xf numFmtId="3" fontId="7" fillId="33" borderId="59" xfId="0" applyNumberFormat="1" applyFont="1" applyFill="1" applyBorder="1" applyAlignment="1">
      <alignment horizontal="center"/>
    </xf>
    <xf numFmtId="3" fontId="7" fillId="33" borderId="61" xfId="0" applyNumberFormat="1" applyFont="1" applyFill="1" applyBorder="1" applyAlignment="1">
      <alignment horizontal="center"/>
    </xf>
    <xf numFmtId="3" fontId="7" fillId="33" borderId="62" xfId="0" applyNumberFormat="1" applyFont="1" applyFill="1" applyBorder="1" applyAlignment="1">
      <alignment horizontal="center"/>
    </xf>
    <xf numFmtId="2" fontId="22" fillId="4" borderId="40" xfId="0" applyNumberFormat="1" applyFont="1" applyFill="1" applyBorder="1" applyAlignment="1">
      <alignment horizontal="center"/>
    </xf>
    <xf numFmtId="2" fontId="7" fillId="33" borderId="40" xfId="0" applyNumberFormat="1" applyFont="1" applyFill="1" applyBorder="1" applyAlignment="1">
      <alignment horizontal="center"/>
    </xf>
    <xf numFmtId="2" fontId="7" fillId="33" borderId="76" xfId="0" applyNumberFormat="1" applyFont="1" applyFill="1" applyBorder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2" fontId="7" fillId="33" borderId="61" xfId="0" applyNumberFormat="1" applyFont="1" applyFill="1" applyBorder="1" applyAlignment="1">
      <alignment horizontal="center"/>
    </xf>
    <xf numFmtId="2" fontId="7" fillId="33" borderId="62" xfId="0" applyNumberFormat="1" applyFont="1" applyFill="1" applyBorder="1" applyAlignment="1">
      <alignment horizontal="center"/>
    </xf>
    <xf numFmtId="2" fontId="7" fillId="33" borderId="63" xfId="0" applyNumberFormat="1" applyFont="1" applyFill="1" applyBorder="1" applyAlignment="1">
      <alignment horizontal="center"/>
    </xf>
    <xf numFmtId="1" fontId="22" fillId="4" borderId="60" xfId="0" applyNumberFormat="1" applyFont="1" applyFill="1" applyBorder="1" applyAlignment="1">
      <alignment horizontal="center"/>
    </xf>
    <xf numFmtId="1" fontId="7" fillId="33" borderId="60" xfId="0" applyNumberFormat="1" applyFont="1" applyFill="1" applyBorder="1" applyAlignment="1">
      <alignment horizontal="center"/>
    </xf>
    <xf numFmtId="1" fontId="7" fillId="33" borderId="63" xfId="0" applyNumberFormat="1" applyFont="1" applyFill="1" applyBorder="1" applyAlignment="1">
      <alignment horizontal="center"/>
    </xf>
    <xf numFmtId="1" fontId="10" fillId="0" borderId="0" xfId="0" applyNumberFormat="1" applyFont="1"/>
    <xf numFmtId="1" fontId="0" fillId="0" borderId="0" xfId="0" applyNumberFormat="1" applyAlignment="1">
      <alignment horizontal="center"/>
    </xf>
    <xf numFmtId="1" fontId="9" fillId="0" borderId="0" xfId="0" applyNumberFormat="1" applyFont="1" applyAlignment="1">
      <alignment horizontal="center"/>
    </xf>
    <xf numFmtId="1" fontId="2" fillId="0" borderId="0" xfId="0" applyNumberFormat="1" applyFont="1"/>
    <xf numFmtId="2" fontId="116" fillId="16" borderId="56" xfId="0" applyNumberFormat="1" applyFont="1" applyFill="1" applyBorder="1" applyAlignment="1">
      <alignment horizontal="center"/>
    </xf>
    <xf numFmtId="0" fontId="116" fillId="16" borderId="57" xfId="0" applyFont="1" applyFill="1" applyBorder="1" applyAlignment="1">
      <alignment horizontal="center"/>
    </xf>
    <xf numFmtId="0" fontId="116" fillId="16" borderId="58" xfId="0" applyFont="1" applyFill="1" applyBorder="1" applyAlignment="1">
      <alignment horizontal="center"/>
    </xf>
    <xf numFmtId="2" fontId="0" fillId="16" borderId="59" xfId="0" applyNumberForma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60" xfId="0" applyFill="1" applyBorder="1" applyAlignment="1">
      <alignment horizontal="center"/>
    </xf>
    <xf numFmtId="2" fontId="10" fillId="0" borderId="0" xfId="0" applyNumberFormat="1" applyFont="1"/>
    <xf numFmtId="2" fontId="2" fillId="0" borderId="0" xfId="0" applyNumberFormat="1" applyFont="1"/>
    <xf numFmtId="2" fontId="7" fillId="0" borderId="77" xfId="0" applyNumberFormat="1" applyFont="1" applyBorder="1"/>
    <xf numFmtId="2" fontId="7" fillId="0" borderId="78" xfId="0" applyNumberFormat="1" applyFont="1" applyBorder="1"/>
    <xf numFmtId="2" fontId="7" fillId="0" borderId="79" xfId="0" applyNumberFormat="1" applyFont="1" applyBorder="1"/>
    <xf numFmtId="0" fontId="50" fillId="29" borderId="11" xfId="3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0" fillId="31" borderId="0" xfId="0" applyNumberFormat="1" applyFill="1" applyAlignment="1">
      <alignment horizontal="center" vertical="center"/>
    </xf>
    <xf numFmtId="0" fontId="120" fillId="16" borderId="22" xfId="0" applyFont="1" applyFill="1" applyBorder="1" applyAlignment="1">
      <alignment horizontal="center" vertical="center"/>
    </xf>
    <xf numFmtId="0" fontId="120" fillId="16" borderId="19" xfId="0" applyFont="1" applyFill="1" applyBorder="1" applyAlignment="1">
      <alignment horizontal="center" vertical="center"/>
    </xf>
    <xf numFmtId="3" fontId="120" fillId="16" borderId="47" xfId="0" applyNumberFormat="1" applyFont="1" applyFill="1" applyBorder="1" applyAlignment="1">
      <alignment horizontal="center" vertical="center"/>
    </xf>
    <xf numFmtId="3" fontId="119" fillId="31" borderId="0" xfId="0" applyNumberFormat="1" applyFont="1" applyFill="1" applyAlignment="1">
      <alignment horizontal="center" vertical="center"/>
    </xf>
    <xf numFmtId="0" fontId="125" fillId="13" borderId="57" xfId="0" applyFont="1" applyFill="1" applyBorder="1" applyAlignment="1">
      <alignment horizontal="center" vertical="center"/>
    </xf>
    <xf numFmtId="0" fontId="0" fillId="16" borderId="56" xfId="0" applyFill="1" applyBorder="1" applyAlignment="1">
      <alignment horizontal="center" vertical="center"/>
    </xf>
    <xf numFmtId="0" fontId="0" fillId="16" borderId="57" xfId="0" applyFill="1" applyBorder="1" applyAlignment="1">
      <alignment horizontal="center" vertical="center"/>
    </xf>
    <xf numFmtId="3" fontId="0" fillId="16" borderId="58" xfId="0" applyNumberFormat="1" applyFill="1" applyBorder="1" applyAlignment="1">
      <alignment horizontal="center" vertical="center"/>
    </xf>
    <xf numFmtId="3" fontId="122" fillId="16" borderId="86" xfId="0" applyNumberFormat="1" applyFont="1" applyFill="1" applyBorder="1" applyAlignment="1">
      <alignment horizontal="center" vertical="center"/>
    </xf>
    <xf numFmtId="3" fontId="127" fillId="16" borderId="86" xfId="0" applyNumberFormat="1" applyFont="1" applyFill="1" applyBorder="1" applyAlignment="1">
      <alignment horizontal="center" vertical="center"/>
    </xf>
    <xf numFmtId="0" fontId="124" fillId="13" borderId="88" xfId="0" applyFont="1" applyFill="1" applyBorder="1" applyAlignment="1">
      <alignment horizontal="center" vertical="center" wrapText="1"/>
    </xf>
    <xf numFmtId="0" fontId="0" fillId="16" borderId="90" xfId="0" applyFill="1" applyBorder="1" applyAlignment="1">
      <alignment horizontal="center" vertical="center"/>
    </xf>
    <xf numFmtId="0" fontId="0" fillId="16" borderId="86" xfId="0" applyFill="1" applyBorder="1" applyAlignment="1">
      <alignment horizontal="center" vertical="center"/>
    </xf>
    <xf numFmtId="3" fontId="0" fillId="16" borderId="91" xfId="0" applyNumberFormat="1" applyFill="1" applyBorder="1" applyAlignment="1">
      <alignment horizontal="center" vertical="center"/>
    </xf>
    <xf numFmtId="1" fontId="0" fillId="31" borderId="57" xfId="0" applyNumberFormat="1" applyFill="1" applyBorder="1" applyAlignment="1">
      <alignment horizontal="center" vertical="center"/>
    </xf>
    <xf numFmtId="1" fontId="0" fillId="0" borderId="91" xfId="0" applyNumberFormat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3" fontId="0" fillId="0" borderId="93" xfId="0" applyNumberFormat="1" applyBorder="1" applyAlignment="1">
      <alignment horizontal="center" vertical="center"/>
    </xf>
    <xf numFmtId="1" fontId="0" fillId="0" borderId="94" xfId="0" applyNumberFormat="1" applyBorder="1" applyAlignment="1">
      <alignment horizontal="center" vertical="center"/>
    </xf>
    <xf numFmtId="0" fontId="0" fillId="16" borderId="92" xfId="0" applyFill="1" applyBorder="1" applyAlignment="1">
      <alignment horizontal="center" vertical="center"/>
    </xf>
    <xf numFmtId="0" fontId="0" fillId="16" borderId="93" xfId="0" applyFill="1" applyBorder="1" applyAlignment="1">
      <alignment horizontal="center" vertical="center"/>
    </xf>
    <xf numFmtId="14" fontId="0" fillId="0" borderId="73" xfId="0" applyNumberFormat="1" applyBorder="1" applyAlignment="1">
      <alignment horizontal="center" vertical="center"/>
    </xf>
    <xf numFmtId="14" fontId="0" fillId="0" borderId="95" xfId="0" applyNumberFormat="1" applyBorder="1" applyAlignment="1">
      <alignment horizontal="center" vertical="center"/>
    </xf>
    <xf numFmtId="3" fontId="15" fillId="16" borderId="0" xfId="3" applyNumberFormat="1" applyFont="1" applyFill="1" applyAlignment="1">
      <alignment horizontal="center" vertical="center"/>
    </xf>
    <xf numFmtId="3" fontId="130" fillId="31" borderId="57" xfId="0" applyNumberFormat="1" applyFont="1" applyFill="1" applyBorder="1" applyAlignment="1">
      <alignment horizontal="center" vertical="center" wrapText="1"/>
    </xf>
    <xf numFmtId="37" fontId="130" fillId="22" borderId="56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24" fillId="22" borderId="87" xfId="0" applyFont="1" applyFill="1" applyBorder="1" applyAlignment="1">
      <alignment horizontal="center" vertical="center" wrapText="1"/>
    </xf>
    <xf numFmtId="1" fontId="124" fillId="22" borderId="89" xfId="0" applyNumberFormat="1" applyFont="1" applyFill="1" applyBorder="1" applyAlignment="1">
      <alignment horizontal="center" vertical="center" wrapText="1"/>
    </xf>
    <xf numFmtId="1" fontId="128" fillId="22" borderId="58" xfId="0" applyNumberFormat="1" applyFont="1" applyFill="1" applyBorder="1" applyAlignment="1">
      <alignment horizontal="center" vertical="center"/>
    </xf>
    <xf numFmtId="1" fontId="128" fillId="22" borderId="66" xfId="0" applyNumberFormat="1" applyFont="1" applyFill="1" applyBorder="1" applyAlignment="1">
      <alignment horizontal="center" vertical="center"/>
    </xf>
    <xf numFmtId="37" fontId="130" fillId="13" borderId="57" xfId="0" applyNumberFormat="1" applyFont="1" applyFill="1" applyBorder="1" applyAlignment="1">
      <alignment horizontal="center" vertical="center" wrapText="1"/>
    </xf>
    <xf numFmtId="0" fontId="125" fillId="36" borderId="97" xfId="0" applyFont="1" applyFill="1" applyBorder="1" applyAlignment="1">
      <alignment horizontal="center" vertical="center"/>
    </xf>
    <xf numFmtId="0" fontId="124" fillId="36" borderId="76" xfId="0" applyFont="1" applyFill="1" applyBorder="1" applyAlignment="1">
      <alignment horizontal="center" vertical="center" wrapText="1"/>
    </xf>
    <xf numFmtId="37" fontId="130" fillId="36" borderId="97" xfId="0" applyNumberFormat="1" applyFont="1" applyFill="1" applyBorder="1" applyAlignment="1">
      <alignment horizontal="center" vertical="center" wrapText="1"/>
    </xf>
    <xf numFmtId="1" fontId="0" fillId="0" borderId="89" xfId="0" applyNumberFormat="1" applyBorder="1" applyAlignment="1">
      <alignment horizontal="center" vertical="center"/>
    </xf>
    <xf numFmtId="37" fontId="28" fillId="0" borderId="0" xfId="3" applyNumberFormat="1" applyFont="1" applyAlignment="1">
      <alignment horizontal="center"/>
    </xf>
    <xf numFmtId="37" fontId="28" fillId="18" borderId="5" xfId="3" applyNumberFormat="1" applyFont="1" applyFill="1" applyBorder="1" applyAlignment="1">
      <alignment horizontal="center"/>
    </xf>
    <xf numFmtId="39" fontId="28" fillId="18" borderId="5" xfId="3" applyNumberFormat="1" applyFont="1" applyFill="1" applyBorder="1" applyAlignment="1">
      <alignment horizontal="center"/>
    </xf>
    <xf numFmtId="0" fontId="28" fillId="18" borderId="72" xfId="3" applyFont="1" applyFill="1" applyBorder="1" applyAlignment="1">
      <alignment horizontal="center"/>
    </xf>
    <xf numFmtId="37" fontId="28" fillId="18" borderId="59" xfId="3" applyNumberFormat="1" applyFont="1" applyFill="1" applyBorder="1" applyAlignment="1">
      <alignment horizontal="center"/>
    </xf>
    <xf numFmtId="0" fontId="15" fillId="18" borderId="5" xfId="3" applyFont="1" applyFill="1" applyBorder="1" applyAlignment="1">
      <alignment horizontal="center"/>
    </xf>
    <xf numFmtId="3" fontId="15" fillId="18" borderId="5" xfId="3" applyNumberFormat="1" applyFont="1" applyFill="1" applyBorder="1" applyAlignment="1">
      <alignment horizontal="center"/>
    </xf>
    <xf numFmtId="37" fontId="15" fillId="18" borderId="46" xfId="3" applyNumberFormat="1" applyFont="1" applyFill="1" applyBorder="1" applyAlignment="1">
      <alignment horizontal="center"/>
    </xf>
    <xf numFmtId="1" fontId="15" fillId="18" borderId="3" xfId="3" applyNumberFormat="1" applyFont="1" applyFill="1" applyBorder="1" applyAlignment="1">
      <alignment horizontal="center"/>
    </xf>
    <xf numFmtId="4" fontId="15" fillId="18" borderId="48" xfId="3" applyNumberFormat="1" applyFont="1" applyFill="1" applyBorder="1" applyAlignment="1">
      <alignment horizontal="center"/>
    </xf>
    <xf numFmtId="0" fontId="15" fillId="18" borderId="0" xfId="3" applyFont="1" applyFill="1" applyAlignment="1">
      <alignment horizontal="center"/>
    </xf>
    <xf numFmtId="37" fontId="28" fillId="18" borderId="30" xfId="3" applyNumberFormat="1" applyFont="1" applyFill="1" applyBorder="1" applyAlignment="1">
      <alignment horizontal="center"/>
    </xf>
    <xf numFmtId="37" fontId="28" fillId="18" borderId="0" xfId="3" applyNumberFormat="1" applyFont="1" applyFill="1" applyAlignment="1">
      <alignment horizontal="center"/>
    </xf>
    <xf numFmtId="0" fontId="15" fillId="18" borderId="32" xfId="3" applyFont="1" applyFill="1" applyBorder="1" applyAlignment="1">
      <alignment horizontal="center"/>
    </xf>
    <xf numFmtId="3" fontId="15" fillId="18" borderId="4" xfId="3" applyNumberFormat="1" applyFont="1" applyFill="1" applyBorder="1" applyAlignment="1">
      <alignment horizontal="center"/>
    </xf>
    <xf numFmtId="3" fontId="15" fillId="18" borderId="29" xfId="3" applyNumberFormat="1" applyFont="1" applyFill="1" applyBorder="1" applyAlignment="1">
      <alignment horizontal="center"/>
    </xf>
    <xf numFmtId="0" fontId="7" fillId="18" borderId="59" xfId="3" applyFill="1" applyBorder="1"/>
    <xf numFmtId="164" fontId="106" fillId="18" borderId="5" xfId="0" applyNumberFormat="1" applyFont="1" applyFill="1" applyBorder="1" applyAlignment="1">
      <alignment horizontal="center" vertical="center"/>
    </xf>
    <xf numFmtId="0" fontId="15" fillId="18" borderId="5" xfId="0" applyFont="1" applyFill="1" applyBorder="1" applyAlignment="1">
      <alignment horizontal="center"/>
    </xf>
    <xf numFmtId="3" fontId="15" fillId="18" borderId="60" xfId="3" applyNumberFormat="1" applyFont="1" applyFill="1" applyBorder="1" applyAlignment="1">
      <alignment horizontal="center"/>
    </xf>
    <xf numFmtId="164" fontId="15" fillId="18" borderId="5" xfId="3" applyNumberFormat="1" applyFont="1" applyFill="1" applyBorder="1" applyAlignment="1">
      <alignment horizontal="center"/>
    </xf>
    <xf numFmtId="0" fontId="7" fillId="31" borderId="5" xfId="3" applyFill="1" applyBorder="1" applyAlignment="1">
      <alignment horizontal="center" vertical="center"/>
    </xf>
    <xf numFmtId="0" fontId="132" fillId="31" borderId="5" xfId="3" applyFont="1" applyFill="1" applyBorder="1" applyAlignment="1">
      <alignment horizontal="center" vertical="center"/>
    </xf>
    <xf numFmtId="3" fontId="132" fillId="31" borderId="37" xfId="3" applyNumberFormat="1" applyFont="1" applyFill="1" applyBorder="1" applyAlignment="1">
      <alignment horizontal="center" vertical="center"/>
    </xf>
    <xf numFmtId="0" fontId="7" fillId="31" borderId="40" xfId="3" applyFill="1" applyBorder="1" applyAlignment="1">
      <alignment horizontal="center" vertical="center"/>
    </xf>
    <xf numFmtId="37" fontId="15" fillId="31" borderId="36" xfId="3" applyNumberFormat="1" applyFont="1" applyFill="1" applyBorder="1" applyAlignment="1">
      <alignment horizontal="center" vertical="center"/>
    </xf>
    <xf numFmtId="37" fontId="15" fillId="31" borderId="39" xfId="3" applyNumberFormat="1" applyFont="1" applyFill="1" applyBorder="1" applyAlignment="1">
      <alignment horizontal="center" vertical="center"/>
    </xf>
    <xf numFmtId="0" fontId="7" fillId="31" borderId="0" xfId="3" applyFill="1" applyAlignment="1">
      <alignment horizontal="center" vertical="center"/>
    </xf>
    <xf numFmtId="0" fontId="19" fillId="4" borderId="98" xfId="3" applyFont="1" applyFill="1" applyBorder="1" applyAlignment="1">
      <alignment horizontal="center" vertical="center"/>
    </xf>
    <xf numFmtId="0" fontId="19" fillId="4" borderId="28" xfId="3" applyFont="1" applyFill="1" applyBorder="1" applyAlignment="1">
      <alignment horizontal="center" vertical="center"/>
    </xf>
    <xf numFmtId="0" fontId="9" fillId="0" borderId="102" xfId="3" applyFont="1" applyBorder="1" applyAlignment="1">
      <alignment horizontal="center" vertical="center"/>
    </xf>
    <xf numFmtId="0" fontId="76" fillId="0" borderId="0" xfId="0" applyFont="1"/>
    <xf numFmtId="0" fontId="75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75" fillId="0" borderId="0" xfId="0" applyFont="1"/>
    <xf numFmtId="0" fontId="78" fillId="3" borderId="0" xfId="0" applyFont="1" applyFill="1" applyAlignment="1">
      <alignment horizontal="center" vertical="center"/>
    </xf>
    <xf numFmtId="171" fontId="75" fillId="0" borderId="0" xfId="0" applyNumberFormat="1" applyFont="1" applyAlignment="1">
      <alignment horizontal="center" vertical="center"/>
    </xf>
    <xf numFmtId="0" fontId="76" fillId="15" borderId="0" xfId="0" applyFont="1" applyFill="1" applyAlignment="1">
      <alignment horizontal="center" vertical="center"/>
    </xf>
    <xf numFmtId="17" fontId="77" fillId="0" borderId="0" xfId="0" applyNumberFormat="1" applyFont="1" applyAlignment="1">
      <alignment horizontal="left" wrapText="1"/>
    </xf>
    <xf numFmtId="167" fontId="77" fillId="15" borderId="0" xfId="1" applyNumberFormat="1" applyFont="1" applyFill="1" applyBorder="1" applyAlignment="1">
      <alignment horizontal="center" vertical="center"/>
    </xf>
    <xf numFmtId="167" fontId="77" fillId="0" borderId="0" xfId="1" applyNumberFormat="1" applyFont="1" applyBorder="1" applyAlignment="1">
      <alignment horizontal="center" vertical="center"/>
    </xf>
    <xf numFmtId="0" fontId="77" fillId="0" borderId="0" xfId="0" applyFont="1"/>
    <xf numFmtId="17" fontId="76" fillId="0" borderId="0" xfId="0" applyNumberFormat="1" applyFont="1" applyAlignment="1">
      <alignment horizontal="center" wrapText="1"/>
    </xf>
    <xf numFmtId="3" fontId="75" fillId="2" borderId="0" xfId="0" applyNumberFormat="1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9" fillId="0" borderId="0" xfId="0" applyFont="1" applyAlignment="1">
      <alignment horizontal="center"/>
    </xf>
    <xf numFmtId="17" fontId="76" fillId="0" borderId="0" xfId="0" applyNumberFormat="1" applyFont="1" applyAlignment="1">
      <alignment horizontal="left" wrapText="1"/>
    </xf>
    <xf numFmtId="3" fontId="75" fillId="0" borderId="0" xfId="0" applyNumberFormat="1" applyFont="1" applyAlignment="1">
      <alignment horizontal="center" vertical="center"/>
    </xf>
    <xf numFmtId="3" fontId="76" fillId="0" borderId="0" xfId="0" applyNumberFormat="1" applyFont="1" applyAlignment="1">
      <alignment horizontal="center" vertical="center"/>
    </xf>
    <xf numFmtId="0" fontId="79" fillId="0" borderId="0" xfId="0" applyFont="1"/>
    <xf numFmtId="0" fontId="81" fillId="0" borderId="0" xfId="0" applyFont="1" applyAlignment="1">
      <alignment horizontal="center" vertical="center"/>
    </xf>
    <xf numFmtId="0" fontId="79" fillId="21" borderId="0" xfId="0" applyFont="1" applyFill="1"/>
    <xf numFmtId="0" fontId="81" fillId="21" borderId="0" xfId="0" applyFont="1" applyFill="1" applyAlignment="1">
      <alignment horizontal="center" vertical="center"/>
    </xf>
    <xf numFmtId="0" fontId="76" fillId="21" borderId="0" xfId="0" applyFont="1" applyFill="1" applyAlignment="1">
      <alignment horizontal="center" vertical="center"/>
    </xf>
    <xf numFmtId="0" fontId="79" fillId="12" borderId="0" xfId="0" applyFont="1" applyFill="1"/>
    <xf numFmtId="0" fontId="82" fillId="0" borderId="0" xfId="0" applyFont="1"/>
    <xf numFmtId="164" fontId="78" fillId="0" borderId="0" xfId="0" applyNumberFormat="1" applyFont="1" applyAlignment="1">
      <alignment horizontal="center" vertical="center"/>
    </xf>
    <xf numFmtId="164" fontId="78" fillId="31" borderId="0" xfId="0" applyNumberFormat="1" applyFont="1" applyFill="1" applyAlignment="1">
      <alignment horizontal="center" vertical="center"/>
    </xf>
    <xf numFmtId="164" fontId="82" fillId="0" borderId="0" xfId="0" applyNumberFormat="1" applyFont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78" fillId="0" borderId="0" xfId="0" applyFont="1"/>
    <xf numFmtId="0" fontId="78" fillId="31" borderId="0" xfId="0" applyFont="1" applyFill="1" applyAlignment="1">
      <alignment horizontal="center" vertical="center"/>
    </xf>
    <xf numFmtId="0" fontId="83" fillId="15" borderId="0" xfId="3" applyFont="1" applyFill="1" applyAlignment="1">
      <alignment vertical="center" wrapText="1"/>
    </xf>
    <xf numFmtId="165" fontId="84" fillId="15" borderId="0" xfId="0" applyNumberFormat="1" applyFont="1" applyFill="1" applyAlignment="1">
      <alignment horizontal="center" vertical="center"/>
    </xf>
    <xf numFmtId="165" fontId="95" fillId="15" borderId="0" xfId="0" applyNumberFormat="1" applyFont="1" applyFill="1" applyAlignment="1">
      <alignment horizontal="center" vertical="center"/>
    </xf>
    <xf numFmtId="165" fontId="83" fillId="15" borderId="0" xfId="1" applyNumberFormat="1" applyFont="1" applyFill="1" applyBorder="1" applyAlignment="1">
      <alignment horizontal="center" vertical="center"/>
    </xf>
    <xf numFmtId="169" fontId="98" fillId="15" borderId="0" xfId="1" applyNumberFormat="1" applyFont="1" applyFill="1" applyBorder="1" applyAlignment="1">
      <alignment horizontal="center" vertical="center"/>
    </xf>
    <xf numFmtId="0" fontId="76" fillId="15" borderId="0" xfId="0" applyFont="1" applyFill="1"/>
    <xf numFmtId="0" fontId="86" fillId="0" borderId="0" xfId="0" applyFont="1" applyAlignment="1">
      <alignment horizontal="center" vertical="center"/>
    </xf>
    <xf numFmtId="0" fontId="86" fillId="0" borderId="0" xfId="0" applyFont="1"/>
    <xf numFmtId="0" fontId="76" fillId="0" borderId="0" xfId="3" applyFont="1" applyAlignment="1">
      <alignment vertical="center" wrapText="1"/>
    </xf>
    <xf numFmtId="3" fontId="76" fillId="0" borderId="0" xfId="3" applyNumberFormat="1" applyFont="1" applyAlignment="1">
      <alignment horizontal="center" vertical="center"/>
    </xf>
    <xf numFmtId="3" fontId="78" fillId="0" borderId="0" xfId="3" applyNumberFormat="1" applyFont="1" applyAlignment="1">
      <alignment horizontal="center" vertical="center"/>
    </xf>
    <xf numFmtId="3" fontId="78" fillId="31" borderId="0" xfId="3" applyNumberFormat="1" applyFont="1" applyFill="1" applyAlignment="1">
      <alignment horizontal="center" vertical="center"/>
    </xf>
    <xf numFmtId="1" fontId="78" fillId="0" borderId="0" xfId="3" applyNumberFormat="1" applyFont="1" applyAlignment="1">
      <alignment horizontal="center" vertical="center"/>
    </xf>
    <xf numFmtId="1" fontId="82" fillId="0" borderId="0" xfId="3" applyNumberFormat="1" applyFont="1" applyAlignment="1">
      <alignment horizontal="center" vertical="center"/>
    </xf>
    <xf numFmtId="0" fontId="75" fillId="15" borderId="0" xfId="3" applyFont="1" applyFill="1" applyAlignment="1">
      <alignment vertical="center" wrapText="1"/>
    </xf>
    <xf numFmtId="3" fontId="75" fillId="15" borderId="0" xfId="0" applyNumberFormat="1" applyFont="1" applyFill="1" applyAlignment="1">
      <alignment horizontal="center" vertical="center"/>
    </xf>
    <xf numFmtId="3" fontId="82" fillId="15" borderId="0" xfId="0" applyNumberFormat="1" applyFont="1" applyFill="1" applyAlignment="1">
      <alignment horizontal="center" vertical="center"/>
    </xf>
    <xf numFmtId="3" fontId="75" fillId="16" borderId="0" xfId="0" applyNumberFormat="1" applyFont="1" applyFill="1" applyAlignment="1">
      <alignment horizontal="center" vertical="center"/>
    </xf>
    <xf numFmtId="0" fontId="75" fillId="15" borderId="0" xfId="0" applyFont="1" applyFill="1" applyAlignment="1">
      <alignment horizontal="center" vertical="center"/>
    </xf>
    <xf numFmtId="0" fontId="75" fillId="15" borderId="0" xfId="0" applyFont="1" applyFill="1"/>
    <xf numFmtId="0" fontId="75" fillId="0" borderId="0" xfId="3" applyFont="1" applyAlignment="1">
      <alignment vertical="center" wrapText="1"/>
    </xf>
    <xf numFmtId="3" fontId="82" fillId="0" borderId="0" xfId="0" applyNumberFormat="1" applyFont="1" applyAlignment="1">
      <alignment horizontal="center" vertical="center"/>
    </xf>
    <xf numFmtId="3" fontId="78" fillId="0" borderId="0" xfId="0" applyNumberFormat="1" applyFont="1" applyAlignment="1">
      <alignment horizontal="center" vertical="center"/>
    </xf>
    <xf numFmtId="0" fontId="76" fillId="0" borderId="0" xfId="3" applyFont="1" applyAlignment="1">
      <alignment horizontal="left" vertical="center" wrapText="1"/>
    </xf>
    <xf numFmtId="3" fontId="87" fillId="0" borderId="0" xfId="0" applyNumberFormat="1" applyFont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75" fillId="20" borderId="0" xfId="3" applyFont="1" applyFill="1" applyAlignment="1">
      <alignment horizontal="left" vertical="center" wrapText="1"/>
    </xf>
    <xf numFmtId="3" fontId="75" fillId="20" borderId="0" xfId="0" applyNumberFormat="1" applyFont="1" applyFill="1" applyAlignment="1">
      <alignment horizontal="center" vertical="center"/>
    </xf>
    <xf numFmtId="3" fontId="82" fillId="20" borderId="0" xfId="0" applyNumberFormat="1" applyFont="1" applyFill="1" applyAlignment="1">
      <alignment horizontal="center" vertical="center"/>
    </xf>
    <xf numFmtId="3" fontId="82" fillId="26" borderId="0" xfId="0" applyNumberFormat="1" applyFont="1" applyFill="1" applyAlignment="1">
      <alignment horizontal="center" vertical="center"/>
    </xf>
    <xf numFmtId="0" fontId="75" fillId="20" borderId="0" xfId="0" applyFont="1" applyFill="1" applyAlignment="1">
      <alignment horizontal="center" vertical="center"/>
    </xf>
    <xf numFmtId="0" fontId="75" fillId="20" borderId="0" xfId="0" applyFont="1" applyFill="1"/>
    <xf numFmtId="0" fontId="75" fillId="0" borderId="0" xfId="3" applyFont="1" applyAlignment="1">
      <alignment horizontal="left" vertical="center" wrapText="1"/>
    </xf>
    <xf numFmtId="164" fontId="76" fillId="0" borderId="0" xfId="0" applyNumberFormat="1" applyFont="1" applyAlignment="1">
      <alignment horizontal="center" vertical="center"/>
    </xf>
    <xf numFmtId="164" fontId="75" fillId="0" borderId="0" xfId="0" applyNumberFormat="1" applyFont="1" applyAlignment="1">
      <alignment horizontal="center" vertical="center"/>
    </xf>
    <xf numFmtId="2" fontId="76" fillId="0" borderId="0" xfId="0" applyNumberFormat="1" applyFont="1" applyAlignment="1">
      <alignment horizontal="center" vertical="center"/>
    </xf>
    <xf numFmtId="0" fontId="76" fillId="16" borderId="0" xfId="3" applyFont="1" applyFill="1" applyAlignment="1">
      <alignment vertical="center" wrapText="1"/>
    </xf>
    <xf numFmtId="0" fontId="76" fillId="0" borderId="0" xfId="3" applyFont="1" applyAlignment="1">
      <alignment horizontal="center" vertical="center"/>
    </xf>
    <xf numFmtId="0" fontId="93" fillId="15" borderId="0" xfId="3" applyFont="1" applyFill="1" applyAlignment="1">
      <alignment horizontal="left" vertical="center" wrapText="1"/>
    </xf>
    <xf numFmtId="3" fontId="76" fillId="15" borderId="0" xfId="0" applyNumberFormat="1" applyFont="1" applyFill="1" applyAlignment="1">
      <alignment horizontal="center" vertical="center"/>
    </xf>
    <xf numFmtId="0" fontId="76" fillId="15" borderId="0" xfId="3" applyFont="1" applyFill="1" applyAlignment="1">
      <alignment horizontal="left" vertical="center" wrapText="1"/>
    </xf>
    <xf numFmtId="3" fontId="76" fillId="15" borderId="0" xfId="3" applyNumberFormat="1" applyFont="1" applyFill="1" applyAlignment="1">
      <alignment horizontal="center" vertical="center"/>
    </xf>
    <xf numFmtId="3" fontId="75" fillId="0" borderId="0" xfId="3" applyNumberFormat="1" applyFont="1" applyAlignment="1">
      <alignment horizontal="center" vertical="center"/>
    </xf>
    <xf numFmtId="1" fontId="76" fillId="0" borderId="0" xfId="3" applyNumberFormat="1" applyFont="1" applyAlignment="1">
      <alignment horizontal="center" vertical="center"/>
    </xf>
    <xf numFmtId="1" fontId="76" fillId="15" borderId="0" xfId="0" applyNumberFormat="1" applyFont="1" applyFill="1" applyAlignment="1">
      <alignment horizontal="center" vertical="center"/>
    </xf>
    <xf numFmtId="1" fontId="75" fillId="0" borderId="0" xfId="3" applyNumberFormat="1" applyFont="1" applyAlignment="1">
      <alignment horizontal="center" vertical="center"/>
    </xf>
    <xf numFmtId="1" fontId="75" fillId="15" borderId="0" xfId="0" applyNumberFormat="1" applyFont="1" applyFill="1" applyAlignment="1">
      <alignment horizontal="center" vertical="center"/>
    </xf>
    <xf numFmtId="165" fontId="76" fillId="0" borderId="0" xfId="0" applyNumberFormat="1" applyFont="1" applyAlignment="1">
      <alignment horizontal="center" vertical="center"/>
    </xf>
    <xf numFmtId="165" fontId="75" fillId="26" borderId="0" xfId="1" applyNumberFormat="1" applyFont="1" applyFill="1" applyBorder="1" applyAlignment="1">
      <alignment horizontal="center" vertical="center"/>
    </xf>
    <xf numFmtId="169" fontId="75" fillId="0" borderId="0" xfId="1" applyNumberFormat="1" applyFont="1" applyBorder="1" applyAlignment="1">
      <alignment horizontal="center" vertical="center"/>
    </xf>
    <xf numFmtId="0" fontId="54" fillId="15" borderId="0" xfId="3" applyFont="1" applyFill="1" applyAlignment="1">
      <alignment horizontal="left" vertical="center" wrapText="1"/>
    </xf>
    <xf numFmtId="165" fontId="76" fillId="15" borderId="0" xfId="0" applyNumberFormat="1" applyFont="1" applyFill="1" applyAlignment="1">
      <alignment horizontal="center" vertical="center"/>
    </xf>
    <xf numFmtId="165" fontId="75" fillId="15" borderId="0" xfId="1" applyNumberFormat="1" applyFont="1" applyFill="1" applyBorder="1" applyAlignment="1">
      <alignment horizontal="center" vertical="center"/>
    </xf>
    <xf numFmtId="169" fontId="75" fillId="15" borderId="0" xfId="1" applyNumberFormat="1" applyFont="1" applyFill="1" applyBorder="1" applyAlignment="1">
      <alignment horizontal="center" vertical="center"/>
    </xf>
    <xf numFmtId="0" fontId="90" fillId="15" borderId="0" xfId="0" applyFont="1" applyFill="1" applyAlignment="1">
      <alignment horizontal="center" vertical="center"/>
    </xf>
    <xf numFmtId="0" fontId="90" fillId="15" borderId="0" xfId="0" applyFont="1" applyFill="1"/>
    <xf numFmtId="0" fontId="76" fillId="12" borderId="0" xfId="3" applyFont="1" applyFill="1" applyAlignment="1">
      <alignment horizontal="left" vertical="center" wrapText="1"/>
    </xf>
    <xf numFmtId="165" fontId="75" fillId="0" borderId="0" xfId="1" applyNumberFormat="1" applyFont="1" applyBorder="1" applyAlignment="1">
      <alignment horizontal="center" vertical="center"/>
    </xf>
    <xf numFmtId="165" fontId="75" fillId="12" borderId="0" xfId="1" applyNumberFormat="1" applyFont="1" applyFill="1" applyBorder="1" applyAlignment="1">
      <alignment horizontal="center" vertical="center"/>
    </xf>
    <xf numFmtId="169" fontId="75" fillId="12" borderId="0" xfId="1" applyNumberFormat="1" applyFont="1" applyFill="1" applyBorder="1" applyAlignment="1">
      <alignment horizontal="center" vertical="center"/>
    </xf>
    <xf numFmtId="0" fontId="76" fillId="12" borderId="0" xfId="0" applyFont="1" applyFill="1" applyAlignment="1">
      <alignment horizontal="center" vertical="center"/>
    </xf>
    <xf numFmtId="0" fontId="76" fillId="12" borderId="0" xfId="0" applyFont="1" applyFill="1"/>
    <xf numFmtId="0" fontId="76" fillId="15" borderId="0" xfId="3" applyFont="1" applyFill="1" applyAlignment="1">
      <alignment vertical="center" wrapText="1"/>
    </xf>
    <xf numFmtId="0" fontId="78" fillId="12" borderId="0" xfId="3" applyFont="1" applyFill="1" applyAlignment="1">
      <alignment horizontal="left" vertical="center" wrapText="1"/>
    </xf>
    <xf numFmtId="165" fontId="82" fillId="12" borderId="0" xfId="1" applyNumberFormat="1" applyFont="1" applyFill="1" applyBorder="1" applyAlignment="1">
      <alignment horizontal="center" vertical="center"/>
    </xf>
    <xf numFmtId="169" fontId="82" fillId="12" borderId="0" xfId="1" applyNumberFormat="1" applyFont="1" applyFill="1" applyBorder="1" applyAlignment="1">
      <alignment horizontal="center" vertical="center"/>
    </xf>
    <xf numFmtId="0" fontId="78" fillId="12" borderId="0" xfId="0" applyFont="1" applyFill="1" applyAlignment="1">
      <alignment horizontal="center" vertical="center"/>
    </xf>
    <xf numFmtId="0" fontId="78" fillId="12" borderId="0" xfId="0" applyFont="1" applyFill="1"/>
    <xf numFmtId="0" fontId="76" fillId="16" borderId="0" xfId="3" applyFont="1" applyFill="1" applyAlignment="1">
      <alignment horizontal="left" vertical="center" wrapText="1"/>
    </xf>
    <xf numFmtId="165" fontId="76" fillId="31" borderId="0" xfId="0" applyNumberFormat="1" applyFont="1" applyFill="1" applyAlignment="1">
      <alignment horizontal="center" vertical="center"/>
    </xf>
    <xf numFmtId="165" fontId="75" fillId="0" borderId="0" xfId="1" applyNumberFormat="1" applyFont="1" applyFill="1" applyBorder="1" applyAlignment="1">
      <alignment horizontal="center" vertical="center"/>
    </xf>
    <xf numFmtId="165" fontId="76" fillId="15" borderId="0" xfId="1" applyNumberFormat="1" applyFont="1" applyFill="1" applyBorder="1" applyAlignment="1">
      <alignment horizontal="center" vertical="center"/>
    </xf>
    <xf numFmtId="0" fontId="90" fillId="0" borderId="0" xfId="3" applyFont="1" applyAlignment="1">
      <alignment horizontal="left" vertical="center" wrapText="1"/>
    </xf>
    <xf numFmtId="165" fontId="91" fillId="0" borderId="0" xfId="1" applyNumberFormat="1" applyFont="1" applyBorder="1" applyAlignment="1">
      <alignment horizontal="center" vertical="center"/>
    </xf>
    <xf numFmtId="169" fontId="91" fillId="0" borderId="0" xfId="1" applyNumberFormat="1" applyFont="1" applyBorder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90" fillId="0" borderId="0" xfId="0" applyFont="1"/>
    <xf numFmtId="4" fontId="76" fillId="15" borderId="0" xfId="0" applyNumberFormat="1" applyFont="1" applyFill="1" applyAlignment="1">
      <alignment horizontal="center" vertical="center"/>
    </xf>
    <xf numFmtId="165" fontId="90" fillId="0" borderId="0" xfId="0" applyNumberFormat="1" applyFont="1" applyAlignment="1">
      <alignment horizontal="center" vertical="center"/>
    </xf>
    <xf numFmtId="165" fontId="78" fillId="0" borderId="0" xfId="0" applyNumberFormat="1" applyFont="1" applyAlignment="1">
      <alignment horizontal="center" vertical="center"/>
    </xf>
    <xf numFmtId="0" fontId="90" fillId="15" borderId="0" xfId="3" applyFont="1" applyFill="1" applyAlignment="1">
      <alignment horizontal="left" vertical="center" wrapText="1"/>
    </xf>
    <xf numFmtId="165" fontId="90" fillId="15" borderId="0" xfId="0" applyNumberFormat="1" applyFont="1" applyFill="1" applyAlignment="1">
      <alignment horizontal="center" vertical="center"/>
    </xf>
    <xf numFmtId="165" fontId="78" fillId="15" borderId="0" xfId="0" applyNumberFormat="1" applyFont="1" applyFill="1" applyAlignment="1">
      <alignment horizontal="center" vertical="center"/>
    </xf>
    <xf numFmtId="165" fontId="91" fillId="15" borderId="0" xfId="1" applyNumberFormat="1" applyFont="1" applyFill="1" applyBorder="1" applyAlignment="1">
      <alignment horizontal="center" vertical="center"/>
    </xf>
    <xf numFmtId="169" fontId="91" fillId="15" borderId="0" xfId="1" applyNumberFormat="1" applyFont="1" applyFill="1" applyBorder="1" applyAlignment="1">
      <alignment horizontal="center" vertical="center"/>
    </xf>
    <xf numFmtId="0" fontId="75" fillId="0" borderId="0" xfId="3" applyFont="1" applyAlignment="1">
      <alignment horizontal="left" shrinkToFit="1"/>
    </xf>
    <xf numFmtId="165" fontId="75" fillId="0" borderId="0" xfId="0" applyNumberFormat="1" applyFont="1" applyAlignment="1">
      <alignment horizontal="center" vertical="center"/>
    </xf>
    <xf numFmtId="165" fontId="82" fillId="0" borderId="0" xfId="0" applyNumberFormat="1" applyFont="1" applyAlignment="1">
      <alignment horizontal="center" vertical="center"/>
    </xf>
    <xf numFmtId="0" fontId="92" fillId="0" borderId="0" xfId="3" applyFont="1" applyAlignment="1">
      <alignment horizontal="left" wrapText="1"/>
    </xf>
    <xf numFmtId="164" fontId="84" fillId="0" borderId="0" xfId="0" applyNumberFormat="1" applyFont="1" applyAlignment="1">
      <alignment horizontal="center" vertical="center"/>
    </xf>
    <xf numFmtId="164" fontId="95" fillId="0" borderId="0" xfId="0" applyNumberFormat="1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84" fillId="0" borderId="0" xfId="0" applyFont="1"/>
    <xf numFmtId="0" fontId="75" fillId="25" borderId="0" xfId="3" applyFont="1" applyFill="1" applyAlignment="1">
      <alignment horizontal="center" vertical="center" wrapText="1"/>
    </xf>
    <xf numFmtId="3" fontId="75" fillId="25" borderId="0" xfId="3" applyNumberFormat="1" applyFont="1" applyFill="1" applyAlignment="1">
      <alignment horizontal="center" vertical="center"/>
    </xf>
    <xf numFmtId="3" fontId="82" fillId="25" borderId="0" xfId="3" applyNumberFormat="1" applyFont="1" applyFill="1" applyAlignment="1">
      <alignment horizontal="center" vertical="center"/>
    </xf>
    <xf numFmtId="3" fontId="75" fillId="25" borderId="0" xfId="0" applyNumberFormat="1" applyFont="1" applyFill="1" applyAlignment="1">
      <alignment horizontal="center" vertical="center"/>
    </xf>
    <xf numFmtId="0" fontId="75" fillId="25" borderId="0" xfId="0" applyFont="1" applyFill="1" applyAlignment="1">
      <alignment horizontal="center" vertical="center"/>
    </xf>
    <xf numFmtId="0" fontId="75" fillId="25" borderId="0" xfId="0" applyFont="1" applyFill="1"/>
    <xf numFmtId="0" fontId="75" fillId="19" borderId="0" xfId="0" applyFont="1" applyFill="1"/>
    <xf numFmtId="38" fontId="75" fillId="0" borderId="0" xfId="0" applyNumberFormat="1" applyFont="1" applyAlignment="1">
      <alignment horizontal="center" vertical="center"/>
    </xf>
    <xf numFmtId="3" fontId="75" fillId="14" borderId="0" xfId="0" applyNumberFormat="1" applyFont="1" applyFill="1" applyAlignment="1">
      <alignment horizontal="center"/>
    </xf>
    <xf numFmtId="3" fontId="75" fillId="20" borderId="0" xfId="0" applyNumberFormat="1" applyFont="1" applyFill="1" applyAlignment="1">
      <alignment horizontal="center"/>
    </xf>
    <xf numFmtId="3" fontId="75" fillId="35" borderId="0" xfId="0" applyNumberFormat="1" applyFont="1" applyFill="1" applyAlignment="1">
      <alignment horizontal="center" vertical="center"/>
    </xf>
    <xf numFmtId="3" fontId="76" fillId="35" borderId="0" xfId="0" applyNumberFormat="1" applyFont="1" applyFill="1" applyAlignment="1">
      <alignment horizontal="center" vertical="center"/>
    </xf>
    <xf numFmtId="3" fontId="75" fillId="35" borderId="0" xfId="0" applyNumberFormat="1" applyFont="1" applyFill="1"/>
    <xf numFmtId="3" fontId="75" fillId="35" borderId="0" xfId="1" applyNumberFormat="1" applyFont="1" applyFill="1" applyBorder="1" applyAlignment="1">
      <alignment horizontal="center" vertical="center"/>
    </xf>
    <xf numFmtId="3" fontId="76" fillId="35" borderId="0" xfId="0" applyNumberFormat="1" applyFont="1" applyFill="1"/>
    <xf numFmtId="0" fontId="75" fillId="23" borderId="0" xfId="0" applyFont="1" applyFill="1" applyAlignment="1">
      <alignment vertical="center"/>
    </xf>
    <xf numFmtId="3" fontId="82" fillId="23" borderId="0" xfId="0" applyNumberFormat="1" applyFont="1" applyFill="1" applyAlignment="1">
      <alignment horizontal="center" vertical="center"/>
    </xf>
    <xf numFmtId="3" fontId="75" fillId="23" borderId="0" xfId="0" applyNumberFormat="1" applyFont="1" applyFill="1" applyAlignment="1">
      <alignment horizontal="center" vertical="center"/>
    </xf>
    <xf numFmtId="0" fontId="75" fillId="23" borderId="0" xfId="0" applyFont="1" applyFill="1" applyAlignment="1">
      <alignment horizontal="center" vertical="center"/>
    </xf>
    <xf numFmtId="0" fontId="75" fillId="37" borderId="0" xfId="0" applyFont="1" applyFill="1" applyAlignment="1">
      <alignment vertical="center"/>
    </xf>
    <xf numFmtId="3" fontId="76" fillId="37" borderId="0" xfId="0" applyNumberFormat="1" applyFont="1" applyFill="1" applyAlignment="1">
      <alignment horizontal="center" vertical="center"/>
    </xf>
    <xf numFmtId="3" fontId="78" fillId="37" borderId="0" xfId="0" applyNumberFormat="1" applyFont="1" applyFill="1" applyAlignment="1">
      <alignment horizontal="center" vertical="center"/>
    </xf>
    <xf numFmtId="3" fontId="82" fillId="37" borderId="0" xfId="0" applyNumberFormat="1" applyFont="1" applyFill="1" applyAlignment="1">
      <alignment horizontal="center" vertical="center"/>
    </xf>
    <xf numFmtId="3" fontId="75" fillId="37" borderId="0" xfId="0" applyNumberFormat="1" applyFont="1" applyFill="1" applyAlignment="1">
      <alignment horizontal="center" vertical="center"/>
    </xf>
    <xf numFmtId="0" fontId="76" fillId="37" borderId="0" xfId="0" applyFont="1" applyFill="1" applyAlignment="1">
      <alignment horizontal="center" vertical="center"/>
    </xf>
    <xf numFmtId="0" fontId="76" fillId="37" borderId="0" xfId="0" applyFont="1" applyFill="1"/>
    <xf numFmtId="0" fontId="75" fillId="26" borderId="0" xfId="0" applyFont="1" applyFill="1"/>
    <xf numFmtId="3" fontId="75" fillId="30" borderId="0" xfId="0" applyNumberFormat="1" applyFont="1" applyFill="1" applyAlignment="1">
      <alignment horizontal="center" vertical="center"/>
    </xf>
    <xf numFmtId="3" fontId="82" fillId="30" borderId="0" xfId="0" applyNumberFormat="1" applyFont="1" applyFill="1" applyAlignment="1">
      <alignment horizontal="center" vertical="center"/>
    </xf>
    <xf numFmtId="3" fontId="82" fillId="14" borderId="0" xfId="0" applyNumberFormat="1" applyFont="1" applyFill="1" applyAlignment="1">
      <alignment horizontal="center" vertical="center"/>
    </xf>
    <xf numFmtId="37" fontId="75" fillId="25" borderId="0" xfId="0" applyNumberFormat="1" applyFont="1" applyFill="1" applyAlignment="1">
      <alignment horizontal="center" vertical="center"/>
    </xf>
    <xf numFmtId="37" fontId="82" fillId="25" borderId="0" xfId="0" applyNumberFormat="1" applyFont="1" applyFill="1" applyAlignment="1">
      <alignment horizontal="center" vertical="center"/>
    </xf>
    <xf numFmtId="0" fontId="76" fillId="25" borderId="0" xfId="0" applyFont="1" applyFill="1" applyAlignment="1">
      <alignment horizontal="center" vertical="center"/>
    </xf>
    <xf numFmtId="0" fontId="76" fillId="25" borderId="0" xfId="0" applyFont="1" applyFill="1"/>
    <xf numFmtId="37" fontId="103" fillId="25" borderId="0" xfId="0" applyNumberFormat="1" applyFont="1" applyFill="1" applyAlignment="1">
      <alignment horizontal="center" vertical="center"/>
    </xf>
    <xf numFmtId="0" fontId="78" fillId="25" borderId="0" xfId="0" applyFont="1" applyFill="1" applyAlignment="1">
      <alignment horizontal="center" vertical="center"/>
    </xf>
    <xf numFmtId="9" fontId="78" fillId="25" borderId="0" xfId="4" applyFont="1" applyFill="1" applyBorder="1" applyAlignment="1">
      <alignment horizontal="center" vertical="center"/>
    </xf>
    <xf numFmtId="37" fontId="75" fillId="25" borderId="0" xfId="3" applyNumberFormat="1" applyFont="1" applyFill="1" applyAlignment="1">
      <alignment horizontal="center" vertical="center"/>
    </xf>
    <xf numFmtId="37" fontId="82" fillId="25" borderId="0" xfId="3" applyNumberFormat="1" applyFont="1" applyFill="1" applyAlignment="1">
      <alignment horizontal="center" vertical="center"/>
    </xf>
    <xf numFmtId="3" fontId="82" fillId="25" borderId="0" xfId="0" applyNumberFormat="1" applyFont="1" applyFill="1" applyAlignment="1">
      <alignment horizontal="center" vertical="center"/>
    </xf>
    <xf numFmtId="0" fontId="75" fillId="22" borderId="0" xfId="0" applyFont="1" applyFill="1"/>
    <xf numFmtId="3" fontId="75" fillId="22" borderId="0" xfId="0" applyNumberFormat="1" applyFont="1" applyFill="1" applyAlignment="1">
      <alignment horizontal="center" vertical="center"/>
    </xf>
    <xf numFmtId="3" fontId="82" fillId="22" borderId="0" xfId="0" applyNumberFormat="1" applyFont="1" applyFill="1" applyAlignment="1">
      <alignment horizontal="center" vertical="center"/>
    </xf>
    <xf numFmtId="0" fontId="76" fillId="22" borderId="0" xfId="0" applyFont="1" applyFill="1" applyAlignment="1">
      <alignment horizontal="center" vertical="center"/>
    </xf>
    <xf numFmtId="0" fontId="76" fillId="22" borderId="0" xfId="0" applyFont="1" applyFill="1"/>
    <xf numFmtId="0" fontId="75" fillId="24" borderId="0" xfId="3" applyFont="1" applyFill="1" applyAlignment="1">
      <alignment horizontal="left" vertical="center" wrapText="1"/>
    </xf>
    <xf numFmtId="165" fontId="82" fillId="24" borderId="0" xfId="0" applyNumberFormat="1" applyFont="1" applyFill="1" applyAlignment="1">
      <alignment horizontal="center" vertical="center"/>
    </xf>
    <xf numFmtId="164" fontId="75" fillId="24" borderId="0" xfId="0" applyNumberFormat="1" applyFont="1" applyFill="1" applyAlignment="1">
      <alignment horizontal="center" vertical="center"/>
    </xf>
    <xf numFmtId="0" fontId="76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0" fontId="75" fillId="24" borderId="0" xfId="0" applyFont="1" applyFill="1"/>
    <xf numFmtId="0" fontId="76" fillId="24" borderId="0" xfId="3" applyFont="1" applyFill="1" applyAlignment="1">
      <alignment vertical="center" wrapText="1"/>
    </xf>
    <xf numFmtId="0" fontId="78" fillId="24" borderId="0" xfId="0" applyFont="1" applyFill="1" applyAlignment="1">
      <alignment horizontal="center" vertical="center"/>
    </xf>
    <xf numFmtId="0" fontId="76" fillId="24" borderId="0" xfId="0" applyFont="1" applyFill="1"/>
    <xf numFmtId="0" fontId="76" fillId="24" borderId="0" xfId="0" applyFont="1" applyFill="1" applyAlignment="1">
      <alignment vertical="center"/>
    </xf>
    <xf numFmtId="0" fontId="75" fillId="24" borderId="0" xfId="0" applyFont="1" applyFill="1" applyAlignment="1">
      <alignment vertical="center"/>
    </xf>
    <xf numFmtId="0" fontId="82" fillId="24" borderId="0" xfId="0" applyFont="1" applyFill="1" applyAlignment="1">
      <alignment horizontal="center" vertical="center"/>
    </xf>
    <xf numFmtId="3" fontId="84" fillId="0" borderId="0" xfId="0" applyNumberFormat="1" applyFont="1" applyAlignment="1">
      <alignment horizontal="center" vertical="center"/>
    </xf>
    <xf numFmtId="3" fontId="95" fillId="0" borderId="0" xfId="0" applyNumberFormat="1" applyFont="1" applyAlignment="1">
      <alignment horizontal="center" vertical="center"/>
    </xf>
    <xf numFmtId="3" fontId="83" fillId="24" borderId="0" xfId="0" applyNumberFormat="1" applyFont="1" applyFill="1" applyAlignment="1">
      <alignment horizontal="center" vertical="center"/>
    </xf>
    <xf numFmtId="3" fontId="83" fillId="0" borderId="0" xfId="0" applyNumberFormat="1" applyFont="1" applyAlignment="1">
      <alignment horizontal="center" vertical="center"/>
    </xf>
    <xf numFmtId="0" fontId="84" fillId="15" borderId="0" xfId="3" applyFont="1" applyFill="1" applyAlignment="1">
      <alignment horizontal="left" vertical="center" wrapText="1"/>
    </xf>
    <xf numFmtId="169" fontId="83" fillId="15" borderId="0" xfId="1" applyNumberFormat="1" applyFont="1" applyFill="1" applyBorder="1" applyAlignment="1">
      <alignment horizontal="center" vertical="center"/>
    </xf>
    <xf numFmtId="0" fontId="84" fillId="0" borderId="0" xfId="3" applyFont="1" applyAlignment="1">
      <alignment horizontal="left" vertical="center" wrapText="1"/>
    </xf>
    <xf numFmtId="165" fontId="84" fillId="0" borderId="0" xfId="0" applyNumberFormat="1" applyFont="1" applyAlignment="1">
      <alignment horizontal="center" vertical="center"/>
    </xf>
    <xf numFmtId="165" fontId="95" fillId="0" borderId="0" xfId="0" applyNumberFormat="1" applyFont="1" applyAlignment="1">
      <alignment horizontal="center" vertical="center"/>
    </xf>
    <xf numFmtId="165" fontId="83" fillId="0" borderId="0" xfId="1" applyNumberFormat="1" applyFont="1" applyBorder="1" applyAlignment="1">
      <alignment horizontal="center" vertical="center"/>
    </xf>
    <xf numFmtId="169" fontId="83" fillId="0" borderId="0" xfId="1" applyNumberFormat="1" applyFont="1" applyBorder="1" applyAlignment="1">
      <alignment horizontal="center" vertical="center"/>
    </xf>
    <xf numFmtId="37" fontId="76" fillId="0" borderId="0" xfId="0" applyNumberFormat="1" applyFont="1" applyAlignment="1">
      <alignment horizontal="center" vertical="center"/>
    </xf>
    <xf numFmtId="37" fontId="78" fillId="0" borderId="0" xfId="0" applyNumberFormat="1" applyFont="1" applyAlignment="1">
      <alignment horizontal="center" vertical="center"/>
    </xf>
    <xf numFmtId="170" fontId="76" fillId="0" borderId="0" xfId="4" applyNumberFormat="1" applyFont="1" applyBorder="1" applyAlignment="1">
      <alignment horizontal="center" vertical="center"/>
    </xf>
    <xf numFmtId="170" fontId="78" fillId="0" borderId="0" xfId="4" applyNumberFormat="1" applyFont="1" applyBorder="1" applyAlignment="1">
      <alignment horizontal="center" vertical="center"/>
    </xf>
    <xf numFmtId="4" fontId="75" fillId="24" borderId="0" xfId="0" applyNumberFormat="1" applyFont="1" applyFill="1" applyAlignment="1">
      <alignment horizontal="center" vertical="center"/>
    </xf>
    <xf numFmtId="4" fontId="82" fillId="24" borderId="0" xfId="0" applyNumberFormat="1" applyFont="1" applyFill="1" applyAlignment="1">
      <alignment horizontal="center" vertical="center"/>
    </xf>
    <xf numFmtId="4" fontId="76" fillId="24" borderId="0" xfId="0" applyNumberFormat="1" applyFont="1" applyFill="1" applyAlignment="1">
      <alignment horizontal="center" vertical="center"/>
    </xf>
    <xf numFmtId="4" fontId="78" fillId="24" borderId="0" xfId="0" applyNumberFormat="1" applyFont="1" applyFill="1" applyAlignment="1">
      <alignment horizontal="center" vertical="center"/>
    </xf>
    <xf numFmtId="0" fontId="78" fillId="16" borderId="0" xfId="0" applyFont="1" applyFill="1" applyAlignment="1">
      <alignment horizontal="center" vertical="center"/>
    </xf>
    <xf numFmtId="164" fontId="78" fillId="16" borderId="0" xfId="0" applyNumberFormat="1" applyFont="1" applyFill="1" applyAlignment="1">
      <alignment horizontal="center" vertical="center"/>
    </xf>
    <xf numFmtId="1" fontId="78" fillId="16" borderId="0" xfId="1" applyNumberFormat="1" applyFont="1" applyFill="1" applyAlignment="1">
      <alignment horizontal="center" vertical="center"/>
    </xf>
    <xf numFmtId="1" fontId="97" fillId="16" borderId="0" xfId="1" applyNumberFormat="1" applyFont="1" applyFill="1" applyAlignment="1">
      <alignment horizontal="center" vertical="center"/>
    </xf>
    <xf numFmtId="167" fontId="94" fillId="38" borderId="105" xfId="1" applyNumberFormat="1" applyFont="1" applyFill="1" applyBorder="1" applyAlignment="1">
      <alignment horizontal="center" vertical="center"/>
    </xf>
    <xf numFmtId="3" fontId="76" fillId="16" borderId="0" xfId="3" applyNumberFormat="1" applyFont="1" applyFill="1" applyAlignment="1">
      <alignment horizontal="center" vertical="center"/>
    </xf>
    <xf numFmtId="165" fontId="76" fillId="0" borderId="0" xfId="3" applyNumberFormat="1" applyFont="1" applyAlignment="1">
      <alignment horizontal="center" vertical="center"/>
    </xf>
    <xf numFmtId="0" fontId="75" fillId="0" borderId="80" xfId="0" applyFont="1" applyBorder="1" applyAlignment="1">
      <alignment horizontal="center" vertical="center"/>
    </xf>
    <xf numFmtId="0" fontId="75" fillId="0" borderId="107" xfId="0" applyFont="1" applyBorder="1" applyAlignment="1">
      <alignment horizontal="center" vertical="center"/>
    </xf>
    <xf numFmtId="164" fontId="75" fillId="24" borderId="108" xfId="0" applyNumberFormat="1" applyFont="1" applyFill="1" applyBorder="1" applyAlignment="1">
      <alignment horizontal="center" vertical="center"/>
    </xf>
    <xf numFmtId="164" fontId="75" fillId="24" borderId="109" xfId="0" applyNumberFormat="1" applyFont="1" applyFill="1" applyBorder="1" applyAlignment="1">
      <alignment horizontal="center" vertical="center"/>
    </xf>
    <xf numFmtId="0" fontId="75" fillId="0" borderId="81" xfId="0" applyFont="1" applyBorder="1" applyAlignment="1">
      <alignment horizontal="center" vertical="center"/>
    </xf>
    <xf numFmtId="169" fontId="75" fillId="24" borderId="28" xfId="0" applyNumberFormat="1" applyFont="1" applyFill="1" applyBorder="1" applyAlignment="1">
      <alignment horizontal="center" vertical="center"/>
    </xf>
    <xf numFmtId="0" fontId="76" fillId="0" borderId="107" xfId="0" applyFont="1" applyBorder="1" applyAlignment="1">
      <alignment horizontal="center" vertical="center"/>
    </xf>
    <xf numFmtId="1" fontId="75" fillId="24" borderId="108" xfId="0" applyNumberFormat="1" applyFont="1" applyFill="1" applyBorder="1" applyAlignment="1">
      <alignment horizontal="center" vertical="center"/>
    </xf>
    <xf numFmtId="1" fontId="75" fillId="24" borderId="109" xfId="0" applyNumberFormat="1" applyFont="1" applyFill="1" applyBorder="1" applyAlignment="1">
      <alignment horizontal="center" vertical="center"/>
    </xf>
    <xf numFmtId="167" fontId="97" fillId="31" borderId="0" xfId="1" applyNumberFormat="1" applyFont="1" applyFill="1" applyAlignment="1">
      <alignment horizontal="center" vertical="center"/>
    </xf>
    <xf numFmtId="164" fontId="75" fillId="24" borderId="110" xfId="1" applyNumberFormat="1" applyFont="1" applyFill="1" applyBorder="1" applyAlignment="1">
      <alignment horizontal="center" vertical="center"/>
    </xf>
    <xf numFmtId="0" fontId="76" fillId="24" borderId="111" xfId="0" applyFont="1" applyFill="1" applyBorder="1" applyAlignment="1">
      <alignment horizontal="center" vertical="center"/>
    </xf>
    <xf numFmtId="1" fontId="75" fillId="24" borderId="110" xfId="0" applyNumberFormat="1" applyFont="1" applyFill="1" applyBorder="1" applyAlignment="1">
      <alignment horizontal="center" vertical="center"/>
    </xf>
    <xf numFmtId="164" fontId="75" fillId="24" borderId="110" xfId="0" applyNumberFormat="1" applyFont="1" applyFill="1" applyBorder="1" applyAlignment="1">
      <alignment horizontal="center" vertical="center"/>
    </xf>
    <xf numFmtId="169" fontId="75" fillId="24" borderId="111" xfId="0" applyNumberFormat="1" applyFont="1" applyFill="1" applyBorder="1" applyAlignment="1">
      <alignment horizontal="center" vertical="center"/>
    </xf>
    <xf numFmtId="40" fontId="75" fillId="24" borderId="111" xfId="0" applyNumberFormat="1" applyFont="1" applyFill="1" applyBorder="1" applyAlignment="1">
      <alignment horizontal="center" vertical="center"/>
    </xf>
    <xf numFmtId="169" fontId="75" fillId="24" borderId="112" xfId="0" applyNumberFormat="1" applyFont="1" applyFill="1" applyBorder="1" applyAlignment="1">
      <alignment horizontal="center" vertical="center"/>
    </xf>
    <xf numFmtId="1" fontId="78" fillId="31" borderId="0" xfId="1" applyNumberFormat="1" applyFont="1" applyFill="1" applyAlignment="1">
      <alignment horizontal="center" vertical="center"/>
    </xf>
    <xf numFmtId="167" fontId="94" fillId="34" borderId="105" xfId="1" applyNumberFormat="1" applyFont="1" applyFill="1" applyBorder="1" applyAlignment="1">
      <alignment horizontal="center" vertical="center"/>
    </xf>
    <xf numFmtId="167" fontId="96" fillId="31" borderId="0" xfId="1" applyNumberFormat="1" applyFont="1" applyFill="1" applyAlignment="1">
      <alignment horizontal="center" vertical="center"/>
    </xf>
    <xf numFmtId="1" fontId="78" fillId="16" borderId="0" xfId="1" applyNumberFormat="1" applyFont="1" applyFill="1" applyBorder="1" applyAlignment="1">
      <alignment horizontal="center" vertical="center"/>
    </xf>
    <xf numFmtId="0" fontId="118" fillId="0" borderId="72" xfId="3" applyFont="1" applyBorder="1" applyAlignment="1">
      <alignment horizontal="center"/>
    </xf>
    <xf numFmtId="37" fontId="118" fillId="0" borderId="59" xfId="3" applyNumberFormat="1" applyFont="1" applyBorder="1" applyAlignment="1">
      <alignment horizontal="center"/>
    </xf>
    <xf numFmtId="1" fontId="28" fillId="0" borderId="5" xfId="3" applyNumberFormat="1" applyFont="1" applyBorder="1" applyAlignment="1">
      <alignment horizontal="center"/>
    </xf>
    <xf numFmtId="4" fontId="15" fillId="0" borderId="60" xfId="3" applyNumberFormat="1" applyFont="1" applyBorder="1" applyAlignment="1">
      <alignment horizontal="center"/>
    </xf>
    <xf numFmtId="0" fontId="28" fillId="31" borderId="72" xfId="3" applyFont="1" applyFill="1" applyBorder="1" applyAlignment="1">
      <alignment horizontal="center"/>
    </xf>
    <xf numFmtId="37" fontId="28" fillId="31" borderId="59" xfId="3" applyNumberFormat="1" applyFont="1" applyFill="1" applyBorder="1" applyAlignment="1">
      <alignment horizontal="center"/>
    </xf>
    <xf numFmtId="37" fontId="28" fillId="31" borderId="5" xfId="3" applyNumberFormat="1" applyFont="1" applyFill="1" applyBorder="1" applyAlignment="1">
      <alignment horizontal="center"/>
    </xf>
    <xf numFmtId="39" fontId="28" fillId="31" borderId="5" xfId="3" applyNumberFormat="1" applyFont="1" applyFill="1" applyBorder="1" applyAlignment="1">
      <alignment horizontal="center"/>
    </xf>
    <xf numFmtId="1" fontId="117" fillId="31" borderId="0" xfId="1" applyNumberFormat="1" applyFont="1" applyFill="1" applyAlignment="1">
      <alignment horizontal="center" vertical="center"/>
    </xf>
    <xf numFmtId="1" fontId="78" fillId="31" borderId="0" xfId="1" applyNumberFormat="1" applyFont="1" applyFill="1" applyBorder="1" applyAlignment="1">
      <alignment horizontal="center" vertical="center"/>
    </xf>
    <xf numFmtId="1" fontId="82" fillId="31" borderId="0" xfId="1" applyNumberFormat="1" applyFont="1" applyFill="1" applyAlignment="1">
      <alignment horizontal="center" vertical="center"/>
    </xf>
    <xf numFmtId="1" fontId="82" fillId="31" borderId="0" xfId="1" applyNumberFormat="1" applyFont="1" applyFill="1" applyBorder="1" applyAlignment="1">
      <alignment horizontal="center" vertical="center"/>
    </xf>
    <xf numFmtId="1" fontId="78" fillId="31" borderId="0" xfId="1" applyNumberFormat="1" applyFont="1" applyFill="1" applyBorder="1" applyAlignment="1">
      <alignment horizontal="center"/>
    </xf>
    <xf numFmtId="1" fontId="96" fillId="31" borderId="0" xfId="1" applyNumberFormat="1" applyFont="1" applyFill="1" applyBorder="1" applyAlignment="1">
      <alignment horizontal="center" vertical="center"/>
    </xf>
    <xf numFmtId="1" fontId="105" fillId="31" borderId="0" xfId="1" applyNumberFormat="1" applyFont="1" applyFill="1" applyBorder="1" applyAlignment="1">
      <alignment horizontal="center" vertical="center"/>
    </xf>
    <xf numFmtId="167" fontId="97" fillId="31" borderId="0" xfId="1" applyNumberFormat="1" applyFont="1" applyFill="1" applyBorder="1" applyAlignment="1">
      <alignment horizontal="center" vertical="center"/>
    </xf>
    <xf numFmtId="1" fontId="105" fillId="31" borderId="0" xfId="1" applyNumberFormat="1" applyFont="1" applyFill="1" applyAlignment="1">
      <alignment horizontal="center" vertical="center"/>
    </xf>
    <xf numFmtId="1" fontId="97" fillId="31" borderId="0" xfId="1" applyNumberFormat="1" applyFont="1" applyFill="1" applyAlignment="1">
      <alignment horizontal="center" vertical="center"/>
    </xf>
    <xf numFmtId="167" fontId="105" fillId="31" borderId="0" xfId="1" applyNumberFormat="1" applyFont="1" applyFill="1" applyAlignment="1">
      <alignment horizontal="center" vertical="center"/>
    </xf>
    <xf numFmtId="167" fontId="102" fillId="34" borderId="106" xfId="1" applyNumberFormat="1" applyFont="1" applyFill="1" applyBorder="1" applyAlignment="1">
      <alignment horizontal="center" vertical="center"/>
    </xf>
    <xf numFmtId="167" fontId="94" fillId="31" borderId="105" xfId="1" applyNumberFormat="1" applyFont="1" applyFill="1" applyBorder="1" applyAlignment="1">
      <alignment horizontal="center" vertical="center"/>
    </xf>
    <xf numFmtId="167" fontId="94" fillId="34" borderId="0" xfId="1" applyNumberFormat="1" applyFont="1" applyFill="1" applyBorder="1" applyAlignment="1">
      <alignment horizontal="center" vertical="center"/>
    </xf>
    <xf numFmtId="167" fontId="104" fillId="31" borderId="0" xfId="1" applyNumberFormat="1" applyFont="1" applyFill="1" applyAlignment="1">
      <alignment horizontal="center" vertical="center"/>
    </xf>
    <xf numFmtId="167" fontId="104" fillId="31" borderId="0" xfId="1" applyNumberFormat="1" applyFont="1" applyFill="1" applyBorder="1" applyAlignment="1">
      <alignment horizontal="center" vertical="center"/>
    </xf>
    <xf numFmtId="1" fontId="105" fillId="16" borderId="0" xfId="1" applyNumberFormat="1" applyFont="1" applyFill="1" applyBorder="1" applyAlignment="1">
      <alignment horizontal="center" vertical="center"/>
    </xf>
    <xf numFmtId="1" fontId="131" fillId="16" borderId="0" xfId="1" applyNumberFormat="1" applyFont="1" applyFill="1" applyBorder="1" applyAlignment="1">
      <alignment horizontal="center" vertical="center"/>
    </xf>
    <xf numFmtId="167" fontId="94" fillId="16" borderId="105" xfId="1" applyNumberFormat="1" applyFont="1" applyFill="1" applyBorder="1" applyAlignment="1">
      <alignment horizontal="center" vertical="center"/>
    </xf>
    <xf numFmtId="167" fontId="97" fillId="16" borderId="0" xfId="1" applyNumberFormat="1" applyFont="1" applyFill="1" applyAlignment="1">
      <alignment horizontal="center" vertical="center"/>
    </xf>
    <xf numFmtId="1" fontId="96" fillId="16" borderId="0" xfId="1" applyNumberFormat="1" applyFont="1" applyFill="1" applyAlignment="1">
      <alignment horizontal="center" vertical="center"/>
    </xf>
    <xf numFmtId="1" fontId="133" fillId="16" borderId="0" xfId="1" applyNumberFormat="1" applyFont="1" applyFill="1" applyBorder="1" applyAlignment="1">
      <alignment horizontal="center" vertical="center"/>
    </xf>
    <xf numFmtId="1" fontId="97" fillId="16" borderId="0" xfId="1" applyNumberFormat="1" applyFont="1" applyFill="1" applyBorder="1" applyAlignment="1">
      <alignment horizontal="center" vertical="center"/>
    </xf>
    <xf numFmtId="167" fontId="80" fillId="16" borderId="0" xfId="1" applyNumberFormat="1" applyFont="1" applyFill="1" applyAlignment="1">
      <alignment horizontal="center" vertical="center"/>
    </xf>
    <xf numFmtId="0" fontId="15" fillId="31" borderId="5" xfId="3" applyFont="1" applyFill="1" applyBorder="1" applyAlignment="1">
      <alignment horizontal="center"/>
    </xf>
    <xf numFmtId="164" fontId="106" fillId="31" borderId="5" xfId="0" applyNumberFormat="1" applyFont="1" applyFill="1" applyBorder="1" applyAlignment="1">
      <alignment horizontal="center" vertical="center"/>
    </xf>
    <xf numFmtId="0" fontId="15" fillId="31" borderId="5" xfId="0" applyFont="1" applyFill="1" applyBorder="1" applyAlignment="1">
      <alignment horizontal="center"/>
    </xf>
    <xf numFmtId="3" fontId="15" fillId="31" borderId="60" xfId="3" applyNumberFormat="1" applyFont="1" applyFill="1" applyBorder="1" applyAlignment="1">
      <alignment horizontal="center"/>
    </xf>
    <xf numFmtId="164" fontId="15" fillId="31" borderId="5" xfId="3" applyNumberFormat="1" applyFont="1" applyFill="1" applyBorder="1" applyAlignment="1">
      <alignment horizontal="center"/>
    </xf>
    <xf numFmtId="0" fontId="15" fillId="31" borderId="0" xfId="3" applyFont="1" applyFill="1" applyAlignment="1">
      <alignment horizontal="center"/>
    </xf>
    <xf numFmtId="37" fontId="28" fillId="31" borderId="30" xfId="3" applyNumberFormat="1" applyFont="1" applyFill="1" applyBorder="1" applyAlignment="1">
      <alignment horizontal="center"/>
    </xf>
    <xf numFmtId="37" fontId="28" fillId="31" borderId="0" xfId="3" applyNumberFormat="1" applyFont="1" applyFill="1" applyAlignment="1">
      <alignment horizontal="center"/>
    </xf>
    <xf numFmtId="1" fontId="78" fillId="0" borderId="0" xfId="1" applyNumberFormat="1" applyFont="1" applyBorder="1" applyAlignment="1">
      <alignment horizontal="center" vertical="center"/>
    </xf>
    <xf numFmtId="3" fontId="96" fillId="14" borderId="0" xfId="0" applyNumberFormat="1" applyFont="1" applyFill="1" applyAlignment="1">
      <alignment horizontal="center"/>
    </xf>
    <xf numFmtId="167" fontId="136" fillId="31" borderId="0" xfId="1" applyNumberFormat="1" applyFont="1" applyFill="1" applyAlignment="1">
      <alignment horizontal="center" vertical="center"/>
    </xf>
    <xf numFmtId="3" fontId="75" fillId="30" borderId="0" xfId="0" applyNumberFormat="1" applyFont="1" applyFill="1" applyAlignment="1">
      <alignment horizontal="center"/>
    </xf>
    <xf numFmtId="167" fontId="94" fillId="16" borderId="106" xfId="1" applyNumberFormat="1" applyFont="1" applyFill="1" applyBorder="1" applyAlignment="1">
      <alignment horizontal="center" vertical="center"/>
    </xf>
    <xf numFmtId="2" fontId="75" fillId="24" borderId="113" xfId="0" applyNumberFormat="1" applyFont="1" applyFill="1" applyBorder="1" applyAlignment="1">
      <alignment horizontal="center" vertical="center"/>
    </xf>
    <xf numFmtId="2" fontId="96" fillId="24" borderId="113" xfId="0" applyNumberFormat="1" applyFont="1" applyFill="1" applyBorder="1" applyAlignment="1">
      <alignment horizontal="center" vertical="center"/>
    </xf>
    <xf numFmtId="3" fontId="137" fillId="14" borderId="0" xfId="0" applyNumberFormat="1" applyFont="1" applyFill="1" applyAlignment="1">
      <alignment horizontal="center"/>
    </xf>
    <xf numFmtId="3" fontId="15" fillId="16" borderId="114" xfId="3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3" fontId="7" fillId="33" borderId="5" xfId="0" applyNumberFormat="1" applyFont="1" applyFill="1" applyBorder="1" applyAlignment="1">
      <alignment horizontal="center" vertical="center"/>
    </xf>
    <xf numFmtId="37" fontId="7" fillId="33" borderId="5" xfId="3" applyNumberFormat="1" applyFill="1" applyBorder="1" applyAlignment="1">
      <alignment horizontal="center" vertical="center"/>
    </xf>
    <xf numFmtId="3" fontId="7" fillId="33" borderId="44" xfId="0" quotePrefix="1" applyNumberFormat="1" applyFont="1" applyFill="1" applyBorder="1" applyAlignment="1">
      <alignment horizontal="center" vertical="center"/>
    </xf>
    <xf numFmtId="3" fontId="7" fillId="33" borderId="59" xfId="0" applyNumberFormat="1" applyFont="1" applyFill="1" applyBorder="1" applyAlignment="1">
      <alignment horizontal="center" vertical="center"/>
    </xf>
    <xf numFmtId="1" fontId="7" fillId="33" borderId="60" xfId="0" applyNumberFormat="1" applyFont="1" applyFill="1" applyBorder="1" applyAlignment="1">
      <alignment horizontal="center" vertical="center"/>
    </xf>
    <xf numFmtId="2" fontId="7" fillId="33" borderId="40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1" fontId="97" fillId="31" borderId="0" xfId="1" applyNumberFormat="1" applyFont="1" applyFill="1" applyBorder="1" applyAlignment="1">
      <alignment horizontal="center" vertical="center"/>
    </xf>
    <xf numFmtId="167" fontId="94" fillId="34" borderId="106" xfId="1" applyNumberFormat="1" applyFont="1" applyFill="1" applyBorder="1" applyAlignment="1">
      <alignment horizontal="center" vertical="center"/>
    </xf>
    <xf numFmtId="4" fontId="96" fillId="24" borderId="0" xfId="0" applyNumberFormat="1" applyFont="1" applyFill="1" applyAlignment="1">
      <alignment horizontal="center" vertical="center"/>
    </xf>
    <xf numFmtId="4" fontId="103" fillId="24" borderId="0" xfId="0" applyNumberFormat="1" applyFont="1" applyFill="1" applyAlignment="1">
      <alignment horizontal="center" vertical="center"/>
    </xf>
    <xf numFmtId="3" fontId="96" fillId="20" borderId="0" xfId="0" applyNumberFormat="1" applyFont="1" applyFill="1" applyAlignment="1">
      <alignment horizontal="center"/>
    </xf>
    <xf numFmtId="3" fontId="15" fillId="0" borderId="115" xfId="3" applyNumberFormat="1" applyFont="1" applyBorder="1" applyAlignment="1">
      <alignment horizontal="center" vertical="center"/>
    </xf>
    <xf numFmtId="1" fontId="104" fillId="31" borderId="0" xfId="1" applyNumberFormat="1" applyFont="1" applyFill="1" applyAlignment="1">
      <alignment horizontal="center" vertical="center"/>
    </xf>
    <xf numFmtId="167" fontId="138" fillId="31" borderId="0" xfId="1" applyNumberFormat="1" applyFont="1" applyFill="1" applyAlignment="1">
      <alignment horizontal="center" vertical="center"/>
    </xf>
    <xf numFmtId="3" fontId="15" fillId="0" borderId="116" xfId="3" applyNumberFormat="1" applyFont="1" applyBorder="1" applyAlignment="1">
      <alignment horizontal="center" vertical="center"/>
    </xf>
    <xf numFmtId="3" fontId="75" fillId="16" borderId="0" xfId="0" applyNumberFormat="1" applyFont="1" applyFill="1" applyAlignment="1">
      <alignment horizontal="center"/>
    </xf>
    <xf numFmtId="3" fontId="75" fillId="16" borderId="0" xfId="1" applyNumberFormat="1" applyFont="1" applyFill="1" applyBorder="1" applyAlignment="1">
      <alignment horizontal="center" vertical="center"/>
    </xf>
    <xf numFmtId="1" fontId="78" fillId="0" borderId="0" xfId="1" applyNumberFormat="1" applyFont="1" applyFill="1" applyAlignment="1">
      <alignment horizontal="center" vertical="center"/>
    </xf>
    <xf numFmtId="1" fontId="105" fillId="16" borderId="0" xfId="1" applyNumberFormat="1" applyFont="1" applyFill="1" applyAlignment="1">
      <alignment horizontal="center" vertical="center"/>
    </xf>
    <xf numFmtId="1" fontId="139" fillId="31" borderId="0" xfId="1" applyNumberFormat="1" applyFont="1" applyFill="1" applyAlignment="1">
      <alignment horizontal="center" vertical="center"/>
    </xf>
    <xf numFmtId="1" fontId="136" fillId="31" borderId="0" xfId="1" applyNumberFormat="1" applyFont="1" applyFill="1" applyAlignment="1">
      <alignment horizontal="center" vertical="center"/>
    </xf>
    <xf numFmtId="3" fontId="15" fillId="0" borderId="117" xfId="3" applyNumberFormat="1" applyFont="1" applyBorder="1" applyAlignment="1">
      <alignment horizontal="center" vertical="center"/>
    </xf>
    <xf numFmtId="3" fontId="15" fillId="0" borderId="118" xfId="3" applyNumberFormat="1" applyFont="1" applyBorder="1" applyAlignment="1">
      <alignment horizontal="center" vertical="center"/>
    </xf>
    <xf numFmtId="3" fontId="15" fillId="17" borderId="118" xfId="3" applyNumberFormat="1" applyFont="1" applyFill="1" applyBorder="1" applyAlignment="1">
      <alignment horizontal="center" vertical="center"/>
    </xf>
    <xf numFmtId="3" fontId="15" fillId="16" borderId="118" xfId="3" applyNumberFormat="1" applyFont="1" applyFill="1" applyBorder="1" applyAlignment="1">
      <alignment horizontal="center" vertical="center"/>
    </xf>
    <xf numFmtId="3" fontId="15" fillId="30" borderId="118" xfId="3" applyNumberFormat="1" applyFont="1" applyFill="1" applyBorder="1" applyAlignment="1">
      <alignment horizontal="center" vertical="center"/>
    </xf>
    <xf numFmtId="3" fontId="7" fillId="0" borderId="118" xfId="3" applyNumberFormat="1" applyBorder="1" applyAlignment="1">
      <alignment horizontal="center" vertical="center"/>
    </xf>
    <xf numFmtId="3" fontId="15" fillId="28" borderId="118" xfId="3" applyNumberFormat="1" applyFont="1" applyFill="1" applyBorder="1" applyAlignment="1">
      <alignment horizontal="center" vertical="center"/>
    </xf>
    <xf numFmtId="3" fontId="15" fillId="20" borderId="118" xfId="3" applyNumberFormat="1" applyFont="1" applyFill="1" applyBorder="1" applyAlignment="1">
      <alignment horizontal="center" vertical="center"/>
    </xf>
    <xf numFmtId="3" fontId="15" fillId="23" borderId="118" xfId="3" applyNumberFormat="1" applyFont="1" applyFill="1" applyBorder="1" applyAlignment="1">
      <alignment horizontal="center" vertical="center"/>
    </xf>
    <xf numFmtId="3" fontId="15" fillId="0" borderId="119" xfId="3" applyNumberFormat="1" applyFont="1" applyBorder="1" applyAlignment="1">
      <alignment horizontal="center" vertical="center"/>
    </xf>
    <xf numFmtId="3" fontId="15" fillId="31" borderId="118" xfId="3" applyNumberFormat="1" applyFont="1" applyFill="1" applyBorder="1" applyAlignment="1">
      <alignment horizontal="center" vertical="center"/>
    </xf>
    <xf numFmtId="3" fontId="7" fillId="20" borderId="118" xfId="3" applyNumberFormat="1" applyFill="1" applyBorder="1" applyAlignment="1">
      <alignment horizontal="center" vertical="center"/>
    </xf>
    <xf numFmtId="3" fontId="15" fillId="16" borderId="120" xfId="3" applyNumberFormat="1" applyFont="1" applyFill="1" applyBorder="1" applyAlignment="1">
      <alignment horizontal="center" vertical="center"/>
    </xf>
    <xf numFmtId="3" fontId="115" fillId="0" borderId="118" xfId="3" applyNumberFormat="1" applyFont="1" applyBorder="1" applyAlignment="1">
      <alignment horizontal="center" vertical="center"/>
    </xf>
    <xf numFmtId="3" fontId="15" fillId="0" borderId="122" xfId="3" applyNumberFormat="1" applyFont="1" applyBorder="1" applyAlignment="1">
      <alignment horizontal="center" vertical="center"/>
    </xf>
    <xf numFmtId="3" fontId="15" fillId="0" borderId="121" xfId="3" applyNumberFormat="1" applyFont="1" applyBorder="1" applyAlignment="1">
      <alignment horizontal="center" vertical="center"/>
    </xf>
    <xf numFmtId="3" fontId="15" fillId="17" borderId="121" xfId="3" applyNumberFormat="1" applyFont="1" applyFill="1" applyBorder="1" applyAlignment="1">
      <alignment horizontal="center" vertical="center"/>
    </xf>
    <xf numFmtId="3" fontId="15" fillId="16" borderId="121" xfId="3" applyNumberFormat="1" applyFont="1" applyFill="1" applyBorder="1" applyAlignment="1">
      <alignment horizontal="center" vertical="center"/>
    </xf>
    <xf numFmtId="3" fontId="15" fillId="30" borderId="121" xfId="3" applyNumberFormat="1" applyFont="1" applyFill="1" applyBorder="1" applyAlignment="1">
      <alignment horizontal="center" vertical="center"/>
    </xf>
    <xf numFmtId="3" fontId="7" fillId="0" borderId="121" xfId="3" applyNumberFormat="1" applyBorder="1" applyAlignment="1">
      <alignment horizontal="center" vertical="center"/>
    </xf>
    <xf numFmtId="3" fontId="15" fillId="28" borderId="121" xfId="3" applyNumberFormat="1" applyFont="1" applyFill="1" applyBorder="1" applyAlignment="1">
      <alignment horizontal="center" vertical="center"/>
    </xf>
    <xf numFmtId="3" fontId="15" fillId="20" borderId="121" xfId="3" applyNumberFormat="1" applyFont="1" applyFill="1" applyBorder="1" applyAlignment="1">
      <alignment horizontal="center" vertical="center"/>
    </xf>
    <xf numFmtId="3" fontId="15" fillId="23" borderId="121" xfId="3" applyNumberFormat="1" applyFont="1" applyFill="1" applyBorder="1" applyAlignment="1">
      <alignment horizontal="center" vertical="center"/>
    </xf>
    <xf numFmtId="3" fontId="15" fillId="0" borderId="123" xfId="3" applyNumberFormat="1" applyFont="1" applyBorder="1" applyAlignment="1">
      <alignment horizontal="center" vertical="center"/>
    </xf>
    <xf numFmtId="3" fontId="75" fillId="13" borderId="0" xfId="0" applyNumberFormat="1" applyFont="1" applyFill="1" applyAlignment="1">
      <alignment horizontal="center"/>
    </xf>
    <xf numFmtId="3" fontId="75" fillId="39" borderId="0" xfId="0" applyNumberFormat="1" applyFont="1" applyFill="1" applyAlignment="1">
      <alignment horizontal="center"/>
    </xf>
    <xf numFmtId="1" fontId="96" fillId="31" borderId="0" xfId="1" applyNumberFormat="1" applyFont="1" applyFill="1" applyAlignment="1">
      <alignment horizontal="center" vertical="center"/>
    </xf>
    <xf numFmtId="3" fontId="15" fillId="0" borderId="125" xfId="3" applyNumberFormat="1" applyFont="1" applyBorder="1" applyAlignment="1">
      <alignment horizontal="center" vertical="center"/>
    </xf>
    <xf numFmtId="3" fontId="15" fillId="0" borderId="124" xfId="3" applyNumberFormat="1" applyFont="1" applyBorder="1" applyAlignment="1">
      <alignment horizontal="center" vertical="center"/>
    </xf>
    <xf numFmtId="3" fontId="15" fillId="17" borderId="124" xfId="3" applyNumberFormat="1" applyFont="1" applyFill="1" applyBorder="1" applyAlignment="1">
      <alignment horizontal="center" vertical="center"/>
    </xf>
    <xf numFmtId="3" fontId="15" fillId="16" borderId="124" xfId="3" applyNumberFormat="1" applyFont="1" applyFill="1" applyBorder="1" applyAlignment="1">
      <alignment horizontal="center" vertical="center"/>
    </xf>
    <xf numFmtId="3" fontId="15" fillId="30" borderId="124" xfId="3" applyNumberFormat="1" applyFont="1" applyFill="1" applyBorder="1" applyAlignment="1">
      <alignment horizontal="center" vertical="center"/>
    </xf>
    <xf numFmtId="3" fontId="7" fillId="0" borderId="124" xfId="3" applyNumberFormat="1" applyBorder="1" applyAlignment="1">
      <alignment horizontal="center" vertical="center"/>
    </xf>
    <xf numFmtId="3" fontId="15" fillId="28" borderId="124" xfId="3" applyNumberFormat="1" applyFont="1" applyFill="1" applyBorder="1" applyAlignment="1">
      <alignment horizontal="center" vertical="center"/>
    </xf>
    <xf numFmtId="3" fontId="15" fillId="20" borderId="124" xfId="3" applyNumberFormat="1" applyFont="1" applyFill="1" applyBorder="1" applyAlignment="1">
      <alignment horizontal="center" vertical="center"/>
    </xf>
    <xf numFmtId="3" fontId="15" fillId="23" borderId="124" xfId="3" applyNumberFormat="1" applyFont="1" applyFill="1" applyBorder="1" applyAlignment="1">
      <alignment horizontal="center" vertical="center"/>
    </xf>
    <xf numFmtId="3" fontId="15" fillId="0" borderId="126" xfId="3" applyNumberFormat="1" applyFont="1" applyBorder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19" fillId="4" borderId="41" xfId="3" applyFont="1" applyFill="1" applyBorder="1" applyAlignment="1">
      <alignment horizontal="center" vertical="center"/>
    </xf>
    <xf numFmtId="0" fontId="19" fillId="4" borderId="26" xfId="3" applyFont="1" applyFill="1" applyBorder="1" applyAlignment="1">
      <alignment horizontal="center" vertical="center"/>
    </xf>
    <xf numFmtId="0" fontId="19" fillId="4" borderId="42" xfId="3" applyFont="1" applyFill="1" applyBorder="1" applyAlignment="1">
      <alignment horizontal="center" vertical="center"/>
    </xf>
    <xf numFmtId="0" fontId="19" fillId="4" borderId="41" xfId="3" applyFont="1" applyFill="1" applyBorder="1" applyAlignment="1">
      <alignment horizontal="center" vertical="center" wrapText="1"/>
    </xf>
    <xf numFmtId="0" fontId="19" fillId="20" borderId="0" xfId="3" applyFont="1" applyFill="1" applyAlignment="1">
      <alignment horizontal="center" vertical="center" wrapText="1"/>
    </xf>
    <xf numFmtId="0" fontId="19" fillId="4" borderId="11" xfId="3" applyFont="1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9" fillId="0" borderId="99" xfId="3" applyFont="1" applyBorder="1" applyAlignment="1">
      <alignment horizontal="center" vertical="center" wrapText="1"/>
    </xf>
    <xf numFmtId="0" fontId="1" fillId="0" borderId="101" xfId="0" applyFont="1" applyBorder="1" applyAlignment="1">
      <alignment horizontal="center" vertical="center" wrapText="1"/>
    </xf>
    <xf numFmtId="3" fontId="7" fillId="0" borderId="0" xfId="3" applyNumberFormat="1" applyAlignment="1">
      <alignment horizontal="center" vertical="center"/>
    </xf>
    <xf numFmtId="0" fontId="19" fillId="4" borderId="77" xfId="3" applyFont="1" applyFill="1" applyBorder="1" applyAlignment="1">
      <alignment horizontal="center" vertical="center"/>
    </xf>
    <xf numFmtId="0" fontId="19" fillId="4" borderId="78" xfId="3" applyFont="1" applyFill="1" applyBorder="1" applyAlignment="1">
      <alignment horizontal="center" vertical="center"/>
    </xf>
    <xf numFmtId="0" fontId="19" fillId="4" borderId="79" xfId="3" applyFont="1" applyFill="1" applyBorder="1" applyAlignment="1">
      <alignment horizontal="center" vertical="center"/>
    </xf>
    <xf numFmtId="0" fontId="9" fillId="0" borderId="100" xfId="3" applyFont="1" applyBorder="1" applyAlignment="1">
      <alignment horizontal="center" vertical="center" wrapText="1"/>
    </xf>
    <xf numFmtId="0" fontId="1" fillId="0" borderId="10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0" fillId="10" borderId="43" xfId="3" applyFont="1" applyFill="1" applyBorder="1" applyAlignment="1">
      <alignment horizontal="center" vertical="center" wrapText="1"/>
    </xf>
    <xf numFmtId="0" fontId="50" fillId="10" borderId="9" xfId="3" applyFont="1" applyFill="1" applyBorder="1" applyAlignment="1">
      <alignment horizontal="center" vertical="center" wrapText="1"/>
    </xf>
    <xf numFmtId="0" fontId="50" fillId="10" borderId="26" xfId="3" applyFont="1" applyFill="1" applyBorder="1" applyAlignment="1">
      <alignment horizontal="center" vertical="center" wrapText="1"/>
    </xf>
    <xf numFmtId="0" fontId="50" fillId="29" borderId="11" xfId="3" applyFont="1" applyFill="1" applyBorder="1" applyAlignment="1">
      <alignment horizontal="center" vertical="center" wrapText="1"/>
    </xf>
    <xf numFmtId="0" fontId="9" fillId="11" borderId="28" xfId="3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4" borderId="40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 vertical="center" wrapText="1"/>
    </xf>
    <xf numFmtId="0" fontId="22" fillId="4" borderId="73" xfId="0" applyFont="1" applyFill="1" applyBorder="1" applyAlignment="1">
      <alignment horizontal="center"/>
    </xf>
    <xf numFmtId="0" fontId="22" fillId="4" borderId="74" xfId="0" applyFont="1" applyFill="1" applyBorder="1" applyAlignment="1">
      <alignment horizontal="center"/>
    </xf>
    <xf numFmtId="0" fontId="22" fillId="4" borderId="75" xfId="0" applyFont="1" applyFill="1" applyBorder="1" applyAlignment="1">
      <alignment horizontal="center"/>
    </xf>
    <xf numFmtId="0" fontId="26" fillId="4" borderId="22" xfId="3" applyFont="1" applyFill="1" applyBorder="1" applyAlignment="1">
      <alignment horizontal="center" vertical="center" wrapText="1"/>
    </xf>
    <xf numFmtId="0" fontId="26" fillId="4" borderId="46" xfId="0" applyFont="1" applyFill="1" applyBorder="1" applyAlignment="1">
      <alignment horizontal="center" vertical="center" wrapText="1"/>
    </xf>
    <xf numFmtId="0" fontId="26" fillId="4" borderId="19" xfId="3" applyFont="1" applyFill="1" applyBorder="1" applyAlignment="1">
      <alignment horizontal="center" vertical="center" wrapText="1"/>
    </xf>
    <xf numFmtId="0" fontId="26" fillId="4" borderId="3" xfId="3" applyFont="1" applyFill="1" applyBorder="1" applyAlignment="1">
      <alignment horizontal="center" vertical="center" wrapText="1"/>
    </xf>
    <xf numFmtId="0" fontId="17" fillId="0" borderId="0" xfId="3" applyFont="1" applyAlignment="1">
      <alignment horizontal="center"/>
    </xf>
    <xf numFmtId="0" fontId="3" fillId="0" borderId="0" xfId="0" applyFont="1" applyAlignment="1">
      <alignment horizontal="center"/>
    </xf>
    <xf numFmtId="1" fontId="72" fillId="18" borderId="57" xfId="3" applyNumberFormat="1" applyFont="1" applyFill="1" applyBorder="1" applyAlignment="1">
      <alignment horizontal="center" wrapText="1"/>
    </xf>
    <xf numFmtId="1" fontId="72" fillId="18" borderId="62" xfId="3" applyNumberFormat="1" applyFont="1" applyFill="1" applyBorder="1" applyAlignment="1">
      <alignment horizontal="center" wrapText="1"/>
    </xf>
    <xf numFmtId="0" fontId="71" fillId="18" borderId="58" xfId="3" applyFont="1" applyFill="1" applyBorder="1" applyAlignment="1">
      <alignment horizontal="center" vertical="center" wrapText="1"/>
    </xf>
    <xf numFmtId="0" fontId="71" fillId="18" borderId="63" xfId="3" applyFont="1" applyFill="1" applyBorder="1" applyAlignment="1">
      <alignment horizontal="center" vertical="center" wrapText="1"/>
    </xf>
    <xf numFmtId="0" fontId="70" fillId="12" borderId="20" xfId="3" applyFont="1" applyFill="1" applyBorder="1" applyAlignment="1">
      <alignment horizontal="center" vertical="center"/>
    </xf>
    <xf numFmtId="0" fontId="70" fillId="12" borderId="21" xfId="3" applyFont="1" applyFill="1" applyBorder="1" applyAlignment="1">
      <alignment horizontal="center" vertical="center"/>
    </xf>
    <xf numFmtId="0" fontId="19" fillId="4" borderId="49" xfId="3" applyFont="1" applyFill="1" applyBorder="1" applyAlignment="1">
      <alignment horizontal="center" vertical="center" wrapText="1"/>
    </xf>
    <xf numFmtId="0" fontId="19" fillId="4" borderId="50" xfId="0" applyFont="1" applyFill="1" applyBorder="1" applyAlignment="1">
      <alignment horizontal="center" vertical="center" wrapText="1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51" xfId="3" applyFont="1" applyFill="1" applyBorder="1" applyAlignment="1">
      <alignment horizontal="center" vertical="center"/>
    </xf>
    <xf numFmtId="0" fontId="19" fillId="4" borderId="33" xfId="3" applyFont="1" applyFill="1" applyBorder="1" applyAlignment="1">
      <alignment horizontal="center" vertical="center"/>
    </xf>
    <xf numFmtId="0" fontId="19" fillId="4" borderId="4" xfId="3" applyFont="1" applyFill="1" applyBorder="1" applyAlignment="1">
      <alignment horizontal="center" vertical="center" wrapText="1"/>
    </xf>
    <xf numFmtId="0" fontId="9" fillId="18" borderId="52" xfId="3" applyFont="1" applyFill="1" applyBorder="1" applyAlignment="1">
      <alignment horizontal="center" vertical="center" wrapText="1"/>
    </xf>
    <xf numFmtId="0" fontId="9" fillId="18" borderId="53" xfId="3" applyFont="1" applyFill="1" applyBorder="1" applyAlignment="1">
      <alignment horizontal="center" vertical="center" wrapText="1"/>
    </xf>
    <xf numFmtId="0" fontId="3" fillId="18" borderId="31" xfId="3" applyFont="1" applyFill="1" applyBorder="1" applyAlignment="1">
      <alignment horizontal="center" vertical="center" wrapText="1"/>
    </xf>
    <xf numFmtId="0" fontId="3" fillId="18" borderId="4" xfId="3" applyFont="1" applyFill="1" applyBorder="1" applyAlignment="1">
      <alignment horizontal="center" vertical="center" wrapText="1"/>
    </xf>
    <xf numFmtId="0" fontId="9" fillId="18" borderId="31" xfId="3" applyFont="1" applyFill="1" applyBorder="1" applyAlignment="1">
      <alignment horizontal="center" vertical="center" wrapText="1"/>
    </xf>
    <xf numFmtId="0" fontId="9" fillId="18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7" fillId="0" borderId="44" xfId="3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19" fillId="15" borderId="22" xfId="3" applyFont="1" applyFill="1" applyBorder="1" applyAlignment="1">
      <alignment horizontal="center" vertical="center" wrapText="1"/>
    </xf>
    <xf numFmtId="0" fontId="19" fillId="15" borderId="67" xfId="3" applyFont="1" applyFill="1" applyBorder="1" applyAlignment="1">
      <alignment horizontal="center" vertical="center" wrapText="1"/>
    </xf>
    <xf numFmtId="0" fontId="19" fillId="15" borderId="23" xfId="3" applyFont="1" applyFill="1" applyBorder="1" applyAlignment="1">
      <alignment horizontal="center" vertical="center" wrapText="1"/>
    </xf>
    <xf numFmtId="0" fontId="26" fillId="15" borderId="19" xfId="3" applyFont="1" applyFill="1" applyBorder="1" applyAlignment="1">
      <alignment horizontal="center" vertical="center" wrapText="1"/>
    </xf>
    <xf numFmtId="0" fontId="26" fillId="15" borderId="9" xfId="3" applyFont="1" applyFill="1" applyBorder="1" applyAlignment="1">
      <alignment horizontal="center" vertical="center" wrapText="1"/>
    </xf>
    <xf numFmtId="0" fontId="26" fillId="15" borderId="24" xfId="3" applyFont="1" applyFill="1" applyBorder="1" applyAlignment="1">
      <alignment horizontal="center" vertical="center" wrapText="1"/>
    </xf>
    <xf numFmtId="0" fontId="22" fillId="15" borderId="47" xfId="3" applyFont="1" applyFill="1" applyBorder="1" applyAlignment="1">
      <alignment horizontal="center" vertical="center"/>
    </xf>
    <xf numFmtId="0" fontId="22" fillId="15" borderId="68" xfId="3" applyFont="1" applyFill="1" applyBorder="1" applyAlignment="1">
      <alignment horizontal="center" vertical="center"/>
    </xf>
    <xf numFmtId="0" fontId="22" fillId="15" borderId="64" xfId="3" applyFont="1" applyFill="1" applyBorder="1" applyAlignment="1">
      <alignment horizontal="center" vertical="center"/>
    </xf>
    <xf numFmtId="164" fontId="7" fillId="0" borderId="70" xfId="3" applyNumberFormat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/>
    </xf>
    <xf numFmtId="0" fontId="19" fillId="4" borderId="11" xfId="3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2" fontId="17" fillId="0" borderId="0" xfId="3" applyNumberFormat="1" applyFont="1" applyAlignment="1">
      <alignment horizontal="center"/>
    </xf>
    <xf numFmtId="0" fontId="124" fillId="16" borderId="57" xfId="0" applyFont="1" applyFill="1" applyBorder="1" applyAlignment="1">
      <alignment horizontal="center" vertical="center" wrapText="1"/>
    </xf>
    <xf numFmtId="0" fontId="124" fillId="16" borderId="88" xfId="0" applyFont="1" applyFill="1" applyBorder="1" applyAlignment="1">
      <alignment horizontal="center" vertical="center" wrapText="1"/>
    </xf>
    <xf numFmtId="0" fontId="126" fillId="16" borderId="58" xfId="0" applyFont="1" applyFill="1" applyBorder="1" applyAlignment="1">
      <alignment horizontal="center" vertical="center" wrapText="1"/>
    </xf>
    <xf numFmtId="0" fontId="126" fillId="16" borderId="89" xfId="0" applyFont="1" applyFill="1" applyBorder="1" applyAlignment="1">
      <alignment horizontal="center" vertical="center" wrapText="1"/>
    </xf>
    <xf numFmtId="0" fontId="129" fillId="16" borderId="80" xfId="0" applyFont="1" applyFill="1" applyBorder="1" applyAlignment="1">
      <alignment horizontal="center"/>
    </xf>
    <xf numFmtId="0" fontId="129" fillId="16" borderId="81" xfId="0" applyFont="1" applyFill="1" applyBorder="1" applyAlignment="1">
      <alignment horizontal="center"/>
    </xf>
    <xf numFmtId="0" fontId="129" fillId="16" borderId="82" xfId="0" applyFont="1" applyFill="1" applyBorder="1" applyAlignment="1">
      <alignment horizontal="center"/>
    </xf>
    <xf numFmtId="0" fontId="121" fillId="16" borderId="80" xfId="0" applyFont="1" applyFill="1" applyBorder="1" applyAlignment="1">
      <alignment horizontal="center" vertical="center" wrapText="1"/>
    </xf>
    <xf numFmtId="0" fontId="121" fillId="16" borderId="81" xfId="0" applyFont="1" applyFill="1" applyBorder="1" applyAlignment="1">
      <alignment horizontal="center" vertical="center" wrapText="1"/>
    </xf>
    <xf numFmtId="0" fontId="121" fillId="16" borderId="82" xfId="0" applyFont="1" applyFill="1" applyBorder="1" applyAlignment="1">
      <alignment horizontal="center" vertical="center" wrapText="1"/>
    </xf>
    <xf numFmtId="3" fontId="122" fillId="16" borderId="83" xfId="0" applyNumberFormat="1" applyFont="1" applyFill="1" applyBorder="1" applyAlignment="1">
      <alignment horizontal="center" vertical="center"/>
    </xf>
    <xf numFmtId="3" fontId="122" fillId="16" borderId="84" xfId="0" applyNumberFormat="1" applyFont="1" applyFill="1" applyBorder="1" applyAlignment="1">
      <alignment horizontal="center" vertical="center"/>
    </xf>
    <xf numFmtId="3" fontId="122" fillId="16" borderId="85" xfId="0" applyNumberFormat="1" applyFont="1" applyFill="1" applyBorder="1" applyAlignment="1">
      <alignment horizontal="center" vertical="center"/>
    </xf>
    <xf numFmtId="0" fontId="124" fillId="16" borderId="73" xfId="0" applyFont="1" applyFill="1" applyBorder="1" applyAlignment="1">
      <alignment horizontal="center" vertical="center"/>
    </xf>
    <xf numFmtId="0" fontId="124" fillId="16" borderId="96" xfId="0" applyFont="1" applyFill="1" applyBorder="1" applyAlignment="1">
      <alignment horizontal="center" vertical="center"/>
    </xf>
    <xf numFmtId="0" fontId="125" fillId="22" borderId="56" xfId="0" applyFont="1" applyFill="1" applyBorder="1" applyAlignment="1">
      <alignment horizontal="center" vertical="center"/>
    </xf>
    <xf numFmtId="0" fontId="125" fillId="22" borderId="58" xfId="0" applyFont="1" applyFill="1" applyBorder="1" applyAlignment="1">
      <alignment horizontal="center" vertical="center"/>
    </xf>
    <xf numFmtId="3" fontId="124" fillId="16" borderId="57" xfId="0" applyNumberFormat="1" applyFont="1" applyFill="1" applyBorder="1" applyAlignment="1">
      <alignment horizontal="center" vertical="center" wrapText="1"/>
    </xf>
    <xf numFmtId="3" fontId="124" fillId="16" borderId="88" xfId="0" applyNumberFormat="1" applyFont="1" applyFill="1" applyBorder="1" applyAlignment="1">
      <alignment horizontal="center" vertical="center" wrapText="1"/>
    </xf>
    <xf numFmtId="0" fontId="96" fillId="16" borderId="104" xfId="0" applyFont="1" applyFill="1" applyBorder="1" applyAlignment="1">
      <alignment horizontal="center" vertical="center"/>
    </xf>
    <xf numFmtId="0" fontId="26" fillId="4" borderId="47" xfId="3" applyFont="1" applyFill="1" applyBorder="1" applyAlignment="1">
      <alignment horizontal="center" vertical="center" wrapText="1"/>
    </xf>
    <xf numFmtId="0" fontId="30" fillId="4" borderId="48" xfId="0" applyFont="1" applyFill="1" applyBorder="1" applyAlignment="1">
      <alignment horizontal="center" vertical="center" wrapText="1"/>
    </xf>
    <xf numFmtId="3" fontId="72" fillId="18" borderId="56" xfId="3" applyNumberFormat="1" applyFont="1" applyFill="1" applyBorder="1" applyAlignment="1">
      <alignment horizontal="center" vertical="center" wrapText="1"/>
    </xf>
    <xf numFmtId="3" fontId="72" fillId="18" borderId="61" xfId="3" applyNumberFormat="1" applyFont="1" applyFill="1" applyBorder="1" applyAlignment="1">
      <alignment horizontal="center" vertical="center" wrapText="1"/>
    </xf>
    <xf numFmtId="0" fontId="112" fillId="32" borderId="69" xfId="0" applyFont="1" applyFill="1" applyBorder="1" applyAlignment="1">
      <alignment horizontal="center" vertical="center" wrapText="1"/>
    </xf>
    <xf numFmtId="0" fontId="112" fillId="32" borderId="48" xfId="0" applyFont="1" applyFill="1" applyBorder="1" applyAlignment="1">
      <alignment horizontal="center" vertical="center" wrapText="1"/>
    </xf>
    <xf numFmtId="167" fontId="69" fillId="0" borderId="0" xfId="1" applyNumberFormat="1" applyFont="1" applyAlignment="1">
      <alignment horizontal="center"/>
    </xf>
    <xf numFmtId="0" fontId="77" fillId="0" borderId="0" xfId="0" applyFont="1" applyAlignment="1">
      <alignment horizontal="center" vertical="center" wrapText="1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_February04" xfId="3" xr:uid="{00000000-0005-0000-0000-000004000000}"/>
    <cellStyle name="Percent" xfId="4" builtinId="5"/>
  </cellStyles>
  <dxfs count="90"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00A44A"/>
      </font>
    </dxf>
    <dxf>
      <font>
        <color auto="1"/>
      </font>
    </dxf>
    <dxf>
      <font>
        <b/>
        <i val="0"/>
        <color rgb="FFFF0000"/>
      </font>
    </dxf>
    <dxf>
      <font>
        <color auto="1"/>
      </font>
    </dxf>
    <dxf>
      <font>
        <color rgb="FF9C0006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  <fill>
        <patternFill>
          <bgColor rgb="FFFFC7CE"/>
        </patternFill>
      </fill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  <numFmt numFmtId="2" formatCode="0.00"/>
      <fill>
        <patternFill>
          <bgColor theme="8" tint="0.39994506668294322"/>
        </patternFill>
      </fill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99CC00"/>
      <color rgb="FF0000FF"/>
      <color rgb="FF00A44A"/>
      <color rgb="FF170EC2"/>
      <color rgb="FFFF3300"/>
      <color rgb="FFFFFF99"/>
      <color rgb="FFFF5050"/>
      <color rgb="FFC09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78</xdr:row>
      <xdr:rowOff>0</xdr:rowOff>
    </xdr:from>
    <xdr:to>
      <xdr:col>37</xdr:col>
      <xdr:colOff>304800</xdr:colOff>
      <xdr:row>79</xdr:row>
      <xdr:rowOff>304800</xdr:rowOff>
    </xdr:to>
    <xdr:sp macro="" textlink="">
      <xdr:nvSpPr>
        <xdr:cNvPr id="7334" name="avatar">
          <a:extLst>
            <a:ext uri="{FF2B5EF4-FFF2-40B4-BE49-F238E27FC236}">
              <a16:creationId xmlns:a16="http://schemas.microsoft.com/office/drawing/2014/main" id="{5A891EAA-57A7-421D-AA31-B6ECC7F03C90}"/>
            </a:ext>
          </a:extLst>
        </xdr:cNvPr>
        <xdr:cNvSpPr>
          <a:spLocks noChangeAspect="1" noChangeArrowheads="1"/>
        </xdr:cNvSpPr>
      </xdr:nvSpPr>
      <xdr:spPr bwMode="auto">
        <a:xfrm>
          <a:off x="227933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AR414"/>
  <sheetViews>
    <sheetView showGridLines="0" defaultGridColor="0" topLeftCell="A20" colorId="22" zoomScale="110" zoomScaleNormal="110" zoomScaleSheetLayoutView="80" workbookViewId="0">
      <pane xSplit="1" topLeftCell="B1" activePane="topRight" state="frozen"/>
      <selection pane="topRight" activeCell="F29" sqref="F29"/>
    </sheetView>
  </sheetViews>
  <sheetFormatPr defaultColWidth="16.28515625" defaultRowHeight="15" x14ac:dyDescent="0.2"/>
  <cols>
    <col min="1" max="1" width="8.28515625" style="189" customWidth="1"/>
    <col min="2" max="3" width="25" style="189" customWidth="1"/>
    <col min="4" max="4" width="18.7109375" style="189" customWidth="1"/>
    <col min="5" max="5" width="19.5703125" style="189" customWidth="1"/>
    <col min="6" max="6" width="21.5703125" style="189" customWidth="1"/>
    <col min="7" max="7" width="21.28515625" style="189" customWidth="1"/>
    <col min="8" max="8" width="20.7109375" style="189" customWidth="1"/>
    <col min="9" max="9" width="26.28515625" style="189" customWidth="1"/>
    <col min="10" max="10" width="27.28515625" style="189" customWidth="1"/>
    <col min="11" max="11" width="25.28515625" style="189" customWidth="1"/>
    <col min="12" max="12" width="26.28515625" style="189" customWidth="1"/>
    <col min="13" max="13" width="20.7109375" style="189" customWidth="1"/>
    <col min="14" max="14" width="28.28515625" style="189" customWidth="1"/>
    <col min="15" max="15" width="19.7109375" style="189" customWidth="1"/>
    <col min="16" max="16" width="18.42578125" style="189" customWidth="1"/>
    <col min="17" max="17" width="20.28515625" style="189" customWidth="1"/>
    <col min="18" max="18" width="18.7109375" style="189" customWidth="1"/>
    <col min="19" max="19" width="21" style="189" customWidth="1"/>
    <col min="20" max="20" width="19.28515625" style="189" customWidth="1"/>
    <col min="21" max="21" width="18" style="189" customWidth="1"/>
    <col min="22" max="22" width="19.42578125" style="423" customWidth="1"/>
    <col min="23" max="23" width="15.7109375" style="189" customWidth="1"/>
    <col min="24" max="24" width="17.28515625" style="189" customWidth="1"/>
    <col min="25" max="25" width="19.5703125" style="189" customWidth="1"/>
    <col min="26" max="26" width="17.5703125" style="189" customWidth="1"/>
    <col min="27" max="27" width="19.42578125" style="189" customWidth="1"/>
    <col min="28" max="28" width="15.42578125" style="189" bestFit="1" customWidth="1"/>
    <col min="29" max="29" width="16.7109375" style="189" customWidth="1"/>
    <col min="30" max="30" width="18" style="189" customWidth="1"/>
    <col min="31" max="31" width="16.5703125" style="189" customWidth="1"/>
    <col min="32" max="33" width="19.28515625" style="189" customWidth="1"/>
    <col min="34" max="34" width="14.28515625" style="189" customWidth="1"/>
    <col min="35" max="35" width="16.28515625" style="189"/>
    <col min="36" max="36" width="17.5703125" style="189" bestFit="1" customWidth="1"/>
    <col min="37" max="37" width="17.5703125" style="189" customWidth="1"/>
    <col min="38" max="40" width="16.28515625" style="189"/>
    <col min="41" max="41" width="16.28515625" style="189" customWidth="1"/>
    <col min="42" max="16384" width="16.28515625" style="189"/>
  </cols>
  <sheetData>
    <row r="1" spans="1:44" ht="18" x14ac:dyDescent="0.2">
      <c r="B1" s="881" t="s">
        <v>213</v>
      </c>
      <c r="C1" s="881"/>
      <c r="D1" s="881"/>
      <c r="E1" s="881"/>
      <c r="F1" s="881"/>
      <c r="G1" s="881"/>
      <c r="H1" s="881"/>
      <c r="I1" s="881"/>
      <c r="J1" s="881"/>
      <c r="K1" s="881"/>
      <c r="L1" s="881"/>
      <c r="M1" s="881"/>
      <c r="N1" s="403"/>
      <c r="O1" s="882" t="str">
        <f>B1</f>
        <v>ENTRIES FOR DAILY CONS. MONITOR</v>
      </c>
      <c r="P1" s="882"/>
      <c r="Q1" s="882"/>
      <c r="R1" s="882"/>
      <c r="S1" s="882"/>
      <c r="T1" s="882"/>
      <c r="U1" s="882"/>
      <c r="V1" s="882"/>
      <c r="W1" s="882"/>
      <c r="X1" s="882"/>
      <c r="Y1" s="882"/>
      <c r="Z1" s="882"/>
      <c r="AA1" s="882"/>
      <c r="AB1" s="882"/>
    </row>
    <row r="2" spans="1:44" ht="16.5" thickBot="1" x14ac:dyDescent="0.25">
      <c r="C2" s="404" t="s">
        <v>59</v>
      </c>
      <c r="F2" s="405" t="s">
        <v>59</v>
      </c>
      <c r="G2" s="406"/>
      <c r="O2" s="890" t="s">
        <v>235</v>
      </c>
      <c r="P2" s="890"/>
      <c r="Q2" s="890"/>
      <c r="R2" s="890"/>
      <c r="S2" s="890"/>
      <c r="T2" s="890"/>
      <c r="U2" s="890"/>
      <c r="V2" s="890"/>
    </row>
    <row r="3" spans="1:44" ht="20.100000000000001" customHeight="1" x14ac:dyDescent="0.2">
      <c r="A3" s="407"/>
      <c r="B3" s="408"/>
      <c r="C3" s="409"/>
      <c r="D3" s="409" t="s">
        <v>4</v>
      </c>
      <c r="E3" s="409"/>
      <c r="F3" s="410"/>
      <c r="G3" s="410"/>
      <c r="H3" s="411"/>
      <c r="I3" s="408"/>
      <c r="J3" s="409" t="s">
        <v>22</v>
      </c>
      <c r="K3" s="410"/>
      <c r="L3" s="894" t="s">
        <v>56</v>
      </c>
      <c r="M3" s="895"/>
      <c r="N3" s="896"/>
      <c r="O3" s="883" t="s">
        <v>3</v>
      </c>
      <c r="P3" s="883"/>
      <c r="Q3" s="883"/>
      <c r="R3" s="883"/>
      <c r="S3" s="883"/>
      <c r="T3" s="883"/>
      <c r="U3" s="883"/>
      <c r="V3" s="883"/>
      <c r="W3" s="883"/>
      <c r="X3" s="883"/>
      <c r="Y3" s="883"/>
      <c r="Z3" s="883"/>
      <c r="AA3" s="883"/>
      <c r="AB3" s="883"/>
      <c r="AC3" s="883"/>
      <c r="AD3" s="413"/>
      <c r="AE3" s="414"/>
      <c r="AF3" s="413"/>
      <c r="AG3" s="902" t="s">
        <v>210</v>
      </c>
      <c r="AH3" s="900" t="s">
        <v>208</v>
      </c>
      <c r="AI3" s="900" t="s">
        <v>209</v>
      </c>
      <c r="AJ3" s="903" t="s">
        <v>237</v>
      </c>
      <c r="AK3" s="469"/>
      <c r="AL3" s="904" t="s">
        <v>182</v>
      </c>
      <c r="AM3" s="904"/>
      <c r="AN3" s="904"/>
      <c r="AO3" s="904"/>
    </row>
    <row r="4" spans="1:44" ht="20.100000000000001" customHeight="1" x14ac:dyDescent="0.2">
      <c r="A4" s="415"/>
      <c r="B4" s="412" t="s">
        <v>23</v>
      </c>
      <c r="C4" s="413" t="s">
        <v>27</v>
      </c>
      <c r="D4" s="413" t="s">
        <v>25</v>
      </c>
      <c r="E4" s="413" t="s">
        <v>26</v>
      </c>
      <c r="F4" s="413" t="s">
        <v>27</v>
      </c>
      <c r="G4" s="413" t="s">
        <v>24</v>
      </c>
      <c r="H4" s="416" t="s">
        <v>28</v>
      </c>
      <c r="I4" s="412" t="s">
        <v>29</v>
      </c>
      <c r="J4" s="413" t="s">
        <v>30</v>
      </c>
      <c r="K4" s="413" t="s">
        <v>31</v>
      </c>
      <c r="L4" s="891" t="s">
        <v>290</v>
      </c>
      <c r="M4" s="417" t="s">
        <v>264</v>
      </c>
      <c r="N4" s="897" t="s">
        <v>171</v>
      </c>
      <c r="O4" s="879" t="s">
        <v>104</v>
      </c>
      <c r="P4" s="879" t="s">
        <v>105</v>
      </c>
      <c r="Q4" s="879" t="s">
        <v>164</v>
      </c>
      <c r="R4" s="879" t="s">
        <v>175</v>
      </c>
      <c r="S4" s="879" t="s">
        <v>106</v>
      </c>
      <c r="T4" s="879" t="s">
        <v>176</v>
      </c>
      <c r="U4" s="879" t="s">
        <v>107</v>
      </c>
      <c r="V4" s="888" t="s">
        <v>240</v>
      </c>
      <c r="W4" s="879" t="s">
        <v>181</v>
      </c>
      <c r="X4" s="413" t="s">
        <v>100</v>
      </c>
      <c r="Y4" s="413" t="s">
        <v>101</v>
      </c>
      <c r="Z4" s="413" t="s">
        <v>102</v>
      </c>
      <c r="AA4" s="883" t="s">
        <v>72</v>
      </c>
      <c r="AB4" s="885" t="s">
        <v>73</v>
      </c>
      <c r="AC4" s="889" t="s">
        <v>155</v>
      </c>
      <c r="AD4" s="879" t="s">
        <v>158</v>
      </c>
      <c r="AE4" s="879" t="s">
        <v>159</v>
      </c>
      <c r="AF4" s="879" t="s">
        <v>163</v>
      </c>
      <c r="AG4" s="902"/>
      <c r="AH4" s="901"/>
      <c r="AI4" s="901"/>
      <c r="AJ4" s="903"/>
      <c r="AK4" s="469"/>
      <c r="AL4" s="419" t="s">
        <v>281</v>
      </c>
      <c r="AM4" s="419" t="s">
        <v>183</v>
      </c>
      <c r="AN4" s="419" t="s">
        <v>184</v>
      </c>
      <c r="AO4" s="419" t="s">
        <v>185</v>
      </c>
    </row>
    <row r="5" spans="1:44" ht="20.100000000000001" customHeight="1" thickBot="1" x14ac:dyDescent="0.25">
      <c r="A5" s="418" t="s">
        <v>7</v>
      </c>
      <c r="B5" s="412" t="s">
        <v>256</v>
      </c>
      <c r="C5" s="413" t="s">
        <v>256</v>
      </c>
      <c r="D5" s="413" t="s">
        <v>32</v>
      </c>
      <c r="E5" s="413" t="s">
        <v>33</v>
      </c>
      <c r="F5" s="413" t="s">
        <v>34</v>
      </c>
      <c r="G5" s="413" t="s">
        <v>34</v>
      </c>
      <c r="H5" s="416" t="s">
        <v>35</v>
      </c>
      <c r="I5" s="537" t="s">
        <v>36</v>
      </c>
      <c r="J5" s="538" t="s">
        <v>36</v>
      </c>
      <c r="K5" s="538" t="s">
        <v>36</v>
      </c>
      <c r="L5" s="892"/>
      <c r="M5" s="539" t="s">
        <v>265</v>
      </c>
      <c r="N5" s="898"/>
      <c r="O5" s="887"/>
      <c r="P5" s="879"/>
      <c r="Q5" s="879"/>
      <c r="R5" s="879"/>
      <c r="S5" s="887"/>
      <c r="T5" s="887"/>
      <c r="U5" s="887"/>
      <c r="V5" s="888"/>
      <c r="W5" s="899"/>
      <c r="X5" s="413" t="s">
        <v>108</v>
      </c>
      <c r="Y5" s="413" t="s">
        <v>108</v>
      </c>
      <c r="Z5" s="413" t="s">
        <v>108</v>
      </c>
      <c r="AA5" s="884"/>
      <c r="AB5" s="886"/>
      <c r="AC5" s="889"/>
      <c r="AD5" s="879"/>
      <c r="AE5" s="879"/>
      <c r="AF5" s="880"/>
      <c r="AG5" s="902"/>
      <c r="AH5" s="901"/>
      <c r="AI5" s="901"/>
      <c r="AJ5" s="903"/>
      <c r="AK5" s="469"/>
      <c r="AL5" s="419" t="s">
        <v>268</v>
      </c>
      <c r="AM5" s="419" t="s">
        <v>186</v>
      </c>
      <c r="AN5" s="419" t="s">
        <v>186</v>
      </c>
      <c r="AO5" s="419" t="s">
        <v>283</v>
      </c>
    </row>
    <row r="6" spans="1:44" ht="26.1" customHeight="1" x14ac:dyDescent="0.2">
      <c r="A6" s="419">
        <v>1</v>
      </c>
      <c r="B6" s="842">
        <v>7621570</v>
      </c>
      <c r="C6" s="843"/>
      <c r="D6" s="843"/>
      <c r="E6" s="843">
        <v>64</v>
      </c>
      <c r="F6" s="843">
        <v>5453.8</v>
      </c>
      <c r="G6" s="843">
        <v>68225</v>
      </c>
      <c r="H6" s="844"/>
      <c r="I6" s="845">
        <v>7478</v>
      </c>
      <c r="J6" s="843">
        <v>535202</v>
      </c>
      <c r="K6" s="844">
        <v>468000</v>
      </c>
      <c r="L6" s="843">
        <v>227.79</v>
      </c>
      <c r="M6" s="846">
        <v>60838.97</v>
      </c>
      <c r="N6" s="845">
        <v>9964.36</v>
      </c>
      <c r="O6" s="847">
        <v>193319</v>
      </c>
      <c r="P6" s="848">
        <v>33963</v>
      </c>
      <c r="Q6" s="843">
        <v>919465</v>
      </c>
      <c r="R6" s="843"/>
      <c r="S6" s="843">
        <v>55371</v>
      </c>
      <c r="T6" s="843"/>
      <c r="U6" s="843">
        <v>21155</v>
      </c>
      <c r="V6" s="849">
        <v>1312021</v>
      </c>
      <c r="W6" s="843"/>
      <c r="X6" s="850">
        <v>37047</v>
      </c>
      <c r="Y6" s="843">
        <v>41306</v>
      </c>
      <c r="Z6" s="843">
        <v>9181</v>
      </c>
      <c r="AA6" s="843">
        <v>97122</v>
      </c>
      <c r="AB6" s="843"/>
      <c r="AC6" s="843">
        <v>743</v>
      </c>
      <c r="AD6" s="843">
        <v>260127</v>
      </c>
      <c r="AE6" s="843"/>
      <c r="AF6" s="845"/>
      <c r="AG6" s="843"/>
      <c r="AH6" s="843"/>
      <c r="AI6" s="851"/>
      <c r="AJ6" s="843">
        <v>7297992.6809999999</v>
      </c>
      <c r="AK6" s="495"/>
      <c r="AL6" s="534"/>
      <c r="AM6" s="535"/>
      <c r="AN6" s="534"/>
      <c r="AO6" s="534"/>
    </row>
    <row r="7" spans="1:44" ht="26.1" customHeight="1" x14ac:dyDescent="0.2">
      <c r="A7" s="419">
        <v>2</v>
      </c>
      <c r="B7" s="842">
        <v>7624590</v>
      </c>
      <c r="C7" s="843"/>
      <c r="D7" s="843"/>
      <c r="E7" s="843">
        <v>64</v>
      </c>
      <c r="F7" s="843">
        <v>5472.8</v>
      </c>
      <c r="G7" s="843">
        <v>68225</v>
      </c>
      <c r="H7" s="844"/>
      <c r="I7" s="845">
        <v>11905</v>
      </c>
      <c r="J7" s="843">
        <v>539254</v>
      </c>
      <c r="K7" s="844">
        <v>468000</v>
      </c>
      <c r="L7" s="843">
        <v>227.79</v>
      </c>
      <c r="M7" s="846">
        <v>63352.87</v>
      </c>
      <c r="N7" s="845">
        <v>10246.66</v>
      </c>
      <c r="O7" s="843">
        <v>193765</v>
      </c>
      <c r="P7" s="848">
        <v>34207</v>
      </c>
      <c r="Q7" s="843">
        <v>919717</v>
      </c>
      <c r="R7" s="843"/>
      <c r="S7" s="843">
        <v>55537</v>
      </c>
      <c r="T7" s="843"/>
      <c r="U7" s="843">
        <v>21161</v>
      </c>
      <c r="V7" s="849">
        <v>1312247</v>
      </c>
      <c r="W7" s="843"/>
      <c r="X7" s="850">
        <v>37133</v>
      </c>
      <c r="Y7" s="843">
        <v>41384</v>
      </c>
      <c r="Z7" s="843">
        <v>9192</v>
      </c>
      <c r="AA7" s="843">
        <v>97122</v>
      </c>
      <c r="AB7" s="843"/>
      <c r="AC7" s="845">
        <v>769</v>
      </c>
      <c r="AD7" s="843">
        <v>260127</v>
      </c>
      <c r="AE7" s="843"/>
      <c r="AF7" s="845"/>
      <c r="AG7" s="843"/>
      <c r="AH7" s="843"/>
      <c r="AI7" s="851"/>
      <c r="AJ7" s="843">
        <v>7298375.3360000001</v>
      </c>
      <c r="AK7" s="817"/>
      <c r="AL7" s="531">
        <v>220</v>
      </c>
      <c r="AM7" s="530">
        <v>0</v>
      </c>
      <c r="AN7" s="530">
        <v>0</v>
      </c>
      <c r="AO7" s="530"/>
    </row>
    <row r="8" spans="1:44" ht="26.1" customHeight="1" x14ac:dyDescent="0.2">
      <c r="A8" s="419">
        <v>3</v>
      </c>
      <c r="B8" s="842">
        <v>7627550</v>
      </c>
      <c r="C8" s="843"/>
      <c r="D8" s="843"/>
      <c r="E8" s="843">
        <v>64</v>
      </c>
      <c r="F8" s="843">
        <v>5493.2</v>
      </c>
      <c r="G8" s="843">
        <v>68225</v>
      </c>
      <c r="H8" s="844"/>
      <c r="I8" s="845">
        <v>16674</v>
      </c>
      <c r="J8" s="843">
        <v>543617</v>
      </c>
      <c r="K8" s="844">
        <v>468000</v>
      </c>
      <c r="L8" s="843">
        <v>227.79</v>
      </c>
      <c r="M8" s="846">
        <v>65344.93</v>
      </c>
      <c r="N8" s="845">
        <v>10493.58</v>
      </c>
      <c r="O8" s="847">
        <v>193861</v>
      </c>
      <c r="P8" s="848">
        <v>34344</v>
      </c>
      <c r="Q8" s="843">
        <v>919959</v>
      </c>
      <c r="R8" s="843"/>
      <c r="S8" s="843">
        <v>55745</v>
      </c>
      <c r="T8" s="843"/>
      <c r="U8" s="843">
        <v>21170</v>
      </c>
      <c r="V8" s="849">
        <v>1312390</v>
      </c>
      <c r="W8" s="843"/>
      <c r="X8" s="850">
        <v>37205</v>
      </c>
      <c r="Y8" s="843">
        <v>41454</v>
      </c>
      <c r="Z8" s="843">
        <v>9215</v>
      </c>
      <c r="AA8" s="843">
        <v>97122</v>
      </c>
      <c r="AB8" s="843"/>
      <c r="AC8" s="845">
        <v>787</v>
      </c>
      <c r="AD8" s="843">
        <v>260127</v>
      </c>
      <c r="AE8" s="843"/>
      <c r="AF8" s="845"/>
      <c r="AG8" s="843"/>
      <c r="AH8" s="843"/>
      <c r="AI8" s="851"/>
      <c r="AJ8" s="843">
        <v>7298375.3360000001</v>
      </c>
      <c r="AK8" s="817"/>
      <c r="AL8" s="531">
        <v>220</v>
      </c>
      <c r="AM8" s="530">
        <v>0</v>
      </c>
      <c r="AN8" s="530">
        <v>0</v>
      </c>
      <c r="AO8" s="530"/>
    </row>
    <row r="9" spans="1:44" ht="26.1" customHeight="1" x14ac:dyDescent="0.2">
      <c r="A9" s="419">
        <v>4</v>
      </c>
      <c r="B9" s="842">
        <v>7630460</v>
      </c>
      <c r="C9" s="843"/>
      <c r="D9" s="843"/>
      <c r="E9" s="843">
        <v>64</v>
      </c>
      <c r="F9" s="843">
        <v>5512.9</v>
      </c>
      <c r="G9" s="843">
        <v>68225</v>
      </c>
      <c r="H9" s="844"/>
      <c r="I9" s="845">
        <v>20831</v>
      </c>
      <c r="J9" s="852">
        <v>547421</v>
      </c>
      <c r="K9" s="844">
        <v>468000</v>
      </c>
      <c r="L9" s="843">
        <v>227.79</v>
      </c>
      <c r="M9" s="846">
        <v>67011.839999999997</v>
      </c>
      <c r="N9" s="845">
        <v>10740.68</v>
      </c>
      <c r="O9" s="853">
        <v>194068</v>
      </c>
      <c r="P9" s="848">
        <v>34519</v>
      </c>
      <c r="Q9" s="843">
        <v>920129</v>
      </c>
      <c r="R9" s="843"/>
      <c r="S9" s="843">
        <v>55910</v>
      </c>
      <c r="T9" s="843"/>
      <c r="U9" s="843">
        <v>21178</v>
      </c>
      <c r="V9" s="849">
        <v>1312395</v>
      </c>
      <c r="W9" s="843"/>
      <c r="X9" s="850">
        <v>37227</v>
      </c>
      <c r="Y9" s="843">
        <v>41522</v>
      </c>
      <c r="Z9" s="843">
        <v>9230</v>
      </c>
      <c r="AA9" s="843">
        <v>97122</v>
      </c>
      <c r="AB9" s="843"/>
      <c r="AC9" s="843">
        <v>807</v>
      </c>
      <c r="AD9" s="843">
        <v>260127</v>
      </c>
      <c r="AE9" s="843"/>
      <c r="AF9" s="845"/>
      <c r="AG9" s="843"/>
      <c r="AH9" s="843"/>
      <c r="AI9" s="843"/>
      <c r="AJ9" s="843">
        <v>7298375.3360000001</v>
      </c>
      <c r="AK9" s="495"/>
      <c r="AL9" s="532">
        <v>190</v>
      </c>
      <c r="AM9" s="530">
        <v>0</v>
      </c>
      <c r="AN9" s="530">
        <v>0</v>
      </c>
      <c r="AO9" s="429"/>
    </row>
    <row r="10" spans="1:44" ht="26.1" customHeight="1" x14ac:dyDescent="0.2">
      <c r="A10" s="419">
        <v>5</v>
      </c>
      <c r="B10" s="842">
        <v>7633640</v>
      </c>
      <c r="C10" s="843"/>
      <c r="D10" s="843"/>
      <c r="E10" s="843">
        <v>64</v>
      </c>
      <c r="F10" s="843">
        <v>5532.3</v>
      </c>
      <c r="G10" s="843">
        <v>68225</v>
      </c>
      <c r="H10" s="844"/>
      <c r="I10" s="845">
        <v>25153</v>
      </c>
      <c r="J10" s="843">
        <v>551375</v>
      </c>
      <c r="K10" s="844">
        <v>468000</v>
      </c>
      <c r="L10" s="843">
        <v>227.79</v>
      </c>
      <c r="M10" s="846">
        <v>68434.22</v>
      </c>
      <c r="N10" s="845">
        <v>11009.6</v>
      </c>
      <c r="O10" s="847">
        <v>194139</v>
      </c>
      <c r="P10" s="848">
        <v>34809</v>
      </c>
      <c r="Q10" s="843">
        <v>920352</v>
      </c>
      <c r="R10" s="843"/>
      <c r="S10" s="843">
        <v>56090</v>
      </c>
      <c r="T10" s="843"/>
      <c r="U10" s="843">
        <v>21186</v>
      </c>
      <c r="V10" s="849">
        <v>1312874</v>
      </c>
      <c r="W10" s="843"/>
      <c r="X10" s="850">
        <v>37295</v>
      </c>
      <c r="Y10" s="843">
        <v>41597</v>
      </c>
      <c r="Z10" s="843">
        <v>9249</v>
      </c>
      <c r="AA10" s="843">
        <v>97122</v>
      </c>
      <c r="AB10" s="843"/>
      <c r="AC10" s="843">
        <v>826</v>
      </c>
      <c r="AD10" s="843">
        <v>260127</v>
      </c>
      <c r="AE10" s="843"/>
      <c r="AF10" s="845"/>
      <c r="AG10" s="843"/>
      <c r="AH10" s="843"/>
      <c r="AI10" s="843"/>
      <c r="AJ10" s="843">
        <v>7298375.3360000001</v>
      </c>
      <c r="AK10" s="495"/>
      <c r="AL10" s="532"/>
      <c r="AM10" s="530">
        <v>0</v>
      </c>
      <c r="AN10" s="530">
        <v>0</v>
      </c>
      <c r="AO10" s="429"/>
    </row>
    <row r="11" spans="1:44" ht="25.15" customHeight="1" x14ac:dyDescent="0.2">
      <c r="A11" s="419">
        <v>6</v>
      </c>
      <c r="B11" s="842">
        <v>7636470</v>
      </c>
      <c r="C11" s="843"/>
      <c r="D11" s="843"/>
      <c r="E11" s="843">
        <v>64</v>
      </c>
      <c r="F11" s="843">
        <v>5550.4</v>
      </c>
      <c r="G11" s="843">
        <v>68225</v>
      </c>
      <c r="H11" s="844"/>
      <c r="I11" s="845">
        <v>29416</v>
      </c>
      <c r="J11" s="843">
        <v>555275</v>
      </c>
      <c r="K11" s="844">
        <v>468000</v>
      </c>
      <c r="L11" s="843">
        <v>227.79</v>
      </c>
      <c r="M11" s="846">
        <v>69950.75</v>
      </c>
      <c r="N11" s="845">
        <v>11226</v>
      </c>
      <c r="O11" s="847">
        <v>194221</v>
      </c>
      <c r="P11" s="848">
        <v>35063</v>
      </c>
      <c r="Q11" s="843">
        <v>920530</v>
      </c>
      <c r="R11" s="843"/>
      <c r="S11" s="843">
        <v>56297</v>
      </c>
      <c r="T11" s="843"/>
      <c r="U11" s="843">
        <v>21191</v>
      </c>
      <c r="V11" s="849">
        <v>1313146</v>
      </c>
      <c r="W11" s="843"/>
      <c r="X11" s="850">
        <v>37347</v>
      </c>
      <c r="Y11" s="843">
        <v>41656</v>
      </c>
      <c r="Z11" s="843">
        <v>9264</v>
      </c>
      <c r="AA11" s="843">
        <v>97122</v>
      </c>
      <c r="AB11" s="843"/>
      <c r="AC11" s="843">
        <v>841</v>
      </c>
      <c r="AD11" s="843">
        <v>260160</v>
      </c>
      <c r="AE11" s="843"/>
      <c r="AF11" s="845"/>
      <c r="AG11" s="843"/>
      <c r="AH11" s="843"/>
      <c r="AI11" s="843"/>
      <c r="AJ11" s="843">
        <v>7298375.3360000001</v>
      </c>
      <c r="AK11" s="495"/>
      <c r="AL11" s="532"/>
      <c r="AM11" s="530">
        <v>0</v>
      </c>
      <c r="AN11" s="530">
        <v>0</v>
      </c>
      <c r="AO11" s="429"/>
    </row>
    <row r="12" spans="1:44" ht="26.25" customHeight="1" x14ac:dyDescent="0.2">
      <c r="A12" s="419">
        <v>7</v>
      </c>
      <c r="B12" s="842">
        <v>7636760</v>
      </c>
      <c r="C12" s="843"/>
      <c r="D12" s="843"/>
      <c r="E12" s="843">
        <v>64</v>
      </c>
      <c r="F12" s="843">
        <v>5552.7</v>
      </c>
      <c r="G12" s="843">
        <v>68225</v>
      </c>
      <c r="H12" s="844"/>
      <c r="I12" s="845">
        <v>32164</v>
      </c>
      <c r="J12" s="843">
        <v>557786</v>
      </c>
      <c r="K12" s="844">
        <v>468000</v>
      </c>
      <c r="L12" s="843">
        <v>227.79</v>
      </c>
      <c r="M12" s="846">
        <v>69950.75</v>
      </c>
      <c r="N12" s="845">
        <v>11226</v>
      </c>
      <c r="O12" s="847">
        <v>194221</v>
      </c>
      <c r="P12" s="848">
        <v>35152</v>
      </c>
      <c r="Q12" s="843">
        <v>920613</v>
      </c>
      <c r="R12" s="843"/>
      <c r="S12" s="843">
        <v>56297</v>
      </c>
      <c r="T12" s="843"/>
      <c r="U12" s="843">
        <v>21191</v>
      </c>
      <c r="V12" s="849">
        <v>1313239</v>
      </c>
      <c r="W12" s="843"/>
      <c r="X12" s="850">
        <v>37347</v>
      </c>
      <c r="Y12" s="843">
        <v>41696</v>
      </c>
      <c r="Z12" s="843">
        <v>9265</v>
      </c>
      <c r="AA12" s="843">
        <v>97122</v>
      </c>
      <c r="AB12" s="843"/>
      <c r="AC12" s="843">
        <v>841</v>
      </c>
      <c r="AD12" s="843">
        <v>260160</v>
      </c>
      <c r="AE12" s="843"/>
      <c r="AF12" s="845"/>
      <c r="AG12" s="843"/>
      <c r="AH12" s="843"/>
      <c r="AI12" s="843"/>
      <c r="AJ12" s="843">
        <v>7298375.3360000001</v>
      </c>
      <c r="AK12" s="495"/>
      <c r="AL12" s="532">
        <v>160</v>
      </c>
      <c r="AM12" s="530">
        <v>0</v>
      </c>
      <c r="AN12" s="530">
        <v>0</v>
      </c>
      <c r="AO12" s="429"/>
    </row>
    <row r="13" spans="1:44" ht="27" customHeight="1" x14ac:dyDescent="0.2">
      <c r="A13" s="419">
        <v>8</v>
      </c>
      <c r="B13" s="842">
        <v>7636930</v>
      </c>
      <c r="C13" s="843"/>
      <c r="D13" s="843"/>
      <c r="E13" s="843">
        <v>64</v>
      </c>
      <c r="F13" s="843">
        <v>5553.3</v>
      </c>
      <c r="G13" s="843">
        <v>68225</v>
      </c>
      <c r="H13" s="844"/>
      <c r="I13" s="845">
        <v>34795</v>
      </c>
      <c r="J13" s="843">
        <v>560192</v>
      </c>
      <c r="K13" s="844">
        <v>468000</v>
      </c>
      <c r="L13" s="843">
        <v>227.79</v>
      </c>
      <c r="M13" s="846">
        <v>69950.75</v>
      </c>
      <c r="N13" s="845">
        <v>11226</v>
      </c>
      <c r="O13" s="847">
        <v>194221</v>
      </c>
      <c r="P13" s="848">
        <v>35152</v>
      </c>
      <c r="Q13" s="843">
        <v>920613</v>
      </c>
      <c r="R13" s="843"/>
      <c r="S13" s="843">
        <v>56297</v>
      </c>
      <c r="T13" s="843"/>
      <c r="U13" s="843">
        <v>21191</v>
      </c>
      <c r="V13" s="849">
        <v>1313239</v>
      </c>
      <c r="W13" s="843"/>
      <c r="X13" s="850">
        <v>37347</v>
      </c>
      <c r="Y13" s="843">
        <v>41696</v>
      </c>
      <c r="Z13" s="843">
        <v>9267</v>
      </c>
      <c r="AA13" s="843">
        <v>97122</v>
      </c>
      <c r="AB13" s="843"/>
      <c r="AC13" s="843">
        <v>841</v>
      </c>
      <c r="AD13" s="843">
        <v>260160</v>
      </c>
      <c r="AE13" s="843"/>
      <c r="AF13" s="845"/>
      <c r="AG13" s="843"/>
      <c r="AH13" s="843"/>
      <c r="AI13" s="843"/>
      <c r="AJ13" s="843">
        <v>7298375.3360000001</v>
      </c>
      <c r="AK13" s="192"/>
      <c r="AL13" s="532">
        <v>140</v>
      </c>
      <c r="AM13" s="530">
        <v>0</v>
      </c>
      <c r="AN13" s="530">
        <v>0</v>
      </c>
      <c r="AO13" s="429">
        <f>2.204623*19100</f>
        <v>42108.299300000006</v>
      </c>
    </row>
    <row r="14" spans="1:44" s="420" customFormat="1" ht="26.1" customHeight="1" x14ac:dyDescent="0.2">
      <c r="A14" s="419">
        <v>9</v>
      </c>
      <c r="B14" s="842">
        <v>7640320</v>
      </c>
      <c r="C14" s="843"/>
      <c r="D14" s="843"/>
      <c r="E14" s="843">
        <v>64</v>
      </c>
      <c r="F14" s="843">
        <v>5573.6</v>
      </c>
      <c r="G14" s="843">
        <v>68225</v>
      </c>
      <c r="H14" s="844"/>
      <c r="I14" s="845">
        <v>38973</v>
      </c>
      <c r="J14" s="843">
        <v>564017</v>
      </c>
      <c r="K14" s="844">
        <v>468000</v>
      </c>
      <c r="L14" s="843">
        <v>227.79</v>
      </c>
      <c r="M14" s="846">
        <v>71384.990000000005</v>
      </c>
      <c r="N14" s="845">
        <v>11454.92</v>
      </c>
      <c r="O14" s="847">
        <v>194403</v>
      </c>
      <c r="P14" s="848">
        <v>35297</v>
      </c>
      <c r="Q14" s="843">
        <v>920779</v>
      </c>
      <c r="R14" s="843"/>
      <c r="S14" s="843">
        <v>56488</v>
      </c>
      <c r="T14" s="843"/>
      <c r="U14" s="843">
        <v>21206</v>
      </c>
      <c r="V14" s="849">
        <v>1313391</v>
      </c>
      <c r="W14" s="843"/>
      <c r="X14" s="850">
        <v>37359</v>
      </c>
      <c r="Y14" s="843">
        <v>41760</v>
      </c>
      <c r="Z14" s="843">
        <v>9285</v>
      </c>
      <c r="AA14" s="843">
        <v>97122</v>
      </c>
      <c r="AB14" s="843"/>
      <c r="AC14" s="843">
        <v>856</v>
      </c>
      <c r="AD14" s="843">
        <v>260160</v>
      </c>
      <c r="AE14" s="843"/>
      <c r="AF14" s="845"/>
      <c r="AG14" s="843"/>
      <c r="AH14" s="843"/>
      <c r="AI14" s="843"/>
      <c r="AJ14" s="854">
        <v>7299271.7599999998</v>
      </c>
      <c r="AK14" s="192"/>
      <c r="AL14" s="532">
        <v>140</v>
      </c>
      <c r="AM14" s="530">
        <v>0</v>
      </c>
      <c r="AN14" s="530">
        <v>0</v>
      </c>
      <c r="AO14" s="429">
        <v>21974</v>
      </c>
      <c r="AP14" s="189"/>
      <c r="AQ14" s="189"/>
      <c r="AR14" s="189"/>
    </row>
    <row r="15" spans="1:44" ht="26.1" customHeight="1" x14ac:dyDescent="0.2">
      <c r="A15" s="419">
        <v>10</v>
      </c>
      <c r="B15" s="842">
        <v>7643380</v>
      </c>
      <c r="C15" s="843"/>
      <c r="D15" s="843"/>
      <c r="E15" s="843">
        <v>64</v>
      </c>
      <c r="F15" s="843">
        <v>5593.6</v>
      </c>
      <c r="G15" s="843">
        <v>68225</v>
      </c>
      <c r="H15" s="844"/>
      <c r="I15" s="845">
        <v>43584</v>
      </c>
      <c r="J15" s="843">
        <v>568243</v>
      </c>
      <c r="K15" s="844">
        <v>468000</v>
      </c>
      <c r="L15" s="843">
        <v>227.79</v>
      </c>
      <c r="M15" s="846">
        <v>73336.36</v>
      </c>
      <c r="N15" s="845">
        <v>11755.98</v>
      </c>
      <c r="O15" s="847">
        <v>194736</v>
      </c>
      <c r="P15" s="848">
        <v>35349</v>
      </c>
      <c r="Q15" s="843">
        <v>920985</v>
      </c>
      <c r="R15" s="843"/>
      <c r="S15" s="843">
        <v>56699</v>
      </c>
      <c r="T15" s="843"/>
      <c r="U15" s="843">
        <v>21216</v>
      </c>
      <c r="V15" s="849">
        <v>1313445</v>
      </c>
      <c r="W15" s="843"/>
      <c r="X15" s="850">
        <v>37389</v>
      </c>
      <c r="Y15" s="843">
        <v>41835</v>
      </c>
      <c r="Z15" s="843">
        <v>9299</v>
      </c>
      <c r="AA15" s="843">
        <v>97122</v>
      </c>
      <c r="AB15" s="843"/>
      <c r="AC15" s="843">
        <v>875</v>
      </c>
      <c r="AD15" s="843">
        <v>260160</v>
      </c>
      <c r="AE15" s="843"/>
      <c r="AF15" s="845"/>
      <c r="AG15" s="843"/>
      <c r="AH15" s="843"/>
      <c r="AI15" s="843"/>
      <c r="AJ15" s="854">
        <v>7299271.7599999998</v>
      </c>
      <c r="AK15" s="192"/>
      <c r="AL15" s="532">
        <v>130</v>
      </c>
      <c r="AM15" s="429">
        <v>11400</v>
      </c>
      <c r="AN15" s="429">
        <v>4560</v>
      </c>
      <c r="AO15" s="429"/>
    </row>
    <row r="16" spans="1:44" ht="26.1" customHeight="1" x14ac:dyDescent="0.2">
      <c r="A16" s="419">
        <v>11</v>
      </c>
      <c r="B16" s="842">
        <v>7646190</v>
      </c>
      <c r="C16" s="843"/>
      <c r="D16" s="843"/>
      <c r="E16" s="843">
        <v>64</v>
      </c>
      <c r="F16" s="843">
        <v>5611.3</v>
      </c>
      <c r="G16" s="843">
        <v>68225</v>
      </c>
      <c r="H16" s="844"/>
      <c r="I16" s="845">
        <v>48177</v>
      </c>
      <c r="J16" s="843">
        <v>572447</v>
      </c>
      <c r="K16" s="844">
        <v>468000</v>
      </c>
      <c r="L16" s="843">
        <v>227.79</v>
      </c>
      <c r="M16" s="846">
        <v>74844.41</v>
      </c>
      <c r="N16" s="845">
        <v>12008.01</v>
      </c>
      <c r="O16" s="847">
        <v>194919</v>
      </c>
      <c r="P16" s="848">
        <v>35458</v>
      </c>
      <c r="Q16" s="843">
        <v>921189</v>
      </c>
      <c r="R16" s="843"/>
      <c r="S16" s="843">
        <v>56888</v>
      </c>
      <c r="T16" s="843"/>
      <c r="U16" s="843">
        <v>21225</v>
      </c>
      <c r="V16" s="849">
        <v>1313560</v>
      </c>
      <c r="W16" s="843"/>
      <c r="X16" s="850">
        <v>37438</v>
      </c>
      <c r="Y16" s="843">
        <v>41905</v>
      </c>
      <c r="Z16" s="843">
        <v>9312</v>
      </c>
      <c r="AA16" s="843">
        <v>97122</v>
      </c>
      <c r="AB16" s="843"/>
      <c r="AC16" s="843">
        <v>893</v>
      </c>
      <c r="AD16" s="843">
        <v>260160</v>
      </c>
      <c r="AE16" s="843"/>
      <c r="AF16" s="845"/>
      <c r="AG16" s="843"/>
      <c r="AH16" s="843"/>
      <c r="AI16" s="843"/>
      <c r="AJ16" s="854">
        <v>7299271.7599999998</v>
      </c>
      <c r="AK16" s="192"/>
      <c r="AL16" s="532"/>
      <c r="AM16" s="429"/>
      <c r="AN16" s="429"/>
      <c r="AO16" s="429"/>
    </row>
    <row r="17" spans="1:41" ht="26.1" customHeight="1" x14ac:dyDescent="0.2">
      <c r="A17" s="419">
        <v>12</v>
      </c>
      <c r="B17" s="842">
        <v>7648560</v>
      </c>
      <c r="C17" s="843"/>
      <c r="D17" s="843"/>
      <c r="E17" s="843">
        <v>64</v>
      </c>
      <c r="F17" s="843">
        <v>5629.3</v>
      </c>
      <c r="G17" s="843">
        <v>68225</v>
      </c>
      <c r="H17" s="844"/>
      <c r="I17" s="845">
        <v>51936</v>
      </c>
      <c r="J17" s="843">
        <v>575885</v>
      </c>
      <c r="K17" s="844">
        <v>468000</v>
      </c>
      <c r="L17" s="843">
        <v>227.79</v>
      </c>
      <c r="M17" s="846">
        <v>75116.63</v>
      </c>
      <c r="N17" s="845">
        <v>12093.9</v>
      </c>
      <c r="O17" s="847">
        <v>194973</v>
      </c>
      <c r="P17" s="848">
        <v>35689</v>
      </c>
      <c r="Q17" s="843">
        <v>921287</v>
      </c>
      <c r="R17" s="843"/>
      <c r="S17" s="843">
        <v>57052</v>
      </c>
      <c r="T17" s="843"/>
      <c r="U17" s="843">
        <v>21231</v>
      </c>
      <c r="V17" s="849">
        <v>1313802</v>
      </c>
      <c r="W17" s="843"/>
      <c r="X17" s="850">
        <v>37468</v>
      </c>
      <c r="Y17" s="843">
        <v>41926</v>
      </c>
      <c r="Z17" s="843">
        <v>9322</v>
      </c>
      <c r="AA17" s="843">
        <v>97122</v>
      </c>
      <c r="AB17" s="843"/>
      <c r="AC17" s="843">
        <v>898</v>
      </c>
      <c r="AD17" s="843">
        <v>260160</v>
      </c>
      <c r="AE17" s="843"/>
      <c r="AF17" s="845"/>
      <c r="AG17" s="843"/>
      <c r="AH17" s="843"/>
      <c r="AI17" s="843"/>
      <c r="AJ17" s="854">
        <v>7299271.7599999998</v>
      </c>
      <c r="AK17" s="192"/>
      <c r="AL17" s="532"/>
      <c r="AM17" s="429"/>
      <c r="AN17" s="429"/>
      <c r="AO17" s="429"/>
    </row>
    <row r="18" spans="1:41" ht="26.1" customHeight="1" x14ac:dyDescent="0.2">
      <c r="A18" s="419">
        <v>13</v>
      </c>
      <c r="B18" s="842">
        <v>7649900</v>
      </c>
      <c r="C18" s="843"/>
      <c r="D18" s="843"/>
      <c r="E18" s="843">
        <v>64</v>
      </c>
      <c r="F18" s="843">
        <v>5629.3</v>
      </c>
      <c r="G18" s="843">
        <v>68225</v>
      </c>
      <c r="H18" s="844"/>
      <c r="I18" s="845">
        <v>55698</v>
      </c>
      <c r="J18" s="843">
        <v>579318</v>
      </c>
      <c r="K18" s="844">
        <v>468000</v>
      </c>
      <c r="L18" s="843">
        <v>227.79</v>
      </c>
      <c r="M18" s="846">
        <v>75518.240000000005</v>
      </c>
      <c r="N18" s="845">
        <v>12120.96</v>
      </c>
      <c r="O18" s="847">
        <v>194973</v>
      </c>
      <c r="P18" s="848">
        <v>35769</v>
      </c>
      <c r="Q18" s="843">
        <v>921368</v>
      </c>
      <c r="R18" s="843"/>
      <c r="S18" s="843">
        <v>57102</v>
      </c>
      <c r="T18" s="843"/>
      <c r="U18" s="843">
        <v>21235</v>
      </c>
      <c r="V18" s="849">
        <v>1313886</v>
      </c>
      <c r="W18" s="843"/>
      <c r="X18" s="850">
        <v>37480</v>
      </c>
      <c r="Y18" s="843">
        <v>41949</v>
      </c>
      <c r="Z18" s="843">
        <v>9329</v>
      </c>
      <c r="AA18" s="843">
        <v>97122</v>
      </c>
      <c r="AB18" s="843"/>
      <c r="AC18" s="843">
        <v>902</v>
      </c>
      <c r="AD18" s="843">
        <v>260160</v>
      </c>
      <c r="AE18" s="843"/>
      <c r="AF18" s="845"/>
      <c r="AG18" s="843"/>
      <c r="AH18" s="843"/>
      <c r="AI18" s="843"/>
      <c r="AJ18" s="843">
        <v>7299413.2050000001</v>
      </c>
      <c r="AK18" s="192"/>
      <c r="AL18" s="532"/>
      <c r="AM18" s="429"/>
      <c r="AN18" s="429"/>
      <c r="AO18" s="429"/>
    </row>
    <row r="19" spans="1:41" ht="26.1" customHeight="1" x14ac:dyDescent="0.2">
      <c r="A19" s="419">
        <v>14</v>
      </c>
      <c r="B19" s="842">
        <v>7649900</v>
      </c>
      <c r="C19" s="843"/>
      <c r="D19" s="843"/>
      <c r="E19" s="843">
        <v>64</v>
      </c>
      <c r="F19" s="843">
        <v>5629.3</v>
      </c>
      <c r="G19" s="843">
        <v>68225</v>
      </c>
      <c r="H19" s="844"/>
      <c r="I19" s="845">
        <v>58519</v>
      </c>
      <c r="J19" s="843">
        <v>581890</v>
      </c>
      <c r="K19" s="844">
        <v>468000</v>
      </c>
      <c r="L19" s="843">
        <v>227.79</v>
      </c>
      <c r="M19" s="846">
        <v>75518.240000000005</v>
      </c>
      <c r="N19" s="845">
        <v>12120.96</v>
      </c>
      <c r="O19" s="847">
        <v>194973</v>
      </c>
      <c r="P19" s="848">
        <v>35845</v>
      </c>
      <c r="Q19" s="843">
        <v>921390</v>
      </c>
      <c r="R19" s="843"/>
      <c r="S19" s="843">
        <v>57102</v>
      </c>
      <c r="T19" s="843"/>
      <c r="U19" s="843">
        <v>21235</v>
      </c>
      <c r="V19" s="849">
        <v>1313966</v>
      </c>
      <c r="W19" s="843"/>
      <c r="X19" s="850">
        <v>37480</v>
      </c>
      <c r="Y19" s="843">
        <v>41953</v>
      </c>
      <c r="Z19" s="843">
        <v>9329</v>
      </c>
      <c r="AA19" s="843">
        <v>97122</v>
      </c>
      <c r="AB19" s="843"/>
      <c r="AC19" s="843">
        <v>902</v>
      </c>
      <c r="AD19" s="843">
        <v>260160</v>
      </c>
      <c r="AE19" s="843"/>
      <c r="AF19" s="845"/>
      <c r="AG19" s="843"/>
      <c r="AH19" s="843"/>
      <c r="AI19" s="843"/>
      <c r="AJ19" s="843">
        <v>7299413.2050000001</v>
      </c>
      <c r="AK19" s="192"/>
      <c r="AL19" s="429"/>
      <c r="AM19" s="429"/>
      <c r="AN19" s="429"/>
      <c r="AO19" s="429"/>
    </row>
    <row r="20" spans="1:41" ht="26.1" customHeight="1" x14ac:dyDescent="0.2">
      <c r="A20" s="419">
        <v>15</v>
      </c>
      <c r="B20" s="842">
        <v>7650850</v>
      </c>
      <c r="C20" s="843"/>
      <c r="D20" s="843"/>
      <c r="E20" s="843">
        <v>64</v>
      </c>
      <c r="F20" s="843">
        <v>5644.1</v>
      </c>
      <c r="G20" s="843">
        <v>68225</v>
      </c>
      <c r="H20" s="844"/>
      <c r="I20" s="845">
        <v>61384</v>
      </c>
      <c r="J20" s="843">
        <v>584507</v>
      </c>
      <c r="K20" s="844">
        <v>468000</v>
      </c>
      <c r="L20" s="843">
        <v>227.79</v>
      </c>
      <c r="M20" s="846">
        <v>75518.240000000005</v>
      </c>
      <c r="N20" s="845">
        <v>12124.1</v>
      </c>
      <c r="O20" s="847">
        <v>194973</v>
      </c>
      <c r="P20" s="848">
        <v>35913</v>
      </c>
      <c r="Q20" s="843">
        <v>921464</v>
      </c>
      <c r="R20" s="843"/>
      <c r="S20" s="843">
        <v>57108</v>
      </c>
      <c r="T20" s="843"/>
      <c r="U20" s="843">
        <v>21235</v>
      </c>
      <c r="V20" s="849">
        <v>1314040</v>
      </c>
      <c r="W20" s="843"/>
      <c r="X20" s="850">
        <v>37484</v>
      </c>
      <c r="Y20" s="843">
        <v>41982</v>
      </c>
      <c r="Z20" s="843">
        <v>9331</v>
      </c>
      <c r="AA20" s="843">
        <v>97122</v>
      </c>
      <c r="AB20" s="843"/>
      <c r="AC20" s="843">
        <v>919</v>
      </c>
      <c r="AD20" s="843">
        <v>260160</v>
      </c>
      <c r="AE20" s="843"/>
      <c r="AF20" s="845"/>
      <c r="AG20" s="843"/>
      <c r="AH20" s="843"/>
      <c r="AI20" s="843"/>
      <c r="AJ20" s="843">
        <v>7299413.2050000001</v>
      </c>
      <c r="AK20" s="192"/>
      <c r="AL20" s="429"/>
      <c r="AM20" s="429"/>
      <c r="AN20" s="429"/>
      <c r="AO20" s="429"/>
    </row>
    <row r="21" spans="1:41" ht="26.1" customHeight="1" x14ac:dyDescent="0.2">
      <c r="A21" s="419">
        <v>16</v>
      </c>
      <c r="B21" s="842">
        <v>7653990</v>
      </c>
      <c r="C21" s="843"/>
      <c r="D21" s="843"/>
      <c r="E21" s="843">
        <v>64</v>
      </c>
      <c r="F21" s="843">
        <v>5664.1</v>
      </c>
      <c r="G21" s="843">
        <v>68225</v>
      </c>
      <c r="H21" s="844"/>
      <c r="I21" s="845">
        <v>66125</v>
      </c>
      <c r="J21" s="843">
        <v>588852</v>
      </c>
      <c r="K21" s="844">
        <v>468000</v>
      </c>
      <c r="L21" s="843">
        <v>227.79</v>
      </c>
      <c r="M21" s="846">
        <v>77738.36</v>
      </c>
      <c r="N21" s="845">
        <v>12526.18</v>
      </c>
      <c r="O21" s="847">
        <v>195222</v>
      </c>
      <c r="P21" s="848">
        <v>36016</v>
      </c>
      <c r="Q21" s="843">
        <v>921713</v>
      </c>
      <c r="R21" s="843"/>
      <c r="S21" s="843">
        <v>57208</v>
      </c>
      <c r="T21" s="843"/>
      <c r="U21" s="843">
        <v>21250</v>
      </c>
      <c r="V21" s="849">
        <v>1314209</v>
      </c>
      <c r="W21" s="843"/>
      <c r="X21" s="850">
        <v>37530</v>
      </c>
      <c r="Y21" s="843">
        <v>42082</v>
      </c>
      <c r="Z21" s="843">
        <v>9352</v>
      </c>
      <c r="AA21" s="843">
        <v>97122</v>
      </c>
      <c r="AB21" s="843"/>
      <c r="AC21" s="843">
        <v>945</v>
      </c>
      <c r="AD21" s="843">
        <v>260160</v>
      </c>
      <c r="AE21" s="843"/>
      <c r="AF21" s="845"/>
      <c r="AG21" s="843"/>
      <c r="AH21" s="843"/>
      <c r="AI21" s="843"/>
      <c r="AJ21" s="843">
        <v>7299446.6289999997</v>
      </c>
      <c r="AK21" s="832"/>
      <c r="AL21" s="429"/>
      <c r="AM21" s="429"/>
      <c r="AN21" s="429"/>
      <c r="AO21" s="429"/>
    </row>
    <row r="22" spans="1:41" ht="26.1" customHeight="1" x14ac:dyDescent="0.2">
      <c r="A22" s="419">
        <v>17</v>
      </c>
      <c r="B22" s="842">
        <v>7656270</v>
      </c>
      <c r="C22" s="843"/>
      <c r="D22" s="843"/>
      <c r="E22" s="843">
        <v>64</v>
      </c>
      <c r="F22" s="843">
        <v>5680.3</v>
      </c>
      <c r="G22" s="843">
        <v>68225</v>
      </c>
      <c r="H22" s="844"/>
      <c r="I22" s="845">
        <v>70120</v>
      </c>
      <c r="J22" s="843">
        <v>592512</v>
      </c>
      <c r="K22" s="844">
        <v>468000</v>
      </c>
      <c r="L22" s="843">
        <v>227.79</v>
      </c>
      <c r="M22" s="846">
        <v>80081.149999999994</v>
      </c>
      <c r="N22" s="845">
        <v>12881.28</v>
      </c>
      <c r="O22" s="847">
        <v>195424</v>
      </c>
      <c r="P22" s="848">
        <v>36201</v>
      </c>
      <c r="Q22" s="843">
        <v>921914</v>
      </c>
      <c r="R22" s="843"/>
      <c r="S22" s="843">
        <v>57327</v>
      </c>
      <c r="T22" s="843"/>
      <c r="U22" s="843">
        <v>21261</v>
      </c>
      <c r="V22" s="849">
        <v>1314340</v>
      </c>
      <c r="W22" s="843"/>
      <c r="X22" s="850">
        <v>37567</v>
      </c>
      <c r="Y22" s="843">
        <v>42166</v>
      </c>
      <c r="Z22" s="843">
        <v>9364</v>
      </c>
      <c r="AA22" s="843">
        <v>97122</v>
      </c>
      <c r="AB22" s="843"/>
      <c r="AC22" s="843">
        <v>965</v>
      </c>
      <c r="AD22" s="843">
        <v>260160</v>
      </c>
      <c r="AE22" s="843"/>
      <c r="AF22" s="845"/>
      <c r="AG22" s="843"/>
      <c r="AH22" s="843"/>
      <c r="AI22" s="843"/>
      <c r="AJ22" s="843">
        <v>7299446.6289999997</v>
      </c>
      <c r="AK22" s="192"/>
      <c r="AL22" s="429"/>
      <c r="AM22" s="429"/>
      <c r="AN22" s="429"/>
      <c r="AO22" s="429"/>
    </row>
    <row r="23" spans="1:41" ht="26.1" customHeight="1" x14ac:dyDescent="0.2">
      <c r="A23" s="419">
        <v>18</v>
      </c>
      <c r="B23" s="842">
        <v>7659460</v>
      </c>
      <c r="C23" s="843"/>
      <c r="D23" s="843"/>
      <c r="E23" s="843">
        <v>64</v>
      </c>
      <c r="F23" s="843">
        <v>5700.9</v>
      </c>
      <c r="G23" s="843">
        <v>68225</v>
      </c>
      <c r="H23" s="844"/>
      <c r="I23" s="845">
        <v>74799</v>
      </c>
      <c r="J23" s="843">
        <v>596805</v>
      </c>
      <c r="K23" s="844">
        <v>468000</v>
      </c>
      <c r="L23" s="843">
        <v>227.79</v>
      </c>
      <c r="M23" s="846">
        <v>82454.880000000005</v>
      </c>
      <c r="N23" s="845">
        <v>13310.16</v>
      </c>
      <c r="O23" s="847">
        <v>195535</v>
      </c>
      <c r="P23" s="848">
        <v>36388</v>
      </c>
      <c r="Q23" s="843">
        <v>922154</v>
      </c>
      <c r="R23" s="843"/>
      <c r="S23" s="843">
        <v>57476</v>
      </c>
      <c r="T23" s="843"/>
      <c r="U23" s="843">
        <v>21275</v>
      </c>
      <c r="V23" s="849">
        <v>1314536</v>
      </c>
      <c r="W23" s="843"/>
      <c r="X23" s="850">
        <v>37599</v>
      </c>
      <c r="Y23" s="843">
        <v>42265</v>
      </c>
      <c r="Z23" s="843">
        <v>9381</v>
      </c>
      <c r="AA23" s="843">
        <v>97122</v>
      </c>
      <c r="AB23" s="843"/>
      <c r="AC23" s="843">
        <v>994</v>
      </c>
      <c r="AD23" s="843">
        <v>260160</v>
      </c>
      <c r="AE23" s="843"/>
      <c r="AF23" s="845"/>
      <c r="AG23" s="843"/>
      <c r="AH23" s="843"/>
      <c r="AI23" s="843"/>
      <c r="AJ23" s="843">
        <v>7299446.6289999997</v>
      </c>
      <c r="AK23" s="835"/>
      <c r="AL23" s="429"/>
      <c r="AM23" s="429"/>
      <c r="AN23" s="429"/>
      <c r="AO23" s="429"/>
    </row>
    <row r="24" spans="1:41" ht="26.1" customHeight="1" x14ac:dyDescent="0.2">
      <c r="A24" s="419">
        <v>19</v>
      </c>
      <c r="B24" s="842">
        <v>7663070</v>
      </c>
      <c r="C24" s="843"/>
      <c r="D24" s="843"/>
      <c r="E24" s="843">
        <v>64</v>
      </c>
      <c r="F24" s="843">
        <v>5721.3</v>
      </c>
      <c r="G24" s="843">
        <v>68225</v>
      </c>
      <c r="H24" s="844"/>
      <c r="I24" s="845">
        <v>79826</v>
      </c>
      <c r="J24" s="843">
        <v>601416</v>
      </c>
      <c r="K24" s="844">
        <v>468000</v>
      </c>
      <c r="L24" s="843">
        <v>321.60000000000002</v>
      </c>
      <c r="M24" s="846">
        <v>85808.84</v>
      </c>
      <c r="N24" s="845">
        <v>13907.03</v>
      </c>
      <c r="O24" s="847">
        <v>195744</v>
      </c>
      <c r="P24" s="848">
        <v>36622</v>
      </c>
      <c r="Q24" s="843">
        <v>922445</v>
      </c>
      <c r="R24" s="843"/>
      <c r="S24" s="843">
        <v>57638</v>
      </c>
      <c r="T24" s="843"/>
      <c r="U24" s="843">
        <v>21288</v>
      </c>
      <c r="V24" s="849">
        <v>1314772</v>
      </c>
      <c r="W24" s="843"/>
      <c r="X24" s="850">
        <v>37656</v>
      </c>
      <c r="Y24" s="843">
        <v>42393</v>
      </c>
      <c r="Z24" s="843">
        <v>9403</v>
      </c>
      <c r="AA24" s="843">
        <v>97122</v>
      </c>
      <c r="AB24" s="843"/>
      <c r="AC24" s="843">
        <v>1026</v>
      </c>
      <c r="AD24" s="843">
        <v>260160</v>
      </c>
      <c r="AE24" s="843"/>
      <c r="AF24" s="845"/>
      <c r="AG24" s="843"/>
      <c r="AH24" s="843"/>
      <c r="AI24" s="843"/>
      <c r="AJ24" s="843">
        <v>7299446.6289999997</v>
      </c>
      <c r="AK24" s="835"/>
      <c r="AL24" s="429"/>
      <c r="AM24" s="429"/>
      <c r="AN24" s="429"/>
      <c r="AO24" s="429"/>
    </row>
    <row r="25" spans="1:41" ht="26.1" customHeight="1" x14ac:dyDescent="0.2">
      <c r="A25" s="419">
        <v>20</v>
      </c>
      <c r="B25" s="842">
        <v>7665980</v>
      </c>
      <c r="C25" s="843"/>
      <c r="D25" s="843"/>
      <c r="E25" s="843">
        <v>64</v>
      </c>
      <c r="F25" s="843">
        <v>5739.5</v>
      </c>
      <c r="G25" s="843">
        <v>68225</v>
      </c>
      <c r="H25" s="844"/>
      <c r="I25" s="845">
        <v>84348</v>
      </c>
      <c r="J25" s="843">
        <v>605558</v>
      </c>
      <c r="K25" s="844">
        <v>468000</v>
      </c>
      <c r="L25" s="843">
        <v>426.44</v>
      </c>
      <c r="M25" s="846">
        <v>88685.08</v>
      </c>
      <c r="N25" s="845">
        <v>14322.87</v>
      </c>
      <c r="O25" s="847">
        <v>195942</v>
      </c>
      <c r="P25" s="848">
        <v>36847</v>
      </c>
      <c r="Q25" s="855">
        <v>922655</v>
      </c>
      <c r="R25" s="843"/>
      <c r="S25" s="843">
        <v>57806</v>
      </c>
      <c r="T25" s="843"/>
      <c r="U25" s="843">
        <v>21297</v>
      </c>
      <c r="V25" s="849">
        <v>1315015</v>
      </c>
      <c r="W25" s="843"/>
      <c r="X25" s="850">
        <v>37695</v>
      </c>
      <c r="Y25" s="843">
        <v>42482</v>
      </c>
      <c r="Z25" s="843">
        <v>9418</v>
      </c>
      <c r="AA25" s="843">
        <v>97122</v>
      </c>
      <c r="AB25" s="843"/>
      <c r="AC25" s="843">
        <v>1050</v>
      </c>
      <c r="AD25" s="843">
        <v>260160</v>
      </c>
      <c r="AE25" s="843"/>
      <c r="AF25" s="845"/>
      <c r="AG25" s="843"/>
      <c r="AH25" s="843"/>
      <c r="AI25" s="843"/>
      <c r="AJ25" s="843">
        <v>7299446.6289999997</v>
      </c>
      <c r="AK25" s="192"/>
      <c r="AL25" s="429"/>
      <c r="AM25" s="429"/>
      <c r="AN25" s="429"/>
      <c r="AO25" s="429"/>
    </row>
    <row r="26" spans="1:41" ht="26.1" customHeight="1" x14ac:dyDescent="0.2">
      <c r="A26" s="419">
        <v>21</v>
      </c>
      <c r="B26" s="842">
        <v>7665980</v>
      </c>
      <c r="C26" s="843"/>
      <c r="D26" s="843"/>
      <c r="E26" s="843">
        <v>64</v>
      </c>
      <c r="F26" s="843">
        <v>5739.5</v>
      </c>
      <c r="G26" s="843">
        <v>68225</v>
      </c>
      <c r="H26" s="844"/>
      <c r="I26" s="845">
        <v>87376</v>
      </c>
      <c r="J26" s="843">
        <v>608310</v>
      </c>
      <c r="K26" s="844">
        <v>468000</v>
      </c>
      <c r="L26" s="843">
        <v>426.44</v>
      </c>
      <c r="M26" s="846">
        <v>88685.08</v>
      </c>
      <c r="N26" s="845">
        <v>14322.87</v>
      </c>
      <c r="O26" s="847">
        <v>195942</v>
      </c>
      <c r="P26" s="848">
        <v>36847</v>
      </c>
      <c r="Q26" s="855">
        <v>922692</v>
      </c>
      <c r="R26" s="843"/>
      <c r="S26" s="843">
        <v>57806</v>
      </c>
      <c r="T26" s="843"/>
      <c r="U26" s="843">
        <v>21299</v>
      </c>
      <c r="V26" s="849">
        <v>1315015</v>
      </c>
      <c r="W26" s="843"/>
      <c r="X26" s="850">
        <v>37695</v>
      </c>
      <c r="Y26" s="843">
        <v>42488</v>
      </c>
      <c r="Z26" s="843">
        <v>9421</v>
      </c>
      <c r="AA26" s="843">
        <v>97122</v>
      </c>
      <c r="AB26" s="843"/>
      <c r="AC26" s="843">
        <v>1050</v>
      </c>
      <c r="AD26" s="843">
        <v>260160</v>
      </c>
      <c r="AE26" s="843"/>
      <c r="AF26" s="845"/>
      <c r="AG26" s="843"/>
      <c r="AH26" s="843"/>
      <c r="AI26" s="843"/>
      <c r="AJ26" s="843">
        <v>7305318.8399999999</v>
      </c>
      <c r="AK26" s="192"/>
      <c r="AL26" s="429"/>
      <c r="AM26" s="429"/>
      <c r="AN26" s="429"/>
      <c r="AO26" s="429"/>
    </row>
    <row r="27" spans="1:41" ht="26.1" customHeight="1" x14ac:dyDescent="0.2">
      <c r="A27" s="419">
        <v>22</v>
      </c>
      <c r="B27" s="842">
        <v>7667310</v>
      </c>
      <c r="C27" s="843"/>
      <c r="D27" s="843"/>
      <c r="E27" s="843">
        <v>64</v>
      </c>
      <c r="F27" s="843">
        <v>5746.2</v>
      </c>
      <c r="G27" s="843">
        <v>68225</v>
      </c>
      <c r="H27" s="844"/>
      <c r="I27" s="845">
        <v>89902</v>
      </c>
      <c r="J27" s="843">
        <v>610606</v>
      </c>
      <c r="K27" s="844">
        <v>468000</v>
      </c>
      <c r="L27" s="843">
        <v>426.44</v>
      </c>
      <c r="M27" s="846">
        <v>88686.95</v>
      </c>
      <c r="N27" s="845">
        <v>14322.93</v>
      </c>
      <c r="O27" s="847">
        <v>196016</v>
      </c>
      <c r="P27" s="848">
        <v>36892</v>
      </c>
      <c r="Q27" s="843">
        <v>922715</v>
      </c>
      <c r="R27" s="843"/>
      <c r="S27" s="843">
        <v>57807</v>
      </c>
      <c r="T27" s="843"/>
      <c r="U27" s="843">
        <v>21300</v>
      </c>
      <c r="V27" s="849">
        <v>1315067</v>
      </c>
      <c r="W27" s="843"/>
      <c r="X27" s="850">
        <v>37695</v>
      </c>
      <c r="Y27" s="843">
        <v>42513</v>
      </c>
      <c r="Z27" s="843">
        <v>9428</v>
      </c>
      <c r="AA27" s="843">
        <v>97122</v>
      </c>
      <c r="AB27" s="843"/>
      <c r="AC27" s="843">
        <v>1064</v>
      </c>
      <c r="AD27" s="843">
        <v>260160</v>
      </c>
      <c r="AE27" s="843"/>
      <c r="AF27" s="845"/>
      <c r="AG27" s="843"/>
      <c r="AH27" s="843"/>
      <c r="AI27" s="843"/>
      <c r="AJ27" s="843">
        <v>7305439.9979999997</v>
      </c>
      <c r="AK27" s="192"/>
      <c r="AL27" s="429"/>
      <c r="AM27" s="429"/>
      <c r="AN27" s="429"/>
      <c r="AO27" s="429"/>
    </row>
    <row r="28" spans="1:41" ht="26.1" customHeight="1" x14ac:dyDescent="0.2">
      <c r="A28" s="419">
        <v>23</v>
      </c>
      <c r="B28" s="842">
        <v>7670220</v>
      </c>
      <c r="C28" s="843"/>
      <c r="D28" s="843"/>
      <c r="E28" s="843">
        <v>64</v>
      </c>
      <c r="F28" s="843">
        <v>5765</v>
      </c>
      <c r="G28" s="843">
        <v>68225</v>
      </c>
      <c r="H28" s="844"/>
      <c r="I28" s="845">
        <v>94475</v>
      </c>
      <c r="J28" s="843">
        <v>614791</v>
      </c>
      <c r="K28" s="844">
        <v>468000</v>
      </c>
      <c r="L28" s="843">
        <v>482.07</v>
      </c>
      <c r="M28" s="846">
        <v>90389.85</v>
      </c>
      <c r="N28" s="845">
        <v>14635.1</v>
      </c>
      <c r="O28" s="847">
        <v>196215</v>
      </c>
      <c r="P28" s="848">
        <v>37028</v>
      </c>
      <c r="Q28" s="843">
        <v>922982</v>
      </c>
      <c r="R28" s="843"/>
      <c r="S28" s="843">
        <v>57938</v>
      </c>
      <c r="T28" s="843"/>
      <c r="U28" s="843">
        <v>21310</v>
      </c>
      <c r="V28" s="849">
        <v>1315209</v>
      </c>
      <c r="W28" s="843"/>
      <c r="X28" s="850">
        <v>37737</v>
      </c>
      <c r="Y28" s="843">
        <v>42600</v>
      </c>
      <c r="Z28" s="843">
        <v>9445</v>
      </c>
      <c r="AA28" s="843">
        <v>97122</v>
      </c>
      <c r="AB28" s="843"/>
      <c r="AC28" s="843">
        <v>1064</v>
      </c>
      <c r="AD28" s="843">
        <v>260160</v>
      </c>
      <c r="AE28" s="843"/>
      <c r="AF28" s="845"/>
      <c r="AG28" s="843"/>
      <c r="AH28" s="843"/>
      <c r="AI28" s="843"/>
      <c r="AJ28" s="843">
        <v>7305439.9979999997</v>
      </c>
      <c r="AK28" s="192"/>
      <c r="AL28" s="429"/>
      <c r="AM28" s="429"/>
      <c r="AN28" s="429"/>
      <c r="AO28" s="429"/>
    </row>
    <row r="29" spans="1:41" ht="26.1" customHeight="1" x14ac:dyDescent="0.2">
      <c r="A29" s="419">
        <v>24</v>
      </c>
      <c r="B29" s="842">
        <v>7673440</v>
      </c>
      <c r="C29" s="843"/>
      <c r="D29" s="843"/>
      <c r="E29" s="843">
        <v>64</v>
      </c>
      <c r="F29" s="843">
        <v>5785.8</v>
      </c>
      <c r="G29" s="843">
        <v>68225</v>
      </c>
      <c r="H29" s="844"/>
      <c r="I29" s="845">
        <v>99569</v>
      </c>
      <c r="J29" s="843">
        <v>619457</v>
      </c>
      <c r="K29" s="844">
        <v>468000</v>
      </c>
      <c r="L29" s="843">
        <v>573.79</v>
      </c>
      <c r="M29" s="846">
        <v>92765.4</v>
      </c>
      <c r="N29" s="845">
        <v>15032.33</v>
      </c>
      <c r="O29" s="847">
        <v>196611</v>
      </c>
      <c r="P29" s="848">
        <v>37085</v>
      </c>
      <c r="Q29" s="843">
        <v>923241</v>
      </c>
      <c r="R29" s="843"/>
      <c r="S29" s="843">
        <v>58130</v>
      </c>
      <c r="T29" s="843"/>
      <c r="U29" s="843">
        <v>21321</v>
      </c>
      <c r="V29" s="849">
        <v>1315268</v>
      </c>
      <c r="W29" s="843"/>
      <c r="X29" s="850">
        <v>37802</v>
      </c>
      <c r="Y29" s="843">
        <v>42695</v>
      </c>
      <c r="Z29" s="843">
        <v>9458</v>
      </c>
      <c r="AA29" s="843">
        <v>97122</v>
      </c>
      <c r="AB29" s="843"/>
      <c r="AC29" s="843">
        <v>1112</v>
      </c>
      <c r="AD29" s="843">
        <v>260160</v>
      </c>
      <c r="AE29" s="843"/>
      <c r="AF29" s="845"/>
      <c r="AG29" s="843"/>
      <c r="AH29" s="843"/>
      <c r="AI29" s="843"/>
      <c r="AJ29" s="843">
        <v>7305439.9979999997</v>
      </c>
      <c r="AK29" s="192"/>
      <c r="AL29" s="429"/>
      <c r="AM29" s="429"/>
      <c r="AN29" s="429"/>
      <c r="AO29" s="429"/>
    </row>
    <row r="30" spans="1:41" ht="26.1" customHeight="1" x14ac:dyDescent="0.2">
      <c r="A30" s="419">
        <v>25</v>
      </c>
      <c r="B30" s="842">
        <v>7674980</v>
      </c>
      <c r="C30" s="843"/>
      <c r="D30" s="843"/>
      <c r="E30" s="843">
        <v>64</v>
      </c>
      <c r="F30" s="843">
        <v>5799.2</v>
      </c>
      <c r="G30" s="843">
        <v>68225</v>
      </c>
      <c r="H30" s="844"/>
      <c r="I30" s="845">
        <v>103003</v>
      </c>
      <c r="J30" s="843">
        <v>622598</v>
      </c>
      <c r="K30" s="844">
        <v>468000</v>
      </c>
      <c r="L30" s="843">
        <v>595.34</v>
      </c>
      <c r="M30" s="846">
        <v>93081.25</v>
      </c>
      <c r="N30" s="845">
        <v>15032.33</v>
      </c>
      <c r="O30" s="847">
        <v>196713</v>
      </c>
      <c r="P30" s="848">
        <v>37206</v>
      </c>
      <c r="Q30" s="843">
        <v>923343</v>
      </c>
      <c r="R30" s="843"/>
      <c r="S30" s="843">
        <v>58293</v>
      </c>
      <c r="T30" s="843"/>
      <c r="U30" s="843">
        <v>21321</v>
      </c>
      <c r="V30" s="849">
        <v>1315398</v>
      </c>
      <c r="W30" s="843"/>
      <c r="X30" s="850">
        <v>37859</v>
      </c>
      <c r="Y30" s="843">
        <v>42696</v>
      </c>
      <c r="Z30" s="843">
        <v>9463</v>
      </c>
      <c r="AA30" s="843">
        <v>97122</v>
      </c>
      <c r="AB30" s="843"/>
      <c r="AC30" s="843">
        <v>1114</v>
      </c>
      <c r="AD30" s="843">
        <v>260160</v>
      </c>
      <c r="AE30" s="843"/>
      <c r="AF30" s="845"/>
      <c r="AG30" s="843"/>
      <c r="AH30" s="843"/>
      <c r="AI30" s="843"/>
      <c r="AJ30" s="843">
        <v>7305439.9979999997</v>
      </c>
      <c r="AK30" s="192"/>
      <c r="AL30" s="429"/>
      <c r="AM30" s="429"/>
      <c r="AN30" s="429"/>
      <c r="AO30" s="429"/>
    </row>
    <row r="31" spans="1:41" ht="26.1" customHeight="1" x14ac:dyDescent="0.2">
      <c r="A31" s="419">
        <v>26</v>
      </c>
      <c r="B31" s="842">
        <v>7678090</v>
      </c>
      <c r="C31" s="843"/>
      <c r="D31" s="843"/>
      <c r="E31" s="843">
        <v>64</v>
      </c>
      <c r="F31" s="843">
        <v>5819.4</v>
      </c>
      <c r="G31" s="843">
        <v>68225</v>
      </c>
      <c r="H31" s="844"/>
      <c r="I31" s="845">
        <v>107475</v>
      </c>
      <c r="J31" s="843">
        <v>626692</v>
      </c>
      <c r="K31" s="844">
        <v>468000</v>
      </c>
      <c r="L31" s="843">
        <v>603.13</v>
      </c>
      <c r="M31" s="846">
        <v>94749.16</v>
      </c>
      <c r="N31" s="845">
        <v>15297.69</v>
      </c>
      <c r="O31" s="847">
        <v>196964</v>
      </c>
      <c r="P31" s="848">
        <v>37335</v>
      </c>
      <c r="Q31" s="843">
        <v>923539</v>
      </c>
      <c r="R31" s="843"/>
      <c r="S31" s="843">
        <v>58472</v>
      </c>
      <c r="T31" s="843"/>
      <c r="U31" s="843">
        <v>21327</v>
      </c>
      <c r="V31" s="849">
        <v>1315530</v>
      </c>
      <c r="W31" s="843"/>
      <c r="X31" s="850">
        <v>37904</v>
      </c>
      <c r="Y31" s="843">
        <v>42773</v>
      </c>
      <c r="Z31" s="843">
        <v>9476</v>
      </c>
      <c r="AA31" s="843">
        <v>97122</v>
      </c>
      <c r="AB31" s="843"/>
      <c r="AC31" s="843">
        <v>1132</v>
      </c>
      <c r="AD31" s="843">
        <v>260190</v>
      </c>
      <c r="AE31" s="843"/>
      <c r="AF31" s="845"/>
      <c r="AG31" s="843"/>
      <c r="AH31" s="843"/>
      <c r="AI31" s="843"/>
      <c r="AJ31" s="843">
        <v>7305439.9979999997</v>
      </c>
      <c r="AK31" s="192"/>
      <c r="AL31" s="429"/>
      <c r="AM31" s="429"/>
      <c r="AN31" s="429"/>
      <c r="AO31" s="429"/>
    </row>
    <row r="32" spans="1:41" ht="26.1" customHeight="1" x14ac:dyDescent="0.2">
      <c r="A32" s="419">
        <v>27</v>
      </c>
      <c r="B32" s="842">
        <v>7680900</v>
      </c>
      <c r="C32" s="843"/>
      <c r="D32" s="843"/>
      <c r="E32" s="843">
        <v>64</v>
      </c>
      <c r="F32" s="843">
        <v>5837.9</v>
      </c>
      <c r="G32" s="843">
        <v>68225</v>
      </c>
      <c r="H32" s="844"/>
      <c r="I32" s="845">
        <v>112003</v>
      </c>
      <c r="J32" s="843">
        <v>630838</v>
      </c>
      <c r="K32" s="844">
        <v>468000</v>
      </c>
      <c r="L32" s="843">
        <v>666.52</v>
      </c>
      <c r="M32" s="846">
        <v>97623.45</v>
      </c>
      <c r="N32" s="845">
        <v>15704.65</v>
      </c>
      <c r="O32" s="847">
        <v>197105</v>
      </c>
      <c r="P32" s="848">
        <v>37518</v>
      </c>
      <c r="Q32" s="843">
        <v>923779</v>
      </c>
      <c r="R32" s="843"/>
      <c r="S32" s="843">
        <v>58585</v>
      </c>
      <c r="T32" s="843"/>
      <c r="U32" s="843">
        <v>21333</v>
      </c>
      <c r="V32" s="849">
        <v>1315723</v>
      </c>
      <c r="W32" s="843"/>
      <c r="X32" s="850">
        <v>37955</v>
      </c>
      <c r="Y32" s="843">
        <v>42872</v>
      </c>
      <c r="Z32" s="843">
        <v>9491</v>
      </c>
      <c r="AA32" s="843">
        <v>97122</v>
      </c>
      <c r="AB32" s="843"/>
      <c r="AC32" s="843">
        <v>1158</v>
      </c>
      <c r="AD32" s="843">
        <v>260259</v>
      </c>
      <c r="AE32" s="843"/>
      <c r="AF32" s="845"/>
      <c r="AG32" s="843"/>
      <c r="AH32" s="843"/>
      <c r="AI32" s="843"/>
      <c r="AJ32" s="843">
        <v>7305439.9979999997</v>
      </c>
      <c r="AK32" s="192"/>
      <c r="AL32" s="429"/>
      <c r="AM32" s="429"/>
      <c r="AN32" s="429"/>
      <c r="AO32" s="429"/>
    </row>
    <row r="33" spans="1:41" ht="26.1" customHeight="1" x14ac:dyDescent="0.2">
      <c r="A33" s="419">
        <v>28</v>
      </c>
      <c r="B33" s="842">
        <v>7681590</v>
      </c>
      <c r="C33" s="843"/>
      <c r="D33" s="843"/>
      <c r="E33" s="843">
        <v>64</v>
      </c>
      <c r="F33" s="843">
        <v>5842.5</v>
      </c>
      <c r="G33" s="843">
        <v>68225</v>
      </c>
      <c r="H33" s="844"/>
      <c r="I33" s="845">
        <v>115338</v>
      </c>
      <c r="J33" s="843">
        <v>633879</v>
      </c>
      <c r="K33" s="844">
        <v>468000</v>
      </c>
      <c r="L33" s="843">
        <v>666.52</v>
      </c>
      <c r="M33" s="846">
        <v>97623.45</v>
      </c>
      <c r="N33" s="845">
        <v>15704.65</v>
      </c>
      <c r="O33" s="847">
        <v>197105</v>
      </c>
      <c r="P33" s="848">
        <v>37665</v>
      </c>
      <c r="Q33" s="843">
        <v>923847</v>
      </c>
      <c r="R33" s="843"/>
      <c r="S33" s="843">
        <v>58620</v>
      </c>
      <c r="T33" s="843"/>
      <c r="U33" s="843">
        <v>21338</v>
      </c>
      <c r="V33" s="849">
        <v>1315877</v>
      </c>
      <c r="W33" s="843"/>
      <c r="X33" s="850">
        <v>37955</v>
      </c>
      <c r="Y33" s="843">
        <v>42902</v>
      </c>
      <c r="Z33" s="843">
        <v>9492</v>
      </c>
      <c r="AA33" s="843">
        <v>97122</v>
      </c>
      <c r="AB33" s="843"/>
      <c r="AC33" s="843">
        <v>1159</v>
      </c>
      <c r="AD33" s="843">
        <v>260259</v>
      </c>
      <c r="AE33" s="843"/>
      <c r="AF33" s="845"/>
      <c r="AG33" s="843"/>
      <c r="AH33" s="843"/>
      <c r="AI33" s="843"/>
      <c r="AJ33" s="843">
        <v>7305439.9979999997</v>
      </c>
      <c r="AK33" s="192"/>
      <c r="AL33" s="429"/>
      <c r="AM33" s="429"/>
      <c r="AN33" s="429"/>
      <c r="AO33" s="429"/>
    </row>
    <row r="34" spans="1:41" ht="26.1" customHeight="1" x14ac:dyDescent="0.2">
      <c r="A34" s="419">
        <v>29</v>
      </c>
      <c r="B34" s="842">
        <v>7682330</v>
      </c>
      <c r="C34" s="843"/>
      <c r="D34" s="843"/>
      <c r="E34" s="843">
        <v>64</v>
      </c>
      <c r="F34" s="843">
        <v>5847.6</v>
      </c>
      <c r="G34" s="843">
        <v>68225</v>
      </c>
      <c r="H34" s="844"/>
      <c r="I34" s="845">
        <v>117773</v>
      </c>
      <c r="J34" s="843">
        <v>636098</v>
      </c>
      <c r="K34" s="844">
        <v>468000</v>
      </c>
      <c r="L34" s="843">
        <v>666.52</v>
      </c>
      <c r="M34" s="846">
        <v>97623.45</v>
      </c>
      <c r="N34" s="845">
        <v>15704.65</v>
      </c>
      <c r="O34" s="847">
        <v>197105</v>
      </c>
      <c r="P34" s="848">
        <v>37665</v>
      </c>
      <c r="Q34" s="843">
        <v>923866</v>
      </c>
      <c r="R34" s="843"/>
      <c r="S34" s="843">
        <v>58621</v>
      </c>
      <c r="T34" s="843"/>
      <c r="U34" s="843">
        <v>21338</v>
      </c>
      <c r="V34" s="849">
        <v>1315877</v>
      </c>
      <c r="W34" s="843"/>
      <c r="X34" s="850">
        <v>37955</v>
      </c>
      <c r="Y34" s="843">
        <v>42903</v>
      </c>
      <c r="Z34" s="843">
        <v>9494</v>
      </c>
      <c r="AA34" s="843">
        <v>97122</v>
      </c>
      <c r="AB34" s="843"/>
      <c r="AC34" s="843">
        <v>1159</v>
      </c>
      <c r="AD34" s="843">
        <v>260259</v>
      </c>
      <c r="AE34" s="843"/>
      <c r="AF34" s="845"/>
      <c r="AG34" s="843"/>
      <c r="AH34" s="843"/>
      <c r="AI34" s="843"/>
      <c r="AJ34" s="843">
        <v>7305530.4709999999</v>
      </c>
      <c r="AK34" s="192"/>
      <c r="AL34" s="429"/>
      <c r="AM34" s="429"/>
      <c r="AN34" s="429"/>
      <c r="AO34" s="429"/>
    </row>
    <row r="35" spans="1:41" ht="26.1" customHeight="1" x14ac:dyDescent="0.2">
      <c r="A35" s="419">
        <v>30</v>
      </c>
      <c r="B35" s="856">
        <v>7684820</v>
      </c>
      <c r="C35" s="857"/>
      <c r="D35" s="857"/>
      <c r="E35" s="857">
        <v>64</v>
      </c>
      <c r="F35" s="857">
        <v>5865.1</v>
      </c>
      <c r="G35" s="857">
        <v>68225</v>
      </c>
      <c r="H35" s="858"/>
      <c r="I35" s="859">
        <v>121776</v>
      </c>
      <c r="J35" s="857">
        <v>639753</v>
      </c>
      <c r="K35" s="858">
        <v>468000</v>
      </c>
      <c r="L35" s="857">
        <v>678.5</v>
      </c>
      <c r="M35" s="860">
        <v>99397.08</v>
      </c>
      <c r="N35" s="859">
        <v>16001.53</v>
      </c>
      <c r="O35" s="861">
        <v>197400</v>
      </c>
      <c r="P35" s="862">
        <v>37726</v>
      </c>
      <c r="Q35" s="857">
        <v>924066</v>
      </c>
      <c r="R35" s="857"/>
      <c r="S35" s="857">
        <v>58664</v>
      </c>
      <c r="T35" s="857"/>
      <c r="U35" s="857">
        <v>21362</v>
      </c>
      <c r="V35" s="863">
        <v>1315942</v>
      </c>
      <c r="W35" s="857"/>
      <c r="X35" s="864">
        <v>38003</v>
      </c>
      <c r="Y35" s="857">
        <v>42973</v>
      </c>
      <c r="Z35" s="857">
        <v>9509</v>
      </c>
      <c r="AA35" s="857">
        <v>97122</v>
      </c>
      <c r="AB35" s="857"/>
      <c r="AC35" s="857">
        <v>1180</v>
      </c>
      <c r="AD35" s="857">
        <v>260317</v>
      </c>
      <c r="AE35" s="857"/>
      <c r="AF35" s="859"/>
      <c r="AG35" s="857"/>
      <c r="AH35" s="857"/>
      <c r="AI35" s="865"/>
      <c r="AJ35" s="857">
        <v>7305590.8930000002</v>
      </c>
      <c r="AK35" s="333"/>
      <c r="AL35" s="530"/>
      <c r="AM35" s="533"/>
      <c r="AN35" s="530"/>
      <c r="AO35" s="530"/>
    </row>
    <row r="36" spans="1:41" ht="26.1" customHeight="1" x14ac:dyDescent="0.2">
      <c r="A36" s="419">
        <v>1</v>
      </c>
      <c r="B36" s="869">
        <v>7688000</v>
      </c>
      <c r="C36" s="870"/>
      <c r="D36" s="870"/>
      <c r="E36" s="870">
        <v>64</v>
      </c>
      <c r="F36" s="870">
        <v>5885.9</v>
      </c>
      <c r="G36" s="870">
        <v>68225</v>
      </c>
      <c r="H36" s="871"/>
      <c r="I36" s="872">
        <v>126545</v>
      </c>
      <c r="J36" s="870">
        <v>644115</v>
      </c>
      <c r="K36" s="871">
        <v>468000</v>
      </c>
      <c r="L36" s="870">
        <v>698.99</v>
      </c>
      <c r="M36" s="873">
        <v>100759.27</v>
      </c>
      <c r="N36" s="872">
        <v>16327.16</v>
      </c>
      <c r="O36" s="874">
        <v>197585</v>
      </c>
      <c r="P36" s="875">
        <v>37910</v>
      </c>
      <c r="Q36" s="870">
        <v>924266</v>
      </c>
      <c r="R36" s="870"/>
      <c r="S36" s="870">
        <v>58897</v>
      </c>
      <c r="T36" s="870"/>
      <c r="U36" s="870">
        <v>21369</v>
      </c>
      <c r="V36" s="876">
        <v>1316136</v>
      </c>
      <c r="W36" s="870"/>
      <c r="X36" s="877">
        <v>38049</v>
      </c>
      <c r="Y36" s="870">
        <v>43045</v>
      </c>
      <c r="Z36" s="870">
        <v>9523</v>
      </c>
      <c r="AA36" s="870">
        <v>97122</v>
      </c>
      <c r="AB36" s="870"/>
      <c r="AC36" s="870">
        <v>1208</v>
      </c>
      <c r="AD36" s="870">
        <v>260317</v>
      </c>
      <c r="AE36" s="870"/>
      <c r="AF36" s="872"/>
      <c r="AG36" s="870"/>
      <c r="AH36" s="870"/>
      <c r="AI36" s="878"/>
      <c r="AJ36" s="870">
        <v>7305590.8930000002</v>
      </c>
      <c r="AK36" s="495"/>
      <c r="AL36" s="534"/>
      <c r="AM36" s="535"/>
      <c r="AN36" s="534"/>
      <c r="AO36" s="534"/>
    </row>
    <row r="37" spans="1:41" ht="26.1" customHeight="1" x14ac:dyDescent="0.2">
      <c r="A37" s="419">
        <v>2</v>
      </c>
      <c r="B37" s="368"/>
      <c r="C37" s="192"/>
      <c r="D37" s="192"/>
      <c r="E37" s="192"/>
      <c r="F37" s="192"/>
      <c r="G37" s="192"/>
      <c r="H37" s="193"/>
      <c r="I37" s="194"/>
      <c r="J37" s="192"/>
      <c r="K37" s="193"/>
      <c r="L37" s="192"/>
      <c r="M37" s="195"/>
      <c r="N37" s="194"/>
      <c r="O37" s="196"/>
      <c r="P37" s="197"/>
      <c r="Q37" s="192"/>
      <c r="R37" s="192"/>
      <c r="S37" s="192"/>
      <c r="T37" s="192"/>
      <c r="U37" s="192"/>
      <c r="V37" s="198"/>
      <c r="W37" s="192"/>
      <c r="X37" s="199"/>
      <c r="Y37" s="192"/>
      <c r="Z37" s="192"/>
      <c r="AA37" s="192"/>
      <c r="AB37" s="192"/>
      <c r="AC37" s="192"/>
      <c r="AD37" s="192"/>
      <c r="AE37" s="192"/>
      <c r="AF37" s="194"/>
      <c r="AG37" s="192"/>
      <c r="AH37" s="192"/>
      <c r="AI37" s="200"/>
      <c r="AJ37" s="192"/>
      <c r="AK37" s="495"/>
      <c r="AL37" s="534"/>
      <c r="AM37" s="535"/>
      <c r="AN37" s="534"/>
      <c r="AO37" s="534"/>
    </row>
    <row r="38" spans="1:41" x14ac:dyDescent="0.2">
      <c r="B38" s="190"/>
      <c r="C38" s="190"/>
      <c r="G38" s="190"/>
      <c r="I38" s="893"/>
      <c r="J38" s="890"/>
      <c r="R38" s="190"/>
      <c r="S38" s="190"/>
      <c r="T38" s="190"/>
      <c r="U38" s="190"/>
      <c r="V38" s="190"/>
      <c r="W38" s="190"/>
      <c r="Z38" s="190"/>
      <c r="AA38" s="893"/>
      <c r="AB38" s="893"/>
      <c r="AC38" s="190"/>
      <c r="AD38" s="190"/>
      <c r="AI38" s="421"/>
      <c r="AJ38" s="333"/>
      <c r="AK38" s="333"/>
      <c r="AL38" s="536"/>
      <c r="AM38" s="536"/>
      <c r="AN38" s="536"/>
      <c r="AO38" s="536"/>
    </row>
    <row r="39" spans="1:41" x14ac:dyDescent="0.2">
      <c r="B39" s="190"/>
      <c r="G39" s="190"/>
      <c r="J39" s="190"/>
      <c r="V39" s="189"/>
      <c r="Z39" s="190"/>
      <c r="AA39" s="190"/>
      <c r="AC39" s="190"/>
      <c r="AF39" s="190"/>
      <c r="AG39" s="190"/>
      <c r="AH39" s="190"/>
      <c r="AL39" s="536"/>
      <c r="AM39" s="536"/>
      <c r="AN39" s="536"/>
      <c r="AO39" s="536"/>
    </row>
    <row r="40" spans="1:41" x14ac:dyDescent="0.2">
      <c r="B40" s="190"/>
      <c r="G40" s="190"/>
      <c r="I40" s="190"/>
      <c r="J40" s="190"/>
      <c r="K40" s="190"/>
      <c r="M40" s="190"/>
      <c r="O40" s="190"/>
      <c r="P40" s="190"/>
      <c r="Q40" s="190"/>
      <c r="V40" s="189"/>
      <c r="Y40" s="190"/>
      <c r="Z40" s="190"/>
      <c r="AL40" s="536"/>
      <c r="AM40" s="536"/>
      <c r="AN40" s="536"/>
      <c r="AO40" s="536"/>
    </row>
    <row r="41" spans="1:41" x14ac:dyDescent="0.2">
      <c r="B41" s="190"/>
      <c r="V41" s="189"/>
      <c r="AL41" s="536"/>
      <c r="AM41" s="536"/>
      <c r="AN41" s="536"/>
      <c r="AO41" s="536"/>
    </row>
    <row r="42" spans="1:41" x14ac:dyDescent="0.2">
      <c r="B42" s="190"/>
      <c r="J42" s="422"/>
      <c r="V42" s="189"/>
      <c r="AL42" s="536"/>
      <c r="AM42" s="536"/>
      <c r="AN42" s="536"/>
      <c r="AO42" s="536"/>
    </row>
    <row r="43" spans="1:41" x14ac:dyDescent="0.2">
      <c r="H43" s="422"/>
      <c r="J43" s="422"/>
      <c r="V43" s="189"/>
      <c r="AL43" s="536"/>
      <c r="AM43" s="536"/>
      <c r="AN43" s="536"/>
      <c r="AO43" s="536"/>
    </row>
    <row r="44" spans="1:41" x14ac:dyDescent="0.2">
      <c r="C44" s="189" t="s">
        <v>58</v>
      </c>
      <c r="V44" s="189"/>
      <c r="AL44" s="536"/>
      <c r="AM44" s="536"/>
      <c r="AN44" s="536"/>
      <c r="AO44" s="536"/>
    </row>
    <row r="45" spans="1:41" x14ac:dyDescent="0.2">
      <c r="I45" s="190"/>
      <c r="J45" s="190"/>
      <c r="V45" s="189"/>
      <c r="AL45" s="536"/>
      <c r="AM45" s="536"/>
      <c r="AN45" s="536"/>
      <c r="AO45" s="536"/>
    </row>
    <row r="46" spans="1:41" x14ac:dyDescent="0.2">
      <c r="V46" s="189"/>
      <c r="AL46" s="536"/>
      <c r="AM46" s="536"/>
      <c r="AN46" s="536"/>
      <c r="AO46" s="536"/>
    </row>
    <row r="47" spans="1:41" x14ac:dyDescent="0.2">
      <c r="V47" s="189"/>
      <c r="AL47" s="536"/>
      <c r="AM47" s="536"/>
      <c r="AN47" s="536"/>
      <c r="AO47" s="536"/>
    </row>
    <row r="48" spans="1:41" x14ac:dyDescent="0.2">
      <c r="V48" s="189"/>
      <c r="AL48" s="536"/>
      <c r="AM48" s="536"/>
      <c r="AN48" s="536"/>
      <c r="AO48" s="536"/>
    </row>
    <row r="49" spans="22:41" x14ac:dyDescent="0.2">
      <c r="V49" s="189"/>
      <c r="AL49" s="536"/>
      <c r="AM49" s="536"/>
      <c r="AN49" s="536"/>
      <c r="AO49" s="536"/>
    </row>
    <row r="50" spans="22:41" x14ac:dyDescent="0.2">
      <c r="V50" s="189"/>
      <c r="AL50" s="536"/>
      <c r="AM50" s="536"/>
      <c r="AN50" s="536"/>
      <c r="AO50" s="536"/>
    </row>
    <row r="51" spans="22:41" x14ac:dyDescent="0.2">
      <c r="V51" s="189"/>
      <c r="AL51" s="536"/>
      <c r="AM51" s="536"/>
      <c r="AN51" s="536"/>
      <c r="AO51" s="536"/>
    </row>
    <row r="52" spans="22:41" x14ac:dyDescent="0.2">
      <c r="V52" s="189"/>
      <c r="AL52" s="536"/>
      <c r="AM52" s="536"/>
      <c r="AN52" s="536"/>
      <c r="AO52" s="536"/>
    </row>
    <row r="53" spans="22:41" x14ac:dyDescent="0.2">
      <c r="V53" s="189"/>
      <c r="AL53" s="536"/>
      <c r="AM53" s="536"/>
      <c r="AN53" s="536"/>
      <c r="AO53" s="536"/>
    </row>
    <row r="54" spans="22:41" x14ac:dyDescent="0.2">
      <c r="V54" s="189"/>
      <c r="AL54" s="536"/>
      <c r="AM54" s="536"/>
      <c r="AN54" s="536"/>
      <c r="AO54" s="536"/>
    </row>
    <row r="55" spans="22:41" x14ac:dyDescent="0.2">
      <c r="V55" s="189"/>
      <c r="AL55" s="536"/>
      <c r="AM55" s="536"/>
      <c r="AN55" s="536"/>
      <c r="AO55" s="536"/>
    </row>
    <row r="56" spans="22:41" x14ac:dyDescent="0.2">
      <c r="V56" s="189"/>
      <c r="AL56" s="536"/>
      <c r="AM56" s="536"/>
      <c r="AN56" s="536"/>
      <c r="AO56" s="536"/>
    </row>
    <row r="57" spans="22:41" x14ac:dyDescent="0.2">
      <c r="V57" s="189"/>
      <c r="AL57" s="536"/>
      <c r="AM57" s="536"/>
      <c r="AN57" s="536"/>
      <c r="AO57" s="536"/>
    </row>
    <row r="58" spans="22:41" x14ac:dyDescent="0.2">
      <c r="V58" s="189"/>
      <c r="AL58" s="536"/>
      <c r="AM58" s="536"/>
      <c r="AN58" s="536"/>
      <c r="AO58" s="536"/>
    </row>
    <row r="59" spans="22:41" x14ac:dyDescent="0.2">
      <c r="V59" s="189"/>
      <c r="AL59" s="536"/>
      <c r="AM59" s="536"/>
      <c r="AN59" s="536"/>
      <c r="AO59" s="536"/>
    </row>
    <row r="60" spans="22:41" x14ac:dyDescent="0.2">
      <c r="V60" s="189"/>
      <c r="AL60" s="536"/>
      <c r="AM60" s="536"/>
      <c r="AN60" s="536"/>
      <c r="AO60" s="536"/>
    </row>
    <row r="61" spans="22:41" x14ac:dyDescent="0.2">
      <c r="V61" s="189"/>
      <c r="AL61" s="536"/>
      <c r="AM61" s="536"/>
      <c r="AN61" s="536"/>
      <c r="AO61" s="536"/>
    </row>
    <row r="62" spans="22:41" x14ac:dyDescent="0.2">
      <c r="V62" s="189"/>
      <c r="AL62" s="536"/>
      <c r="AM62" s="536"/>
      <c r="AN62" s="536"/>
      <c r="AO62" s="536"/>
    </row>
    <row r="63" spans="22:41" x14ac:dyDescent="0.2">
      <c r="V63" s="189"/>
      <c r="AL63" s="536"/>
      <c r="AM63" s="536"/>
      <c r="AN63" s="536"/>
      <c r="AO63" s="536"/>
    </row>
    <row r="64" spans="22:41" x14ac:dyDescent="0.2">
      <c r="V64" s="189"/>
      <c r="AL64" s="536"/>
      <c r="AM64" s="536"/>
      <c r="AN64" s="536"/>
      <c r="AO64" s="536"/>
    </row>
    <row r="65" spans="22:41" x14ac:dyDescent="0.2">
      <c r="V65" s="189"/>
      <c r="AL65" s="536"/>
      <c r="AM65" s="536"/>
      <c r="AN65" s="536"/>
      <c r="AO65" s="536"/>
    </row>
    <row r="66" spans="22:41" x14ac:dyDescent="0.2">
      <c r="V66" s="189"/>
      <c r="AL66" s="536"/>
      <c r="AM66" s="536"/>
      <c r="AN66" s="536"/>
      <c r="AO66" s="536"/>
    </row>
    <row r="67" spans="22:41" x14ac:dyDescent="0.2">
      <c r="V67" s="189"/>
      <c r="AL67" s="536"/>
      <c r="AM67" s="536"/>
      <c r="AN67" s="536"/>
      <c r="AO67" s="536"/>
    </row>
    <row r="68" spans="22:41" x14ac:dyDescent="0.2">
      <c r="V68" s="189"/>
      <c r="AL68" s="536"/>
      <c r="AM68" s="536"/>
      <c r="AN68" s="536"/>
      <c r="AO68" s="536"/>
    </row>
    <row r="69" spans="22:41" x14ac:dyDescent="0.2">
      <c r="V69" s="189"/>
      <c r="AL69" s="536"/>
      <c r="AM69" s="536"/>
      <c r="AN69" s="536"/>
      <c r="AO69" s="536"/>
    </row>
    <row r="70" spans="22:41" x14ac:dyDescent="0.2">
      <c r="V70" s="189"/>
      <c r="AL70" s="536"/>
      <c r="AM70" s="536"/>
      <c r="AN70" s="536"/>
      <c r="AO70" s="536"/>
    </row>
    <row r="71" spans="22:41" x14ac:dyDescent="0.2">
      <c r="V71" s="189"/>
      <c r="AL71" s="536"/>
      <c r="AM71" s="536"/>
      <c r="AN71" s="536"/>
      <c r="AO71" s="536"/>
    </row>
    <row r="72" spans="22:41" x14ac:dyDescent="0.2">
      <c r="V72" s="189"/>
      <c r="AL72" s="536"/>
      <c r="AM72" s="536"/>
      <c r="AN72" s="536"/>
      <c r="AO72" s="536"/>
    </row>
    <row r="73" spans="22:41" x14ac:dyDescent="0.2">
      <c r="V73" s="189"/>
      <c r="AL73" s="536"/>
      <c r="AM73" s="536"/>
      <c r="AN73" s="536"/>
      <c r="AO73" s="536"/>
    </row>
    <row r="74" spans="22:41" x14ac:dyDescent="0.2">
      <c r="V74" s="189"/>
      <c r="AL74" s="536"/>
      <c r="AM74" s="536"/>
      <c r="AN74" s="536"/>
      <c r="AO74" s="536"/>
    </row>
    <row r="75" spans="22:41" x14ac:dyDescent="0.2">
      <c r="V75" s="189"/>
      <c r="AL75" s="536"/>
      <c r="AM75" s="536"/>
      <c r="AN75" s="536"/>
      <c r="AO75" s="536"/>
    </row>
    <row r="76" spans="22:41" x14ac:dyDescent="0.2">
      <c r="V76" s="189"/>
      <c r="AL76" s="536"/>
      <c r="AM76" s="536"/>
      <c r="AN76" s="536"/>
      <c r="AO76" s="536"/>
    </row>
    <row r="77" spans="22:41" x14ac:dyDescent="0.2">
      <c r="V77" s="189"/>
      <c r="AL77" s="536"/>
      <c r="AM77" s="536"/>
      <c r="AN77" s="536"/>
      <c r="AO77" s="536"/>
    </row>
    <row r="78" spans="22:41" x14ac:dyDescent="0.2">
      <c r="V78" s="189"/>
      <c r="AL78" s="536"/>
      <c r="AM78" s="536"/>
      <c r="AN78" s="536"/>
      <c r="AO78" s="536"/>
    </row>
    <row r="79" spans="22:41" x14ac:dyDescent="0.2">
      <c r="V79" s="189"/>
      <c r="AL79" s="536"/>
      <c r="AM79" s="536"/>
      <c r="AN79" s="536"/>
      <c r="AO79" s="536"/>
    </row>
    <row r="80" spans="22:41" x14ac:dyDescent="0.2">
      <c r="V80" s="189"/>
      <c r="AL80" s="536"/>
      <c r="AM80" s="536"/>
      <c r="AN80" s="536"/>
      <c r="AO80" s="536"/>
    </row>
    <row r="81" spans="22:41" x14ac:dyDescent="0.2">
      <c r="V81" s="189"/>
      <c r="AL81" s="536"/>
      <c r="AM81" s="536"/>
      <c r="AN81" s="536"/>
      <c r="AO81" s="536"/>
    </row>
    <row r="82" spans="22:41" x14ac:dyDescent="0.2">
      <c r="V82" s="189"/>
      <c r="AL82" s="536"/>
      <c r="AM82" s="536"/>
      <c r="AN82" s="536"/>
      <c r="AO82" s="536"/>
    </row>
    <row r="83" spans="22:41" x14ac:dyDescent="0.2">
      <c r="V83" s="189"/>
      <c r="AL83" s="536"/>
      <c r="AM83" s="536"/>
      <c r="AN83" s="536"/>
      <c r="AO83" s="536"/>
    </row>
    <row r="84" spans="22:41" x14ac:dyDescent="0.2">
      <c r="V84" s="189"/>
      <c r="AL84" s="536"/>
      <c r="AM84" s="536"/>
      <c r="AN84" s="536"/>
      <c r="AO84" s="536"/>
    </row>
    <row r="85" spans="22:41" x14ac:dyDescent="0.2">
      <c r="V85" s="189"/>
      <c r="AL85" s="536"/>
      <c r="AM85" s="536"/>
      <c r="AN85" s="536"/>
      <c r="AO85" s="536"/>
    </row>
    <row r="86" spans="22:41" x14ac:dyDescent="0.2">
      <c r="V86" s="189"/>
      <c r="AL86" s="536"/>
      <c r="AM86" s="536"/>
      <c r="AN86" s="536"/>
      <c r="AO86" s="536"/>
    </row>
    <row r="87" spans="22:41" x14ac:dyDescent="0.2">
      <c r="V87" s="189"/>
      <c r="AL87" s="536"/>
      <c r="AM87" s="536"/>
      <c r="AN87" s="536"/>
      <c r="AO87" s="536"/>
    </row>
    <row r="88" spans="22:41" x14ac:dyDescent="0.2">
      <c r="V88" s="189"/>
      <c r="AL88" s="536"/>
      <c r="AM88" s="536"/>
      <c r="AN88" s="536"/>
      <c r="AO88" s="536"/>
    </row>
    <row r="89" spans="22:41" x14ac:dyDescent="0.2">
      <c r="V89" s="189"/>
      <c r="AL89" s="536"/>
      <c r="AM89" s="536"/>
      <c r="AN89" s="536"/>
      <c r="AO89" s="536"/>
    </row>
    <row r="90" spans="22:41" x14ac:dyDescent="0.2">
      <c r="V90" s="189"/>
      <c r="AL90" s="536"/>
      <c r="AM90" s="536"/>
      <c r="AN90" s="536"/>
      <c r="AO90" s="536"/>
    </row>
    <row r="91" spans="22:41" x14ac:dyDescent="0.2">
      <c r="V91" s="189"/>
      <c r="AL91" s="536"/>
      <c r="AM91" s="536"/>
      <c r="AN91" s="536"/>
      <c r="AO91" s="536"/>
    </row>
    <row r="92" spans="22:41" x14ac:dyDescent="0.2">
      <c r="V92" s="189"/>
      <c r="AL92" s="536"/>
      <c r="AM92" s="536"/>
      <c r="AN92" s="536"/>
      <c r="AO92" s="536"/>
    </row>
    <row r="93" spans="22:41" x14ac:dyDescent="0.2">
      <c r="V93" s="189"/>
      <c r="AL93" s="536"/>
      <c r="AM93" s="536"/>
      <c r="AN93" s="536"/>
      <c r="AO93" s="536"/>
    </row>
    <row r="94" spans="22:41" x14ac:dyDescent="0.2">
      <c r="V94" s="189"/>
      <c r="AL94" s="536"/>
      <c r="AM94" s="536"/>
      <c r="AN94" s="536"/>
      <c r="AO94" s="536"/>
    </row>
    <row r="95" spans="22:41" x14ac:dyDescent="0.2">
      <c r="V95" s="189"/>
      <c r="AL95" s="536"/>
      <c r="AM95" s="536"/>
      <c r="AN95" s="536"/>
      <c r="AO95" s="536"/>
    </row>
    <row r="96" spans="22:41" x14ac:dyDescent="0.2">
      <c r="V96" s="189"/>
      <c r="AL96" s="536"/>
      <c r="AM96" s="536"/>
      <c r="AN96" s="536"/>
      <c r="AO96" s="536"/>
    </row>
    <row r="97" spans="22:41" x14ac:dyDescent="0.2">
      <c r="V97" s="189"/>
      <c r="AL97" s="536"/>
      <c r="AM97" s="536"/>
      <c r="AN97" s="536"/>
      <c r="AO97" s="536"/>
    </row>
    <row r="98" spans="22:41" x14ac:dyDescent="0.2">
      <c r="V98" s="189"/>
      <c r="AL98" s="536"/>
      <c r="AM98" s="536"/>
      <c r="AN98" s="536"/>
      <c r="AO98" s="536"/>
    </row>
    <row r="99" spans="22:41" x14ac:dyDescent="0.2">
      <c r="V99" s="189"/>
      <c r="AL99" s="536"/>
      <c r="AM99" s="536"/>
      <c r="AN99" s="536"/>
      <c r="AO99" s="536"/>
    </row>
    <row r="100" spans="22:41" x14ac:dyDescent="0.2">
      <c r="V100" s="189"/>
      <c r="AL100" s="536"/>
      <c r="AM100" s="536"/>
      <c r="AN100" s="536"/>
      <c r="AO100" s="536"/>
    </row>
    <row r="101" spans="22:41" x14ac:dyDescent="0.2">
      <c r="V101" s="189"/>
      <c r="AL101" s="536"/>
      <c r="AM101" s="536"/>
      <c r="AN101" s="536"/>
      <c r="AO101" s="536"/>
    </row>
    <row r="102" spans="22:41" x14ac:dyDescent="0.2">
      <c r="V102" s="189"/>
      <c r="AL102" s="536"/>
      <c r="AM102" s="536"/>
      <c r="AN102" s="536"/>
      <c r="AO102" s="536"/>
    </row>
    <row r="103" spans="22:41" x14ac:dyDescent="0.2">
      <c r="V103" s="189"/>
      <c r="AL103" s="536"/>
      <c r="AM103" s="536"/>
      <c r="AN103" s="536"/>
      <c r="AO103" s="536"/>
    </row>
    <row r="104" spans="22:41" x14ac:dyDescent="0.2">
      <c r="V104" s="189"/>
      <c r="AL104" s="536"/>
      <c r="AM104" s="536"/>
      <c r="AN104" s="536"/>
      <c r="AO104" s="536"/>
    </row>
    <row r="105" spans="22:41" x14ac:dyDescent="0.2">
      <c r="V105" s="189"/>
      <c r="AL105" s="536"/>
      <c r="AM105" s="536"/>
      <c r="AN105" s="536"/>
      <c r="AO105" s="536"/>
    </row>
    <row r="106" spans="22:41" x14ac:dyDescent="0.2">
      <c r="V106" s="189"/>
      <c r="AL106" s="536"/>
      <c r="AM106" s="536"/>
      <c r="AN106" s="536"/>
      <c r="AO106" s="536"/>
    </row>
    <row r="107" spans="22:41" x14ac:dyDescent="0.2">
      <c r="V107" s="189"/>
      <c r="AL107" s="536"/>
      <c r="AM107" s="536"/>
      <c r="AN107" s="536"/>
      <c r="AO107" s="536"/>
    </row>
    <row r="108" spans="22:41" x14ac:dyDescent="0.2">
      <c r="V108" s="189"/>
      <c r="AL108" s="536"/>
      <c r="AM108" s="536"/>
      <c r="AN108" s="536"/>
      <c r="AO108" s="536"/>
    </row>
    <row r="109" spans="22:41" x14ac:dyDescent="0.2">
      <c r="V109" s="189"/>
      <c r="AL109" s="536"/>
      <c r="AM109" s="536"/>
      <c r="AN109" s="536"/>
      <c r="AO109" s="536"/>
    </row>
    <row r="110" spans="22:41" x14ac:dyDescent="0.2">
      <c r="V110" s="189"/>
      <c r="AL110" s="536"/>
      <c r="AM110" s="536"/>
      <c r="AN110" s="536"/>
      <c r="AO110" s="536"/>
    </row>
    <row r="111" spans="22:41" x14ac:dyDescent="0.2">
      <c r="V111" s="189"/>
      <c r="AL111" s="536"/>
      <c r="AM111" s="536"/>
      <c r="AN111" s="536"/>
      <c r="AO111" s="536"/>
    </row>
    <row r="112" spans="22:41" x14ac:dyDescent="0.2">
      <c r="V112" s="189"/>
      <c r="AL112" s="536"/>
      <c r="AM112" s="536"/>
      <c r="AN112" s="536"/>
      <c r="AO112" s="536"/>
    </row>
    <row r="113" spans="22:41" x14ac:dyDescent="0.2">
      <c r="V113" s="189"/>
      <c r="AL113" s="536"/>
      <c r="AM113" s="536"/>
      <c r="AN113" s="536"/>
      <c r="AO113" s="536"/>
    </row>
    <row r="114" spans="22:41" x14ac:dyDescent="0.2">
      <c r="V114" s="189"/>
      <c r="AL114" s="536"/>
      <c r="AM114" s="536"/>
      <c r="AN114" s="536"/>
      <c r="AO114" s="536"/>
    </row>
    <row r="115" spans="22:41" x14ac:dyDescent="0.2">
      <c r="V115" s="189"/>
      <c r="AL115" s="536"/>
      <c r="AM115" s="536"/>
      <c r="AN115" s="536"/>
      <c r="AO115" s="536"/>
    </row>
    <row r="116" spans="22:41" x14ac:dyDescent="0.2">
      <c r="V116" s="189"/>
      <c r="AL116" s="536"/>
      <c r="AM116" s="536"/>
      <c r="AN116" s="536"/>
      <c r="AO116" s="536"/>
    </row>
    <row r="117" spans="22:41" x14ac:dyDescent="0.2">
      <c r="V117" s="189"/>
      <c r="AL117" s="536"/>
      <c r="AM117" s="536"/>
      <c r="AN117" s="536"/>
      <c r="AO117" s="536"/>
    </row>
    <row r="118" spans="22:41" x14ac:dyDescent="0.2">
      <c r="V118" s="189"/>
      <c r="AL118" s="536"/>
      <c r="AM118" s="536"/>
      <c r="AN118" s="536"/>
      <c r="AO118" s="536"/>
    </row>
    <row r="119" spans="22:41" x14ac:dyDescent="0.2">
      <c r="V119" s="189"/>
      <c r="AL119" s="536"/>
      <c r="AM119" s="536"/>
      <c r="AN119" s="536"/>
      <c r="AO119" s="536"/>
    </row>
    <row r="120" spans="22:41" x14ac:dyDescent="0.2">
      <c r="V120" s="189"/>
      <c r="AL120" s="536"/>
      <c r="AM120" s="536"/>
      <c r="AN120" s="536"/>
      <c r="AO120" s="536"/>
    </row>
    <row r="121" spans="22:41" x14ac:dyDescent="0.2">
      <c r="V121" s="189"/>
      <c r="AL121" s="536"/>
      <c r="AM121" s="536"/>
      <c r="AN121" s="536"/>
      <c r="AO121" s="536"/>
    </row>
    <row r="122" spans="22:41" x14ac:dyDescent="0.2">
      <c r="V122" s="189"/>
      <c r="AL122" s="536"/>
      <c r="AM122" s="536"/>
      <c r="AN122" s="536"/>
      <c r="AO122" s="536"/>
    </row>
    <row r="123" spans="22:41" x14ac:dyDescent="0.2">
      <c r="V123" s="189"/>
      <c r="AL123" s="536"/>
      <c r="AM123" s="536"/>
      <c r="AN123" s="536"/>
      <c r="AO123" s="536"/>
    </row>
    <row r="124" spans="22:41" x14ac:dyDescent="0.2">
      <c r="V124" s="189"/>
      <c r="AL124" s="536"/>
      <c r="AM124" s="536"/>
      <c r="AN124" s="536"/>
      <c r="AO124" s="536"/>
    </row>
    <row r="125" spans="22:41" x14ac:dyDescent="0.2">
      <c r="V125" s="189"/>
      <c r="AL125" s="536"/>
      <c r="AM125" s="536"/>
      <c r="AN125" s="536"/>
      <c r="AO125" s="536"/>
    </row>
    <row r="126" spans="22:41" x14ac:dyDescent="0.2">
      <c r="V126" s="189"/>
      <c r="AL126" s="536"/>
      <c r="AM126" s="536"/>
      <c r="AN126" s="536"/>
      <c r="AO126" s="536"/>
    </row>
    <row r="127" spans="22:41" x14ac:dyDescent="0.2">
      <c r="V127" s="189"/>
      <c r="AL127" s="536"/>
      <c r="AM127" s="536"/>
      <c r="AN127" s="536"/>
      <c r="AO127" s="536"/>
    </row>
    <row r="128" spans="22:41" x14ac:dyDescent="0.2">
      <c r="V128" s="189"/>
      <c r="AL128" s="536"/>
      <c r="AM128" s="536"/>
      <c r="AN128" s="536"/>
      <c r="AO128" s="536"/>
    </row>
    <row r="129" spans="22:41" x14ac:dyDescent="0.2">
      <c r="V129" s="189"/>
      <c r="AL129" s="536"/>
      <c r="AM129" s="536"/>
      <c r="AN129" s="536"/>
      <c r="AO129" s="536"/>
    </row>
    <row r="130" spans="22:41" x14ac:dyDescent="0.2">
      <c r="V130" s="189"/>
      <c r="AL130" s="536"/>
      <c r="AM130" s="536"/>
      <c r="AN130" s="536"/>
      <c r="AO130" s="536"/>
    </row>
    <row r="131" spans="22:41" x14ac:dyDescent="0.2">
      <c r="V131" s="189"/>
      <c r="AL131" s="536"/>
      <c r="AM131" s="536"/>
      <c r="AN131" s="536"/>
      <c r="AO131" s="536"/>
    </row>
    <row r="132" spans="22:41" x14ac:dyDescent="0.2">
      <c r="V132" s="189"/>
      <c r="AL132" s="536"/>
      <c r="AM132" s="536"/>
      <c r="AN132" s="536"/>
      <c r="AO132" s="536"/>
    </row>
    <row r="133" spans="22:41" x14ac:dyDescent="0.2">
      <c r="V133" s="189"/>
      <c r="AL133" s="536"/>
      <c r="AM133" s="536"/>
      <c r="AN133" s="536"/>
      <c r="AO133" s="536"/>
    </row>
    <row r="134" spans="22:41" x14ac:dyDescent="0.2">
      <c r="V134" s="189"/>
      <c r="AL134" s="536"/>
      <c r="AM134" s="536"/>
      <c r="AN134" s="536"/>
      <c r="AO134" s="536"/>
    </row>
    <row r="135" spans="22:41" x14ac:dyDescent="0.2">
      <c r="V135" s="189"/>
      <c r="AL135" s="536"/>
      <c r="AM135" s="536"/>
      <c r="AN135" s="536"/>
      <c r="AO135" s="536"/>
    </row>
    <row r="136" spans="22:41" x14ac:dyDescent="0.2">
      <c r="V136" s="189"/>
      <c r="AL136" s="536"/>
      <c r="AM136" s="536"/>
      <c r="AN136" s="536"/>
      <c r="AO136" s="536"/>
    </row>
    <row r="137" spans="22:41" x14ac:dyDescent="0.2">
      <c r="V137" s="189"/>
      <c r="AL137" s="536"/>
      <c r="AM137" s="536"/>
      <c r="AN137" s="536"/>
      <c r="AO137" s="536"/>
    </row>
    <row r="138" spans="22:41" x14ac:dyDescent="0.2">
      <c r="V138" s="189"/>
      <c r="AL138" s="536"/>
      <c r="AM138" s="536"/>
      <c r="AN138" s="536"/>
      <c r="AO138" s="536"/>
    </row>
    <row r="139" spans="22:41" x14ac:dyDescent="0.2">
      <c r="V139" s="189"/>
      <c r="AL139" s="536"/>
      <c r="AM139" s="536"/>
      <c r="AN139" s="536"/>
      <c r="AO139" s="536"/>
    </row>
    <row r="140" spans="22:41" x14ac:dyDescent="0.2">
      <c r="V140" s="189"/>
      <c r="AL140" s="536"/>
      <c r="AM140" s="536"/>
      <c r="AN140" s="536"/>
      <c r="AO140" s="536"/>
    </row>
    <row r="141" spans="22:41" x14ac:dyDescent="0.2">
      <c r="V141" s="189"/>
      <c r="AL141" s="536"/>
      <c r="AM141" s="536"/>
      <c r="AN141" s="536"/>
      <c r="AO141" s="536"/>
    </row>
    <row r="142" spans="22:41" x14ac:dyDescent="0.2">
      <c r="V142" s="189"/>
      <c r="AL142" s="536"/>
      <c r="AM142" s="536"/>
      <c r="AN142" s="536"/>
      <c r="AO142" s="536"/>
    </row>
    <row r="143" spans="22:41" x14ac:dyDescent="0.2">
      <c r="V143" s="189"/>
      <c r="AL143" s="536"/>
      <c r="AM143" s="536"/>
      <c r="AN143" s="536"/>
      <c r="AO143" s="536"/>
    </row>
    <row r="144" spans="22:41" x14ac:dyDescent="0.2">
      <c r="V144" s="189"/>
      <c r="AL144" s="536"/>
      <c r="AM144" s="536"/>
      <c r="AN144" s="536"/>
      <c r="AO144" s="536"/>
    </row>
    <row r="145" spans="22:41" x14ac:dyDescent="0.2">
      <c r="V145" s="189"/>
      <c r="AL145" s="536"/>
      <c r="AM145" s="536"/>
      <c r="AN145" s="536"/>
      <c r="AO145" s="536"/>
    </row>
    <row r="146" spans="22:41" x14ac:dyDescent="0.2">
      <c r="V146" s="189"/>
      <c r="AL146" s="536"/>
      <c r="AM146" s="536"/>
      <c r="AN146" s="536"/>
      <c r="AO146" s="536"/>
    </row>
    <row r="147" spans="22:41" x14ac:dyDescent="0.2">
      <c r="V147" s="189"/>
      <c r="AL147" s="536"/>
      <c r="AM147" s="536"/>
      <c r="AN147" s="536"/>
      <c r="AO147" s="536"/>
    </row>
    <row r="148" spans="22:41" x14ac:dyDescent="0.2">
      <c r="V148" s="189"/>
      <c r="AL148" s="536"/>
      <c r="AM148" s="536"/>
      <c r="AN148" s="536"/>
      <c r="AO148" s="536"/>
    </row>
    <row r="149" spans="22:41" x14ac:dyDescent="0.2">
      <c r="V149" s="189"/>
      <c r="AL149" s="536"/>
      <c r="AM149" s="536"/>
      <c r="AN149" s="536"/>
      <c r="AO149" s="536"/>
    </row>
    <row r="150" spans="22:41" x14ac:dyDescent="0.2">
      <c r="V150" s="189"/>
      <c r="AL150" s="536"/>
      <c r="AM150" s="536"/>
      <c r="AN150" s="536"/>
      <c r="AO150" s="536"/>
    </row>
    <row r="151" spans="22:41" x14ac:dyDescent="0.2">
      <c r="V151" s="189"/>
      <c r="AL151" s="536"/>
      <c r="AM151" s="536"/>
      <c r="AN151" s="536"/>
      <c r="AO151" s="536"/>
    </row>
    <row r="152" spans="22:41" x14ac:dyDescent="0.2">
      <c r="V152" s="189"/>
      <c r="AL152" s="536"/>
      <c r="AM152" s="536"/>
      <c r="AN152" s="536"/>
      <c r="AO152" s="536"/>
    </row>
    <row r="153" spans="22:41" x14ac:dyDescent="0.2">
      <c r="V153" s="189"/>
      <c r="AL153" s="536"/>
      <c r="AM153" s="536"/>
      <c r="AN153" s="536"/>
      <c r="AO153" s="536"/>
    </row>
    <row r="154" spans="22:41" x14ac:dyDescent="0.2">
      <c r="V154" s="189"/>
      <c r="AL154" s="536"/>
      <c r="AM154" s="536"/>
      <c r="AN154" s="536"/>
      <c r="AO154" s="536"/>
    </row>
    <row r="155" spans="22:41" x14ac:dyDescent="0.2">
      <c r="V155" s="189"/>
      <c r="AL155" s="536"/>
      <c r="AM155" s="536"/>
      <c r="AN155" s="536"/>
      <c r="AO155" s="536"/>
    </row>
    <row r="156" spans="22:41" x14ac:dyDescent="0.2">
      <c r="V156" s="189"/>
      <c r="AL156" s="536"/>
      <c r="AM156" s="536"/>
      <c r="AN156" s="536"/>
      <c r="AO156" s="536"/>
    </row>
    <row r="157" spans="22:41" x14ac:dyDescent="0.2">
      <c r="V157" s="189"/>
      <c r="AL157" s="536"/>
      <c r="AM157" s="536"/>
      <c r="AN157" s="536"/>
      <c r="AO157" s="536"/>
    </row>
    <row r="158" spans="22:41" x14ac:dyDescent="0.2">
      <c r="V158" s="189"/>
      <c r="AL158" s="536"/>
      <c r="AM158" s="536"/>
      <c r="AN158" s="536"/>
      <c r="AO158" s="536"/>
    </row>
    <row r="159" spans="22:41" x14ac:dyDescent="0.2">
      <c r="V159" s="189"/>
      <c r="AL159" s="536"/>
      <c r="AM159" s="536"/>
      <c r="AN159" s="536"/>
      <c r="AO159" s="536"/>
    </row>
    <row r="160" spans="22:41" x14ac:dyDescent="0.2">
      <c r="V160" s="189"/>
      <c r="AL160" s="536"/>
      <c r="AM160" s="536"/>
      <c r="AN160" s="536"/>
      <c r="AO160" s="536"/>
    </row>
    <row r="161" spans="22:41" x14ac:dyDescent="0.2">
      <c r="V161" s="189"/>
      <c r="AL161" s="536"/>
      <c r="AM161" s="536"/>
      <c r="AN161" s="536"/>
      <c r="AO161" s="536"/>
    </row>
    <row r="162" spans="22:41" x14ac:dyDescent="0.2">
      <c r="V162" s="189"/>
    </row>
    <row r="163" spans="22:41" x14ac:dyDescent="0.2">
      <c r="V163" s="189"/>
    </row>
    <row r="164" spans="22:41" x14ac:dyDescent="0.2">
      <c r="V164" s="189"/>
    </row>
    <row r="165" spans="22:41" x14ac:dyDescent="0.2">
      <c r="V165" s="189"/>
    </row>
    <row r="166" spans="22:41" x14ac:dyDescent="0.2">
      <c r="V166" s="189"/>
    </row>
    <row r="167" spans="22:41" x14ac:dyDescent="0.2">
      <c r="V167" s="189"/>
    </row>
    <row r="168" spans="22:41" x14ac:dyDescent="0.2">
      <c r="V168" s="189"/>
    </row>
    <row r="169" spans="22:41" x14ac:dyDescent="0.2">
      <c r="V169" s="189"/>
    </row>
    <row r="170" spans="22:41" x14ac:dyDescent="0.2">
      <c r="V170" s="189"/>
    </row>
    <row r="171" spans="22:41" x14ac:dyDescent="0.2">
      <c r="V171" s="189"/>
    </row>
    <row r="172" spans="22:41" x14ac:dyDescent="0.2">
      <c r="V172" s="189"/>
    </row>
    <row r="173" spans="22:41" x14ac:dyDescent="0.2">
      <c r="V173" s="189"/>
    </row>
    <row r="174" spans="22:41" x14ac:dyDescent="0.2">
      <c r="V174" s="189"/>
    </row>
    <row r="175" spans="22:41" x14ac:dyDescent="0.2">
      <c r="V175" s="189"/>
    </row>
    <row r="176" spans="22:41" x14ac:dyDescent="0.2">
      <c r="V176" s="189"/>
    </row>
    <row r="177" spans="22:22" x14ac:dyDescent="0.2">
      <c r="V177" s="189"/>
    </row>
    <row r="178" spans="22:22" x14ac:dyDescent="0.2">
      <c r="V178" s="189"/>
    </row>
    <row r="179" spans="22:22" x14ac:dyDescent="0.2">
      <c r="V179" s="189"/>
    </row>
    <row r="180" spans="22:22" x14ac:dyDescent="0.2">
      <c r="V180" s="189"/>
    </row>
    <row r="181" spans="22:22" x14ac:dyDescent="0.2">
      <c r="V181" s="189"/>
    </row>
    <row r="182" spans="22:22" x14ac:dyDescent="0.2">
      <c r="V182" s="189"/>
    </row>
    <row r="183" spans="22:22" x14ac:dyDescent="0.2">
      <c r="V183" s="189"/>
    </row>
    <row r="184" spans="22:22" x14ac:dyDescent="0.2">
      <c r="V184" s="189"/>
    </row>
    <row r="185" spans="22:22" x14ac:dyDescent="0.2">
      <c r="V185" s="189"/>
    </row>
    <row r="186" spans="22:22" x14ac:dyDescent="0.2">
      <c r="V186" s="189"/>
    </row>
    <row r="187" spans="22:22" x14ac:dyDescent="0.2">
      <c r="V187" s="189"/>
    </row>
    <row r="188" spans="22:22" x14ac:dyDescent="0.2">
      <c r="V188" s="189"/>
    </row>
    <row r="189" spans="22:22" x14ac:dyDescent="0.2">
      <c r="V189" s="189"/>
    </row>
    <row r="190" spans="22:22" x14ac:dyDescent="0.2">
      <c r="V190" s="189"/>
    </row>
    <row r="191" spans="22:22" x14ac:dyDescent="0.2">
      <c r="V191" s="189"/>
    </row>
    <row r="192" spans="22:22" x14ac:dyDescent="0.2">
      <c r="V192" s="189"/>
    </row>
    <row r="193" spans="22:22" x14ac:dyDescent="0.2">
      <c r="V193" s="189"/>
    </row>
    <row r="194" spans="22:22" x14ac:dyDescent="0.2">
      <c r="V194" s="189"/>
    </row>
    <row r="195" spans="22:22" x14ac:dyDescent="0.2">
      <c r="V195" s="189"/>
    </row>
    <row r="196" spans="22:22" x14ac:dyDescent="0.2">
      <c r="V196" s="189"/>
    </row>
    <row r="197" spans="22:22" x14ac:dyDescent="0.2">
      <c r="V197" s="189"/>
    </row>
    <row r="198" spans="22:22" x14ac:dyDescent="0.2">
      <c r="V198" s="189"/>
    </row>
    <row r="199" spans="22:22" x14ac:dyDescent="0.2">
      <c r="V199" s="189"/>
    </row>
    <row r="200" spans="22:22" x14ac:dyDescent="0.2">
      <c r="V200" s="189"/>
    </row>
    <row r="201" spans="22:22" x14ac:dyDescent="0.2">
      <c r="V201" s="189"/>
    </row>
    <row r="202" spans="22:22" x14ac:dyDescent="0.2">
      <c r="V202" s="189"/>
    </row>
    <row r="203" spans="22:22" x14ac:dyDescent="0.2">
      <c r="V203" s="189"/>
    </row>
    <row r="204" spans="22:22" x14ac:dyDescent="0.2">
      <c r="V204" s="189"/>
    </row>
    <row r="205" spans="22:22" x14ac:dyDescent="0.2">
      <c r="V205" s="189"/>
    </row>
    <row r="206" spans="22:22" x14ac:dyDescent="0.2">
      <c r="V206" s="189"/>
    </row>
    <row r="207" spans="22:22" x14ac:dyDescent="0.2">
      <c r="V207" s="189"/>
    </row>
    <row r="208" spans="22:22" x14ac:dyDescent="0.2">
      <c r="V208" s="189"/>
    </row>
    <row r="209" spans="22:22" x14ac:dyDescent="0.2">
      <c r="V209" s="189"/>
    </row>
    <row r="210" spans="22:22" x14ac:dyDescent="0.2">
      <c r="V210" s="189"/>
    </row>
    <row r="211" spans="22:22" x14ac:dyDescent="0.2">
      <c r="V211" s="189"/>
    </row>
    <row r="212" spans="22:22" x14ac:dyDescent="0.2">
      <c r="V212" s="189"/>
    </row>
    <row r="213" spans="22:22" x14ac:dyDescent="0.2">
      <c r="V213" s="189"/>
    </row>
    <row r="214" spans="22:22" x14ac:dyDescent="0.2">
      <c r="V214" s="189"/>
    </row>
    <row r="215" spans="22:22" x14ac:dyDescent="0.2">
      <c r="V215" s="189"/>
    </row>
    <row r="216" spans="22:22" x14ac:dyDescent="0.2">
      <c r="V216" s="189"/>
    </row>
    <row r="217" spans="22:22" x14ac:dyDescent="0.2">
      <c r="V217" s="189"/>
    </row>
    <row r="218" spans="22:22" x14ac:dyDescent="0.2">
      <c r="V218" s="189"/>
    </row>
    <row r="219" spans="22:22" x14ac:dyDescent="0.2">
      <c r="V219" s="189"/>
    </row>
    <row r="220" spans="22:22" x14ac:dyDescent="0.2">
      <c r="V220" s="189"/>
    </row>
    <row r="221" spans="22:22" x14ac:dyDescent="0.2">
      <c r="V221" s="189"/>
    </row>
    <row r="222" spans="22:22" x14ac:dyDescent="0.2">
      <c r="V222" s="189"/>
    </row>
    <row r="223" spans="22:22" x14ac:dyDescent="0.2">
      <c r="V223" s="189"/>
    </row>
    <row r="224" spans="22:22" x14ac:dyDescent="0.2">
      <c r="V224" s="189"/>
    </row>
    <row r="225" spans="22:22" x14ac:dyDescent="0.2">
      <c r="V225" s="189"/>
    </row>
    <row r="226" spans="22:22" x14ac:dyDescent="0.2">
      <c r="V226" s="189"/>
    </row>
    <row r="227" spans="22:22" x14ac:dyDescent="0.2">
      <c r="V227" s="189"/>
    </row>
    <row r="228" spans="22:22" x14ac:dyDescent="0.2">
      <c r="V228" s="189"/>
    </row>
    <row r="229" spans="22:22" x14ac:dyDescent="0.2">
      <c r="V229" s="189"/>
    </row>
    <row r="230" spans="22:22" x14ac:dyDescent="0.2">
      <c r="V230" s="189"/>
    </row>
    <row r="231" spans="22:22" x14ac:dyDescent="0.2">
      <c r="V231" s="189"/>
    </row>
    <row r="232" spans="22:22" x14ac:dyDescent="0.2">
      <c r="V232" s="189"/>
    </row>
    <row r="233" spans="22:22" x14ac:dyDescent="0.2">
      <c r="V233" s="189"/>
    </row>
    <row r="234" spans="22:22" x14ac:dyDescent="0.2">
      <c r="V234" s="189"/>
    </row>
    <row r="235" spans="22:22" x14ac:dyDescent="0.2">
      <c r="V235" s="189"/>
    </row>
    <row r="236" spans="22:22" x14ac:dyDescent="0.2">
      <c r="V236" s="189"/>
    </row>
    <row r="237" spans="22:22" x14ac:dyDescent="0.2">
      <c r="V237" s="189"/>
    </row>
    <row r="238" spans="22:22" x14ac:dyDescent="0.2">
      <c r="V238" s="189"/>
    </row>
    <row r="239" spans="22:22" x14ac:dyDescent="0.2">
      <c r="V239" s="189"/>
    </row>
    <row r="240" spans="22:22" x14ac:dyDescent="0.2">
      <c r="V240" s="189"/>
    </row>
    <row r="241" spans="22:22" x14ac:dyDescent="0.2">
      <c r="V241" s="189"/>
    </row>
    <row r="242" spans="22:22" x14ac:dyDescent="0.2">
      <c r="V242" s="189"/>
    </row>
    <row r="243" spans="22:22" x14ac:dyDescent="0.2">
      <c r="V243" s="189"/>
    </row>
    <row r="244" spans="22:22" x14ac:dyDescent="0.2">
      <c r="V244" s="189"/>
    </row>
    <row r="245" spans="22:22" x14ac:dyDescent="0.2">
      <c r="V245" s="189"/>
    </row>
    <row r="246" spans="22:22" x14ac:dyDescent="0.2">
      <c r="V246" s="189"/>
    </row>
    <row r="247" spans="22:22" x14ac:dyDescent="0.2">
      <c r="V247" s="189"/>
    </row>
    <row r="248" spans="22:22" x14ac:dyDescent="0.2">
      <c r="V248" s="189"/>
    </row>
    <row r="249" spans="22:22" x14ac:dyDescent="0.2">
      <c r="V249" s="189"/>
    </row>
    <row r="250" spans="22:22" x14ac:dyDescent="0.2">
      <c r="V250" s="189"/>
    </row>
    <row r="251" spans="22:22" x14ac:dyDescent="0.2">
      <c r="V251" s="189"/>
    </row>
    <row r="252" spans="22:22" x14ac:dyDescent="0.2">
      <c r="V252" s="189"/>
    </row>
    <row r="253" spans="22:22" x14ac:dyDescent="0.2">
      <c r="V253" s="189"/>
    </row>
    <row r="254" spans="22:22" x14ac:dyDescent="0.2">
      <c r="V254" s="189"/>
    </row>
    <row r="255" spans="22:22" x14ac:dyDescent="0.2">
      <c r="V255" s="189"/>
    </row>
    <row r="256" spans="22:22" x14ac:dyDescent="0.2">
      <c r="V256" s="189"/>
    </row>
    <row r="257" spans="22:22" x14ac:dyDescent="0.2">
      <c r="V257" s="189"/>
    </row>
    <row r="258" spans="22:22" x14ac:dyDescent="0.2">
      <c r="V258" s="189"/>
    </row>
    <row r="259" spans="22:22" x14ac:dyDescent="0.2">
      <c r="V259" s="189"/>
    </row>
    <row r="260" spans="22:22" x14ac:dyDescent="0.2">
      <c r="V260" s="189"/>
    </row>
    <row r="261" spans="22:22" x14ac:dyDescent="0.2">
      <c r="V261" s="189"/>
    </row>
    <row r="262" spans="22:22" x14ac:dyDescent="0.2">
      <c r="V262" s="189"/>
    </row>
    <row r="263" spans="22:22" x14ac:dyDescent="0.2">
      <c r="V263" s="189"/>
    </row>
    <row r="264" spans="22:22" x14ac:dyDescent="0.2">
      <c r="V264" s="189"/>
    </row>
    <row r="265" spans="22:22" x14ac:dyDescent="0.2">
      <c r="V265" s="189"/>
    </row>
    <row r="266" spans="22:22" x14ac:dyDescent="0.2">
      <c r="V266" s="189"/>
    </row>
    <row r="267" spans="22:22" x14ac:dyDescent="0.2">
      <c r="V267" s="189"/>
    </row>
    <row r="268" spans="22:22" x14ac:dyDescent="0.2">
      <c r="V268" s="189"/>
    </row>
    <row r="269" spans="22:22" x14ac:dyDescent="0.2">
      <c r="V269" s="189"/>
    </row>
    <row r="270" spans="22:22" x14ac:dyDescent="0.2">
      <c r="V270" s="189"/>
    </row>
    <row r="271" spans="22:22" x14ac:dyDescent="0.2">
      <c r="V271" s="189"/>
    </row>
    <row r="272" spans="22:22" x14ac:dyDescent="0.2">
      <c r="V272" s="189"/>
    </row>
    <row r="273" spans="22:22" x14ac:dyDescent="0.2">
      <c r="V273" s="189"/>
    </row>
    <row r="274" spans="22:22" x14ac:dyDescent="0.2">
      <c r="V274" s="189"/>
    </row>
    <row r="275" spans="22:22" x14ac:dyDescent="0.2">
      <c r="V275" s="189"/>
    </row>
    <row r="276" spans="22:22" x14ac:dyDescent="0.2">
      <c r="V276" s="189"/>
    </row>
    <row r="277" spans="22:22" x14ac:dyDescent="0.2">
      <c r="V277" s="189"/>
    </row>
    <row r="278" spans="22:22" x14ac:dyDescent="0.2">
      <c r="V278" s="189"/>
    </row>
    <row r="279" spans="22:22" x14ac:dyDescent="0.2">
      <c r="V279" s="189"/>
    </row>
    <row r="280" spans="22:22" x14ac:dyDescent="0.2">
      <c r="V280" s="189"/>
    </row>
    <row r="281" spans="22:22" x14ac:dyDescent="0.2">
      <c r="V281" s="189"/>
    </row>
    <row r="282" spans="22:22" x14ac:dyDescent="0.2">
      <c r="V282" s="189"/>
    </row>
    <row r="283" spans="22:22" x14ac:dyDescent="0.2">
      <c r="V283" s="189"/>
    </row>
    <row r="284" spans="22:22" x14ac:dyDescent="0.2">
      <c r="V284" s="189"/>
    </row>
    <row r="285" spans="22:22" x14ac:dyDescent="0.2">
      <c r="V285" s="189"/>
    </row>
    <row r="286" spans="22:22" x14ac:dyDescent="0.2">
      <c r="V286" s="189"/>
    </row>
    <row r="287" spans="22:22" x14ac:dyDescent="0.2">
      <c r="V287" s="189"/>
    </row>
    <row r="288" spans="22:22" x14ac:dyDescent="0.2">
      <c r="V288" s="189"/>
    </row>
    <row r="289" spans="22:22" x14ac:dyDescent="0.2">
      <c r="V289" s="189"/>
    </row>
    <row r="290" spans="22:22" x14ac:dyDescent="0.2">
      <c r="V290" s="189"/>
    </row>
    <row r="291" spans="22:22" x14ac:dyDescent="0.2">
      <c r="V291" s="189"/>
    </row>
    <row r="292" spans="22:22" x14ac:dyDescent="0.2">
      <c r="V292" s="189"/>
    </row>
    <row r="293" spans="22:22" x14ac:dyDescent="0.2">
      <c r="V293" s="189"/>
    </row>
    <row r="294" spans="22:22" x14ac:dyDescent="0.2">
      <c r="V294" s="189"/>
    </row>
    <row r="295" spans="22:22" x14ac:dyDescent="0.2">
      <c r="V295" s="189"/>
    </row>
    <row r="296" spans="22:22" x14ac:dyDescent="0.2">
      <c r="V296" s="189"/>
    </row>
    <row r="297" spans="22:22" x14ac:dyDescent="0.2">
      <c r="V297" s="189"/>
    </row>
    <row r="298" spans="22:22" x14ac:dyDescent="0.2">
      <c r="V298" s="189"/>
    </row>
    <row r="299" spans="22:22" x14ac:dyDescent="0.2">
      <c r="V299" s="189"/>
    </row>
    <row r="300" spans="22:22" x14ac:dyDescent="0.2">
      <c r="V300" s="189"/>
    </row>
    <row r="301" spans="22:22" x14ac:dyDescent="0.2">
      <c r="V301" s="189"/>
    </row>
    <row r="302" spans="22:22" x14ac:dyDescent="0.2">
      <c r="V302" s="189"/>
    </row>
    <row r="303" spans="22:22" x14ac:dyDescent="0.2">
      <c r="V303" s="189"/>
    </row>
    <row r="304" spans="22:22" x14ac:dyDescent="0.2">
      <c r="V304" s="189"/>
    </row>
    <row r="305" spans="22:22" x14ac:dyDescent="0.2">
      <c r="V305" s="189"/>
    </row>
    <row r="306" spans="22:22" x14ac:dyDescent="0.2">
      <c r="V306" s="189"/>
    </row>
    <row r="307" spans="22:22" x14ac:dyDescent="0.2">
      <c r="V307" s="189"/>
    </row>
    <row r="308" spans="22:22" x14ac:dyDescent="0.2">
      <c r="V308" s="189"/>
    </row>
    <row r="309" spans="22:22" x14ac:dyDescent="0.2">
      <c r="V309" s="189"/>
    </row>
    <row r="310" spans="22:22" x14ac:dyDescent="0.2">
      <c r="V310" s="189"/>
    </row>
    <row r="311" spans="22:22" x14ac:dyDescent="0.2">
      <c r="V311" s="189"/>
    </row>
    <row r="312" spans="22:22" x14ac:dyDescent="0.2">
      <c r="V312" s="189"/>
    </row>
    <row r="313" spans="22:22" x14ac:dyDescent="0.2">
      <c r="V313" s="189"/>
    </row>
    <row r="314" spans="22:22" x14ac:dyDescent="0.2">
      <c r="V314" s="189"/>
    </row>
    <row r="315" spans="22:22" x14ac:dyDescent="0.2">
      <c r="V315" s="189"/>
    </row>
    <row r="316" spans="22:22" x14ac:dyDescent="0.2">
      <c r="V316" s="189"/>
    </row>
    <row r="317" spans="22:22" x14ac:dyDescent="0.2">
      <c r="V317" s="189"/>
    </row>
    <row r="318" spans="22:22" x14ac:dyDescent="0.2">
      <c r="V318" s="189"/>
    </row>
    <row r="319" spans="22:22" x14ac:dyDescent="0.2">
      <c r="V319" s="189"/>
    </row>
    <row r="320" spans="22:22" x14ac:dyDescent="0.2">
      <c r="V320" s="189"/>
    </row>
    <row r="321" spans="22:22" x14ac:dyDescent="0.2">
      <c r="V321" s="189"/>
    </row>
    <row r="322" spans="22:22" x14ac:dyDescent="0.2">
      <c r="V322" s="189"/>
    </row>
    <row r="323" spans="22:22" x14ac:dyDescent="0.2">
      <c r="V323" s="189"/>
    </row>
    <row r="324" spans="22:22" x14ac:dyDescent="0.2">
      <c r="V324" s="189"/>
    </row>
    <row r="325" spans="22:22" x14ac:dyDescent="0.2">
      <c r="V325" s="189"/>
    </row>
    <row r="326" spans="22:22" x14ac:dyDescent="0.2">
      <c r="V326" s="189"/>
    </row>
    <row r="327" spans="22:22" x14ac:dyDescent="0.2">
      <c r="V327" s="189"/>
    </row>
    <row r="328" spans="22:22" x14ac:dyDescent="0.2">
      <c r="V328" s="189"/>
    </row>
    <row r="329" spans="22:22" x14ac:dyDescent="0.2">
      <c r="V329" s="189"/>
    </row>
    <row r="330" spans="22:22" x14ac:dyDescent="0.2">
      <c r="V330" s="189"/>
    </row>
    <row r="331" spans="22:22" x14ac:dyDescent="0.2">
      <c r="V331" s="189"/>
    </row>
    <row r="332" spans="22:22" x14ac:dyDescent="0.2">
      <c r="V332" s="189"/>
    </row>
    <row r="333" spans="22:22" x14ac:dyDescent="0.2">
      <c r="V333" s="189"/>
    </row>
    <row r="334" spans="22:22" x14ac:dyDescent="0.2">
      <c r="V334" s="189"/>
    </row>
    <row r="335" spans="22:22" x14ac:dyDescent="0.2">
      <c r="V335" s="189"/>
    </row>
    <row r="336" spans="22:22" x14ac:dyDescent="0.2">
      <c r="V336" s="189"/>
    </row>
    <row r="337" spans="22:22" x14ac:dyDescent="0.2">
      <c r="V337" s="189"/>
    </row>
    <row r="338" spans="22:22" x14ac:dyDescent="0.2">
      <c r="V338" s="189"/>
    </row>
    <row r="339" spans="22:22" x14ac:dyDescent="0.2">
      <c r="V339" s="189"/>
    </row>
    <row r="340" spans="22:22" x14ac:dyDescent="0.2">
      <c r="V340" s="189"/>
    </row>
    <row r="341" spans="22:22" x14ac:dyDescent="0.2">
      <c r="V341" s="189"/>
    </row>
    <row r="342" spans="22:22" x14ac:dyDescent="0.2">
      <c r="V342" s="189"/>
    </row>
    <row r="343" spans="22:22" x14ac:dyDescent="0.2">
      <c r="V343" s="189"/>
    </row>
    <row r="344" spans="22:22" x14ac:dyDescent="0.2">
      <c r="V344" s="189"/>
    </row>
    <row r="345" spans="22:22" x14ac:dyDescent="0.2">
      <c r="V345" s="189"/>
    </row>
    <row r="346" spans="22:22" x14ac:dyDescent="0.2">
      <c r="V346" s="189"/>
    </row>
    <row r="347" spans="22:22" x14ac:dyDescent="0.2">
      <c r="V347" s="189"/>
    </row>
    <row r="348" spans="22:22" x14ac:dyDescent="0.2">
      <c r="V348" s="189"/>
    </row>
    <row r="349" spans="22:22" x14ac:dyDescent="0.2">
      <c r="V349" s="189"/>
    </row>
    <row r="350" spans="22:22" x14ac:dyDescent="0.2">
      <c r="V350" s="189"/>
    </row>
    <row r="351" spans="22:22" x14ac:dyDescent="0.2">
      <c r="V351" s="189"/>
    </row>
    <row r="352" spans="22:22" x14ac:dyDescent="0.2">
      <c r="V352" s="189"/>
    </row>
    <row r="353" spans="22:22" x14ac:dyDescent="0.2">
      <c r="V353" s="189"/>
    </row>
    <row r="354" spans="22:22" x14ac:dyDescent="0.2">
      <c r="V354" s="189"/>
    </row>
    <row r="355" spans="22:22" x14ac:dyDescent="0.2">
      <c r="V355" s="189"/>
    </row>
    <row r="356" spans="22:22" x14ac:dyDescent="0.2">
      <c r="V356" s="189"/>
    </row>
    <row r="357" spans="22:22" x14ac:dyDescent="0.2">
      <c r="V357" s="189"/>
    </row>
    <row r="358" spans="22:22" x14ac:dyDescent="0.2">
      <c r="V358" s="189"/>
    </row>
    <row r="359" spans="22:22" x14ac:dyDescent="0.2">
      <c r="V359" s="189"/>
    </row>
    <row r="360" spans="22:22" x14ac:dyDescent="0.2">
      <c r="V360" s="189"/>
    </row>
    <row r="361" spans="22:22" x14ac:dyDescent="0.2">
      <c r="V361" s="189"/>
    </row>
    <row r="362" spans="22:22" x14ac:dyDescent="0.2">
      <c r="V362" s="189"/>
    </row>
    <row r="363" spans="22:22" x14ac:dyDescent="0.2">
      <c r="V363" s="189"/>
    </row>
    <row r="364" spans="22:22" x14ac:dyDescent="0.2">
      <c r="V364" s="189"/>
    </row>
    <row r="365" spans="22:22" x14ac:dyDescent="0.2">
      <c r="V365" s="189"/>
    </row>
    <row r="366" spans="22:22" x14ac:dyDescent="0.2">
      <c r="V366" s="189"/>
    </row>
    <row r="367" spans="22:22" x14ac:dyDescent="0.2">
      <c r="V367" s="189"/>
    </row>
    <row r="368" spans="22:22" x14ac:dyDescent="0.2">
      <c r="V368" s="189"/>
    </row>
    <row r="369" spans="22:22" x14ac:dyDescent="0.2">
      <c r="V369" s="189"/>
    </row>
    <row r="370" spans="22:22" x14ac:dyDescent="0.2">
      <c r="V370" s="189"/>
    </row>
    <row r="371" spans="22:22" x14ac:dyDescent="0.2">
      <c r="V371" s="189"/>
    </row>
    <row r="372" spans="22:22" x14ac:dyDescent="0.2">
      <c r="V372" s="189"/>
    </row>
    <row r="373" spans="22:22" x14ac:dyDescent="0.2">
      <c r="V373" s="189"/>
    </row>
    <row r="374" spans="22:22" x14ac:dyDescent="0.2">
      <c r="V374" s="189"/>
    </row>
    <row r="375" spans="22:22" x14ac:dyDescent="0.2">
      <c r="V375" s="189"/>
    </row>
    <row r="376" spans="22:22" x14ac:dyDescent="0.2">
      <c r="V376" s="189"/>
    </row>
    <row r="377" spans="22:22" x14ac:dyDescent="0.2">
      <c r="V377" s="189"/>
    </row>
    <row r="378" spans="22:22" x14ac:dyDescent="0.2">
      <c r="V378" s="189"/>
    </row>
    <row r="379" spans="22:22" x14ac:dyDescent="0.2">
      <c r="V379" s="189"/>
    </row>
    <row r="380" spans="22:22" x14ac:dyDescent="0.2">
      <c r="V380" s="189"/>
    </row>
    <row r="381" spans="22:22" x14ac:dyDescent="0.2">
      <c r="V381" s="189"/>
    </row>
    <row r="382" spans="22:22" x14ac:dyDescent="0.2">
      <c r="V382" s="189"/>
    </row>
    <row r="383" spans="22:22" x14ac:dyDescent="0.2">
      <c r="V383" s="189"/>
    </row>
    <row r="384" spans="22:22" x14ac:dyDescent="0.2">
      <c r="V384" s="189"/>
    </row>
    <row r="385" spans="22:22" x14ac:dyDescent="0.2">
      <c r="V385" s="189"/>
    </row>
    <row r="386" spans="22:22" x14ac:dyDescent="0.2">
      <c r="V386" s="189"/>
    </row>
    <row r="387" spans="22:22" x14ac:dyDescent="0.2">
      <c r="V387" s="189"/>
    </row>
    <row r="388" spans="22:22" x14ac:dyDescent="0.2">
      <c r="V388" s="189"/>
    </row>
    <row r="389" spans="22:22" x14ac:dyDescent="0.2">
      <c r="V389" s="189"/>
    </row>
    <row r="390" spans="22:22" x14ac:dyDescent="0.2">
      <c r="V390" s="189"/>
    </row>
    <row r="391" spans="22:22" x14ac:dyDescent="0.2">
      <c r="V391" s="189"/>
    </row>
    <row r="392" spans="22:22" x14ac:dyDescent="0.2">
      <c r="V392" s="189"/>
    </row>
    <row r="393" spans="22:22" x14ac:dyDescent="0.2">
      <c r="V393" s="189"/>
    </row>
    <row r="394" spans="22:22" x14ac:dyDescent="0.2">
      <c r="V394" s="189"/>
    </row>
    <row r="395" spans="22:22" x14ac:dyDescent="0.2">
      <c r="V395" s="189"/>
    </row>
    <row r="396" spans="22:22" x14ac:dyDescent="0.2">
      <c r="V396" s="189"/>
    </row>
    <row r="397" spans="22:22" x14ac:dyDescent="0.2">
      <c r="V397" s="189"/>
    </row>
    <row r="398" spans="22:22" x14ac:dyDescent="0.2">
      <c r="V398" s="189"/>
    </row>
    <row r="399" spans="22:22" x14ac:dyDescent="0.2">
      <c r="V399" s="189"/>
    </row>
    <row r="400" spans="22:22" x14ac:dyDescent="0.2">
      <c r="V400" s="189"/>
    </row>
    <row r="401" spans="22:22" x14ac:dyDescent="0.2">
      <c r="V401" s="189"/>
    </row>
    <row r="402" spans="22:22" x14ac:dyDescent="0.2">
      <c r="V402" s="189"/>
    </row>
    <row r="403" spans="22:22" x14ac:dyDescent="0.2">
      <c r="V403" s="189"/>
    </row>
    <row r="404" spans="22:22" x14ac:dyDescent="0.2">
      <c r="V404" s="189"/>
    </row>
    <row r="405" spans="22:22" x14ac:dyDescent="0.2">
      <c r="V405" s="189"/>
    </row>
    <row r="406" spans="22:22" x14ac:dyDescent="0.2">
      <c r="V406" s="189"/>
    </row>
    <row r="407" spans="22:22" x14ac:dyDescent="0.2">
      <c r="V407" s="189"/>
    </row>
    <row r="408" spans="22:22" x14ac:dyDescent="0.2">
      <c r="V408" s="189"/>
    </row>
    <row r="409" spans="22:22" x14ac:dyDescent="0.2">
      <c r="V409" s="189"/>
    </row>
    <row r="410" spans="22:22" x14ac:dyDescent="0.2">
      <c r="V410" s="189"/>
    </row>
    <row r="411" spans="22:22" x14ac:dyDescent="0.2">
      <c r="V411" s="189"/>
    </row>
    <row r="412" spans="22:22" x14ac:dyDescent="0.2">
      <c r="V412" s="189"/>
    </row>
    <row r="413" spans="22:22" x14ac:dyDescent="0.2">
      <c r="V413" s="189"/>
    </row>
    <row r="414" spans="22:22" x14ac:dyDescent="0.2">
      <c r="V414" s="189"/>
    </row>
  </sheetData>
  <mergeCells count="29">
    <mergeCell ref="AH3:AH5"/>
    <mergeCell ref="AG3:AG5"/>
    <mergeCell ref="AI3:AI5"/>
    <mergeCell ref="AJ3:AJ5"/>
    <mergeCell ref="AL3:AO3"/>
    <mergeCell ref="I38:J38"/>
    <mergeCell ref="AA38:AB38"/>
    <mergeCell ref="L3:N3"/>
    <mergeCell ref="N4:N5"/>
    <mergeCell ref="S4:S5"/>
    <mergeCell ref="U4:U5"/>
    <mergeCell ref="P4:P5"/>
    <mergeCell ref="W4:W5"/>
    <mergeCell ref="AF4:AF5"/>
    <mergeCell ref="AE4:AE5"/>
    <mergeCell ref="AD4:AD5"/>
    <mergeCell ref="B1:M1"/>
    <mergeCell ref="O1:AB1"/>
    <mergeCell ref="AA4:AA5"/>
    <mergeCell ref="AB4:AB5"/>
    <mergeCell ref="O4:O5"/>
    <mergeCell ref="R4:R5"/>
    <mergeCell ref="O3:AC3"/>
    <mergeCell ref="V4:V5"/>
    <mergeCell ref="Q4:Q5"/>
    <mergeCell ref="T4:T5"/>
    <mergeCell ref="AC4:AC5"/>
    <mergeCell ref="O2:V2"/>
    <mergeCell ref="L4:L5"/>
  </mergeCells>
  <phoneticPr fontId="0" type="noConversion"/>
  <conditionalFormatting sqref="B7:B8 E7:E8">
    <cfRule type="expression" dxfId="89" priority="23">
      <formula>B7&lt;B6</formula>
    </cfRule>
  </conditionalFormatting>
  <conditionalFormatting sqref="B35:D35">
    <cfRule type="expression" dxfId="88" priority="17">
      <formula>B35&lt;#REF!</formula>
    </cfRule>
  </conditionalFormatting>
  <conditionalFormatting sqref="B6:E6">
    <cfRule type="expression" dxfId="87" priority="21">
      <formula>B6&lt;B5</formula>
    </cfRule>
  </conditionalFormatting>
  <conditionalFormatting sqref="B36:E37">
    <cfRule type="expression" dxfId="86" priority="8">
      <formula>B36&lt;B35</formula>
    </cfRule>
  </conditionalFormatting>
  <conditionalFormatting sqref="C7:D7 H7:J7 P7:R7 T7 V7:W7 AB7 AE7:AI7 P8:P9 V8:V9 AD10:AD13">
    <cfRule type="expression" dxfId="85" priority="30">
      <formula>C7&lt;#REF!</formula>
    </cfRule>
  </conditionalFormatting>
  <conditionalFormatting sqref="C8:D8 B9:E34">
    <cfRule type="expression" dxfId="84" priority="28">
      <formula>B8&lt;B7</formula>
    </cfRule>
  </conditionalFormatting>
  <conditionalFormatting sqref="E35">
    <cfRule type="expression" dxfId="83" priority="14">
      <formula>E35&lt;E34</formula>
    </cfRule>
  </conditionalFormatting>
  <conditionalFormatting sqref="F6:F37">
    <cfRule type="expression" dxfId="82" priority="2">
      <formula>F6&lt;#REF!</formula>
    </cfRule>
  </conditionalFormatting>
  <conditionalFormatting sqref="G35:G37 AA35:AA37">
    <cfRule type="expression" dxfId="81" priority="1">
      <formula>G35&lt;G34</formula>
    </cfRule>
  </conditionalFormatting>
  <conditionalFormatting sqref="H35:J35 P35:T35 W35:Y35 AB35 AD35:AI35">
    <cfRule type="expression" dxfId="80" priority="16">
      <formula>H35&lt;#REF!</formula>
    </cfRule>
  </conditionalFormatting>
  <conditionalFormatting sqref="H6:L6 N6:R6 Y6:AC6 U6:U8 G6:G20 K7:O9 K10:AC13 H14:AI20 G21:AI34">
    <cfRule type="expression" dxfId="79" priority="19">
      <formula>G6&lt;G5</formula>
    </cfRule>
  </conditionalFormatting>
  <conditionalFormatting sqref="K35:L37 AC35:AC37 N36:P36">
    <cfRule type="expression" dxfId="78" priority="5">
      <formula>K35&lt;K34</formula>
    </cfRule>
  </conditionalFormatting>
  <conditionalFormatting sqref="M6 S6 X6 AD6">
    <cfRule type="expression" dxfId="77" priority="20">
      <formula>M6&lt;#REF!</formula>
    </cfRule>
  </conditionalFormatting>
  <conditionalFormatting sqref="M35:M37 S36:S37 X36:X37 AD36:AD37">
    <cfRule type="expression" dxfId="76" priority="6">
      <formula>M35&lt;#REF!</formula>
    </cfRule>
  </conditionalFormatting>
  <conditionalFormatting sqref="N35:O35 U35:V35 Z35 N37:R37">
    <cfRule type="expression" dxfId="75" priority="15">
      <formula>N35&lt;N34</formula>
    </cfRule>
  </conditionalFormatting>
  <conditionalFormatting sqref="Q36">
    <cfRule type="expression" dxfId="74" priority="9">
      <formula>Q36&lt;#REF!</formula>
    </cfRule>
  </conditionalFormatting>
  <conditionalFormatting sqref="Q8:R8 T8 W8 AB8 H8:J13 AE8:AI13">
    <cfRule type="expression" dxfId="73" priority="29">
      <formula>H8&lt;H7</formula>
    </cfRule>
  </conditionalFormatting>
  <conditionalFormatting sqref="Q9:U9">
    <cfRule type="expression" dxfId="72" priority="26">
      <formula>Q9&lt;Q8</formula>
    </cfRule>
  </conditionalFormatting>
  <conditionalFormatting sqref="R36">
    <cfRule type="expression" dxfId="71" priority="7">
      <formula>R36&lt;R35</formula>
    </cfRule>
  </conditionalFormatting>
  <conditionalFormatting sqref="S7:S8 X7:AA8 AC7:AD8 W9:AD9">
    <cfRule type="expression" dxfId="70" priority="22">
      <formula>S7&lt;S6</formula>
    </cfRule>
  </conditionalFormatting>
  <conditionalFormatting sqref="T6 V6:W6 AE6:AJ6">
    <cfRule type="expression" dxfId="69" priority="31">
      <formula>T6&lt;T5</formula>
    </cfRule>
  </conditionalFormatting>
  <conditionalFormatting sqref="AA6">
    <cfRule type="expression" dxfId="68" priority="18">
      <formula>AA6&lt;#REF!</formula>
    </cfRule>
  </conditionalFormatting>
  <conditionalFormatting sqref="AA10:AA37">
    <cfRule type="expression" dxfId="67" priority="3">
      <formula>AA10&lt;#REF!</formula>
    </cfRule>
  </conditionalFormatting>
  <conditionalFormatting sqref="AE36:AJ36 H36:J37 T36:W37 Y36:Z37 AB36:AB37">
    <cfRule type="expression" dxfId="66" priority="4">
      <formula>H36&lt;H35</formula>
    </cfRule>
  </conditionalFormatting>
  <conditionalFormatting sqref="AJ7:AJ35">
    <cfRule type="expression" dxfId="65" priority="13">
      <formula>AJ7&lt;AJ6</formula>
    </cfRule>
  </conditionalFormatting>
  <conditionalFormatting sqref="AK6:AK12">
    <cfRule type="expression" dxfId="64" priority="129">
      <formula>AK6&lt;AK5</formula>
    </cfRule>
  </conditionalFormatting>
  <conditionalFormatting sqref="AK16:AK36">
    <cfRule type="expression" dxfId="63" priority="65">
      <formula>AK16&lt;AK15</formula>
    </cfRule>
  </conditionalFormatting>
  <conditionalFormatting sqref="AK13:AL15">
    <cfRule type="expression" dxfId="62" priority="239">
      <formula>AK13&lt;#REF!</formula>
    </cfRule>
  </conditionalFormatting>
  <conditionalFormatting sqref="AL9:AL14 AL15:AN34 AE37:AK37">
    <cfRule type="expression" dxfId="61" priority="176">
      <formula>AE9&lt;AE8</formula>
    </cfRule>
  </conditionalFormatting>
  <conditionalFormatting sqref="AO9:AO34">
    <cfRule type="expression" dxfId="60" priority="184">
      <formula>AO9&lt;#REF!</formula>
    </cfRule>
  </conditionalFormatting>
  <pageMargins left="0.1" right="0.5" top="0.32" bottom="0.25" header="0.25" footer="0.25"/>
  <pageSetup paperSize="5" scale="24" orientation="landscape" horizontalDpi="4294967295" verticalDpi="4294967295" r:id="rId1"/>
  <headerFooter alignWithMargins="0"/>
  <rowBreaks count="1" manualBreakCount="1">
    <brk id="38" max="38" man="1"/>
  </rowBreaks>
  <colBreaks count="1" manualBreakCount="1">
    <brk id="39" max="3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5"/>
  </sheetPr>
  <dimension ref="A2:S47"/>
  <sheetViews>
    <sheetView showGridLines="0" topLeftCell="A7" zoomScale="70" zoomScaleNormal="70" zoomScaleSheetLayoutView="100" workbookViewId="0">
      <pane xSplit="1" ySplit="3" topLeftCell="B10" activePane="bottomRight" state="frozen"/>
      <selection activeCell="A7" sqref="A7"/>
      <selection pane="topRight" activeCell="B7" sqref="B7"/>
      <selection pane="bottomLeft" activeCell="A10" sqref="A10"/>
      <selection pane="bottomRight" activeCell="D51" sqref="D51"/>
    </sheetView>
  </sheetViews>
  <sheetFormatPr defaultRowHeight="12.75" x14ac:dyDescent="0.2"/>
  <cols>
    <col min="1" max="1" width="8.28515625" bestFit="1" customWidth="1"/>
    <col min="2" max="3" width="8.28515625" customWidth="1"/>
    <col min="4" max="6" width="15.5703125" customWidth="1"/>
    <col min="7" max="7" width="13.5703125" customWidth="1"/>
    <col min="8" max="8" width="13.42578125" customWidth="1"/>
    <col min="9" max="9" width="13.5703125" customWidth="1"/>
    <col min="11" max="11" width="13.5703125" customWidth="1"/>
    <col min="14" max="14" width="9.140625" style="356"/>
    <col min="15" max="15" width="9.140625" style="374"/>
  </cols>
  <sheetData>
    <row r="2" spans="1:19" x14ac:dyDescent="0.2">
      <c r="H2" s="14" t="s">
        <v>1</v>
      </c>
    </row>
    <row r="3" spans="1:19" x14ac:dyDescent="0.2">
      <c r="H3" s="1" t="s">
        <v>0</v>
      </c>
    </row>
    <row r="5" spans="1:19" x14ac:dyDescent="0.2">
      <c r="A5" s="1" t="s">
        <v>2</v>
      </c>
      <c r="B5" s="1"/>
      <c r="C5" s="1"/>
      <c r="G5" s="3">
        <v>39295</v>
      </c>
      <c r="I5" s="3"/>
    </row>
    <row r="6" spans="1:19" ht="13.5" thickBot="1" x14ac:dyDescent="0.25"/>
    <row r="7" spans="1:19" x14ac:dyDescent="0.2">
      <c r="A7" s="424" t="s">
        <v>7</v>
      </c>
      <c r="B7" s="424"/>
      <c r="C7" s="424"/>
      <c r="D7" s="908" t="s">
        <v>258</v>
      </c>
      <c r="E7" s="908" t="s">
        <v>259</v>
      </c>
      <c r="F7" s="908" t="s">
        <v>260</v>
      </c>
      <c r="G7" s="424" t="s">
        <v>3</v>
      </c>
      <c r="H7" s="424" t="s">
        <v>4</v>
      </c>
      <c r="I7" s="437" t="s">
        <v>56</v>
      </c>
      <c r="J7" s="909" t="s">
        <v>17</v>
      </c>
      <c r="K7" s="910"/>
      <c r="L7" s="910"/>
      <c r="M7" s="910"/>
      <c r="N7" s="911"/>
      <c r="O7" s="906" t="s">
        <v>11</v>
      </c>
      <c r="P7" s="907"/>
      <c r="Q7" s="907"/>
      <c r="R7" s="907"/>
    </row>
    <row r="8" spans="1:19" x14ac:dyDescent="0.2">
      <c r="A8" s="425"/>
      <c r="B8" s="425" t="s">
        <v>261</v>
      </c>
      <c r="C8" s="425" t="s">
        <v>262</v>
      </c>
      <c r="D8" s="908"/>
      <c r="E8" s="908"/>
      <c r="F8" s="908"/>
      <c r="G8" s="424"/>
      <c r="H8" s="424"/>
      <c r="I8" s="437"/>
      <c r="J8" s="439"/>
      <c r="K8" s="424"/>
      <c r="L8" s="424"/>
      <c r="M8" s="424"/>
      <c r="N8" s="451"/>
      <c r="O8" s="443" t="s">
        <v>14</v>
      </c>
      <c r="P8" s="424" t="s">
        <v>15</v>
      </c>
      <c r="Q8" s="424" t="s">
        <v>9</v>
      </c>
      <c r="R8" s="424" t="s">
        <v>67</v>
      </c>
    </row>
    <row r="9" spans="1:19" x14ac:dyDescent="0.2">
      <c r="A9" s="426"/>
      <c r="B9" s="426"/>
      <c r="C9" s="426"/>
      <c r="D9" s="424" t="s">
        <v>60</v>
      </c>
      <c r="E9" s="424" t="s">
        <v>60</v>
      </c>
      <c r="F9" s="424" t="s">
        <v>60</v>
      </c>
      <c r="G9" s="424" t="s">
        <v>61</v>
      </c>
      <c r="H9" s="424" t="s">
        <v>62</v>
      </c>
      <c r="I9" s="437" t="s">
        <v>66</v>
      </c>
      <c r="J9" s="439" t="s">
        <v>5</v>
      </c>
      <c r="K9" s="424" t="s">
        <v>6</v>
      </c>
      <c r="L9" s="424" t="s">
        <v>8</v>
      </c>
      <c r="M9" s="424" t="s">
        <v>10</v>
      </c>
      <c r="N9" s="451" t="s">
        <v>12</v>
      </c>
      <c r="O9" s="443" t="s">
        <v>13</v>
      </c>
      <c r="P9" s="424" t="s">
        <v>65</v>
      </c>
      <c r="Q9" s="424" t="s">
        <v>16</v>
      </c>
      <c r="R9" s="424" t="s">
        <v>68</v>
      </c>
    </row>
    <row r="10" spans="1:19" s="35" customFormat="1" ht="15" x14ac:dyDescent="0.2">
      <c r="A10" s="432">
        <v>1</v>
      </c>
      <c r="B10" s="427">
        <f>IF('Entries September''25'!I7&lt;'Entries September''25'!I6,"0",IF('Entries September''25'!I7&gt;='Entries September''25'!I6,'Entries September''25'!I7-'Entries September''25'!I6,(999999-'Entries September''25'!I6)+'Entries September''25'!I7+1))</f>
        <v>4427</v>
      </c>
      <c r="C10" s="427">
        <f>IF('Entries September''25'!J7&lt;'Entries September''25'!J6,"0",IF('Entries September''25'!J7&gt;='Entries September''25'!J6,'Entries September''25'!J7-'Entries September''25'!J6,(999999-'Entries September''25'!J6)+'Entries September''25'!J7+1))</f>
        <v>4052</v>
      </c>
      <c r="D10" s="401">
        <f>B10+C10</f>
        <v>8479</v>
      </c>
      <c r="E10" s="820">
        <f>IF('Entries September''25'!K7&lt;'Entries September''25'!K6,"0",IF('Entries September''25'!K7&gt;='Entries September''25'!K6,'Entries September''25'!K7-'Entries September''25'!K6,(999999-'Entries September''25'!K6)+'Entries September''25'!K7+1))</f>
        <v>0</v>
      </c>
      <c r="F10" s="401">
        <f>D10+E10</f>
        <v>8479</v>
      </c>
      <c r="G10" s="402">
        <f>'Water '!Z7*10</f>
        <v>6900</v>
      </c>
      <c r="H10" s="401">
        <f>IF('Entries September''25'!B7-'Entries September''25'!B6&lt;1,"0",'Entries September''25'!B7-'Entries September''25'!B6)</f>
        <v>3020</v>
      </c>
      <c r="I10" s="438">
        <f>'CO2'!E7</f>
        <v>2400</v>
      </c>
      <c r="J10" s="440">
        <f>+'PROD.FIG. '!F5</f>
        <v>0</v>
      </c>
      <c r="K10" s="401">
        <f>+'PROD.FIG. '!C5</f>
        <v>0</v>
      </c>
      <c r="L10" s="401">
        <f>+'PROD.FIG. '!D5</f>
        <v>0</v>
      </c>
      <c r="M10" s="401">
        <f>+'PROD.FIG. '!E5</f>
        <v>0</v>
      </c>
      <c r="N10" s="452" cm="1">
        <f t="array" ref="N10:N40">TRANSPOSE('Daily KPIs'!B9:AF9)</f>
        <v>390.85200000000003</v>
      </c>
      <c r="O10" s="444">
        <f>IF(N10=0,0,F10/N10)</f>
        <v>21.693633395761054</v>
      </c>
      <c r="P10" s="444">
        <f>IF(O10=0,0,G10/N10)</f>
        <v>17.653741057996374</v>
      </c>
      <c r="Q10" s="444">
        <f>IF(P10=0,0,H10/N10)</f>
        <v>7.7267098543694281</v>
      </c>
      <c r="R10" s="444">
        <f>IF(Q10=0,0,I10/N10)</f>
        <v>6.1404316723465655</v>
      </c>
      <c r="S10" s="826"/>
    </row>
    <row r="11" spans="1:19" ht="15" x14ac:dyDescent="0.2">
      <c r="A11" s="433">
        <v>2</v>
      </c>
      <c r="B11" s="427">
        <f>IF('Entries September''25'!I8&lt;'Entries September''25'!I7,"0",IF('Entries September''25'!I8&gt;='Entries September''25'!I7,'Entries September''25'!I8-'Entries September''25'!I7,(999999-'Entries September''25'!I7)+'Entries September''25'!I8+1))</f>
        <v>4769</v>
      </c>
      <c r="C11" s="427">
        <f>IF('Entries September''25'!J8&lt;'Entries September''25'!J7,"0",IF('Entries September''25'!J8&gt;='Entries September''25'!J7,'Entries September''25'!J8-'Entries September''25'!J7,(999999-'Entries September''25'!J7)+'Entries September''25'!J8+1))</f>
        <v>4363</v>
      </c>
      <c r="D11" s="401">
        <f t="shared" ref="D11:D12" si="0">B11+C11</f>
        <v>9132</v>
      </c>
      <c r="E11" s="820">
        <f>IF('Entries September''25'!K8&lt;'Entries September''25'!K7,"0",IF('Entries September''25'!K8&gt;='Entries September''25'!K7,'Entries September''25'!K8-'Entries September''25'!K7,(999999-'Entries September''25'!K7)+'Entries September''25'!K8+1))</f>
        <v>0</v>
      </c>
      <c r="F11" s="401">
        <f t="shared" ref="F11:F40" si="1">D11+E11</f>
        <v>9132</v>
      </c>
      <c r="G11" s="402">
        <f>'Water '!Z8*10</f>
        <v>2330</v>
      </c>
      <c r="H11" s="401">
        <f>IF('Entries September''25'!B8-'Entries September''25'!B7&lt;1,"0",'Entries September''25'!B8-'Entries September''25'!B7)</f>
        <v>2960</v>
      </c>
      <c r="I11" s="438">
        <f>'CO2'!E8</f>
        <v>2000</v>
      </c>
      <c r="J11" s="440">
        <f>+'PROD.FIG. '!F6</f>
        <v>0</v>
      </c>
      <c r="K11" s="401">
        <f>+'PROD.FIG. '!C6</f>
        <v>0</v>
      </c>
      <c r="L11" s="401">
        <f>+'PROD.FIG. '!D6</f>
        <v>0</v>
      </c>
      <c r="M11" s="401">
        <f>+'PROD.FIG. '!E6</f>
        <v>0</v>
      </c>
      <c r="N11" s="452">
        <v>311.38800000000003</v>
      </c>
      <c r="O11" s="444">
        <f t="shared" ref="O11:O40" si="2">IF(N11=0,0,F11/N11)</f>
        <v>29.326756329723686</v>
      </c>
      <c r="P11" s="444">
        <f t="shared" ref="P11:P40" si="3">IF(O11=0,0,G11/N11)</f>
        <v>7.4826261769881937</v>
      </c>
      <c r="Q11" s="444">
        <f t="shared" ref="Q11:Q40" si="4">IF(P11=0,0,H11/N11)</f>
        <v>9.505825529564401</v>
      </c>
      <c r="R11" s="444">
        <f t="shared" ref="R11:R40" si="5">IF(Q11=0,0,I11/N11)</f>
        <v>6.422855087543514</v>
      </c>
      <c r="S11" s="27"/>
    </row>
    <row r="12" spans="1:19" s="35" customFormat="1" ht="15" x14ac:dyDescent="0.2">
      <c r="A12" s="432">
        <v>3</v>
      </c>
      <c r="B12" s="427">
        <f>IF('Entries September''25'!I9&lt;'Entries September''25'!I8,"0",IF('Entries September''25'!I9&gt;='Entries September''25'!I8,'Entries September''25'!I9-'Entries September''25'!I8,(999999-'Entries September''25'!I8)+'Entries September''25'!I9+1))</f>
        <v>4157</v>
      </c>
      <c r="C12" s="427">
        <f>IF('Entries September''25'!J9&lt;'Entries September''25'!J8,"0",IF('Entries September''25'!J9&gt;='Entries September''25'!J8,'Entries September''25'!J9-'Entries September''25'!J8,(999999-'Entries September''25'!J8)+'Entries September''25'!J9+1))</f>
        <v>3804</v>
      </c>
      <c r="D12" s="401">
        <f t="shared" si="0"/>
        <v>7961</v>
      </c>
      <c r="E12" s="820">
        <f>IF('Entries September''25'!K9&lt;'Entries September''25'!K8,"0",IF('Entries September''25'!K9&gt;='Entries September''25'!K8,'Entries September''25'!K9-'Entries September''25'!K8,(999999-'Entries September''25'!K8)+'Entries September''25'!K9+1))</f>
        <v>0</v>
      </c>
      <c r="F12" s="401">
        <f t="shared" si="1"/>
        <v>7961</v>
      </c>
      <c r="G12" s="402">
        <f>'Water '!Z9*10</f>
        <v>3820</v>
      </c>
      <c r="H12" s="401">
        <f>IF('Entries September''25'!B9-'Entries September''25'!B8&lt;1,"0",'Entries September''25'!B9-'Entries September''25'!B8)</f>
        <v>2910</v>
      </c>
      <c r="I12" s="438">
        <f>'CO2'!E9</f>
        <v>1800</v>
      </c>
      <c r="J12" s="440">
        <f>+'PROD.FIG. '!F7</f>
        <v>0</v>
      </c>
      <c r="K12" s="401">
        <f>+'PROD.FIG. '!C7</f>
        <v>0</v>
      </c>
      <c r="L12" s="401">
        <f>+'PROD.FIG. '!D7</f>
        <v>0</v>
      </c>
      <c r="M12" s="401">
        <f>+'PROD.FIG. '!E7</f>
        <v>0</v>
      </c>
      <c r="N12" s="452">
        <v>297.858</v>
      </c>
      <c r="O12" s="444">
        <f t="shared" si="2"/>
        <v>26.727501023977869</v>
      </c>
      <c r="P12" s="444">
        <f t="shared" si="3"/>
        <v>12.824903141765539</v>
      </c>
      <c r="Q12" s="444">
        <f t="shared" si="4"/>
        <v>9.7697560582559468</v>
      </c>
      <c r="R12" s="444">
        <f t="shared" si="5"/>
        <v>6.0431480772717201</v>
      </c>
      <c r="S12" s="826"/>
    </row>
    <row r="13" spans="1:19" ht="15" x14ac:dyDescent="0.2">
      <c r="A13" s="432">
        <v>4</v>
      </c>
      <c r="B13" s="427">
        <f>IF('Entries September''25'!I10&lt;'Entries September''25'!I9,"0",IF('Entries September''25'!I10&gt;='Entries September''25'!I9,'Entries September''25'!I10-'Entries September''25'!I9,(999999-'Entries September''25'!I9)+'Entries September''25'!I10+1))</f>
        <v>4322</v>
      </c>
      <c r="C13" s="427">
        <f>IF('Entries September''25'!J10&lt;'Entries September''25'!J9,"0",IF('Entries September''25'!J10&gt;='Entries September''25'!J9,'Entries September''25'!J10-'Entries September''25'!J9,(999999-'Entries September''25'!J9)+'Entries September''25'!J10+1))</f>
        <v>3954</v>
      </c>
      <c r="D13" s="401">
        <f>B13+C13</f>
        <v>8276</v>
      </c>
      <c r="E13" s="820">
        <f>IF('Entries September''25'!K10&lt;'Entries September''25'!K9,"0",IF('Entries September''25'!K10&gt;='Entries September''25'!K9,'Entries September''25'!K10-'Entries September''25'!K9,(999999-'Entries September''25'!K9)+'Entries September''25'!K10+1))</f>
        <v>0</v>
      </c>
      <c r="F13" s="401">
        <f t="shared" si="1"/>
        <v>8276</v>
      </c>
      <c r="G13" s="402">
        <f>'Water '!Z10*10</f>
        <v>3610</v>
      </c>
      <c r="H13" s="401">
        <f>IF('Entries September''25'!B10-'Entries September''25'!B9&lt;1,"0",'Entries September''25'!B10-'Entries September''25'!B9)</f>
        <v>3180</v>
      </c>
      <c r="I13" s="438">
        <f>'CO2'!E10</f>
        <v>1400</v>
      </c>
      <c r="J13" s="440">
        <f>+'PROD.FIG. '!F8</f>
        <v>0</v>
      </c>
      <c r="K13" s="401">
        <f>+'PROD.FIG. '!C8</f>
        <v>0</v>
      </c>
      <c r="L13" s="401">
        <f>+'PROD.FIG. '!D8</f>
        <v>0</v>
      </c>
      <c r="M13" s="401">
        <f>+'PROD.FIG. '!E8</f>
        <v>0</v>
      </c>
      <c r="N13" s="452">
        <v>392.10599999999999</v>
      </c>
      <c r="O13" s="444">
        <f t="shared" si="2"/>
        <v>21.106537517916074</v>
      </c>
      <c r="P13" s="444">
        <f t="shared" si="3"/>
        <v>9.2066941082258378</v>
      </c>
      <c r="Q13" s="444">
        <f t="shared" si="4"/>
        <v>8.1100518737280218</v>
      </c>
      <c r="R13" s="444">
        <f t="shared" si="5"/>
        <v>3.5704630890626516</v>
      </c>
      <c r="S13" s="27"/>
    </row>
    <row r="14" spans="1:19" s="825" customFormat="1" ht="15" x14ac:dyDescent="0.2">
      <c r="A14" s="818">
        <v>5</v>
      </c>
      <c r="B14" s="427">
        <f>IF('Entries September''25'!I11&lt;'Entries September''25'!I10,"0",IF('Entries September''25'!I11&gt;='Entries September''25'!I10,'Entries September''25'!I11-'Entries September''25'!I10,(999999-'Entries September''25'!I10)+'Entries September''25'!I11+1))</f>
        <v>4263</v>
      </c>
      <c r="C14" s="427">
        <f>IF('Entries September''25'!J11&lt;'Entries September''25'!J10,"0",IF('Entries September''25'!J11&gt;='Entries September''25'!J10,'Entries September''25'!J11-'Entries September''25'!J10,(999999-'Entries September''25'!J10)+'Entries September''25'!J11+1))</f>
        <v>3900</v>
      </c>
      <c r="D14" s="819">
        <f t="shared" ref="D14:D40" si="6">B14+C14</f>
        <v>8163</v>
      </c>
      <c r="E14" s="820">
        <f>IF('Entries September''25'!K11&lt;'Entries September''25'!K10,"0",IF('Entries September''25'!K11&gt;='Entries September''25'!K10,'Entries September''25'!K11-'Entries September''25'!K10,(999999-'Entries September''25'!K10)+'Entries September''25'!K11+1))</f>
        <v>0</v>
      </c>
      <c r="F14" s="401">
        <f t="shared" si="1"/>
        <v>8163</v>
      </c>
      <c r="G14" s="820">
        <f>'Water '!Z11*10</f>
        <v>3360</v>
      </c>
      <c r="H14" s="819">
        <f>IF('Entries September''25'!B11-'Entries September''25'!B10&lt;1,"0",'Entries September''25'!B11-'Entries September''25'!B10)</f>
        <v>2830</v>
      </c>
      <c r="I14" s="821">
        <f>'CO2'!E11</f>
        <v>1500</v>
      </c>
      <c r="J14" s="822">
        <f>+'PROD.FIG. '!F9</f>
        <v>0</v>
      </c>
      <c r="K14" s="819">
        <f>+'PROD.FIG. '!C9</f>
        <v>0</v>
      </c>
      <c r="L14" s="819">
        <f>+'PROD.FIG. '!D9</f>
        <v>0</v>
      </c>
      <c r="M14" s="819">
        <f>+'PROD.FIG. '!E9</f>
        <v>0</v>
      </c>
      <c r="N14" s="823">
        <v>274.49400000000003</v>
      </c>
      <c r="O14" s="824">
        <f t="shared" si="2"/>
        <v>29.738354936719926</v>
      </c>
      <c r="P14" s="824">
        <f t="shared" si="3"/>
        <v>12.240704714857154</v>
      </c>
      <c r="Q14" s="824">
        <f t="shared" si="4"/>
        <v>10.309879268763614</v>
      </c>
      <c r="R14" s="824">
        <f t="shared" si="5"/>
        <v>5.464600319132658</v>
      </c>
    </row>
    <row r="15" spans="1:19" ht="15" x14ac:dyDescent="0.2">
      <c r="A15" s="432">
        <v>6</v>
      </c>
      <c r="B15" s="427">
        <f>IF('Entries September''25'!I12&lt;'Entries September''25'!I11,"0",IF('Entries September''25'!I12&gt;='Entries September''25'!I11,'Entries September''25'!I12-'Entries September''25'!I11,(999999-'Entries September''25'!I11)+'Entries September''25'!I12+1))</f>
        <v>2748</v>
      </c>
      <c r="C15" s="427">
        <f>IF('Entries September''25'!J12&lt;'Entries September''25'!J11,"0",IF('Entries September''25'!J12&gt;='Entries September''25'!J11,'Entries September''25'!J12-'Entries September''25'!J11,(999999-'Entries September''25'!J11)+'Entries September''25'!J12+1))</f>
        <v>2511</v>
      </c>
      <c r="D15" s="401">
        <f t="shared" si="6"/>
        <v>5259</v>
      </c>
      <c r="E15" s="820">
        <f>IF('Entries September''25'!K12&lt;'Entries September''25'!K11,"0",IF('Entries September''25'!K12&gt;='Entries September''25'!K11,'Entries September''25'!K12-'Entries September''25'!K11,(999999-'Entries September''25'!K11)+'Entries September''25'!K12+1))</f>
        <v>0</v>
      </c>
      <c r="F15" s="401">
        <f t="shared" si="1"/>
        <v>5259</v>
      </c>
      <c r="G15" s="402">
        <f>'Water '!Z12*10</f>
        <v>890</v>
      </c>
      <c r="H15" s="401">
        <f>IF('Entries September''25'!B12-'Entries September''25'!B11&lt;1,"0",'Entries September''25'!B12-'Entries September''25'!B11)</f>
        <v>290</v>
      </c>
      <c r="I15" s="438">
        <f>'CO2'!E12</f>
        <v>0</v>
      </c>
      <c r="J15" s="440">
        <f>+'PROD.FIG. '!F10</f>
        <v>0</v>
      </c>
      <c r="K15" s="401">
        <f>+'PROD.FIG. '!C10</f>
        <v>0</v>
      </c>
      <c r="L15" s="401">
        <f>+'PROD.FIG. '!D10</f>
        <v>0</v>
      </c>
      <c r="M15" s="401">
        <f>+'PROD.FIG. '!E10</f>
        <v>0</v>
      </c>
      <c r="N15" s="452">
        <v>0</v>
      </c>
      <c r="O15" s="444">
        <f t="shared" si="2"/>
        <v>0</v>
      </c>
      <c r="P15" s="444">
        <f t="shared" si="3"/>
        <v>0</v>
      </c>
      <c r="Q15" s="444">
        <f t="shared" si="4"/>
        <v>0</v>
      </c>
      <c r="R15" s="444">
        <f t="shared" si="5"/>
        <v>0</v>
      </c>
    </row>
    <row r="16" spans="1:19" s="35" customFormat="1" ht="15" x14ac:dyDescent="0.2">
      <c r="A16" s="432">
        <v>7</v>
      </c>
      <c r="B16" s="427">
        <f>IF('Entries September''25'!I13&lt;'Entries September''25'!I12,"0",IF('Entries September''25'!I13&gt;='Entries September''25'!I12,'Entries September''25'!I13-'Entries September''25'!I12,(999999-'Entries September''25'!I12)+'Entries September''25'!I13+1))</f>
        <v>2631</v>
      </c>
      <c r="C16" s="427">
        <f>IF('Entries September''25'!J13&lt;'Entries September''25'!J12,"0",IF('Entries September''25'!J13&gt;='Entries September''25'!J12,'Entries September''25'!J13-'Entries September''25'!J12,(999999-'Entries September''25'!J12)+'Entries September''25'!J13+1))</f>
        <v>2406</v>
      </c>
      <c r="D16" s="401">
        <f t="shared" si="6"/>
        <v>5037</v>
      </c>
      <c r="E16" s="820">
        <f>IF('Entries September''25'!K13&lt;'Entries September''25'!K12,"0",IF('Entries September''25'!K13&gt;='Entries September''25'!K12,'Entries September''25'!K13-'Entries September''25'!K12,(999999-'Entries September''25'!K12)+'Entries September''25'!K13+1))</f>
        <v>0</v>
      </c>
      <c r="F16" s="401">
        <f t="shared" si="1"/>
        <v>5037</v>
      </c>
      <c r="G16" s="402">
        <f>'Water '!Z13*10</f>
        <v>0</v>
      </c>
      <c r="H16" s="401">
        <f>IF('Entries September''25'!B13-'Entries September''25'!B12&lt;1,"0",'Entries September''25'!B13-'Entries September''25'!B12)</f>
        <v>170</v>
      </c>
      <c r="I16" s="438">
        <f>'CO2'!E13</f>
        <v>3000</v>
      </c>
      <c r="J16" s="440">
        <f>+'PROD.FIG. '!F11</f>
        <v>0</v>
      </c>
      <c r="K16" s="401">
        <f>+'PROD.FIG. '!C11</f>
        <v>0</v>
      </c>
      <c r="L16" s="401">
        <f>+'PROD.FIG. '!D11</f>
        <v>0</v>
      </c>
      <c r="M16" s="401">
        <f>+'PROD.FIG. '!E11</f>
        <v>0</v>
      </c>
      <c r="N16" s="452">
        <v>0</v>
      </c>
      <c r="O16" s="444">
        <f t="shared" si="2"/>
        <v>0</v>
      </c>
      <c r="P16" s="444">
        <f t="shared" si="3"/>
        <v>0</v>
      </c>
      <c r="Q16" s="444">
        <f t="shared" si="4"/>
        <v>0</v>
      </c>
      <c r="R16" s="444">
        <f t="shared" si="5"/>
        <v>0</v>
      </c>
    </row>
    <row r="17" spans="1:18" ht="15" x14ac:dyDescent="0.2">
      <c r="A17" s="433">
        <v>8</v>
      </c>
      <c r="B17" s="427">
        <f>IF('Entries September''25'!I14&lt;'Entries September''25'!I13,"0",IF('Entries September''25'!I14&gt;='Entries September''25'!I13,'Entries September''25'!I14-'Entries September''25'!I13,(999999-'Entries September''25'!I13)+'Entries September''25'!I14+1))</f>
        <v>4178</v>
      </c>
      <c r="C17" s="427">
        <f>IF('Entries September''25'!J14&lt;'Entries September''25'!J13,"0",IF('Entries September''25'!J14&gt;='Entries September''25'!J13,'Entries September''25'!J14-'Entries September''25'!J13,(999999-'Entries September''25'!J13)+'Entries September''25'!J14+1))</f>
        <v>3825</v>
      </c>
      <c r="D17" s="401">
        <f t="shared" si="6"/>
        <v>8003</v>
      </c>
      <c r="E17" s="820">
        <f>IF('Entries September''25'!K14&lt;'Entries September''25'!K13,"0",IF('Entries September''25'!K14&gt;='Entries September''25'!K13,'Entries September''25'!K14-'Entries September''25'!K13,(999999-'Entries September''25'!K13)+'Entries September''25'!K14+1))</f>
        <v>0</v>
      </c>
      <c r="F17" s="401">
        <f t="shared" si="1"/>
        <v>8003</v>
      </c>
      <c r="G17" s="402">
        <f>'Water '!Z14*10</f>
        <v>3270</v>
      </c>
      <c r="H17" s="401">
        <f>IF('Entries September''25'!B14-'Entries September''25'!B13&lt;1,"0",'Entries September''25'!B14-'Entries September''25'!B13)</f>
        <v>3390</v>
      </c>
      <c r="I17" s="438">
        <f>'CO2'!E14</f>
        <v>1600</v>
      </c>
      <c r="J17" s="440">
        <f>+'PROD.FIG. '!F12</f>
        <v>0</v>
      </c>
      <c r="K17" s="401">
        <f>+'PROD.FIG. '!C12</f>
        <v>0</v>
      </c>
      <c r="L17" s="401">
        <f>+'PROD.FIG. '!D12</f>
        <v>0</v>
      </c>
      <c r="M17" s="401">
        <f>+'PROD.FIG. '!E12</f>
        <v>0</v>
      </c>
      <c r="N17" s="452">
        <v>306.37200000000001</v>
      </c>
      <c r="O17" s="444">
        <f t="shared" si="2"/>
        <v>26.121838810335149</v>
      </c>
      <c r="P17" s="444">
        <f>IF(O17=0,0,G17/N17)</f>
        <v>10.673299126552035</v>
      </c>
      <c r="Q17" s="444">
        <f t="shared" si="4"/>
        <v>11.064979828443851</v>
      </c>
      <c r="R17" s="444">
        <f t="shared" si="5"/>
        <v>5.2224093585575702</v>
      </c>
    </row>
    <row r="18" spans="1:18" s="35" customFormat="1" ht="15" x14ac:dyDescent="0.2">
      <c r="A18" s="432">
        <v>9</v>
      </c>
      <c r="B18" s="427">
        <f>IF('Entries September''25'!I15&lt;'Entries September''25'!I14,"0",IF('Entries September''25'!I15&gt;='Entries September''25'!I14,'Entries September''25'!I15-'Entries September''25'!I14,(999999-'Entries September''25'!I14)+'Entries September''25'!I15+1))</f>
        <v>4611</v>
      </c>
      <c r="C18" s="427">
        <f>IF('Entries September''25'!J15&lt;'Entries September''25'!J14,"0",IF('Entries September''25'!J15&gt;='Entries September''25'!J14,'Entries September''25'!J15-'Entries September''25'!J14,(999999-'Entries September''25'!J14)+'Entries September''25'!J15+1))</f>
        <v>4226</v>
      </c>
      <c r="D18" s="401">
        <f t="shared" si="6"/>
        <v>8837</v>
      </c>
      <c r="E18" s="820">
        <f>IF('Entries September''25'!K15&lt;'Entries September''25'!K14,"0",IF('Entries September''25'!K15&gt;='Entries September''25'!K14,'Entries September''25'!K15-'Entries September''25'!K14,(999999-'Entries September''25'!K14)+'Entries September''25'!K15+1))</f>
        <v>0</v>
      </c>
      <c r="F18" s="401">
        <f t="shared" si="1"/>
        <v>8837</v>
      </c>
      <c r="G18" s="402">
        <f>'Water '!Z15*10</f>
        <v>3850</v>
      </c>
      <c r="H18" s="401">
        <f>IF('Entries September''25'!B15-'Entries September''25'!B14&lt;1,"0",'Entries September''25'!B15-'Entries September''25'!B14)</f>
        <v>3060</v>
      </c>
      <c r="I18" s="438">
        <f>'CO2'!E15</f>
        <v>1400</v>
      </c>
      <c r="J18" s="440">
        <f>+'PROD.FIG. '!F13</f>
        <v>0</v>
      </c>
      <c r="K18" s="401">
        <f>+'PROD.FIG. '!C13</f>
        <v>0</v>
      </c>
      <c r="L18" s="401">
        <f>+'PROD.FIG. '!D13</f>
        <v>0</v>
      </c>
      <c r="M18" s="401">
        <f>+'PROD.FIG. '!E13</f>
        <v>0</v>
      </c>
      <c r="N18" s="452">
        <v>360.096</v>
      </c>
      <c r="O18" s="444">
        <f t="shared" si="2"/>
        <v>24.54067804141118</v>
      </c>
      <c r="P18" s="444">
        <f t="shared" si="3"/>
        <v>10.691593352883675</v>
      </c>
      <c r="Q18" s="444">
        <f t="shared" si="4"/>
        <v>8.4977339376166352</v>
      </c>
      <c r="R18" s="444">
        <f t="shared" si="5"/>
        <v>3.8878521283213363</v>
      </c>
    </row>
    <row r="19" spans="1:18" ht="15" x14ac:dyDescent="0.2">
      <c r="A19" s="432">
        <v>10</v>
      </c>
      <c r="B19" s="427">
        <f>IF('Entries September''25'!I16&lt;'Entries September''25'!I15,"0",IF('Entries September''25'!I16&gt;='Entries September''25'!I15,'Entries September''25'!I16-'Entries September''25'!I15,(999999-'Entries September''25'!I15)+'Entries September''25'!I16+1))</f>
        <v>4593</v>
      </c>
      <c r="C19" s="427">
        <f>IF('Entries September''25'!J16&lt;'Entries September''25'!J15,"0",IF('Entries September''25'!J16&gt;='Entries September''25'!J15,'Entries September''25'!J16-'Entries September''25'!J15,(999999-'Entries September''25'!J15)+'Entries September''25'!J16+1))</f>
        <v>4204</v>
      </c>
      <c r="D19" s="401">
        <f t="shared" si="6"/>
        <v>8797</v>
      </c>
      <c r="E19" s="820">
        <f>IF('Entries September''25'!K16&lt;'Entries September''25'!K15,"0",IF('Entries September''25'!K16&gt;='Entries September''25'!K15,'Entries September''25'!K16-'Entries September''25'!K15,(999999-'Entries September''25'!K15)+'Entries September''25'!K16+1))</f>
        <v>0</v>
      </c>
      <c r="F19" s="401">
        <f t="shared" si="1"/>
        <v>8797</v>
      </c>
      <c r="G19" s="402">
        <f>'Water '!Z16*10</f>
        <v>2920</v>
      </c>
      <c r="H19" s="401">
        <f>IF('Entries September''25'!B16-'Entries September''25'!B15&lt;1,"0",'Entries September''25'!B16-'Entries September''25'!B15)</f>
        <v>2810</v>
      </c>
      <c r="I19" s="438">
        <f>'CO2'!E16</f>
        <v>1100</v>
      </c>
      <c r="J19" s="440">
        <f>+'PROD.FIG. '!F14</f>
        <v>0</v>
      </c>
      <c r="K19" s="401">
        <f>+'PROD.FIG. '!C14</f>
        <v>0</v>
      </c>
      <c r="L19" s="401">
        <f>+'PROD.FIG. '!D14</f>
        <v>0</v>
      </c>
      <c r="M19" s="401">
        <f>+'PROD.FIG. '!E14</f>
        <v>0</v>
      </c>
      <c r="N19" s="452">
        <v>320.82600000000002</v>
      </c>
      <c r="O19" s="444">
        <f t="shared" si="2"/>
        <v>27.419847518592629</v>
      </c>
      <c r="P19" s="444">
        <f t="shared" si="3"/>
        <v>9.1015067357383739</v>
      </c>
      <c r="Q19" s="444">
        <f t="shared" si="4"/>
        <v>8.7586417559674086</v>
      </c>
      <c r="R19" s="444">
        <f t="shared" si="5"/>
        <v>3.4286497977096615</v>
      </c>
    </row>
    <row r="20" spans="1:18" s="35" customFormat="1" ht="15" x14ac:dyDescent="0.2">
      <c r="A20" s="433">
        <v>11</v>
      </c>
      <c r="B20" s="427">
        <f>IF('Entries September''25'!I17&lt;'Entries September''25'!I16,"0",IF('Entries September''25'!I17&gt;='Entries September''25'!I16,'Entries September''25'!I17-'Entries September''25'!I16,(999999-'Entries September''25'!I16)+'Entries September''25'!I17+1))</f>
        <v>3759</v>
      </c>
      <c r="C20" s="427">
        <f>IF('Entries September''25'!J17&lt;'Entries September''25'!J16,"0",IF('Entries September''25'!J17&gt;='Entries September''25'!J16,'Entries September''25'!J17-'Entries September''25'!J16,(999999-'Entries September''25'!J16)+'Entries September''25'!J17+1))</f>
        <v>3438</v>
      </c>
      <c r="D20" s="401">
        <f t="shared" si="6"/>
        <v>7197</v>
      </c>
      <c r="E20" s="820">
        <f>IF('Entries September''25'!K17&lt;'Entries September''25'!K16,"0",IF('Entries September''25'!K17&gt;='Entries September''25'!K16,'Entries September''25'!K17-'Entries September''25'!K16,(999999-'Entries September''25'!K16)+'Entries September''25'!K17+1))</f>
        <v>0</v>
      </c>
      <c r="F20" s="401">
        <f t="shared" si="1"/>
        <v>7197</v>
      </c>
      <c r="G20" s="402">
        <f>'Water '!Z17*10</f>
        <v>2850</v>
      </c>
      <c r="H20" s="401">
        <f>IF('Entries September''25'!B17-'Entries September''25'!B16&lt;1,"0",'Entries September''25'!B17-'Entries September''25'!B16)</f>
        <v>2370</v>
      </c>
      <c r="I20" s="438">
        <f>'CO2'!E17</f>
        <v>0</v>
      </c>
      <c r="J20" s="440">
        <f>+'PROD.FIG. '!F15</f>
        <v>0</v>
      </c>
      <c r="K20" s="401">
        <f>+'PROD.FIG. '!C15</f>
        <v>0</v>
      </c>
      <c r="L20" s="401">
        <f>+'PROD.FIG. '!D15</f>
        <v>0</v>
      </c>
      <c r="M20" s="401">
        <f>+'PROD.FIG. '!E15</f>
        <v>0</v>
      </c>
      <c r="N20" s="452">
        <v>5.6760000000000002</v>
      </c>
      <c r="O20" s="444">
        <f t="shared" si="2"/>
        <v>1267.970401691332</v>
      </c>
      <c r="P20" s="444">
        <f t="shared" si="3"/>
        <v>502.11416490486255</v>
      </c>
      <c r="Q20" s="444">
        <f t="shared" si="4"/>
        <v>417.54756871035937</v>
      </c>
      <c r="R20" s="444">
        <f t="shared" si="5"/>
        <v>0</v>
      </c>
    </row>
    <row r="21" spans="1:18" ht="15" x14ac:dyDescent="0.2">
      <c r="A21" s="432">
        <v>12</v>
      </c>
      <c r="B21" s="427">
        <f>IF('Entries September''25'!I18&lt;'Entries September''25'!I17,"0",IF('Entries September''25'!I18&gt;='Entries September''25'!I17,'Entries September''25'!I18-'Entries September''25'!I17,(999999-'Entries September''25'!I17)+'Entries September''25'!I18+1))</f>
        <v>3762</v>
      </c>
      <c r="C21" s="427">
        <f>IF('Entries September''25'!J18&lt;'Entries September''25'!J17,"0",IF('Entries September''25'!J18&gt;='Entries September''25'!J17,'Entries September''25'!J18-'Entries September''25'!J17,(999999-'Entries September''25'!J17)+'Entries September''25'!J18+1))</f>
        <v>3433</v>
      </c>
      <c r="D21" s="401">
        <f t="shared" si="6"/>
        <v>7195</v>
      </c>
      <c r="E21" s="820">
        <f>IF('Entries September''25'!K18&lt;'Entries September''25'!K17,"0",IF('Entries September''25'!K18&gt;='Entries September''25'!K17,'Entries September''25'!K18-'Entries September''25'!K17,(999999-'Entries September''25'!K17)+'Entries September''25'!K18+1))</f>
        <v>0</v>
      </c>
      <c r="F21" s="401">
        <f t="shared" si="1"/>
        <v>7195</v>
      </c>
      <c r="G21" s="402">
        <f>'Water '!Z18*10</f>
        <v>800</v>
      </c>
      <c r="H21" s="401">
        <f>IF('Entries September''25'!B18-'Entries September''25'!B17&lt;1,"0",'Entries September''25'!B18-'Entries September''25'!B17)</f>
        <v>1340</v>
      </c>
      <c r="I21" s="438">
        <f>'CO2'!E18</f>
        <v>300</v>
      </c>
      <c r="J21" s="440">
        <f>+'PROD.FIG. '!F16</f>
        <v>0</v>
      </c>
      <c r="K21" s="401">
        <f>+'PROD.FIG. '!C16</f>
        <v>0</v>
      </c>
      <c r="L21" s="401">
        <f>+'PROD.FIG. '!D16</f>
        <v>0</v>
      </c>
      <c r="M21" s="401">
        <f>+'PROD.FIG. '!E16</f>
        <v>0</v>
      </c>
      <c r="N21" s="452">
        <v>64.878</v>
      </c>
      <c r="O21" s="444">
        <f t="shared" si="2"/>
        <v>110.90045932365362</v>
      </c>
      <c r="P21" s="444">
        <f t="shared" si="3"/>
        <v>12.330836338974692</v>
      </c>
      <c r="Q21" s="444">
        <f t="shared" si="4"/>
        <v>20.654150867782608</v>
      </c>
      <c r="R21" s="444">
        <f t="shared" si="5"/>
        <v>4.6240636271155093</v>
      </c>
    </row>
    <row r="22" spans="1:18" s="35" customFormat="1" ht="15" x14ac:dyDescent="0.2">
      <c r="A22" s="432">
        <v>13</v>
      </c>
      <c r="B22" s="427">
        <f>IF('Entries September''25'!I19&lt;'Entries September''25'!I18,"0",IF('Entries September''25'!I19&gt;='Entries September''25'!I18,'Entries September''25'!I19-'Entries September''25'!I18,(999999-'Entries September''25'!I18)+'Entries September''25'!I19+1))</f>
        <v>2821</v>
      </c>
      <c r="C22" s="427">
        <f>IF('Entries September''25'!J19&lt;'Entries September''25'!J18,"0",IF('Entries September''25'!J19&gt;='Entries September''25'!J18,'Entries September''25'!J19-'Entries September''25'!J18,(999999-'Entries September''25'!J18)+'Entries September''25'!J19+1))</f>
        <v>2572</v>
      </c>
      <c r="D22" s="401">
        <f t="shared" si="6"/>
        <v>5393</v>
      </c>
      <c r="E22" s="820">
        <f>IF('Entries September''25'!K19&lt;'Entries September''25'!K18,"0",IF('Entries September''25'!K19&gt;='Entries September''25'!K18,'Entries September''25'!K19-'Entries September''25'!K18,(999999-'Entries September''25'!K18)+'Entries September''25'!K19+1))</f>
        <v>0</v>
      </c>
      <c r="F22" s="401">
        <f t="shared" si="1"/>
        <v>5393</v>
      </c>
      <c r="G22" s="402">
        <f>'Water '!Z19*10</f>
        <v>760</v>
      </c>
      <c r="H22" s="401" t="str">
        <f>IF('Entries September''25'!B19-'Entries September''25'!B18&lt;1,"0",'Entries September''25'!B19-'Entries September''25'!B18)</f>
        <v>0</v>
      </c>
      <c r="I22" s="438">
        <f>'CO2'!E19</f>
        <v>0</v>
      </c>
      <c r="J22" s="440">
        <f>+'PROD.FIG. '!F17</f>
        <v>0</v>
      </c>
      <c r="K22" s="401">
        <f>+'PROD.FIG. '!C17</f>
        <v>0</v>
      </c>
      <c r="L22" s="401">
        <f>+'PROD.FIG. '!D17</f>
        <v>0</v>
      </c>
      <c r="M22" s="401">
        <f>+'PROD.FIG. '!E17</f>
        <v>0</v>
      </c>
      <c r="N22" s="452">
        <v>0</v>
      </c>
      <c r="O22" s="444">
        <f>IF(N22=0,0,F22/N22)</f>
        <v>0</v>
      </c>
      <c r="P22" s="444">
        <f>IF(O22=0,0,G22/N22)</f>
        <v>0</v>
      </c>
      <c r="Q22" s="444">
        <f>IF(P22=0,0,H22/N22)</f>
        <v>0</v>
      </c>
      <c r="R22" s="444">
        <f>IF(Q22=0,0,I22/N22)</f>
        <v>0</v>
      </c>
    </row>
    <row r="23" spans="1:18" ht="15" x14ac:dyDescent="0.2">
      <c r="A23" s="433">
        <v>14</v>
      </c>
      <c r="B23" s="427">
        <f>IF('Entries September''25'!I20&lt;'Entries September''25'!I19,"0",IF('Entries September''25'!I20&gt;='Entries September''25'!I19,'Entries September''25'!I20-'Entries September''25'!I19,(999999-'Entries September''25'!I19)+'Entries September''25'!I20+1))</f>
        <v>2865</v>
      </c>
      <c r="C23" s="427">
        <f>IF('Entries September''25'!J20&lt;'Entries September''25'!J19,"0",IF('Entries September''25'!J20&gt;='Entries September''25'!J19,'Entries September''25'!J20-'Entries September''25'!J19,(999999-'Entries September''25'!J19)+'Entries September''25'!J20+1))</f>
        <v>2617</v>
      </c>
      <c r="D23" s="401">
        <f t="shared" si="6"/>
        <v>5482</v>
      </c>
      <c r="E23" s="820">
        <f>IF('Entries September''25'!K20&lt;'Entries September''25'!K19,"0",IF('Entries September''25'!K20&gt;='Entries September''25'!K19,'Entries September''25'!K20-'Entries September''25'!K19,(999999-'Entries September''25'!K19)+'Entries September''25'!K20+1))</f>
        <v>0</v>
      </c>
      <c r="F23" s="401">
        <f t="shared" si="1"/>
        <v>5482</v>
      </c>
      <c r="G23" s="402">
        <f>'Water '!Z20*10</f>
        <v>680</v>
      </c>
      <c r="H23" s="401">
        <f>IF('Entries September''25'!B20-'Entries September''25'!B19&lt;1,"0",'Entries September''25'!B20-'Entries September''25'!B19)</f>
        <v>950</v>
      </c>
      <c r="I23" s="438">
        <f>'CO2'!E20</f>
        <v>1800</v>
      </c>
      <c r="J23" s="440">
        <f>+'PROD.FIG. '!F18</f>
        <v>0</v>
      </c>
      <c r="K23" s="401">
        <f>+'PROD.FIG. '!C18</f>
        <v>0</v>
      </c>
      <c r="L23" s="401">
        <f>+'PROD.FIG. '!D18</f>
        <v>0</v>
      </c>
      <c r="M23" s="401">
        <f>+'PROD.FIG. '!E18</f>
        <v>0</v>
      </c>
      <c r="N23" s="452">
        <v>0</v>
      </c>
      <c r="O23" s="444">
        <f t="shared" si="2"/>
        <v>0</v>
      </c>
      <c r="P23" s="444">
        <f t="shared" si="3"/>
        <v>0</v>
      </c>
      <c r="Q23" s="444">
        <f t="shared" si="4"/>
        <v>0</v>
      </c>
      <c r="R23" s="444">
        <f t="shared" si="5"/>
        <v>0</v>
      </c>
    </row>
    <row r="24" spans="1:18" s="35" customFormat="1" ht="15" x14ac:dyDescent="0.2">
      <c r="A24" s="432">
        <v>15</v>
      </c>
      <c r="B24" s="427">
        <f>IF('Entries September''25'!I21&lt;'Entries September''25'!I20,"0",IF('Entries September''25'!I21&gt;='Entries September''25'!I20,'Entries September''25'!I21-'Entries September''25'!I20,(999999-'Entries September''25'!I20)+'Entries September''25'!I21+1))</f>
        <v>4741</v>
      </c>
      <c r="C24" s="427">
        <f>IF('Entries September''25'!J21&lt;'Entries September''25'!J20,"0",IF('Entries September''25'!J21&gt;='Entries September''25'!J20,'Entries September''25'!J21-'Entries September''25'!J20,(999999-'Entries September''25'!J20)+'Entries September''25'!J21+1))</f>
        <v>4345</v>
      </c>
      <c r="D24" s="401">
        <f t="shared" si="6"/>
        <v>9086</v>
      </c>
      <c r="E24" s="820">
        <f>IF('Entries September''25'!K21&lt;'Entries September''25'!K20,"0",IF('Entries September''25'!K21&gt;='Entries September''25'!K20,'Entries September''25'!K21-'Entries September''25'!K20,(999999-'Entries September''25'!K20)+'Entries September''25'!K21+1))</f>
        <v>0</v>
      </c>
      <c r="F24" s="401">
        <f t="shared" si="1"/>
        <v>9086</v>
      </c>
      <c r="G24" s="402">
        <f>'Water '!Z21*10</f>
        <v>3520</v>
      </c>
      <c r="H24" s="401">
        <f>IF('Entries September''25'!B21-'Entries September''25'!B20&lt;1,"0",'Entries September''25'!B21-'Entries September''25'!B20)</f>
        <v>3140</v>
      </c>
      <c r="I24" s="438">
        <f>'CO2'!E21</f>
        <v>2200</v>
      </c>
      <c r="J24" s="440">
        <f>+'PROD.FIG. '!F19</f>
        <v>0</v>
      </c>
      <c r="K24" s="401">
        <f>+'PROD.FIG. '!C19</f>
        <v>0</v>
      </c>
      <c r="L24" s="401">
        <f>+'PROD.FIG. '!D19</f>
        <v>0</v>
      </c>
      <c r="M24" s="401">
        <f>+'PROD.FIG. '!E19</f>
        <v>0</v>
      </c>
      <c r="N24" s="452">
        <v>518.43119999999999</v>
      </c>
      <c r="O24" s="444">
        <f t="shared" si="2"/>
        <v>17.525951370210745</v>
      </c>
      <c r="P24" s="444">
        <f t="shared" si="3"/>
        <v>6.7897148165465353</v>
      </c>
      <c r="Q24" s="444">
        <f t="shared" si="4"/>
        <v>6.056734239760261</v>
      </c>
      <c r="R24" s="444">
        <f t="shared" si="5"/>
        <v>4.2435717603415846</v>
      </c>
    </row>
    <row r="25" spans="1:18" ht="15" x14ac:dyDescent="0.2">
      <c r="A25" s="432">
        <v>16</v>
      </c>
      <c r="B25" s="427">
        <f>IF('Entries September''25'!I22&lt;'Entries September''25'!I21,"0",IF('Entries September''25'!I22&gt;='Entries September''25'!I21,'Entries September''25'!I22-'Entries September''25'!I21,(999999-'Entries September''25'!I21)+'Entries September''25'!I22+1))</f>
        <v>3995</v>
      </c>
      <c r="C25" s="427">
        <f>IF('Entries September''25'!J22&lt;'Entries September''25'!J21,"0",IF('Entries September''25'!J22&gt;='Entries September''25'!J21,'Entries September''25'!J22-'Entries September''25'!J21,(999999-'Entries September''25'!J21)+'Entries September''25'!J22+1))</f>
        <v>3660</v>
      </c>
      <c r="D25" s="401">
        <f t="shared" si="6"/>
        <v>7655</v>
      </c>
      <c r="E25" s="820">
        <f>IF('Entries September''25'!K22&lt;'Entries September''25'!K21,"0",IF('Entries September''25'!K22&gt;='Entries September''25'!K21,'Entries September''25'!K22-'Entries September''25'!K21,(999999-'Entries September''25'!K21)+'Entries September''25'!K22+1))</f>
        <v>0</v>
      </c>
      <c r="F25" s="401">
        <f t="shared" si="1"/>
        <v>7655</v>
      </c>
      <c r="G25" s="402">
        <f>'Water '!Z22*10</f>
        <v>3870</v>
      </c>
      <c r="H25" s="401">
        <f>IF('Entries September''25'!B22-'Entries September''25'!B21&lt;1,"0",'Entries September''25'!B22-'Entries September''25'!B21)</f>
        <v>2280</v>
      </c>
      <c r="I25" s="438">
        <f>'CO2'!E22</f>
        <v>2300</v>
      </c>
      <c r="J25" s="440">
        <f>+'PROD.FIG. '!F20</f>
        <v>0</v>
      </c>
      <c r="K25" s="401">
        <f>+'PROD.FIG. '!C20</f>
        <v>0</v>
      </c>
      <c r="L25" s="401">
        <f>+'PROD.FIG. '!D20</f>
        <v>0</v>
      </c>
      <c r="M25" s="401">
        <f>+'PROD.FIG. '!E20</f>
        <v>0</v>
      </c>
      <c r="N25" s="452">
        <v>442.33199999999999</v>
      </c>
      <c r="O25" s="444">
        <f t="shared" si="2"/>
        <v>17.306005443874739</v>
      </c>
      <c r="P25" s="444">
        <f t="shared" si="3"/>
        <v>8.7490843981443795</v>
      </c>
      <c r="Q25" s="444">
        <f t="shared" si="4"/>
        <v>5.1544993353408755</v>
      </c>
      <c r="R25" s="444">
        <f t="shared" si="5"/>
        <v>5.1997142417912334</v>
      </c>
    </row>
    <row r="26" spans="1:18" s="35" customFormat="1" ht="15" x14ac:dyDescent="0.2">
      <c r="A26" s="433">
        <v>17</v>
      </c>
      <c r="B26" s="427">
        <f>IF('Entries September''25'!I23&lt;'Entries September''25'!I22,"0",IF('Entries September''25'!I23&gt;='Entries September''25'!I22,'Entries September''25'!I23-'Entries September''25'!I22,(999999-'Entries September''25'!I22)+'Entries September''25'!I23+1))</f>
        <v>4679</v>
      </c>
      <c r="C26" s="427">
        <f>IF('Entries September''25'!J23&lt;'Entries September''25'!J22,"0",IF('Entries September''25'!J23&gt;='Entries September''25'!J22,'Entries September''25'!J23-'Entries September''25'!J22,(999999-'Entries September''25'!J22)+'Entries September''25'!J23+1))</f>
        <v>4293</v>
      </c>
      <c r="D26" s="401">
        <f t="shared" si="6"/>
        <v>8972</v>
      </c>
      <c r="E26" s="820">
        <f>IF('Entries September''25'!K23&lt;'Entries September''25'!K22,"0",IF('Entries September''25'!K23&gt;='Entries September''25'!K22,'Entries September''25'!K23-'Entries September''25'!K22,(999999-'Entries September''25'!K22)+'Entries September''25'!K23+1))</f>
        <v>0</v>
      </c>
      <c r="F26" s="401">
        <f t="shared" si="1"/>
        <v>8972</v>
      </c>
      <c r="G26" s="402">
        <f>'Water '!Z23*10</f>
        <v>2980</v>
      </c>
      <c r="H26" s="401">
        <f>IF('Entries September''25'!B23-'Entries September''25'!B22&lt;1,"0",'Entries September''25'!B23-'Entries September''25'!B22)</f>
        <v>3190</v>
      </c>
      <c r="I26" s="438">
        <f>'CO2'!E23</f>
        <v>3000</v>
      </c>
      <c r="J26" s="440">
        <f>+'PROD.FIG. '!F21</f>
        <v>0</v>
      </c>
      <c r="K26" s="401">
        <f>+'PROD.FIG. '!C21</f>
        <v>0</v>
      </c>
      <c r="L26" s="401">
        <f>+'PROD.FIG. '!D21</f>
        <v>0</v>
      </c>
      <c r="M26" s="401">
        <f>+'PROD.FIG. '!E21</f>
        <v>0</v>
      </c>
      <c r="N26" s="452">
        <v>439.75800000000004</v>
      </c>
      <c r="O26" s="444">
        <f t="shared" si="2"/>
        <v>20.402130262553495</v>
      </c>
      <c r="P26" s="444">
        <f t="shared" si="3"/>
        <v>6.7764543226047049</v>
      </c>
      <c r="Q26" s="444">
        <f t="shared" si="4"/>
        <v>7.2539896943318816</v>
      </c>
      <c r="R26" s="444">
        <f t="shared" si="5"/>
        <v>6.8219338818168165</v>
      </c>
    </row>
    <row r="27" spans="1:18" ht="15" x14ac:dyDescent="0.2">
      <c r="A27" s="432">
        <v>18</v>
      </c>
      <c r="B27" s="427">
        <f>IF('Entries September''25'!I24&lt;'Entries September''25'!I23,"0",IF('Entries September''25'!I24&gt;='Entries September''25'!I23,'Entries September''25'!I24-'Entries September''25'!I23,(999999-'Entries September''25'!I23)+'Entries September''25'!I24+1))</f>
        <v>5027</v>
      </c>
      <c r="C27" s="427">
        <f>IF('Entries September''25'!J24&lt;'Entries September''25'!J23,"0",IF('Entries September''25'!J24&gt;='Entries September''25'!J23,'Entries September''25'!J24-'Entries September''25'!J23,(999999-'Entries September''25'!J23)+'Entries September''25'!J24+1))</f>
        <v>4611</v>
      </c>
      <c r="D27" s="401">
        <f t="shared" si="6"/>
        <v>9638</v>
      </c>
      <c r="E27" s="820">
        <f>IF('Entries September''25'!K24&lt;'Entries September''25'!K23,"0",IF('Entries September''25'!K24&gt;='Entries September''25'!K23,'Entries September''25'!K24-'Entries September''25'!K23,(999999-'Entries September''25'!K23)+'Entries September''25'!K24+1))</f>
        <v>0</v>
      </c>
      <c r="F27" s="401">
        <f t="shared" si="1"/>
        <v>9638</v>
      </c>
      <c r="G27" s="402">
        <f>'Water '!Z24*10</f>
        <v>4430</v>
      </c>
      <c r="H27" s="401">
        <f>IF('Entries September''25'!B24-'Entries September''25'!B23&lt;1,"0",'Entries September''25'!B24-'Entries September''25'!B23)</f>
        <v>3610</v>
      </c>
      <c r="I27" s="438">
        <f>'CO2'!E24</f>
        <v>2400</v>
      </c>
      <c r="J27" s="440">
        <f>+'PROD.FIG. '!F22</f>
        <v>0</v>
      </c>
      <c r="K27" s="401">
        <f>+'PROD.FIG. '!C22</f>
        <v>0</v>
      </c>
      <c r="L27" s="401">
        <f>+'PROD.FIG. '!D22</f>
        <v>0</v>
      </c>
      <c r="M27" s="401">
        <f>+'PROD.FIG. '!E22</f>
        <v>0</v>
      </c>
      <c r="N27" s="452">
        <v>814.04399999999998</v>
      </c>
      <c r="O27" s="444">
        <f t="shared" si="2"/>
        <v>11.839654858951114</v>
      </c>
      <c r="P27" s="444">
        <f t="shared" si="3"/>
        <v>5.4419662819208794</v>
      </c>
      <c r="Q27" s="444">
        <f t="shared" si="4"/>
        <v>4.4346497240935383</v>
      </c>
      <c r="R27" s="444">
        <f t="shared" si="5"/>
        <v>2.9482435838849006</v>
      </c>
    </row>
    <row r="28" spans="1:18" s="35" customFormat="1" ht="15" x14ac:dyDescent="0.2">
      <c r="A28" s="432">
        <v>19</v>
      </c>
      <c r="B28" s="427">
        <f>IF('Entries September''25'!I25&lt;'Entries September''25'!I24,"0",IF('Entries September''25'!I25&gt;='Entries September''25'!I24,'Entries September''25'!I25-'Entries September''25'!I24,(999999-'Entries September''25'!I24)+'Entries September''25'!I25+1))</f>
        <v>4522</v>
      </c>
      <c r="C28" s="427">
        <f>IF('Entries September''25'!J25&lt;'Entries September''25'!J24,"0",IF('Entries September''25'!J25&gt;='Entries September''25'!J24,'Entries September''25'!J25-'Entries September''25'!J24,(999999-'Entries September''25'!J24)+'Entries September''25'!J25+1))</f>
        <v>4142</v>
      </c>
      <c r="D28" s="401">
        <f t="shared" si="6"/>
        <v>8664</v>
      </c>
      <c r="E28" s="820">
        <f>IF('Entries September''25'!K25&lt;'Entries September''25'!K24,"0",IF('Entries September''25'!K25&gt;='Entries September''25'!K24,'Entries September''25'!K25-'Entries September''25'!K24,(999999-'Entries September''25'!K24)+'Entries September''25'!K25+1))</f>
        <v>0</v>
      </c>
      <c r="F28" s="401">
        <f t="shared" si="1"/>
        <v>8664</v>
      </c>
      <c r="G28" s="402">
        <f>'Water '!Z25*10</f>
        <v>4230</v>
      </c>
      <c r="H28" s="401">
        <f>IF('Entries September''25'!B25-'Entries September''25'!B24&lt;1,"0",'Entries September''25'!B25-'Entries September''25'!B24)</f>
        <v>2910</v>
      </c>
      <c r="I28" s="438">
        <f>'CO2'!E25</f>
        <v>3300</v>
      </c>
      <c r="J28" s="440">
        <f>+'PROD.FIG. '!F23</f>
        <v>0</v>
      </c>
      <c r="K28" s="401">
        <f>+'PROD.FIG. '!C23</f>
        <v>0</v>
      </c>
      <c r="L28" s="401">
        <f>+'PROD.FIG. '!D23</f>
        <v>0</v>
      </c>
      <c r="M28" s="401">
        <f>+'PROD.FIG. '!E23</f>
        <v>0</v>
      </c>
      <c r="N28" s="452">
        <v>524.37</v>
      </c>
      <c r="O28" s="444">
        <f t="shared" si="2"/>
        <v>16.522684364094054</v>
      </c>
      <c r="P28" s="444">
        <f t="shared" si="3"/>
        <v>8.0668230447966138</v>
      </c>
      <c r="Q28" s="444">
        <f t="shared" si="4"/>
        <v>5.5495165627324221</v>
      </c>
      <c r="R28" s="444">
        <f t="shared" si="5"/>
        <v>6.293266205160478</v>
      </c>
    </row>
    <row r="29" spans="1:18" ht="15" x14ac:dyDescent="0.2">
      <c r="A29" s="433">
        <v>20</v>
      </c>
      <c r="B29" s="427">
        <f>IF('Entries September''25'!I26&lt;'Entries September''25'!I25,"0",IF('Entries September''25'!I26&gt;='Entries September''25'!I25,'Entries September''25'!I26-'Entries September''25'!I25,(999999-'Entries September''25'!I25)+'Entries September''25'!I26+1))</f>
        <v>3028</v>
      </c>
      <c r="C29" s="427">
        <f>IF('Entries September''25'!J26&lt;'Entries September''25'!J25,"0",IF('Entries September''25'!J26&gt;='Entries September''25'!J25,'Entries September''25'!J26-'Entries September''25'!J25,(999999-'Entries September''25'!J25)+'Entries September''25'!J26+1))</f>
        <v>2752</v>
      </c>
      <c r="D29" s="401">
        <f t="shared" si="6"/>
        <v>5780</v>
      </c>
      <c r="E29" s="820">
        <f>IF('Entries September''25'!K26&lt;'Entries September''25'!K25,"0",IF('Entries September''25'!K26&gt;='Entries September''25'!K25,'Entries September''25'!K26-'Entries September''25'!K25,(999999-'Entries September''25'!K25)+'Entries September''25'!K26+1))</f>
        <v>0</v>
      </c>
      <c r="F29" s="401">
        <f t="shared" si="1"/>
        <v>5780</v>
      </c>
      <c r="G29" s="402">
        <f>'Water '!Z26*10</f>
        <v>0</v>
      </c>
      <c r="H29" s="401" t="str">
        <f>IF('Entries September''25'!B26-'Entries September''25'!B25&lt;1,"0",'Entries September''25'!B26-'Entries September''25'!B25)</f>
        <v>0</v>
      </c>
      <c r="I29" s="438">
        <f>'CO2'!E26</f>
        <v>0</v>
      </c>
      <c r="J29" s="440">
        <f>+'PROD.FIG. '!F24</f>
        <v>0</v>
      </c>
      <c r="K29" s="401">
        <f>+'PROD.FIG. '!C24</f>
        <v>0</v>
      </c>
      <c r="L29" s="401">
        <f>+'PROD.FIG. '!D24</f>
        <v>0</v>
      </c>
      <c r="M29" s="401">
        <f>+'PROD.FIG. '!E24</f>
        <v>0</v>
      </c>
      <c r="N29" s="452">
        <v>0</v>
      </c>
      <c r="O29" s="444">
        <f t="shared" si="2"/>
        <v>0</v>
      </c>
      <c r="P29" s="444">
        <f t="shared" si="3"/>
        <v>0</v>
      </c>
      <c r="Q29" s="444">
        <f t="shared" si="4"/>
        <v>0</v>
      </c>
      <c r="R29" s="444">
        <f t="shared" si="5"/>
        <v>0</v>
      </c>
    </row>
    <row r="30" spans="1:18" s="35" customFormat="1" ht="15" x14ac:dyDescent="0.2">
      <c r="A30" s="432">
        <v>21</v>
      </c>
      <c r="B30" s="427">
        <f>IF('Entries September''25'!I27&lt;'Entries September''25'!I26,"0",IF('Entries September''25'!I27&gt;='Entries September''25'!I26,'Entries September''25'!I27-'Entries September''25'!I26,(999999-'Entries September''25'!I26)+'Entries September''25'!I27+1))</f>
        <v>2526</v>
      </c>
      <c r="C30" s="427">
        <f>IF('Entries September''25'!J27&lt;'Entries September''25'!J26,"0",IF('Entries September''25'!J27&gt;='Entries September''25'!J26,'Entries September''25'!J27-'Entries September''25'!J26,(999999-'Entries September''25'!J26)+'Entries September''25'!J27+1))</f>
        <v>2296</v>
      </c>
      <c r="D30" s="401">
        <f t="shared" si="6"/>
        <v>4822</v>
      </c>
      <c r="E30" s="820">
        <f>IF('Entries September''25'!K27&lt;'Entries September''25'!K26,"0",IF('Entries September''25'!K27&gt;='Entries September''25'!K26,'Entries September''25'!K27-'Entries September''25'!K26,(999999-'Entries September''25'!K26)+'Entries September''25'!K27+1))</f>
        <v>0</v>
      </c>
      <c r="F30" s="401">
        <f t="shared" si="1"/>
        <v>4822</v>
      </c>
      <c r="G30" s="402">
        <f>'Water '!Z27*10</f>
        <v>1190</v>
      </c>
      <c r="H30" s="401">
        <f>IF('Entries September''25'!B27-'Entries September''25'!B26&lt;1,"0",'Entries September''25'!B27-'Entries September''25'!B26)</f>
        <v>1330</v>
      </c>
      <c r="I30" s="438">
        <f>'CO2'!E27</f>
        <v>0</v>
      </c>
      <c r="J30" s="440">
        <f>+'PROD.FIG. '!F25</f>
        <v>0</v>
      </c>
      <c r="K30" s="401">
        <f>+'PROD.FIG. '!C25</f>
        <v>0</v>
      </c>
      <c r="L30" s="401">
        <f>+'PROD.FIG. '!D25</f>
        <v>0</v>
      </c>
      <c r="M30" s="401">
        <f>+'PROD.FIG. '!E25</f>
        <v>0</v>
      </c>
      <c r="N30" s="452">
        <v>0</v>
      </c>
      <c r="O30" s="444">
        <f t="shared" si="2"/>
        <v>0</v>
      </c>
      <c r="P30" s="444">
        <f t="shared" si="3"/>
        <v>0</v>
      </c>
      <c r="Q30" s="444">
        <f t="shared" si="4"/>
        <v>0</v>
      </c>
      <c r="R30" s="444">
        <f t="shared" si="5"/>
        <v>0</v>
      </c>
    </row>
    <row r="31" spans="1:18" ht="15" x14ac:dyDescent="0.2">
      <c r="A31" s="432">
        <v>22</v>
      </c>
      <c r="B31" s="427">
        <f>IF('Entries September''25'!I28&lt;'Entries September''25'!I27,"0",IF('Entries September''25'!I28&gt;='Entries September''25'!I27,'Entries September''25'!I28-'Entries September''25'!I27,(999999-'Entries September''25'!I27)+'Entries September''25'!I28+1))</f>
        <v>4573</v>
      </c>
      <c r="C31" s="427">
        <f>IF('Entries September''25'!J28&lt;'Entries September''25'!J27,"0",IF('Entries September''25'!J28&gt;='Entries September''25'!J27,'Entries September''25'!J28-'Entries September''25'!J27,(999999-'Entries September''25'!J27)+'Entries September''25'!J28+1))</f>
        <v>4185</v>
      </c>
      <c r="D31" s="401">
        <f t="shared" si="6"/>
        <v>8758</v>
      </c>
      <c r="E31" s="820">
        <f>IF('Entries September''25'!K28&lt;'Entries September''25'!K27,"0",IF('Entries September''25'!K28&gt;='Entries September''25'!K27,'Entries September''25'!K28-'Entries September''25'!K27,(999999-'Entries September''25'!K27)+'Entries September''25'!K28+1))</f>
        <v>0</v>
      </c>
      <c r="F31" s="401">
        <f t="shared" si="1"/>
        <v>8758</v>
      </c>
      <c r="G31" s="402">
        <f>'Water '!Z28*10</f>
        <v>3350</v>
      </c>
      <c r="H31" s="401">
        <f>IF('Entries September''25'!B28-'Entries September''25'!B27&lt;1,"0",'Entries September''25'!B28-'Entries September''25'!B27)</f>
        <v>2910</v>
      </c>
      <c r="I31" s="438">
        <f>'CO2'!E28</f>
        <v>800</v>
      </c>
      <c r="J31" s="440">
        <f>+'PROD.FIG. '!F26</f>
        <v>0</v>
      </c>
      <c r="K31" s="401">
        <f>+'PROD.FIG. '!C26</f>
        <v>0</v>
      </c>
      <c r="L31" s="401">
        <f>+'PROD.FIG. '!D26</f>
        <v>0</v>
      </c>
      <c r="M31" s="401">
        <f>+'PROD.FIG. '!E26</f>
        <v>0</v>
      </c>
      <c r="N31" s="452">
        <v>349.47</v>
      </c>
      <c r="O31" s="444">
        <f>IF(N31=0,0,F31/N31)</f>
        <v>25.060806363922509</v>
      </c>
      <c r="P31" s="444">
        <f>IF(O31=0,0,G31/N31)</f>
        <v>9.5859444301370633</v>
      </c>
      <c r="Q31" s="444">
        <f>IF(P31=0,0,H31/N31)</f>
        <v>8.3268950124474195</v>
      </c>
      <c r="R31" s="444">
        <f>IF(Q31=0,0,I31/N31)</f>
        <v>2.289180759435717</v>
      </c>
    </row>
    <row r="32" spans="1:18" s="35" customFormat="1" ht="15" x14ac:dyDescent="0.2">
      <c r="A32" s="433">
        <v>23</v>
      </c>
      <c r="B32" s="427">
        <f>IF('Entries September''25'!I29&lt;'Entries September''25'!I28,"0",IF('Entries September''25'!I29&gt;='Entries September''25'!I28,'Entries September''25'!I29-'Entries September''25'!I28,(999999-'Entries September''25'!I28)+'Entries September''25'!I29+1))</f>
        <v>5094</v>
      </c>
      <c r="C32" s="427">
        <f>IF('Entries September''25'!J29&lt;'Entries September''25'!J28,"0",IF('Entries September''25'!J29&gt;='Entries September''25'!J28,'Entries September''25'!J29-'Entries September''25'!J28,(999999-'Entries September''25'!J28)+'Entries September''25'!J29+1))</f>
        <v>4666</v>
      </c>
      <c r="D32" s="401">
        <f t="shared" si="6"/>
        <v>9760</v>
      </c>
      <c r="E32" s="820">
        <f>IF('Entries September''25'!K29&lt;'Entries September''25'!K28,"0",IF('Entries September''25'!K29&gt;='Entries September''25'!K28,'Entries September''25'!K29-'Entries September''25'!K28,(999999-'Entries September''25'!K28)+'Entries September''25'!K29+1))</f>
        <v>0</v>
      </c>
      <c r="F32" s="401">
        <f t="shared" si="1"/>
        <v>9760</v>
      </c>
      <c r="G32" s="402">
        <f>'Water '!Z29*10</f>
        <v>4530</v>
      </c>
      <c r="H32" s="401">
        <f>IF('Entries September''25'!B29-'Entries September''25'!B28&lt;1,"0",'Entries September''25'!B29-'Entries September''25'!B28)</f>
        <v>3220</v>
      </c>
      <c r="I32" s="438">
        <f>'CO2'!E29</f>
        <v>2400</v>
      </c>
      <c r="J32" s="440">
        <f>+'PROD.FIG. '!F27</f>
        <v>0</v>
      </c>
      <c r="K32" s="401">
        <f>+'PROD.FIG. '!C27</f>
        <v>0</v>
      </c>
      <c r="L32" s="401">
        <f>+'PROD.FIG. '!D27</f>
        <v>0</v>
      </c>
      <c r="M32" s="401">
        <f>+'PROD.FIG. '!E27</f>
        <v>0</v>
      </c>
      <c r="N32" s="452">
        <v>484.24200000000002</v>
      </c>
      <c r="O32" s="444">
        <f t="shared" si="2"/>
        <v>20.155211650373161</v>
      </c>
      <c r="P32" s="444">
        <f t="shared" si="3"/>
        <v>9.3548267188719691</v>
      </c>
      <c r="Q32" s="444">
        <f t="shared" si="4"/>
        <v>6.6495677780944238</v>
      </c>
      <c r="R32" s="444">
        <f t="shared" si="5"/>
        <v>4.956199586157334</v>
      </c>
    </row>
    <row r="33" spans="1:18" ht="15" x14ac:dyDescent="0.2">
      <c r="A33" s="432">
        <v>24</v>
      </c>
      <c r="B33" s="427">
        <f>IF('Entries September''25'!I30&lt;'Entries September''25'!I29,"0",IF('Entries September''25'!I30&gt;='Entries September''25'!I29,'Entries September''25'!I30-'Entries September''25'!I29,(999999-'Entries September''25'!I29)+'Entries September''25'!I30+1))</f>
        <v>3434</v>
      </c>
      <c r="C33" s="427">
        <f>IF('Entries September''25'!J30&lt;'Entries September''25'!J29,"0",IF('Entries September''25'!J30&gt;='Entries September''25'!J29,'Entries September''25'!J30-'Entries September''25'!J29,(999999-'Entries September''25'!J29)+'Entries September''25'!J30+1))</f>
        <v>3141</v>
      </c>
      <c r="D33" s="401">
        <f t="shared" si="6"/>
        <v>6575</v>
      </c>
      <c r="E33" s="820">
        <f>IF('Entries September''25'!K30&lt;'Entries September''25'!K29,"0",IF('Entries September''25'!K30&gt;='Entries September''25'!K29,'Entries September''25'!K30-'Entries September''25'!K29,(999999-'Entries September''25'!K29)+'Entries September''25'!K30+1))</f>
        <v>0</v>
      </c>
      <c r="F33" s="401">
        <f t="shared" si="1"/>
        <v>6575</v>
      </c>
      <c r="G33" s="402">
        <f>'Water '!Z30*10</f>
        <v>2230</v>
      </c>
      <c r="H33" s="401">
        <f>IF('Entries September''25'!B30-'Entries September''25'!B29&lt;1,"0",'Entries September''25'!B30-'Entries September''25'!B29)</f>
        <v>1540</v>
      </c>
      <c r="I33" s="438">
        <f>'CO2'!E30</f>
        <v>800</v>
      </c>
      <c r="J33" s="440">
        <f>+'PROD.FIG. '!F28</f>
        <v>0</v>
      </c>
      <c r="K33" s="401">
        <f>+'PROD.FIG. '!C28</f>
        <v>0</v>
      </c>
      <c r="L33" s="401">
        <f>+'PROD.FIG. '!D28</f>
        <v>0</v>
      </c>
      <c r="M33" s="401">
        <f>+'PROD.FIG. '!E28</f>
        <v>0</v>
      </c>
      <c r="N33" s="452">
        <v>0</v>
      </c>
      <c r="O33" s="444">
        <f>IF(N33=0,0,F33/N33)</f>
        <v>0</v>
      </c>
      <c r="P33" s="444">
        <f>IF(O33=0,0,G33/N33)</f>
        <v>0</v>
      </c>
      <c r="Q33" s="444">
        <f>IF(P33=0,0,H33/N33)</f>
        <v>0</v>
      </c>
      <c r="R33" s="444">
        <f>IF(Q33=0,0,I33/N33)</f>
        <v>0</v>
      </c>
    </row>
    <row r="34" spans="1:18" s="35" customFormat="1" ht="15" x14ac:dyDescent="0.2">
      <c r="A34" s="432">
        <v>25</v>
      </c>
      <c r="B34" s="427">
        <f>IF('Entries September''25'!I31&lt;'Entries September''25'!I30,"0",IF('Entries September''25'!I31&gt;='Entries September''25'!I30,'Entries September''25'!I31-'Entries September''25'!I30,(999999-'Entries September''25'!I30)+'Entries September''25'!I31+1))</f>
        <v>4472</v>
      </c>
      <c r="C34" s="427">
        <f>IF('Entries September''25'!J31&lt;'Entries September''25'!J30,"0",IF('Entries September''25'!J31&gt;='Entries September''25'!J30,'Entries September''25'!J31-'Entries September''25'!J30,(999999-'Entries September''25'!J30)+'Entries September''25'!J31+1))</f>
        <v>4094</v>
      </c>
      <c r="D34" s="401">
        <f t="shared" si="6"/>
        <v>8566</v>
      </c>
      <c r="E34" s="820">
        <f>IF('Entries September''25'!K31&lt;'Entries September''25'!K30,"0",IF('Entries September''25'!K31&gt;='Entries September''25'!K30,'Entries September''25'!K31-'Entries September''25'!K30,(999999-'Entries September''25'!K30)+'Entries September''25'!K31+1))</f>
        <v>0</v>
      </c>
      <c r="F34" s="401">
        <f t="shared" si="1"/>
        <v>8566</v>
      </c>
      <c r="G34" s="402">
        <f>'Water '!Z31*10</f>
        <v>3800</v>
      </c>
      <c r="H34" s="401">
        <f>IF('Entries September''25'!B31-'Entries September''25'!B30&lt;1,"0",'Entries September''25'!B31-'Entries September''25'!B30)</f>
        <v>3110</v>
      </c>
      <c r="I34" s="438">
        <f>'CO2'!E31</f>
        <v>1000</v>
      </c>
      <c r="J34" s="440">
        <f>+'PROD.FIG. '!F29</f>
        <v>0</v>
      </c>
      <c r="K34" s="401">
        <f>+'PROD.FIG. '!C29</f>
        <v>0</v>
      </c>
      <c r="L34" s="401">
        <f>+'PROD.FIG. '!D29</f>
        <v>0</v>
      </c>
      <c r="M34" s="401">
        <f>+'PROD.FIG. '!E29</f>
        <v>0</v>
      </c>
      <c r="N34" s="452">
        <v>282.94200000000001</v>
      </c>
      <c r="O34" s="444">
        <f t="shared" si="2"/>
        <v>30.274755957051269</v>
      </c>
      <c r="P34" s="444">
        <f t="shared" si="3"/>
        <v>13.430314340041422</v>
      </c>
      <c r="Q34" s="444">
        <f t="shared" si="4"/>
        <v>10.99165199934969</v>
      </c>
      <c r="R34" s="444">
        <f t="shared" si="5"/>
        <v>3.5342932473793214</v>
      </c>
    </row>
    <row r="35" spans="1:18" ht="15" x14ac:dyDescent="0.2">
      <c r="A35" s="433">
        <v>26</v>
      </c>
      <c r="B35" s="427">
        <f>IF('Entries September''25'!I32&lt;'Entries September''25'!I31,"0",IF('Entries September''25'!I32&gt;='Entries September''25'!I31,'Entries September''25'!I32-'Entries September''25'!I31,(999999-'Entries September''25'!I31)+'Entries September''25'!I32+1))</f>
        <v>4528</v>
      </c>
      <c r="C35" s="427">
        <f>IF('Entries September''25'!J32&lt;'Entries September''25'!J31,"0",IF('Entries September''25'!J32&gt;='Entries September''25'!J31,'Entries September''25'!J32-'Entries September''25'!J31,(999999-'Entries September''25'!J31)+'Entries September''25'!J32+1))</f>
        <v>4146</v>
      </c>
      <c r="D35" s="401">
        <f t="shared" si="6"/>
        <v>8674</v>
      </c>
      <c r="E35" s="820">
        <f>IF('Entries September''25'!K32&lt;'Entries September''25'!K31,"0",IF('Entries September''25'!K32&gt;='Entries September''25'!K31,'Entries September''25'!K32-'Entries September''25'!K31,(999999-'Entries September''25'!K31)+'Entries September''25'!K32+1))</f>
        <v>0</v>
      </c>
      <c r="F35" s="401">
        <f t="shared" si="1"/>
        <v>8674</v>
      </c>
      <c r="G35" s="402">
        <f>'Water '!Z32*10</f>
        <v>3240</v>
      </c>
      <c r="H35" s="401">
        <f>IF('Entries September''25'!B32-'Entries September''25'!B31&lt;1,"0",'Entries September''25'!B32-'Entries September''25'!B31)</f>
        <v>2810</v>
      </c>
      <c r="I35" s="438">
        <f>'CO2'!E32</f>
        <v>3100</v>
      </c>
      <c r="J35" s="440">
        <f>+'PROD.FIG. '!F30</f>
        <v>0</v>
      </c>
      <c r="K35" s="401">
        <f>+'PROD.FIG. '!C30</f>
        <v>0</v>
      </c>
      <c r="L35" s="401">
        <f>+'PROD.FIG. '!D30</f>
        <v>0</v>
      </c>
      <c r="M35" s="401">
        <f>+'PROD.FIG. '!E30</f>
        <v>0</v>
      </c>
      <c r="N35" s="452">
        <v>523.24800000000005</v>
      </c>
      <c r="O35" s="444">
        <f t="shared" si="2"/>
        <v>16.577225331009387</v>
      </c>
      <c r="P35" s="444">
        <f t="shared" si="3"/>
        <v>6.1920924685808636</v>
      </c>
      <c r="Q35" s="444">
        <f t="shared" si="4"/>
        <v>5.3703024187383415</v>
      </c>
      <c r="R35" s="444">
        <f t="shared" si="5"/>
        <v>5.9245329174693451</v>
      </c>
    </row>
    <row r="36" spans="1:18" s="35" customFormat="1" ht="15" x14ac:dyDescent="0.2">
      <c r="A36" s="432">
        <v>27</v>
      </c>
      <c r="B36" s="427">
        <f>IF('Entries September''25'!I33&lt;'Entries September''25'!I32,"0",IF('Entries September''25'!I33&gt;='Entries September''25'!I32,'Entries September''25'!I33-'Entries September''25'!I32,(999999-'Entries September''25'!I32)+'Entries September''25'!I33+1))</f>
        <v>3335</v>
      </c>
      <c r="C36" s="427">
        <f>IF('Entries September''25'!J33&lt;'Entries September''25'!J32,"0",IF('Entries September''25'!J33&gt;='Entries September''25'!J32,'Entries September''25'!J33-'Entries September''25'!J32,(999999-'Entries September''25'!J32)+'Entries September''25'!J33+1))</f>
        <v>3041</v>
      </c>
      <c r="D36" s="401">
        <f t="shared" si="6"/>
        <v>6376</v>
      </c>
      <c r="E36" s="820">
        <f>IF('Entries September''25'!K33&lt;'Entries September''25'!K32,"0",IF('Entries September''25'!K33&gt;='Entries September''25'!K32,'Entries September''25'!K33-'Entries September''25'!K32,(999999-'Entries September''25'!K32)+'Entries September''25'!K33+1))</f>
        <v>0</v>
      </c>
      <c r="F36" s="401">
        <f t="shared" si="1"/>
        <v>6376</v>
      </c>
      <c r="G36" s="402">
        <f>'Water '!Z33*10</f>
        <v>1470</v>
      </c>
      <c r="H36" s="401">
        <f>IF('Entries September''25'!B33-'Entries September''25'!B32&lt;1,"0",'Entries September''25'!B33-'Entries September''25'!B32)</f>
        <v>690</v>
      </c>
      <c r="I36" s="438">
        <f>'CO2'!E33</f>
        <v>0</v>
      </c>
      <c r="J36" s="440">
        <f>+'PROD.FIG. '!F31</f>
        <v>0</v>
      </c>
      <c r="K36" s="401">
        <f>+'PROD.FIG. '!C31</f>
        <v>0</v>
      </c>
      <c r="L36" s="401">
        <f>+'PROD.FIG. '!D31</f>
        <v>0</v>
      </c>
      <c r="M36" s="401">
        <f>+'PROD.FIG. '!E31</f>
        <v>0</v>
      </c>
      <c r="N36" s="452">
        <v>0</v>
      </c>
      <c r="O36" s="444">
        <f t="shared" si="2"/>
        <v>0</v>
      </c>
      <c r="P36" s="444">
        <f t="shared" si="3"/>
        <v>0</v>
      </c>
      <c r="Q36" s="444">
        <f t="shared" si="4"/>
        <v>0</v>
      </c>
      <c r="R36" s="444">
        <f t="shared" si="5"/>
        <v>0</v>
      </c>
    </row>
    <row r="37" spans="1:18" ht="15" x14ac:dyDescent="0.2">
      <c r="A37" s="432">
        <v>28</v>
      </c>
      <c r="B37" s="427">
        <f>IF('Entries September''25'!I34&lt;'Entries September''25'!I33,"0",IF('Entries September''25'!I34&gt;='Entries September''25'!I33,'Entries September''25'!I34-'Entries September''25'!I33,(999999-'Entries September''25'!I33)+'Entries September''25'!I34+1))</f>
        <v>2435</v>
      </c>
      <c r="C37" s="427">
        <f>IF('Entries September''25'!J34&lt;'Entries September''25'!J33,"0",IF('Entries September''25'!J34&gt;='Entries September''25'!J33,'Entries September''25'!J34-'Entries September''25'!J33,(999999-'Entries September''25'!J33)+'Entries September''25'!J34+1))</f>
        <v>2219</v>
      </c>
      <c r="D37" s="401">
        <f t="shared" si="6"/>
        <v>4654</v>
      </c>
      <c r="E37" s="820">
        <f>IF('Entries September''25'!K34&lt;'Entries September''25'!K33,"0",IF('Entries September''25'!K34&gt;='Entries September''25'!K33,'Entries September''25'!K34-'Entries September''25'!K33,(999999-'Entries September''25'!K33)+'Entries September''25'!K34+1))</f>
        <v>0</v>
      </c>
      <c r="F37" s="401">
        <f t="shared" si="1"/>
        <v>4654</v>
      </c>
      <c r="G37" s="402">
        <f>'Water '!Z34*10</f>
        <v>0</v>
      </c>
      <c r="H37" s="401">
        <f>IF('Entries September''25'!B34-'Entries September''25'!B33&lt;1,"0",'Entries September''25'!B34-'Entries September''25'!B33)</f>
        <v>740</v>
      </c>
      <c r="I37" s="438">
        <f>'CO2'!E34</f>
        <v>2000</v>
      </c>
      <c r="J37" s="440">
        <f>+'PROD.FIG. '!F32</f>
        <v>0</v>
      </c>
      <c r="K37" s="401">
        <f>+'PROD.FIG. '!C32</f>
        <v>0</v>
      </c>
      <c r="L37" s="401">
        <f>+'PROD.FIG. '!D32</f>
        <v>0</v>
      </c>
      <c r="M37" s="401">
        <f>+'PROD.FIG. '!E32</f>
        <v>0</v>
      </c>
      <c r="N37" s="452">
        <v>0</v>
      </c>
      <c r="O37" s="444">
        <f t="shared" si="2"/>
        <v>0</v>
      </c>
      <c r="P37" s="444">
        <f t="shared" si="3"/>
        <v>0</v>
      </c>
      <c r="Q37" s="444">
        <f t="shared" si="4"/>
        <v>0</v>
      </c>
      <c r="R37" s="444">
        <f t="shared" si="5"/>
        <v>0</v>
      </c>
    </row>
    <row r="38" spans="1:18" s="35" customFormat="1" ht="15" x14ac:dyDescent="0.2">
      <c r="A38" s="433">
        <v>29</v>
      </c>
      <c r="B38" s="427">
        <f>IF('Entries September''25'!I35&lt;'Entries September''25'!I34,"0",IF('Entries September''25'!I35&gt;='Entries September''25'!I34,'Entries September''25'!I35-'Entries September''25'!I34,(999999-'Entries September''25'!I34)+'Entries September''25'!I35+1))</f>
        <v>4003</v>
      </c>
      <c r="C38" s="427">
        <f>IF('Entries September''25'!J35&lt;'Entries September''25'!J34,"0",IF('Entries September''25'!J35&gt;='Entries September''25'!J34,'Entries September''25'!J35-'Entries September''25'!J34,(999999-'Entries September''25'!J34)+'Entries September''25'!J35+1))</f>
        <v>3655</v>
      </c>
      <c r="D38" s="401">
        <f t="shared" si="6"/>
        <v>7658</v>
      </c>
      <c r="E38" s="820">
        <f>IF('Entries September''25'!K35&lt;'Entries September''25'!K34,"0",IF('Entries September''25'!K35&gt;='Entries September''25'!K34,'Entries September''25'!K35-'Entries September''25'!K34,(999999-'Entries September''25'!K34)+'Entries September''25'!K35+1))</f>
        <v>0</v>
      </c>
      <c r="F38" s="401">
        <f t="shared" si="1"/>
        <v>7658</v>
      </c>
      <c r="G38" s="402">
        <f>'Water '!Z35*10</f>
        <v>3560</v>
      </c>
      <c r="H38" s="401">
        <f>IF('Entries September''25'!B35-'Entries September''25'!B34&lt;1,"0",'Entries September''25'!B35-'Entries September''25'!B34)</f>
        <v>2490</v>
      </c>
      <c r="I38" s="438">
        <f>'CO2'!E35</f>
        <v>1800</v>
      </c>
      <c r="J38" s="440">
        <f>+'PROD.FIG. '!F33</f>
        <v>0</v>
      </c>
      <c r="K38" s="401">
        <f>+'PROD.FIG. '!C33</f>
        <v>0</v>
      </c>
      <c r="L38" s="401">
        <f>+'PROD.FIG. '!D33</f>
        <v>0</v>
      </c>
      <c r="M38" s="401">
        <f>+'PROD.FIG. '!E33</f>
        <v>0</v>
      </c>
      <c r="N38" s="452">
        <v>189.09</v>
      </c>
      <c r="O38" s="444">
        <f t="shared" si="2"/>
        <v>40.499233169390237</v>
      </c>
      <c r="P38" s="444">
        <f t="shared" si="3"/>
        <v>18.827013591411497</v>
      </c>
      <c r="Q38" s="444">
        <f t="shared" si="4"/>
        <v>13.168332540060289</v>
      </c>
      <c r="R38" s="444">
        <f t="shared" si="5"/>
        <v>9.5192765349833408</v>
      </c>
    </row>
    <row r="39" spans="1:18" ht="15" x14ac:dyDescent="0.2">
      <c r="A39" s="432">
        <v>30</v>
      </c>
      <c r="B39" s="427">
        <f>IF('Entries September''25'!I36&lt;'Entries September''25'!I35,"0",IF('Entries September''25'!I36&gt;='Entries September''25'!I35,'Entries September''25'!I36-'Entries September''25'!I35,(999999-'Entries September''25'!I35)+'Entries September''25'!I36+1))</f>
        <v>4769</v>
      </c>
      <c r="C39" s="427">
        <f>IF('Entries September''25'!J36&lt;'Entries September''25'!J35,"0",IF('Entries September''25'!J36&gt;='Entries September''25'!J35,'Entries September''25'!J36-'Entries September''25'!J35,(999999-'Entries September''25'!J35)+'Entries September''25'!J36+1))</f>
        <v>4362</v>
      </c>
      <c r="D39" s="401">
        <f t="shared" si="6"/>
        <v>9131</v>
      </c>
      <c r="E39" s="820">
        <f>IF('Entries September''25'!K36&lt;'Entries September''25'!K35,"0",IF('Entries September''25'!K36&gt;='Entries September''25'!K35,'Entries September''25'!K36-'Entries September''25'!K35,(999999-'Entries September''25'!K35)+'Entries September''25'!K36+1))</f>
        <v>0</v>
      </c>
      <c r="F39" s="401">
        <f t="shared" si="1"/>
        <v>9131</v>
      </c>
      <c r="G39" s="402">
        <f>'Water '!Z36*10</f>
        <v>3690</v>
      </c>
      <c r="H39" s="401">
        <f>IF('Entries September''25'!B36-'Entries September''25'!B35&lt;1,"0",'Entries September''25'!B36-'Entries September''25'!B35)</f>
        <v>3180</v>
      </c>
      <c r="I39" s="438">
        <f>'CO2'!E36</f>
        <v>1300</v>
      </c>
      <c r="J39" s="440">
        <f>+'PROD.FIG. '!F34</f>
        <v>0</v>
      </c>
      <c r="K39" s="401">
        <f>+'PROD.FIG. '!C34</f>
        <v>0</v>
      </c>
      <c r="L39" s="401">
        <f>+'PROD.FIG. '!D34</f>
        <v>0</v>
      </c>
      <c r="M39" s="401">
        <f>+'PROD.FIG. '!E34</f>
        <v>0</v>
      </c>
      <c r="N39" s="452">
        <v>198.52800000000002</v>
      </c>
      <c r="O39" s="444">
        <f t="shared" si="2"/>
        <v>45.993512250161181</v>
      </c>
      <c r="P39" s="444">
        <f t="shared" si="3"/>
        <v>18.586798839458414</v>
      </c>
      <c r="Q39" s="444">
        <f t="shared" si="4"/>
        <v>16.017891682785297</v>
      </c>
      <c r="R39" s="444">
        <f t="shared" si="5"/>
        <v>6.5481947130883293</v>
      </c>
    </row>
    <row r="40" spans="1:18" s="35" customFormat="1" ht="15.75" thickBot="1" x14ac:dyDescent="0.25">
      <c r="A40" s="432">
        <v>1</v>
      </c>
      <c r="B40" s="427" t="str">
        <f>IF('Entries September''25'!I37&lt;'Entries September''25'!I36,"0",IF('Entries September''25'!I37&gt;='Entries September''25'!I36,'Entries September''25'!I37-'Entries September''25'!I36,(999999-'Entries September''25'!I36)+'Entries September''25'!I37+1))</f>
        <v>0</v>
      </c>
      <c r="C40" s="427" t="str">
        <f>IF('Entries September''25'!J37&lt;'Entries September''25'!J36,"0",IF('Entries September''25'!J37&gt;='Entries September''25'!J36,'Entries September''25'!J37-'Entries September''25'!J36,(999999-'Entries September''25'!J36)+'Entries September''25'!J37+1))</f>
        <v>0</v>
      </c>
      <c r="D40" s="401">
        <f t="shared" si="6"/>
        <v>0</v>
      </c>
      <c r="E40" s="820" t="str">
        <f>IF('Entries September''25'!K37&lt;'Entries September''25'!K36,"0",IF('Entries September''25'!K37&gt;='Entries September''25'!K36,'Entries September''25'!K37-'Entries September''25'!K36,(999999-'Entries September''25'!K36)+'Entries September''25'!K37+1))</f>
        <v>0</v>
      </c>
      <c r="F40" s="401">
        <f t="shared" si="1"/>
        <v>0</v>
      </c>
      <c r="G40" s="402">
        <f>'Water '!Z37*10</f>
        <v>0</v>
      </c>
      <c r="H40" s="401" t="str">
        <f>IF('Entries September''25'!B37-'Entries September''25'!B36&lt;1,"0",'Entries September''25'!B37-'Entries September''25'!B36)</f>
        <v>0</v>
      </c>
      <c r="I40" s="438">
        <f>'CO2'!E37</f>
        <v>0</v>
      </c>
      <c r="J40" s="441"/>
      <c r="K40" s="442"/>
      <c r="L40" s="442"/>
      <c r="M40" s="442"/>
      <c r="N40" s="453">
        <v>0</v>
      </c>
      <c r="O40" s="445">
        <f t="shared" si="2"/>
        <v>0</v>
      </c>
      <c r="P40" s="444">
        <f t="shared" si="3"/>
        <v>0</v>
      </c>
      <c r="Q40" s="444">
        <f t="shared" si="4"/>
        <v>0</v>
      </c>
      <c r="R40" s="444">
        <f t="shared" si="5"/>
        <v>0</v>
      </c>
    </row>
    <row r="41" spans="1:18" ht="15.75" thickBot="1" x14ac:dyDescent="0.25">
      <c r="A41" s="25"/>
      <c r="B41" s="427"/>
      <c r="C41" s="427"/>
      <c r="D41" s="5"/>
      <c r="E41" s="5"/>
      <c r="F41" s="5"/>
      <c r="G41" s="6"/>
      <c r="H41" s="6"/>
      <c r="I41" s="6"/>
      <c r="J41" s="6"/>
      <c r="K41" s="6"/>
      <c r="L41" s="6"/>
      <c r="M41" s="6"/>
      <c r="N41" s="454"/>
      <c r="O41" s="466" t="s">
        <v>86</v>
      </c>
      <c r="P41" s="467"/>
      <c r="Q41" s="467"/>
      <c r="R41" s="468"/>
    </row>
    <row r="42" spans="1:18" ht="15.75" x14ac:dyDescent="0.25">
      <c r="A42" s="6"/>
      <c r="B42" s="6"/>
      <c r="C42" s="6"/>
      <c r="D42" s="27" t="s">
        <v>21</v>
      </c>
      <c r="E42" s="27" t="s">
        <v>21</v>
      </c>
      <c r="F42" s="27" t="s">
        <v>21</v>
      </c>
      <c r="G42" s="27" t="s">
        <v>84</v>
      </c>
      <c r="H42" s="27" t="s">
        <v>85</v>
      </c>
      <c r="I42" s="27" t="s">
        <v>92</v>
      </c>
      <c r="J42" s="27" t="s">
        <v>20</v>
      </c>
      <c r="K42" s="27" t="s">
        <v>20</v>
      </c>
      <c r="L42" s="27" t="s">
        <v>20</v>
      </c>
      <c r="M42" s="27" t="s">
        <v>20</v>
      </c>
      <c r="N42" s="455" t="s">
        <v>20</v>
      </c>
      <c r="O42" s="458" t="s">
        <v>14</v>
      </c>
      <c r="P42" s="459" t="s">
        <v>15</v>
      </c>
      <c r="Q42" s="459" t="s">
        <v>9</v>
      </c>
      <c r="R42" s="460" t="s">
        <v>67</v>
      </c>
    </row>
    <row r="43" spans="1:18" ht="15.75" x14ac:dyDescent="0.25">
      <c r="A43" s="19" t="s">
        <v>19</v>
      </c>
      <c r="B43" s="19"/>
      <c r="C43" s="19"/>
      <c r="D43" s="20">
        <f t="shared" ref="D43:N43" si="7">SUM(D10:D40)</f>
        <v>227980</v>
      </c>
      <c r="E43" s="20">
        <f t="shared" si="7"/>
        <v>0</v>
      </c>
      <c r="F43" s="20">
        <f t="shared" si="7"/>
        <v>227980</v>
      </c>
      <c r="G43" s="20">
        <f t="shared" si="7"/>
        <v>82130</v>
      </c>
      <c r="H43" s="20">
        <f t="shared" si="7"/>
        <v>66430</v>
      </c>
      <c r="I43" s="20">
        <f t="shared" si="7"/>
        <v>44700</v>
      </c>
      <c r="J43" s="20">
        <f t="shared" si="7"/>
        <v>0</v>
      </c>
      <c r="K43" s="20">
        <f t="shared" si="7"/>
        <v>0</v>
      </c>
      <c r="L43" s="20">
        <f t="shared" si="7"/>
        <v>0</v>
      </c>
      <c r="M43" s="20">
        <f t="shared" si="7"/>
        <v>0</v>
      </c>
      <c r="N43" s="456">
        <f t="shared" si="7"/>
        <v>7491.0012000000006</v>
      </c>
      <c r="O43" s="461" t="s">
        <v>13</v>
      </c>
      <c r="P43" s="462" t="s">
        <v>65</v>
      </c>
      <c r="Q43" s="462" t="s">
        <v>16</v>
      </c>
      <c r="R43" s="463" t="s">
        <v>68</v>
      </c>
    </row>
    <row r="44" spans="1:18" ht="17.25" thickBot="1" x14ac:dyDescent="0.3">
      <c r="A44" s="4"/>
      <c r="B44" s="4"/>
      <c r="C44" s="4"/>
      <c r="D44" s="7"/>
      <c r="E44" s="7"/>
      <c r="F44" s="446"/>
      <c r="G44" s="6"/>
      <c r="H44" s="6"/>
      <c r="I44" s="6"/>
      <c r="J44" s="6"/>
      <c r="K44" s="6"/>
      <c r="L44" s="6"/>
      <c r="M44" s="6"/>
      <c r="N44" s="454"/>
      <c r="O44" s="448">
        <f>IF(N43=0,0,F43/N43)</f>
        <v>30.43384908281686</v>
      </c>
      <c r="P44" s="449">
        <f>IF(O44=0,0,G43/N43)</f>
        <v>10.963821498253131</v>
      </c>
      <c r="Q44" s="449">
        <f>IF(P44=0,0,H43/N43)</f>
        <v>8.8679734826367387</v>
      </c>
      <c r="R44" s="450">
        <f>IF(Q44=0,0,I43/N43)</f>
        <v>5.9671596368186401</v>
      </c>
    </row>
    <row r="45" spans="1:18" ht="15" x14ac:dyDescent="0.2">
      <c r="A45" s="2"/>
      <c r="B45" s="2"/>
      <c r="C45" s="2"/>
      <c r="D45" s="2"/>
      <c r="E45" s="2"/>
      <c r="F45" s="447"/>
      <c r="G45" s="2"/>
      <c r="H45" s="2"/>
      <c r="I45" s="2"/>
      <c r="J45" s="2"/>
      <c r="K45" s="2"/>
      <c r="L45" s="2"/>
      <c r="M45" s="2"/>
      <c r="N45" s="457"/>
      <c r="O45" s="464"/>
      <c r="P45" s="6"/>
      <c r="Q45" s="6"/>
      <c r="R45" s="2"/>
    </row>
    <row r="46" spans="1:18" ht="15" x14ac:dyDescent="0.2">
      <c r="F46" s="447"/>
      <c r="O46" s="465"/>
      <c r="P46" s="2"/>
      <c r="Q46" s="2"/>
      <c r="R46" s="2"/>
    </row>
    <row r="47" spans="1:18" x14ac:dyDescent="0.2">
      <c r="D47" s="905"/>
      <c r="E47" s="905"/>
      <c r="F47" s="905"/>
      <c r="G47" s="905"/>
    </row>
  </sheetData>
  <mergeCells count="6">
    <mergeCell ref="D47:G47"/>
    <mergeCell ref="O7:R7"/>
    <mergeCell ref="D7:D8"/>
    <mergeCell ref="E7:E8"/>
    <mergeCell ref="F7:F8"/>
    <mergeCell ref="J7:N7"/>
  </mergeCells>
  <phoneticPr fontId="0" type="noConversion"/>
  <conditionalFormatting sqref="O10:O44">
    <cfRule type="cellIs" dxfId="59" priority="7" operator="between">
      <formula>0</formula>
      <formula>22</formula>
    </cfRule>
    <cfRule type="cellIs" dxfId="58" priority="8" operator="greaterThan">
      <formula>22</formula>
    </cfRule>
    <cfRule type="cellIs" dxfId="57" priority="9" operator="greaterThan">
      <formula>7.2</formula>
    </cfRule>
  </conditionalFormatting>
  <conditionalFormatting sqref="P10:P44">
    <cfRule type="cellIs" dxfId="56" priority="1" operator="between">
      <formula>0</formula>
      <formula>10.2</formula>
    </cfRule>
    <cfRule type="cellIs" dxfId="55" priority="2" operator="greaterThan">
      <formula>10.2</formula>
    </cfRule>
  </conditionalFormatting>
  <conditionalFormatting sqref="Q10:Q44">
    <cfRule type="cellIs" dxfId="54" priority="3" operator="between">
      <formula>0</formula>
      <formula>7.2</formula>
    </cfRule>
    <cfRule type="cellIs" dxfId="53" priority="4" operator="greaterThan">
      <formula>7.2</formula>
    </cfRule>
  </conditionalFormatting>
  <conditionalFormatting sqref="R10:R44">
    <cfRule type="cellIs" dxfId="52" priority="5" operator="between">
      <formula>0</formula>
      <formula>5</formula>
    </cfRule>
    <cfRule type="cellIs" dxfId="51" priority="6" operator="greaterThan">
      <formula>5</formula>
    </cfRule>
  </conditionalFormatting>
  <pageMargins left="0.56000000000000005" right="0" top="0" bottom="0" header="0.5" footer="0.5"/>
  <pageSetup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6495-3B57-4E6D-9B0A-16DAF02558BC}">
  <sheetPr>
    <tabColor indexed="51"/>
  </sheetPr>
  <dimension ref="A1:D39"/>
  <sheetViews>
    <sheetView topLeftCell="A8" workbookViewId="0">
      <selection activeCell="A36" sqref="A36"/>
    </sheetView>
  </sheetViews>
  <sheetFormatPr defaultRowHeight="12.75" x14ac:dyDescent="0.2"/>
  <cols>
    <col min="2" max="2" width="13.28515625" customWidth="1"/>
    <col min="3" max="3" width="9.140625" style="357"/>
  </cols>
  <sheetData>
    <row r="1" spans="1:4" ht="15" x14ac:dyDescent="0.2">
      <c r="A1" s="8"/>
      <c r="B1" s="8"/>
    </row>
    <row r="2" spans="1:4" ht="15.75" thickBot="1" x14ac:dyDescent="0.25">
      <c r="A2" s="8"/>
      <c r="B2" s="8"/>
    </row>
    <row r="3" spans="1:4" x14ac:dyDescent="0.2">
      <c r="A3" s="912" t="s">
        <v>7</v>
      </c>
      <c r="B3" s="914" t="s">
        <v>239</v>
      </c>
    </row>
    <row r="4" spans="1:4" ht="15" customHeight="1" x14ac:dyDescent="0.2">
      <c r="A4" s="913"/>
      <c r="B4" s="915"/>
    </row>
    <row r="5" spans="1:4" ht="15" x14ac:dyDescent="0.2">
      <c r="A5" s="36">
        <v>1</v>
      </c>
      <c r="B5" s="44">
        <f>IF('Entries September''25'!AJ7-'Entries September''25'!AJ6&lt;1,"0",'Entries September''25'!AJ7-'Entries September''25'!AJ6)</f>
        <v>382.65500000026077</v>
      </c>
      <c r="D5" s="358"/>
    </row>
    <row r="6" spans="1:4" ht="15" x14ac:dyDescent="0.2">
      <c r="A6" s="36">
        <v>2</v>
      </c>
      <c r="B6" s="44" t="str">
        <f>IF('Entries September''25'!AJ8-'Entries September''25'!AJ7&lt;1,"0",'Entries September''25'!AJ8-'Entries September''25'!AJ7)</f>
        <v>0</v>
      </c>
      <c r="D6" s="358"/>
    </row>
    <row r="7" spans="1:4" ht="15" x14ac:dyDescent="0.2">
      <c r="A7" s="36">
        <v>3</v>
      </c>
      <c r="B7" s="44" t="str">
        <f>IF('Entries September''25'!AJ9-'Entries September''25'!AJ8&lt;1,"0",'Entries September''25'!AJ9-'Entries September''25'!AJ8)</f>
        <v>0</v>
      </c>
      <c r="D7" s="358"/>
    </row>
    <row r="8" spans="1:4" ht="15" x14ac:dyDescent="0.2">
      <c r="A8" s="36">
        <v>4</v>
      </c>
      <c r="B8" s="44" t="str">
        <f>IF('Entries September''25'!AJ10-'Entries September''25'!AJ9&lt;1,"0",'Entries September''25'!AJ10-'Entries September''25'!AJ9)</f>
        <v>0</v>
      </c>
      <c r="D8" s="358"/>
    </row>
    <row r="9" spans="1:4" ht="15" customHeight="1" x14ac:dyDescent="0.2">
      <c r="A9" s="36">
        <v>5</v>
      </c>
      <c r="B9" s="44" t="str">
        <f>IF('Entries September''25'!AJ11-'Entries September''25'!AJ10&lt;1,"0",'Entries September''25'!AJ11-'Entries September''25'!AJ10)</f>
        <v>0</v>
      </c>
      <c r="D9" s="358"/>
    </row>
    <row r="10" spans="1:4" ht="15" x14ac:dyDescent="0.2">
      <c r="A10" s="36">
        <v>6</v>
      </c>
      <c r="B10" s="44" t="str">
        <f>IF('Entries September''25'!AJ12-'Entries September''25'!AJ11&lt;1,"0",'Entries September''25'!AJ12-'Entries September''25'!AJ11)</f>
        <v>0</v>
      </c>
      <c r="D10" s="358"/>
    </row>
    <row r="11" spans="1:4" ht="15" x14ac:dyDescent="0.2">
      <c r="A11" s="36">
        <v>7</v>
      </c>
      <c r="B11" s="44" t="str">
        <f>IF('Entries September''25'!AJ13-'Entries September''25'!AJ12&lt;1,"0",'Entries September''25'!AJ13-'Entries September''25'!AJ12)</f>
        <v>0</v>
      </c>
      <c r="D11" s="358"/>
    </row>
    <row r="12" spans="1:4" ht="15" x14ac:dyDescent="0.2">
      <c r="A12" s="36">
        <v>8</v>
      </c>
      <c r="B12" s="44">
        <f>IF('Entries September''25'!AJ14-'Entries September''25'!AJ13&lt;1,"0",'Entries September''25'!AJ14-'Entries September''25'!AJ13)</f>
        <v>896.42399999964982</v>
      </c>
      <c r="D12" s="358"/>
    </row>
    <row r="13" spans="1:4" ht="15" x14ac:dyDescent="0.2">
      <c r="A13" s="36">
        <v>9</v>
      </c>
      <c r="B13" s="44" t="str">
        <f>IF('Entries September''25'!AJ15-'Entries September''25'!AJ14&lt;1,"0",'Entries September''25'!AJ15-'Entries September''25'!AJ14)</f>
        <v>0</v>
      </c>
      <c r="D13" s="358"/>
    </row>
    <row r="14" spans="1:4" ht="15" x14ac:dyDescent="0.2">
      <c r="A14" s="36">
        <v>10</v>
      </c>
      <c r="B14" s="44" t="str">
        <f>IF('Entries September''25'!AJ16-'Entries September''25'!AJ15&lt;1,"0",'Entries September''25'!AJ16-'Entries September''25'!AJ15)</f>
        <v>0</v>
      </c>
      <c r="D14" s="358"/>
    </row>
    <row r="15" spans="1:4" ht="15" x14ac:dyDescent="0.2">
      <c r="A15" s="36">
        <v>11</v>
      </c>
      <c r="B15" s="44" t="str">
        <f>IF('Entries September''25'!AJ17-'Entries September''25'!AJ16&lt;1,"0",'Entries September''25'!AJ17-'Entries September''25'!AJ16)</f>
        <v>0</v>
      </c>
      <c r="D15" s="358"/>
    </row>
    <row r="16" spans="1:4" ht="15" x14ac:dyDescent="0.2">
      <c r="A16" s="36">
        <v>12</v>
      </c>
      <c r="B16" s="44">
        <f>IF('Entries September''25'!AJ18-'Entries September''25'!AJ17&lt;1,"0",'Entries September''25'!AJ18-'Entries September''25'!AJ17)</f>
        <v>141.44500000029802</v>
      </c>
      <c r="D16" s="358"/>
    </row>
    <row r="17" spans="1:4" ht="15" x14ac:dyDescent="0.2">
      <c r="A17" s="36">
        <v>13</v>
      </c>
      <c r="B17" s="44" t="str">
        <f>IF('Entries September''25'!AJ19-'Entries September''25'!AJ18&lt;1,"0",'Entries September''25'!AJ19-'Entries September''25'!AJ18)</f>
        <v>0</v>
      </c>
      <c r="D17" s="358"/>
    </row>
    <row r="18" spans="1:4" ht="15" x14ac:dyDescent="0.2">
      <c r="A18" s="36">
        <v>14</v>
      </c>
      <c r="B18" s="44" t="str">
        <f>IF('Entries September''25'!AJ20-'Entries September''25'!AJ19&lt;1,"0",'Entries September''25'!AJ20-'Entries September''25'!AJ19)</f>
        <v>0</v>
      </c>
      <c r="D18" s="358"/>
    </row>
    <row r="19" spans="1:4" ht="15" x14ac:dyDescent="0.2">
      <c r="A19" s="36">
        <v>15</v>
      </c>
      <c r="B19" s="44">
        <f>IF('Entries September''25'!AJ21-'Entries September''25'!AJ20&lt;1,"0",'Entries September''25'!AJ21-'Entries September''25'!AJ20)</f>
        <v>33.423999999649823</v>
      </c>
      <c r="D19" s="358"/>
    </row>
    <row r="20" spans="1:4" ht="15" x14ac:dyDescent="0.2">
      <c r="A20" s="36">
        <v>16</v>
      </c>
      <c r="B20" s="44" t="str">
        <f>IF('Entries September''25'!AJ22-'Entries September''25'!AJ21&lt;1,"0",'Entries September''25'!AJ22-'Entries September''25'!AJ21)</f>
        <v>0</v>
      </c>
      <c r="D20" s="358"/>
    </row>
    <row r="21" spans="1:4" ht="15" x14ac:dyDescent="0.2">
      <c r="A21" s="36">
        <v>17</v>
      </c>
      <c r="B21" s="44" t="str">
        <f>IF('Entries September''25'!AJ23-'Entries September''25'!AJ22&lt;1,"0",'Entries September''25'!AJ23-'Entries September''25'!AJ22)</f>
        <v>0</v>
      </c>
      <c r="D21" s="358"/>
    </row>
    <row r="22" spans="1:4" ht="15" x14ac:dyDescent="0.2">
      <c r="A22" s="36">
        <v>18</v>
      </c>
      <c r="B22" s="44" t="str">
        <f>IF('Entries September''25'!AJ24-'Entries September''25'!AJ23&lt;1,"0",'Entries September''25'!AJ24-'Entries September''25'!AJ23)</f>
        <v>0</v>
      </c>
      <c r="D22" s="358"/>
    </row>
    <row r="23" spans="1:4" ht="15" x14ac:dyDescent="0.2">
      <c r="A23" s="36">
        <v>19</v>
      </c>
      <c r="B23" s="44" t="str">
        <f>IF('Entries September''25'!AJ25-'Entries September''25'!AJ24&lt;1,"0",'Entries September''25'!AJ25-'Entries September''25'!AJ24)</f>
        <v>0</v>
      </c>
      <c r="D23" s="358"/>
    </row>
    <row r="24" spans="1:4" ht="15" x14ac:dyDescent="0.2">
      <c r="A24" s="36">
        <v>20</v>
      </c>
      <c r="B24" s="44">
        <f>IF('Entries September''25'!AJ26-'Entries September''25'!AJ25&lt;1,"0",'Entries September''25'!AJ26-'Entries September''25'!AJ25)</f>
        <v>5872.2110000001267</v>
      </c>
      <c r="D24" s="358"/>
    </row>
    <row r="25" spans="1:4" ht="15" x14ac:dyDescent="0.2">
      <c r="A25" s="36">
        <v>21</v>
      </c>
      <c r="B25" s="44">
        <f>IF('Entries September''25'!AJ27-'Entries September''25'!AJ26&lt;1,"0",'Entries September''25'!AJ27-'Entries September''25'!AJ26)</f>
        <v>121.15799999982119</v>
      </c>
      <c r="D25" s="358"/>
    </row>
    <row r="26" spans="1:4" ht="15" x14ac:dyDescent="0.2">
      <c r="A26" s="36">
        <v>22</v>
      </c>
      <c r="B26" s="44" t="str">
        <f>IF('Entries September''25'!AJ28-'Entries September''25'!AJ27&lt;1,"0",'Entries September''25'!AJ28-'Entries September''25'!AJ27)</f>
        <v>0</v>
      </c>
      <c r="D26" s="358"/>
    </row>
    <row r="27" spans="1:4" ht="15" x14ac:dyDescent="0.2">
      <c r="A27" s="36">
        <v>23</v>
      </c>
      <c r="B27" s="44" t="str">
        <f>IF('Entries September''25'!AJ29-'Entries September''25'!AJ28&lt;1,"0",'Entries September''25'!AJ29-'Entries September''25'!AJ28)</f>
        <v>0</v>
      </c>
      <c r="D27" s="358"/>
    </row>
    <row r="28" spans="1:4" ht="15" x14ac:dyDescent="0.2">
      <c r="A28" s="36">
        <v>24</v>
      </c>
      <c r="B28" s="44" t="str">
        <f>IF('Entries September''25'!AJ30-'Entries September''25'!AJ29&lt;1,"0",'Entries September''25'!AJ30-'Entries September''25'!AJ29)</f>
        <v>0</v>
      </c>
      <c r="D28" s="358"/>
    </row>
    <row r="29" spans="1:4" ht="15" x14ac:dyDescent="0.2">
      <c r="A29" s="36">
        <v>25</v>
      </c>
      <c r="B29" s="44" t="str">
        <f>IF('Entries September''25'!AJ31-'Entries September''25'!AJ30&lt;1,"0",'Entries September''25'!AJ31-'Entries September''25'!AJ30)</f>
        <v>0</v>
      </c>
      <c r="D29" s="358"/>
    </row>
    <row r="30" spans="1:4" ht="15" x14ac:dyDescent="0.2">
      <c r="A30" s="36">
        <v>26</v>
      </c>
      <c r="B30" s="44" t="str">
        <f>IF('Entries September''25'!AJ32-'Entries September''25'!AJ31&lt;1,"0",'Entries September''25'!AJ32-'Entries September''25'!AJ31)</f>
        <v>0</v>
      </c>
      <c r="D30" s="358"/>
    </row>
    <row r="31" spans="1:4" ht="15" x14ac:dyDescent="0.2">
      <c r="A31" s="36">
        <v>27</v>
      </c>
      <c r="B31" s="44" t="str">
        <f>IF('Entries September''25'!AJ33-'Entries September''25'!AJ32&lt;1,"0",'Entries September''25'!AJ33-'Entries September''25'!AJ32)</f>
        <v>0</v>
      </c>
      <c r="D31" s="358"/>
    </row>
    <row r="32" spans="1:4" ht="15" x14ac:dyDescent="0.2">
      <c r="A32" s="36">
        <v>28</v>
      </c>
      <c r="B32" s="44">
        <f>IF('Entries September''25'!AJ34-'Entries September''25'!AJ33&lt;1,"0",'Entries September''25'!AJ34-'Entries September''25'!AJ33)</f>
        <v>90.473000000230968</v>
      </c>
      <c r="D32" s="358"/>
    </row>
    <row r="33" spans="1:2" ht="15" x14ac:dyDescent="0.2">
      <c r="A33" s="36">
        <v>29</v>
      </c>
      <c r="B33" s="44">
        <f>IF('Entries September''25'!AJ35-'Entries September''25'!AJ34&lt;1,"0",'Entries September''25'!AJ35-'Entries September''25'!AJ34)</f>
        <v>60.42200000025332</v>
      </c>
    </row>
    <row r="34" spans="1:2" ht="15" x14ac:dyDescent="0.2">
      <c r="A34" s="36">
        <v>30</v>
      </c>
      <c r="B34" s="44" t="str">
        <f>IF('Entries September''25'!AJ36-'Entries September''25'!AJ35&lt;1,"0",'Entries September''25'!AJ36-'Entries September''25'!AJ35)</f>
        <v>0</v>
      </c>
    </row>
    <row r="35" spans="1:2" ht="15" x14ac:dyDescent="0.2">
      <c r="A35" s="36">
        <v>1</v>
      </c>
      <c r="B35" s="44"/>
    </row>
    <row r="36" spans="1:2" ht="15.75" x14ac:dyDescent="0.25">
      <c r="A36" s="41"/>
      <c r="B36" s="373">
        <f>SUM(B5:B35)</f>
        <v>7598.2120000002906</v>
      </c>
    </row>
    <row r="37" spans="1:2" ht="15" x14ac:dyDescent="0.2">
      <c r="A37" s="8"/>
      <c r="B37" s="8"/>
    </row>
    <row r="38" spans="1:2" ht="15" x14ac:dyDescent="0.2">
      <c r="A38" s="8"/>
      <c r="B38" s="8"/>
    </row>
    <row r="39" spans="1:2" ht="15" x14ac:dyDescent="0.2">
      <c r="A39" s="8"/>
      <c r="B39" s="8"/>
    </row>
  </sheetData>
  <mergeCells count="2">
    <mergeCell ref="A3:A4"/>
    <mergeCell ref="B3:B4"/>
  </mergeCells>
  <pageMargins left="0.75" right="0.75" top="1" bottom="1" header="0.5" footer="0.5"/>
  <pageSetup orientation="portrait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>
    <tabColor indexed="17"/>
  </sheetPr>
  <dimension ref="A1:P152"/>
  <sheetViews>
    <sheetView showZeros="0" tabSelected="1" defaultGridColor="0" topLeftCell="A9" colorId="22" zoomScaleNormal="100" workbookViewId="0">
      <selection activeCell="O26" sqref="O26"/>
    </sheetView>
  </sheetViews>
  <sheetFormatPr defaultColWidth="12.5703125" defaultRowHeight="15" x14ac:dyDescent="0.2"/>
  <cols>
    <col min="1" max="1" width="7.7109375" style="8" customWidth="1"/>
    <col min="2" max="2" width="13.42578125" style="29" bestFit="1" customWidth="1"/>
    <col min="3" max="3" width="14" style="8" customWidth="1"/>
    <col min="4" max="4" width="14.7109375" style="29" customWidth="1"/>
    <col min="5" max="5" width="11.28515625" style="8" bestFit="1" customWidth="1"/>
    <col min="6" max="6" width="11.7109375" style="8" customWidth="1"/>
    <col min="7" max="7" width="9.7109375" style="8" customWidth="1"/>
    <col min="8" max="11" width="13.7109375" style="8" customWidth="1"/>
    <col min="12" max="12" width="12" style="375" customWidth="1"/>
    <col min="13" max="13" width="15.5703125" style="8" bestFit="1" customWidth="1"/>
    <col min="14" max="14" width="12.5703125" style="189"/>
    <col min="15" max="15" width="12.5703125" style="8"/>
    <col min="16" max="16" width="12.5703125" style="366"/>
    <col min="17" max="16384" width="12.5703125" style="8"/>
  </cols>
  <sheetData>
    <row r="1" spans="1:16" ht="15.75" x14ac:dyDescent="0.25">
      <c r="A1" s="916" t="s">
        <v>292</v>
      </c>
      <c r="B1" s="917"/>
      <c r="C1" s="917"/>
      <c r="D1" s="917"/>
      <c r="E1" s="917"/>
      <c r="F1" s="917"/>
      <c r="G1" s="917"/>
      <c r="H1" s="917"/>
      <c r="I1" s="917"/>
      <c r="J1" s="917"/>
      <c r="K1" s="917"/>
      <c r="L1" s="917"/>
      <c r="M1" s="917"/>
    </row>
    <row r="2" spans="1:16" x14ac:dyDescent="0.2">
      <c r="B2" s="8"/>
      <c r="D2" s="8"/>
      <c r="F2" s="9"/>
    </row>
    <row r="3" spans="1:16" ht="15.75" thickBot="1" x14ac:dyDescent="0.25">
      <c r="B3" s="8"/>
      <c r="D3" s="8"/>
      <c r="F3" s="9"/>
    </row>
    <row r="4" spans="1:16" s="73" customFormat="1" ht="15.75" x14ac:dyDescent="0.25">
      <c r="A4" s="922" t="s">
        <v>7</v>
      </c>
      <c r="B4" s="382" t="s">
        <v>27</v>
      </c>
      <c r="C4" s="383" t="s">
        <v>27</v>
      </c>
      <c r="D4" s="383" t="s">
        <v>24</v>
      </c>
      <c r="E4" s="383" t="s">
        <v>24</v>
      </c>
      <c r="F4" s="383" t="s">
        <v>38</v>
      </c>
      <c r="G4" s="383" t="s">
        <v>39</v>
      </c>
      <c r="H4" s="383" t="s">
        <v>40</v>
      </c>
      <c r="I4" s="383" t="s">
        <v>41</v>
      </c>
      <c r="J4" s="383" t="s">
        <v>42</v>
      </c>
      <c r="K4" s="383" t="s">
        <v>43</v>
      </c>
      <c r="L4" s="918" t="s">
        <v>247</v>
      </c>
      <c r="M4" s="920" t="s">
        <v>250</v>
      </c>
      <c r="N4" s="353"/>
      <c r="O4" s="353"/>
      <c r="P4" s="367"/>
    </row>
    <row r="5" spans="1:16" s="73" customFormat="1" ht="16.5" thickBot="1" x14ac:dyDescent="0.3">
      <c r="A5" s="923"/>
      <c r="B5" s="392" t="s">
        <v>44</v>
      </c>
      <c r="C5" s="393" t="s">
        <v>34</v>
      </c>
      <c r="D5" s="393" t="s">
        <v>44</v>
      </c>
      <c r="E5" s="393" t="s">
        <v>34</v>
      </c>
      <c r="F5" s="393" t="s">
        <v>44</v>
      </c>
      <c r="G5" s="393" t="s">
        <v>34</v>
      </c>
      <c r="H5" s="393" t="s">
        <v>45</v>
      </c>
      <c r="I5" s="393" t="s">
        <v>45</v>
      </c>
      <c r="J5" s="393" t="s">
        <v>46</v>
      </c>
      <c r="K5" s="393" t="s">
        <v>47</v>
      </c>
      <c r="L5" s="919"/>
      <c r="M5" s="921"/>
      <c r="N5" s="353"/>
      <c r="O5" s="353"/>
      <c r="P5" s="367"/>
    </row>
    <row r="6" spans="1:16" x14ac:dyDescent="0.2">
      <c r="A6" s="379"/>
      <c r="B6" s="390"/>
      <c r="C6" s="328"/>
      <c r="D6" s="328"/>
      <c r="E6" s="328"/>
      <c r="F6" s="328"/>
      <c r="G6" s="328"/>
      <c r="H6" s="328"/>
      <c r="I6" s="328"/>
      <c r="J6" s="328"/>
      <c r="K6" s="328"/>
      <c r="L6" s="376"/>
      <c r="M6" s="391"/>
      <c r="O6" s="189"/>
      <c r="P6" s="345"/>
    </row>
    <row r="7" spans="1:16" x14ac:dyDescent="0.2">
      <c r="A7" s="380">
        <v>1</v>
      </c>
      <c r="B7" s="384">
        <f>IF('Entries September''25'!B7-'Entries September''25'!B6&lt;1,"0",'Entries September''25'!B7-'Entries September''25'!B6)</f>
        <v>3020</v>
      </c>
      <c r="C7" s="329">
        <f>IF('Entries September''25'!F7-'Entries September''25'!F6&lt;1,"0",'Entries September''25'!F7-'Entries September''25'!F6)</f>
        <v>19</v>
      </c>
      <c r="D7" s="329">
        <f>IF('Entries September''25'!C6=0,0,+'Entries September''25'!C6-'Entries September''25'!#REF!)</f>
        <v>0</v>
      </c>
      <c r="E7" s="329" t="str">
        <f>IF('Entries September''25'!G7-'Entries September''25'!G6&lt;1,"0",'Entries September''25'!G7-'Entries September''25'!G6)</f>
        <v>0</v>
      </c>
      <c r="F7" s="329"/>
      <c r="G7" s="329"/>
      <c r="H7" s="378">
        <f>IF(C7+E7=0,"0", B7/(C7+E7))</f>
        <v>158.94736842105263</v>
      </c>
      <c r="I7" s="378" t="str">
        <f>IF(E7=0,"0", D7/E7)</f>
        <v>0</v>
      </c>
      <c r="J7" s="378" t="str">
        <f>IF(G7=0,"0", F7/G7)</f>
        <v>0</v>
      </c>
      <c r="K7" s="329">
        <f>B7+D7+F7</f>
        <v>3020</v>
      </c>
      <c r="L7" s="381" cm="1">
        <f t="array" ref="L7:L37">IF(TRANSPOSE('Daily KPIs'!B9:AF9)=0,"0",TRANSPOSE('Daily KPIs'!B9:AF9))</f>
        <v>390.85200000000003</v>
      </c>
      <c r="M7" s="385">
        <f>IF(L7=0,"0",(K7/L7))</f>
        <v>7.7267098543694281</v>
      </c>
      <c r="O7" s="344"/>
      <c r="P7" s="344"/>
    </row>
    <row r="8" spans="1:16" x14ac:dyDescent="0.2">
      <c r="A8" s="380">
        <v>2</v>
      </c>
      <c r="B8" s="384">
        <f>IF('Entries September''25'!B8-'Entries September''25'!B7&lt;1,"0",'Entries September''25'!B8-'Entries September''25'!B7)</f>
        <v>2960</v>
      </c>
      <c r="C8" s="329">
        <f>IF('Entries September''25'!F8-'Entries September''25'!F7&lt;1,"0",'Entries September''25'!F8-'Entries September''25'!F7)</f>
        <v>20.399999999999636</v>
      </c>
      <c r="D8" s="329">
        <f>IF('Entries September''25'!C7=0,0,+'Entries September''25'!C7-'Entries September''25'!C6)</f>
        <v>0</v>
      </c>
      <c r="E8" s="329" t="str">
        <f>IF('Entries September''25'!G8-'Entries September''25'!G7&lt;1,"0",'Entries September''25'!G8-'Entries September''25'!G7)</f>
        <v>0</v>
      </c>
      <c r="F8" s="329"/>
      <c r="G8" s="329"/>
      <c r="H8" s="378">
        <f t="shared" ref="H8:H38" si="0">IF(C8+E8=0,"0", B8/(C8+E8))</f>
        <v>145.09803921568886</v>
      </c>
      <c r="I8" s="378" t="str">
        <f t="shared" ref="I8:I36" si="1">IF(E8=0,"0", D8/E8)</f>
        <v>0</v>
      </c>
      <c r="J8" s="378" t="str">
        <f t="shared" ref="J8:J36" si="2">IF(G8=0,"0", F8/G8)</f>
        <v>0</v>
      </c>
      <c r="K8" s="329">
        <f t="shared" ref="K8:K36" si="3">B8+D8+F8</f>
        <v>2960</v>
      </c>
      <c r="L8" s="377">
        <v>311.38800000000003</v>
      </c>
      <c r="M8" s="385">
        <f t="shared" ref="M8:M36" si="4">IF(L8=0,"0",(K8/L8))</f>
        <v>9.505825529564401</v>
      </c>
      <c r="O8" s="344"/>
      <c r="P8" s="344"/>
    </row>
    <row r="9" spans="1:16" x14ac:dyDescent="0.2">
      <c r="A9" s="380">
        <v>3</v>
      </c>
      <c r="B9" s="384">
        <f>IF('Entries September''25'!B9-'Entries September''25'!B8&lt;1,"0",'Entries September''25'!B9-'Entries September''25'!B8)</f>
        <v>2910</v>
      </c>
      <c r="C9" s="329">
        <f>IF('Entries September''25'!F9-'Entries September''25'!F8&lt;1,"0",'Entries September''25'!F9-'Entries September''25'!F8)</f>
        <v>19.699999999999818</v>
      </c>
      <c r="D9" s="329">
        <f>IF('Entries September''25'!C8=0,0,+'Entries September''25'!C8-'Entries September''25'!C7)</f>
        <v>0</v>
      </c>
      <c r="E9" s="329" t="str">
        <f>IF('Entries September''25'!G9-'Entries September''25'!G8&lt;1,"0",'Entries September''25'!G9-'Entries September''25'!G8)</f>
        <v>0</v>
      </c>
      <c r="F9" s="329"/>
      <c r="G9" s="329"/>
      <c r="H9" s="378">
        <f t="shared" si="0"/>
        <v>147.71573604061049</v>
      </c>
      <c r="I9" s="378" t="str">
        <f t="shared" si="1"/>
        <v>0</v>
      </c>
      <c r="J9" s="378" t="str">
        <f t="shared" si="2"/>
        <v>0</v>
      </c>
      <c r="K9" s="329">
        <f t="shared" si="3"/>
        <v>2910</v>
      </c>
      <c r="L9" s="377">
        <v>297.858</v>
      </c>
      <c r="M9" s="385">
        <f t="shared" si="4"/>
        <v>9.7697560582559468</v>
      </c>
      <c r="O9" s="344"/>
      <c r="P9" s="344"/>
    </row>
    <row r="10" spans="1:16" x14ac:dyDescent="0.2">
      <c r="A10" s="380">
        <v>4</v>
      </c>
      <c r="B10" s="384">
        <f>IF('Entries September''25'!B10-'Entries September''25'!B9&lt;1,"0",'Entries September''25'!B10-'Entries September''25'!B9)</f>
        <v>3180</v>
      </c>
      <c r="C10" s="329">
        <f>IF('Entries September''25'!F10-'Entries September''25'!F9&lt;1,"0",'Entries September''25'!F10-'Entries September''25'!F9)</f>
        <v>19.400000000000546</v>
      </c>
      <c r="D10" s="329">
        <f>IF('Entries September''25'!C11=0,0,+'Entries September''25'!C11-'Entries September''25'!C8)</f>
        <v>0</v>
      </c>
      <c r="E10" s="329" t="str">
        <f>IF('Entries September''25'!G10-'Entries September''25'!G9&lt;1,"0",'Entries September''25'!G10-'Entries September''25'!G9)</f>
        <v>0</v>
      </c>
      <c r="F10" s="329"/>
      <c r="G10" s="329"/>
      <c r="H10" s="378">
        <f t="shared" si="0"/>
        <v>163.91752577319127</v>
      </c>
      <c r="I10" s="378" t="str">
        <f t="shared" si="1"/>
        <v>0</v>
      </c>
      <c r="J10" s="378" t="str">
        <f t="shared" si="2"/>
        <v>0</v>
      </c>
      <c r="K10" s="329">
        <f t="shared" si="3"/>
        <v>3180</v>
      </c>
      <c r="L10" s="377">
        <v>392.10599999999999</v>
      </c>
      <c r="M10" s="385">
        <f t="shared" si="4"/>
        <v>8.1100518737280218</v>
      </c>
      <c r="O10" s="344"/>
      <c r="P10" s="344"/>
    </row>
    <row r="11" spans="1:16" x14ac:dyDescent="0.2">
      <c r="A11" s="769">
        <v>5</v>
      </c>
      <c r="B11" s="770">
        <f>IF('Entries September''25'!B11-'Entries September''25'!B10&lt;1,"0",'Entries September''25'!B11-'Entries September''25'!B10)</f>
        <v>2830</v>
      </c>
      <c r="C11" s="329">
        <f>IF('Entries September''25'!F11-'Entries September''25'!F10&lt;1,"0",'Entries September''25'!F11-'Entries September''25'!F10)</f>
        <v>18.099999999999454</v>
      </c>
      <c r="D11" s="329">
        <f>IF('Entries September''25'!C10=0,0,+'Entries September''25'!C10-'Entries September''25'!C11)</f>
        <v>0</v>
      </c>
      <c r="E11" s="329" t="str">
        <f>IF('Entries September''25'!G11-'Entries September''25'!G10&lt;1,"0",'Entries September''25'!G11-'Entries September''25'!G10)</f>
        <v>0</v>
      </c>
      <c r="F11" s="329"/>
      <c r="G11" s="329"/>
      <c r="H11" s="378">
        <f t="shared" si="0"/>
        <v>156.3535911602257</v>
      </c>
      <c r="I11" s="378" t="str">
        <f t="shared" si="1"/>
        <v>0</v>
      </c>
      <c r="J11" s="378" t="str">
        <f t="shared" si="2"/>
        <v>0</v>
      </c>
      <c r="K11" s="329">
        <f t="shared" si="3"/>
        <v>2830</v>
      </c>
      <c r="L11" s="771">
        <v>274.49400000000003</v>
      </c>
      <c r="M11" s="772">
        <f t="shared" si="4"/>
        <v>10.309879268763614</v>
      </c>
      <c r="O11" s="344"/>
      <c r="P11" s="344"/>
    </row>
    <row r="12" spans="1:16" x14ac:dyDescent="0.2">
      <c r="A12" s="512">
        <v>6</v>
      </c>
      <c r="B12" s="513">
        <f>IF('Entries September''25'!B12-'Entries September''25'!B11&lt;1,"0",'Entries September''25'!B12-'Entries September''25'!B11)</f>
        <v>290</v>
      </c>
      <c r="C12" s="510">
        <f>IF('Entries September''25'!F12-'Entries September''25'!F11&lt;1,"0",'Entries September''25'!F12-'Entries September''25'!F11)</f>
        <v>2.3000000000001819</v>
      </c>
      <c r="D12" s="510">
        <f>IF('Entries September''25'!C12=0,0,+'Entries September''25'!C12-'Entries September''25'!C10)</f>
        <v>0</v>
      </c>
      <c r="E12" s="510" t="str">
        <f>IF('Entries September''25'!G12-'Entries September''25'!G11&lt;1,"0",'Entries September''25'!G12-'Entries September''25'!G11)</f>
        <v>0</v>
      </c>
      <c r="F12" s="510"/>
      <c r="G12" s="510"/>
      <c r="H12" s="511">
        <f t="shared" si="0"/>
        <v>126.08695652172916</v>
      </c>
      <c r="I12" s="511" t="str">
        <f t="shared" si="1"/>
        <v>0</v>
      </c>
      <c r="J12" s="511" t="str">
        <f t="shared" si="2"/>
        <v>0</v>
      </c>
      <c r="K12" s="510">
        <f t="shared" si="3"/>
        <v>290</v>
      </c>
      <c r="L12" s="377" t="str">
        <v>0</v>
      </c>
      <c r="M12" s="385" t="str">
        <f t="shared" si="4"/>
        <v>0</v>
      </c>
      <c r="O12" s="344"/>
      <c r="P12" s="344"/>
    </row>
    <row r="13" spans="1:16" x14ac:dyDescent="0.2">
      <c r="A13" s="512">
        <v>7</v>
      </c>
      <c r="B13" s="513">
        <f>IF('Entries September''25'!B13-'Entries September''25'!B12&lt;1,"0",'Entries September''25'!B13-'Entries September''25'!B12)</f>
        <v>170</v>
      </c>
      <c r="C13" s="510" t="str">
        <f>IF('Entries September''25'!F13-'Entries September''25'!F12&lt;1,"0",'Entries September''25'!F13-'Entries September''25'!F12)</f>
        <v>0</v>
      </c>
      <c r="D13" s="510">
        <f>IF('Entries September''25'!C13=0,0,+'Entries September''25'!C13-'Entries September''25'!C11)</f>
        <v>0</v>
      </c>
      <c r="E13" s="510" t="str">
        <f>IF('Entries September''25'!G13-'Entries September''25'!G12&lt;1,"0",'Entries September''25'!G13-'Entries September''25'!G12)</f>
        <v>0</v>
      </c>
      <c r="F13" s="510"/>
      <c r="G13" s="510"/>
      <c r="H13" s="511" t="str">
        <f t="shared" si="0"/>
        <v>0</v>
      </c>
      <c r="I13" s="511" t="str">
        <f t="shared" si="1"/>
        <v>0</v>
      </c>
      <c r="J13" s="511" t="str">
        <f t="shared" si="2"/>
        <v>0</v>
      </c>
      <c r="K13" s="510">
        <f t="shared" si="3"/>
        <v>170</v>
      </c>
      <c r="L13" s="377" t="str">
        <v>0</v>
      </c>
      <c r="M13" s="385" t="str">
        <f t="shared" si="4"/>
        <v>0</v>
      </c>
      <c r="O13" s="344"/>
      <c r="P13" s="344"/>
    </row>
    <row r="14" spans="1:16" x14ac:dyDescent="0.2">
      <c r="A14" s="380">
        <v>8</v>
      </c>
      <c r="B14" s="384">
        <f>IF('Entries September''25'!B14-'Entries September''25'!B13&lt;1,"0",'Entries September''25'!B14-'Entries September''25'!B13)</f>
        <v>3390</v>
      </c>
      <c r="C14" s="329">
        <f>IF('Entries September''25'!F14-'Entries September''25'!F13&lt;1,"0",'Entries September''25'!F14-'Entries September''25'!F13)</f>
        <v>20.300000000000182</v>
      </c>
      <c r="D14" s="329">
        <f>IF('Entries September''25'!C13=0,0,+'Entries September''25'!C13-'Entries September''25'!#REF!)</f>
        <v>0</v>
      </c>
      <c r="E14" s="329" t="str">
        <f>IF('Entries September''25'!G14-'Entries September''25'!G13&lt;1,"0",'Entries September''25'!G14-'Entries September''25'!G13)</f>
        <v>0</v>
      </c>
      <c r="F14" s="329"/>
      <c r="G14" s="329"/>
      <c r="H14" s="378">
        <f t="shared" si="0"/>
        <v>166.99507389162412</v>
      </c>
      <c r="I14" s="378" t="str">
        <f t="shared" si="1"/>
        <v>0</v>
      </c>
      <c r="J14" s="378" t="str">
        <f t="shared" si="2"/>
        <v>0</v>
      </c>
      <c r="K14" s="329">
        <f t="shared" si="3"/>
        <v>3390</v>
      </c>
      <c r="L14" s="377">
        <v>306.37200000000001</v>
      </c>
      <c r="M14" s="385">
        <f t="shared" si="4"/>
        <v>11.064979828443851</v>
      </c>
      <c r="O14" s="344"/>
      <c r="P14" s="344"/>
    </row>
    <row r="15" spans="1:16" x14ac:dyDescent="0.2">
      <c r="A15" s="380">
        <v>9</v>
      </c>
      <c r="B15" s="384">
        <f>IF('Entries September''25'!B15-'Entries September''25'!B14&lt;1,"0",'Entries September''25'!B15-'Entries September''25'!B14)</f>
        <v>3060</v>
      </c>
      <c r="C15" s="329">
        <f>IF('Entries September''25'!F15-'Entries September''25'!F14&lt;1,"0",'Entries September''25'!F15-'Entries September''25'!F14)</f>
        <v>20</v>
      </c>
      <c r="D15" s="329">
        <f>IF('Entries September''25'!C14=0,0,+'Entries September''25'!C14-'Entries September''25'!C13)</f>
        <v>0</v>
      </c>
      <c r="E15" s="329" t="str">
        <f>IF('Entries September''25'!G15-'Entries September''25'!G14&lt;1,"0",'Entries September''25'!G15-'Entries September''25'!G14)</f>
        <v>0</v>
      </c>
      <c r="F15" s="329"/>
      <c r="G15" s="329"/>
      <c r="H15" s="378">
        <f t="shared" si="0"/>
        <v>153</v>
      </c>
      <c r="I15" s="378" t="str">
        <f t="shared" si="1"/>
        <v>0</v>
      </c>
      <c r="J15" s="378" t="str">
        <f t="shared" si="2"/>
        <v>0</v>
      </c>
      <c r="K15" s="329">
        <f t="shared" si="3"/>
        <v>3060</v>
      </c>
      <c r="L15" s="377">
        <v>360.096</v>
      </c>
      <c r="M15" s="385">
        <f t="shared" si="4"/>
        <v>8.4977339376166352</v>
      </c>
      <c r="O15" s="344"/>
      <c r="P15" s="344"/>
    </row>
    <row r="16" spans="1:16" x14ac:dyDescent="0.2">
      <c r="A16" s="380">
        <v>10</v>
      </c>
      <c r="B16" s="384">
        <f>IF('Entries September''25'!B16-'Entries September''25'!B15&lt;1,"0",'Entries September''25'!B16-'Entries September''25'!B15)</f>
        <v>2810</v>
      </c>
      <c r="C16" s="329">
        <f>IF('Entries September''25'!F16-'Entries September''25'!F15&lt;1,"0",'Entries September''25'!F16-'Entries September''25'!F15)</f>
        <v>17.699999999999818</v>
      </c>
      <c r="D16" s="329">
        <f>IF('Entries September''25'!C15=0,0,+'Entries September''25'!C15-'Entries September''25'!C14)</f>
        <v>0</v>
      </c>
      <c r="E16" s="329" t="str">
        <f>IF('Entries September''25'!G16-'Entries September''25'!G15&lt;1,"0",'Entries September''25'!G16-'Entries September''25'!G15)</f>
        <v>0</v>
      </c>
      <c r="F16" s="329"/>
      <c r="G16" s="329"/>
      <c r="H16" s="378">
        <f t="shared" si="0"/>
        <v>158.7570621468943</v>
      </c>
      <c r="I16" s="378" t="str">
        <f t="shared" si="1"/>
        <v>0</v>
      </c>
      <c r="J16" s="378" t="str">
        <f t="shared" si="2"/>
        <v>0</v>
      </c>
      <c r="K16" s="329">
        <f t="shared" si="3"/>
        <v>2810</v>
      </c>
      <c r="L16" s="377">
        <v>320.82600000000002</v>
      </c>
      <c r="M16" s="385">
        <f t="shared" si="4"/>
        <v>8.7586417559674086</v>
      </c>
      <c r="O16" s="344"/>
      <c r="P16" s="344"/>
    </row>
    <row r="17" spans="1:16" x14ac:dyDescent="0.2">
      <c r="A17" s="380">
        <v>11</v>
      </c>
      <c r="B17" s="384">
        <f>IF('Entries September''25'!B17-'Entries September''25'!B16&lt;1,"0",'Entries September''25'!B17-'Entries September''25'!B16)</f>
        <v>2370</v>
      </c>
      <c r="C17" s="329">
        <f>IF('Entries September''25'!F17-'Entries September''25'!F16&lt;1,"0",'Entries September''25'!F17-'Entries September''25'!F16)</f>
        <v>18</v>
      </c>
      <c r="D17" s="329">
        <f>IF('Entries September''25'!C16=0,0,+'Entries September''25'!C16-'Entries September''25'!C15)</f>
        <v>0</v>
      </c>
      <c r="E17" s="329" t="str">
        <f>IF('Entries September''25'!G17-'Entries September''25'!G16&lt;1,"0",'Entries September''25'!G17-'Entries September''25'!G16)</f>
        <v>0</v>
      </c>
      <c r="F17" s="329"/>
      <c r="G17" s="329"/>
      <c r="H17" s="378">
        <f t="shared" si="0"/>
        <v>131.66666666666666</v>
      </c>
      <c r="I17" s="378" t="str">
        <f t="shared" si="1"/>
        <v>0</v>
      </c>
      <c r="J17" s="378" t="str">
        <f t="shared" si="2"/>
        <v>0</v>
      </c>
      <c r="K17" s="329">
        <f t="shared" si="3"/>
        <v>2370</v>
      </c>
      <c r="L17" s="377">
        <v>5.6760000000000002</v>
      </c>
      <c r="M17" s="385">
        <f t="shared" si="4"/>
        <v>417.54756871035937</v>
      </c>
      <c r="O17" s="344"/>
      <c r="P17" s="344"/>
    </row>
    <row r="18" spans="1:16" x14ac:dyDescent="0.2">
      <c r="A18" s="773">
        <v>12</v>
      </c>
      <c r="B18" s="774">
        <f>IF('Entries September''25'!B18-'Entries September''25'!B17&lt;1,"0",'Entries September''25'!B18-'Entries September''25'!B17)</f>
        <v>1340</v>
      </c>
      <c r="C18" s="775" t="str">
        <f>IF('Entries September''25'!F18-'Entries September''25'!F17&lt;1,"0",'Entries September''25'!F18-'Entries September''25'!F17)</f>
        <v>0</v>
      </c>
      <c r="D18" s="775">
        <f>IF('Entries September''25'!C17=0,0,+'Entries September''25'!C17-'Entries September''25'!C16)</f>
        <v>0</v>
      </c>
      <c r="E18" s="775" t="str">
        <f>IF('Entries September''25'!G18-'Entries September''25'!G17&lt;1,"0",'Entries September''25'!G18-'Entries September''25'!G17)</f>
        <v>0</v>
      </c>
      <c r="F18" s="775"/>
      <c r="G18" s="775"/>
      <c r="H18" s="776" t="str">
        <f t="shared" si="0"/>
        <v>0</v>
      </c>
      <c r="I18" s="776" t="str">
        <f t="shared" si="1"/>
        <v>0</v>
      </c>
      <c r="J18" s="776" t="str">
        <f t="shared" si="2"/>
        <v>0</v>
      </c>
      <c r="K18" s="775">
        <f t="shared" si="3"/>
        <v>1340</v>
      </c>
      <c r="L18" s="377">
        <v>64.878</v>
      </c>
      <c r="M18" s="385">
        <f t="shared" si="4"/>
        <v>20.654150867782608</v>
      </c>
      <c r="O18" s="344"/>
      <c r="P18" s="344"/>
    </row>
    <row r="19" spans="1:16" x14ac:dyDescent="0.2">
      <c r="A19" s="512">
        <v>13</v>
      </c>
      <c r="B19" s="513" t="str">
        <f>IF('Entries September''25'!B19-'Entries September''25'!B18&lt;1,"0",'Entries September''25'!B19-'Entries September''25'!B18)</f>
        <v>0</v>
      </c>
      <c r="C19" s="510" t="str">
        <f>IF('Entries September''25'!F19-'Entries September''25'!F18&lt;1,"0",'Entries September''25'!F19-'Entries September''25'!F18)</f>
        <v>0</v>
      </c>
      <c r="D19" s="510">
        <f>IF('Entries September''25'!C18=0,0,+'Entries September''25'!C18-'Entries September''25'!C17)</f>
        <v>0</v>
      </c>
      <c r="E19" s="510" t="str">
        <f>IF('Entries September''25'!G19-'Entries September''25'!G18&lt;1,"0",'Entries September''25'!G19-'Entries September''25'!G18)</f>
        <v>0</v>
      </c>
      <c r="F19" s="510"/>
      <c r="G19" s="510"/>
      <c r="H19" s="511" t="str">
        <f t="shared" si="0"/>
        <v>0</v>
      </c>
      <c r="I19" s="511" t="str">
        <f t="shared" si="1"/>
        <v>0</v>
      </c>
      <c r="J19" s="511" t="str">
        <f t="shared" si="2"/>
        <v>0</v>
      </c>
      <c r="K19" s="510">
        <f t="shared" si="3"/>
        <v>0</v>
      </c>
      <c r="L19" s="377" t="str">
        <v>0</v>
      </c>
      <c r="M19" s="385" t="str">
        <f t="shared" si="4"/>
        <v>0</v>
      </c>
      <c r="O19" s="344"/>
      <c r="P19" s="344"/>
    </row>
    <row r="20" spans="1:16" x14ac:dyDescent="0.2">
      <c r="A20" s="512">
        <v>14</v>
      </c>
      <c r="B20" s="513">
        <f>IF('Entries September''25'!B20-'Entries September''25'!B19&lt;1,"0",'Entries September''25'!B20-'Entries September''25'!B19)</f>
        <v>950</v>
      </c>
      <c r="C20" s="510">
        <f>IF('Entries September''25'!F20-'Entries September''25'!F19&lt;1,"0",'Entries September''25'!F20-'Entries September''25'!F19)</f>
        <v>14.800000000000182</v>
      </c>
      <c r="D20" s="510">
        <f>IF('Entries September''25'!C19=0,0,+'Entries September''25'!C19-'Entries September''25'!C18)</f>
        <v>0</v>
      </c>
      <c r="E20" s="510" t="str">
        <f>IF('Entries September''25'!G20-'Entries September''25'!G19&lt;1,"0",'Entries September''25'!G20-'Entries September''25'!G19)</f>
        <v>0</v>
      </c>
      <c r="F20" s="510"/>
      <c r="G20" s="510"/>
      <c r="H20" s="511">
        <f t="shared" si="0"/>
        <v>64.189189189188397</v>
      </c>
      <c r="I20" s="511" t="str">
        <f t="shared" si="1"/>
        <v>0</v>
      </c>
      <c r="J20" s="511" t="str">
        <f t="shared" si="2"/>
        <v>0</v>
      </c>
      <c r="K20" s="510">
        <f t="shared" si="3"/>
        <v>950</v>
      </c>
      <c r="L20" s="377" t="str">
        <v>0</v>
      </c>
      <c r="M20" s="385" t="str">
        <f t="shared" si="4"/>
        <v>0</v>
      </c>
      <c r="O20" s="344"/>
      <c r="P20" s="344"/>
    </row>
    <row r="21" spans="1:16" x14ac:dyDescent="0.2">
      <c r="A21" s="380">
        <v>15</v>
      </c>
      <c r="B21" s="384">
        <f>IF('Entries September''25'!B21-'Entries September''25'!B20&lt;1,"0",'Entries September''25'!B21-'Entries September''25'!B20)</f>
        <v>3140</v>
      </c>
      <c r="C21" s="329">
        <f>IF('Entries September''25'!F21-'Entries September''25'!F20&lt;1,"0",'Entries September''25'!F21-'Entries September''25'!F20)</f>
        <v>20</v>
      </c>
      <c r="D21" s="329">
        <f>IF('Entries September''25'!C20=0,0,+'Entries September''25'!C20-'Entries September''25'!C19)</f>
        <v>0</v>
      </c>
      <c r="E21" s="329" t="str">
        <f>IF('Entries September''25'!G21-'Entries September''25'!G20&lt;1,"0",'Entries September''25'!G21-'Entries September''25'!G20)</f>
        <v>0</v>
      </c>
      <c r="F21" s="329"/>
      <c r="G21" s="329"/>
      <c r="H21" s="378">
        <f t="shared" si="0"/>
        <v>157</v>
      </c>
      <c r="I21" s="378" t="str">
        <f t="shared" si="1"/>
        <v>0</v>
      </c>
      <c r="J21" s="378" t="str">
        <f t="shared" si="2"/>
        <v>0</v>
      </c>
      <c r="K21" s="329">
        <f t="shared" si="3"/>
        <v>3140</v>
      </c>
      <c r="L21" s="377">
        <v>518.43119999999999</v>
      </c>
      <c r="M21" s="385">
        <f t="shared" si="4"/>
        <v>6.056734239760261</v>
      </c>
      <c r="O21" s="344"/>
      <c r="P21" s="344"/>
    </row>
    <row r="22" spans="1:16" x14ac:dyDescent="0.2">
      <c r="A22" s="380">
        <v>16</v>
      </c>
      <c r="B22" s="384">
        <f>IF('Entries September''25'!B22-'Entries September''25'!B21&lt;1,"0",'Entries September''25'!B22-'Entries September''25'!B21)</f>
        <v>2280</v>
      </c>
      <c r="C22" s="329">
        <f>IF('Entries September''25'!F22-'Entries September''25'!F21&lt;1,"0",'Entries September''25'!F22-'Entries September''25'!F21)</f>
        <v>16.199999999999818</v>
      </c>
      <c r="D22" s="329">
        <f>IF('Entries September''25'!C21=0,0,+'Entries September''25'!C21-'Entries September''25'!C20)</f>
        <v>0</v>
      </c>
      <c r="E22" s="329" t="str">
        <f>IF('Entries September''25'!G22-'Entries September''25'!G21&lt;1,"0",'Entries September''25'!G22-'Entries September''25'!G21)</f>
        <v>0</v>
      </c>
      <c r="F22" s="329"/>
      <c r="G22" s="329"/>
      <c r="H22" s="378">
        <f t="shared" si="0"/>
        <v>140.74074074074232</v>
      </c>
      <c r="I22" s="378" t="str">
        <f t="shared" si="1"/>
        <v>0</v>
      </c>
      <c r="J22" s="378" t="str">
        <f t="shared" si="2"/>
        <v>0</v>
      </c>
      <c r="K22" s="329">
        <f t="shared" si="3"/>
        <v>2280</v>
      </c>
      <c r="L22" s="377">
        <v>442.33199999999999</v>
      </c>
      <c r="M22" s="385">
        <f t="shared" si="4"/>
        <v>5.1544993353408755</v>
      </c>
      <c r="O22" s="344"/>
      <c r="P22" s="344"/>
    </row>
    <row r="23" spans="1:16" x14ac:dyDescent="0.2">
      <c r="A23" s="380">
        <v>17</v>
      </c>
      <c r="B23" s="384">
        <f>IF('Entries September''25'!B23-'Entries September''25'!B22&lt;1,"0",'Entries September''25'!B23-'Entries September''25'!B22)</f>
        <v>3190</v>
      </c>
      <c r="C23" s="329">
        <f>IF('Entries September''25'!F23-'Entries September''25'!F22&lt;1,"0",'Entries September''25'!F23-'Entries September''25'!F22)</f>
        <v>20.599999999999454</v>
      </c>
      <c r="D23" s="329">
        <f>IF('Entries September''25'!C22=0,0,+'Entries September''25'!C22-'Entries September''25'!C21)</f>
        <v>0</v>
      </c>
      <c r="E23" s="329" t="str">
        <f>IF('Entries September''25'!G23-'Entries September''25'!G22&lt;1,"0",'Entries September''25'!G23-'Entries September''25'!G22)</f>
        <v>0</v>
      </c>
      <c r="F23" s="329"/>
      <c r="G23" s="329"/>
      <c r="H23" s="378">
        <f t="shared" si="0"/>
        <v>154.85436893204295</v>
      </c>
      <c r="I23" s="378" t="str">
        <f t="shared" si="1"/>
        <v>0</v>
      </c>
      <c r="J23" s="378" t="str">
        <f t="shared" si="2"/>
        <v>0</v>
      </c>
      <c r="K23" s="329">
        <f t="shared" si="3"/>
        <v>3190</v>
      </c>
      <c r="L23" s="377">
        <v>439.75800000000004</v>
      </c>
      <c r="M23" s="385">
        <f t="shared" si="4"/>
        <v>7.2539896943318816</v>
      </c>
      <c r="O23" s="344"/>
      <c r="P23" s="344"/>
    </row>
    <row r="24" spans="1:16" x14ac:dyDescent="0.2">
      <c r="A24" s="380">
        <v>18</v>
      </c>
      <c r="B24" s="384">
        <f>IF('Entries September''25'!B24-'Entries September''25'!B23&lt;1,"0",'Entries September''25'!B24-'Entries September''25'!B23)</f>
        <v>3610</v>
      </c>
      <c r="C24" s="329">
        <f>IF('Entries September''25'!F24-'Entries September''25'!F23&lt;1,"0",'Entries September''25'!F24-'Entries September''25'!F23)</f>
        <v>20.400000000000546</v>
      </c>
      <c r="D24" s="329">
        <f>IF('Entries September''25'!C23=0,0,+'Entries September''25'!C23-'Entries September''25'!C22)</f>
        <v>0</v>
      </c>
      <c r="E24" s="329" t="str">
        <f>IF('Entries September''25'!G24-'Entries September''25'!G23&lt;1,"0",'Entries September''25'!G24-'Entries September''25'!G23)</f>
        <v>0</v>
      </c>
      <c r="F24" s="329"/>
      <c r="G24" s="329"/>
      <c r="H24" s="378">
        <f t="shared" si="0"/>
        <v>176.96078431372075</v>
      </c>
      <c r="I24" s="378" t="str">
        <f t="shared" si="1"/>
        <v>0</v>
      </c>
      <c r="J24" s="378" t="str">
        <f t="shared" si="2"/>
        <v>0</v>
      </c>
      <c r="K24" s="329">
        <f t="shared" si="3"/>
        <v>3610</v>
      </c>
      <c r="L24" s="377">
        <v>814.04399999999998</v>
      </c>
      <c r="M24" s="385">
        <f t="shared" si="4"/>
        <v>4.4346497240935383</v>
      </c>
      <c r="O24" s="344"/>
      <c r="P24" s="344"/>
    </row>
    <row r="25" spans="1:16" x14ac:dyDescent="0.2">
      <c r="A25" s="773">
        <v>19</v>
      </c>
      <c r="B25" s="774">
        <f>IF('Entries September''25'!B25-'Entries September''25'!B24&lt;1,"0",'Entries September''25'!B25-'Entries September''25'!B24)</f>
        <v>2910</v>
      </c>
      <c r="C25" s="775">
        <f>IF('Entries September''25'!F25-'Entries September''25'!F24&lt;1,"0",'Entries September''25'!F25-'Entries September''25'!F24)</f>
        <v>18.199999999999818</v>
      </c>
      <c r="D25" s="775">
        <f>IF('Entries September''25'!C24=0,0,+'Entries September''25'!C24-'Entries September''25'!C23)</f>
        <v>0</v>
      </c>
      <c r="E25" s="775" t="str">
        <f>IF('Entries September''25'!G25-'Entries September''25'!G24&lt;1,"0",'Entries September''25'!G25-'Entries September''25'!G24)</f>
        <v>0</v>
      </c>
      <c r="F25" s="775"/>
      <c r="G25" s="775"/>
      <c r="H25" s="776">
        <f t="shared" si="0"/>
        <v>159.89010989011149</v>
      </c>
      <c r="I25" s="776" t="str">
        <f t="shared" si="1"/>
        <v>0</v>
      </c>
      <c r="J25" s="776" t="str">
        <f t="shared" si="2"/>
        <v>0</v>
      </c>
      <c r="K25" s="775">
        <f t="shared" si="3"/>
        <v>2910</v>
      </c>
      <c r="L25" s="377">
        <v>524.37</v>
      </c>
      <c r="M25" s="385">
        <f t="shared" si="4"/>
        <v>5.5495165627324221</v>
      </c>
      <c r="O25" s="344"/>
      <c r="P25" s="344"/>
    </row>
    <row r="26" spans="1:16" x14ac:dyDescent="0.2">
      <c r="A26" s="512">
        <v>20</v>
      </c>
      <c r="B26" s="513" t="str">
        <f>IF('Entries September''25'!B26-'Entries September''25'!B25&lt;1,"0",'Entries September''25'!B26-'Entries September''25'!B25)</f>
        <v>0</v>
      </c>
      <c r="C26" s="510" t="str">
        <f>IF('Entries September''25'!F26-'Entries September''25'!F25&lt;1,"0",'Entries September''25'!F26-'Entries September''25'!F25)</f>
        <v>0</v>
      </c>
      <c r="D26" s="510">
        <f>IF('Entries September''25'!C25=0,0,+'Entries September''25'!C25-'Entries September''25'!C24)</f>
        <v>0</v>
      </c>
      <c r="E26" s="510" t="str">
        <f>IF('Entries September''25'!G26-'Entries September''25'!G25&lt;1,"0",'Entries September''25'!G26-'Entries September''25'!G25)</f>
        <v>0</v>
      </c>
      <c r="F26" s="510"/>
      <c r="G26" s="510"/>
      <c r="H26" s="511" t="str">
        <f t="shared" si="0"/>
        <v>0</v>
      </c>
      <c r="I26" s="511" t="str">
        <f t="shared" si="1"/>
        <v>0</v>
      </c>
      <c r="J26" s="511" t="str">
        <f t="shared" si="2"/>
        <v>0</v>
      </c>
      <c r="K26" s="510">
        <f t="shared" si="3"/>
        <v>0</v>
      </c>
      <c r="L26" s="377" t="str">
        <v>0</v>
      </c>
      <c r="M26" s="385" t="str">
        <f t="shared" si="4"/>
        <v>0</v>
      </c>
      <c r="O26" s="344"/>
      <c r="P26" s="344"/>
    </row>
    <row r="27" spans="1:16" x14ac:dyDescent="0.2">
      <c r="A27" s="512">
        <v>21</v>
      </c>
      <c r="B27" s="513">
        <f>IF('Entries September''25'!B27-'Entries September''25'!B26&lt;1,"0",'Entries September''25'!B27-'Entries September''25'!B26)</f>
        <v>1330</v>
      </c>
      <c r="C27" s="510">
        <f>IF('Entries September''25'!F27-'Entries September''25'!F26&lt;1,"0",'Entries September''25'!F27-'Entries September''25'!F26)</f>
        <v>6.6999999999998181</v>
      </c>
      <c r="D27" s="510">
        <f>IF('Entries September''25'!C26=0,0,+'Entries September''25'!C26-'Entries September''25'!C25)</f>
        <v>0</v>
      </c>
      <c r="E27" s="510" t="str">
        <f>IF('Entries September''25'!G27-'Entries September''25'!G26&lt;1,"0",'Entries September''25'!G27-'Entries September''25'!G26)</f>
        <v>0</v>
      </c>
      <c r="F27" s="510"/>
      <c r="G27" s="510"/>
      <c r="H27" s="511">
        <f t="shared" si="0"/>
        <v>198.50746268657255</v>
      </c>
      <c r="I27" s="511" t="str">
        <f t="shared" si="1"/>
        <v>0</v>
      </c>
      <c r="J27" s="511" t="str">
        <f t="shared" si="2"/>
        <v>0</v>
      </c>
      <c r="K27" s="510">
        <f t="shared" si="3"/>
        <v>1330</v>
      </c>
      <c r="L27" s="377" t="str">
        <v>0</v>
      </c>
      <c r="M27" s="385" t="str">
        <f t="shared" si="4"/>
        <v>0</v>
      </c>
      <c r="O27" s="344"/>
      <c r="P27" s="344"/>
    </row>
    <row r="28" spans="1:16" x14ac:dyDescent="0.2">
      <c r="A28" s="380">
        <v>22</v>
      </c>
      <c r="B28" s="384">
        <f>IF('Entries September''25'!B28-'Entries September''25'!B27&lt;1,"0",'Entries September''25'!B28-'Entries September''25'!B27)</f>
        <v>2910</v>
      </c>
      <c r="C28" s="329">
        <f>IF('Entries September''25'!F28-'Entries September''25'!F27&lt;1,"0",'Entries September''25'!F28-'Entries September''25'!F27)</f>
        <v>18.800000000000182</v>
      </c>
      <c r="D28" s="329">
        <f>IF('Entries September''25'!C27=0,0,+'Entries September''25'!C27-'Entries September''25'!C26)</f>
        <v>0</v>
      </c>
      <c r="E28" s="329" t="str">
        <f>IF('Entries September''25'!G28-'Entries September''25'!G27&lt;1,"0",'Entries September''25'!G28-'Entries September''25'!G27)</f>
        <v>0</v>
      </c>
      <c r="F28" s="329"/>
      <c r="G28" s="329"/>
      <c r="H28" s="378">
        <f t="shared" si="0"/>
        <v>154.78723404255169</v>
      </c>
      <c r="I28" s="378" t="str">
        <f t="shared" si="1"/>
        <v>0</v>
      </c>
      <c r="J28" s="378" t="str">
        <f t="shared" si="2"/>
        <v>0</v>
      </c>
      <c r="K28" s="329">
        <f t="shared" si="3"/>
        <v>2910</v>
      </c>
      <c r="L28" s="377">
        <v>349.47</v>
      </c>
      <c r="M28" s="385">
        <f t="shared" si="4"/>
        <v>8.3268950124474195</v>
      </c>
      <c r="O28" s="344"/>
      <c r="P28" s="344"/>
    </row>
    <row r="29" spans="1:16" x14ac:dyDescent="0.2">
      <c r="A29" s="380">
        <v>23</v>
      </c>
      <c r="B29" s="384">
        <f>IF('Entries September''25'!B29-'Entries September''25'!B28&lt;1,"0",'Entries September''25'!B29-'Entries September''25'!B28)</f>
        <v>3220</v>
      </c>
      <c r="C29" s="329">
        <f>IF('Entries September''25'!F29-'Entries September''25'!F28&lt;1,"0",'Entries September''25'!F29-'Entries September''25'!F28)</f>
        <v>20.800000000000182</v>
      </c>
      <c r="D29" s="329">
        <f>IF('Entries September''25'!C28=0,0,+'Entries September''25'!C28-'Entries September''25'!C27)</f>
        <v>0</v>
      </c>
      <c r="E29" s="329" t="str">
        <f>IF('Entries September''25'!G29-'Entries September''25'!G28&lt;1,"0",'Entries September''25'!G29-'Entries September''25'!G28)</f>
        <v>0</v>
      </c>
      <c r="F29" s="329"/>
      <c r="G29" s="329"/>
      <c r="H29" s="378">
        <f t="shared" si="0"/>
        <v>154.80769230769096</v>
      </c>
      <c r="I29" s="378" t="str">
        <f t="shared" si="1"/>
        <v>0</v>
      </c>
      <c r="J29" s="378" t="str">
        <f t="shared" si="2"/>
        <v>0</v>
      </c>
      <c r="K29" s="329">
        <f t="shared" si="3"/>
        <v>3220</v>
      </c>
      <c r="L29" s="377">
        <v>484.24200000000002</v>
      </c>
      <c r="M29" s="385">
        <f t="shared" si="4"/>
        <v>6.6495677780944238</v>
      </c>
      <c r="O29" s="344"/>
      <c r="P29" s="344"/>
    </row>
    <row r="30" spans="1:16" x14ac:dyDescent="0.2">
      <c r="A30" s="380">
        <v>24</v>
      </c>
      <c r="B30" s="384">
        <f>IF('Entries September''25'!B30-'Entries September''25'!B29&lt;1,"0",'Entries September''25'!B30-'Entries September''25'!B29)</f>
        <v>1540</v>
      </c>
      <c r="C30" s="329">
        <f>IF('Entries September''25'!F30-'Entries September''25'!F29&lt;1,"0",'Entries September''25'!F30-'Entries September''25'!F29)</f>
        <v>13.399999999999636</v>
      </c>
      <c r="D30" s="329">
        <f>IF('Entries September''25'!C29=0,0,+'Entries September''25'!C29-'Entries September''25'!C28)</f>
        <v>0</v>
      </c>
      <c r="E30" s="329" t="str">
        <f>IF('Entries September''25'!G30-'Entries September''25'!G29&lt;1,"0",'Entries September''25'!G30-'Entries September''25'!G29)</f>
        <v>0</v>
      </c>
      <c r="F30" s="329"/>
      <c r="G30" s="329"/>
      <c r="H30" s="378">
        <f t="shared" si="0"/>
        <v>114.92537313433148</v>
      </c>
      <c r="I30" s="378" t="str">
        <f t="shared" si="1"/>
        <v>0</v>
      </c>
      <c r="J30" s="378" t="str">
        <f t="shared" si="2"/>
        <v>0</v>
      </c>
      <c r="K30" s="329">
        <f t="shared" si="3"/>
        <v>1540</v>
      </c>
      <c r="L30" s="377" t="str">
        <v>0</v>
      </c>
      <c r="M30" s="385" t="str">
        <f t="shared" si="4"/>
        <v>0</v>
      </c>
      <c r="O30" s="344"/>
      <c r="P30" s="344"/>
    </row>
    <row r="31" spans="1:16" x14ac:dyDescent="0.2">
      <c r="A31" s="380">
        <v>25</v>
      </c>
      <c r="B31" s="384">
        <f>IF('Entries September''25'!B31-'Entries September''25'!B30&lt;1,"0",'Entries September''25'!B31-'Entries September''25'!B30)</f>
        <v>3110</v>
      </c>
      <c r="C31" s="329">
        <f>IF('Entries September''25'!F31-'Entries September''25'!F30&lt;1,"0",'Entries September''25'!F31-'Entries September''25'!F30)</f>
        <v>20.199999999999818</v>
      </c>
      <c r="D31" s="329">
        <f>IF('Entries September''25'!C30=0,0,+'Entries September''25'!C30-'Entries September''25'!C29)</f>
        <v>0</v>
      </c>
      <c r="E31" s="329" t="str">
        <f>IF('Entries September''25'!G31-'Entries September''25'!G30&lt;1,"0",'Entries September''25'!G31-'Entries September''25'!G30)</f>
        <v>0</v>
      </c>
      <c r="F31" s="329"/>
      <c r="G31" s="329"/>
      <c r="H31" s="378">
        <f t="shared" si="0"/>
        <v>153.96039603960534</v>
      </c>
      <c r="I31" s="378" t="str">
        <f t="shared" si="1"/>
        <v>0</v>
      </c>
      <c r="J31" s="378" t="str">
        <f t="shared" si="2"/>
        <v>0</v>
      </c>
      <c r="K31" s="329">
        <f t="shared" si="3"/>
        <v>3110</v>
      </c>
      <c r="L31" s="377">
        <v>282.94200000000001</v>
      </c>
      <c r="M31" s="385">
        <f t="shared" si="4"/>
        <v>10.99165199934969</v>
      </c>
      <c r="O31" s="344"/>
      <c r="P31" s="344"/>
    </row>
    <row r="32" spans="1:16" x14ac:dyDescent="0.2">
      <c r="A32" s="773">
        <v>26</v>
      </c>
      <c r="B32" s="774">
        <f>IF('Entries September''25'!B32-'Entries September''25'!B31&lt;1,"0",'Entries September''25'!B32-'Entries September''25'!B31)</f>
        <v>2810</v>
      </c>
      <c r="C32" s="775">
        <f>IF('Entries September''25'!F32-'Entries September''25'!F31&lt;1,"0",'Entries September''25'!F32-'Entries September''25'!F31)</f>
        <v>18.5</v>
      </c>
      <c r="D32" s="775">
        <f>IF('Entries September''25'!C31=0,0,+'Entries September''25'!C31-'Entries September''25'!C30)</f>
        <v>0</v>
      </c>
      <c r="E32" s="775" t="str">
        <f>IF('Entries September''25'!G32-'Entries September''25'!G31&lt;1,"0",'Entries September''25'!G32-'Entries September''25'!G31)</f>
        <v>0</v>
      </c>
      <c r="F32" s="775"/>
      <c r="G32" s="775"/>
      <c r="H32" s="776">
        <f t="shared" si="0"/>
        <v>151.8918918918919</v>
      </c>
      <c r="I32" s="776" t="str">
        <f t="shared" si="1"/>
        <v>0</v>
      </c>
      <c r="J32" s="776" t="str">
        <f t="shared" si="2"/>
        <v>0</v>
      </c>
      <c r="K32" s="775">
        <f t="shared" si="3"/>
        <v>2810</v>
      </c>
      <c r="L32" s="377">
        <v>523.24800000000005</v>
      </c>
      <c r="M32" s="385">
        <f t="shared" si="4"/>
        <v>5.3703024187383415</v>
      </c>
      <c r="O32" s="344"/>
      <c r="P32" s="344"/>
    </row>
    <row r="33" spans="1:16" x14ac:dyDescent="0.2">
      <c r="A33" s="512">
        <v>27</v>
      </c>
      <c r="B33" s="513">
        <f>IF('Entries September''25'!B33-'Entries September''25'!B32&lt;1,"0",'Entries September''25'!B33-'Entries September''25'!B32)</f>
        <v>690</v>
      </c>
      <c r="C33" s="510">
        <f>IF('Entries September''25'!F33-'Entries September''25'!F32&lt;1,"0",'Entries September''25'!F33-'Entries September''25'!F32)</f>
        <v>4.6000000000003638</v>
      </c>
      <c r="D33" s="510">
        <f>IF('Entries September''25'!C32=0,0,+'Entries September''25'!C32-'Entries September''25'!C31)</f>
        <v>0</v>
      </c>
      <c r="E33" s="510" t="str">
        <f>IF('Entries September''25'!G33-'Entries September''25'!G32&lt;1,"0",'Entries September''25'!G33-'Entries September''25'!G32)</f>
        <v>0</v>
      </c>
      <c r="F33" s="510"/>
      <c r="G33" s="510"/>
      <c r="H33" s="511">
        <f t="shared" si="0"/>
        <v>149.99999999998815</v>
      </c>
      <c r="I33" s="511" t="str">
        <f t="shared" si="1"/>
        <v>0</v>
      </c>
      <c r="J33" s="511" t="str">
        <f t="shared" si="2"/>
        <v>0</v>
      </c>
      <c r="K33" s="510">
        <f t="shared" si="3"/>
        <v>690</v>
      </c>
      <c r="L33" s="377" t="str">
        <v>0</v>
      </c>
      <c r="M33" s="385" t="str">
        <f t="shared" si="4"/>
        <v>0</v>
      </c>
      <c r="O33" s="344"/>
      <c r="P33" s="344"/>
    </row>
    <row r="34" spans="1:16" x14ac:dyDescent="0.2">
      <c r="A34" s="512">
        <v>28</v>
      </c>
      <c r="B34" s="513">
        <f>IF('Entries September''25'!B34-'Entries September''25'!B33&lt;1,"0",'Entries September''25'!B34-'Entries September''25'!B33)</f>
        <v>740</v>
      </c>
      <c r="C34" s="510">
        <f>IF('Entries September''25'!F34-'Entries September''25'!F33&lt;1,"0",'Entries September''25'!F34-'Entries September''25'!F33)</f>
        <v>5.1000000000003638</v>
      </c>
      <c r="D34" s="510">
        <f>IF('Entries September''25'!C33=0,0,+'Entries September''25'!C33-'Entries September''25'!C32)</f>
        <v>0</v>
      </c>
      <c r="E34" s="510" t="str">
        <f>IF('Entries September''25'!G34-'Entries September''25'!G33&lt;1,"0",'Entries September''25'!G34-'Entries September''25'!G33)</f>
        <v>0</v>
      </c>
      <c r="F34" s="510"/>
      <c r="G34" s="510"/>
      <c r="H34" s="511">
        <f t="shared" si="0"/>
        <v>145.09803921567593</v>
      </c>
      <c r="I34" s="511" t="str">
        <f t="shared" si="1"/>
        <v>0</v>
      </c>
      <c r="J34" s="511" t="str">
        <f t="shared" si="2"/>
        <v>0</v>
      </c>
      <c r="K34" s="510">
        <f t="shared" si="3"/>
        <v>740</v>
      </c>
      <c r="L34" s="377" t="str">
        <v>0</v>
      </c>
      <c r="M34" s="385" t="str">
        <f t="shared" si="4"/>
        <v>0</v>
      </c>
      <c r="O34" s="344"/>
      <c r="P34" s="344"/>
    </row>
    <row r="35" spans="1:16" x14ac:dyDescent="0.2">
      <c r="A35" s="380">
        <v>29</v>
      </c>
      <c r="B35" s="384">
        <f>IF('Entries September''25'!B35-'Entries September''25'!B34&lt;1,"0",'Entries September''25'!B35-'Entries September''25'!B34)</f>
        <v>2490</v>
      </c>
      <c r="C35" s="329">
        <f>IF('Entries September''25'!F35-'Entries September''25'!F34&lt;1,"0",'Entries September''25'!F35-'Entries September''25'!F34)</f>
        <v>17.5</v>
      </c>
      <c r="D35" s="329"/>
      <c r="E35" s="329" t="str">
        <f>IF('Entries September''25'!G35-'Entries September''25'!G34&lt;1,"0",'Entries September''25'!G35-'Entries September''25'!G34)</f>
        <v>0</v>
      </c>
      <c r="F35" s="329"/>
      <c r="G35" s="329"/>
      <c r="H35" s="378">
        <f t="shared" si="0"/>
        <v>142.28571428571428</v>
      </c>
      <c r="I35" s="378" t="str">
        <f t="shared" si="1"/>
        <v>0</v>
      </c>
      <c r="J35" s="378" t="str">
        <f t="shared" si="2"/>
        <v>0</v>
      </c>
      <c r="K35" s="329">
        <f t="shared" si="3"/>
        <v>2490</v>
      </c>
      <c r="L35" s="377">
        <v>189.09</v>
      </c>
      <c r="M35" s="385">
        <f t="shared" si="4"/>
        <v>13.168332540060289</v>
      </c>
      <c r="O35" s="30"/>
    </row>
    <row r="36" spans="1:16" x14ac:dyDescent="0.2">
      <c r="A36" s="380">
        <v>30</v>
      </c>
      <c r="B36" s="384">
        <f>IF('Entries September''25'!B36-'Entries September''25'!B35&lt;1,"0",'Entries September''25'!B36-'Entries September''25'!B35)</f>
        <v>3180</v>
      </c>
      <c r="C36" s="329">
        <f>IF('Entries September''25'!F36-'Entries September''25'!F35&lt;1,"0",'Entries September''25'!F36-'Entries September''25'!F35)</f>
        <v>20.799999999999272</v>
      </c>
      <c r="D36" s="329"/>
      <c r="E36" s="329" t="str">
        <f>IF('Entries September''25'!G36-'Entries September''25'!G35&lt;1,"0",'Entries September''25'!G36-'Entries September''25'!G35)</f>
        <v>0</v>
      </c>
      <c r="F36" s="329"/>
      <c r="G36" s="329"/>
      <c r="H36" s="378">
        <f t="shared" si="0"/>
        <v>152.88461538462073</v>
      </c>
      <c r="I36" s="378" t="str">
        <f t="shared" si="1"/>
        <v>0</v>
      </c>
      <c r="J36" s="378" t="str">
        <f t="shared" si="2"/>
        <v>0</v>
      </c>
      <c r="K36" s="329">
        <f t="shared" si="3"/>
        <v>3180</v>
      </c>
      <c r="L36" s="377">
        <v>198.52800000000002</v>
      </c>
      <c r="M36" s="385">
        <f t="shared" si="4"/>
        <v>16.017891682785297</v>
      </c>
      <c r="O36" s="30"/>
    </row>
    <row r="37" spans="1:16" x14ac:dyDescent="0.2">
      <c r="A37" s="380">
        <v>1</v>
      </c>
      <c r="B37" s="384" t="str">
        <f>IF('Entries September''25'!B37-'Entries September''25'!B36&lt;1,"0",'Entries September''25'!B37-'Entries September''25'!B36)</f>
        <v>0</v>
      </c>
      <c r="C37" s="329" t="str">
        <f>IF('Entries September''25'!F37-'Entries September''25'!F36&lt;1,"0",'Entries September''25'!F37-'Entries September''25'!F36)</f>
        <v>0</v>
      </c>
      <c r="D37" s="329"/>
      <c r="E37" s="329" t="str">
        <f>IF('Entries September''25'!G37-'Entries September''25'!G36&lt;1,"0",'Entries September''25'!G37-'Entries September''25'!G36)</f>
        <v>0</v>
      </c>
      <c r="F37" s="329"/>
      <c r="G37" s="329"/>
      <c r="H37" s="378" t="str">
        <f t="shared" si="0"/>
        <v>0</v>
      </c>
      <c r="I37" s="378" t="str">
        <f t="shared" ref="I37" si="5">IF(E37=0,"0", D37/E37)</f>
        <v>0</v>
      </c>
      <c r="J37" s="378" t="str">
        <f t="shared" ref="J37" si="6">IF(G37=0,"0", F37/G37)</f>
        <v>0</v>
      </c>
      <c r="K37" s="329">
        <f t="shared" ref="K37" si="7">B37+D37+F37</f>
        <v>0</v>
      </c>
      <c r="L37" s="377" t="str">
        <v>0</v>
      </c>
      <c r="M37" s="385"/>
      <c r="O37" s="189"/>
    </row>
    <row r="38" spans="1:16" ht="18.75" thickBot="1" x14ac:dyDescent="0.3">
      <c r="A38" s="46" t="s">
        <v>86</v>
      </c>
      <c r="B38" s="430">
        <f>SUM(B7:B37)</f>
        <v>66430</v>
      </c>
      <c r="C38" s="431">
        <f>SUM(C7:C37)</f>
        <v>431.49999999999909</v>
      </c>
      <c r="D38" s="330">
        <f t="shared" ref="D38:E38" si="8">SUM(D7:D34)</f>
        <v>0</v>
      </c>
      <c r="E38" s="431">
        <f t="shared" si="8"/>
        <v>0</v>
      </c>
      <c r="F38" s="330"/>
      <c r="G38" s="386"/>
      <c r="H38" s="436">
        <f t="shared" si="0"/>
        <v>153.95133256083463</v>
      </c>
      <c r="I38" s="386"/>
      <c r="J38" s="386"/>
      <c r="K38" s="387">
        <f>SUM(K7:K37)</f>
        <v>66430</v>
      </c>
      <c r="L38" s="388">
        <f>SUM(L7:L37)</f>
        <v>7491.0012000000006</v>
      </c>
      <c r="M38" s="389">
        <f>IF(L38=0,"0",(K38/L38))</f>
        <v>8.8679734826367387</v>
      </c>
      <c r="N38" s="354">
        <v>7.2</v>
      </c>
      <c r="O38" s="355">
        <f>M38/N38*100</f>
        <v>123.1662983699547</v>
      </c>
    </row>
    <row r="39" spans="1:16" ht="16.5" thickBot="1" x14ac:dyDescent="0.3">
      <c r="A39" s="8" t="s">
        <v>263</v>
      </c>
      <c r="B39" s="434">
        <f>AVERAGE(B7:B37)</f>
        <v>2372.5</v>
      </c>
      <c r="C39" s="435">
        <f>AVERAGE(C7:C37)</f>
        <v>16.596153846153811</v>
      </c>
      <c r="D39" s="30"/>
      <c r="H39" s="394" t="s">
        <v>45</v>
      </c>
    </row>
    <row r="40" spans="1:16" x14ac:dyDescent="0.2">
      <c r="B40" s="8"/>
      <c r="C40" s="42"/>
      <c r="D40" s="30"/>
      <c r="J40" s="8" t="s">
        <v>58</v>
      </c>
    </row>
    <row r="41" spans="1:16" x14ac:dyDescent="0.2">
      <c r="B41" s="8"/>
      <c r="C41" s="42"/>
      <c r="D41" s="30"/>
    </row>
    <row r="42" spans="1:16" x14ac:dyDescent="0.2">
      <c r="B42" s="8"/>
      <c r="C42" s="42"/>
      <c r="D42" s="30"/>
    </row>
    <row r="43" spans="1:16" x14ac:dyDescent="0.2">
      <c r="B43" s="8"/>
      <c r="C43" s="42"/>
      <c r="D43" s="30"/>
    </row>
    <row r="44" spans="1:16" x14ac:dyDescent="0.2">
      <c r="B44" s="8"/>
      <c r="C44" s="42"/>
      <c r="D44" s="30"/>
    </row>
    <row r="45" spans="1:16" x14ac:dyDescent="0.2">
      <c r="B45" s="8"/>
      <c r="C45" s="42"/>
      <c r="D45" s="30"/>
    </row>
    <row r="46" spans="1:16" x14ac:dyDescent="0.2">
      <c r="B46" s="8"/>
      <c r="C46" s="42"/>
      <c r="D46" s="30"/>
    </row>
    <row r="47" spans="1:16" x14ac:dyDescent="0.2">
      <c r="B47" s="8"/>
      <c r="C47" s="42"/>
      <c r="D47" s="30"/>
    </row>
    <row r="48" spans="1:16" x14ac:dyDescent="0.2">
      <c r="B48" s="8"/>
      <c r="C48" s="42"/>
      <c r="D48" s="30"/>
    </row>
    <row r="49" spans="2:4" x14ac:dyDescent="0.2">
      <c r="B49" s="8"/>
      <c r="C49" s="42"/>
      <c r="D49" s="30"/>
    </row>
    <row r="50" spans="2:4" x14ac:dyDescent="0.2">
      <c r="B50" s="8"/>
      <c r="C50" s="42"/>
      <c r="D50" s="30"/>
    </row>
    <row r="51" spans="2:4" x14ac:dyDescent="0.2">
      <c r="B51" s="8"/>
      <c r="C51" s="42"/>
      <c r="D51" s="30"/>
    </row>
    <row r="52" spans="2:4" x14ac:dyDescent="0.2">
      <c r="B52" s="8"/>
      <c r="C52" s="42"/>
      <c r="D52" s="30"/>
    </row>
    <row r="53" spans="2:4" x14ac:dyDescent="0.2">
      <c r="B53" s="8"/>
      <c r="C53" s="42"/>
      <c r="D53" s="30"/>
    </row>
    <row r="54" spans="2:4" x14ac:dyDescent="0.2">
      <c r="B54" s="8"/>
      <c r="C54" s="42"/>
      <c r="D54" s="30"/>
    </row>
    <row r="55" spans="2:4" x14ac:dyDescent="0.2">
      <c r="B55" s="8"/>
      <c r="C55" s="42"/>
      <c r="D55" s="30"/>
    </row>
    <row r="56" spans="2:4" x14ac:dyDescent="0.2">
      <c r="B56" s="8"/>
      <c r="C56" s="42"/>
      <c r="D56" s="30"/>
    </row>
    <row r="57" spans="2:4" x14ac:dyDescent="0.2">
      <c r="B57" s="8"/>
      <c r="C57" s="42"/>
      <c r="D57" s="30"/>
    </row>
    <row r="58" spans="2:4" x14ac:dyDescent="0.2">
      <c r="B58" s="8"/>
      <c r="C58" s="42"/>
      <c r="D58" s="30"/>
    </row>
    <row r="59" spans="2:4" x14ac:dyDescent="0.2">
      <c r="B59" s="8"/>
      <c r="C59" s="42"/>
      <c r="D59" s="30"/>
    </row>
    <row r="60" spans="2:4" x14ac:dyDescent="0.2">
      <c r="B60" s="8"/>
      <c r="C60" s="42"/>
      <c r="D60" s="30"/>
    </row>
    <row r="61" spans="2:4" x14ac:dyDescent="0.2">
      <c r="B61" s="8"/>
      <c r="C61" s="42"/>
      <c r="D61" s="30"/>
    </row>
    <row r="62" spans="2:4" x14ac:dyDescent="0.2">
      <c r="B62" s="8"/>
      <c r="C62" s="42"/>
      <c r="D62" s="30"/>
    </row>
    <row r="63" spans="2:4" x14ac:dyDescent="0.2">
      <c r="B63" s="8"/>
      <c r="C63" s="42"/>
      <c r="D63" s="30"/>
    </row>
    <row r="64" spans="2:4" x14ac:dyDescent="0.2">
      <c r="B64" s="8"/>
      <c r="C64" s="42"/>
      <c r="D64" s="30"/>
    </row>
    <row r="65" spans="2:4" x14ac:dyDescent="0.2">
      <c r="B65" s="8"/>
      <c r="C65" s="42"/>
      <c r="D65" s="30"/>
    </row>
    <row r="66" spans="2:4" x14ac:dyDescent="0.2">
      <c r="B66" s="8"/>
      <c r="C66" s="42"/>
      <c r="D66" s="30"/>
    </row>
    <row r="67" spans="2:4" x14ac:dyDescent="0.2">
      <c r="B67" s="8"/>
      <c r="C67" s="42"/>
      <c r="D67" s="30"/>
    </row>
    <row r="68" spans="2:4" x14ac:dyDescent="0.2">
      <c r="B68" s="8"/>
      <c r="C68" s="42"/>
      <c r="D68" s="30"/>
    </row>
    <row r="69" spans="2:4" x14ac:dyDescent="0.2">
      <c r="B69" s="8"/>
      <c r="C69" s="42"/>
      <c r="D69" s="30"/>
    </row>
    <row r="70" spans="2:4" x14ac:dyDescent="0.2">
      <c r="B70" s="8"/>
      <c r="D70" s="30"/>
    </row>
    <row r="71" spans="2:4" x14ac:dyDescent="0.2">
      <c r="B71" s="8"/>
      <c r="D71" s="8"/>
    </row>
    <row r="72" spans="2:4" x14ac:dyDescent="0.2">
      <c r="B72" s="8"/>
      <c r="D72" s="8"/>
    </row>
    <row r="73" spans="2:4" x14ac:dyDescent="0.2">
      <c r="B73" s="8"/>
      <c r="D73" s="8"/>
    </row>
    <row r="74" spans="2:4" x14ac:dyDescent="0.2">
      <c r="B74" s="8"/>
      <c r="D74" s="8"/>
    </row>
    <row r="75" spans="2:4" x14ac:dyDescent="0.2">
      <c r="B75" s="8"/>
      <c r="D75" s="8"/>
    </row>
    <row r="76" spans="2:4" x14ac:dyDescent="0.2">
      <c r="B76" s="8"/>
      <c r="D76" s="8"/>
    </row>
    <row r="77" spans="2:4" x14ac:dyDescent="0.2">
      <c r="B77" s="8"/>
      <c r="D77" s="8"/>
    </row>
    <row r="78" spans="2:4" x14ac:dyDescent="0.2">
      <c r="B78" s="8"/>
      <c r="D78" s="8"/>
    </row>
    <row r="79" spans="2:4" x14ac:dyDescent="0.2">
      <c r="B79" s="8"/>
      <c r="D79" s="8"/>
    </row>
    <row r="80" spans="2:4" x14ac:dyDescent="0.2">
      <c r="B80" s="8"/>
      <c r="D80" s="8"/>
    </row>
    <row r="81" spans="2:4" x14ac:dyDescent="0.2">
      <c r="B81" s="8"/>
      <c r="D81" s="8"/>
    </row>
    <row r="82" spans="2:4" x14ac:dyDescent="0.2">
      <c r="B82" s="8"/>
      <c r="D82" s="8"/>
    </row>
    <row r="83" spans="2:4" x14ac:dyDescent="0.2">
      <c r="B83" s="8"/>
      <c r="D83" s="8"/>
    </row>
    <row r="84" spans="2:4" x14ac:dyDescent="0.2">
      <c r="B84" s="8"/>
      <c r="D84" s="8"/>
    </row>
    <row r="85" spans="2:4" x14ac:dyDescent="0.2">
      <c r="B85" s="8"/>
      <c r="D85" s="8"/>
    </row>
    <row r="86" spans="2:4" x14ac:dyDescent="0.2">
      <c r="B86" s="8"/>
      <c r="D86" s="8"/>
    </row>
    <row r="87" spans="2:4" x14ac:dyDescent="0.2">
      <c r="B87" s="8"/>
      <c r="D87" s="8"/>
    </row>
    <row r="88" spans="2:4" x14ac:dyDescent="0.2">
      <c r="B88" s="8"/>
      <c r="D88" s="8"/>
    </row>
    <row r="89" spans="2:4" x14ac:dyDescent="0.2">
      <c r="B89" s="8"/>
      <c r="D89" s="8"/>
    </row>
    <row r="90" spans="2:4" x14ac:dyDescent="0.2">
      <c r="B90" s="8"/>
      <c r="D90" s="8"/>
    </row>
    <row r="91" spans="2:4" x14ac:dyDescent="0.2">
      <c r="B91" s="8"/>
      <c r="D91" s="8"/>
    </row>
    <row r="92" spans="2:4" x14ac:dyDescent="0.2">
      <c r="B92" s="8"/>
      <c r="D92" s="8"/>
    </row>
    <row r="93" spans="2:4" x14ac:dyDescent="0.2">
      <c r="B93" s="8"/>
      <c r="D93" s="8"/>
    </row>
    <row r="94" spans="2:4" x14ac:dyDescent="0.2">
      <c r="B94" s="8"/>
      <c r="D94" s="8"/>
    </row>
    <row r="95" spans="2:4" x14ac:dyDescent="0.2">
      <c r="B95" s="8"/>
      <c r="D95" s="8"/>
    </row>
    <row r="96" spans="2:4" x14ac:dyDescent="0.2">
      <c r="B96" s="8"/>
      <c r="D96" s="8"/>
    </row>
    <row r="97" spans="2:4" x14ac:dyDescent="0.2">
      <c r="B97" s="8"/>
      <c r="D97" s="8"/>
    </row>
    <row r="98" spans="2:4" x14ac:dyDescent="0.2">
      <c r="B98" s="8"/>
      <c r="D98" s="8"/>
    </row>
    <row r="99" spans="2:4" x14ac:dyDescent="0.2">
      <c r="B99" s="8"/>
      <c r="D99" s="8"/>
    </row>
    <row r="100" spans="2:4" x14ac:dyDescent="0.2">
      <c r="B100" s="8"/>
      <c r="D100" s="8"/>
    </row>
    <row r="101" spans="2:4" x14ac:dyDescent="0.2">
      <c r="B101" s="8"/>
      <c r="D101" s="8"/>
    </row>
    <row r="102" spans="2:4" x14ac:dyDescent="0.2">
      <c r="B102" s="8"/>
      <c r="D102" s="8"/>
    </row>
    <row r="103" spans="2:4" x14ac:dyDescent="0.2">
      <c r="B103" s="8"/>
      <c r="D103" s="8"/>
    </row>
    <row r="104" spans="2:4" x14ac:dyDescent="0.2">
      <c r="B104" s="8"/>
      <c r="D104" s="8"/>
    </row>
    <row r="105" spans="2:4" x14ac:dyDescent="0.2">
      <c r="B105" s="8"/>
      <c r="D105" s="8"/>
    </row>
    <row r="106" spans="2:4" x14ac:dyDescent="0.2">
      <c r="B106" s="8"/>
      <c r="D106" s="8"/>
    </row>
    <row r="107" spans="2:4" x14ac:dyDescent="0.2">
      <c r="B107" s="8"/>
      <c r="D107" s="8"/>
    </row>
    <row r="108" spans="2:4" x14ac:dyDescent="0.2">
      <c r="B108" s="8"/>
      <c r="D108" s="8"/>
    </row>
    <row r="109" spans="2:4" x14ac:dyDescent="0.2">
      <c r="B109" s="8"/>
      <c r="D109" s="8"/>
    </row>
    <row r="110" spans="2:4" x14ac:dyDescent="0.2">
      <c r="B110" s="8"/>
      <c r="D110" s="8"/>
    </row>
    <row r="111" spans="2:4" x14ac:dyDescent="0.2">
      <c r="B111" s="8"/>
      <c r="D111" s="8"/>
    </row>
    <row r="112" spans="2:4" x14ac:dyDescent="0.2">
      <c r="B112" s="8"/>
      <c r="D112" s="8"/>
    </row>
    <row r="113" spans="2:4" x14ac:dyDescent="0.2">
      <c r="B113" s="8"/>
      <c r="D113" s="8"/>
    </row>
    <row r="114" spans="2:4" x14ac:dyDescent="0.2">
      <c r="B114" s="8"/>
      <c r="D114" s="8"/>
    </row>
    <row r="115" spans="2:4" x14ac:dyDescent="0.2">
      <c r="B115" s="8"/>
      <c r="D115" s="8"/>
    </row>
    <row r="116" spans="2:4" x14ac:dyDescent="0.2">
      <c r="B116" s="8"/>
      <c r="D116" s="8"/>
    </row>
    <row r="117" spans="2:4" x14ac:dyDescent="0.2">
      <c r="B117" s="8"/>
      <c r="D117" s="8"/>
    </row>
    <row r="118" spans="2:4" x14ac:dyDescent="0.2">
      <c r="B118" s="8"/>
      <c r="D118" s="8"/>
    </row>
    <row r="119" spans="2:4" x14ac:dyDescent="0.2">
      <c r="B119" s="8"/>
      <c r="D119" s="8"/>
    </row>
    <row r="120" spans="2:4" x14ac:dyDescent="0.2">
      <c r="B120" s="8"/>
      <c r="D120" s="8"/>
    </row>
    <row r="121" spans="2:4" x14ac:dyDescent="0.2">
      <c r="B121" s="8"/>
      <c r="D121" s="8"/>
    </row>
    <row r="122" spans="2:4" x14ac:dyDescent="0.2">
      <c r="B122" s="8"/>
      <c r="D122" s="8"/>
    </row>
    <row r="123" spans="2:4" x14ac:dyDescent="0.2">
      <c r="B123" s="8"/>
      <c r="D123" s="8"/>
    </row>
    <row r="124" spans="2:4" x14ac:dyDescent="0.2">
      <c r="B124" s="8"/>
      <c r="D124" s="8"/>
    </row>
    <row r="125" spans="2:4" x14ac:dyDescent="0.2">
      <c r="B125" s="8"/>
      <c r="D125" s="8"/>
    </row>
    <row r="126" spans="2:4" x14ac:dyDescent="0.2">
      <c r="B126" s="8"/>
      <c r="D126" s="8"/>
    </row>
    <row r="127" spans="2:4" x14ac:dyDescent="0.2">
      <c r="B127" s="8"/>
      <c r="D127" s="8"/>
    </row>
    <row r="128" spans="2:4" x14ac:dyDescent="0.2">
      <c r="B128" s="8"/>
      <c r="D128" s="8"/>
    </row>
    <row r="129" spans="2:4" x14ac:dyDescent="0.2">
      <c r="B129" s="8"/>
      <c r="D129" s="8"/>
    </row>
    <row r="130" spans="2:4" x14ac:dyDescent="0.2">
      <c r="B130" s="8"/>
      <c r="D130" s="8"/>
    </row>
    <row r="131" spans="2:4" x14ac:dyDescent="0.2">
      <c r="B131" s="8"/>
      <c r="D131" s="8"/>
    </row>
    <row r="132" spans="2:4" x14ac:dyDescent="0.2">
      <c r="B132" s="8"/>
      <c r="D132" s="8"/>
    </row>
    <row r="133" spans="2:4" x14ac:dyDescent="0.2">
      <c r="B133" s="8"/>
      <c r="D133" s="8"/>
    </row>
    <row r="134" spans="2:4" x14ac:dyDescent="0.2">
      <c r="B134" s="8"/>
      <c r="D134" s="8"/>
    </row>
    <row r="135" spans="2:4" x14ac:dyDescent="0.2">
      <c r="B135" s="8"/>
      <c r="D135" s="8"/>
    </row>
    <row r="136" spans="2:4" x14ac:dyDescent="0.2">
      <c r="B136" s="8"/>
      <c r="D136" s="8"/>
    </row>
    <row r="137" spans="2:4" x14ac:dyDescent="0.2">
      <c r="B137" s="8"/>
      <c r="D137" s="8"/>
    </row>
    <row r="138" spans="2:4" x14ac:dyDescent="0.2">
      <c r="B138" s="8"/>
      <c r="D138" s="8"/>
    </row>
    <row r="139" spans="2:4" x14ac:dyDescent="0.2">
      <c r="B139" s="8"/>
      <c r="D139" s="8"/>
    </row>
    <row r="140" spans="2:4" x14ac:dyDescent="0.2">
      <c r="B140" s="8"/>
      <c r="D140" s="8"/>
    </row>
    <row r="141" spans="2:4" x14ac:dyDescent="0.2">
      <c r="B141" s="8"/>
      <c r="D141" s="8"/>
    </row>
    <row r="142" spans="2:4" x14ac:dyDescent="0.2">
      <c r="B142" s="8"/>
      <c r="D142" s="8"/>
    </row>
    <row r="143" spans="2:4" x14ac:dyDescent="0.2">
      <c r="B143" s="8"/>
      <c r="D143" s="8"/>
    </row>
    <row r="144" spans="2:4" x14ac:dyDescent="0.2">
      <c r="B144" s="8"/>
      <c r="D144" s="8"/>
    </row>
    <row r="145" spans="2:4" x14ac:dyDescent="0.2">
      <c r="B145" s="8"/>
      <c r="D145" s="8"/>
    </row>
    <row r="146" spans="2:4" x14ac:dyDescent="0.2">
      <c r="B146" s="8"/>
      <c r="D146" s="8"/>
    </row>
    <row r="147" spans="2:4" x14ac:dyDescent="0.2">
      <c r="B147" s="8"/>
      <c r="D147" s="8"/>
    </row>
    <row r="148" spans="2:4" x14ac:dyDescent="0.2">
      <c r="B148" s="8"/>
      <c r="D148" s="8"/>
    </row>
    <row r="149" spans="2:4" x14ac:dyDescent="0.2">
      <c r="B149" s="8"/>
      <c r="D149" s="8"/>
    </row>
    <row r="150" spans="2:4" x14ac:dyDescent="0.2">
      <c r="B150" s="8"/>
      <c r="D150" s="8"/>
    </row>
    <row r="151" spans="2:4" x14ac:dyDescent="0.2">
      <c r="B151" s="8"/>
      <c r="D151" s="8"/>
    </row>
    <row r="152" spans="2:4" x14ac:dyDescent="0.2">
      <c r="B152" s="8"/>
      <c r="D152" s="8"/>
    </row>
  </sheetData>
  <mergeCells count="4">
    <mergeCell ref="A1:M1"/>
    <mergeCell ref="L4:L5"/>
    <mergeCell ref="M4:M5"/>
    <mergeCell ref="A4:A5"/>
  </mergeCells>
  <phoneticPr fontId="0" type="noConversion"/>
  <conditionalFormatting sqref="C6:C37">
    <cfRule type="cellIs" dxfId="50" priority="1" operator="greaterThan">
      <formula>24</formula>
    </cfRule>
  </conditionalFormatting>
  <conditionalFormatting sqref="M7:M37">
    <cfRule type="cellIs" dxfId="49" priority="3" operator="greaterThan">
      <formula>7.2</formula>
    </cfRule>
    <cfRule type="cellIs" dxfId="48" priority="4" operator="greaterThan">
      <formula>7.2</formula>
    </cfRule>
    <cfRule type="cellIs" dxfId="47" priority="5" operator="between">
      <formula>0</formula>
      <formula>7.2</formula>
    </cfRule>
    <cfRule type="cellIs" dxfId="46" priority="7" operator="lessThan">
      <formula>7.2</formula>
    </cfRule>
  </conditionalFormatting>
  <conditionalFormatting sqref="M7:M38">
    <cfRule type="cellIs" dxfId="45" priority="2" operator="greaterThan">
      <formula>7.2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6">
    <tabColor indexed="12"/>
  </sheetPr>
  <dimension ref="A1:AJ105"/>
  <sheetViews>
    <sheetView showGridLines="0" showZeros="0" defaultGridColor="0" colorId="22" zoomScale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37" sqref="B37"/>
    </sheetView>
  </sheetViews>
  <sheetFormatPr defaultColWidth="12.5703125" defaultRowHeight="15" x14ac:dyDescent="0.2"/>
  <cols>
    <col min="1" max="1" width="14.5703125" style="8" customWidth="1"/>
    <col min="2" max="2" width="12.5703125" style="8"/>
    <col min="3" max="3" width="16.7109375" style="8" customWidth="1"/>
    <col min="4" max="6" width="16.42578125" style="8" customWidth="1"/>
    <col min="7" max="10" width="18.7109375" style="8" customWidth="1"/>
    <col min="11" max="11" width="19.7109375" style="8" customWidth="1"/>
    <col min="12" max="16" width="18.7109375" style="8" customWidth="1"/>
    <col min="17" max="17" width="19.42578125" style="8" customWidth="1"/>
    <col min="18" max="18" width="14.5703125" style="8" customWidth="1"/>
    <col min="19" max="24" width="20.28515625" style="8" customWidth="1"/>
    <col min="25" max="25" width="17.7109375" style="8" customWidth="1"/>
    <col min="26" max="26" width="17.7109375" style="189" customWidth="1"/>
    <col min="27" max="29" width="12.5703125" style="8"/>
    <col min="30" max="30" width="12.42578125" style="8" customWidth="1"/>
    <col min="31" max="16384" width="12.5703125" style="8"/>
  </cols>
  <sheetData>
    <row r="1" spans="1:31" ht="15.75" x14ac:dyDescent="0.25">
      <c r="A1" s="916"/>
      <c r="B1" s="917"/>
      <c r="C1" s="917"/>
      <c r="D1" s="917"/>
      <c r="E1" s="917"/>
      <c r="F1" s="917"/>
      <c r="G1" s="917"/>
      <c r="H1" s="917"/>
      <c r="I1" s="917"/>
      <c r="J1" s="917"/>
      <c r="K1" s="917"/>
      <c r="L1" s="917"/>
      <c r="M1" s="917"/>
      <c r="N1" s="917"/>
      <c r="O1" s="917"/>
      <c r="P1" s="917"/>
      <c r="Q1" s="917"/>
      <c r="R1" s="917"/>
      <c r="S1" s="917"/>
      <c r="T1" s="917"/>
      <c r="U1" s="917"/>
      <c r="V1" s="917"/>
      <c r="W1" s="917"/>
      <c r="X1" s="917"/>
      <c r="Y1" s="917"/>
      <c r="Z1" s="917"/>
      <c r="AA1" s="917"/>
    </row>
    <row r="2" spans="1:31" x14ac:dyDescent="0.2">
      <c r="C2" s="17"/>
    </row>
    <row r="3" spans="1:31" ht="4.5" customHeight="1" thickBot="1" x14ac:dyDescent="0.25"/>
    <row r="4" spans="1:31" ht="15.75" customHeight="1" x14ac:dyDescent="0.2">
      <c r="B4" s="928" t="s">
        <v>7</v>
      </c>
      <c r="C4" s="926" t="s">
        <v>109</v>
      </c>
      <c r="D4" s="924" t="s">
        <v>110</v>
      </c>
      <c r="E4" s="926" t="s">
        <v>111</v>
      </c>
      <c r="F4" s="924" t="s">
        <v>243</v>
      </c>
      <c r="G4" s="924" t="s">
        <v>112</v>
      </c>
      <c r="H4" s="924" t="s">
        <v>165</v>
      </c>
      <c r="I4" s="926" t="s">
        <v>211</v>
      </c>
      <c r="J4" s="926" t="s">
        <v>113</v>
      </c>
      <c r="K4" s="926" t="s">
        <v>178</v>
      </c>
      <c r="L4" s="926" t="s">
        <v>177</v>
      </c>
      <c r="M4" s="926" t="s">
        <v>107</v>
      </c>
      <c r="N4" s="48"/>
      <c r="O4" s="48"/>
      <c r="P4" s="48"/>
      <c r="Q4" s="48"/>
      <c r="R4" s="924" t="s">
        <v>114</v>
      </c>
      <c r="S4" s="924" t="s">
        <v>244</v>
      </c>
      <c r="T4" s="48"/>
      <c r="U4" s="926" t="s">
        <v>157</v>
      </c>
      <c r="V4" s="48"/>
      <c r="W4" s="48"/>
      <c r="X4" s="926" t="s">
        <v>179</v>
      </c>
      <c r="Y4" s="926" t="s">
        <v>180</v>
      </c>
      <c r="Z4" s="933" t="s">
        <v>251</v>
      </c>
      <c r="AA4" s="935" t="s">
        <v>247</v>
      </c>
      <c r="AB4" s="931" t="s">
        <v>80</v>
      </c>
    </row>
    <row r="5" spans="1:31" s="304" customFormat="1" ht="47.25" customHeight="1" x14ac:dyDescent="0.2">
      <c r="B5" s="929"/>
      <c r="C5" s="927"/>
      <c r="D5" s="925"/>
      <c r="E5" s="930"/>
      <c r="F5" s="925"/>
      <c r="G5" s="925"/>
      <c r="H5" s="925"/>
      <c r="I5" s="930"/>
      <c r="J5" s="930"/>
      <c r="K5" s="930"/>
      <c r="L5" s="930"/>
      <c r="M5" s="930"/>
      <c r="N5" s="50" t="s">
        <v>115</v>
      </c>
      <c r="O5" s="50" t="s">
        <v>116</v>
      </c>
      <c r="P5" s="50" t="s">
        <v>246</v>
      </c>
      <c r="Q5" s="50" t="s">
        <v>117</v>
      </c>
      <c r="R5" s="925"/>
      <c r="S5" s="925"/>
      <c r="T5" s="49" t="s">
        <v>103</v>
      </c>
      <c r="U5" s="937"/>
      <c r="V5" s="80" t="s">
        <v>160</v>
      </c>
      <c r="W5" s="80" t="s">
        <v>161</v>
      </c>
      <c r="X5" s="930"/>
      <c r="Y5" s="930"/>
      <c r="Z5" s="934"/>
      <c r="AA5" s="936"/>
      <c r="AB5" s="932"/>
    </row>
    <row r="6" spans="1:31" x14ac:dyDescent="0.2">
      <c r="B6" s="21" t="s">
        <v>37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31"/>
      <c r="P6" s="31"/>
      <c r="Q6" s="31"/>
      <c r="R6" s="31"/>
      <c r="S6" s="18"/>
      <c r="T6" s="18"/>
      <c r="U6" s="31"/>
      <c r="V6" s="79"/>
      <c r="W6" s="31"/>
      <c r="X6" s="31"/>
      <c r="Y6" s="31"/>
      <c r="Z6" s="337"/>
      <c r="AA6" s="338"/>
      <c r="AB6" s="339"/>
    </row>
    <row r="7" spans="1:31" x14ac:dyDescent="0.2">
      <c r="B7" s="51">
        <v>1</v>
      </c>
      <c r="C7" s="52" t="str">
        <f>IF('Entries September''25'!W7-'Entries September''25'!W6&lt;1,"0",'Entries September''25'!W7-'Entries September''25'!W6)</f>
        <v>0</v>
      </c>
      <c r="D7" s="31">
        <f>IF('Entries September''25'!O7-'Entries September''25'!O6&lt;1,"0",'Entries September''25'!O7-'Entries September''25'!O6)</f>
        <v>446</v>
      </c>
      <c r="E7" s="31">
        <f>IF('Entries September''25'!P7-'Entries September''25'!P6&lt;1,"0",'Entries September''25'!P7-'Entries September''25'!P6)</f>
        <v>244</v>
      </c>
      <c r="F7" s="31">
        <f>IF('Entries September''25'!V7-'Entries September''25'!V6&lt;1,"0",'Entries September''25'!V7-'Entries September''25'!V6)</f>
        <v>226</v>
      </c>
      <c r="G7" s="31">
        <f>(D7+E7)-F7</f>
        <v>464</v>
      </c>
      <c r="H7" s="31">
        <f>IF('Entries September''25'!Q7-'Entries September''25'!Q6&lt;1,0,'Entries September''25'!Q7-'Entries September''25'!Q6)</f>
        <v>252</v>
      </c>
      <c r="I7" s="31">
        <f>IF('Entries September''25'!AG7-'Entries September''25'!AG6&lt;1,0,'Entries September''25'!AG7-'Entries September''25'!AG6)</f>
        <v>0</v>
      </c>
      <c r="J7" s="31">
        <f>IF('Entries September''25'!S7-'Entries September''25'!S6&lt;1,"0",'Entries September''25'!S7-'Entries September''25'!S6)</f>
        <v>166</v>
      </c>
      <c r="K7" s="31" t="str">
        <f>IF('Entries September''25'!R7-'Entries September''25'!R6&lt;1,"0",'Entries September''25'!R7-'Entries September''25'!R6)</f>
        <v>0</v>
      </c>
      <c r="L7" s="31" t="str">
        <f>IF('Entries September''25'!T7-'Entries September''25'!T6&lt;1,"0",'Entries September''25'!T7-'Entries September''25'!T6)</f>
        <v>0</v>
      </c>
      <c r="M7" s="31">
        <f>IF('Entries September''25'!U7-'Entries September''25'!U6&lt;1,"0",'Entries September''25'!U7-'Entries September''25'!U6)</f>
        <v>6</v>
      </c>
      <c r="N7" s="31">
        <f>IF('Entries September''25'!X7-'Entries September''25'!X6&lt;1,"0",'Entries September''25'!X7-'Entries September''25'!X6)</f>
        <v>86</v>
      </c>
      <c r="O7" s="31">
        <f>IF('Entries September''25'!Y7-'Entries September''25'!Y6&lt;1,"0",'Entries September''25'!Y7-'Entries September''25'!Y6)</f>
        <v>78</v>
      </c>
      <c r="P7" s="31">
        <f>IF('Entries September''25'!AC7-'Entries September''25'!AC6&lt;1,"0",'Entries September''25'!AC7-'Entries September''25'!AC6)</f>
        <v>26</v>
      </c>
      <c r="Q7" s="31">
        <f>IF('Entries September''25'!Z7-'Entries September''25'!Z6&lt;1,"0",'Entries September''25'!Z7-'Entries September''25'!Z6)</f>
        <v>11</v>
      </c>
      <c r="R7" s="31" t="str">
        <f>IF(('Entries September''25'!AA7-'Entries September''25'!AA6)+('Entries September''25'!AB7-'Entries September''25'!AB6)&lt;1,"0",('Entries September''25'!AA7-'Entries September''25'!AA6)+('Entries September''25'!AB7-'Entries September''25'!AB6))</f>
        <v>0</v>
      </c>
      <c r="S7" s="52">
        <f>(R7+G7)*10</f>
        <v>4640</v>
      </c>
      <c r="T7" s="52">
        <f>O7+N7+M7+L7</f>
        <v>170</v>
      </c>
      <c r="U7" s="31">
        <f>IF('Entries September''25'!AC7-'Entries September''25'!AC6&lt;1,"0",'Entries September''25'!AC7-'Entries September''25'!AC6)</f>
        <v>26</v>
      </c>
      <c r="V7" s="31" t="str">
        <f>IF('Entries September''25'!AD7-'Entries September''25'!AD6&lt;1,"0",'Entries September''25'!AD7-'Entries September''25'!AD6)</f>
        <v>0</v>
      </c>
      <c r="W7" s="31" t="str">
        <f>IF('Entries September''25'!AE7-'Entries September''25'!AE6&lt;1,"0",'Entries September''25'!AE7-'Entries September''25'!AE6)</f>
        <v>0</v>
      </c>
      <c r="X7" s="79" t="str">
        <f>IF('Entries September''25'!AI7-'Entries September''25'!AI6&lt;1,"0",'Entries September''25'!AI7-'Entries September''25'!AI6)</f>
        <v>0</v>
      </c>
      <c r="Y7" s="79" t="str">
        <f>IF('Entries September''25'!AH7-'Entries September''25'!AH6&lt;1,"0",'Entries September''25'!AH7-'Entries September''25'!AH6)</f>
        <v>0</v>
      </c>
      <c r="Z7" s="340">
        <f>C7+D7+E7</f>
        <v>690</v>
      </c>
      <c r="AA7" s="341" cm="1">
        <f t="array" ref="AA7:AA37">IF(TRANSPOSE('Daily KPIs'!B9:AF9)=0,"0",TRANSPOSE('Daily KPIs'!B9:AF9))</f>
        <v>390.85200000000003</v>
      </c>
      <c r="AB7" s="342">
        <f>IF(AA7=0,"0",(Z7*10/AA7))</f>
        <v>17.653741057996374</v>
      </c>
    </row>
    <row r="8" spans="1:31" x14ac:dyDescent="0.2">
      <c r="B8" s="51">
        <v>2</v>
      </c>
      <c r="C8" s="52" t="str">
        <f>IF('Entries September''25'!W8-'Entries September''25'!W7&lt;1,"0",'Entries September''25'!W8-'Entries September''25'!W7)</f>
        <v>0</v>
      </c>
      <c r="D8" s="31">
        <f>IF('Entries September''25'!O8-'Entries September''25'!O7&lt;1,"0",'Entries September''25'!O8-'Entries September''25'!O7)</f>
        <v>96</v>
      </c>
      <c r="E8" s="31">
        <f>IF('Entries September''25'!P8-'Entries September''25'!P7&lt;1,"0",'Entries September''25'!P8-'Entries September''25'!P7)</f>
        <v>137</v>
      </c>
      <c r="F8" s="31">
        <f>IF('Entries September''25'!V8-'Entries September''25'!V7&lt;1,"0",'Entries September''25'!V8-'Entries September''25'!V7)</f>
        <v>143</v>
      </c>
      <c r="G8" s="31">
        <f t="shared" ref="G8:G37" si="0">(D8+E8)-F8</f>
        <v>90</v>
      </c>
      <c r="H8" s="31">
        <f>IF('Entries September''25'!Q8-'Entries September''25'!Q7&lt;1,0,'Entries September''25'!Q8-'Entries September''25'!Q7)</f>
        <v>242</v>
      </c>
      <c r="I8" s="31">
        <f>IF('Entries September''25'!AG8-'Entries September''25'!AG7&lt;1,0,'Entries September''25'!AG8-'Entries September''25'!AG7)</f>
        <v>0</v>
      </c>
      <c r="J8" s="31">
        <f>IF('Entries September''25'!S8-'Entries September''25'!S7&lt;1,"0",'Entries September''25'!S8-'Entries September''25'!S7)</f>
        <v>208</v>
      </c>
      <c r="K8" s="31" t="str">
        <f>IF('Entries September''25'!R8-'Entries September''25'!R7&lt;1,"0",'Entries September''25'!R8-'Entries September''25'!R7)</f>
        <v>0</v>
      </c>
      <c r="L8" s="31" t="str">
        <f>IF('Entries September''25'!T8-'Entries September''25'!T7&lt;1,"0",'Entries September''25'!T8-'Entries September''25'!T7)</f>
        <v>0</v>
      </c>
      <c r="M8" s="31">
        <f>IF('Entries September''25'!U8-'Entries September''25'!U7&lt;1,"0",'Entries September''25'!U8-'Entries September''25'!U7)</f>
        <v>9</v>
      </c>
      <c r="N8" s="31">
        <f>IF('Entries September''25'!X8-'Entries September''25'!X7&lt;1,"0",'Entries September''25'!X8-'Entries September''25'!X7)</f>
        <v>72</v>
      </c>
      <c r="O8" s="31">
        <f>IF('Entries September''25'!Y8-'Entries September''25'!Y7&lt;1,"0",'Entries September''25'!Y8-'Entries September''25'!Y7)</f>
        <v>70</v>
      </c>
      <c r="P8" s="31">
        <f>IF('Entries September''25'!AC8-'Entries September''25'!AC7&lt;1,"0",'Entries September''25'!AC8-'Entries September''25'!AC7)</f>
        <v>18</v>
      </c>
      <c r="Q8" s="31">
        <f>IF('Entries September''25'!Z8-'Entries September''25'!Z7&lt;1,"0",'Entries September''25'!Z8-'Entries September''25'!Z7)</f>
        <v>23</v>
      </c>
      <c r="R8" s="31" t="str">
        <f>IF(('Entries September''25'!AA8-'Entries September''25'!AA7)+('Entries September''25'!AB8-'Entries September''25'!AB7)&lt;1,"0",('Entries September''25'!AA8-'Entries September''25'!AA7)+('Entries September''25'!AB8-'Entries September''25'!AB7))</f>
        <v>0</v>
      </c>
      <c r="S8" s="52">
        <f t="shared" ref="S8:S37" si="1">(R8+G8)*10</f>
        <v>900</v>
      </c>
      <c r="T8" s="52">
        <f t="shared" ref="T8:T36" si="2">O8+N8+M8+L8</f>
        <v>151</v>
      </c>
      <c r="U8" s="31">
        <f>IF('Entries September''25'!AC8-'Entries September''25'!AC7&lt;1,"0",'Entries September''25'!AC8-'Entries September''25'!AC7)</f>
        <v>18</v>
      </c>
      <c r="V8" s="31" t="str">
        <f>IF('Entries September''25'!AD8-'Entries September''25'!AD7&lt;1,"0",'Entries September''25'!AD8-'Entries September''25'!AD7)</f>
        <v>0</v>
      </c>
      <c r="W8" s="31" t="str">
        <f>IF('Entries September''25'!AE8-'Entries September''25'!AE7&lt;1,"0",'Entries September''25'!AE8-'Entries September''25'!AE7)</f>
        <v>0</v>
      </c>
      <c r="X8" s="79" t="str">
        <f>IF('Entries September''25'!AI8-'Entries September''25'!AI7&lt;1,"0",'Entries September''25'!AI8-'Entries September''25'!AI7)</f>
        <v>0</v>
      </c>
      <c r="Y8" s="79" t="str">
        <f>IF('Entries September''25'!AH8-'Entries September''25'!AH7&lt;1,"0",'Entries September''25'!AH8-'Entries September''25'!AH7)</f>
        <v>0</v>
      </c>
      <c r="Z8" s="340">
        <f t="shared" ref="Z8:Z37" si="3">C8+D8+E8</f>
        <v>233</v>
      </c>
      <c r="AA8" s="341">
        <v>311.38800000000003</v>
      </c>
      <c r="AB8" s="342">
        <f t="shared" ref="AB8:AB36" si="4">IF(AA8=0,"0",(Z8*10/AA8))</f>
        <v>7.4826261769881937</v>
      </c>
    </row>
    <row r="9" spans="1:31" x14ac:dyDescent="0.2">
      <c r="B9" s="51">
        <v>3</v>
      </c>
      <c r="C9" s="52" t="str">
        <f>IF('Entries September''25'!W9-'Entries September''25'!W8&lt;1,"0",'Entries September''25'!W9-'Entries September''25'!W8)</f>
        <v>0</v>
      </c>
      <c r="D9" s="31">
        <f>IF('Entries September''25'!O9-'Entries September''25'!O8&lt;1,"0",'Entries September''25'!O9-'Entries September''25'!O8)</f>
        <v>207</v>
      </c>
      <c r="E9" s="31">
        <f>IF('Entries September''25'!P9-'Entries September''25'!P8&lt;1,"0",'Entries September''25'!P9-'Entries September''25'!P8)</f>
        <v>175</v>
      </c>
      <c r="F9" s="31">
        <f>IF('Entries September''25'!V9-'Entries September''25'!V8&lt;1,"0",'Entries September''25'!V9-'Entries September''25'!V8)</f>
        <v>5</v>
      </c>
      <c r="G9" s="31">
        <f t="shared" si="0"/>
        <v>377</v>
      </c>
      <c r="H9" s="31">
        <f>IF('Entries September''25'!Q9-'Entries September''25'!Q8&lt;1,0,'Entries September''25'!Q9-'Entries September''25'!Q8)</f>
        <v>170</v>
      </c>
      <c r="I9" s="31">
        <f>IF('Entries September''25'!AG9-'Entries September''25'!AG8&lt;1,0,'Entries September''25'!AG9-'Entries September''25'!AG8)</f>
        <v>0</v>
      </c>
      <c r="J9" s="31">
        <f>IF('Entries September''25'!S9-'Entries September''25'!S8&lt;1,"0",'Entries September''25'!S9-'Entries September''25'!S8)</f>
        <v>165</v>
      </c>
      <c r="K9" s="31" t="str">
        <f>IF('Entries September''25'!R9-'Entries September''25'!R8&lt;1,"0",'Entries September''25'!R9-'Entries September''25'!R8)</f>
        <v>0</v>
      </c>
      <c r="L9" s="31" t="str">
        <f>IF('Entries September''25'!T9-'Entries September''25'!T8&lt;1,"0",'Entries September''25'!T9-'Entries September''25'!T8)</f>
        <v>0</v>
      </c>
      <c r="M9" s="31">
        <f>IF('Entries September''25'!U9-'Entries September''25'!U8&lt;1,"0",'Entries September''25'!U9-'Entries September''25'!U8)</f>
        <v>8</v>
      </c>
      <c r="N9" s="31">
        <f>IF('Entries September''25'!X9-'Entries September''25'!X8&lt;1,"0",'Entries September''25'!X9-'Entries September''25'!X8)</f>
        <v>22</v>
      </c>
      <c r="O9" s="31">
        <f>IF('Entries September''25'!Y9-'Entries September''25'!Y8&lt;1,"0",'Entries September''25'!Y9-'Entries September''25'!Y8)</f>
        <v>68</v>
      </c>
      <c r="P9" s="31">
        <f>IF('Entries September''25'!AC9-'Entries September''25'!AC8&lt;1,"0",'Entries September''25'!AC9-'Entries September''25'!AC8)</f>
        <v>20</v>
      </c>
      <c r="Q9" s="31">
        <f>IF('Entries September''25'!Z9-'Entries September''25'!Z8&lt;1,"0",'Entries September''25'!Z9-'Entries September''25'!Z8)</f>
        <v>15</v>
      </c>
      <c r="R9" s="31" t="str">
        <f>IF(('Entries September''25'!AA9-'Entries September''25'!AA8)+('Entries September''25'!AB9-'Entries September''25'!AB8)&lt;1,"0",('Entries September''25'!AA9-'Entries September''25'!AA8)+('Entries September''25'!AB9-'Entries September''25'!AB8))</f>
        <v>0</v>
      </c>
      <c r="S9" s="52">
        <f t="shared" si="1"/>
        <v>3770</v>
      </c>
      <c r="T9" s="52">
        <f t="shared" si="2"/>
        <v>98</v>
      </c>
      <c r="U9" s="31">
        <f>IF('Entries September''25'!AC9-'Entries September''25'!AC8&lt;1,"0",'Entries September''25'!AC9-'Entries September''25'!AC8)</f>
        <v>20</v>
      </c>
      <c r="V9" s="31" t="str">
        <f>IF('Entries September''25'!AD9-'Entries September''25'!AD8&lt;1,"0",'Entries September''25'!AD9-'Entries September''25'!AD8)</f>
        <v>0</v>
      </c>
      <c r="W9" s="31" t="str">
        <f>IF('Entries September''25'!AE9-'Entries September''25'!AE8&lt;1,"0",'Entries September''25'!AE9-'Entries September''25'!AE8)</f>
        <v>0</v>
      </c>
      <c r="X9" s="79" t="str">
        <f>IF('Entries September''25'!AI9-'Entries September''25'!AI8&lt;1,"0",'Entries September''25'!AI9-'Entries September''25'!AI8)</f>
        <v>0</v>
      </c>
      <c r="Y9" s="79" t="str">
        <f>IF('Entries September''25'!AH9-'Entries September''25'!AH8&lt;1,"0",'Entries September''25'!AH9-'Entries September''25'!AH8)</f>
        <v>0</v>
      </c>
      <c r="Z9" s="340">
        <f t="shared" si="3"/>
        <v>382</v>
      </c>
      <c r="AA9" s="341">
        <v>297.858</v>
      </c>
      <c r="AB9" s="342">
        <f t="shared" si="4"/>
        <v>12.824903141765539</v>
      </c>
    </row>
    <row r="10" spans="1:31" x14ac:dyDescent="0.2">
      <c r="B10" s="51">
        <v>4</v>
      </c>
      <c r="C10" s="52" t="str">
        <f>IF('Entries September''25'!W10-'Entries September''25'!W9&lt;1,"0",'Entries September''25'!W10-'Entries September''25'!W9)</f>
        <v>0</v>
      </c>
      <c r="D10" s="31">
        <f>IF('Entries September''25'!O10-'Entries September''25'!O9&lt;1,"0",'Entries September''25'!O10-'Entries September''25'!O9)</f>
        <v>71</v>
      </c>
      <c r="E10" s="31">
        <f>IF('Entries September''25'!P10-'Entries September''25'!P9&lt;1,"0",'Entries September''25'!P10-'Entries September''25'!P9)</f>
        <v>290</v>
      </c>
      <c r="F10" s="31">
        <f>IF('Entries September''25'!V10-'Entries September''25'!V9&lt;1,"0",'Entries September''25'!V10-'Entries September''25'!V9)</f>
        <v>479</v>
      </c>
      <c r="G10" s="31">
        <f t="shared" si="0"/>
        <v>-118</v>
      </c>
      <c r="H10" s="31">
        <f>IF('Entries September''25'!Q10-'Entries September''25'!Q9&lt;1,0,'Entries September''25'!Q10-'Entries September''25'!Q9)</f>
        <v>223</v>
      </c>
      <c r="I10" s="31">
        <f>IF('Entries September''25'!AG10-'Entries September''25'!AG9&lt;1,0,'Entries September''25'!AG10-'Entries September''25'!AG9)</f>
        <v>0</v>
      </c>
      <c r="J10" s="31">
        <f>IF('Entries September''25'!S10-'Entries September''25'!S9&lt;1,"0",'Entries September''25'!S10-'Entries September''25'!S9)</f>
        <v>180</v>
      </c>
      <c r="K10" s="31" t="str">
        <f>IF('Entries September''25'!R10-'Entries September''25'!R9&lt;1,"0",'Entries September''25'!R10-'Entries September''25'!R9)</f>
        <v>0</v>
      </c>
      <c r="L10" s="31" t="str">
        <f>IF('Entries September''25'!T10-'Entries September''25'!T9&lt;1,"0",'Entries September''25'!T10-'Entries September''25'!T9)</f>
        <v>0</v>
      </c>
      <c r="M10" s="31">
        <f>IF('Entries September''25'!U10-'Entries September''25'!U9&lt;1,"0",'Entries September''25'!U10-'Entries September''25'!U9)</f>
        <v>8</v>
      </c>
      <c r="N10" s="31">
        <f>IF('Entries September''25'!X10-'Entries September''25'!X9&lt;1,"0",'Entries September''25'!X10-'Entries September''25'!X9)</f>
        <v>68</v>
      </c>
      <c r="O10" s="31">
        <f>IF('Entries September''25'!Y10-'Entries September''25'!Y9&lt;1,"0",'Entries September''25'!Y10-'Entries September''25'!Y9)</f>
        <v>75</v>
      </c>
      <c r="P10" s="31">
        <f>IF('Entries September''25'!AC10-'Entries September''25'!AC9&lt;1,"0",'Entries September''25'!AC10-'Entries September''25'!AC9)</f>
        <v>19</v>
      </c>
      <c r="Q10" s="31">
        <f>IF('Entries September''25'!Z10-'Entries September''25'!Z9&lt;1,"0",'Entries September''25'!Z10-'Entries September''25'!Z9)</f>
        <v>19</v>
      </c>
      <c r="R10" s="31" t="str">
        <f>IF(('Entries September''25'!AA10-'Entries September''25'!AA9)+('Entries September''25'!AB10-'Entries September''25'!AB9)&lt;1,"0",('Entries September''25'!AA10-'Entries September''25'!AA9)+('Entries September''25'!AB10-'Entries September''25'!AB9))</f>
        <v>0</v>
      </c>
      <c r="S10" s="52">
        <f t="shared" si="1"/>
        <v>-1180</v>
      </c>
      <c r="T10" s="52">
        <f t="shared" si="2"/>
        <v>151</v>
      </c>
      <c r="U10" s="31">
        <f>IF('Entries September''25'!AC10-'Entries September''25'!AC9&lt;1,"0",'Entries September''25'!AC10-'Entries September''25'!AC9)</f>
        <v>19</v>
      </c>
      <c r="V10" s="31" t="str">
        <f>IF('Entries September''25'!AD10-'Entries September''25'!AD9&lt;1,"0",'Entries September''25'!AD10-'Entries September''25'!AD9)</f>
        <v>0</v>
      </c>
      <c r="W10" s="31" t="str">
        <f>IF('Entries September''25'!AE10-'Entries September''25'!AE9&lt;1,"0",'Entries September''25'!AE10-'Entries September''25'!AE9)</f>
        <v>0</v>
      </c>
      <c r="X10" s="79" t="str">
        <f>IF('Entries September''25'!AI10-'Entries September''25'!AI9&lt;1,"0",'Entries September''25'!AI10-'Entries September''25'!AI9)</f>
        <v>0</v>
      </c>
      <c r="Y10" s="79" t="str">
        <f>IF('Entries September''25'!AH10-'Entries September''25'!AH9&lt;1,"0",'Entries September''25'!AH10-'Entries September''25'!AH9)</f>
        <v>0</v>
      </c>
      <c r="Z10" s="340">
        <f t="shared" si="3"/>
        <v>361</v>
      </c>
      <c r="AA10" s="341">
        <v>392.10599999999999</v>
      </c>
      <c r="AB10" s="342">
        <f t="shared" si="4"/>
        <v>9.2066941082258378</v>
      </c>
      <c r="AD10" s="8" t="s">
        <v>58</v>
      </c>
    </row>
    <row r="11" spans="1:31" x14ac:dyDescent="0.2">
      <c r="B11" s="522">
        <v>5</v>
      </c>
      <c r="C11" s="341" t="str">
        <f>IF('Entries September''25'!W11-'Entries September''25'!W10&lt;1,"0",'Entries September''25'!W11-'Entries September''25'!W10)</f>
        <v>0</v>
      </c>
      <c r="D11" s="523">
        <f>IF('Entries September''25'!O11-'Entries September''25'!O10&lt;1,"0",'Entries September''25'!O11-'Entries September''25'!O10)</f>
        <v>82</v>
      </c>
      <c r="E11" s="523">
        <f>IF('Entries September''25'!P11-'Entries September''25'!P10&lt;1,"0",'Entries September''25'!P11-'Entries September''25'!P10)</f>
        <v>254</v>
      </c>
      <c r="F11" s="523">
        <f>IF('Entries September''25'!V11-'Entries September''25'!V10&lt;1,"0",'Entries September''25'!V11-'Entries September''25'!V10)</f>
        <v>272</v>
      </c>
      <c r="G11" s="523">
        <f t="shared" si="0"/>
        <v>64</v>
      </c>
      <c r="H11" s="523">
        <f>IF('Entries September''25'!Q11-'Entries September''25'!Q10&lt;1,0,'Entries September''25'!Q11-'Entries September''25'!Q10)</f>
        <v>178</v>
      </c>
      <c r="I11" s="523">
        <f>IF('Entries September''25'!AG11-'Entries September''25'!AG10&lt;1,0,'Entries September''25'!AG11-'Entries September''25'!AG10)</f>
        <v>0</v>
      </c>
      <c r="J11" s="523">
        <f>IF('Entries September''25'!S11-'Entries September''25'!S10&lt;1,"0",'Entries September''25'!S11-'Entries September''25'!S10)</f>
        <v>207</v>
      </c>
      <c r="K11" s="523" t="str">
        <f>IF('Entries September''25'!R11-'Entries September''25'!R10&lt;1,"0",'Entries September''25'!R11-'Entries September''25'!R10)</f>
        <v>0</v>
      </c>
      <c r="L11" s="523" t="str">
        <f>IF('Entries September''25'!T11-'Entries September''25'!T10&lt;1,"0",'Entries September''25'!T11-'Entries September''25'!T10)</f>
        <v>0</v>
      </c>
      <c r="M11" s="523">
        <f>IF('Entries September''25'!U11-'Entries September''25'!U10&lt;1,"0",'Entries September''25'!U11-'Entries September''25'!U10)</f>
        <v>5</v>
      </c>
      <c r="N11" s="523">
        <f>IF('Entries September''25'!X11-'Entries September''25'!X10&lt;1,"0",'Entries September''25'!X11-'Entries September''25'!X10)</f>
        <v>52</v>
      </c>
      <c r="O11" s="523">
        <f>IF('Entries September''25'!Y11-'Entries September''25'!Y10&lt;1,"0",'Entries September''25'!Y11-'Entries September''25'!Y10)</f>
        <v>59</v>
      </c>
      <c r="P11" s="523">
        <f>IF('Entries September''25'!AC11-'Entries September''25'!AC10&lt;1,"0",'Entries September''25'!AC11-'Entries September''25'!AC10)</f>
        <v>15</v>
      </c>
      <c r="Q11" s="523">
        <f>IF('Entries September''25'!Z11-'Entries September''25'!Z10&lt;1,"0",'Entries September''25'!Z11-'Entries September''25'!Z10)</f>
        <v>15</v>
      </c>
      <c r="R11" s="523" t="str">
        <f>IF(('Entries September''25'!AA11-'Entries September''25'!AA10)+('Entries September''25'!AB11-'Entries September''25'!AB10)&lt;1,"0",('Entries September''25'!AA11-'Entries September''25'!AA10)+('Entries September''25'!AB11-'Entries September''25'!AB10))</f>
        <v>0</v>
      </c>
      <c r="S11" s="341">
        <f t="shared" si="1"/>
        <v>640</v>
      </c>
      <c r="T11" s="341">
        <f t="shared" si="2"/>
        <v>116</v>
      </c>
      <c r="U11" s="523">
        <f>IF('Entries September''25'!AC11-'Entries September''25'!AC10&lt;1,"0",'Entries September''25'!AC11-'Entries September''25'!AC10)</f>
        <v>15</v>
      </c>
      <c r="V11" s="523">
        <f>IF('Entries September''25'!AD11-'Entries September''25'!AD10&lt;1,"0",'Entries September''25'!AD11-'Entries September''25'!AD10)</f>
        <v>33</v>
      </c>
      <c r="W11" s="523" t="str">
        <f>IF('Entries September''25'!AE11-'Entries September''25'!AE10&lt;1,"0",'Entries September''25'!AE11-'Entries September''25'!AE10)</f>
        <v>0</v>
      </c>
      <c r="X11" s="524" t="str">
        <f>IF('Entries September''25'!AI11-'Entries September''25'!AI10&lt;1,"0",'Entries September''25'!AI11-'Entries September''25'!AI10)</f>
        <v>0</v>
      </c>
      <c r="Y11" s="524" t="str">
        <f>IF('Entries September''25'!AH11-'Entries September''25'!AH10&lt;1,"0",'Entries September''25'!AH11-'Entries September''25'!AH10)</f>
        <v>0</v>
      </c>
      <c r="Z11" s="340">
        <f t="shared" si="3"/>
        <v>336</v>
      </c>
      <c r="AA11" s="341">
        <v>274.49400000000003</v>
      </c>
      <c r="AB11" s="342">
        <f t="shared" si="4"/>
        <v>12.240704714857154</v>
      </c>
    </row>
    <row r="12" spans="1:31" x14ac:dyDescent="0.2">
      <c r="A12" s="29"/>
      <c r="B12" s="522">
        <v>6</v>
      </c>
      <c r="C12" s="341" t="str">
        <f>IF('Entries September''25'!W12-'Entries September''25'!W11&lt;1,"0",'Entries September''25'!W12-'Entries September''25'!W11)</f>
        <v>0</v>
      </c>
      <c r="D12" s="523" t="str">
        <f>IF('Entries September''25'!O12-'Entries September''25'!O11&lt;1,"0",'Entries September''25'!O12-'Entries September''25'!O11)</f>
        <v>0</v>
      </c>
      <c r="E12" s="523">
        <f>IF('Entries September''25'!P12-'Entries September''25'!P11&lt;1,"0",'Entries September''25'!P12-'Entries September''25'!P11)</f>
        <v>89</v>
      </c>
      <c r="F12" s="523">
        <f>IF('Entries September''25'!V12-'Entries September''25'!V11&lt;1,"0",'Entries September''25'!V12-'Entries September''25'!V11)</f>
        <v>93</v>
      </c>
      <c r="G12" s="523">
        <f t="shared" si="0"/>
        <v>-4</v>
      </c>
      <c r="H12" s="523">
        <f>IF('Entries September''25'!Q12-'Entries September''25'!Q11&lt;1,0,'Entries September''25'!Q12-'Entries September''25'!Q11)</f>
        <v>83</v>
      </c>
      <c r="I12" s="523">
        <f>IF('Entries September''25'!AG12-'Entries September''25'!AG11&lt;1,0,'Entries September''25'!AG12-'Entries September''25'!AG11)</f>
        <v>0</v>
      </c>
      <c r="J12" s="523" t="str">
        <f>IF('Entries September''25'!S12-'Entries September''25'!S11&lt;1,"0",'Entries September''25'!S12-'Entries September''25'!S11)</f>
        <v>0</v>
      </c>
      <c r="K12" s="523" t="str">
        <f>IF('Entries September''25'!R12-'Entries September''25'!R11&lt;1,"0",'Entries September''25'!R12-'Entries September''25'!R11)</f>
        <v>0</v>
      </c>
      <c r="L12" s="523" t="str">
        <f>IF('Entries September''25'!T12-'Entries September''25'!T11&lt;1,"0",'Entries September''25'!T12-'Entries September''25'!T11)</f>
        <v>0</v>
      </c>
      <c r="M12" s="523" t="str">
        <f>IF('Entries September''25'!U12-'Entries September''25'!U11&lt;1,"0",'Entries September''25'!U12-'Entries September''25'!U11)</f>
        <v>0</v>
      </c>
      <c r="N12" s="523" t="str">
        <f>IF('Entries September''25'!X12-'Entries September''25'!X11&lt;1,"0",'Entries September''25'!X12-'Entries September''25'!X11)</f>
        <v>0</v>
      </c>
      <c r="O12" s="523">
        <f>IF('Entries September''25'!Y12-'Entries September''25'!Y11&lt;1,"0",'Entries September''25'!Y12-'Entries September''25'!Y11)</f>
        <v>40</v>
      </c>
      <c r="P12" s="523" t="str">
        <f>IF('Entries September''25'!AC12-'Entries September''25'!AC11&lt;1,"0",'Entries September''25'!AC12-'Entries September''25'!AC11)</f>
        <v>0</v>
      </c>
      <c r="Q12" s="523">
        <f>IF('Entries September''25'!Z12-'Entries September''25'!Z11&lt;1,"0",'Entries September''25'!Z12-'Entries September''25'!Z11)</f>
        <v>1</v>
      </c>
      <c r="R12" s="523" t="str">
        <f>IF(('Entries September''25'!AA12-'Entries September''25'!AA11)+('Entries September''25'!AB12-'Entries September''25'!AB11)&lt;1,"0",('Entries September''25'!AA12-'Entries September''25'!AA11)+('Entries September''25'!AB12-'Entries September''25'!AB11))</f>
        <v>0</v>
      </c>
      <c r="S12" s="341">
        <f t="shared" si="1"/>
        <v>-40</v>
      </c>
      <c r="T12" s="341">
        <f t="shared" si="2"/>
        <v>40</v>
      </c>
      <c r="U12" s="523" t="str">
        <f>IF('Entries September''25'!AC12-'Entries September''25'!AC11&lt;1,"0",'Entries September''25'!AC12-'Entries September''25'!AC11)</f>
        <v>0</v>
      </c>
      <c r="V12" s="523" t="str">
        <f>IF('Entries September''25'!AD12-'Entries September''25'!AD11&lt;1,"0",'Entries September''25'!AD12-'Entries September''25'!AD11)</f>
        <v>0</v>
      </c>
      <c r="W12" s="523" t="str">
        <f>IF('Entries September''25'!AE12-'Entries September''25'!AE11&lt;1,"0",'Entries September''25'!AE12-'Entries September''25'!AE11)</f>
        <v>0</v>
      </c>
      <c r="X12" s="524" t="str">
        <f>IF('Entries September''25'!AI12-'Entries September''25'!AI11&lt;1,"0",'Entries September''25'!AI12-'Entries September''25'!AI11)</f>
        <v>0</v>
      </c>
      <c r="Y12" s="524" t="str">
        <f>IF('Entries September''25'!AH12-'Entries September''25'!AH11&lt;1,"0",'Entries September''25'!AH12-'Entries September''25'!AH11)</f>
        <v>0</v>
      </c>
      <c r="Z12" s="340">
        <f t="shared" si="3"/>
        <v>89</v>
      </c>
      <c r="AA12" s="341" t="str">
        <v>0</v>
      </c>
      <c r="AB12" s="342" t="str">
        <f t="shared" si="4"/>
        <v>0</v>
      </c>
      <c r="AE12" s="8" t="s">
        <v>58</v>
      </c>
    </row>
    <row r="13" spans="1:31" x14ac:dyDescent="0.2">
      <c r="A13" s="29"/>
      <c r="B13" s="51">
        <v>7</v>
      </c>
      <c r="C13" s="52" t="str">
        <f>IF('Entries September''25'!W13-'Entries September''25'!W12&lt;1,"0",'Entries September''25'!W13-'Entries September''25'!W12)</f>
        <v>0</v>
      </c>
      <c r="D13" s="31" t="str">
        <f>IF('Entries September''25'!O13-'Entries September''25'!O12&lt;1,"0",'Entries September''25'!O13-'Entries September''25'!O12)</f>
        <v>0</v>
      </c>
      <c r="E13" s="31" t="str">
        <f>IF('Entries September''25'!P13-'Entries September''25'!P12&lt;1,"0",'Entries September''25'!P13-'Entries September''25'!P12)</f>
        <v>0</v>
      </c>
      <c r="F13" s="31" t="str">
        <f>IF('Entries September''25'!V13-'Entries September''25'!V12&lt;1,"0",'Entries September''25'!V13-'Entries September''25'!V12)</f>
        <v>0</v>
      </c>
      <c r="G13" s="31">
        <f t="shared" si="0"/>
        <v>0</v>
      </c>
      <c r="H13" s="31">
        <f>IF('Entries September''25'!Q13-'Entries September''25'!Q12&lt;1,0,'Entries September''25'!Q13-'Entries September''25'!Q12)</f>
        <v>0</v>
      </c>
      <c r="I13" s="31">
        <f>IF('Entries September''25'!AG13-'Entries September''25'!AG12&lt;1,0,'Entries September''25'!AG13-'Entries September''25'!AG12)</f>
        <v>0</v>
      </c>
      <c r="J13" s="31" t="str">
        <f>IF('Entries September''25'!S13-'Entries September''25'!S12&lt;1,"0",'Entries September''25'!S13-'Entries September''25'!S12)</f>
        <v>0</v>
      </c>
      <c r="K13" s="31" t="str">
        <f>IF('Entries September''25'!R13-'Entries September''25'!R12&lt;1,"0",'Entries September''25'!R13-'Entries September''25'!R12)</f>
        <v>0</v>
      </c>
      <c r="L13" s="31" t="str">
        <f>IF('Entries September''25'!T13-'Entries September''25'!T12&lt;1,"0",'Entries September''25'!T13-'Entries September''25'!T12)</f>
        <v>0</v>
      </c>
      <c r="M13" s="31" t="str">
        <f>IF('Entries September''25'!U13-'Entries September''25'!U12&lt;1,"0",'Entries September''25'!U13-'Entries September''25'!U12)</f>
        <v>0</v>
      </c>
      <c r="N13" s="31" t="str">
        <f>IF('Entries September''25'!X13-'Entries September''25'!X12&lt;1,"0",'Entries September''25'!X13-'Entries September''25'!X12)</f>
        <v>0</v>
      </c>
      <c r="O13" s="31" t="str">
        <f>IF('Entries September''25'!Y13-'Entries September''25'!Y12&lt;1,"0",'Entries September''25'!Y13-'Entries September''25'!Y12)</f>
        <v>0</v>
      </c>
      <c r="P13" s="31" t="str">
        <f>IF('Entries September''25'!AC13-'Entries September''25'!AC12&lt;1,"0",'Entries September''25'!AC13-'Entries September''25'!AC12)</f>
        <v>0</v>
      </c>
      <c r="Q13" s="31">
        <f>IF('Entries September''25'!Z13-'Entries September''25'!Z12&lt;1,"0",'Entries September''25'!Z13-'Entries September''25'!Z12)</f>
        <v>2</v>
      </c>
      <c r="R13" s="31" t="str">
        <f>IF(('Entries September''25'!AA13-'Entries September''25'!AA12)+('Entries September''25'!AB13-'Entries September''25'!AB12)&lt;1,"0",('Entries September''25'!AA13-'Entries September''25'!AA12)+('Entries September''25'!AB13-'Entries September''25'!AB12))</f>
        <v>0</v>
      </c>
      <c r="S13" s="52">
        <f t="shared" si="1"/>
        <v>0</v>
      </c>
      <c r="T13" s="52">
        <f t="shared" si="2"/>
        <v>0</v>
      </c>
      <c r="U13" s="31" t="str">
        <f>IF('Entries September''25'!AC13-'Entries September''25'!AC12&lt;1,"0",'Entries September''25'!AC13-'Entries September''25'!AC12)</f>
        <v>0</v>
      </c>
      <c r="V13" s="31" t="str">
        <f>IF('Entries September''25'!AD13-'Entries September''25'!AD12&lt;1,"0",'Entries September''25'!AD13-'Entries September''25'!AD12)</f>
        <v>0</v>
      </c>
      <c r="W13" s="31" t="str">
        <f>IF('Entries September''25'!AE13-'Entries September''25'!AE12&lt;1,"0",'Entries September''25'!AE13-'Entries September''25'!AE12)</f>
        <v>0</v>
      </c>
      <c r="X13" s="79" t="str">
        <f>IF('Entries September''25'!AI13-'Entries September''25'!AI12&lt;1,"0",'Entries September''25'!AI13-'Entries September''25'!AI12)</f>
        <v>0</v>
      </c>
      <c r="Y13" s="79" t="str">
        <f>IF('Entries September''25'!AH13-'Entries September''25'!AH12&lt;1,"0",'Entries September''25'!AH13-'Entries September''25'!AH12)</f>
        <v>0</v>
      </c>
      <c r="Z13" s="340">
        <f t="shared" si="3"/>
        <v>0</v>
      </c>
      <c r="AA13" s="341" t="str">
        <v>0</v>
      </c>
      <c r="AB13" s="342" t="str">
        <f t="shared" si="4"/>
        <v>0</v>
      </c>
    </row>
    <row r="14" spans="1:31" x14ac:dyDescent="0.2">
      <c r="B14" s="51">
        <v>8</v>
      </c>
      <c r="C14" s="52" t="str">
        <f>IF('Entries September''25'!W14-'Entries September''25'!W13&lt;1,"0",'Entries September''25'!W14-'Entries September''25'!W13)</f>
        <v>0</v>
      </c>
      <c r="D14" s="31">
        <f>IF('Entries September''25'!O14-'Entries September''25'!O13&lt;1,"0",'Entries September''25'!O14-'Entries September''25'!O13)</f>
        <v>182</v>
      </c>
      <c r="E14" s="31">
        <f>IF('Entries September''25'!P14-'Entries September''25'!P13&lt;1,"0",'Entries September''25'!P14-'Entries September''25'!P13)</f>
        <v>145</v>
      </c>
      <c r="F14" s="31">
        <f>IF('Entries September''25'!V14-'Entries September''25'!V13&lt;1,"0",'Entries September''25'!V14-'Entries September''25'!V13)</f>
        <v>152</v>
      </c>
      <c r="G14" s="31">
        <f t="shared" si="0"/>
        <v>175</v>
      </c>
      <c r="H14" s="31">
        <f>IF('Entries September''25'!Q14-'Entries September''25'!Q13&lt;1,0,'Entries September''25'!Q14-'Entries September''25'!Q13)</f>
        <v>166</v>
      </c>
      <c r="I14" s="31">
        <f>IF('Entries September''25'!AG14-'Entries September''25'!AG13&lt;1,0,'Entries September''25'!AG14-'Entries September''25'!AG13)</f>
        <v>0</v>
      </c>
      <c r="J14" s="31">
        <f>IF('Entries September''25'!S14-'Entries September''25'!S13&lt;1,"0",'Entries September''25'!S14-'Entries September''25'!S13)</f>
        <v>191</v>
      </c>
      <c r="K14" s="31" t="str">
        <f>IF('Entries September''25'!R14-'Entries September''25'!R13&lt;1,"0",'Entries September''25'!R14-'Entries September''25'!R13)</f>
        <v>0</v>
      </c>
      <c r="L14" s="31" t="str">
        <f>IF('Entries September''25'!T14-'Entries September''25'!T13&lt;1,"0",'Entries September''25'!T14-'Entries September''25'!T13)</f>
        <v>0</v>
      </c>
      <c r="M14" s="31">
        <f>IF('Entries September''25'!U14-'Entries September''25'!U13&lt;1,"0",'Entries September''25'!U14-'Entries September''25'!U13)</f>
        <v>15</v>
      </c>
      <c r="N14" s="31">
        <f>IF('Entries September''25'!X14-'Entries September''25'!X13&lt;1,"0",'Entries September''25'!X14-'Entries September''25'!X13)</f>
        <v>12</v>
      </c>
      <c r="O14" s="31">
        <f>IF('Entries September''25'!Y14-'Entries September''25'!Y13&lt;1,"0",'Entries September''25'!Y14-'Entries September''25'!Y13)</f>
        <v>64</v>
      </c>
      <c r="P14" s="31">
        <f>IF('Entries September''25'!AC14-'Entries September''25'!AC13&lt;1,"0",'Entries September''25'!AC14-'Entries September''25'!AC13)</f>
        <v>15</v>
      </c>
      <c r="Q14" s="31">
        <f>IF('Entries September''25'!Z14-'Entries September''25'!Z13&lt;1,"0",'Entries September''25'!Z14-'Entries September''25'!Z13)</f>
        <v>18</v>
      </c>
      <c r="R14" s="31" t="str">
        <f>IF(('Entries September''25'!AA14-'Entries September''25'!AA13)+('Entries September''25'!AB14-'Entries September''25'!AB13)&lt;1,"0",('Entries September''25'!AA14-'Entries September''25'!AA13)+('Entries September''25'!AB14-'Entries September''25'!AB13))</f>
        <v>0</v>
      </c>
      <c r="S14" s="52">
        <f t="shared" si="1"/>
        <v>1750</v>
      </c>
      <c r="T14" s="52">
        <f t="shared" si="2"/>
        <v>91</v>
      </c>
      <c r="U14" s="31">
        <f>IF('Entries September''25'!AC14-'Entries September''25'!AC13&lt;1,"0",'Entries September''25'!AC14-'Entries September''25'!AC13)</f>
        <v>15</v>
      </c>
      <c r="V14" s="31" t="str">
        <f>IF('Entries September''25'!AD14-'Entries September''25'!AD13&lt;1,"0",'Entries September''25'!AD14-'Entries September''25'!AD13)</f>
        <v>0</v>
      </c>
      <c r="W14" s="31" t="str">
        <f>IF('Entries September''25'!AE14-'Entries September''25'!AE13&lt;1,"0",'Entries September''25'!AE14-'Entries September''25'!AE13)</f>
        <v>0</v>
      </c>
      <c r="X14" s="79" t="str">
        <f>IF('Entries September''25'!AI14-'Entries September''25'!AI13&lt;1,"0",'Entries September''25'!AI14-'Entries September''25'!AI13)</f>
        <v>0</v>
      </c>
      <c r="Y14" s="79" t="str">
        <f>IF('Entries September''25'!AH14-'Entries September''25'!AH13&lt;1,"0",'Entries September''25'!AH14-'Entries September''25'!AH13)</f>
        <v>0</v>
      </c>
      <c r="Z14" s="340">
        <f t="shared" si="3"/>
        <v>327</v>
      </c>
      <c r="AA14" s="341">
        <v>306.37200000000001</v>
      </c>
      <c r="AB14" s="342">
        <f t="shared" si="4"/>
        <v>10.673299126552035</v>
      </c>
    </row>
    <row r="15" spans="1:31" x14ac:dyDescent="0.2">
      <c r="B15" s="51">
        <v>9</v>
      </c>
      <c r="C15" s="52" t="str">
        <f>IF('Entries September''25'!W15-'Entries September''25'!W14&lt;1,"0",'Entries September''25'!W15-'Entries September''25'!W14)</f>
        <v>0</v>
      </c>
      <c r="D15" s="31">
        <f>IF('Entries September''25'!O15-'Entries September''25'!O14&lt;1,"0",'Entries September''25'!O15-'Entries September''25'!O14)</f>
        <v>333</v>
      </c>
      <c r="E15" s="31">
        <f>IF('Entries September''25'!P15-'Entries September''25'!P14&lt;1,"0",'Entries September''25'!P15-'Entries September''25'!P14)</f>
        <v>52</v>
      </c>
      <c r="F15" s="31">
        <f>IF('Entries September''25'!V15-'Entries September''25'!V14&lt;1,"0",'Entries September''25'!V15-'Entries September''25'!V14)</f>
        <v>54</v>
      </c>
      <c r="G15" s="31">
        <f t="shared" si="0"/>
        <v>331</v>
      </c>
      <c r="H15" s="31">
        <f>IF('Entries September''25'!Q15-'Entries September''25'!Q14&lt;1,0,'Entries September''25'!Q15-'Entries September''25'!Q14)</f>
        <v>206</v>
      </c>
      <c r="I15" s="31">
        <f>IF('Entries September''25'!AG15-'Entries September''25'!AG14&lt;1,0,'Entries September''25'!AG15-'Entries September''25'!AG14)</f>
        <v>0</v>
      </c>
      <c r="J15" s="31">
        <f>IF('Entries September''25'!S15-'Entries September''25'!S14&lt;1,"0",'Entries September''25'!S15-'Entries September''25'!S14)</f>
        <v>211</v>
      </c>
      <c r="K15" s="31" t="str">
        <f>IF('Entries September''25'!R15-'Entries September''25'!R14&lt;1,"0",'Entries September''25'!R15-'Entries September''25'!R14)</f>
        <v>0</v>
      </c>
      <c r="L15" s="31" t="str">
        <f>IF('Entries September''25'!T15-'Entries September''25'!T14&lt;1,"0",'Entries September''25'!T15-'Entries September''25'!T14)</f>
        <v>0</v>
      </c>
      <c r="M15" s="31">
        <f>IF('Entries September''25'!U15-'Entries September''25'!U14&lt;1,"0",'Entries September''25'!U15-'Entries September''25'!U14)</f>
        <v>10</v>
      </c>
      <c r="N15" s="31">
        <f>IF('Entries September''25'!X15-'Entries September''25'!X14&lt;1,"0",'Entries September''25'!X15-'Entries September''25'!X14)</f>
        <v>30</v>
      </c>
      <c r="O15" s="31">
        <f>IF('Entries September''25'!Y15-'Entries September''25'!Y14&lt;1,"0",'Entries September''25'!Y15-'Entries September''25'!Y14)</f>
        <v>75</v>
      </c>
      <c r="P15" s="31">
        <f>IF('Entries September''25'!AC15-'Entries September''25'!AC14&lt;1,"0",'Entries September''25'!AC15-'Entries September''25'!AC14)</f>
        <v>19</v>
      </c>
      <c r="Q15" s="31">
        <f>IF('Entries September''25'!Z15-'Entries September''25'!Z14&lt;1,"0",'Entries September''25'!Z15-'Entries September''25'!Z14)</f>
        <v>14</v>
      </c>
      <c r="R15" s="31" t="str">
        <f>IF(('Entries September''25'!AA15-'Entries September''25'!AA14)+('Entries September''25'!AB15-'Entries September''25'!AB14)&lt;1,"0",('Entries September''25'!AA15-'Entries September''25'!AA14)+('Entries September''25'!AB15-'Entries September''25'!AB14))</f>
        <v>0</v>
      </c>
      <c r="S15" s="52">
        <f t="shared" si="1"/>
        <v>3310</v>
      </c>
      <c r="T15" s="52">
        <f t="shared" si="2"/>
        <v>115</v>
      </c>
      <c r="U15" s="31">
        <f>IF('Entries September''25'!AC15-'Entries September''25'!AC14&lt;1,"0",'Entries September''25'!AC15-'Entries September''25'!AC14)</f>
        <v>19</v>
      </c>
      <c r="V15" s="31" t="str">
        <f>IF('Entries September''25'!AD15-'Entries September''25'!AD14&lt;1,"0",'Entries September''25'!AD15-'Entries September''25'!AD14)</f>
        <v>0</v>
      </c>
      <c r="W15" s="31" t="str">
        <f>IF('Entries September''25'!AE15-'Entries September''25'!AE14&lt;1,"0",'Entries September''25'!AE15-'Entries September''25'!AE14)</f>
        <v>0</v>
      </c>
      <c r="X15" s="79" t="str">
        <f>IF('Entries September''25'!AI15-'Entries September''25'!AI14&lt;1,"0",'Entries September''25'!AI15-'Entries September''25'!AI14)</f>
        <v>0</v>
      </c>
      <c r="Y15" s="79" t="str">
        <f>IF('Entries September''25'!AH15-'Entries September''25'!AH14&lt;1,"0",'Entries September''25'!AH15-'Entries September''25'!AH14)</f>
        <v>0</v>
      </c>
      <c r="Z15" s="340">
        <f t="shared" si="3"/>
        <v>385</v>
      </c>
      <c r="AA15" s="341">
        <v>360.096</v>
      </c>
      <c r="AB15" s="342">
        <f t="shared" si="4"/>
        <v>10.691593352883675</v>
      </c>
    </row>
    <row r="16" spans="1:31" x14ac:dyDescent="0.2">
      <c r="B16" s="51">
        <v>10</v>
      </c>
      <c r="C16" s="52" t="str">
        <f>IF('Entries September''25'!W16-'Entries September''25'!W15&lt;1,"0",'Entries September''25'!W16-'Entries September''25'!W15)</f>
        <v>0</v>
      </c>
      <c r="D16" s="31">
        <f>IF('Entries September''25'!O16-'Entries September''25'!O15&lt;1,"0",'Entries September''25'!O16-'Entries September''25'!O15)</f>
        <v>183</v>
      </c>
      <c r="E16" s="31">
        <f>IF('Entries September''25'!P16-'Entries September''25'!P15&lt;1,"0",'Entries September''25'!P16-'Entries September''25'!P15)</f>
        <v>109</v>
      </c>
      <c r="F16" s="31">
        <f>IF('Entries September''25'!V16-'Entries September''25'!V15&lt;1,"0",'Entries September''25'!V16-'Entries September''25'!V15)</f>
        <v>115</v>
      </c>
      <c r="G16" s="31">
        <f t="shared" si="0"/>
        <v>177</v>
      </c>
      <c r="H16" s="31">
        <f>IF('Entries September''25'!Q16-'Entries September''25'!Q15&lt;1,0,'Entries September''25'!Q16-'Entries September''25'!Q15)</f>
        <v>204</v>
      </c>
      <c r="I16" s="31">
        <f>IF('Entries September''25'!AG16-'Entries September''25'!AG15&lt;1,0,'Entries September''25'!AG16-'Entries September''25'!AG15)</f>
        <v>0</v>
      </c>
      <c r="J16" s="31">
        <f>IF('Entries September''25'!S16-'Entries September''25'!S15&lt;1,"0",'Entries September''25'!S16-'Entries September''25'!S15)</f>
        <v>189</v>
      </c>
      <c r="K16" s="31" t="str">
        <f>IF('Entries September''25'!R16-'Entries September''25'!R15&lt;1,"0",'Entries September''25'!R16-'Entries September''25'!R15)</f>
        <v>0</v>
      </c>
      <c r="L16" s="31" t="str">
        <f>IF('Entries September''25'!T16-'Entries September''25'!T15&lt;1,"0",'Entries September''25'!T16-'Entries September''25'!T15)</f>
        <v>0</v>
      </c>
      <c r="M16" s="31">
        <f>IF('Entries September''25'!U16-'Entries September''25'!U15&lt;1,"0",'Entries September''25'!U16-'Entries September''25'!U15)</f>
        <v>9</v>
      </c>
      <c r="N16" s="31">
        <f>IF('Entries September''25'!X16-'Entries September''25'!X15&lt;1,"0",'Entries September''25'!X16-'Entries September''25'!X15)</f>
        <v>49</v>
      </c>
      <c r="O16" s="31">
        <f>IF('Entries September''25'!Y16-'Entries September''25'!Y15&lt;1,"0",'Entries September''25'!Y16-'Entries September''25'!Y15)</f>
        <v>70</v>
      </c>
      <c r="P16" s="31">
        <f>IF('Entries September''25'!AC16-'Entries September''25'!AC15&lt;1,"0",'Entries September''25'!AC16-'Entries September''25'!AC15)</f>
        <v>18</v>
      </c>
      <c r="Q16" s="31">
        <f>IF('Entries September''25'!Z16-'Entries September''25'!Z15&lt;1,"0",'Entries September''25'!Z16-'Entries September''25'!Z15)</f>
        <v>13</v>
      </c>
      <c r="R16" s="31" t="str">
        <f>IF(('Entries September''25'!AA16-'Entries September''25'!AA15)+('Entries September''25'!AB16-'Entries September''25'!AB15)&lt;1,"0",('Entries September''25'!AA16-'Entries September''25'!AA15)+('Entries September''25'!AB16-'Entries September''25'!AB15))</f>
        <v>0</v>
      </c>
      <c r="S16" s="52">
        <f t="shared" si="1"/>
        <v>1770</v>
      </c>
      <c r="T16" s="52">
        <f t="shared" si="2"/>
        <v>128</v>
      </c>
      <c r="U16" s="31">
        <f>IF('Entries September''25'!AC16-'Entries September''25'!AC15&lt;1,"0",'Entries September''25'!AC16-'Entries September''25'!AC15)</f>
        <v>18</v>
      </c>
      <c r="V16" s="31" t="str">
        <f>IF('Entries September''25'!AD16-'Entries September''25'!AD15&lt;1,"0",'Entries September''25'!AD16-'Entries September''25'!AD15)</f>
        <v>0</v>
      </c>
      <c r="W16" s="31" t="str">
        <f>IF('Entries September''25'!AE16-'Entries September''25'!AE15&lt;1,"0",'Entries September''25'!AE16-'Entries September''25'!AE15)</f>
        <v>0</v>
      </c>
      <c r="X16" s="79" t="str">
        <f>IF('Entries September''25'!AI16-'Entries September''25'!AI15&lt;1,"0",'Entries September''25'!AI16-'Entries September''25'!AI15)</f>
        <v>0</v>
      </c>
      <c r="Y16" s="79" t="str">
        <f>IF('Entries September''25'!AH16-'Entries September''25'!AH15&lt;1,"0",'Entries September''25'!AH16-'Entries September''25'!AH15)</f>
        <v>0</v>
      </c>
      <c r="Z16" s="340">
        <f t="shared" si="3"/>
        <v>292</v>
      </c>
      <c r="AA16" s="341">
        <v>320.82600000000002</v>
      </c>
      <c r="AB16" s="342">
        <f t="shared" si="4"/>
        <v>9.1015067357383739</v>
      </c>
    </row>
    <row r="17" spans="1:32" x14ac:dyDescent="0.2">
      <c r="B17" s="51">
        <v>11</v>
      </c>
      <c r="C17" s="52" t="str">
        <f>IF('Entries September''25'!W17-'Entries September''25'!W16&lt;1,"0",'Entries September''25'!W17-'Entries September''25'!W16)</f>
        <v>0</v>
      </c>
      <c r="D17" s="31">
        <f>IF('Entries September''25'!O17-'Entries September''25'!O16&lt;1,"0",'Entries September''25'!O17-'Entries September''25'!O16)</f>
        <v>54</v>
      </c>
      <c r="E17" s="31">
        <f>IF('Entries September''25'!P17-'Entries September''25'!P16&lt;1,"0",'Entries September''25'!P17-'Entries September''25'!P16)</f>
        <v>231</v>
      </c>
      <c r="F17" s="31">
        <f>IF('Entries September''25'!V17-'Entries September''25'!V16&lt;1,"0",'Entries September''25'!V17-'Entries September''25'!V16)</f>
        <v>242</v>
      </c>
      <c r="G17" s="31">
        <f t="shared" si="0"/>
        <v>43</v>
      </c>
      <c r="H17" s="31">
        <f>IF('Entries September''25'!Q17-'Entries September''25'!Q16&lt;1,0,'Entries September''25'!Q17-'Entries September''25'!Q16)</f>
        <v>98</v>
      </c>
      <c r="I17" s="31">
        <f>IF('Entries September''25'!AG17-'Entries September''25'!AG16&lt;1,0,'Entries September''25'!AG17-'Entries September''25'!AG16)</f>
        <v>0</v>
      </c>
      <c r="J17" s="31">
        <f>IF('Entries September''25'!S17-'Entries September''25'!S16&lt;1,"0",'Entries September''25'!S17-'Entries September''25'!S16)</f>
        <v>164</v>
      </c>
      <c r="K17" s="31" t="str">
        <f>IF('Entries September''25'!R17-'Entries September''25'!R16&lt;1,"0",'Entries September''25'!R17-'Entries September''25'!R16)</f>
        <v>0</v>
      </c>
      <c r="L17" s="31" t="str">
        <f>IF('Entries September''25'!T17-'Entries September''25'!T16&lt;1,"0",'Entries September''25'!T17-'Entries September''25'!T16)</f>
        <v>0</v>
      </c>
      <c r="M17" s="31">
        <f>IF('Entries September''25'!U17-'Entries September''25'!U16&lt;1,"0",'Entries September''25'!U17-'Entries September''25'!U16)</f>
        <v>6</v>
      </c>
      <c r="N17" s="31">
        <f>IF('Entries September''25'!X17-'Entries September''25'!X16&lt;1,"0",'Entries September''25'!X17-'Entries September''25'!X16)</f>
        <v>30</v>
      </c>
      <c r="O17" s="31">
        <f>IF('Entries September''25'!Y17-'Entries September''25'!Y16&lt;1,"0",'Entries September''25'!Y17-'Entries September''25'!Y16)</f>
        <v>21</v>
      </c>
      <c r="P17" s="31">
        <f>IF('Entries September''25'!AC17-'Entries September''25'!AC16&lt;1,"0",'Entries September''25'!AC17-'Entries September''25'!AC16)</f>
        <v>5</v>
      </c>
      <c r="Q17" s="31">
        <f>IF('Entries September''25'!Z17-'Entries September''25'!Z16&lt;1,"0",'Entries September''25'!Z17-'Entries September''25'!Z16)</f>
        <v>10</v>
      </c>
      <c r="R17" s="31" t="str">
        <f>IF(('Entries September''25'!AA17-'Entries September''25'!AA16)+('Entries September''25'!AB17-'Entries September''25'!AB16)&lt;1,"0",('Entries September''25'!AA17-'Entries September''25'!AA16)+('Entries September''25'!AB17-'Entries September''25'!AB16))</f>
        <v>0</v>
      </c>
      <c r="S17" s="52">
        <f t="shared" si="1"/>
        <v>430</v>
      </c>
      <c r="T17" s="52">
        <f t="shared" si="2"/>
        <v>57</v>
      </c>
      <c r="U17" s="31">
        <f>IF('Entries September''25'!AC17-'Entries September''25'!AC16&lt;1,"0",'Entries September''25'!AC17-'Entries September''25'!AC16)</f>
        <v>5</v>
      </c>
      <c r="V17" s="31" t="str">
        <f>IF('Entries September''25'!AD17-'Entries September''25'!AD16&lt;1,"0",'Entries September''25'!AD17-'Entries September''25'!AD16)</f>
        <v>0</v>
      </c>
      <c r="W17" s="31" t="str">
        <f>IF('Entries September''25'!AE17-'Entries September''25'!AE16&lt;1,"0",'Entries September''25'!AE17-'Entries September''25'!AE16)</f>
        <v>0</v>
      </c>
      <c r="X17" s="79" t="str">
        <f>IF('Entries September''25'!AI17-'Entries September''25'!AI16&lt;1,"0",'Entries September''25'!AI17-'Entries September''25'!AI16)</f>
        <v>0</v>
      </c>
      <c r="Y17" s="79" t="str">
        <f>IF('Entries September''25'!AH17-'Entries September''25'!AH16&lt;1,"0",'Entries September''25'!AH17-'Entries September''25'!AH16)</f>
        <v>0</v>
      </c>
      <c r="Z17" s="340">
        <f t="shared" si="3"/>
        <v>285</v>
      </c>
      <c r="AA17" s="341">
        <v>5.6760000000000002</v>
      </c>
      <c r="AB17" s="342">
        <f t="shared" si="4"/>
        <v>502.11416490486255</v>
      </c>
    </row>
    <row r="18" spans="1:32" x14ac:dyDescent="0.2">
      <c r="B18" s="522">
        <v>12</v>
      </c>
      <c r="C18" s="341" t="str">
        <f>IF('Entries September''25'!W18-'Entries September''25'!W17&lt;1,"0",'Entries September''25'!W18-'Entries September''25'!W17)</f>
        <v>0</v>
      </c>
      <c r="D18" s="523" t="str">
        <f>IF('Entries September''25'!O18-'Entries September''25'!O17&lt;1,"0",'Entries September''25'!O18-'Entries September''25'!O17)</f>
        <v>0</v>
      </c>
      <c r="E18" s="523">
        <f>IF('Entries September''25'!P18-'Entries September''25'!P17&lt;1,"0",'Entries September''25'!P18-'Entries September''25'!P17)</f>
        <v>80</v>
      </c>
      <c r="F18" s="523">
        <f>IF('Entries September''25'!V18-'Entries September''25'!V17&lt;1,"0",'Entries September''25'!V18-'Entries September''25'!V17)</f>
        <v>84</v>
      </c>
      <c r="G18" s="523">
        <f t="shared" si="0"/>
        <v>-4</v>
      </c>
      <c r="H18" s="523">
        <f>IF('Entries September''25'!Q18-'Entries September''25'!Q17&lt;1,0,'Entries September''25'!Q18-'Entries September''25'!Q17)</f>
        <v>81</v>
      </c>
      <c r="I18" s="523">
        <f>IF('Entries September''25'!AG18-'Entries September''25'!AG17&lt;1,0,'Entries September''25'!AG18-'Entries September''25'!AG17)</f>
        <v>0</v>
      </c>
      <c r="J18" s="523">
        <f>IF('Entries September''25'!S18-'Entries September''25'!S17&lt;1,"0",'Entries September''25'!S18-'Entries September''25'!S17)</f>
        <v>50</v>
      </c>
      <c r="K18" s="523" t="str">
        <f>IF('Entries September''25'!R18-'Entries September''25'!R17&lt;1,"0",'Entries September''25'!R18-'Entries September''25'!R17)</f>
        <v>0</v>
      </c>
      <c r="L18" s="523" t="str">
        <f>IF('Entries September''25'!T18-'Entries September''25'!T17&lt;1,"0",'Entries September''25'!T18-'Entries September''25'!T17)</f>
        <v>0</v>
      </c>
      <c r="M18" s="523">
        <f>IF('Entries September''25'!U18-'Entries September''25'!U17&lt;1,"0",'Entries September''25'!U18-'Entries September''25'!U17)</f>
        <v>4</v>
      </c>
      <c r="N18" s="523">
        <f>IF('Entries September''25'!X18-'Entries September''25'!X17&lt;1,"0",'Entries September''25'!X18-'Entries September''25'!X17)</f>
        <v>12</v>
      </c>
      <c r="O18" s="523">
        <f>IF('Entries September''25'!Y18-'Entries September''25'!Y17&lt;1,"0",'Entries September''25'!Y18-'Entries September''25'!Y17)</f>
        <v>23</v>
      </c>
      <c r="P18" s="523">
        <f>IF('Entries September''25'!AC18-'Entries September''25'!AC17&lt;1,"0",'Entries September''25'!AC18-'Entries September''25'!AC17)</f>
        <v>4</v>
      </c>
      <c r="Q18" s="523">
        <f>IF('Entries September''25'!Z18-'Entries September''25'!Z17&lt;1,"0",'Entries September''25'!Z18-'Entries September''25'!Z17)</f>
        <v>7</v>
      </c>
      <c r="R18" s="523" t="str">
        <f>IF(('Entries September''25'!AA18-'Entries September''25'!AA17)+('Entries September''25'!AB18-'Entries September''25'!AB17)&lt;1,"0",('Entries September''25'!AA18-'Entries September''25'!AA17)+('Entries September''25'!AB18-'Entries September''25'!AB17))</f>
        <v>0</v>
      </c>
      <c r="S18" s="341">
        <f t="shared" si="1"/>
        <v>-40</v>
      </c>
      <c r="T18" s="341">
        <f t="shared" si="2"/>
        <v>39</v>
      </c>
      <c r="U18" s="523">
        <f>IF('Entries September''25'!AC18-'Entries September''25'!AC17&lt;1,"0",'Entries September''25'!AC18-'Entries September''25'!AC17)</f>
        <v>4</v>
      </c>
      <c r="V18" s="523" t="str">
        <f>IF('Entries September''25'!AD18-'Entries September''25'!AD17&lt;1,"0",'Entries September''25'!AD18-'Entries September''25'!AD17)</f>
        <v>0</v>
      </c>
      <c r="W18" s="523" t="str">
        <f>IF('Entries September''25'!AE18-'Entries September''25'!AE17&lt;1,"0",'Entries September''25'!AE18-'Entries September''25'!AE17)</f>
        <v>0</v>
      </c>
      <c r="X18" s="524" t="str">
        <f>IF('Entries September''25'!AI18-'Entries September''25'!AI17&lt;1,"0",'Entries September''25'!AI18-'Entries September''25'!AI17)</f>
        <v>0</v>
      </c>
      <c r="Y18" s="524" t="str">
        <f>IF('Entries September''25'!AH18-'Entries September''25'!AH17&lt;1,"0",'Entries September''25'!AH18-'Entries September''25'!AH17)</f>
        <v>0</v>
      </c>
      <c r="Z18" s="340">
        <f t="shared" si="3"/>
        <v>80</v>
      </c>
      <c r="AA18" s="341">
        <v>64.878</v>
      </c>
      <c r="AB18" s="342">
        <f t="shared" si="4"/>
        <v>12.330836338974692</v>
      </c>
    </row>
    <row r="19" spans="1:32" x14ac:dyDescent="0.2">
      <c r="A19" s="29"/>
      <c r="B19" s="522">
        <v>13</v>
      </c>
      <c r="C19" s="341" t="str">
        <f>IF('Entries September''25'!W19-'Entries September''25'!W18&lt;1,"0",'Entries September''25'!W19-'Entries September''25'!W18)</f>
        <v>0</v>
      </c>
      <c r="D19" s="523" t="str">
        <f>IF('Entries September''25'!O19-'Entries September''25'!O18&lt;1,"0",'Entries September''25'!O19-'Entries September''25'!O18)</f>
        <v>0</v>
      </c>
      <c r="E19" s="523">
        <f>IF('Entries September''25'!P19-'Entries September''25'!P18&lt;1,"0",'Entries September''25'!P19-'Entries September''25'!P18)</f>
        <v>76</v>
      </c>
      <c r="F19" s="523">
        <f>IF('Entries September''25'!V19-'Entries September''25'!V18&lt;1,"0",'Entries September''25'!V19-'Entries September''25'!V18)</f>
        <v>80</v>
      </c>
      <c r="G19" s="523">
        <f t="shared" si="0"/>
        <v>-4</v>
      </c>
      <c r="H19" s="523">
        <f>IF('Entries September''25'!Q19-'Entries September''25'!Q18&lt;1,0,'Entries September''25'!Q19-'Entries September''25'!Q18)</f>
        <v>22</v>
      </c>
      <c r="I19" s="523">
        <f>IF('Entries September''25'!AG19-'Entries September''25'!AG18&lt;1,0,'Entries September''25'!AG19-'Entries September''25'!AG18)</f>
        <v>0</v>
      </c>
      <c r="J19" s="523" t="str">
        <f>IF('Entries September''25'!S19-'Entries September''25'!S18&lt;1,"0",'Entries September''25'!S19-'Entries September''25'!S18)</f>
        <v>0</v>
      </c>
      <c r="K19" s="523" t="str">
        <f>IF('Entries September''25'!R19-'Entries September''25'!R18&lt;1,"0",'Entries September''25'!R19-'Entries September''25'!R18)</f>
        <v>0</v>
      </c>
      <c r="L19" s="523" t="str">
        <f>IF('Entries September''25'!T19-'Entries September''25'!T18&lt;1,"0",'Entries September''25'!T19-'Entries September''25'!T18)</f>
        <v>0</v>
      </c>
      <c r="M19" s="523" t="str">
        <f>IF('Entries September''25'!U19-'Entries September''25'!U18&lt;1,"0",'Entries September''25'!U19-'Entries September''25'!U18)</f>
        <v>0</v>
      </c>
      <c r="N19" s="523" t="str">
        <f>IF('Entries September''25'!X19-'Entries September''25'!X18&lt;1,"0",'Entries September''25'!X19-'Entries September''25'!X18)</f>
        <v>0</v>
      </c>
      <c r="O19" s="523">
        <f>IF('Entries September''25'!Y19-'Entries September''25'!Y18&lt;1,"0",'Entries September''25'!Y19-'Entries September''25'!Y18)</f>
        <v>4</v>
      </c>
      <c r="P19" s="523" t="str">
        <f>IF('Entries September''25'!AC19-'Entries September''25'!AC18&lt;1,"0",'Entries September''25'!AC19-'Entries September''25'!AC18)</f>
        <v>0</v>
      </c>
      <c r="Q19" s="523" t="str">
        <f>IF('Entries September''25'!Z19-'Entries September''25'!Z18&lt;1,"0",'Entries September''25'!Z19-'Entries September''25'!Z18)</f>
        <v>0</v>
      </c>
      <c r="R19" s="523" t="str">
        <f>IF(('Entries September''25'!AA19-'Entries September''25'!AA18)+('Entries September''25'!AB19-'Entries September''25'!AB18)&lt;1,"0",('Entries September''25'!AA19-'Entries September''25'!AA18)+('Entries September''25'!AB19-'Entries September''25'!AB18))</f>
        <v>0</v>
      </c>
      <c r="S19" s="341">
        <f t="shared" si="1"/>
        <v>-40</v>
      </c>
      <c r="T19" s="341">
        <f t="shared" si="2"/>
        <v>4</v>
      </c>
      <c r="U19" s="523" t="str">
        <f>IF('Entries September''25'!AC19-'Entries September''25'!AC18&lt;1,"0",'Entries September''25'!AC19-'Entries September''25'!AC18)</f>
        <v>0</v>
      </c>
      <c r="V19" s="523" t="str">
        <f>IF('Entries September''25'!AD19-'Entries September''25'!AD18&lt;1,"0",'Entries September''25'!AD19-'Entries September''25'!AD18)</f>
        <v>0</v>
      </c>
      <c r="W19" s="523" t="str">
        <f>IF('Entries September''25'!AE19-'Entries September''25'!AE18&lt;1,"0",'Entries September''25'!AE19-'Entries September''25'!AE18)</f>
        <v>0</v>
      </c>
      <c r="X19" s="524" t="str">
        <f>IF('Entries September''25'!AI19-'Entries September''25'!AI18&lt;1,"0",'Entries September''25'!AI19-'Entries September''25'!AI18)</f>
        <v>0</v>
      </c>
      <c r="Y19" s="524" t="str">
        <f>IF('Entries September''25'!AH19-'Entries September''25'!AH18&lt;1,"0",'Entries September''25'!AH19-'Entries September''25'!AH18)</f>
        <v>0</v>
      </c>
      <c r="Z19" s="340">
        <f t="shared" si="3"/>
        <v>76</v>
      </c>
      <c r="AA19" s="341" t="str">
        <v>0</v>
      </c>
      <c r="AB19" s="342" t="str">
        <f t="shared" si="4"/>
        <v>0</v>
      </c>
    </row>
    <row r="20" spans="1:32" x14ac:dyDescent="0.2">
      <c r="A20" s="29"/>
      <c r="B20" s="51">
        <v>14</v>
      </c>
      <c r="C20" s="52" t="str">
        <f>IF('Entries September''25'!W20-'Entries September''25'!W19&lt;1,"0",'Entries September''25'!W20-'Entries September''25'!W19)</f>
        <v>0</v>
      </c>
      <c r="D20" s="31" t="str">
        <f>IF('Entries September''25'!O20-'Entries September''25'!O19&lt;1,"0",'Entries September''25'!O20-'Entries September''25'!O19)</f>
        <v>0</v>
      </c>
      <c r="E20" s="31">
        <f>IF('Entries September''25'!P20-'Entries September''25'!P19&lt;1,"0",'Entries September''25'!P20-'Entries September''25'!P19)</f>
        <v>68</v>
      </c>
      <c r="F20" s="31">
        <f>IF('Entries September''25'!V20-'Entries September''25'!V19&lt;1,"0",'Entries September''25'!V20-'Entries September''25'!V19)</f>
        <v>74</v>
      </c>
      <c r="G20" s="31">
        <f t="shared" si="0"/>
        <v>-6</v>
      </c>
      <c r="H20" s="31">
        <f>IF('Entries September''25'!Q20-'Entries September''25'!Q19&lt;1,0,'Entries September''25'!Q20-'Entries September''25'!Q19)</f>
        <v>74</v>
      </c>
      <c r="I20" s="31">
        <f>IF('Entries September''25'!AG20-'Entries September''25'!AG19&lt;1,0,'Entries September''25'!AG20-'Entries September''25'!AG19)</f>
        <v>0</v>
      </c>
      <c r="J20" s="31">
        <f>IF('Entries September''25'!S20-'Entries September''25'!S19&lt;1,"0",'Entries September''25'!S20-'Entries September''25'!S19)</f>
        <v>6</v>
      </c>
      <c r="K20" s="31" t="str">
        <f>IF('Entries September''25'!R20-'Entries September''25'!R19&lt;1,"0",'Entries September''25'!R20-'Entries September''25'!R19)</f>
        <v>0</v>
      </c>
      <c r="L20" s="31" t="str">
        <f>IF('Entries September''25'!T20-'Entries September''25'!T19&lt;1,"0",'Entries September''25'!T20-'Entries September''25'!T19)</f>
        <v>0</v>
      </c>
      <c r="M20" s="31" t="str">
        <f>IF('Entries September''25'!U20-'Entries September''25'!U19&lt;1,"0",'Entries September''25'!U20-'Entries September''25'!U19)</f>
        <v>0</v>
      </c>
      <c r="N20" s="31">
        <f>IF('Entries September''25'!X20-'Entries September''25'!X19&lt;1,"0",'Entries September''25'!X20-'Entries September''25'!X19)</f>
        <v>4</v>
      </c>
      <c r="O20" s="31">
        <f>IF('Entries September''25'!Y20-'Entries September''25'!Y19&lt;1,"0",'Entries September''25'!Y20-'Entries September''25'!Y19)</f>
        <v>29</v>
      </c>
      <c r="P20" s="31">
        <f>IF('Entries September''25'!AC20-'Entries September''25'!AC19&lt;1,"0",'Entries September''25'!AC20-'Entries September''25'!AC19)</f>
        <v>17</v>
      </c>
      <c r="Q20" s="31">
        <f>IF('Entries September''25'!Z20-'Entries September''25'!Z19&lt;1,"0",'Entries September''25'!Z20-'Entries September''25'!Z19)</f>
        <v>2</v>
      </c>
      <c r="R20" s="31" t="str">
        <f>IF(('Entries September''25'!AA20-'Entries September''25'!AA19)+('Entries September''25'!AB20-'Entries September''25'!AB19)&lt;1,"0",('Entries September''25'!AA20-'Entries September''25'!AA19)+('Entries September''25'!AB20-'Entries September''25'!AB19))</f>
        <v>0</v>
      </c>
      <c r="S20" s="52">
        <f t="shared" si="1"/>
        <v>-60</v>
      </c>
      <c r="T20" s="52">
        <f t="shared" si="2"/>
        <v>33</v>
      </c>
      <c r="U20" s="31">
        <f>IF('Entries September''25'!AC20-'Entries September''25'!AC19&lt;1,"0",'Entries September''25'!AC20-'Entries September''25'!AC19)</f>
        <v>17</v>
      </c>
      <c r="V20" s="31" t="str">
        <f>IF('Entries September''25'!AD20-'Entries September''25'!AD19&lt;1,"0",'Entries September''25'!AD20-'Entries September''25'!AD19)</f>
        <v>0</v>
      </c>
      <c r="W20" s="31" t="str">
        <f>IF('Entries September''25'!AE20-'Entries September''25'!AE19&lt;1,"0",'Entries September''25'!AE20-'Entries September''25'!AE19)</f>
        <v>0</v>
      </c>
      <c r="X20" s="79" t="str">
        <f>IF('Entries September''25'!AI20-'Entries September''25'!AI19&lt;1,"0",'Entries September''25'!AI20-'Entries September''25'!AI19)</f>
        <v>0</v>
      </c>
      <c r="Y20" s="79" t="str">
        <f>IF('Entries September''25'!AH20-'Entries September''25'!AH19&lt;1,"0",'Entries September''25'!AH20-'Entries September''25'!AH19)</f>
        <v>0</v>
      </c>
      <c r="Z20" s="340">
        <f t="shared" si="3"/>
        <v>68</v>
      </c>
      <c r="AA20" s="341" t="str">
        <v>0</v>
      </c>
      <c r="AB20" s="342" t="str">
        <f t="shared" si="4"/>
        <v>0</v>
      </c>
    </row>
    <row r="21" spans="1:32" ht="14.25" customHeight="1" x14ac:dyDescent="0.2">
      <c r="B21" s="51">
        <v>15</v>
      </c>
      <c r="C21" s="52" t="str">
        <f>IF('Entries September''25'!W21-'Entries September''25'!W20&lt;1,"0",'Entries September''25'!W21-'Entries September''25'!W20)</f>
        <v>0</v>
      </c>
      <c r="D21" s="31">
        <f>IF('Entries September''25'!O21-'Entries September''25'!O20&lt;1,"0",'Entries September''25'!O21-'Entries September''25'!O20)</f>
        <v>249</v>
      </c>
      <c r="E21" s="31">
        <f>IF('Entries September''25'!P21-'Entries September''25'!P20&lt;1,"0",'Entries September''25'!P21-'Entries September''25'!P20)</f>
        <v>103</v>
      </c>
      <c r="F21" s="31">
        <f>IF('Entries September''25'!V21-'Entries September''25'!V20&lt;1,"0",'Entries September''25'!V21-'Entries September''25'!V20)</f>
        <v>169</v>
      </c>
      <c r="G21" s="31">
        <f t="shared" si="0"/>
        <v>183</v>
      </c>
      <c r="H21" s="31">
        <f>IF('Entries September''25'!Q21-'Entries September''25'!Q20&lt;1,0,'Entries September''25'!Q21-'Entries September''25'!Q20)</f>
        <v>249</v>
      </c>
      <c r="I21" s="31">
        <f>IF('Entries September''25'!AG21-'Entries September''25'!AG20&lt;1,0,'Entries September''25'!AG21-'Entries September''25'!AG20)</f>
        <v>0</v>
      </c>
      <c r="J21" s="31">
        <f>IF('Entries September''25'!S21-'Entries September''25'!S20&lt;1,"0",'Entries September''25'!S21-'Entries September''25'!S20)</f>
        <v>100</v>
      </c>
      <c r="K21" s="31" t="str">
        <f>IF('Entries September''25'!R21-'Entries September''25'!R20&lt;1,"0",'Entries September''25'!R21-'Entries September''25'!R20)</f>
        <v>0</v>
      </c>
      <c r="L21" s="31" t="str">
        <f>IF('Entries September''25'!T21-'Entries September''25'!T20&lt;1,"0",'Entries September''25'!T21-'Entries September''25'!T20)</f>
        <v>0</v>
      </c>
      <c r="M21" s="31">
        <f>IF('Entries September''25'!U21-'Entries September''25'!U20&lt;1,"0",'Entries September''25'!U21-'Entries September''25'!U20)</f>
        <v>15</v>
      </c>
      <c r="N21" s="31">
        <f>IF('Entries September''25'!X21-'Entries September''25'!X20&lt;1,"0",'Entries September''25'!X21-'Entries September''25'!X20)</f>
        <v>46</v>
      </c>
      <c r="O21" s="31">
        <f>IF('Entries September''25'!Y21-'Entries September''25'!Y20&lt;1,"0",'Entries September''25'!Y21-'Entries September''25'!Y20)</f>
        <v>100</v>
      </c>
      <c r="P21" s="31">
        <f>IF('Entries September''25'!AC21-'Entries September''25'!AC20&lt;1,"0",'Entries September''25'!AC21-'Entries September''25'!AC20)</f>
        <v>26</v>
      </c>
      <c r="Q21" s="31">
        <f>IF('Entries September''25'!Z21-'Entries September''25'!Z20&lt;1,"0",'Entries September''25'!Z21-'Entries September''25'!Z20)</f>
        <v>21</v>
      </c>
      <c r="R21" s="31" t="str">
        <f>IF(('Entries September''25'!AA21-'Entries September''25'!AA20)+('Entries September''25'!AB21-'Entries September''25'!AB20)&lt;1,"0",('Entries September''25'!AA21-'Entries September''25'!AA20)+('Entries September''25'!AB21-'Entries September''25'!AB20))</f>
        <v>0</v>
      </c>
      <c r="S21" s="52">
        <f t="shared" si="1"/>
        <v>1830</v>
      </c>
      <c r="T21" s="52">
        <f t="shared" si="2"/>
        <v>161</v>
      </c>
      <c r="U21" s="31">
        <f>IF('Entries September''25'!AC21-'Entries September''25'!AC20&lt;1,"0",'Entries September''25'!AC21-'Entries September''25'!AC20)</f>
        <v>26</v>
      </c>
      <c r="V21" s="31" t="str">
        <f>IF('Entries September''25'!AD21-'Entries September''25'!AD20&lt;1,"0",'Entries September''25'!AD21-'Entries September''25'!AD20)</f>
        <v>0</v>
      </c>
      <c r="W21" s="31" t="str">
        <f>IF('Entries September''25'!AE21-'Entries September''25'!AE20&lt;1,"0",'Entries September''25'!AE21-'Entries September''25'!AE20)</f>
        <v>0</v>
      </c>
      <c r="X21" s="79" t="str">
        <f>IF('Entries September''25'!AI21-'Entries September''25'!AI20&lt;1,"0",'Entries September''25'!AI21-'Entries September''25'!AI20)</f>
        <v>0</v>
      </c>
      <c r="Y21" s="79" t="str">
        <f>IF('Entries September''25'!AH21-'Entries September''25'!AH20&lt;1,"0",'Entries September''25'!AH21-'Entries September''25'!AH20)</f>
        <v>0</v>
      </c>
      <c r="Z21" s="340">
        <f t="shared" si="3"/>
        <v>352</v>
      </c>
      <c r="AA21" s="341">
        <v>518.43119999999999</v>
      </c>
      <c r="AB21" s="342">
        <f t="shared" si="4"/>
        <v>6.7897148165465353</v>
      </c>
    </row>
    <row r="22" spans="1:32" x14ac:dyDescent="0.2">
      <c r="B22" s="51">
        <v>16</v>
      </c>
      <c r="C22" s="52" t="str">
        <f>IF('Entries September''25'!W22-'Entries September''25'!W21&lt;1,"0",'Entries September''25'!W22-'Entries September''25'!W21)</f>
        <v>0</v>
      </c>
      <c r="D22" s="31">
        <f>IF('Entries September''25'!O22-'Entries September''25'!O21&lt;1,"0",'Entries September''25'!O22-'Entries September''25'!O21)</f>
        <v>202</v>
      </c>
      <c r="E22" s="31">
        <f>IF('Entries September''25'!P22-'Entries September''25'!P21&lt;1,"0",'Entries September''25'!P22-'Entries September''25'!P21)</f>
        <v>185</v>
      </c>
      <c r="F22" s="31">
        <f>IF('Entries September''25'!V22-'Entries September''25'!V21&lt;1,"0",'Entries September''25'!V22-'Entries September''25'!V21)</f>
        <v>131</v>
      </c>
      <c r="G22" s="31">
        <f t="shared" si="0"/>
        <v>256</v>
      </c>
      <c r="H22" s="31">
        <f>IF('Entries September''25'!Q22-'Entries September''25'!Q21&lt;1,0,'Entries September''25'!Q22-'Entries September''25'!Q21)</f>
        <v>201</v>
      </c>
      <c r="I22" s="31">
        <f>IF('Entries September''25'!AG22-'Entries September''25'!AG21&lt;1,0,'Entries September''25'!AG22-'Entries September''25'!AG21)</f>
        <v>0</v>
      </c>
      <c r="J22" s="31">
        <f>IF('Entries September''25'!S22-'Entries September''25'!S21&lt;1,"0",'Entries September''25'!S22-'Entries September''25'!S21)</f>
        <v>119</v>
      </c>
      <c r="K22" s="31" t="str">
        <f>IF('Entries September''25'!R22-'Entries September''25'!R21&lt;1,"0",'Entries September''25'!R22-'Entries September''25'!R21)</f>
        <v>0</v>
      </c>
      <c r="L22" s="31" t="str">
        <f>IF('Entries September''25'!T22-'Entries September''25'!T21&lt;1,"0",'Entries September''25'!T22-'Entries September''25'!T21)</f>
        <v>0</v>
      </c>
      <c r="M22" s="31">
        <f>IF('Entries September''25'!U22-'Entries September''25'!U21&lt;1,"0",'Entries September''25'!U22-'Entries September''25'!U21)</f>
        <v>11</v>
      </c>
      <c r="N22" s="31">
        <f>IF('Entries September''25'!X22-'Entries September''25'!X21&lt;1,"0",'Entries September''25'!X22-'Entries September''25'!X21)</f>
        <v>37</v>
      </c>
      <c r="O22" s="31">
        <f>IF('Entries September''25'!Y22-'Entries September''25'!Y21&lt;1,"0",'Entries September''25'!Y22-'Entries September''25'!Y21)</f>
        <v>84</v>
      </c>
      <c r="P22" s="31">
        <f>IF('Entries September''25'!AC22-'Entries September''25'!AC21&lt;1,"0",'Entries September''25'!AC22-'Entries September''25'!AC21)</f>
        <v>20</v>
      </c>
      <c r="Q22" s="31">
        <f>IF('Entries September''25'!Z22-'Entries September''25'!Z21&lt;1,"0",'Entries September''25'!Z22-'Entries September''25'!Z21)</f>
        <v>12</v>
      </c>
      <c r="R22" s="31" t="str">
        <f>IF(('Entries September''25'!AA22-'Entries September''25'!AA21)+('Entries September''25'!AB22-'Entries September''25'!AB21)&lt;1,"0",('Entries September''25'!AA22-'Entries September''25'!AA21)+('Entries September''25'!AB22-'Entries September''25'!AB21))</f>
        <v>0</v>
      </c>
      <c r="S22" s="52">
        <f t="shared" si="1"/>
        <v>2560</v>
      </c>
      <c r="T22" s="52">
        <f t="shared" si="2"/>
        <v>132</v>
      </c>
      <c r="U22" s="31">
        <f>IF('Entries September''25'!AC22-'Entries September''25'!AC21&lt;1,"0",'Entries September''25'!AC22-'Entries September''25'!AC21)</f>
        <v>20</v>
      </c>
      <c r="V22" s="31" t="str">
        <f>IF('Entries September''25'!AD22-'Entries September''25'!AD21&lt;1,"0",'Entries September''25'!AD22-'Entries September''25'!AD21)</f>
        <v>0</v>
      </c>
      <c r="W22" s="31" t="str">
        <f>IF('Entries September''25'!AE22-'Entries September''25'!AE21&lt;1,"0",'Entries September''25'!AE22-'Entries September''25'!AE21)</f>
        <v>0</v>
      </c>
      <c r="X22" s="79" t="str">
        <f>IF('Entries September''25'!AI22-'Entries September''25'!AI21&lt;1,"0",'Entries September''25'!AI22-'Entries September''25'!AI21)</f>
        <v>0</v>
      </c>
      <c r="Y22" s="79" t="str">
        <f>IF('Entries September''25'!AH22-'Entries September''25'!AH21&lt;1,"0",'Entries September''25'!AH22-'Entries September''25'!AH21)</f>
        <v>0</v>
      </c>
      <c r="Z22" s="340">
        <f t="shared" si="3"/>
        <v>387</v>
      </c>
      <c r="AA22" s="341">
        <v>442.33199999999999</v>
      </c>
      <c r="AB22" s="342">
        <f t="shared" si="4"/>
        <v>8.7490843981443795</v>
      </c>
    </row>
    <row r="23" spans="1:32" x14ac:dyDescent="0.2">
      <c r="B23" s="51">
        <v>17</v>
      </c>
      <c r="C23" s="52" t="str">
        <f>IF('Entries September''25'!W23-'Entries September''25'!W22&lt;1,"0",'Entries September''25'!W23-'Entries September''25'!W22)</f>
        <v>0</v>
      </c>
      <c r="D23" s="31">
        <f>IF('Entries September''25'!O23-'Entries September''25'!O22&lt;1,"0",'Entries September''25'!O23-'Entries September''25'!O22)</f>
        <v>111</v>
      </c>
      <c r="E23" s="31">
        <f>IF('Entries September''25'!P23-'Entries September''25'!P22&lt;1,"0",'Entries September''25'!P23-'Entries September''25'!P22)</f>
        <v>187</v>
      </c>
      <c r="F23" s="31">
        <f>IF('Entries September''25'!V23-'Entries September''25'!V22&lt;1,"0",'Entries September''25'!V23-'Entries September''25'!V22)</f>
        <v>196</v>
      </c>
      <c r="G23" s="31">
        <f t="shared" si="0"/>
        <v>102</v>
      </c>
      <c r="H23" s="31">
        <f>IF('Entries September''25'!Q23-'Entries September''25'!Q22&lt;1,0,'Entries September''25'!Q23-'Entries September''25'!Q22)</f>
        <v>240</v>
      </c>
      <c r="I23" s="31">
        <f>IF('Entries September''25'!AG23-'Entries September''25'!AG22&lt;1,0,'Entries September''25'!AG23-'Entries September''25'!AG22)</f>
        <v>0</v>
      </c>
      <c r="J23" s="31">
        <f>IF('Entries September''25'!S23-'Entries September''25'!S22&lt;1,"0",'Entries September''25'!S23-'Entries September''25'!S22)</f>
        <v>149</v>
      </c>
      <c r="K23" s="31" t="str">
        <f>IF('Entries September''25'!R23-'Entries September''25'!R22&lt;1,"0",'Entries September''25'!R23-'Entries September''25'!R22)</f>
        <v>0</v>
      </c>
      <c r="L23" s="31" t="str">
        <f>IF('Entries September''25'!T23-'Entries September''25'!T22&lt;1,"0",'Entries September''25'!T23-'Entries September''25'!T22)</f>
        <v>0</v>
      </c>
      <c r="M23" s="31">
        <f>IF('Entries September''25'!U23-'Entries September''25'!U22&lt;1,"0",'Entries September''25'!U23-'Entries September''25'!U22)</f>
        <v>14</v>
      </c>
      <c r="N23" s="31">
        <f>IF('Entries September''25'!X23-'Entries September''25'!X22&lt;1,"0",'Entries September''25'!X23-'Entries September''25'!X22)</f>
        <v>32</v>
      </c>
      <c r="O23" s="31">
        <f>IF('Entries September''25'!Y23-'Entries September''25'!Y22&lt;1,"0",'Entries September''25'!Y23-'Entries September''25'!Y22)</f>
        <v>99</v>
      </c>
      <c r="P23" s="31">
        <f>IF('Entries September''25'!AC23-'Entries September''25'!AC22&lt;1,"0",'Entries September''25'!AC23-'Entries September''25'!AC22)</f>
        <v>29</v>
      </c>
      <c r="Q23" s="31">
        <f>IF('Entries September''25'!Z23-'Entries September''25'!Z22&lt;1,"0",'Entries September''25'!Z23-'Entries September''25'!Z22)</f>
        <v>17</v>
      </c>
      <c r="R23" s="31" t="str">
        <f>IF(('Entries September''25'!AA23-'Entries September''25'!AA22)+('Entries September''25'!AB23-'Entries September''25'!AB22)&lt;1,"0",('Entries September''25'!AA23-'Entries September''25'!AA22)+('Entries September''25'!AB23-'Entries September''25'!AB22))</f>
        <v>0</v>
      </c>
      <c r="S23" s="52">
        <f t="shared" si="1"/>
        <v>1020</v>
      </c>
      <c r="T23" s="52">
        <f t="shared" si="2"/>
        <v>145</v>
      </c>
      <c r="U23" s="31">
        <f>IF('Entries September''25'!AC23-'Entries September''25'!AC22&lt;1,"0",'Entries September''25'!AC23-'Entries September''25'!AC22)</f>
        <v>29</v>
      </c>
      <c r="V23" s="31" t="str">
        <f>IF('Entries September''25'!AD23-'Entries September''25'!AD22&lt;1,"0",'Entries September''25'!AD23-'Entries September''25'!AD22)</f>
        <v>0</v>
      </c>
      <c r="W23" s="31" t="str">
        <f>IF('Entries September''25'!AE23-'Entries September''25'!AE22&lt;1,"0",'Entries September''25'!AE23-'Entries September''25'!AE22)</f>
        <v>0</v>
      </c>
      <c r="X23" s="79" t="str">
        <f>IF('Entries September''25'!AI23-'Entries September''25'!AI22&lt;1,"0",'Entries September''25'!AI23-'Entries September''25'!AI22)</f>
        <v>0</v>
      </c>
      <c r="Y23" s="79" t="str">
        <f>IF('Entries September''25'!AH23-'Entries September''25'!AH22&lt;1,"0",'Entries September''25'!AH23-'Entries September''25'!AH22)</f>
        <v>0</v>
      </c>
      <c r="Z23" s="340">
        <f t="shared" si="3"/>
        <v>298</v>
      </c>
      <c r="AA23" s="341">
        <v>439.75800000000004</v>
      </c>
      <c r="AB23" s="342">
        <f t="shared" si="4"/>
        <v>6.7764543226047049</v>
      </c>
    </row>
    <row r="24" spans="1:32" x14ac:dyDescent="0.2">
      <c r="B24" s="51">
        <v>18</v>
      </c>
      <c r="C24" s="52" t="str">
        <f>IF('Entries September''25'!W24-'Entries September''25'!W23&lt;1,"0",'Entries September''25'!W24-'Entries September''25'!W23)</f>
        <v>0</v>
      </c>
      <c r="D24" s="31">
        <f>IF('Entries September''25'!O24-'Entries September''25'!O23&lt;1,"0",'Entries September''25'!O24-'Entries September''25'!O23)</f>
        <v>209</v>
      </c>
      <c r="E24" s="31">
        <f>IF('Entries September''25'!P24-'Entries September''25'!P23&lt;1,"0",'Entries September''25'!P24-'Entries September''25'!P23)</f>
        <v>234</v>
      </c>
      <c r="F24" s="31">
        <f>IF('Entries September''25'!V24-'Entries September''25'!V23&lt;1,"0",'Entries September''25'!V24-'Entries September''25'!V23)</f>
        <v>236</v>
      </c>
      <c r="G24" s="31">
        <f t="shared" si="0"/>
        <v>207</v>
      </c>
      <c r="H24" s="31">
        <f>IF('Entries September''25'!Q24-'Entries September''25'!Q23&lt;1,0,'Entries September''25'!Q24-'Entries September''25'!Q23)</f>
        <v>291</v>
      </c>
      <c r="I24" s="31">
        <f>IF('Entries September''25'!AG24-'Entries September''25'!AG23&lt;1,0,'Entries September''25'!AG24-'Entries September''25'!AG23)</f>
        <v>0</v>
      </c>
      <c r="J24" s="31">
        <f>IF('Entries September''25'!S24-'Entries September''25'!S23&lt;1,"0",'Entries September''25'!S24-'Entries September''25'!S23)</f>
        <v>162</v>
      </c>
      <c r="K24" s="31" t="str">
        <f>IF('Entries September''25'!R24-'Entries September''25'!R23&lt;1,"0",'Entries September''25'!R24-'Entries September''25'!R23)</f>
        <v>0</v>
      </c>
      <c r="L24" s="31" t="str">
        <f>IF('Entries September''25'!T24-'Entries September''25'!T23&lt;1,"0",'Entries September''25'!T24-'Entries September''25'!T23)</f>
        <v>0</v>
      </c>
      <c r="M24" s="31">
        <f>IF('Entries September''25'!U24-'Entries September''25'!U23&lt;1,"0",'Entries September''25'!U24-'Entries September''25'!U23)</f>
        <v>13</v>
      </c>
      <c r="N24" s="31">
        <f>IF('Entries September''25'!X24-'Entries September''25'!X23&lt;1,"0",'Entries September''25'!X24-'Entries September''25'!X23)</f>
        <v>57</v>
      </c>
      <c r="O24" s="31">
        <f>IF('Entries September''25'!Y24-'Entries September''25'!Y23&lt;1,"0",'Entries September''25'!Y24-'Entries September''25'!Y23)</f>
        <v>128</v>
      </c>
      <c r="P24" s="31">
        <f>IF('Entries September''25'!AC24-'Entries September''25'!AC23&lt;1,"0",'Entries September''25'!AC24-'Entries September''25'!AC23)</f>
        <v>32</v>
      </c>
      <c r="Q24" s="31">
        <f>IF('Entries September''25'!Z24-'Entries September''25'!Z23&lt;1,"0",'Entries September''25'!Z24-'Entries September''25'!Z23)</f>
        <v>22</v>
      </c>
      <c r="R24" s="31" t="str">
        <f>IF(('Entries September''25'!AA24-'Entries September''25'!AA23)+('Entries September''25'!AB24-'Entries September''25'!AB23)&lt;1,"0",('Entries September''25'!AA24-'Entries September''25'!AA23)+('Entries September''25'!AB24-'Entries September''25'!AB23))</f>
        <v>0</v>
      </c>
      <c r="S24" s="52">
        <f t="shared" si="1"/>
        <v>2070</v>
      </c>
      <c r="T24" s="52">
        <f t="shared" si="2"/>
        <v>198</v>
      </c>
      <c r="U24" s="31">
        <f>IF('Entries September''25'!AC24-'Entries September''25'!AC23&lt;1,"0",'Entries September''25'!AC24-'Entries September''25'!AC23)</f>
        <v>32</v>
      </c>
      <c r="V24" s="31" t="str">
        <f>IF('Entries September''25'!AD24-'Entries September''25'!AD23&lt;1,"0",'Entries September''25'!AD24-'Entries September''25'!AD23)</f>
        <v>0</v>
      </c>
      <c r="W24" s="31" t="str">
        <f>IF('Entries September''25'!AE24-'Entries September''25'!AE23&lt;1,"0",'Entries September''25'!AE24-'Entries September''25'!AE23)</f>
        <v>0</v>
      </c>
      <c r="X24" s="79" t="str">
        <f>IF('Entries September''25'!AI24-'Entries September''25'!AI23&lt;1,"0",'Entries September''25'!AI24-'Entries September''25'!AI23)</f>
        <v>0</v>
      </c>
      <c r="Y24" s="79" t="str">
        <f>IF('Entries September''25'!AH24-'Entries September''25'!AH23&lt;1,"0",'Entries September''25'!AH24-'Entries September''25'!AH23)</f>
        <v>0</v>
      </c>
      <c r="Z24" s="340">
        <f>C24+D24+E24</f>
        <v>443</v>
      </c>
      <c r="AA24" s="341">
        <v>814.04399999999998</v>
      </c>
      <c r="AB24" s="342">
        <f t="shared" si="4"/>
        <v>5.4419662819208794</v>
      </c>
    </row>
    <row r="25" spans="1:32" x14ac:dyDescent="0.2">
      <c r="B25" s="522">
        <v>19</v>
      </c>
      <c r="C25" s="341" t="str">
        <f>IF('Entries September''25'!W25-'Entries September''25'!W24&lt;1,"0",'Entries September''25'!W25-'Entries September''25'!W24)</f>
        <v>0</v>
      </c>
      <c r="D25" s="523">
        <f>IF('Entries September''25'!O25-'Entries September''25'!O24&lt;1,"0",'Entries September''25'!O25-'Entries September''25'!O24)</f>
        <v>198</v>
      </c>
      <c r="E25" s="523">
        <f>IF('Entries September''25'!P25-'Entries September''25'!P24&lt;1,"0",'Entries September''25'!P25-'Entries September''25'!P24)</f>
        <v>225</v>
      </c>
      <c r="F25" s="523">
        <f>IF('Entries September''25'!V25-'Entries September''25'!V24&lt;1,"0",'Entries September''25'!V25-'Entries September''25'!V24)</f>
        <v>243</v>
      </c>
      <c r="G25" s="523">
        <f t="shared" si="0"/>
        <v>180</v>
      </c>
      <c r="H25" s="523">
        <f>IF('Entries September''25'!Q25-'Entries September''25'!Q24&lt;1,0,'Entries September''25'!Q25-'Entries September''25'!Q24)</f>
        <v>210</v>
      </c>
      <c r="I25" s="523">
        <f>IF('Entries September''25'!AG25-'Entries September''25'!AG24&lt;1,0,'Entries September''25'!AG25-'Entries September''25'!AG24)</f>
        <v>0</v>
      </c>
      <c r="J25" s="523">
        <f>IF('Entries September''25'!S25-'Entries September''25'!S24&lt;1,"0",'Entries September''25'!S25-'Entries September''25'!S24)</f>
        <v>168</v>
      </c>
      <c r="K25" s="523" t="str">
        <f>IF('Entries September''25'!R25-'Entries September''25'!R24&lt;1,"0",'Entries September''25'!R25-'Entries September''25'!R24)</f>
        <v>0</v>
      </c>
      <c r="L25" s="523" t="str">
        <f>IF('Entries September''25'!T25-'Entries September''25'!T24&lt;1,"0",'Entries September''25'!T25-'Entries September''25'!T24)</f>
        <v>0</v>
      </c>
      <c r="M25" s="523">
        <f>IF('Entries September''25'!U25-'Entries September''25'!U24&lt;1,"0",'Entries September''25'!U25-'Entries September''25'!U24)</f>
        <v>9</v>
      </c>
      <c r="N25" s="523">
        <f>IF('Entries September''25'!X25-'Entries September''25'!X24&lt;1,"0",'Entries September''25'!X25-'Entries September''25'!X24)</f>
        <v>39</v>
      </c>
      <c r="O25" s="523">
        <f>IF('Entries September''25'!Y25-'Entries September''25'!Y24&lt;1,"0",'Entries September''25'!Y25-'Entries September''25'!Y24)</f>
        <v>89</v>
      </c>
      <c r="P25" s="523">
        <f>IF('Entries September''25'!AC25-'Entries September''25'!AC24&lt;1,"0",'Entries September''25'!AC25-'Entries September''25'!AC24)</f>
        <v>24</v>
      </c>
      <c r="Q25" s="523">
        <f>IF('Entries September''25'!Z25-'Entries September''25'!Z24&lt;1,"0",'Entries September''25'!Z25-'Entries September''25'!Z24)</f>
        <v>15</v>
      </c>
      <c r="R25" s="523" t="str">
        <f>IF(('Entries September''25'!AA25-'Entries September''25'!AA24)+('Entries September''25'!AB25-'Entries September''25'!AB24)&lt;1,"0",('Entries September''25'!AA25-'Entries September''25'!AA24)+('Entries September''25'!AB25-'Entries September''25'!AB24))</f>
        <v>0</v>
      </c>
      <c r="S25" s="341">
        <f t="shared" si="1"/>
        <v>1800</v>
      </c>
      <c r="T25" s="341">
        <f t="shared" si="2"/>
        <v>137</v>
      </c>
      <c r="U25" s="523">
        <f>IF('Entries September''25'!AC25-'Entries September''25'!AC24&lt;1,"0",'Entries September''25'!AC25-'Entries September''25'!AC24)</f>
        <v>24</v>
      </c>
      <c r="V25" s="523" t="str">
        <f>IF('Entries September''25'!AD25-'Entries September''25'!AD24&lt;1,"0",'Entries September''25'!AD25-'Entries September''25'!AD24)</f>
        <v>0</v>
      </c>
      <c r="W25" s="523" t="str">
        <f>IF('Entries September''25'!AE25-'Entries September''25'!AE24&lt;1,"0",'Entries September''25'!AE25-'Entries September''25'!AE24)</f>
        <v>0</v>
      </c>
      <c r="X25" s="524" t="str">
        <f>IF('Entries September''25'!AI25-'Entries September''25'!AI24&lt;1,"0",'Entries September''25'!AI25-'Entries September''25'!AI24)</f>
        <v>0</v>
      </c>
      <c r="Y25" s="524" t="str">
        <f>IF('Entries September''25'!AH25-'Entries September''25'!AH24&lt;1,"0",'Entries September''25'!AH25-'Entries September''25'!AH24)</f>
        <v>0</v>
      </c>
      <c r="Z25" s="340">
        <f t="shared" si="3"/>
        <v>423</v>
      </c>
      <c r="AA25" s="341">
        <v>524.37</v>
      </c>
      <c r="AB25" s="342">
        <f t="shared" si="4"/>
        <v>8.0668230447966138</v>
      </c>
    </row>
    <row r="26" spans="1:32" x14ac:dyDescent="0.2">
      <c r="A26" s="29"/>
      <c r="B26" s="522">
        <v>20</v>
      </c>
      <c r="C26" s="341" t="str">
        <f>IF('Entries September''25'!W26-'Entries September''25'!W25&lt;1,"0",'Entries September''25'!W26-'Entries September''25'!W25)</f>
        <v>0</v>
      </c>
      <c r="D26" s="523" t="str">
        <f>IF('Entries September''25'!O26-'Entries September''25'!O25&lt;1,"0",'Entries September''25'!O26-'Entries September''25'!O25)</f>
        <v>0</v>
      </c>
      <c r="E26" s="523" t="str">
        <f>IF('Entries September''25'!P26-'Entries September''25'!P25&lt;1,"0",'Entries September''25'!P26-'Entries September''25'!P25)</f>
        <v>0</v>
      </c>
      <c r="F26" s="523" t="str">
        <f>IF('Entries September''25'!V26-'Entries September''25'!V25&lt;1,"0",'Entries September''25'!V26-'Entries September''25'!V25)</f>
        <v>0</v>
      </c>
      <c r="G26" s="523">
        <f t="shared" si="0"/>
        <v>0</v>
      </c>
      <c r="H26" s="523">
        <f>IF('Entries September''25'!Q26-'Entries September''25'!Q25&lt;1,0,'Entries September''25'!Q26-'Entries September''25'!Q25)</f>
        <v>37</v>
      </c>
      <c r="I26" s="523">
        <f>IF('Entries September''25'!AG26-'Entries September''25'!AG25&lt;1,0,'Entries September''25'!AG26-'Entries September''25'!AG25)</f>
        <v>0</v>
      </c>
      <c r="J26" s="523" t="str">
        <f>IF('Entries September''25'!S26-'Entries September''25'!S25&lt;1,"0",'Entries September''25'!S26-'Entries September''25'!S25)</f>
        <v>0</v>
      </c>
      <c r="K26" s="523" t="str">
        <f>IF('Entries September''25'!R26-'Entries September''25'!R25&lt;1,"0",'Entries September''25'!R26-'Entries September''25'!R25)</f>
        <v>0</v>
      </c>
      <c r="L26" s="523" t="str">
        <f>IF('Entries September''25'!T26-'Entries September''25'!T25&lt;1,"0",'Entries September''25'!T26-'Entries September''25'!T25)</f>
        <v>0</v>
      </c>
      <c r="M26" s="523">
        <f>IF('Entries September''25'!U26-'Entries September''25'!U25&lt;1,"0",'Entries September''25'!U26-'Entries September''25'!U25)</f>
        <v>2</v>
      </c>
      <c r="N26" s="523" t="str">
        <f>IF('Entries September''25'!X26-'Entries September''25'!X25&lt;1,"0",'Entries September''25'!X26-'Entries September''25'!X25)</f>
        <v>0</v>
      </c>
      <c r="O26" s="523">
        <f>IF('Entries September''25'!Y26-'Entries September''25'!Y25&lt;1,"0",'Entries September''25'!Y26-'Entries September''25'!Y25)</f>
        <v>6</v>
      </c>
      <c r="P26" s="523" t="str">
        <f>IF('Entries September''25'!AC26-'Entries September''25'!AC25&lt;1,"0",'Entries September''25'!AC26-'Entries September''25'!AC25)</f>
        <v>0</v>
      </c>
      <c r="Q26" s="523">
        <f>IF('Entries September''25'!Z26-'Entries September''25'!Z25&lt;1,"0",'Entries September''25'!Z26-'Entries September''25'!Z25)</f>
        <v>3</v>
      </c>
      <c r="R26" s="523" t="str">
        <f>IF(('Entries September''25'!AA26-'Entries September''25'!AA25)+('Entries September''25'!AB26-'Entries September''25'!AB25)&lt;1,"0",('Entries September''25'!AA26-'Entries September''25'!AA25)+('Entries September''25'!AB26-'Entries September''25'!AB25))</f>
        <v>0</v>
      </c>
      <c r="S26" s="341">
        <f t="shared" si="1"/>
        <v>0</v>
      </c>
      <c r="T26" s="341">
        <f t="shared" si="2"/>
        <v>8</v>
      </c>
      <c r="U26" s="523" t="str">
        <f>IF('Entries September''25'!AC26-'Entries September''25'!AC25&lt;1,"0",'Entries September''25'!AC26-'Entries September''25'!AC25)</f>
        <v>0</v>
      </c>
      <c r="V26" s="523" t="str">
        <f>IF('Entries September''25'!AD26-'Entries September''25'!AD25&lt;1,"0",'Entries September''25'!AD26-'Entries September''25'!AD25)</f>
        <v>0</v>
      </c>
      <c r="W26" s="523" t="str">
        <f>IF('Entries September''25'!AE26-'Entries September''25'!AE25&lt;1,"0",'Entries September''25'!AE26-'Entries September''25'!AE25)</f>
        <v>0</v>
      </c>
      <c r="X26" s="524" t="str">
        <f>IF('Entries September''25'!AI26-'Entries September''25'!AI25&lt;1,"0",'Entries September''25'!AI26-'Entries September''25'!AI25)</f>
        <v>0</v>
      </c>
      <c r="Y26" s="524" t="str">
        <f>IF('Entries September''25'!AH26-'Entries September''25'!AH25&lt;1,"0",'Entries September''25'!AH26-'Entries September''25'!AH25)</f>
        <v>0</v>
      </c>
      <c r="Z26" s="340">
        <f t="shared" si="3"/>
        <v>0</v>
      </c>
      <c r="AA26" s="341" t="str">
        <v>0</v>
      </c>
      <c r="AB26" s="342" t="str">
        <f t="shared" si="4"/>
        <v>0</v>
      </c>
    </row>
    <row r="27" spans="1:32" x14ac:dyDescent="0.2">
      <c r="A27" s="29"/>
      <c r="B27" s="51">
        <v>21</v>
      </c>
      <c r="C27" s="52" t="str">
        <f>IF('Entries September''25'!W27-'Entries September''25'!W26&lt;1,"0",'Entries September''25'!W27-'Entries September''25'!W26)</f>
        <v>0</v>
      </c>
      <c r="D27" s="31">
        <f>IF('Entries September''25'!O27-'Entries September''25'!O26&lt;1,"0",'Entries September''25'!O27-'Entries September''25'!O26)</f>
        <v>74</v>
      </c>
      <c r="E27" s="31">
        <f>IF('Entries September''25'!P27-'Entries September''25'!P26&lt;1,"0",'Entries September''25'!P27-'Entries September''25'!P26)</f>
        <v>45</v>
      </c>
      <c r="F27" s="31">
        <f>IF('Entries September''25'!V27-'Entries September''25'!V26&lt;1,"0",'Entries September''25'!V27-'Entries September''25'!V26)</f>
        <v>52</v>
      </c>
      <c r="G27" s="31">
        <f t="shared" si="0"/>
        <v>67</v>
      </c>
      <c r="H27" s="31">
        <f>IF('Entries September''25'!Q27-'Entries September''25'!Q26&lt;1,0,'Entries September''25'!Q27-'Entries September''25'!Q26)</f>
        <v>23</v>
      </c>
      <c r="I27" s="31">
        <f>IF('Entries September''25'!AG27-'Entries September''25'!AG26&lt;1,0,'Entries September''25'!AG27-'Entries September''25'!AG26)</f>
        <v>0</v>
      </c>
      <c r="J27" s="31">
        <f>IF('Entries September''25'!S27-'Entries September''25'!S26&lt;1,"0",'Entries September''25'!S27-'Entries September''25'!S26)</f>
        <v>1</v>
      </c>
      <c r="K27" s="31" t="str">
        <f>IF('Entries September''25'!R27-'Entries September''25'!R26&lt;1,"0",'Entries September''25'!R27-'Entries September''25'!R26)</f>
        <v>0</v>
      </c>
      <c r="L27" s="31" t="str">
        <f>IF('Entries September''25'!T27-'Entries September''25'!T26&lt;1,"0",'Entries September''25'!T27-'Entries September''25'!T26)</f>
        <v>0</v>
      </c>
      <c r="M27" s="31">
        <f>IF('Entries September''25'!U27-'Entries September''25'!U26&lt;1,"0",'Entries September''25'!U27-'Entries September''25'!U26)</f>
        <v>1</v>
      </c>
      <c r="N27" s="31" t="str">
        <f>IF('Entries September''25'!X27-'Entries September''25'!X26&lt;1,"0",'Entries September''25'!X27-'Entries September''25'!X26)</f>
        <v>0</v>
      </c>
      <c r="O27" s="31">
        <f>IF('Entries September''25'!Y27-'Entries September''25'!Y26&lt;1,"0",'Entries September''25'!Y27-'Entries September''25'!Y26)</f>
        <v>25</v>
      </c>
      <c r="P27" s="31">
        <f>IF('Entries September''25'!AC27-'Entries September''25'!AC26&lt;1,"0",'Entries September''25'!AC27-'Entries September''25'!AC26)</f>
        <v>14</v>
      </c>
      <c r="Q27" s="31">
        <f>IF('Entries September''25'!Z27-'Entries September''25'!Z26&lt;1,"0",'Entries September''25'!Z27-'Entries September''25'!Z26)</f>
        <v>7</v>
      </c>
      <c r="R27" s="31" t="str">
        <f>IF(('Entries September''25'!AA27-'Entries September''25'!AA26)+('Entries September''25'!AB27-'Entries September''25'!AB26)&lt;1,"0",('Entries September''25'!AA27-'Entries September''25'!AA26)+('Entries September''25'!AB27-'Entries September''25'!AB26))</f>
        <v>0</v>
      </c>
      <c r="S27" s="52">
        <f t="shared" si="1"/>
        <v>670</v>
      </c>
      <c r="T27" s="52">
        <f t="shared" si="2"/>
        <v>26</v>
      </c>
      <c r="U27" s="31">
        <f>IF('Entries September''25'!AC27-'Entries September''25'!AC26&lt;1,"0",'Entries September''25'!AC27-'Entries September''25'!AC26)</f>
        <v>14</v>
      </c>
      <c r="V27" s="31" t="str">
        <f>IF('Entries September''25'!AD27-'Entries September''25'!AD26&lt;1,"0",'Entries September''25'!AD27-'Entries September''25'!AD26)</f>
        <v>0</v>
      </c>
      <c r="W27" s="31" t="str">
        <f>IF('Entries September''25'!AE27-'Entries September''25'!AE26&lt;1,"0",'Entries September''25'!AE27-'Entries September''25'!AE26)</f>
        <v>0</v>
      </c>
      <c r="X27" s="79" t="str">
        <f>IF('Entries September''25'!AI27-'Entries September''25'!AI26&lt;1,"0",'Entries September''25'!AI27-'Entries September''25'!AI26)</f>
        <v>0</v>
      </c>
      <c r="Y27" s="79" t="str">
        <f>IF('Entries September''25'!AH27-'Entries September''25'!AH26&lt;1,"0",'Entries September''25'!AH27-'Entries September''25'!AH26)</f>
        <v>0</v>
      </c>
      <c r="Z27" s="340">
        <f t="shared" si="3"/>
        <v>119</v>
      </c>
      <c r="AA27" s="341" t="str">
        <v>0</v>
      </c>
      <c r="AB27" s="342" t="str">
        <f t="shared" si="4"/>
        <v>0</v>
      </c>
    </row>
    <row r="28" spans="1:32" x14ac:dyDescent="0.2">
      <c r="B28" s="51">
        <v>22</v>
      </c>
      <c r="C28" s="52" t="str">
        <f>IF('Entries September''25'!W28-'Entries September''25'!W27&lt;1,"0",'Entries September''25'!W28-'Entries September''25'!W27)</f>
        <v>0</v>
      </c>
      <c r="D28" s="31">
        <f>IF('Entries September''25'!O28-'Entries September''25'!O27&lt;1,"0",'Entries September''25'!O28-'Entries September''25'!O27)</f>
        <v>199</v>
      </c>
      <c r="E28" s="31">
        <f>IF('Entries September''25'!P28-'Entries September''25'!P27&lt;1,"0",'Entries September''25'!P28-'Entries September''25'!P27)</f>
        <v>136</v>
      </c>
      <c r="F28" s="31">
        <f>IF('Entries September''25'!V28-'Entries September''25'!V27&lt;1,"0",'Entries September''25'!V28-'Entries September''25'!V27)</f>
        <v>142</v>
      </c>
      <c r="G28" s="31">
        <f t="shared" si="0"/>
        <v>193</v>
      </c>
      <c r="H28" s="31">
        <f>IF('Entries September''25'!Q28-'Entries September''25'!Q27&lt;1,0,'Entries September''25'!Q28-'Entries September''25'!Q27)</f>
        <v>267</v>
      </c>
      <c r="I28" s="31">
        <f>IF('Entries September''25'!AG28-'Entries September''25'!AG27&lt;1,0,'Entries September''25'!AG28-'Entries September''25'!AG27)</f>
        <v>0</v>
      </c>
      <c r="J28" s="31">
        <f>IF('Entries September''25'!S28-'Entries September''25'!S27&lt;1,"0",'Entries September''25'!S28-'Entries September''25'!S27)</f>
        <v>131</v>
      </c>
      <c r="K28" s="31" t="str">
        <f>IF('Entries September''25'!R28-'Entries September''25'!R27&lt;1,"0",'Entries September''25'!R28-'Entries September''25'!R27)</f>
        <v>0</v>
      </c>
      <c r="L28" s="31" t="str">
        <f>IF('Entries September''25'!T28-'Entries September''25'!T27&lt;1,"0",'Entries September''25'!T28-'Entries September''25'!T27)</f>
        <v>0</v>
      </c>
      <c r="M28" s="31">
        <f>IF('Entries September''25'!U28-'Entries September''25'!U27&lt;1,"0",'Entries September''25'!U28-'Entries September''25'!U27)</f>
        <v>10</v>
      </c>
      <c r="N28" s="31">
        <f>IF('Entries September''25'!X28-'Entries September''25'!X27&lt;1,"0",'Entries September''25'!X28-'Entries September''25'!X27)</f>
        <v>42</v>
      </c>
      <c r="O28" s="31">
        <f>IF('Entries September''25'!Y28-'Entries September''25'!Y27&lt;1,"0",'Entries September''25'!Y28-'Entries September''25'!Y27)</f>
        <v>87</v>
      </c>
      <c r="P28" s="31" t="str">
        <f>IF('Entries September''25'!AC28-'Entries September''25'!AC27&lt;1,"0",'Entries September''25'!AC28-'Entries September''25'!AC27)</f>
        <v>0</v>
      </c>
      <c r="Q28" s="31">
        <f>IF('Entries September''25'!Z28-'Entries September''25'!Z27&lt;1,"0",'Entries September''25'!Z28-'Entries September''25'!Z27)</f>
        <v>17</v>
      </c>
      <c r="R28" s="31" t="str">
        <f>IF(('Entries September''25'!AA28-'Entries September''25'!AA27)+('Entries September''25'!AB28-'Entries September''25'!AB27)&lt;1,"0",('Entries September''25'!AA28-'Entries September''25'!AA27)+('Entries September''25'!AB28-'Entries September''25'!AB27))</f>
        <v>0</v>
      </c>
      <c r="S28" s="52">
        <f t="shared" si="1"/>
        <v>1930</v>
      </c>
      <c r="T28" s="52">
        <f t="shared" si="2"/>
        <v>139</v>
      </c>
      <c r="U28" s="31" t="str">
        <f>IF('Entries September''25'!AC28-'Entries September''25'!AC27&lt;1,"0",'Entries September''25'!AC28-'Entries September''25'!AC27)</f>
        <v>0</v>
      </c>
      <c r="V28" s="31" t="str">
        <f>IF('Entries September''25'!AD28-'Entries September''25'!AD27&lt;1,"0",'Entries September''25'!AD28-'Entries September''25'!AD27)</f>
        <v>0</v>
      </c>
      <c r="W28" s="31" t="str">
        <f>IF('Entries September''25'!AE28-'Entries September''25'!AE27&lt;1,"0",'Entries September''25'!AE28-'Entries September''25'!AE27)</f>
        <v>0</v>
      </c>
      <c r="X28" s="79" t="str">
        <f>IF('Entries September''25'!AI28-'Entries September''25'!AI27&lt;1,"0",'Entries September''25'!AI28-'Entries September''25'!AI27)</f>
        <v>0</v>
      </c>
      <c r="Y28" s="79" t="str">
        <f>IF('Entries September''25'!AH28-'Entries September''25'!AH27&lt;1,"0",'Entries September''25'!AH28-'Entries September''25'!AH27)</f>
        <v>0</v>
      </c>
      <c r="Z28" s="340">
        <f t="shared" si="3"/>
        <v>335</v>
      </c>
      <c r="AA28" s="341">
        <v>349.47</v>
      </c>
      <c r="AB28" s="342">
        <f t="shared" si="4"/>
        <v>9.5859444301370633</v>
      </c>
    </row>
    <row r="29" spans="1:32" x14ac:dyDescent="0.2">
      <c r="B29" s="51">
        <v>23</v>
      </c>
      <c r="C29" s="52" t="str">
        <f>IF('Entries September''25'!W29-'Entries September''25'!W28&lt;1,"0",'Entries September''25'!W29-'Entries September''25'!W28)</f>
        <v>0</v>
      </c>
      <c r="D29" s="31">
        <f>IF('Entries September''25'!O29-'Entries September''25'!O28&lt;1,"0",'Entries September''25'!O29-'Entries September''25'!O28)</f>
        <v>396</v>
      </c>
      <c r="E29" s="31">
        <f>IF('Entries September''25'!P29-'Entries September''25'!P28&lt;1,"0",'Entries September''25'!P29-'Entries September''25'!P28)</f>
        <v>57</v>
      </c>
      <c r="F29" s="31">
        <f>IF('Entries September''25'!V29-'Entries September''25'!V28&lt;1,"0",'Entries September''25'!V29-'Entries September''25'!V28)</f>
        <v>59</v>
      </c>
      <c r="G29" s="31">
        <f t="shared" si="0"/>
        <v>394</v>
      </c>
      <c r="H29" s="31">
        <f>IF('Entries September''25'!Q29-'Entries September''25'!Q28&lt;1,0,'Entries September''25'!Q29-'Entries September''25'!Q28)</f>
        <v>259</v>
      </c>
      <c r="I29" s="31">
        <f>IF('Entries September''25'!AG29-'Entries September''25'!AG28&lt;1,0,'Entries September''25'!AG29-'Entries September''25'!AG28)</f>
        <v>0</v>
      </c>
      <c r="J29" s="31">
        <f>IF('Entries September''25'!S29-'Entries September''25'!S28&lt;1,"0",'Entries September''25'!S29-'Entries September''25'!S28)</f>
        <v>192</v>
      </c>
      <c r="K29" s="31" t="str">
        <f>IF('Entries September''25'!R29-'Entries September''25'!R28&lt;1,"0",'Entries September''25'!R29-'Entries September''25'!R28)</f>
        <v>0</v>
      </c>
      <c r="L29" s="31" t="str">
        <f>IF('Entries September''25'!T29-'Entries September''25'!T28&lt;1,"0",'Entries September''25'!T29-'Entries September''25'!T28)</f>
        <v>0</v>
      </c>
      <c r="M29" s="31">
        <f>IF('Entries September''25'!U29-'Entries September''25'!U28&lt;1,"0",'Entries September''25'!U29-'Entries September''25'!U28)</f>
        <v>11</v>
      </c>
      <c r="N29" s="31">
        <f>IF('Entries September''25'!X29-'Entries September''25'!X28&lt;1,"0",'Entries September''25'!X29-'Entries September''25'!X28)</f>
        <v>65</v>
      </c>
      <c r="O29" s="31">
        <f>IF('Entries September''25'!Y29-'Entries September''25'!Y28&lt;1,"0",'Entries September''25'!Y29-'Entries September''25'!Y28)</f>
        <v>95</v>
      </c>
      <c r="P29" s="31">
        <f>IF('Entries September''25'!AC29-'Entries September''25'!AC28&lt;1,"0",'Entries September''25'!AC29-'Entries September''25'!AC28)</f>
        <v>48</v>
      </c>
      <c r="Q29" s="31">
        <f>IF('Entries September''25'!Z29-'Entries September''25'!Z28&lt;1,"0",'Entries September''25'!Z29-'Entries September''25'!Z28)</f>
        <v>13</v>
      </c>
      <c r="R29" s="31" t="str">
        <f>IF(('Entries September''25'!AA29-'Entries September''25'!AA28)+('Entries September''25'!AB29-'Entries September''25'!AB28)&lt;1,"0",('Entries September''25'!AA29-'Entries September''25'!AA28)+('Entries September''25'!AB29-'Entries September''25'!AB28))</f>
        <v>0</v>
      </c>
      <c r="S29" s="52">
        <f t="shared" si="1"/>
        <v>3940</v>
      </c>
      <c r="T29" s="52">
        <f t="shared" si="2"/>
        <v>171</v>
      </c>
      <c r="U29" s="31">
        <f>IF('Entries September''25'!AC29-'Entries September''25'!AC28&lt;1,"0",'Entries September''25'!AC29-'Entries September''25'!AC28)</f>
        <v>48</v>
      </c>
      <c r="V29" s="31" t="str">
        <f>IF('Entries September''25'!AD29-'Entries September''25'!AD28&lt;1,"0",'Entries September''25'!AD29-'Entries September''25'!AD28)</f>
        <v>0</v>
      </c>
      <c r="W29" s="31" t="str">
        <f>IF('Entries September''25'!AE29-'Entries September''25'!AE28&lt;1,"0",'Entries September''25'!AE29-'Entries September''25'!AE28)</f>
        <v>0</v>
      </c>
      <c r="X29" s="79" t="str">
        <f>IF('Entries September''25'!AI29-'Entries September''25'!AI28&lt;1,"0",'Entries September''25'!AI29-'Entries September''25'!AI28)</f>
        <v>0</v>
      </c>
      <c r="Y29" s="79" t="str">
        <f>IF('Entries September''25'!AH29-'Entries September''25'!AH28&lt;1,"0",'Entries September''25'!AH29-'Entries September''25'!AH28)</f>
        <v>0</v>
      </c>
      <c r="Z29" s="340">
        <f t="shared" si="3"/>
        <v>453</v>
      </c>
      <c r="AA29" s="341">
        <v>484.24200000000002</v>
      </c>
      <c r="AB29" s="342">
        <f t="shared" si="4"/>
        <v>9.3548267188719691</v>
      </c>
    </row>
    <row r="30" spans="1:32" x14ac:dyDescent="0.2">
      <c r="B30" s="51">
        <v>24</v>
      </c>
      <c r="C30" s="52" t="str">
        <f>IF('Entries September''25'!W30-'Entries September''25'!W29&lt;1,"0",'Entries September''25'!W30-'Entries September''25'!W29)</f>
        <v>0</v>
      </c>
      <c r="D30" s="31">
        <f>IF('Entries September''25'!O30-'Entries September''25'!O29&lt;1,"0",'Entries September''25'!O30-'Entries September''25'!O29)</f>
        <v>102</v>
      </c>
      <c r="E30" s="31">
        <f>IF('Entries September''25'!P30-'Entries September''25'!P29&lt;1,"0",'Entries September''25'!P30-'Entries September''25'!P29)</f>
        <v>121</v>
      </c>
      <c r="F30" s="31">
        <f>IF('Entries September''25'!V30-'Entries September''25'!V29&lt;1,"0",'Entries September''25'!V30-'Entries September''25'!V29)</f>
        <v>130</v>
      </c>
      <c r="G30" s="31">
        <f t="shared" si="0"/>
        <v>93</v>
      </c>
      <c r="H30" s="31">
        <f>IF('Entries September''25'!Q30-'Entries September''25'!Q29&lt;1,0,'Entries September''25'!Q30-'Entries September''25'!Q29)</f>
        <v>102</v>
      </c>
      <c r="I30" s="31">
        <f>IF('Entries September''25'!AG30-'Entries September''25'!AG29&lt;1,0,'Entries September''25'!AG30-'Entries September''25'!AG29)</f>
        <v>0</v>
      </c>
      <c r="J30" s="31">
        <f>IF('Entries September''25'!S30-'Entries September''25'!S29&lt;1,"0",'Entries September''25'!S30-'Entries September''25'!S29)</f>
        <v>163</v>
      </c>
      <c r="K30" s="31" t="str">
        <f>IF('Entries September''25'!R30-'Entries September''25'!R29&lt;1,"0",'Entries September''25'!R30-'Entries September''25'!R29)</f>
        <v>0</v>
      </c>
      <c r="L30" s="31" t="str">
        <f>IF('Entries September''25'!T30-'Entries September''25'!T29&lt;1,"0",'Entries September''25'!T30-'Entries September''25'!T29)</f>
        <v>0</v>
      </c>
      <c r="M30" s="31" t="str">
        <f>IF('Entries September''25'!U30-'Entries September''25'!U29&lt;1,"0",'Entries September''25'!U30-'Entries September''25'!U29)</f>
        <v>0</v>
      </c>
      <c r="N30" s="31">
        <f>IF('Entries September''25'!X30-'Entries September''25'!X29&lt;1,"0",'Entries September''25'!X30-'Entries September''25'!X29)</f>
        <v>57</v>
      </c>
      <c r="O30" s="31">
        <f>IF('Entries September''25'!Y30-'Entries September''25'!Y29&lt;1,"0",'Entries September''25'!Y30-'Entries September''25'!Y29)</f>
        <v>1</v>
      </c>
      <c r="P30" s="31">
        <f>IF('Entries September''25'!AC30-'Entries September''25'!AC29&lt;1,"0",'Entries September''25'!AC30-'Entries September''25'!AC29)</f>
        <v>2</v>
      </c>
      <c r="Q30" s="31">
        <f>IF('Entries September''25'!Z30-'Entries September''25'!Z29&lt;1,"0",'Entries September''25'!Z30-'Entries September''25'!Z29)</f>
        <v>5</v>
      </c>
      <c r="R30" s="31" t="str">
        <f>IF(('Entries September''25'!AA30-'Entries September''25'!AA29)+('Entries September''25'!AB30-'Entries September''25'!AB29)&lt;1,"0",('Entries September''25'!AA30-'Entries September''25'!AA29)+('Entries September''25'!AB30-'Entries September''25'!AB29))</f>
        <v>0</v>
      </c>
      <c r="S30" s="52">
        <f t="shared" si="1"/>
        <v>930</v>
      </c>
      <c r="T30" s="52">
        <f t="shared" si="2"/>
        <v>58</v>
      </c>
      <c r="U30" s="31">
        <f>IF('Entries September''25'!AC30-'Entries September''25'!AC29&lt;1,"0",'Entries September''25'!AC30-'Entries September''25'!AC29)</f>
        <v>2</v>
      </c>
      <c r="V30" s="31" t="str">
        <f>IF('Entries September''25'!AD30-'Entries September''25'!AD29&lt;1,"0",'Entries September''25'!AD30-'Entries September''25'!AD29)</f>
        <v>0</v>
      </c>
      <c r="W30" s="31" t="str">
        <f>IF('Entries September''25'!AE30-'Entries September''25'!AE29&lt;1,"0",'Entries September''25'!AE30-'Entries September''25'!AE29)</f>
        <v>0</v>
      </c>
      <c r="X30" s="79" t="str">
        <f>IF('Entries September''25'!AI30-'Entries September''25'!AI29&lt;1,"0",'Entries September''25'!AI30-'Entries September''25'!AI29)</f>
        <v>0</v>
      </c>
      <c r="Y30" s="79" t="str">
        <f>IF('Entries September''25'!AH30-'Entries September''25'!AH29&lt;1,"0",'Entries September''25'!AH30-'Entries September''25'!AH29)</f>
        <v>0</v>
      </c>
      <c r="Z30" s="340">
        <f t="shared" si="3"/>
        <v>223</v>
      </c>
      <c r="AA30" s="341" t="str">
        <v>0</v>
      </c>
      <c r="AB30" s="342" t="str">
        <f t="shared" si="4"/>
        <v>0</v>
      </c>
    </row>
    <row r="31" spans="1:32" x14ac:dyDescent="0.2">
      <c r="B31" s="51">
        <v>25</v>
      </c>
      <c r="C31" s="52" t="str">
        <f>IF('Entries September''25'!W31-'Entries September''25'!W30&lt;1,"0",'Entries September''25'!W31-'Entries September''25'!W30)</f>
        <v>0</v>
      </c>
      <c r="D31" s="31">
        <f>IF('Entries September''25'!O31-'Entries September''25'!O30&lt;1,"0",'Entries September''25'!O31-'Entries September''25'!O30)</f>
        <v>251</v>
      </c>
      <c r="E31" s="31">
        <f>IF('Entries September''25'!P31-'Entries September''25'!P30&lt;1,"0",'Entries September''25'!P31-'Entries September''25'!P30)</f>
        <v>129</v>
      </c>
      <c r="F31" s="31">
        <f>IF('Entries September''25'!V31-'Entries September''25'!V30&lt;1,"0",'Entries September''25'!V31-'Entries September''25'!V30)</f>
        <v>132</v>
      </c>
      <c r="G31" s="31">
        <f t="shared" si="0"/>
        <v>248</v>
      </c>
      <c r="H31" s="31">
        <f>IF('Entries September''25'!Q31-'Entries September''25'!Q30&lt;1,0,'Entries September''25'!Q31-'Entries September''25'!Q30)</f>
        <v>196</v>
      </c>
      <c r="I31" s="31">
        <f>IF('Entries September''25'!AG31-'Entries September''25'!AG30&lt;1,0,'Entries September''25'!AG31-'Entries September''25'!AG30)</f>
        <v>0</v>
      </c>
      <c r="J31" s="31">
        <f>IF('Entries September''25'!S31-'Entries September''25'!S30&lt;1,"0",'Entries September''25'!S31-'Entries September''25'!S30)</f>
        <v>179</v>
      </c>
      <c r="K31" s="31" t="str">
        <f>IF('Entries September''25'!R31-'Entries September''25'!R30&lt;1,"0",'Entries September''25'!R31-'Entries September''25'!R30)</f>
        <v>0</v>
      </c>
      <c r="L31" s="31" t="str">
        <f>IF('Entries September''25'!T31-'Entries September''25'!T30&lt;1,"0",'Entries September''25'!T31-'Entries September''25'!T30)</f>
        <v>0</v>
      </c>
      <c r="M31" s="31">
        <f>IF('Entries September''25'!U31-'Entries September''25'!U30&lt;1,"0",'Entries September''25'!U31-'Entries September''25'!U30)</f>
        <v>6</v>
      </c>
      <c r="N31" s="31">
        <f>IF('Entries September''25'!X31-'Entries September''25'!X30&lt;1,"0",'Entries September''25'!X31-'Entries September''25'!X30)</f>
        <v>45</v>
      </c>
      <c r="O31" s="31">
        <f>IF('Entries September''25'!Y31-'Entries September''25'!Y30&lt;1,"0",'Entries September''25'!Y31-'Entries September''25'!Y30)</f>
        <v>77</v>
      </c>
      <c r="P31" s="31">
        <f>IF('Entries September''25'!AC31-'Entries September''25'!AC30&lt;1,"0",'Entries September''25'!AC31-'Entries September''25'!AC30)</f>
        <v>18</v>
      </c>
      <c r="Q31" s="31">
        <f>IF('Entries September''25'!Z31-'Entries September''25'!Z30&lt;1,"0",'Entries September''25'!Z31-'Entries September''25'!Z30)</f>
        <v>13</v>
      </c>
      <c r="R31" s="31" t="str">
        <f>IF(('Entries September''25'!AA31-'Entries September''25'!AA30)+('Entries September''25'!AB31-'Entries September''25'!AB30)&lt;1,"0",('Entries September''25'!AA31-'Entries September''25'!AA30)+('Entries September''25'!AB31-'Entries September''25'!AB30))</f>
        <v>0</v>
      </c>
      <c r="S31" s="52">
        <f t="shared" si="1"/>
        <v>2480</v>
      </c>
      <c r="T31" s="52">
        <f t="shared" si="2"/>
        <v>128</v>
      </c>
      <c r="U31" s="31">
        <f>IF('Entries September''25'!AC31-'Entries September''25'!AC30&lt;1,"0",'Entries September''25'!AC31-'Entries September''25'!AC30)</f>
        <v>18</v>
      </c>
      <c r="V31" s="31">
        <f>IF('Entries September''25'!AD31-'Entries September''25'!AD30&lt;1,"0",'Entries September''25'!AD31-'Entries September''25'!AD30)</f>
        <v>30</v>
      </c>
      <c r="W31" s="31" t="str">
        <f>IF('Entries September''25'!AE31-'Entries September''25'!AE30&lt;1,"0",'Entries September''25'!AE31-'Entries September''25'!AE30)</f>
        <v>0</v>
      </c>
      <c r="X31" s="79" t="str">
        <f>IF('Entries September''25'!AI31-'Entries September''25'!AI30&lt;1,"0",'Entries September''25'!AI31-'Entries September''25'!AI30)</f>
        <v>0</v>
      </c>
      <c r="Y31" s="79" t="str">
        <f>IF('Entries September''25'!AH31-'Entries September''25'!AH30&lt;1,"0",'Entries September''25'!AH31-'Entries September''25'!AH30)</f>
        <v>0</v>
      </c>
      <c r="Z31" s="340">
        <f t="shared" si="3"/>
        <v>380</v>
      </c>
      <c r="AA31" s="341">
        <v>282.94200000000001</v>
      </c>
      <c r="AB31" s="342">
        <f t="shared" si="4"/>
        <v>13.430314340041422</v>
      </c>
      <c r="AF31" s="8" t="s">
        <v>58</v>
      </c>
    </row>
    <row r="32" spans="1:32" x14ac:dyDescent="0.2">
      <c r="B32" s="522">
        <v>26</v>
      </c>
      <c r="C32" s="341" t="str">
        <f>IF('Entries September''25'!W32-'Entries September''25'!W31&lt;1,"0",'Entries September''25'!W32-'Entries September''25'!W31)</f>
        <v>0</v>
      </c>
      <c r="D32" s="523">
        <f>IF('Entries September''25'!O32-'Entries September''25'!O31&lt;1,"0",'Entries September''25'!O32-'Entries September''25'!O31)</f>
        <v>141</v>
      </c>
      <c r="E32" s="523">
        <f>IF('Entries September''25'!P32-'Entries September''25'!P31&lt;1,"0",'Entries September''25'!P32-'Entries September''25'!P31)</f>
        <v>183</v>
      </c>
      <c r="F32" s="523">
        <f>IF('Entries September''25'!V32-'Entries September''25'!V31&lt;1,"0",'Entries September''25'!V32-'Entries September''25'!V31)</f>
        <v>193</v>
      </c>
      <c r="G32" s="523">
        <f t="shared" si="0"/>
        <v>131</v>
      </c>
      <c r="H32" s="523">
        <f>IF('Entries September''25'!Q32-'Entries September''25'!Q31&lt;1,0,'Entries September''25'!Q32-'Entries September''25'!Q31)</f>
        <v>240</v>
      </c>
      <c r="I32" s="523">
        <f>IF('Entries September''25'!AG32-'Entries September''25'!AG31&lt;1,0,'Entries September''25'!AG32-'Entries September''25'!AG31)</f>
        <v>0</v>
      </c>
      <c r="J32" s="523">
        <f>IF('Entries September''25'!S32-'Entries September''25'!S31&lt;1,"0",'Entries September''25'!S32-'Entries September''25'!S31)</f>
        <v>113</v>
      </c>
      <c r="K32" s="523" t="str">
        <f>IF('Entries September''25'!R32-'Entries September''25'!R31&lt;1,"0",'Entries September''25'!R32-'Entries September''25'!R31)</f>
        <v>0</v>
      </c>
      <c r="L32" s="523" t="str">
        <f>IF('Entries September''25'!T32-'Entries September''25'!T31&lt;1,"0",'Entries September''25'!T32-'Entries September''25'!T31)</f>
        <v>0</v>
      </c>
      <c r="M32" s="523">
        <f>IF('Entries September''25'!U32-'Entries September''25'!U31&lt;1,"0",'Entries September''25'!U32-'Entries September''25'!U31)</f>
        <v>6</v>
      </c>
      <c r="N32" s="523">
        <f>IF('Entries September''25'!X32-'Entries September''25'!X31&lt;1,"0",'Entries September''25'!X32-'Entries September''25'!X31)</f>
        <v>51</v>
      </c>
      <c r="O32" s="523">
        <f>IF('Entries September''25'!Y32-'Entries September''25'!Y31&lt;1,"0",'Entries September''25'!Y32-'Entries September''25'!Y31)</f>
        <v>99</v>
      </c>
      <c r="P32" s="523">
        <f>IF('Entries September''25'!AC32-'Entries September''25'!AC31&lt;1,"0",'Entries September''25'!AC32-'Entries September''25'!AC31)</f>
        <v>26</v>
      </c>
      <c r="Q32" s="523">
        <f>IF('Entries September''25'!Z32-'Entries September''25'!Z31&lt;1,"0",'Entries September''25'!Z32-'Entries September''25'!Z31)</f>
        <v>15</v>
      </c>
      <c r="R32" s="523" t="str">
        <f>IF(('Entries September''25'!AA32-'Entries September''25'!AA31)+('Entries September''25'!AB32-'Entries September''25'!AB31)&lt;1,"0",('Entries September''25'!AA32-'Entries September''25'!AA31)+('Entries September''25'!AB32-'Entries September''25'!AB31))</f>
        <v>0</v>
      </c>
      <c r="S32" s="341">
        <f t="shared" si="1"/>
        <v>1310</v>
      </c>
      <c r="T32" s="341">
        <f t="shared" si="2"/>
        <v>156</v>
      </c>
      <c r="U32" s="523">
        <f>IF('Entries September''25'!AC32-'Entries September''25'!AC31&lt;1,"0",'Entries September''25'!AC32-'Entries September''25'!AC31)</f>
        <v>26</v>
      </c>
      <c r="V32" s="523">
        <f>IF('Entries September''25'!AD32-'Entries September''25'!AD31&lt;1,"0",'Entries September''25'!AD32-'Entries September''25'!AD31)</f>
        <v>69</v>
      </c>
      <c r="W32" s="523" t="str">
        <f>IF('Entries September''25'!AE32-'Entries September''25'!AE31&lt;1,"0",'Entries September''25'!AE32-'Entries September''25'!AE31)</f>
        <v>0</v>
      </c>
      <c r="X32" s="524" t="str">
        <f>IF('Entries September''25'!AI32-'Entries September''25'!AI31&lt;1,"0",'Entries September''25'!AI32-'Entries September''25'!AI31)</f>
        <v>0</v>
      </c>
      <c r="Y32" s="524" t="str">
        <f>IF('Entries September''25'!AH32-'Entries September''25'!AH31&lt;1,"0",'Entries September''25'!AH32-'Entries September''25'!AH31)</f>
        <v>0</v>
      </c>
      <c r="Z32" s="340">
        <f t="shared" si="3"/>
        <v>324</v>
      </c>
      <c r="AA32" s="341">
        <v>523.24800000000005</v>
      </c>
      <c r="AB32" s="342">
        <f t="shared" si="4"/>
        <v>6.1920924685808636</v>
      </c>
    </row>
    <row r="33" spans="1:36" x14ac:dyDescent="0.2">
      <c r="A33" s="29"/>
      <c r="B33" s="522">
        <v>27</v>
      </c>
      <c r="C33" s="341" t="str">
        <f>IF('Entries September''25'!W33-'Entries September''25'!W32&lt;1,"0",'Entries September''25'!W33-'Entries September''25'!W32)</f>
        <v>0</v>
      </c>
      <c r="D33" s="523" t="str">
        <f>IF('Entries September''25'!O33-'Entries September''25'!O32&lt;1,"0",'Entries September''25'!O33-'Entries September''25'!O32)</f>
        <v>0</v>
      </c>
      <c r="E33" s="523">
        <f>IF('Entries September''25'!P33-'Entries September''25'!P32&lt;1,"0",'Entries September''25'!P33-'Entries September''25'!P32)</f>
        <v>147</v>
      </c>
      <c r="F33" s="523">
        <f>IF('Entries September''25'!V33-'Entries September''25'!V32&lt;1,"0",'Entries September''25'!V33-'Entries September''25'!V32)</f>
        <v>154</v>
      </c>
      <c r="G33" s="523">
        <f t="shared" si="0"/>
        <v>-7</v>
      </c>
      <c r="H33" s="523">
        <f>IF('Entries September''25'!Q33-'Entries September''25'!Q32&lt;1,0,'Entries September''25'!Q33-'Entries September''25'!Q32)</f>
        <v>68</v>
      </c>
      <c r="I33" s="523">
        <f>IF('Entries September''25'!AG33-'Entries September''25'!AG32&lt;1,0,'Entries September''25'!AG33-'Entries September''25'!AG32)</f>
        <v>0</v>
      </c>
      <c r="J33" s="523">
        <f>IF('Entries September''25'!S33-'Entries September''25'!S32&lt;1,"0",'Entries September''25'!S33-'Entries September''25'!S32)</f>
        <v>35</v>
      </c>
      <c r="K33" s="523" t="str">
        <f>IF('Entries September''25'!R33-'Entries September''25'!R32&lt;1,"0",'Entries September''25'!R33-'Entries September''25'!R32)</f>
        <v>0</v>
      </c>
      <c r="L33" s="523" t="str">
        <f>IF('Entries September''25'!T33-'Entries September''25'!T32&lt;1,"0",'Entries September''25'!T33-'Entries September''25'!T32)</f>
        <v>0</v>
      </c>
      <c r="M33" s="523">
        <f>IF('Entries September''25'!U33-'Entries September''25'!U32&lt;1,"0",'Entries September''25'!U33-'Entries September''25'!U32)</f>
        <v>5</v>
      </c>
      <c r="N33" s="523" t="str">
        <f>IF('Entries September''25'!X33-'Entries September''25'!X32&lt;1,"0",'Entries September''25'!X33-'Entries September''25'!X32)</f>
        <v>0</v>
      </c>
      <c r="O33" s="523">
        <f>IF('Entries September''25'!Y33-'Entries September''25'!Y32&lt;1,"0",'Entries September''25'!Y33-'Entries September''25'!Y32)</f>
        <v>30</v>
      </c>
      <c r="P33" s="523">
        <f>IF('Entries September''25'!AC33-'Entries September''25'!AC32&lt;1,"0",'Entries September''25'!AC33-'Entries September''25'!AC32)</f>
        <v>1</v>
      </c>
      <c r="Q33" s="523">
        <f>IF('Entries September''25'!Z33-'Entries September''25'!Z32&lt;1,"0",'Entries September''25'!Z33-'Entries September''25'!Z32)</f>
        <v>1</v>
      </c>
      <c r="R33" s="523" t="str">
        <f>IF(('Entries September''25'!AA33-'Entries September''25'!AA32)+('Entries September''25'!AB33-'Entries September''25'!AB32)&lt;1,"0",('Entries September''25'!AA33-'Entries September''25'!AA32)+('Entries September''25'!AB33-'Entries September''25'!AB32))</f>
        <v>0</v>
      </c>
      <c r="S33" s="341">
        <f t="shared" si="1"/>
        <v>-70</v>
      </c>
      <c r="T33" s="341">
        <f t="shared" si="2"/>
        <v>35</v>
      </c>
      <c r="U33" s="523">
        <f>IF('Entries September''25'!AC33-'Entries September''25'!AC32&lt;1,"0",'Entries September''25'!AC33-'Entries September''25'!AC32)</f>
        <v>1</v>
      </c>
      <c r="V33" s="523" t="str">
        <f>IF('Entries September''25'!AD33-'Entries September''25'!AD32&lt;1,"0",'Entries September''25'!AD33-'Entries September''25'!AD32)</f>
        <v>0</v>
      </c>
      <c r="W33" s="523" t="str">
        <f>IF('Entries September''25'!AE33-'Entries September''25'!AE32&lt;1,"0",'Entries September''25'!AE33-'Entries September''25'!AE32)</f>
        <v>0</v>
      </c>
      <c r="X33" s="524" t="str">
        <f>IF('Entries September''25'!AI33-'Entries September''25'!AI32&lt;1,"0",'Entries September''25'!AI33-'Entries September''25'!AI32)</f>
        <v>0</v>
      </c>
      <c r="Y33" s="524" t="str">
        <f>IF('Entries September''25'!AH33-'Entries September''25'!AH32&lt;1,"0",'Entries September''25'!AH33-'Entries September''25'!AH32)</f>
        <v>0</v>
      </c>
      <c r="Z33" s="340">
        <f t="shared" si="3"/>
        <v>147</v>
      </c>
      <c r="AA33" s="341" t="str">
        <v>0</v>
      </c>
      <c r="AB33" s="342" t="str">
        <f t="shared" si="4"/>
        <v>0</v>
      </c>
    </row>
    <row r="34" spans="1:36" x14ac:dyDescent="0.2">
      <c r="A34" s="29"/>
      <c r="B34" s="51">
        <v>28</v>
      </c>
      <c r="C34" s="52" t="str">
        <f>IF('Entries September''25'!W34-'Entries September''25'!W33&lt;1,"0",'Entries September''25'!W34-'Entries September''25'!W33)</f>
        <v>0</v>
      </c>
      <c r="D34" s="31" t="str">
        <f>IF('Entries September''25'!O34-'Entries September''25'!O33&lt;1,"0",'Entries September''25'!O34-'Entries September''25'!O33)</f>
        <v>0</v>
      </c>
      <c r="E34" s="31" t="str">
        <f>IF('Entries September''25'!P34-'Entries September''25'!P33&lt;1,"0",'Entries September''25'!P34-'Entries September''25'!P33)</f>
        <v>0</v>
      </c>
      <c r="F34" s="31" t="str">
        <f>IF('Entries September''25'!V34-'Entries September''25'!V33&lt;1,"0",'Entries September''25'!V34-'Entries September''25'!V33)</f>
        <v>0</v>
      </c>
      <c r="G34" s="31">
        <f t="shared" si="0"/>
        <v>0</v>
      </c>
      <c r="H34" s="31">
        <f>IF('Entries September''25'!Q34-'Entries September''25'!Q33&lt;1,0,'Entries September''25'!Q34-'Entries September''25'!Q33)</f>
        <v>19</v>
      </c>
      <c r="I34" s="31">
        <f>IF('Entries September''25'!AG34-'Entries September''25'!AG33&lt;1,0,'Entries September''25'!AG34-'Entries September''25'!AG33)</f>
        <v>0</v>
      </c>
      <c r="J34" s="31">
        <f>IF('Entries September''25'!S34-'Entries September''25'!S33&lt;1,"0",'Entries September''25'!S34-'Entries September''25'!S33)</f>
        <v>1</v>
      </c>
      <c r="K34" s="31" t="str">
        <f>IF('Entries September''25'!R34-'Entries September''25'!R33&lt;1,"0",'Entries September''25'!R34-'Entries September''25'!R33)</f>
        <v>0</v>
      </c>
      <c r="L34" s="31" t="str">
        <f>IF('Entries September''25'!T34-'Entries September''25'!T33&lt;1,"0",'Entries September''25'!T34-'Entries September''25'!T33)</f>
        <v>0</v>
      </c>
      <c r="M34" s="31" t="str">
        <f>IF('Entries September''25'!U34-'Entries September''25'!U33&lt;1,"0",'Entries September''25'!U34-'Entries September''25'!U33)</f>
        <v>0</v>
      </c>
      <c r="N34" s="31" t="str">
        <f>IF('Entries September''25'!X34-'Entries September''25'!X33&lt;1,"0",'Entries September''25'!X34-'Entries September''25'!X33)</f>
        <v>0</v>
      </c>
      <c r="O34" s="31">
        <f>IF('Entries September''25'!Y34-'Entries September''25'!Y33&lt;1,"0",'Entries September''25'!Y34-'Entries September''25'!Y33)</f>
        <v>1</v>
      </c>
      <c r="P34" s="31" t="str">
        <f>IF('Entries September''25'!AC34-'Entries September''25'!AC33&lt;1,"0",'Entries September''25'!AC34-'Entries September''25'!AC33)</f>
        <v>0</v>
      </c>
      <c r="Q34" s="31">
        <f>IF('Entries September''25'!Z34-'Entries September''25'!Z33&lt;1,"0",'Entries September''25'!Z34-'Entries September''25'!Z33)</f>
        <v>2</v>
      </c>
      <c r="R34" s="31" t="str">
        <f>IF(('Entries September''25'!AA34-'Entries September''25'!AA33)+('Entries September''25'!AB34-'Entries September''25'!AB33)&lt;1,"0",('Entries September''25'!AA34-'Entries September''25'!AA33)+('Entries September''25'!AB34-'Entries September''25'!AB33))</f>
        <v>0</v>
      </c>
      <c r="S34" s="52">
        <f t="shared" si="1"/>
        <v>0</v>
      </c>
      <c r="T34" s="52">
        <f t="shared" si="2"/>
        <v>1</v>
      </c>
      <c r="U34" s="31" t="str">
        <f>IF('Entries September''25'!AC34-'Entries September''25'!AC33&lt;1,"0",'Entries September''25'!AC34-'Entries September''25'!AC33)</f>
        <v>0</v>
      </c>
      <c r="V34" s="31" t="str">
        <f>IF('Entries September''25'!AD34-'Entries September''25'!AD33&lt;1,"0",'Entries September''25'!AD34-'Entries September''25'!AD33)</f>
        <v>0</v>
      </c>
      <c r="W34" s="31" t="str">
        <f>IF('Entries September''25'!AE34-'Entries September''25'!AE33&lt;1,"0",'Entries September''25'!AE34-'Entries September''25'!AE33)</f>
        <v>0</v>
      </c>
      <c r="X34" s="79" t="str">
        <f>IF('Entries September''25'!AI34-'Entries September''25'!AI33&lt;1,"0",'Entries September''25'!AI34-'Entries September''25'!AI33)</f>
        <v>0</v>
      </c>
      <c r="Y34" s="79" t="str">
        <f>IF('Entries September''25'!AH34-'Entries September''25'!AH33&lt;1,"0",'Entries September''25'!AH34-'Entries September''25'!AH33)</f>
        <v>0</v>
      </c>
      <c r="Z34" s="340">
        <f t="shared" si="3"/>
        <v>0</v>
      </c>
      <c r="AA34" s="341" t="str">
        <v>0</v>
      </c>
      <c r="AB34" s="342" t="str">
        <f t="shared" si="4"/>
        <v>0</v>
      </c>
    </row>
    <row r="35" spans="1:36" x14ac:dyDescent="0.2">
      <c r="B35" s="51">
        <v>29</v>
      </c>
      <c r="C35" s="52" t="str">
        <f>IF('Entries September''25'!W35-'Entries September''25'!W34&lt;1,"0",'Entries September''25'!W35-'Entries September''25'!W34)</f>
        <v>0</v>
      </c>
      <c r="D35" s="31">
        <f>IF('Entries September''25'!O35-'Entries September''25'!O34&lt;1,"0",'Entries September''25'!O35-'Entries September''25'!O34)</f>
        <v>295</v>
      </c>
      <c r="E35" s="31">
        <f>IF('Entries September''25'!P35-'Entries September''25'!P34&lt;1,"0",'Entries September''25'!P35-'Entries September''25'!P34)</f>
        <v>61</v>
      </c>
      <c r="F35" s="31">
        <f>IF('Entries September''25'!V35-'Entries September''25'!V34&lt;1,"0",'Entries September''25'!V35-'Entries September''25'!V34)</f>
        <v>65</v>
      </c>
      <c r="G35" s="31">
        <f t="shared" si="0"/>
        <v>291</v>
      </c>
      <c r="H35" s="31">
        <f>IF('Entries September''25'!Q35-'Entries September''25'!Q34&lt;1,0,'Entries September''25'!Q35-'Entries September''25'!Q34)</f>
        <v>200</v>
      </c>
      <c r="I35" s="31">
        <f>IF('Entries September''25'!AG35-'Entries September''25'!AG34&lt;1,0,'Entries September''25'!AG35-'Entries September''25'!AG34)</f>
        <v>0</v>
      </c>
      <c r="J35" s="31">
        <f>IF('Entries September''25'!S35-'Entries September''25'!S34&lt;1,"0",'Entries September''25'!S35-'Entries September''25'!S34)</f>
        <v>43</v>
      </c>
      <c r="K35" s="31" t="str">
        <f>IF('Entries September''25'!R35-'Entries September''25'!R34&lt;1,"0",'Entries September''25'!R35-'Entries September''25'!R34)</f>
        <v>0</v>
      </c>
      <c r="L35" s="31" t="str">
        <f>IF('Entries September''25'!T35-'Entries September''25'!T34&lt;1,"0",'Entries September''25'!T35-'Entries September''25'!T34)</f>
        <v>0</v>
      </c>
      <c r="M35" s="31">
        <f>IF('Entries September''25'!U35-'Entries September''25'!U34&lt;1,"0",'Entries September''25'!U35-'Entries September''25'!U34)</f>
        <v>24</v>
      </c>
      <c r="N35" s="31">
        <f>IF('Entries September''25'!X35-'Entries September''25'!X34&lt;1,"0",'Entries September''25'!X35-'Entries September''25'!X34)</f>
        <v>48</v>
      </c>
      <c r="O35" s="31">
        <f>IF('Entries September''25'!Y35-'Entries September''25'!Y34&lt;1,"0",'Entries September''25'!Y35-'Entries September''25'!Y34)</f>
        <v>70</v>
      </c>
      <c r="P35" s="31">
        <f>IF('Entries September''25'!AC35-'Entries September''25'!AC34&lt;1,"0",'Entries September''25'!AC35-'Entries September''25'!AC34)</f>
        <v>21</v>
      </c>
      <c r="Q35" s="31">
        <f>IF('Entries September''25'!Z35-'Entries September''25'!Z34&lt;1,"0",'Entries September''25'!Z35-'Entries September''25'!Z34)</f>
        <v>15</v>
      </c>
      <c r="R35" s="31" t="str">
        <f>IF(('Entries September''25'!AA35-'Entries September''25'!AA34)+('Entries September''25'!AB35-'Entries September''25'!AB34)&lt;1,"0",('Entries September''25'!AA35-'Entries September''25'!AA34)+('Entries September''25'!AB35-'Entries September''25'!AB34))</f>
        <v>0</v>
      </c>
      <c r="S35" s="52">
        <f t="shared" si="1"/>
        <v>2910</v>
      </c>
      <c r="T35" s="52">
        <f t="shared" si="2"/>
        <v>142</v>
      </c>
      <c r="U35" s="31">
        <f>IF('Entries September''25'!AC35-'Entries September''25'!AC34&lt;1,"0",'Entries September''25'!AC35-'Entries September''25'!AC34)</f>
        <v>21</v>
      </c>
      <c r="V35" s="31">
        <f>IF('Entries September''25'!AD35-'Entries September''25'!AD34&lt;1,"0",'Entries September''25'!AD35-'Entries September''25'!AD34)</f>
        <v>58</v>
      </c>
      <c r="W35" s="31" t="str">
        <f>IF('Entries September''25'!AE35-'Entries September''25'!AE34&lt;1,"0",'Entries September''25'!AE35-'Entries September''25'!AE34)</f>
        <v>0</v>
      </c>
      <c r="X35" s="79" t="str">
        <f>IF('Entries September''25'!AI35-'Entries September''25'!AI34&lt;1,"0",'Entries September''25'!AI35-'Entries September''25'!AI34)</f>
        <v>0</v>
      </c>
      <c r="Y35" s="79" t="str">
        <f>IF('Entries September''25'!AH35-'Entries September''25'!AH34&lt;1,"0",'Entries September''25'!AH35-'Entries September''25'!AH34)</f>
        <v>0</v>
      </c>
      <c r="Z35" s="340">
        <f t="shared" si="3"/>
        <v>356</v>
      </c>
      <c r="AA35" s="341">
        <v>189.09</v>
      </c>
      <c r="AB35" s="342">
        <f t="shared" si="4"/>
        <v>18.827013591411497</v>
      </c>
    </row>
    <row r="36" spans="1:36" x14ac:dyDescent="0.2">
      <c r="B36" s="51">
        <v>30</v>
      </c>
      <c r="C36" s="52" t="str">
        <f>IF('Entries September''25'!W36-'Entries September''25'!W35&lt;1,"0",'Entries September''25'!W36-'Entries September''25'!W35)</f>
        <v>0</v>
      </c>
      <c r="D36" s="31">
        <f>IF('Entries September''25'!O36-'Entries September''25'!O35&lt;1,"0",'Entries September''25'!O36-'Entries September''25'!O35)</f>
        <v>185</v>
      </c>
      <c r="E36" s="31">
        <f>IF('Entries September''25'!P36-'Entries September''25'!P35&lt;1,"0",'Entries September''25'!P36-'Entries September''25'!P35)</f>
        <v>184</v>
      </c>
      <c r="F36" s="31">
        <f>IF('Entries September''25'!V36-'Entries September''25'!V35&lt;1,"0",'Entries September''25'!V36-'Entries September''25'!V35)</f>
        <v>194</v>
      </c>
      <c r="G36" s="31">
        <f t="shared" si="0"/>
        <v>175</v>
      </c>
      <c r="H36" s="31">
        <f>IF('Entries September''25'!Q36-'Entries September''25'!Q35&lt;1,0,'Entries September''25'!Q36-'Entries September''25'!Q35)</f>
        <v>200</v>
      </c>
      <c r="I36" s="31">
        <f>IF('Entries September''25'!AG36-'Entries September''25'!AG35&lt;1,0,'Entries September''25'!AG36-'Entries September''25'!AG35)</f>
        <v>0</v>
      </c>
      <c r="J36" s="31">
        <f>IF('Entries September''25'!S36-'Entries September''25'!S35&lt;1,"0",'Entries September''25'!S36-'Entries September''25'!S35)</f>
        <v>233</v>
      </c>
      <c r="K36" s="31" t="str">
        <f>IF('Entries September''25'!R36-'Entries September''25'!R35&lt;1,"0",'Entries September''25'!R36-'Entries September''25'!R35)</f>
        <v>0</v>
      </c>
      <c r="L36" s="31" t="str">
        <f>IF('Entries September''25'!T36-'Entries September''25'!T35&lt;1,"0",'Entries September''25'!T36-'Entries September''25'!T35)</f>
        <v>0</v>
      </c>
      <c r="M36" s="31">
        <f>IF('Entries September''25'!U36-'Entries September''25'!U35&lt;1,"0",'Entries September''25'!U36-'Entries September''25'!U35)</f>
        <v>7</v>
      </c>
      <c r="N36" s="31">
        <f>IF('Entries September''25'!X36-'Entries September''25'!X35&lt;1,"0",'Entries September''25'!X36-'Entries September''25'!X35)</f>
        <v>46</v>
      </c>
      <c r="O36" s="31">
        <f>IF('Entries September''25'!Y36-'Entries September''25'!Y35&lt;1,"0",'Entries September''25'!Y36-'Entries September''25'!Y35)</f>
        <v>72</v>
      </c>
      <c r="P36" s="31">
        <f>IF('Entries September''25'!AC36-'Entries September''25'!AC35&lt;1,"0",'Entries September''25'!AC36-'Entries September''25'!AC35)</f>
        <v>28</v>
      </c>
      <c r="Q36" s="31">
        <f>IF('Entries September''25'!Z36-'Entries September''25'!Z35&lt;1,"0",'Entries September''25'!Z36-'Entries September''25'!Z35)</f>
        <v>14</v>
      </c>
      <c r="R36" s="31" t="str">
        <f>IF(('Entries September''25'!AA36-'Entries September''25'!AA35)+('Entries September''25'!AB36-'Entries September''25'!AB35)&lt;1,"0",('Entries September''25'!AA36-'Entries September''25'!AA35)+('Entries September''25'!AB36-'Entries September''25'!AB35))</f>
        <v>0</v>
      </c>
      <c r="S36" s="52">
        <f t="shared" si="1"/>
        <v>1750</v>
      </c>
      <c r="T36" s="52">
        <f t="shared" si="2"/>
        <v>125</v>
      </c>
      <c r="U36" s="31">
        <f>IF('Entries September''25'!AC36-'Entries September''25'!AC35&lt;1,"0",'Entries September''25'!AC36-'Entries September''25'!AC35)</f>
        <v>28</v>
      </c>
      <c r="V36" s="31" t="str">
        <f>IF('Entries September''25'!AD36-'Entries September''25'!AD35&lt;1,"0",'Entries September''25'!AD36-'Entries September''25'!AD35)</f>
        <v>0</v>
      </c>
      <c r="W36" s="31" t="str">
        <f>IF('Entries September''25'!AE36-'Entries September''25'!AE35&lt;1,"0",'Entries September''25'!AE36-'Entries September''25'!AE35)</f>
        <v>0</v>
      </c>
      <c r="X36" s="79" t="str">
        <f>IF('Entries September''25'!AI36-'Entries September''25'!AI35&lt;1,"0",'Entries September''25'!AI36-'Entries September''25'!AI35)</f>
        <v>0</v>
      </c>
      <c r="Y36" s="79" t="str">
        <f>IF('Entries September''25'!AH36-'Entries September''25'!AH35&lt;1,"0",'Entries September''25'!AH36-'Entries September''25'!AH35)</f>
        <v>0</v>
      </c>
      <c r="Z36" s="340">
        <f t="shared" si="3"/>
        <v>369</v>
      </c>
      <c r="AA36" s="341">
        <v>198.52800000000002</v>
      </c>
      <c r="AB36" s="342">
        <f t="shared" si="4"/>
        <v>18.586798839458414</v>
      </c>
    </row>
    <row r="37" spans="1:36" ht="15.75" x14ac:dyDescent="0.2">
      <c r="B37" s="51">
        <v>1</v>
      </c>
      <c r="C37" s="52" t="str">
        <f>IF('Entries September''25'!W37-'Entries September''25'!W36&lt;1,"0",'Entries September''25'!W37-'Entries September''25'!W36)</f>
        <v>0</v>
      </c>
      <c r="D37" s="31" t="str">
        <f>IF('Entries September''25'!O37-'Entries September''25'!O36&lt;1,"0",'Entries September''25'!O37-'Entries September''25'!O36)</f>
        <v>0</v>
      </c>
      <c r="E37" s="31" t="str">
        <f>IF('Entries September''25'!P37-'Entries September''25'!P36&lt;1,"0",'Entries September''25'!P37-'Entries September''25'!P36)</f>
        <v>0</v>
      </c>
      <c r="F37" s="31" t="str">
        <f>IF('Entries September''25'!V37-'Entries September''25'!V36&lt;1,"0",'Entries September''25'!V37-'Entries September''25'!V36)</f>
        <v>0</v>
      </c>
      <c r="G37" s="31">
        <f t="shared" si="0"/>
        <v>0</v>
      </c>
      <c r="H37" s="31"/>
      <c r="I37" s="31"/>
      <c r="J37" s="31" t="str">
        <f>IF('Entries September''25'!S37-'Entries September''25'!S36&lt;1,"0",'Entries September''25'!S37-'Entries September''25'!S36)</f>
        <v>0</v>
      </c>
      <c r="K37" s="31" t="str">
        <f>IF('Entries September''25'!R37-'Entries September''25'!R36&lt;1,"0",'Entries September''25'!R37-'Entries September''25'!R36)</f>
        <v>0</v>
      </c>
      <c r="L37" s="31" t="str">
        <f>IF('Entries September''25'!T37-'Entries September''25'!T36&lt;1,"0",'Entries September''25'!T37-'Entries September''25'!T36)</f>
        <v>0</v>
      </c>
      <c r="M37" s="31" t="str">
        <f>IF('Entries September''25'!U37-'Entries September''25'!U36&lt;1,"0",'Entries September''25'!U37-'Entries September''25'!U36)</f>
        <v>0</v>
      </c>
      <c r="N37" s="31" t="str">
        <f>IF('Entries September''25'!X37-'Entries September''25'!X36&lt;1,"0",'Entries September''25'!X37-'Entries September''25'!X36)</f>
        <v>0</v>
      </c>
      <c r="O37" s="31" t="str">
        <f>IF('Entries September''25'!Y37-'Entries September''25'!Y36&lt;1,"0",'Entries September''25'!Y37-'Entries September''25'!Y36)</f>
        <v>0</v>
      </c>
      <c r="P37" s="31" t="str">
        <f>IF('Entries September''25'!AC37-'Entries September''25'!AC36&lt;1,"0",'Entries September''25'!AC37-'Entries September''25'!AC36)</f>
        <v>0</v>
      </c>
      <c r="Q37" s="31" t="str">
        <f>IF('Entries September''25'!Z37-'Entries September''25'!Z36&lt;1,"0",'Entries September''25'!Z37-'Entries September''25'!Z36)</f>
        <v>0</v>
      </c>
      <c r="R37" s="31" t="str">
        <f>IF(('Entries September''25'!AA37-'Entries September''25'!AA36)+('Entries September''25'!AB37-'Entries September''25'!AB36)&lt;1,"0",('Entries September''25'!AA37-'Entries September''25'!AA36)+('Entries September''25'!AB37-'Entries September''25'!AB36))</f>
        <v>0</v>
      </c>
      <c r="S37" s="52">
        <f t="shared" si="1"/>
        <v>0</v>
      </c>
      <c r="T37" s="52"/>
      <c r="U37" s="31" t="str">
        <f>IF('Entries September''25'!AC37-'Entries September''25'!AC36&lt;1,"0",'Entries September''25'!AC37-'Entries September''25'!AC36)</f>
        <v>0</v>
      </c>
      <c r="V37" s="31" t="str">
        <f>IF('Entries September''25'!AD37-'Entries September''25'!AD36&lt;1,"0",'Entries September''25'!AD37-'Entries September''25'!AD36)</f>
        <v>0</v>
      </c>
      <c r="W37" s="31" t="str">
        <f>IF('Entries September''25'!AE37-'Entries September''25'!AE36&lt;1,"0",'Entries September''25'!AE37-'Entries September''25'!AE36)</f>
        <v>0</v>
      </c>
      <c r="X37" s="79" t="str">
        <f>IF('Entries September''25'!AI37-'Entries September''25'!AI36&lt;1,"0",'Entries September''25'!AI37-'Entries September''25'!AI36)</f>
        <v>0</v>
      </c>
      <c r="Y37" s="79" t="str">
        <f>IF('Entries September''25'!AH37-'Entries September''25'!AH36&lt;1,"0",'Entries September''25'!AH37-'Entries September''25'!AH36)</f>
        <v>0</v>
      </c>
      <c r="Z37" s="340">
        <f t="shared" si="3"/>
        <v>0</v>
      </c>
      <c r="AA37" s="341" t="str">
        <v>0</v>
      </c>
      <c r="AB37" s="342"/>
      <c r="AC37" s="331"/>
      <c r="AD37" s="189"/>
    </row>
    <row r="38" spans="1:36" s="305" customFormat="1" ht="18" x14ac:dyDescent="0.25">
      <c r="A38" s="305" t="s">
        <v>86</v>
      </c>
      <c r="B38" s="306" t="s">
        <v>55</v>
      </c>
      <c r="C38" s="307">
        <f t="shared" ref="C38:O38" si="5">SUM(C7:C37)</f>
        <v>0</v>
      </c>
      <c r="D38" s="307">
        <f>SUM(D7:D37)</f>
        <v>4266</v>
      </c>
      <c r="E38" s="307">
        <f>SUM(E7:E37)</f>
        <v>3947</v>
      </c>
      <c r="F38" s="307">
        <f>SUM(F7:F37)</f>
        <v>4115</v>
      </c>
      <c r="G38" s="308">
        <f>SUM(G7:G37)</f>
        <v>4098</v>
      </c>
      <c r="H38" s="307">
        <f t="shared" si="5"/>
        <v>4801</v>
      </c>
      <c r="I38" s="307"/>
      <c r="J38" s="307">
        <f t="shared" si="5"/>
        <v>3526</v>
      </c>
      <c r="K38" s="307"/>
      <c r="L38" s="307">
        <f t="shared" si="5"/>
        <v>0</v>
      </c>
      <c r="M38" s="307">
        <f>SUM(M7:M37)</f>
        <v>214</v>
      </c>
      <c r="N38" s="307">
        <f t="shared" si="5"/>
        <v>1002</v>
      </c>
      <c r="O38" s="307">
        <f t="shared" si="5"/>
        <v>1739</v>
      </c>
      <c r="P38" s="307">
        <f t="shared" ref="P38" si="6">SUM(P7:P37)</f>
        <v>465</v>
      </c>
      <c r="Q38" s="307">
        <f>SUM(Q7:Q37)</f>
        <v>342</v>
      </c>
      <c r="R38" s="307">
        <f>SUM(R7:R34)</f>
        <v>0</v>
      </c>
      <c r="S38" s="308">
        <f>SUM(S7:S37)</f>
        <v>40980</v>
      </c>
      <c r="T38" s="308">
        <f>SUM(T7:T37)</f>
        <v>2955</v>
      </c>
      <c r="U38" s="307">
        <f>SUM(U7:U37)</f>
        <v>465</v>
      </c>
      <c r="V38" s="307">
        <f>SUM(V7:V37)</f>
        <v>190</v>
      </c>
      <c r="W38" s="307"/>
      <c r="X38" s="307"/>
      <c r="Y38" s="307"/>
      <c r="Z38" s="343">
        <f>SUM(Z7:Z37)</f>
        <v>8213</v>
      </c>
      <c r="AA38" s="343">
        <f>SUM(AA7:AA37)</f>
        <v>7491.0012000000006</v>
      </c>
      <c r="AB38" s="342">
        <f t="shared" ref="AB38" si="7">IF(AA38=0,"0",(Z38*10/AA38))</f>
        <v>10.963821498253131</v>
      </c>
      <c r="AC38" s="332">
        <v>10.199999999999999</v>
      </c>
      <c r="AD38" s="355">
        <f>AB38/AC38*100</f>
        <v>107.48844606130521</v>
      </c>
    </row>
    <row r="39" spans="1:36" x14ac:dyDescent="0.2">
      <c r="C39" s="11"/>
      <c r="D39" s="11"/>
      <c r="E39" s="15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5"/>
      <c r="Q39" s="15"/>
      <c r="R39" s="11"/>
      <c r="S39" s="11"/>
      <c r="T39" s="11"/>
      <c r="U39" s="11"/>
      <c r="V39" s="11"/>
      <c r="W39" s="11"/>
      <c r="X39" s="11"/>
      <c r="Y39" s="11"/>
      <c r="AA39" s="11"/>
    </row>
    <row r="40" spans="1:36" x14ac:dyDescent="0.2">
      <c r="A40" s="17" t="s">
        <v>58</v>
      </c>
      <c r="B40" s="17" t="s">
        <v>83</v>
      </c>
      <c r="C40" s="15"/>
      <c r="D40" s="15">
        <f>D38*220</f>
        <v>938520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90"/>
      <c r="AA40" s="15"/>
    </row>
    <row r="41" spans="1:36" x14ac:dyDescent="0.2">
      <c r="A41" s="17"/>
      <c r="B41" s="17" t="s">
        <v>87</v>
      </c>
      <c r="C41" s="17"/>
      <c r="D41" s="22">
        <v>1.5810000000000001E-2</v>
      </c>
      <c r="E41" s="22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5"/>
      <c r="R41" s="17"/>
      <c r="S41" s="17"/>
      <c r="T41" s="17"/>
      <c r="U41" s="17"/>
      <c r="V41" s="17"/>
      <c r="W41" s="17"/>
      <c r="X41" s="17"/>
      <c r="Y41" s="17"/>
      <c r="Z41" s="190"/>
      <c r="AA41" s="17"/>
    </row>
    <row r="42" spans="1:36" x14ac:dyDescent="0.2">
      <c r="A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5"/>
      <c r="R42" s="17"/>
      <c r="S42" s="17"/>
      <c r="T42" s="17"/>
      <c r="U42" s="17"/>
      <c r="V42" s="17"/>
      <c r="W42" s="17"/>
      <c r="X42" s="17"/>
      <c r="Y42" s="17"/>
      <c r="Z42" s="190"/>
      <c r="AA42" s="17"/>
    </row>
    <row r="43" spans="1:36" x14ac:dyDescent="0.2">
      <c r="A43" s="17"/>
      <c r="B43" s="17" t="s">
        <v>89</v>
      </c>
      <c r="C43" s="17"/>
      <c r="D43" s="17">
        <f>+D41*D40</f>
        <v>14838.001200000001</v>
      </c>
      <c r="E43" s="17"/>
      <c r="F43" s="36"/>
      <c r="G43" s="17"/>
      <c r="H43" s="17"/>
      <c r="I43" s="17"/>
    </row>
    <row r="44" spans="1:36" x14ac:dyDescent="0.2">
      <c r="A44" s="17"/>
      <c r="B44" s="17" t="s">
        <v>88</v>
      </c>
      <c r="C44" s="17"/>
      <c r="D44" s="26">
        <v>278.97000000000003</v>
      </c>
      <c r="E44" s="334"/>
      <c r="F44" s="36"/>
      <c r="G44" s="17"/>
      <c r="H44" s="17"/>
      <c r="I44" s="17"/>
      <c r="J44" s="17"/>
      <c r="K44" s="17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333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</row>
    <row r="45" spans="1:36" x14ac:dyDescent="0.2">
      <c r="D45" s="17">
        <f>SUM(D43:D44)</f>
        <v>15116.9712</v>
      </c>
      <c r="E45" s="17"/>
      <c r="F45" s="36"/>
      <c r="G45" s="17"/>
      <c r="H45" s="17"/>
      <c r="I45" s="17"/>
      <c r="Q45" s="15"/>
    </row>
    <row r="46" spans="1:36" x14ac:dyDescent="0.2">
      <c r="F46" s="36"/>
      <c r="G46" s="17"/>
      <c r="H46" s="17"/>
      <c r="I46" s="17"/>
      <c r="Q46" s="15"/>
    </row>
    <row r="47" spans="1:36" x14ac:dyDescent="0.2">
      <c r="B47" s="8" t="s">
        <v>90</v>
      </c>
      <c r="D47" s="23">
        <f>+D45*2/3</f>
        <v>10077.980799999999</v>
      </c>
      <c r="E47" s="335"/>
      <c r="F47" s="36"/>
      <c r="G47" s="17"/>
      <c r="H47" s="17"/>
      <c r="I47" s="17"/>
      <c r="Q47" s="15"/>
    </row>
    <row r="48" spans="1:36" x14ac:dyDescent="0.2">
      <c r="F48" s="36"/>
      <c r="G48" s="17"/>
      <c r="H48" s="17"/>
      <c r="I48" s="17"/>
      <c r="Q48" s="15"/>
    </row>
    <row r="49" spans="2:17" ht="15.75" x14ac:dyDescent="0.25">
      <c r="B49" s="24" t="s">
        <v>91</v>
      </c>
      <c r="C49" s="24"/>
      <c r="D49" s="28">
        <f>SUM(D47,D45)</f>
        <v>25194.951999999997</v>
      </c>
      <c r="E49" s="336"/>
      <c r="F49" s="36"/>
      <c r="G49" s="17"/>
      <c r="H49" s="17"/>
      <c r="I49" s="17"/>
      <c r="Q49" s="15"/>
    </row>
    <row r="50" spans="2:17" x14ac:dyDescent="0.2">
      <c r="F50" s="36"/>
      <c r="G50" s="17"/>
      <c r="H50" s="17"/>
      <c r="I50" s="17"/>
      <c r="Q50" s="15"/>
    </row>
    <row r="51" spans="2:17" x14ac:dyDescent="0.2">
      <c r="F51" s="36"/>
      <c r="G51" s="17"/>
      <c r="H51" s="17"/>
      <c r="I51" s="17"/>
      <c r="Q51" s="15"/>
    </row>
    <row r="52" spans="2:17" x14ac:dyDescent="0.2">
      <c r="F52" s="36"/>
      <c r="G52" s="17"/>
      <c r="H52" s="17"/>
      <c r="I52" s="17"/>
      <c r="Q52" s="15"/>
    </row>
    <row r="53" spans="2:17" x14ac:dyDescent="0.2">
      <c r="F53" s="36"/>
      <c r="G53" s="17"/>
      <c r="H53" s="17"/>
      <c r="I53" s="17"/>
      <c r="Q53" s="15"/>
    </row>
    <row r="54" spans="2:17" x14ac:dyDescent="0.2">
      <c r="F54" s="36"/>
      <c r="G54" s="17"/>
      <c r="H54" s="17"/>
      <c r="I54" s="17"/>
      <c r="Q54" s="15"/>
    </row>
    <row r="55" spans="2:17" x14ac:dyDescent="0.2">
      <c r="F55" s="36"/>
      <c r="G55" s="17"/>
      <c r="H55" s="17"/>
      <c r="I55" s="17"/>
      <c r="Q55" s="15"/>
    </row>
    <row r="56" spans="2:17" x14ac:dyDescent="0.2">
      <c r="F56" s="36"/>
      <c r="G56" s="17"/>
      <c r="H56" s="17"/>
      <c r="I56" s="17"/>
      <c r="Q56" s="15"/>
    </row>
    <row r="57" spans="2:17" x14ac:dyDescent="0.2">
      <c r="F57" s="36"/>
      <c r="G57" s="17"/>
      <c r="H57" s="17"/>
      <c r="I57" s="17"/>
      <c r="Q57" s="15"/>
    </row>
    <row r="58" spans="2:17" x14ac:dyDescent="0.2">
      <c r="F58" s="36"/>
      <c r="G58" s="17"/>
      <c r="H58" s="17"/>
      <c r="I58" s="17"/>
      <c r="Q58" s="15"/>
    </row>
    <row r="59" spans="2:17" x14ac:dyDescent="0.2">
      <c r="F59" s="36"/>
      <c r="G59" s="17"/>
      <c r="H59" s="17"/>
      <c r="I59" s="17"/>
      <c r="Q59" s="15"/>
    </row>
    <row r="60" spans="2:17" x14ac:dyDescent="0.2">
      <c r="F60" s="36"/>
      <c r="G60" s="17"/>
      <c r="H60" s="17"/>
      <c r="I60" s="17"/>
      <c r="Q60" s="15"/>
    </row>
    <row r="61" spans="2:17" x14ac:dyDescent="0.2">
      <c r="F61" s="36"/>
      <c r="G61" s="17"/>
      <c r="H61" s="17"/>
      <c r="I61" s="17"/>
      <c r="Q61" s="15"/>
    </row>
    <row r="62" spans="2:17" x14ac:dyDescent="0.2">
      <c r="F62" s="36"/>
      <c r="G62" s="17"/>
      <c r="H62" s="17"/>
      <c r="I62" s="17"/>
      <c r="Q62" s="15"/>
    </row>
    <row r="63" spans="2:17" x14ac:dyDescent="0.2">
      <c r="F63" s="36"/>
      <c r="G63" s="17"/>
      <c r="H63" s="17"/>
      <c r="I63" s="17"/>
      <c r="Q63" s="15"/>
    </row>
    <row r="64" spans="2:17" x14ac:dyDescent="0.2">
      <c r="F64" s="36"/>
      <c r="G64" s="17"/>
      <c r="H64" s="17"/>
      <c r="I64" s="17"/>
      <c r="Q64" s="15"/>
    </row>
    <row r="65" spans="6:17" x14ac:dyDescent="0.2">
      <c r="F65" s="36"/>
      <c r="G65" s="17"/>
      <c r="H65" s="17"/>
      <c r="I65" s="17"/>
      <c r="Q65" s="15"/>
    </row>
    <row r="66" spans="6:17" x14ac:dyDescent="0.2">
      <c r="F66" s="36"/>
      <c r="G66" s="17"/>
      <c r="H66" s="17"/>
      <c r="I66" s="17"/>
      <c r="Q66" s="15"/>
    </row>
    <row r="67" spans="6:17" x14ac:dyDescent="0.2">
      <c r="F67" s="36"/>
      <c r="G67" s="17"/>
      <c r="H67" s="17"/>
      <c r="I67" s="17"/>
      <c r="Q67" s="15"/>
    </row>
    <row r="68" spans="6:17" x14ac:dyDescent="0.2">
      <c r="F68" s="36"/>
      <c r="G68" s="17"/>
      <c r="H68" s="17"/>
      <c r="I68" s="17"/>
      <c r="Q68" s="15"/>
    </row>
    <row r="69" spans="6:17" x14ac:dyDescent="0.2">
      <c r="F69" s="36"/>
      <c r="G69" s="17"/>
      <c r="H69" s="17"/>
      <c r="I69" s="17"/>
    </row>
    <row r="70" spans="6:17" x14ac:dyDescent="0.2">
      <c r="F70" s="36"/>
      <c r="G70" s="17"/>
      <c r="H70" s="17"/>
      <c r="I70" s="17"/>
    </row>
    <row r="71" spans="6:17" x14ac:dyDescent="0.2">
      <c r="F71" s="36"/>
      <c r="G71" s="17"/>
      <c r="H71" s="17"/>
      <c r="I71" s="17"/>
    </row>
    <row r="72" spans="6:17" x14ac:dyDescent="0.2">
      <c r="F72" s="36"/>
      <c r="G72" s="17"/>
      <c r="H72" s="17"/>
      <c r="I72" s="17"/>
    </row>
    <row r="73" spans="6:17" x14ac:dyDescent="0.2">
      <c r="F73" s="36"/>
      <c r="G73" s="17"/>
      <c r="H73" s="17"/>
      <c r="I73" s="17"/>
    </row>
    <row r="74" spans="6:17" x14ac:dyDescent="0.2">
      <c r="G74" s="17"/>
      <c r="H74" s="17"/>
      <c r="I74" s="17"/>
    </row>
    <row r="75" spans="6:17" x14ac:dyDescent="0.2">
      <c r="F75" s="36"/>
      <c r="G75" s="72"/>
      <c r="H75" s="72"/>
      <c r="I75" s="72"/>
    </row>
    <row r="76" spans="6:17" x14ac:dyDescent="0.2">
      <c r="F76" s="36"/>
      <c r="G76" s="72"/>
      <c r="H76" s="72"/>
      <c r="I76" s="72"/>
    </row>
    <row r="77" spans="6:17" x14ac:dyDescent="0.2">
      <c r="F77" s="36"/>
      <c r="G77" s="72"/>
      <c r="H77" s="72"/>
      <c r="I77" s="72"/>
    </row>
    <row r="78" spans="6:17" x14ac:dyDescent="0.2">
      <c r="F78" s="36"/>
      <c r="G78" s="72"/>
      <c r="H78" s="72"/>
      <c r="I78" s="72"/>
    </row>
    <row r="79" spans="6:17" x14ac:dyDescent="0.2">
      <c r="F79" s="36"/>
      <c r="G79" s="72"/>
      <c r="H79" s="72"/>
      <c r="I79" s="72"/>
    </row>
    <row r="80" spans="6:17" x14ac:dyDescent="0.2">
      <c r="F80" s="36"/>
      <c r="G80" s="72"/>
      <c r="H80" s="72"/>
      <c r="I80" s="72"/>
    </row>
    <row r="81" spans="6:9" x14ac:dyDescent="0.2">
      <c r="F81" s="36"/>
      <c r="G81" s="72"/>
      <c r="H81" s="72"/>
      <c r="I81" s="72"/>
    </row>
    <row r="82" spans="6:9" x14ac:dyDescent="0.2">
      <c r="F82" s="36"/>
      <c r="G82" s="72"/>
      <c r="H82" s="72"/>
      <c r="I82" s="72"/>
    </row>
    <row r="83" spans="6:9" x14ac:dyDescent="0.2">
      <c r="F83" s="36"/>
      <c r="G83" s="72"/>
      <c r="H83" s="72"/>
      <c r="I83" s="72"/>
    </row>
    <row r="84" spans="6:9" x14ac:dyDescent="0.2">
      <c r="F84" s="36"/>
      <c r="G84" s="72"/>
      <c r="H84" s="72"/>
      <c r="I84" s="72"/>
    </row>
    <row r="85" spans="6:9" x14ac:dyDescent="0.2">
      <c r="F85" s="36"/>
      <c r="G85" s="72"/>
      <c r="H85" s="72"/>
      <c r="I85" s="72"/>
    </row>
    <row r="86" spans="6:9" x14ac:dyDescent="0.2">
      <c r="F86" s="36"/>
      <c r="G86" s="72"/>
      <c r="H86" s="72"/>
      <c r="I86" s="72"/>
    </row>
    <row r="87" spans="6:9" x14ac:dyDescent="0.2">
      <c r="F87" s="36"/>
      <c r="G87" s="72"/>
      <c r="H87" s="72"/>
      <c r="I87" s="72"/>
    </row>
    <row r="88" spans="6:9" x14ac:dyDescent="0.2">
      <c r="F88" s="36"/>
      <c r="G88" s="72"/>
      <c r="H88" s="72"/>
      <c r="I88" s="72"/>
    </row>
    <row r="89" spans="6:9" x14ac:dyDescent="0.2">
      <c r="F89" s="36"/>
      <c r="G89" s="72"/>
      <c r="H89" s="72"/>
      <c r="I89" s="72"/>
    </row>
    <row r="90" spans="6:9" x14ac:dyDescent="0.2">
      <c r="F90" s="36"/>
      <c r="G90" s="72"/>
      <c r="H90" s="72"/>
      <c r="I90" s="72"/>
    </row>
    <row r="91" spans="6:9" x14ac:dyDescent="0.2">
      <c r="F91" s="36"/>
      <c r="G91" s="72"/>
      <c r="H91" s="72"/>
      <c r="I91" s="72"/>
    </row>
    <row r="92" spans="6:9" x14ac:dyDescent="0.2">
      <c r="F92" s="36"/>
      <c r="G92" s="72"/>
      <c r="H92" s="72"/>
      <c r="I92" s="72"/>
    </row>
    <row r="93" spans="6:9" x14ac:dyDescent="0.2">
      <c r="F93" s="36"/>
      <c r="G93" s="72"/>
      <c r="H93" s="72"/>
      <c r="I93" s="72"/>
    </row>
    <row r="94" spans="6:9" x14ac:dyDescent="0.2">
      <c r="F94" s="36"/>
      <c r="G94" s="72"/>
      <c r="H94" s="72"/>
      <c r="I94" s="72"/>
    </row>
    <row r="95" spans="6:9" x14ac:dyDescent="0.2">
      <c r="F95" s="36"/>
      <c r="G95" s="72"/>
      <c r="H95" s="72"/>
      <c r="I95" s="72"/>
    </row>
    <row r="96" spans="6:9" x14ac:dyDescent="0.2">
      <c r="F96" s="36"/>
      <c r="G96" s="72"/>
      <c r="H96" s="72"/>
      <c r="I96" s="72"/>
    </row>
    <row r="97" spans="6:9" x14ac:dyDescent="0.2">
      <c r="F97" s="36"/>
      <c r="G97" s="72"/>
      <c r="H97" s="72"/>
      <c r="I97" s="72"/>
    </row>
    <row r="98" spans="6:9" x14ac:dyDescent="0.2">
      <c r="F98" s="36"/>
      <c r="G98" s="72"/>
      <c r="H98" s="72"/>
      <c r="I98" s="72"/>
    </row>
    <row r="99" spans="6:9" x14ac:dyDescent="0.2">
      <c r="F99" s="36"/>
      <c r="G99" s="72"/>
      <c r="H99" s="72"/>
      <c r="I99" s="72"/>
    </row>
    <row r="100" spans="6:9" x14ac:dyDescent="0.2">
      <c r="F100" s="36"/>
      <c r="G100" s="72"/>
      <c r="H100" s="72"/>
      <c r="I100" s="72"/>
    </row>
    <row r="101" spans="6:9" x14ac:dyDescent="0.2">
      <c r="F101" s="36"/>
      <c r="G101" s="72"/>
      <c r="H101" s="72"/>
      <c r="I101" s="72"/>
    </row>
    <row r="102" spans="6:9" x14ac:dyDescent="0.2">
      <c r="F102" s="36"/>
      <c r="G102" s="72"/>
      <c r="H102" s="72"/>
      <c r="I102" s="72"/>
    </row>
    <row r="103" spans="6:9" x14ac:dyDescent="0.2">
      <c r="F103" s="36"/>
      <c r="G103" s="72"/>
      <c r="H103" s="72"/>
      <c r="I103" s="72"/>
    </row>
    <row r="104" spans="6:9" x14ac:dyDescent="0.2">
      <c r="F104" s="36"/>
      <c r="G104" s="72"/>
      <c r="H104" s="72"/>
      <c r="I104" s="72"/>
    </row>
    <row r="105" spans="6:9" x14ac:dyDescent="0.2">
      <c r="F105" s="36"/>
      <c r="G105" s="72"/>
      <c r="H105" s="72"/>
      <c r="I105" s="72"/>
    </row>
  </sheetData>
  <mergeCells count="21">
    <mergeCell ref="AB4:AB5"/>
    <mergeCell ref="Z4:Z5"/>
    <mergeCell ref="L4:L5"/>
    <mergeCell ref="X4:X5"/>
    <mergeCell ref="J4:J5"/>
    <mergeCell ref="AA4:AA5"/>
    <mergeCell ref="U4:U5"/>
    <mergeCell ref="K4:K5"/>
    <mergeCell ref="Y4:Y5"/>
    <mergeCell ref="S4:S5"/>
    <mergeCell ref="M4:M5"/>
    <mergeCell ref="A1:AA1"/>
    <mergeCell ref="G4:G5"/>
    <mergeCell ref="R4:R5"/>
    <mergeCell ref="C4:C5"/>
    <mergeCell ref="B4:B5"/>
    <mergeCell ref="D4:D5"/>
    <mergeCell ref="H4:H5"/>
    <mergeCell ref="I4:I5"/>
    <mergeCell ref="F4:F5"/>
    <mergeCell ref="E4:E5"/>
  </mergeCells>
  <phoneticPr fontId="0" type="noConversion"/>
  <conditionalFormatting sqref="AB6:AB38">
    <cfRule type="cellIs" dxfId="44" priority="1" operator="lessThan">
      <formula>10.2</formula>
    </cfRule>
    <cfRule type="cellIs" dxfId="43" priority="2" operator="greaterThan">
      <formula>10.2</formula>
    </cfRule>
  </conditionalFormatting>
  <pageMargins left="0.25" right="0.25" top="0.25" bottom="0.25" header="0.5" footer="0.5"/>
  <pageSetup paperSize="5" scale="5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3">
    <tabColor indexed="10"/>
  </sheetPr>
  <dimension ref="A1:I42"/>
  <sheetViews>
    <sheetView showZeros="0" defaultGridColor="0" colorId="22" workbookViewId="0">
      <selection activeCell="B7" sqref="B7:B37"/>
    </sheetView>
  </sheetViews>
  <sheetFormatPr defaultColWidth="12.5703125" defaultRowHeight="15" x14ac:dyDescent="0.2"/>
  <cols>
    <col min="1" max="1" width="12.5703125" style="8"/>
    <col min="2" max="2" width="17.7109375" style="8" bestFit="1" customWidth="1"/>
    <col min="3" max="3" width="14.7109375" style="32" bestFit="1" customWidth="1"/>
    <col min="4" max="4" width="13.5703125" style="8" bestFit="1" customWidth="1"/>
    <col min="5" max="5" width="15.7109375" style="8" bestFit="1" customWidth="1"/>
    <col min="6" max="6" width="15.7109375" style="8" customWidth="1"/>
    <col min="7" max="7" width="12.5703125" style="345"/>
    <col min="8" max="16384" width="12.5703125" style="8"/>
  </cols>
  <sheetData>
    <row r="1" spans="1:9" ht="15.75" x14ac:dyDescent="0.25">
      <c r="A1" s="938" t="s">
        <v>293</v>
      </c>
      <c r="B1" s="939"/>
      <c r="C1" s="939"/>
      <c r="D1" s="939"/>
      <c r="E1" s="939"/>
      <c r="F1" s="940"/>
    </row>
    <row r="2" spans="1:9" x14ac:dyDescent="0.2">
      <c r="B2" s="9"/>
      <c r="C2" s="397"/>
    </row>
    <row r="3" spans="1:9" ht="15.75" thickBot="1" x14ac:dyDescent="0.25">
      <c r="B3" s="9"/>
      <c r="C3" s="397"/>
    </row>
    <row r="4" spans="1:9" ht="15.75" x14ac:dyDescent="0.25">
      <c r="A4" s="951" t="s">
        <v>7</v>
      </c>
      <c r="B4" s="39" t="s">
        <v>49</v>
      </c>
      <c r="C4" s="398" t="s">
        <v>50</v>
      </c>
      <c r="D4" s="941" t="s">
        <v>249</v>
      </c>
      <c r="E4" s="944" t="s">
        <v>247</v>
      </c>
      <c r="F4" s="947" t="s">
        <v>257</v>
      </c>
      <c r="G4" s="950"/>
    </row>
    <row r="5" spans="1:9" ht="15.75" x14ac:dyDescent="0.25">
      <c r="A5" s="952"/>
      <c r="B5" s="34" t="s">
        <v>51</v>
      </c>
      <c r="C5" s="399" t="s">
        <v>52</v>
      </c>
      <c r="D5" s="942"/>
      <c r="E5" s="945"/>
      <c r="F5" s="948"/>
      <c r="G5" s="950"/>
    </row>
    <row r="6" spans="1:9" ht="16.5" thickBot="1" x14ac:dyDescent="0.3">
      <c r="A6" s="953"/>
      <c r="B6" s="40"/>
      <c r="C6" s="400"/>
      <c r="D6" s="943"/>
      <c r="E6" s="946"/>
      <c r="F6" s="949"/>
      <c r="G6" s="950"/>
    </row>
    <row r="7" spans="1:9" ht="18" x14ac:dyDescent="0.2">
      <c r="A7" s="16">
        <v>1</v>
      </c>
      <c r="B7" s="313">
        <f>'Utility Analysis September''25 '!D10</f>
        <v>8479</v>
      </c>
      <c r="C7" s="185">
        <f>'Utility Analysis September''25 '!E10</f>
        <v>0</v>
      </c>
      <c r="D7" s="347">
        <f>B7+C7</f>
        <v>8479</v>
      </c>
      <c r="E7" s="428">
        <f>'PROD.FIG. '!H5</f>
        <v>390.85200000000003</v>
      </c>
      <c r="F7" s="348">
        <f>IF(E7=0,"0",(D7/E7))</f>
        <v>21.693633395761054</v>
      </c>
      <c r="G7" s="346"/>
      <c r="I7" s="30"/>
    </row>
    <row r="8" spans="1:9" x14ac:dyDescent="0.2">
      <c r="A8" s="16">
        <v>2</v>
      </c>
      <c r="B8" s="313">
        <f>'Utility Analysis September''25 '!D11</f>
        <v>9132</v>
      </c>
      <c r="C8" s="185">
        <f>'Utility Analysis September''25 '!E11</f>
        <v>0</v>
      </c>
      <c r="D8" s="347">
        <f t="shared" ref="D8:D37" si="0">B8+C8</f>
        <v>9132</v>
      </c>
      <c r="E8" s="428">
        <f>'PROD.FIG. '!H6</f>
        <v>311.38800000000003</v>
      </c>
      <c r="F8" s="348">
        <f t="shared" ref="F8:F36" si="1">IF(E8=0,"0",(D8/E8))</f>
        <v>29.326756329723686</v>
      </c>
      <c r="H8" s="30"/>
      <c r="I8" s="30"/>
    </row>
    <row r="9" spans="1:9" x14ac:dyDescent="0.2">
      <c r="A9" s="16">
        <v>3</v>
      </c>
      <c r="B9" s="313">
        <f>'Utility Analysis September''25 '!D12</f>
        <v>7961</v>
      </c>
      <c r="C9" s="185">
        <f>'Utility Analysis September''25 '!E12</f>
        <v>0</v>
      </c>
      <c r="D9" s="347">
        <f t="shared" si="0"/>
        <v>7961</v>
      </c>
      <c r="E9" s="428">
        <f>'PROD.FIG. '!H7</f>
        <v>297.858</v>
      </c>
      <c r="F9" s="348">
        <f>IF(E9=0,"0",(D9/E9))</f>
        <v>26.727501023977869</v>
      </c>
      <c r="I9" s="30"/>
    </row>
    <row r="10" spans="1:9" x14ac:dyDescent="0.2">
      <c r="A10" s="16">
        <v>4</v>
      </c>
      <c r="B10" s="313">
        <f>'Utility Analysis September''25 '!D13</f>
        <v>8276</v>
      </c>
      <c r="C10" s="185"/>
      <c r="D10" s="347">
        <f t="shared" si="0"/>
        <v>8276</v>
      </c>
      <c r="E10" s="428">
        <f>'PROD.FIG. '!H8</f>
        <v>392.10599999999999</v>
      </c>
      <c r="F10" s="348">
        <f t="shared" si="1"/>
        <v>21.106537517916074</v>
      </c>
      <c r="I10" s="30"/>
    </row>
    <row r="11" spans="1:9" x14ac:dyDescent="0.2">
      <c r="A11" s="514">
        <v>5</v>
      </c>
      <c r="B11" s="313">
        <f>'Utility Analysis September''25 '!D14</f>
        <v>8163</v>
      </c>
      <c r="C11" s="515">
        <f>'Utility Analysis September''25 '!E14</f>
        <v>0</v>
      </c>
      <c r="D11" s="516">
        <f t="shared" si="0"/>
        <v>8163</v>
      </c>
      <c r="E11" s="517">
        <f>'PROD.FIG. '!H9</f>
        <v>274.49400000000003</v>
      </c>
      <c r="F11" s="518">
        <f t="shared" si="1"/>
        <v>29.738354936719926</v>
      </c>
      <c r="I11" s="30"/>
    </row>
    <row r="12" spans="1:9" x14ac:dyDescent="0.2">
      <c r="A12" s="514">
        <v>6</v>
      </c>
      <c r="B12" s="313">
        <f>'Utility Analysis September''25 '!D15</f>
        <v>5259</v>
      </c>
      <c r="C12" s="515">
        <f>'Utility Analysis September''25 '!E15</f>
        <v>0</v>
      </c>
      <c r="D12" s="516">
        <f t="shared" si="0"/>
        <v>5259</v>
      </c>
      <c r="E12" s="517" t="str">
        <f>'PROD.FIG. '!H10</f>
        <v>0</v>
      </c>
      <c r="F12" s="518" t="str">
        <f t="shared" si="1"/>
        <v>0</v>
      </c>
      <c r="I12" s="30"/>
    </row>
    <row r="13" spans="1:9" x14ac:dyDescent="0.2">
      <c r="A13" s="16">
        <v>7</v>
      </c>
      <c r="B13" s="313">
        <f>'Utility Analysis September''25 '!D16</f>
        <v>5037</v>
      </c>
      <c r="C13" s="185">
        <f>'Utility Analysis September''25 '!E16</f>
        <v>0</v>
      </c>
      <c r="D13" s="347">
        <f t="shared" si="0"/>
        <v>5037</v>
      </c>
      <c r="E13" s="428" t="str">
        <f>'PROD.FIG. '!H11</f>
        <v>0</v>
      </c>
      <c r="F13" s="348" t="str">
        <f t="shared" si="1"/>
        <v>0</v>
      </c>
      <c r="I13" s="30"/>
    </row>
    <row r="14" spans="1:9" x14ac:dyDescent="0.2">
      <c r="A14" s="16">
        <v>8</v>
      </c>
      <c r="B14" s="313">
        <f>'Utility Analysis September''25 '!D17</f>
        <v>8003</v>
      </c>
      <c r="C14" s="185">
        <f>'Utility Analysis September''25 '!E17</f>
        <v>0</v>
      </c>
      <c r="D14" s="347">
        <f t="shared" si="0"/>
        <v>8003</v>
      </c>
      <c r="E14" s="428">
        <f>'PROD.FIG. '!H12</f>
        <v>306.37200000000001</v>
      </c>
      <c r="F14" s="348">
        <f t="shared" si="1"/>
        <v>26.121838810335149</v>
      </c>
      <c r="I14" s="30"/>
    </row>
    <row r="15" spans="1:9" x14ac:dyDescent="0.2">
      <c r="A15" s="16">
        <v>9</v>
      </c>
      <c r="B15" s="313">
        <f>'Utility Analysis September''25 '!D18</f>
        <v>8837</v>
      </c>
      <c r="C15" s="185">
        <f>'Utility Analysis September''25 '!E18</f>
        <v>0</v>
      </c>
      <c r="D15" s="347">
        <f t="shared" si="0"/>
        <v>8837</v>
      </c>
      <c r="E15" s="428">
        <f>'PROD.FIG. '!H13</f>
        <v>360.096</v>
      </c>
      <c r="F15" s="348">
        <f t="shared" si="1"/>
        <v>24.54067804141118</v>
      </c>
      <c r="I15" s="30"/>
    </row>
    <row r="16" spans="1:9" x14ac:dyDescent="0.2">
      <c r="A16" s="16">
        <v>10</v>
      </c>
      <c r="B16" s="313">
        <f>'Utility Analysis September''25 '!D19</f>
        <v>8797</v>
      </c>
      <c r="C16" s="185">
        <f>'Utility Analysis September''25 '!E19</f>
        <v>0</v>
      </c>
      <c r="D16" s="347">
        <f t="shared" si="0"/>
        <v>8797</v>
      </c>
      <c r="E16" s="428">
        <f>'PROD.FIG. '!H14</f>
        <v>320.82600000000002</v>
      </c>
      <c r="F16" s="348">
        <f t="shared" si="1"/>
        <v>27.419847518592629</v>
      </c>
      <c r="I16" s="30"/>
    </row>
    <row r="17" spans="1:9" x14ac:dyDescent="0.2">
      <c r="A17" s="16">
        <v>11</v>
      </c>
      <c r="B17" s="313">
        <f>'Utility Analysis September''25 '!D20</f>
        <v>7197</v>
      </c>
      <c r="C17" s="185">
        <f>'Utility Analysis September''25 '!E20</f>
        <v>0</v>
      </c>
      <c r="D17" s="347">
        <f t="shared" si="0"/>
        <v>7197</v>
      </c>
      <c r="E17" s="428">
        <f>'PROD.FIG. '!H15</f>
        <v>5.6760000000000002</v>
      </c>
      <c r="F17" s="348">
        <f t="shared" si="1"/>
        <v>1267.970401691332</v>
      </c>
      <c r="I17" s="30"/>
    </row>
    <row r="18" spans="1:9" x14ac:dyDescent="0.2">
      <c r="A18" s="514">
        <v>12</v>
      </c>
      <c r="B18" s="313">
        <f>'Utility Analysis September''25 '!D21</f>
        <v>7195</v>
      </c>
      <c r="C18" s="515">
        <f>'Utility Analysis September''25 '!E21</f>
        <v>0</v>
      </c>
      <c r="D18" s="516">
        <f t="shared" si="0"/>
        <v>7195</v>
      </c>
      <c r="E18" s="517">
        <f>'PROD.FIG. '!H16</f>
        <v>64.878</v>
      </c>
      <c r="F18" s="518">
        <f t="shared" si="1"/>
        <v>110.90045932365362</v>
      </c>
      <c r="I18" s="30"/>
    </row>
    <row r="19" spans="1:9" x14ac:dyDescent="0.2">
      <c r="A19" s="514">
        <v>13</v>
      </c>
      <c r="B19" s="313">
        <f>'Utility Analysis September''25 '!D22</f>
        <v>5393</v>
      </c>
      <c r="C19" s="515">
        <f>'Utility Analysis September''25 '!E22</f>
        <v>0</v>
      </c>
      <c r="D19" s="516">
        <f t="shared" si="0"/>
        <v>5393</v>
      </c>
      <c r="E19" s="517" t="str">
        <f>'PROD.FIG. '!H17</f>
        <v>0</v>
      </c>
      <c r="F19" s="518" t="str">
        <f t="shared" si="1"/>
        <v>0</v>
      </c>
      <c r="I19" s="30"/>
    </row>
    <row r="20" spans="1:9" x14ac:dyDescent="0.2">
      <c r="A20" s="16">
        <v>14</v>
      </c>
      <c r="B20" s="313">
        <f>'Utility Analysis September''25 '!D23</f>
        <v>5482</v>
      </c>
      <c r="C20" s="185">
        <f>'Utility Analysis September''25 '!E23</f>
        <v>0</v>
      </c>
      <c r="D20" s="347">
        <f t="shared" si="0"/>
        <v>5482</v>
      </c>
      <c r="E20" s="428" t="str">
        <f>'PROD.FIG. '!H18</f>
        <v>0</v>
      </c>
      <c r="F20" s="348" t="str">
        <f t="shared" si="1"/>
        <v>0</v>
      </c>
      <c r="I20" s="30"/>
    </row>
    <row r="21" spans="1:9" x14ac:dyDescent="0.2">
      <c r="A21" s="16">
        <v>15</v>
      </c>
      <c r="B21" s="313">
        <f>'Utility Analysis September''25 '!D24</f>
        <v>9086</v>
      </c>
      <c r="C21" s="185">
        <f>'Utility Analysis September''25 '!E24</f>
        <v>0</v>
      </c>
      <c r="D21" s="347">
        <f t="shared" si="0"/>
        <v>9086</v>
      </c>
      <c r="E21" s="428">
        <f>'PROD.FIG. '!H19</f>
        <v>518.43119999999999</v>
      </c>
      <c r="F21" s="348">
        <f t="shared" si="1"/>
        <v>17.525951370210745</v>
      </c>
      <c r="I21" s="30"/>
    </row>
    <row r="22" spans="1:9" x14ac:dyDescent="0.2">
      <c r="A22" s="16">
        <v>16</v>
      </c>
      <c r="B22" s="313">
        <f>'Utility Analysis September''25 '!D25</f>
        <v>7655</v>
      </c>
      <c r="C22" s="185">
        <f>'Utility Analysis September''25 '!E25</f>
        <v>0</v>
      </c>
      <c r="D22" s="347">
        <f t="shared" si="0"/>
        <v>7655</v>
      </c>
      <c r="E22" s="428">
        <f>'PROD.FIG. '!H20</f>
        <v>442.33199999999999</v>
      </c>
      <c r="F22" s="348">
        <f t="shared" si="1"/>
        <v>17.306005443874739</v>
      </c>
      <c r="I22" s="30"/>
    </row>
    <row r="23" spans="1:9" x14ac:dyDescent="0.2">
      <c r="A23" s="16">
        <v>17</v>
      </c>
      <c r="B23" s="313">
        <f>'Utility Analysis September''25 '!D26</f>
        <v>8972</v>
      </c>
      <c r="C23" s="185">
        <f>'Utility Analysis September''25 '!E26</f>
        <v>0</v>
      </c>
      <c r="D23" s="347">
        <f t="shared" si="0"/>
        <v>8972</v>
      </c>
      <c r="E23" s="428">
        <f>'PROD.FIG. '!H21</f>
        <v>439.75800000000004</v>
      </c>
      <c r="F23" s="348">
        <f t="shared" si="1"/>
        <v>20.402130262553495</v>
      </c>
      <c r="I23" s="30"/>
    </row>
    <row r="24" spans="1:9" x14ac:dyDescent="0.2">
      <c r="A24" s="16">
        <v>18</v>
      </c>
      <c r="B24" s="313">
        <f>'Utility Analysis September''25 '!D27</f>
        <v>9638</v>
      </c>
      <c r="C24" s="185">
        <f>'Utility Analysis September''25 '!E27</f>
        <v>0</v>
      </c>
      <c r="D24" s="347">
        <f t="shared" si="0"/>
        <v>9638</v>
      </c>
      <c r="E24" s="428">
        <f>'PROD.FIG. '!H22</f>
        <v>814.04399999999998</v>
      </c>
      <c r="F24" s="348">
        <f t="shared" si="1"/>
        <v>11.839654858951114</v>
      </c>
      <c r="I24" s="30"/>
    </row>
    <row r="25" spans="1:9" x14ac:dyDescent="0.2">
      <c r="A25" s="514">
        <v>19</v>
      </c>
      <c r="B25" s="313">
        <f>'Utility Analysis September''25 '!D28</f>
        <v>8664</v>
      </c>
      <c r="C25" s="515">
        <f>'Utility Analysis September''25 '!E28</f>
        <v>0</v>
      </c>
      <c r="D25" s="516">
        <f t="shared" si="0"/>
        <v>8664</v>
      </c>
      <c r="E25" s="517">
        <f>'PROD.FIG. '!H23</f>
        <v>524.37</v>
      </c>
      <c r="F25" s="518">
        <f t="shared" si="1"/>
        <v>16.522684364094054</v>
      </c>
      <c r="I25" s="30"/>
    </row>
    <row r="26" spans="1:9" x14ac:dyDescent="0.2">
      <c r="A26" s="514">
        <v>20</v>
      </c>
      <c r="B26" s="313">
        <f>'Utility Analysis September''25 '!D29</f>
        <v>5780</v>
      </c>
      <c r="C26" s="515">
        <f>'Utility Analysis September''25 '!E29</f>
        <v>0</v>
      </c>
      <c r="D26" s="516">
        <f t="shared" si="0"/>
        <v>5780</v>
      </c>
      <c r="E26" s="517" t="str">
        <f>'PROD.FIG. '!H24</f>
        <v>0</v>
      </c>
      <c r="F26" s="518" t="str">
        <f t="shared" si="1"/>
        <v>0</v>
      </c>
      <c r="I26" s="30"/>
    </row>
    <row r="27" spans="1:9" x14ac:dyDescent="0.2">
      <c r="A27" s="16">
        <v>21</v>
      </c>
      <c r="B27" s="313">
        <f>'Utility Analysis September''25 '!D30</f>
        <v>4822</v>
      </c>
      <c r="C27" s="185">
        <f>'Utility Analysis September''25 '!E30</f>
        <v>0</v>
      </c>
      <c r="D27" s="347">
        <f t="shared" si="0"/>
        <v>4822</v>
      </c>
      <c r="E27" s="428" t="str">
        <f>'PROD.FIG. '!H25</f>
        <v>0</v>
      </c>
      <c r="F27" s="348" t="str">
        <f t="shared" si="1"/>
        <v>0</v>
      </c>
      <c r="I27" s="30"/>
    </row>
    <row r="28" spans="1:9" x14ac:dyDescent="0.2">
      <c r="A28" s="16">
        <v>22</v>
      </c>
      <c r="B28" s="313">
        <f>'Utility Analysis September''25 '!D31</f>
        <v>8758</v>
      </c>
      <c r="C28" s="185">
        <f>'Utility Analysis September''25 '!E31</f>
        <v>0</v>
      </c>
      <c r="D28" s="347">
        <f t="shared" si="0"/>
        <v>8758</v>
      </c>
      <c r="E28" s="428">
        <f>'PROD.FIG. '!H26</f>
        <v>349.47</v>
      </c>
      <c r="F28" s="348">
        <f t="shared" si="1"/>
        <v>25.060806363922509</v>
      </c>
      <c r="I28" s="30"/>
    </row>
    <row r="29" spans="1:9" x14ac:dyDescent="0.2">
      <c r="A29" s="16">
        <v>23</v>
      </c>
      <c r="B29" s="313">
        <f>'Utility Analysis September''25 '!D32</f>
        <v>9760</v>
      </c>
      <c r="C29" s="185">
        <f>'Utility Analysis September''25 '!E32</f>
        <v>0</v>
      </c>
      <c r="D29" s="347">
        <f t="shared" si="0"/>
        <v>9760</v>
      </c>
      <c r="E29" s="428">
        <f>'PROD.FIG. '!H27</f>
        <v>484.24200000000002</v>
      </c>
      <c r="F29" s="348">
        <f t="shared" si="1"/>
        <v>20.155211650373161</v>
      </c>
      <c r="I29" s="30"/>
    </row>
    <row r="30" spans="1:9" x14ac:dyDescent="0.2">
      <c r="A30" s="16">
        <v>24</v>
      </c>
      <c r="B30" s="313">
        <f>'Utility Analysis September''25 '!D33</f>
        <v>6575</v>
      </c>
      <c r="C30" s="185">
        <f>'Utility Analysis September''25 '!E33</f>
        <v>0</v>
      </c>
      <c r="D30" s="347">
        <f t="shared" si="0"/>
        <v>6575</v>
      </c>
      <c r="E30" s="428" t="str">
        <f>'PROD.FIG. '!H28</f>
        <v>0</v>
      </c>
      <c r="F30" s="348" t="str">
        <f t="shared" si="1"/>
        <v>0</v>
      </c>
      <c r="I30" s="30"/>
    </row>
    <row r="31" spans="1:9" x14ac:dyDescent="0.2">
      <c r="A31" s="16">
        <v>25</v>
      </c>
      <c r="B31" s="313">
        <f>'Utility Analysis September''25 '!D34</f>
        <v>8566</v>
      </c>
      <c r="C31" s="185">
        <f>'Utility Analysis September''25 '!E34</f>
        <v>0</v>
      </c>
      <c r="D31" s="347">
        <f t="shared" si="0"/>
        <v>8566</v>
      </c>
      <c r="E31" s="428">
        <f>'PROD.FIG. '!H29</f>
        <v>282.94200000000001</v>
      </c>
      <c r="F31" s="348">
        <f t="shared" si="1"/>
        <v>30.274755957051269</v>
      </c>
      <c r="I31" s="30"/>
    </row>
    <row r="32" spans="1:9" x14ac:dyDescent="0.2">
      <c r="A32" s="514">
        <v>26</v>
      </c>
      <c r="B32" s="313">
        <f>'Utility Analysis September''25 '!D35</f>
        <v>8674</v>
      </c>
      <c r="C32" s="515">
        <f>'Utility Analysis September''25 '!E35</f>
        <v>0</v>
      </c>
      <c r="D32" s="516">
        <f t="shared" si="0"/>
        <v>8674</v>
      </c>
      <c r="E32" s="517">
        <f>'PROD.FIG. '!H30</f>
        <v>523.24800000000005</v>
      </c>
      <c r="F32" s="518">
        <f t="shared" si="1"/>
        <v>16.577225331009387</v>
      </c>
      <c r="I32" s="30"/>
    </row>
    <row r="33" spans="1:9" x14ac:dyDescent="0.2">
      <c r="A33" s="514">
        <v>27</v>
      </c>
      <c r="B33" s="313">
        <f>'Utility Analysis September''25 '!D36</f>
        <v>6376</v>
      </c>
      <c r="C33" s="515">
        <f>'Utility Analysis September''25 '!E36</f>
        <v>0</v>
      </c>
      <c r="D33" s="516">
        <f t="shared" si="0"/>
        <v>6376</v>
      </c>
      <c r="E33" s="517" t="str">
        <f>'PROD.FIG. '!H31</f>
        <v>0</v>
      </c>
      <c r="F33" s="518" t="str">
        <f t="shared" si="1"/>
        <v>0</v>
      </c>
      <c r="I33" s="30"/>
    </row>
    <row r="34" spans="1:9" x14ac:dyDescent="0.2">
      <c r="A34" s="16">
        <v>28</v>
      </c>
      <c r="B34" s="313">
        <f>'Utility Analysis September''25 '!D37</f>
        <v>4654</v>
      </c>
      <c r="C34" s="185">
        <f>'Utility Analysis September''25 '!E37</f>
        <v>0</v>
      </c>
      <c r="D34" s="347">
        <f t="shared" si="0"/>
        <v>4654</v>
      </c>
      <c r="E34" s="428" t="str">
        <f>'PROD.FIG. '!H32</f>
        <v>0</v>
      </c>
      <c r="F34" s="348" t="str">
        <f t="shared" si="1"/>
        <v>0</v>
      </c>
      <c r="I34" s="30"/>
    </row>
    <row r="35" spans="1:9" x14ac:dyDescent="0.2">
      <c r="A35" s="16">
        <v>29</v>
      </c>
      <c r="B35" s="313">
        <f>'Utility Analysis September''25 '!D38</f>
        <v>7658</v>
      </c>
      <c r="C35" s="185">
        <f>'Utility Analysis September''25 '!E38</f>
        <v>0</v>
      </c>
      <c r="D35" s="347">
        <f t="shared" si="0"/>
        <v>7658</v>
      </c>
      <c r="E35" s="428">
        <f>'PROD.FIG. '!H33</f>
        <v>189.09</v>
      </c>
      <c r="F35" s="348">
        <f t="shared" si="1"/>
        <v>40.499233169390237</v>
      </c>
    </row>
    <row r="36" spans="1:9" x14ac:dyDescent="0.2">
      <c r="A36" s="16">
        <v>30</v>
      </c>
      <c r="B36" s="313">
        <f>'Utility Analysis September''25 '!D39</f>
        <v>9131</v>
      </c>
      <c r="C36" s="185">
        <f>'Utility Analysis September''25 '!E39</f>
        <v>0</v>
      </c>
      <c r="D36" s="347">
        <f t="shared" si="0"/>
        <v>9131</v>
      </c>
      <c r="E36" s="428">
        <f>'PROD.FIG. '!H34</f>
        <v>198.52800000000002</v>
      </c>
      <c r="F36" s="348">
        <f t="shared" si="1"/>
        <v>45.993512250161181</v>
      </c>
    </row>
    <row r="37" spans="1:9" ht="15.75" thickBot="1" x14ac:dyDescent="0.25">
      <c r="A37" s="16">
        <v>1</v>
      </c>
      <c r="B37" s="313">
        <f>'Utility Analysis September''25 '!D40</f>
        <v>0</v>
      </c>
      <c r="C37" s="185"/>
      <c r="D37" s="347">
        <f t="shared" si="0"/>
        <v>0</v>
      </c>
      <c r="E37" s="428"/>
      <c r="F37" s="348"/>
      <c r="H37" s="189" t="s">
        <v>252</v>
      </c>
    </row>
    <row r="38" spans="1:9" s="310" customFormat="1" ht="18.75" thickBot="1" x14ac:dyDescent="0.3">
      <c r="A38" s="311" t="s">
        <v>86</v>
      </c>
      <c r="B38" s="312">
        <f>SUM(B7:B37)</f>
        <v>227980</v>
      </c>
      <c r="C38" s="312">
        <f>SUM(C7:C37)</f>
        <v>0</v>
      </c>
      <c r="D38" s="349">
        <f>SUM(D7:D37)</f>
        <v>227980</v>
      </c>
      <c r="E38" s="396">
        <f>SUM(E7:E37)</f>
        <v>7491.0012000000006</v>
      </c>
      <c r="F38" s="350">
        <f>IF(E38=0,"0",(D38/E38))</f>
        <v>30.43384908281686</v>
      </c>
      <c r="G38" s="346">
        <v>22</v>
      </c>
      <c r="H38" s="355">
        <f>F38/G38*100</f>
        <v>138.33567764916754</v>
      </c>
    </row>
    <row r="39" spans="1:9" x14ac:dyDescent="0.2">
      <c r="B39" s="17"/>
      <c r="D39" s="17"/>
      <c r="E39" s="17"/>
      <c r="F39" s="17"/>
      <c r="G39" s="345" t="s">
        <v>248</v>
      </c>
    </row>
    <row r="40" spans="1:9" x14ac:dyDescent="0.2">
      <c r="B40" s="17"/>
      <c r="D40" s="17"/>
      <c r="E40" s="17"/>
      <c r="F40" s="17"/>
    </row>
    <row r="41" spans="1:9" x14ac:dyDescent="0.2">
      <c r="B41" s="17"/>
      <c r="D41" s="17"/>
      <c r="E41" s="17"/>
      <c r="F41" s="17"/>
    </row>
    <row r="42" spans="1:9" x14ac:dyDescent="0.2">
      <c r="B42" s="17"/>
      <c r="D42" s="17"/>
      <c r="E42" s="17"/>
      <c r="F42" s="17"/>
    </row>
  </sheetData>
  <mergeCells count="6">
    <mergeCell ref="A1:F1"/>
    <mergeCell ref="D4:D6"/>
    <mergeCell ref="E4:E6"/>
    <mergeCell ref="F4:F6"/>
    <mergeCell ref="G4:G6"/>
    <mergeCell ref="A4:A6"/>
  </mergeCells>
  <phoneticPr fontId="0" type="noConversion"/>
  <conditionalFormatting sqref="F1:F1048576">
    <cfRule type="cellIs" dxfId="42" priority="1" operator="lessThan">
      <formula>22</formula>
    </cfRule>
  </conditionalFormatting>
  <conditionalFormatting sqref="F7:F38">
    <cfRule type="cellIs" dxfId="41" priority="2" operator="greaterThan">
      <formula>21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7">
    <tabColor indexed="14"/>
  </sheetPr>
  <dimension ref="A1:P41"/>
  <sheetViews>
    <sheetView showZeros="0" defaultGridColor="0" colorId="22" zoomScale="87" zoomScaleNormal="87" zoomScaleSheetLayoutView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N19" sqref="N19"/>
    </sheetView>
  </sheetViews>
  <sheetFormatPr defaultColWidth="12.5703125" defaultRowHeight="15" x14ac:dyDescent="0.2"/>
  <cols>
    <col min="1" max="1" width="15.42578125" style="8" customWidth="1"/>
    <col min="2" max="2" width="7.42578125" style="8" bestFit="1" customWidth="1"/>
    <col min="3" max="3" width="16" style="32" customWidth="1"/>
    <col min="4" max="4" width="10.7109375" style="8" customWidth="1"/>
    <col min="5" max="5" width="17.28515625" style="8" customWidth="1"/>
    <col min="6" max="6" width="8.42578125" style="8" customWidth="1"/>
    <col min="7" max="7" width="13.5703125" style="8" customWidth="1"/>
    <col min="8" max="8" width="17.7109375" style="17" customWidth="1"/>
    <col min="9" max="16" width="12.5703125" style="32"/>
    <col min="17" max="16384" width="12.5703125" style="8"/>
  </cols>
  <sheetData>
    <row r="1" spans="1:10" ht="15.75" x14ac:dyDescent="0.25">
      <c r="A1" s="954" t="s">
        <v>294</v>
      </c>
      <c r="B1" s="917"/>
      <c r="C1" s="917"/>
      <c r="D1" s="917"/>
      <c r="E1" s="917"/>
      <c r="F1" s="917"/>
      <c r="G1" s="917"/>
      <c r="H1" s="917"/>
    </row>
    <row r="2" spans="1:10" ht="15.75" thickBot="1" x14ac:dyDescent="0.25">
      <c r="D2" s="12"/>
    </row>
    <row r="3" spans="1:10" ht="15.75" x14ac:dyDescent="0.25">
      <c r="A3" s="318"/>
      <c r="B3" s="319" t="s">
        <v>7</v>
      </c>
      <c r="C3" s="320"/>
      <c r="D3" s="321"/>
      <c r="E3" s="321"/>
      <c r="F3" s="321"/>
      <c r="G3" s="321"/>
      <c r="H3" s="322"/>
    </row>
    <row r="4" spans="1:10" ht="15.75" x14ac:dyDescent="0.25">
      <c r="A4" s="323"/>
      <c r="B4" s="70" t="s">
        <v>37</v>
      </c>
      <c r="C4" s="316" t="s">
        <v>82</v>
      </c>
      <c r="D4" s="317" t="s">
        <v>81</v>
      </c>
      <c r="E4" s="317" t="s">
        <v>69</v>
      </c>
      <c r="F4" s="317" t="s">
        <v>71</v>
      </c>
      <c r="G4" s="317" t="s">
        <v>70</v>
      </c>
      <c r="H4" s="324" t="s">
        <v>57</v>
      </c>
    </row>
    <row r="5" spans="1:10" x14ac:dyDescent="0.2">
      <c r="A5" s="323" t="s">
        <v>97</v>
      </c>
      <c r="B5" s="16">
        <v>1</v>
      </c>
      <c r="C5" s="296"/>
      <c r="D5" s="297"/>
      <c r="E5" s="16"/>
      <c r="F5" s="297"/>
      <c r="G5" s="16"/>
      <c r="H5" s="341" cm="1">
        <f t="array" ref="H5:H35">IF(TRANSPOSE('Daily KPIs'!B9:AF9)=0,"0",TRANSPOSE('Daily KPIs'!B9:AF9))</f>
        <v>390.85200000000003</v>
      </c>
      <c r="I5" s="300"/>
      <c r="J5" s="301"/>
    </row>
    <row r="6" spans="1:10" x14ac:dyDescent="0.2">
      <c r="A6" s="323" t="s">
        <v>98</v>
      </c>
      <c r="B6" s="16">
        <v>2</v>
      </c>
      <c r="C6" s="296"/>
      <c r="D6" s="297"/>
      <c r="E6" s="298"/>
      <c r="F6" s="297"/>
      <c r="G6" s="16"/>
      <c r="H6" s="325">
        <v>311.38800000000003</v>
      </c>
      <c r="I6" s="33"/>
      <c r="J6" s="301"/>
    </row>
    <row r="7" spans="1:10" x14ac:dyDescent="0.2">
      <c r="A7" s="323" t="s">
        <v>99</v>
      </c>
      <c r="B7" s="16">
        <v>3</v>
      </c>
      <c r="C7" s="296"/>
      <c r="D7" s="297"/>
      <c r="E7" s="16"/>
      <c r="F7" s="297"/>
      <c r="G7" s="16"/>
      <c r="H7" s="325">
        <v>297.858</v>
      </c>
      <c r="I7" s="302"/>
      <c r="J7" s="303"/>
    </row>
    <row r="8" spans="1:10" x14ac:dyDescent="0.2">
      <c r="A8" s="323" t="s">
        <v>93</v>
      </c>
      <c r="B8" s="16">
        <v>4</v>
      </c>
      <c r="C8" s="296"/>
      <c r="D8" s="297"/>
      <c r="E8" s="16"/>
      <c r="F8" s="299"/>
      <c r="G8" s="16"/>
      <c r="H8" s="325">
        <v>392.10599999999999</v>
      </c>
      <c r="I8" s="302"/>
      <c r="J8" s="303"/>
    </row>
    <row r="9" spans="1:10" x14ac:dyDescent="0.2">
      <c r="A9" s="323" t="s">
        <v>94</v>
      </c>
      <c r="B9" s="801">
        <v>5</v>
      </c>
      <c r="C9" s="802"/>
      <c r="D9" s="803"/>
      <c r="E9" s="801"/>
      <c r="F9" s="801"/>
      <c r="G9" s="801"/>
      <c r="H9" s="804">
        <v>274.49400000000003</v>
      </c>
      <c r="I9" s="302"/>
      <c r="J9" s="303"/>
    </row>
    <row r="10" spans="1:10" x14ac:dyDescent="0.2">
      <c r="A10" s="525" t="s">
        <v>95</v>
      </c>
      <c r="B10" s="514">
        <v>6</v>
      </c>
      <c r="C10" s="526"/>
      <c r="D10" s="527"/>
      <c r="E10" s="514"/>
      <c r="F10" s="514"/>
      <c r="G10" s="514"/>
      <c r="H10" s="528" t="str">
        <v>0</v>
      </c>
      <c r="I10" s="302"/>
      <c r="J10" s="303"/>
    </row>
    <row r="11" spans="1:10" x14ac:dyDescent="0.2">
      <c r="A11" s="525" t="s">
        <v>96</v>
      </c>
      <c r="B11" s="514">
        <v>7</v>
      </c>
      <c r="C11" s="526"/>
      <c r="D11" s="527"/>
      <c r="E11" s="514"/>
      <c r="F11" s="529"/>
      <c r="G11" s="514"/>
      <c r="H11" s="528" t="str">
        <v>0</v>
      </c>
      <c r="I11" s="302"/>
      <c r="J11" s="303"/>
    </row>
    <row r="12" spans="1:10" x14ac:dyDescent="0.2">
      <c r="A12" s="323" t="s">
        <v>97</v>
      </c>
      <c r="B12" s="16">
        <v>8</v>
      </c>
      <c r="C12" s="296"/>
      <c r="D12" s="297"/>
      <c r="E12" s="16"/>
      <c r="F12" s="16"/>
      <c r="G12" s="16"/>
      <c r="H12" s="325">
        <v>306.37200000000001</v>
      </c>
      <c r="I12" s="302"/>
      <c r="J12" s="303"/>
    </row>
    <row r="13" spans="1:10" x14ac:dyDescent="0.2">
      <c r="A13" s="323" t="s">
        <v>98</v>
      </c>
      <c r="B13" s="16">
        <v>9</v>
      </c>
      <c r="C13" s="296"/>
      <c r="D13" s="297"/>
      <c r="E13" s="299"/>
      <c r="F13" s="16"/>
      <c r="G13" s="16"/>
      <c r="H13" s="325">
        <v>360.096</v>
      </c>
      <c r="I13" s="302"/>
      <c r="J13" s="303"/>
    </row>
    <row r="14" spans="1:10" x14ac:dyDescent="0.2">
      <c r="A14" s="323" t="s">
        <v>99</v>
      </c>
      <c r="B14" s="16">
        <v>10</v>
      </c>
      <c r="C14" s="296"/>
      <c r="D14" s="297"/>
      <c r="E14" s="16"/>
      <c r="F14" s="16"/>
      <c r="G14" s="16"/>
      <c r="H14" s="325">
        <v>320.82600000000002</v>
      </c>
      <c r="I14" s="302"/>
      <c r="J14" s="303"/>
    </row>
    <row r="15" spans="1:10" x14ac:dyDescent="0.2">
      <c r="A15" s="323" t="s">
        <v>93</v>
      </c>
      <c r="B15" s="16">
        <v>11</v>
      </c>
      <c r="C15" s="296"/>
      <c r="D15" s="297"/>
      <c r="E15" s="299"/>
      <c r="F15" s="16"/>
      <c r="G15" s="299"/>
      <c r="H15" s="325">
        <v>5.6760000000000002</v>
      </c>
      <c r="I15" s="302"/>
      <c r="J15" s="303"/>
    </row>
    <row r="16" spans="1:10" x14ac:dyDescent="0.2">
      <c r="A16" s="323" t="s">
        <v>94</v>
      </c>
      <c r="B16" s="801">
        <v>12</v>
      </c>
      <c r="C16" s="802"/>
      <c r="D16" s="803"/>
      <c r="E16" s="805"/>
      <c r="F16" s="801"/>
      <c r="G16" s="801"/>
      <c r="H16" s="804">
        <v>64.878</v>
      </c>
      <c r="I16" s="302"/>
      <c r="J16" s="303"/>
    </row>
    <row r="17" spans="1:13" x14ac:dyDescent="0.2">
      <c r="A17" s="525" t="s">
        <v>95</v>
      </c>
      <c r="B17" s="514">
        <v>13</v>
      </c>
      <c r="C17" s="526"/>
      <c r="D17" s="527"/>
      <c r="E17" s="514"/>
      <c r="F17" s="514"/>
      <c r="G17" s="514"/>
      <c r="H17" s="528" t="str">
        <v>0</v>
      </c>
      <c r="I17" s="302"/>
      <c r="J17" s="303"/>
    </row>
    <row r="18" spans="1:13" x14ac:dyDescent="0.2">
      <c r="A18" s="525" t="s">
        <v>96</v>
      </c>
      <c r="B18" s="514">
        <v>14</v>
      </c>
      <c r="C18" s="526"/>
      <c r="D18" s="527"/>
      <c r="E18" s="514"/>
      <c r="F18" s="514"/>
      <c r="G18" s="514"/>
      <c r="H18" s="528" t="str">
        <v>0</v>
      </c>
      <c r="I18" s="302"/>
      <c r="J18" s="303"/>
    </row>
    <row r="19" spans="1:13" x14ac:dyDescent="0.2">
      <c r="A19" s="323" t="s">
        <v>97</v>
      </c>
      <c r="B19" s="16">
        <v>15</v>
      </c>
      <c r="C19" s="296"/>
      <c r="D19" s="297"/>
      <c r="E19" s="299"/>
      <c r="F19" s="16"/>
      <c r="G19" s="16"/>
      <c r="H19" s="325">
        <v>518.43119999999999</v>
      </c>
      <c r="I19" s="302"/>
      <c r="J19" s="303"/>
    </row>
    <row r="20" spans="1:13" x14ac:dyDescent="0.2">
      <c r="A20" s="323" t="s">
        <v>98</v>
      </c>
      <c r="B20" s="16">
        <v>16</v>
      </c>
      <c r="C20" s="296"/>
      <c r="D20" s="297"/>
      <c r="E20" s="16"/>
      <c r="F20" s="16"/>
      <c r="G20" s="16"/>
      <c r="H20" s="325">
        <v>442.33199999999999</v>
      </c>
      <c r="I20" s="302"/>
      <c r="J20" s="303"/>
    </row>
    <row r="21" spans="1:13" x14ac:dyDescent="0.2">
      <c r="A21" s="323" t="s">
        <v>99</v>
      </c>
      <c r="B21" s="16">
        <v>17</v>
      </c>
      <c r="C21" s="296"/>
      <c r="D21" s="297"/>
      <c r="E21" s="16"/>
      <c r="F21" s="16"/>
      <c r="G21" s="16"/>
      <c r="H21" s="325">
        <v>439.75800000000004</v>
      </c>
      <c r="I21" s="302"/>
      <c r="J21" s="303"/>
    </row>
    <row r="22" spans="1:13" x14ac:dyDescent="0.2">
      <c r="A22" s="323" t="s">
        <v>93</v>
      </c>
      <c r="B22" s="16">
        <v>18</v>
      </c>
      <c r="C22" s="296"/>
      <c r="D22" s="297"/>
      <c r="E22" s="16"/>
      <c r="F22" s="16"/>
      <c r="G22" s="16"/>
      <c r="H22" s="325">
        <v>814.04399999999998</v>
      </c>
      <c r="I22" s="302"/>
      <c r="J22" s="303"/>
    </row>
    <row r="23" spans="1:13" x14ac:dyDescent="0.2">
      <c r="A23" s="323" t="s">
        <v>94</v>
      </c>
      <c r="B23" s="801">
        <v>19</v>
      </c>
      <c r="C23" s="802"/>
      <c r="D23" s="803"/>
      <c r="E23" s="801"/>
      <c r="F23" s="801"/>
      <c r="G23" s="801"/>
      <c r="H23" s="804">
        <v>524.37</v>
      </c>
      <c r="I23" s="302"/>
      <c r="J23" s="303"/>
    </row>
    <row r="24" spans="1:13" x14ac:dyDescent="0.2">
      <c r="A24" s="525" t="s">
        <v>95</v>
      </c>
      <c r="B24" s="514">
        <v>20</v>
      </c>
      <c r="C24" s="526"/>
      <c r="D24" s="527"/>
      <c r="E24" s="514"/>
      <c r="F24" s="514"/>
      <c r="G24" s="514"/>
      <c r="H24" s="528" t="str">
        <v>0</v>
      </c>
      <c r="I24" s="302"/>
      <c r="J24" s="303"/>
    </row>
    <row r="25" spans="1:13" x14ac:dyDescent="0.2">
      <c r="A25" s="525" t="s">
        <v>96</v>
      </c>
      <c r="B25" s="514">
        <v>21</v>
      </c>
      <c r="C25" s="526"/>
      <c r="D25" s="527"/>
      <c r="E25" s="514"/>
      <c r="F25" s="514"/>
      <c r="G25" s="514"/>
      <c r="H25" s="528" t="str">
        <v>0</v>
      </c>
      <c r="I25" s="302"/>
      <c r="J25" s="303"/>
    </row>
    <row r="26" spans="1:13" x14ac:dyDescent="0.2">
      <c r="A26" s="323" t="s">
        <v>97</v>
      </c>
      <c r="B26" s="16">
        <v>22</v>
      </c>
      <c r="C26" s="296"/>
      <c r="D26" s="297"/>
      <c r="E26" s="16"/>
      <c r="F26" s="16"/>
      <c r="G26" s="16"/>
      <c r="H26" s="325">
        <v>349.47</v>
      </c>
      <c r="I26" s="302"/>
      <c r="J26" s="303"/>
      <c r="M26" s="32" t="s">
        <v>58</v>
      </c>
    </row>
    <row r="27" spans="1:13" x14ac:dyDescent="0.2">
      <c r="A27" s="323" t="s">
        <v>98</v>
      </c>
      <c r="B27" s="16">
        <v>23</v>
      </c>
      <c r="C27" s="296"/>
      <c r="D27" s="297"/>
      <c r="E27" s="299"/>
      <c r="F27" s="16"/>
      <c r="G27" s="16"/>
      <c r="H27" s="325">
        <v>484.24200000000002</v>
      </c>
      <c r="I27" s="302"/>
      <c r="J27" s="303"/>
    </row>
    <row r="28" spans="1:13" x14ac:dyDescent="0.2">
      <c r="A28" s="323" t="s">
        <v>99</v>
      </c>
      <c r="B28" s="16">
        <v>24</v>
      </c>
      <c r="C28" s="296"/>
      <c r="D28" s="297"/>
      <c r="E28" s="299"/>
      <c r="F28" s="16"/>
      <c r="G28" s="16"/>
      <c r="H28" s="325" t="str">
        <v>0</v>
      </c>
      <c r="I28" s="302"/>
      <c r="J28" s="303"/>
    </row>
    <row r="29" spans="1:13" x14ac:dyDescent="0.2">
      <c r="A29" s="323" t="s">
        <v>93</v>
      </c>
      <c r="B29" s="16">
        <v>25</v>
      </c>
      <c r="C29" s="296"/>
      <c r="D29" s="297"/>
      <c r="E29" s="16"/>
      <c r="F29" s="16"/>
      <c r="G29" s="16"/>
      <c r="H29" s="325">
        <v>282.94200000000001</v>
      </c>
      <c r="I29" s="302"/>
      <c r="J29" s="303"/>
    </row>
    <row r="30" spans="1:13" x14ac:dyDescent="0.2">
      <c r="A30" s="323" t="s">
        <v>94</v>
      </c>
      <c r="B30" s="801">
        <v>26</v>
      </c>
      <c r="C30" s="802"/>
      <c r="D30" s="803"/>
      <c r="E30" s="801"/>
      <c r="F30" s="801"/>
      <c r="G30" s="801"/>
      <c r="H30" s="804">
        <v>523.24800000000005</v>
      </c>
      <c r="I30" s="302"/>
      <c r="J30" s="303"/>
    </row>
    <row r="31" spans="1:13" x14ac:dyDescent="0.2">
      <c r="A31" s="525" t="s">
        <v>95</v>
      </c>
      <c r="B31" s="514">
        <v>27</v>
      </c>
      <c r="C31" s="526"/>
      <c r="D31" s="527"/>
      <c r="E31" s="514"/>
      <c r="F31" s="514"/>
      <c r="G31" s="514"/>
      <c r="H31" s="528" t="str">
        <v>0</v>
      </c>
      <c r="I31" s="302"/>
      <c r="J31" s="303"/>
    </row>
    <row r="32" spans="1:13" x14ac:dyDescent="0.2">
      <c r="A32" s="525" t="s">
        <v>96</v>
      </c>
      <c r="B32" s="514">
        <v>28</v>
      </c>
      <c r="C32" s="526"/>
      <c r="D32" s="527"/>
      <c r="E32" s="514"/>
      <c r="F32" s="514"/>
      <c r="G32" s="514"/>
      <c r="H32" s="528" t="str">
        <v>0</v>
      </c>
      <c r="I32" s="302"/>
      <c r="J32" s="303"/>
    </row>
    <row r="33" spans="1:10" x14ac:dyDescent="0.2">
      <c r="A33" s="323" t="s">
        <v>97</v>
      </c>
      <c r="B33" s="16">
        <v>29</v>
      </c>
      <c r="C33" s="296"/>
      <c r="D33" s="297"/>
      <c r="E33" s="16"/>
      <c r="F33" s="299"/>
      <c r="G33" s="16"/>
      <c r="H33" s="325">
        <v>189.09</v>
      </c>
      <c r="I33" s="302"/>
      <c r="J33" s="303"/>
    </row>
    <row r="34" spans="1:10" x14ac:dyDescent="0.2">
      <c r="A34" s="323" t="s">
        <v>98</v>
      </c>
      <c r="B34" s="16">
        <v>30</v>
      </c>
      <c r="C34" s="296"/>
      <c r="D34" s="297"/>
      <c r="E34" s="16"/>
      <c r="F34" s="16"/>
      <c r="G34" s="16"/>
      <c r="H34" s="325">
        <v>198.52800000000002</v>
      </c>
      <c r="I34" s="302"/>
      <c r="J34" s="303"/>
    </row>
    <row r="35" spans="1:10" x14ac:dyDescent="0.2">
      <c r="A35" s="323" t="s">
        <v>99</v>
      </c>
      <c r="B35" s="16">
        <v>1</v>
      </c>
      <c r="C35" s="296"/>
      <c r="D35" s="297"/>
      <c r="E35" s="16"/>
      <c r="F35" s="16"/>
      <c r="G35" s="16"/>
      <c r="H35" s="325" t="str">
        <v>0</v>
      </c>
      <c r="I35" s="302"/>
      <c r="J35" s="303"/>
    </row>
    <row r="36" spans="1:10" ht="18.75" thickBot="1" x14ac:dyDescent="0.3">
      <c r="A36" s="369"/>
      <c r="B36" s="370"/>
      <c r="C36" s="371"/>
      <c r="D36" s="372"/>
      <c r="E36" s="370"/>
      <c r="F36" s="370"/>
      <c r="G36" s="326" t="s">
        <v>245</v>
      </c>
      <c r="H36" s="327">
        <f>SUM(H5:H35)</f>
        <v>7491.0012000000006</v>
      </c>
      <c r="I36" s="302"/>
      <c r="J36" s="303"/>
    </row>
    <row r="37" spans="1:10" x14ac:dyDescent="0.2">
      <c r="B37" s="314"/>
      <c r="C37" s="37"/>
      <c r="D37" s="315"/>
      <c r="E37" s="314"/>
      <c r="F37" s="314"/>
      <c r="G37" s="314"/>
      <c r="H37" s="47"/>
      <c r="I37" s="302"/>
      <c r="J37" s="303"/>
    </row>
    <row r="38" spans="1:10" x14ac:dyDescent="0.2">
      <c r="B38" s="16"/>
      <c r="C38" s="38"/>
      <c r="D38" s="297"/>
      <c r="E38" s="16"/>
      <c r="F38" s="16"/>
      <c r="G38" s="16"/>
      <c r="H38" s="185"/>
      <c r="I38" s="302"/>
      <c r="J38" s="303"/>
    </row>
    <row r="39" spans="1:10" x14ac:dyDescent="0.2">
      <c r="C39" s="33">
        <f>SUM(C5:C36)</f>
        <v>0</v>
      </c>
      <c r="D39" s="10"/>
      <c r="E39" s="10"/>
      <c r="F39" s="10"/>
      <c r="G39" s="10"/>
      <c r="H39" s="309"/>
      <c r="I39" s="302"/>
      <c r="J39" s="303"/>
    </row>
    <row r="40" spans="1:10" x14ac:dyDescent="0.2">
      <c r="C40" s="33"/>
      <c r="D40" s="10"/>
      <c r="E40" s="10"/>
      <c r="F40" s="10"/>
      <c r="G40" s="10"/>
      <c r="I40" s="302"/>
      <c r="J40" s="303"/>
    </row>
    <row r="41" spans="1:10" x14ac:dyDescent="0.2">
      <c r="D41" s="11"/>
      <c r="E41" s="13"/>
      <c r="F41" s="13"/>
      <c r="G41" s="13"/>
    </row>
  </sheetData>
  <dataConsolidate/>
  <mergeCells count="1">
    <mergeCell ref="A1:H1"/>
  </mergeCells>
  <phoneticPr fontId="0" type="noConversion"/>
  <pageMargins left="0.25" right="0.25" top="0.25" bottom="0.25" header="0.5" footer="0.5"/>
  <pageSetup scale="105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indexed="51"/>
  </sheetPr>
  <dimension ref="A1:X42"/>
  <sheetViews>
    <sheetView topLeftCell="A10" zoomScaleNormal="100" workbookViewId="0">
      <selection activeCell="D7" sqref="D7"/>
    </sheetView>
  </sheetViews>
  <sheetFormatPr defaultRowHeight="12.75" x14ac:dyDescent="0.2"/>
  <cols>
    <col min="2" max="3" width="13.28515625" customWidth="1"/>
    <col min="4" max="5" width="19.85546875" style="27" customWidth="1"/>
    <col min="6" max="6" width="19.28515625" customWidth="1"/>
    <col min="7" max="7" width="13.140625" customWidth="1"/>
    <col min="8" max="8" width="15.7109375" style="363" customWidth="1"/>
    <col min="9" max="9" width="9.140625" style="27"/>
    <col min="11" max="11" width="9.140625" style="356"/>
    <col min="12" max="14" width="9.140625" style="191"/>
    <col min="15" max="15" width="10.7109375" style="191" customWidth="1"/>
    <col min="16" max="16" width="11" customWidth="1"/>
    <col min="18" max="18" width="13.7109375" style="81" customWidth="1"/>
    <col min="22" max="22" width="10.5703125" customWidth="1"/>
    <col min="24" max="24" width="12.85546875" customWidth="1"/>
  </cols>
  <sheetData>
    <row r="1" spans="1:24" ht="15" x14ac:dyDescent="0.2">
      <c r="A1" s="8"/>
      <c r="B1" s="8"/>
      <c r="C1" s="8"/>
      <c r="D1" s="11"/>
      <c r="E1" s="11"/>
      <c r="F1" s="8"/>
    </row>
    <row r="2" spans="1:24" ht="15.75" thickBot="1" x14ac:dyDescent="0.25">
      <c r="A2" s="8"/>
      <c r="B2" s="8"/>
      <c r="C2" s="8"/>
      <c r="D2" s="11"/>
      <c r="E2" s="11"/>
      <c r="F2" s="8"/>
    </row>
    <row r="3" spans="1:24" ht="16.5" thickBot="1" x14ac:dyDescent="0.3">
      <c r="A3" s="359" t="s">
        <v>295</v>
      </c>
      <c r="B3" s="1"/>
      <c r="C3" s="1"/>
      <c r="D3" s="85"/>
      <c r="E3" s="85"/>
      <c r="F3" s="1"/>
      <c r="I3" s="959" t="s">
        <v>272</v>
      </c>
      <c r="J3" s="960"/>
      <c r="K3" s="961"/>
    </row>
    <row r="4" spans="1:24" ht="37.5" customHeight="1" thickBot="1" x14ac:dyDescent="0.25">
      <c r="A4" s="8"/>
      <c r="B4" s="8"/>
      <c r="C4" s="8"/>
      <c r="D4" s="11"/>
      <c r="E4" s="11"/>
      <c r="F4" s="8"/>
      <c r="G4" s="265" t="s">
        <v>254</v>
      </c>
      <c r="H4" s="364"/>
      <c r="I4" s="962" t="s">
        <v>267</v>
      </c>
      <c r="J4" s="963"/>
      <c r="K4" s="964"/>
      <c r="M4" s="470"/>
      <c r="N4" s="470"/>
      <c r="O4" s="471"/>
      <c r="P4" s="471"/>
      <c r="Q4" s="974" t="s">
        <v>291</v>
      </c>
      <c r="R4" s="974"/>
      <c r="S4" s="974"/>
      <c r="T4" s="974"/>
      <c r="U4" s="191"/>
      <c r="V4" s="470"/>
      <c r="W4" s="191"/>
      <c r="X4" s="191"/>
    </row>
    <row r="5" spans="1:24" ht="15.75" customHeight="1" thickBot="1" x14ac:dyDescent="0.25">
      <c r="A5" s="912" t="s">
        <v>7</v>
      </c>
      <c r="B5" s="914" t="s">
        <v>255</v>
      </c>
      <c r="C5" s="914" t="s">
        <v>289</v>
      </c>
      <c r="D5" s="979" t="s">
        <v>284</v>
      </c>
      <c r="E5" s="979" t="s">
        <v>285</v>
      </c>
      <c r="F5" s="977" t="s">
        <v>247</v>
      </c>
      <c r="G5" s="975" t="s">
        <v>253</v>
      </c>
      <c r="I5" s="472" t="s">
        <v>268</v>
      </c>
      <c r="J5" s="473" t="s">
        <v>269</v>
      </c>
      <c r="K5" s="474" t="s">
        <v>270</v>
      </c>
      <c r="M5" s="965" t="s">
        <v>271</v>
      </c>
      <c r="N5" s="966"/>
      <c r="O5" s="967"/>
      <c r="P5" s="475"/>
      <c r="Q5" s="968" t="s">
        <v>7</v>
      </c>
      <c r="R5" s="970" t="s">
        <v>272</v>
      </c>
      <c r="S5" s="971"/>
      <c r="T5" s="505" t="s">
        <v>273</v>
      </c>
      <c r="U5" s="476" t="s">
        <v>274</v>
      </c>
      <c r="V5" s="972" t="s">
        <v>282</v>
      </c>
      <c r="W5" s="955" t="s">
        <v>275</v>
      </c>
      <c r="X5" s="957" t="s">
        <v>276</v>
      </c>
    </row>
    <row r="6" spans="1:24" ht="28.5" customHeight="1" thickBot="1" x14ac:dyDescent="0.25">
      <c r="A6" s="913"/>
      <c r="B6" s="915"/>
      <c r="C6" s="915"/>
      <c r="D6" s="980"/>
      <c r="E6" s="980"/>
      <c r="F6" s="978"/>
      <c r="G6" s="976"/>
      <c r="I6" s="477">
        <v>10</v>
      </c>
      <c r="J6" s="478">
        <v>722</v>
      </c>
      <c r="K6" s="479">
        <f>J6/2.204623</f>
        <v>327.49363496615973</v>
      </c>
      <c r="M6" s="480"/>
      <c r="N6" s="481" t="s">
        <v>277</v>
      </c>
      <c r="O6" s="480" t="s">
        <v>278</v>
      </c>
      <c r="P6" s="471"/>
      <c r="Q6" s="969"/>
      <c r="R6" s="500" t="s">
        <v>279</v>
      </c>
      <c r="S6" s="501" t="s">
        <v>280</v>
      </c>
      <c r="T6" s="506" t="s">
        <v>280</v>
      </c>
      <c r="U6" s="482" t="s">
        <v>280</v>
      </c>
      <c r="V6" s="973"/>
      <c r="W6" s="956"/>
      <c r="X6" s="958"/>
    </row>
    <row r="7" spans="1:24" ht="15.75" thickBot="1" x14ac:dyDescent="0.25">
      <c r="A7" s="36">
        <v>1</v>
      </c>
      <c r="B7" s="44">
        <f>IF('Entries September''25'!N7-'Entries September''25'!N6&lt;1,"0",'Entries September''25'!N7-'Entries September''25'!N6)</f>
        <v>282.29999999999927</v>
      </c>
      <c r="C7" s="44" t="str">
        <f>IF('Entries September''25'!L7-'Entries September''25'!L6&lt;1,"0",'Entries September''25'!L7-'Entries September''25'!L6)</f>
        <v>0</v>
      </c>
      <c r="D7" s="44">
        <f>IF('Entries September''25'!M7-'Entries September''25'!M6&lt;1,"0",'Entries September''25'!M7-'Entries September''25'!M6)</f>
        <v>2513.9000000000015</v>
      </c>
      <c r="E7" s="509" cm="1">
        <f t="array" ref="E7:E37">TRANSPOSE('Daily KPIs'!B74:AF74)</f>
        <v>2400</v>
      </c>
      <c r="F7" s="351" cm="1">
        <f t="array" ref="F7:F37">TRANSPOSE('Daily KPIs'!B9:AF9)</f>
        <v>390.85200000000003</v>
      </c>
      <c r="G7" s="348">
        <f>IF(F7=0,"0",(E7/F7))</f>
        <v>6.1404316723465655</v>
      </c>
      <c r="I7" s="483">
        <v>20</v>
      </c>
      <c r="J7" s="484">
        <v>2857</v>
      </c>
      <c r="K7" s="485">
        <f>J7/2.204623</f>
        <v>1295.9131788065351</v>
      </c>
      <c r="M7" s="481">
        <v>200</v>
      </c>
      <c r="N7" s="481">
        <f>O7*2.204623</f>
        <v>34914</v>
      </c>
      <c r="O7" s="481" cm="1">
        <f t="array" ref="O7">IF(COUNTIF(I6:I40,M7),_xlfn.XLOOKUP(M7,I6:I40,K6:K40),_xlfn.LET(_xlpm.x, M7,_xlpm.lo, MAX(_xlfn._xlws.FILTER(I6:I40, I6:I40 &lt;= _xlpm.x)),_xlpm.hi, MIN(_xlfn._xlws.FILTER(I6:I40, I6:I40 &gt;= _xlpm.x)),_xlpm.ylo, INDEX(K6:K40, MATCH(_xlpm.lo, I6:I40, 0)),_xlpm.yhi, INDEX(K6:K40, MATCH(_xlpm.hi, I6:I40, 0)),_xlpm.ylo + (_xlpm.x - _xlpm.lo) * (_xlpm.yhi - _xlpm.ylo) / (_xlpm.hi - _xlpm.lo)
))</f>
        <v>15836.721289762465</v>
      </c>
      <c r="P7" s="471"/>
      <c r="Q7" s="493">
        <v>45870</v>
      </c>
      <c r="R7" s="497">
        <f>'Entries September''25'!AL6</f>
        <v>0</v>
      </c>
      <c r="S7" s="502" cm="1">
        <f t="array" ref="S7">IF(R7=0,0,IF(COUNTIF($I$6:$I$40,R7),_xlfn.XLOOKUP(R7,$I$6:$I$40,$K$6:$K$40),_xlfn.LET(_xlpm.x, R7,_xlpm.lo,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7" s="507" t="e">
        <f>'Entries September''25'!#REF!</f>
        <v>#REF!</v>
      </c>
      <c r="U7" s="504" t="e">
        <f>'Entries September''25'!#REF!</f>
        <v>#REF!</v>
      </c>
      <c r="V7" s="496" t="e">
        <f>'Entries September''25'!#REF!/2.204623</f>
        <v>#REF!</v>
      </c>
      <c r="W7" s="486" t="e">
        <f>S7+T7+U7+V7</f>
        <v>#REF!</v>
      </c>
      <c r="X7" s="487"/>
    </row>
    <row r="8" spans="1:24" ht="15.75" thickBot="1" x14ac:dyDescent="0.25">
      <c r="A8" s="36">
        <v>2</v>
      </c>
      <c r="B8" s="44">
        <f>IF('Entries September''25'!N8-'Entries September''25'!N7&lt;1,"0",'Entries September''25'!N8-'Entries September''25'!N7)</f>
        <v>246.92000000000007</v>
      </c>
      <c r="C8" s="44" t="str">
        <f>IF('Entries September''25'!L8-'Entries September''25'!L7&lt;1,"0",'Entries September''25'!L8-'Entries September''25'!L7)</f>
        <v>0</v>
      </c>
      <c r="D8" s="44">
        <f>IF('Entries September''25'!M8-'Entries September''25'!M7&lt;1,"0",'Entries September''25'!M8-'Entries September''25'!M7)</f>
        <v>1992.0599999999977</v>
      </c>
      <c r="E8" s="509">
        <v>2000</v>
      </c>
      <c r="F8" s="352">
        <v>311.38800000000003</v>
      </c>
      <c r="G8" s="348">
        <f t="shared" ref="G8:G37" si="0">IF(F8=0,"0",(E8/F8))</f>
        <v>6.422855087543514</v>
      </c>
      <c r="I8" s="483">
        <v>30</v>
      </c>
      <c r="J8" s="484">
        <v>4344</v>
      </c>
      <c r="K8" s="485">
        <f t="shared" ref="K8:K40" si="1">J8/2.204623</f>
        <v>1970.4049173033211</v>
      </c>
      <c r="M8" s="470"/>
      <c r="N8" s="470"/>
      <c r="O8" s="471"/>
      <c r="P8" s="471"/>
      <c r="Q8" s="493">
        <v>45871</v>
      </c>
      <c r="R8" s="497">
        <f>'Entries September''25'!AL7</f>
        <v>220</v>
      </c>
      <c r="S8" s="502" cm="1">
        <f t="array" ref="S8">IF(R8=0,0,IF(COUNTIF($I$6:$I$40,R8),_xlfn.XLOOKUP(R8,$I$6:$I$40,$K$6:$K$40),_xlfn.LET(_xlpm.x, R8,_xlpm.lo,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17467.839172502507</v>
      </c>
      <c r="T8" s="507">
        <f>'Entries September''25'!AM6</f>
        <v>0</v>
      </c>
      <c r="U8" s="504">
        <f>'Entries September''25'!AN6</f>
        <v>0</v>
      </c>
      <c r="V8" s="496">
        <f>'Entries September''25'!AO6/2.204623</f>
        <v>0</v>
      </c>
      <c r="W8" s="486">
        <f>S8+T8+U8+V8</f>
        <v>17467.839172502507</v>
      </c>
      <c r="X8" s="487">
        <f>IF(W9-W8&lt;0,W8-W9,W9-W8)</f>
        <v>0</v>
      </c>
    </row>
    <row r="9" spans="1:24" ht="15.75" thickBot="1" x14ac:dyDescent="0.25">
      <c r="A9" s="36">
        <v>3</v>
      </c>
      <c r="B9" s="44">
        <f>IF('Entries September''25'!N9-'Entries September''25'!N8&lt;1,"0",'Entries September''25'!N9-'Entries September''25'!N8)</f>
        <v>247.10000000000036</v>
      </c>
      <c r="C9" s="44" t="str">
        <f>IF('Entries September''25'!L9-'Entries September''25'!L8&lt;1,"0",'Entries September''25'!L9-'Entries September''25'!L8)</f>
        <v>0</v>
      </c>
      <c r="D9" s="44">
        <f>IF('Entries September''25'!M9-'Entries September''25'!M8&lt;1,"0",'Entries September''25'!M9-'Entries September''25'!M8)</f>
        <v>1666.9099999999962</v>
      </c>
      <c r="E9" s="509">
        <v>1800</v>
      </c>
      <c r="F9" s="352">
        <v>297.858</v>
      </c>
      <c r="G9" s="348">
        <f t="shared" si="0"/>
        <v>6.0431480772717201</v>
      </c>
      <c r="I9" s="483">
        <v>40</v>
      </c>
      <c r="J9" s="484">
        <v>6143</v>
      </c>
      <c r="K9" s="485">
        <f t="shared" si="1"/>
        <v>2786.417450965539</v>
      </c>
      <c r="M9" s="470"/>
      <c r="N9" s="470"/>
      <c r="O9" s="471"/>
      <c r="P9" s="471"/>
      <c r="Q9" s="493">
        <v>45872</v>
      </c>
      <c r="R9" s="497">
        <f>'Entries September''25'!AL8</f>
        <v>220</v>
      </c>
      <c r="S9" s="502" cm="1">
        <f t="array" ref="S9">IF(R9=0,0,IF(COUNTIF($I$6:$I$40,R9),_xlfn.XLOOKUP(R9,$I$6:$I$40,$K$6:$K$40),_xlfn.LET(_xlpm.x, R9,_xlpm.lo,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17467.839172502507</v>
      </c>
      <c r="T9" s="507">
        <f>'Entries September''25'!AM7</f>
        <v>0</v>
      </c>
      <c r="U9" s="504">
        <f>'Entries September''25'!AN7</f>
        <v>0</v>
      </c>
      <c r="V9" s="496">
        <f>'Entries September''25'!AO7/2.204623</f>
        <v>0</v>
      </c>
      <c r="W9" s="486">
        <f t="shared" ref="W9:W39" si="2">S9+T9+U9+V9</f>
        <v>17467.839172502507</v>
      </c>
      <c r="X9" s="487">
        <f t="shared" ref="X9:X12" si="3">IF(W10-W9&lt;0,W9-W10,W10-W9)</f>
        <v>2446.6768241100617</v>
      </c>
    </row>
    <row r="10" spans="1:24" ht="15.75" thickBot="1" x14ac:dyDescent="0.25">
      <c r="A10" s="36">
        <v>4</v>
      </c>
      <c r="B10" s="44">
        <f>IF('Entries September''25'!N10-'Entries September''25'!N9&lt;1,"0",'Entries September''25'!N10-'Entries September''25'!N9)</f>
        <v>268.92000000000007</v>
      </c>
      <c r="C10" s="44" t="str">
        <f>IF('Entries September''25'!L10-'Entries September''25'!L9&lt;1,"0",'Entries September''25'!L10-'Entries September''25'!L9)</f>
        <v>0</v>
      </c>
      <c r="D10" s="44">
        <f>IF('Entries September''25'!M10-'Entries September''25'!M9&lt;1,"0",'Entries September''25'!M10-'Entries September''25'!M9)</f>
        <v>1422.3800000000047</v>
      </c>
      <c r="E10" s="509">
        <v>1400</v>
      </c>
      <c r="F10" s="352">
        <v>392.10599999999999</v>
      </c>
      <c r="G10" s="348">
        <f t="shared" si="0"/>
        <v>3.5704630890626516</v>
      </c>
      <c r="I10" s="483">
        <v>50</v>
      </c>
      <c r="J10" s="484">
        <v>7941</v>
      </c>
      <c r="K10" s="485">
        <f t="shared" si="1"/>
        <v>3601.9763923355599</v>
      </c>
      <c r="M10" s="470"/>
      <c r="N10" s="470"/>
      <c r="O10" s="471"/>
      <c r="P10" s="471"/>
      <c r="Q10" s="493">
        <v>45873</v>
      </c>
      <c r="R10" s="497">
        <f>'Entries September''25'!AL9</f>
        <v>190</v>
      </c>
      <c r="S10" s="502" cm="1">
        <f t="array" ref="S10">IF(R10=0,0,IF(COUNTIF($I$6:$I$40,R10),_xlfn.XLOOKUP(R10,$I$6:$I$40,$K$6:$K$40),_xlfn.LET(_xlpm.x, R10,_xlpm.lo,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15021.162348392445</v>
      </c>
      <c r="T10" s="507">
        <f>'Entries September''25'!AM8</f>
        <v>0</v>
      </c>
      <c r="U10" s="504">
        <f>'Entries September''25'!AN8</f>
        <v>0</v>
      </c>
      <c r="V10" s="496">
        <f>'Entries September''25'!AO8/2.204623</f>
        <v>0</v>
      </c>
      <c r="W10" s="486">
        <f t="shared" si="2"/>
        <v>15021.162348392445</v>
      </c>
      <c r="X10" s="487">
        <f t="shared" si="3"/>
        <v>15021.162348392445</v>
      </c>
    </row>
    <row r="11" spans="1:24" ht="15.75" thickBot="1" x14ac:dyDescent="0.25">
      <c r="A11" s="806">
        <v>5</v>
      </c>
      <c r="B11" s="807">
        <f>IF('Entries September''25'!N11-'Entries September''25'!N10&lt;1,"0",'Entries September''25'!N11-'Entries September''25'!N10)</f>
        <v>216.39999999999964</v>
      </c>
      <c r="C11" s="807" t="str">
        <f>IF('Entries September''25'!L11-'Entries September''25'!L10&lt;1,"0",'Entries September''25'!L11-'Entries September''25'!L10)</f>
        <v>0</v>
      </c>
      <c r="D11" s="807">
        <f>IF('Entries September''25'!M11-'Entries September''25'!M10&lt;1,"0",'Entries September''25'!M11-'Entries September''25'!M10)</f>
        <v>1516.5299999999988</v>
      </c>
      <c r="E11" s="808">
        <v>1500</v>
      </c>
      <c r="F11" s="352">
        <v>274.49400000000003</v>
      </c>
      <c r="G11" s="348">
        <f t="shared" si="0"/>
        <v>5.464600319132658</v>
      </c>
      <c r="I11" s="483">
        <v>60</v>
      </c>
      <c r="J11" s="484">
        <v>9739</v>
      </c>
      <c r="K11" s="485">
        <f t="shared" si="1"/>
        <v>4417.5353337055813</v>
      </c>
      <c r="M11" s="470"/>
      <c r="N11" s="470"/>
      <c r="O11" s="471"/>
      <c r="P11" s="471"/>
      <c r="Q11" s="493">
        <v>45874</v>
      </c>
      <c r="R11" s="497">
        <f>'Entries September''25'!AL10</f>
        <v>0</v>
      </c>
      <c r="S11" s="502" cm="1">
        <f t="array" ref="S11">IF(R11=0,0,IF(COUNTIF($I$6:$I$40,R11),_xlfn.XLOOKUP(R11,$I$6:$I$40,$K$6:$K$40),_xlfn.LET(_xlpm.x, R11,_xlpm.lo,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1" s="507">
        <f>'Entries September''25'!AM9</f>
        <v>0</v>
      </c>
      <c r="U11" s="504">
        <f>'Entries September''25'!AN9</f>
        <v>0</v>
      </c>
      <c r="V11" s="496">
        <f>'Entries September''25'!AO9/2.204623</f>
        <v>0</v>
      </c>
      <c r="W11" s="486">
        <f t="shared" si="2"/>
        <v>0</v>
      </c>
      <c r="X11" s="487">
        <f t="shared" si="3"/>
        <v>0</v>
      </c>
    </row>
    <row r="12" spans="1:24" ht="15.75" thickBot="1" x14ac:dyDescent="0.25">
      <c r="A12" s="519">
        <v>6</v>
      </c>
      <c r="B12" s="520" t="str">
        <f>IF('Entries September''25'!N12-'Entries September''25'!N11&lt;1,"0",'Entries September''25'!N12-'Entries September''25'!N11)</f>
        <v>0</v>
      </c>
      <c r="C12" s="520" t="str">
        <f>IF('Entries September''25'!L12-'Entries September''25'!L11&lt;1,"0",'Entries September''25'!L12-'Entries September''25'!L11)</f>
        <v>0</v>
      </c>
      <c r="D12" s="520" t="str">
        <f>IF('Entries September''25'!M12-'Entries September''25'!M11&lt;1,"0",'Entries September''25'!M12-'Entries September''25'!M11)</f>
        <v>0</v>
      </c>
      <c r="E12" s="521">
        <v>0</v>
      </c>
      <c r="F12" s="352">
        <v>0</v>
      </c>
      <c r="G12" s="348" t="str">
        <f t="shared" si="0"/>
        <v>0</v>
      </c>
      <c r="I12" s="483">
        <v>70</v>
      </c>
      <c r="J12" s="484">
        <v>11537</v>
      </c>
      <c r="K12" s="485">
        <f t="shared" si="1"/>
        <v>5233.0942750756021</v>
      </c>
      <c r="M12" s="470"/>
      <c r="N12" s="470"/>
      <c r="O12" s="471"/>
      <c r="P12" s="471"/>
      <c r="Q12" s="493">
        <v>45875</v>
      </c>
      <c r="R12" s="497">
        <f>'Entries September''25'!AL11</f>
        <v>0</v>
      </c>
      <c r="S12" s="502" cm="1">
        <f t="array" ref="S12">IF(R12=0,0,IF(COUNTIF($I$6:$I$40,R12),_xlfn.XLOOKUP(R12,$I$6:$I$40,$K$6:$K$40),_xlfn.LET(_xlpm.x, R12,_xlpm.lo,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2" s="507">
        <f>'Entries September''25'!AM10</f>
        <v>0</v>
      </c>
      <c r="U12" s="504">
        <f>'Entries September''25'!AN10</f>
        <v>0</v>
      </c>
      <c r="V12" s="496">
        <f>'Entries September''25'!AO10/2.204623</f>
        <v>0</v>
      </c>
      <c r="W12" s="486">
        <f t="shared" si="2"/>
        <v>0</v>
      </c>
      <c r="X12" s="487">
        <f t="shared" si="3"/>
        <v>12574.031931990185</v>
      </c>
    </row>
    <row r="13" spans="1:24" ht="15.75" thickBot="1" x14ac:dyDescent="0.25">
      <c r="A13" s="519">
        <v>7</v>
      </c>
      <c r="B13" s="520" t="str">
        <f>IF('Entries September''25'!N13-'Entries September''25'!N12&lt;1,"0",'Entries September''25'!N13-'Entries September''25'!N12)</f>
        <v>0</v>
      </c>
      <c r="C13" s="520" t="str">
        <f>IF('Entries September''25'!L13-'Entries September''25'!L12&lt;1,"0",'Entries September''25'!L13-'Entries September''25'!L12)</f>
        <v>0</v>
      </c>
      <c r="D13" s="520" t="str">
        <f>IF('Entries September''25'!M13-'Entries September''25'!M12&lt;1,"0",'Entries September''25'!M13-'Entries September''25'!M12)</f>
        <v>0</v>
      </c>
      <c r="E13" s="521">
        <v>3000</v>
      </c>
      <c r="F13" s="352">
        <v>0</v>
      </c>
      <c r="G13" s="348" t="str">
        <f t="shared" si="0"/>
        <v>0</v>
      </c>
      <c r="I13" s="483">
        <v>80</v>
      </c>
      <c r="J13" s="484">
        <v>13335</v>
      </c>
      <c r="K13" s="485">
        <f t="shared" si="1"/>
        <v>6048.653216445623</v>
      </c>
      <c r="M13" s="470"/>
      <c r="N13" s="470"/>
      <c r="O13" s="471"/>
      <c r="P13" s="471"/>
      <c r="Q13" s="493">
        <v>45876</v>
      </c>
      <c r="R13" s="497">
        <f>'Entries September''25'!AL12</f>
        <v>160</v>
      </c>
      <c r="S13" s="502" cm="1">
        <f t="array" ref="S13">IF(R13=0,0,IF(COUNTIF($I$6:$I$40,R13),_xlfn.XLOOKUP(R13,$I$6:$I$40,$K$6:$K$40),_xlfn.LET(_xlpm.x, R13,_xlpm.lo,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12574.031931990185</v>
      </c>
      <c r="T13" s="507">
        <f>'Entries September''25'!AM11</f>
        <v>0</v>
      </c>
      <c r="U13" s="504">
        <f>'Entries September''25'!AN11</f>
        <v>0</v>
      </c>
      <c r="V13" s="496">
        <f>'Entries September''25'!AO11/2.204623</f>
        <v>0</v>
      </c>
      <c r="W13" s="486">
        <f t="shared" si="2"/>
        <v>12574.031931990185</v>
      </c>
      <c r="X13" s="487"/>
    </row>
    <row r="14" spans="1:24" ht="15.75" thickBot="1" x14ac:dyDescent="0.25">
      <c r="A14" s="36">
        <v>8</v>
      </c>
      <c r="B14" s="44">
        <f>IF('Entries September''25'!N14-'Entries September''25'!N13&lt;1,"0",'Entries September''25'!N14-'Entries September''25'!N13)</f>
        <v>228.92000000000007</v>
      </c>
      <c r="C14" s="44" t="str">
        <f>IF('Entries September''25'!L14-'Entries September''25'!L13&lt;1,"0",'Entries September''25'!L14-'Entries September''25'!L13)</f>
        <v>0</v>
      </c>
      <c r="D14" s="44">
        <f>IF('Entries September''25'!M14-'Entries September''25'!M13&lt;1,"0",'Entries September''25'!M14-'Entries September''25'!M13)</f>
        <v>1434.2400000000052</v>
      </c>
      <c r="E14" s="509">
        <v>1600</v>
      </c>
      <c r="F14" s="352">
        <v>306.37200000000001</v>
      </c>
      <c r="G14" s="348">
        <f t="shared" si="0"/>
        <v>5.2224093585575702</v>
      </c>
      <c r="I14" s="483">
        <v>90</v>
      </c>
      <c r="J14" s="484">
        <v>15134</v>
      </c>
      <c r="K14" s="485">
        <f t="shared" si="1"/>
        <v>6864.6657501078407</v>
      </c>
      <c r="M14" s="470"/>
      <c r="N14" s="470"/>
      <c r="O14" s="471"/>
      <c r="P14" s="471"/>
      <c r="Q14" s="493">
        <v>45877</v>
      </c>
      <c r="R14" s="497">
        <f>'Entries September''25'!AL13</f>
        <v>140</v>
      </c>
      <c r="S14" s="502" cm="1">
        <f t="array" ref="S14">IF(R14=0,0,IF(COUNTIF($I$6:$I$40,R14),_xlfn.XLOOKUP(R14,$I$6:$I$40,$K$6:$K$40),_xlfn.LET(_xlpm.x, R14,_xlpm.lo,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10942.914049250143</v>
      </c>
      <c r="T14" s="507">
        <f>'Entries September''25'!AM12</f>
        <v>0</v>
      </c>
      <c r="U14" s="504">
        <f>'Entries September''25'!AN12</f>
        <v>0</v>
      </c>
      <c r="V14" s="496">
        <f>'Entries September''25'!AO12/2.204623</f>
        <v>0</v>
      </c>
      <c r="W14" s="486">
        <f t="shared" si="2"/>
        <v>10942.914049250143</v>
      </c>
      <c r="X14" s="487">
        <f>W14-S15</f>
        <v>0</v>
      </c>
    </row>
    <row r="15" spans="1:24" ht="15.75" thickBot="1" x14ac:dyDescent="0.25">
      <c r="A15" s="36">
        <v>9</v>
      </c>
      <c r="B15" s="44">
        <f>IF('Entries September''25'!N15-'Entries September''25'!N14&lt;1,"0",'Entries September''25'!N15-'Entries September''25'!N14)</f>
        <v>301.05999999999949</v>
      </c>
      <c r="C15" s="44" t="str">
        <f>IF('Entries September''25'!L15-'Entries September''25'!L14&lt;1,"0",'Entries September''25'!L15-'Entries September''25'!L14)</f>
        <v>0</v>
      </c>
      <c r="D15" s="44">
        <f>IF('Entries September''25'!M15-'Entries September''25'!M14&lt;1,"0",'Entries September''25'!M15-'Entries September''25'!M14)</f>
        <v>1951.3699999999953</v>
      </c>
      <c r="E15" s="509">
        <v>1400</v>
      </c>
      <c r="F15" s="352">
        <v>360.096</v>
      </c>
      <c r="G15" s="348">
        <f t="shared" si="0"/>
        <v>3.8878521283213363</v>
      </c>
      <c r="I15" s="483">
        <v>100</v>
      </c>
      <c r="J15" s="484">
        <v>16932</v>
      </c>
      <c r="K15" s="485">
        <f t="shared" si="1"/>
        <v>7680.2246914778616</v>
      </c>
      <c r="M15" s="470"/>
      <c r="N15" s="470"/>
      <c r="O15" s="471"/>
      <c r="P15" s="471"/>
      <c r="Q15" s="493">
        <v>45878</v>
      </c>
      <c r="R15" s="497">
        <f>'Entries September''25'!AL14</f>
        <v>140</v>
      </c>
      <c r="S15" s="502" cm="1">
        <f t="array" ref="S15">IF(R15=0,0,IF(COUNTIF($I$6:$I$40,R15),_xlfn.XLOOKUP(R15,$I$6:$I$40,$K$6:$K$40),_xlfn.LET(_xlpm.x, R15,_xlpm.lo,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10942.914049250143</v>
      </c>
      <c r="T15" s="507">
        <f>'Entries September''25'!AM13</f>
        <v>0</v>
      </c>
      <c r="U15" s="504">
        <f>'Entries September''25'!AN13</f>
        <v>0</v>
      </c>
      <c r="V15" s="496">
        <f>'Entries September''25'!AO13/2.204623</f>
        <v>19100</v>
      </c>
      <c r="W15" s="486">
        <f t="shared" si="2"/>
        <v>30042.914049250143</v>
      </c>
      <c r="X15" s="487"/>
    </row>
    <row r="16" spans="1:24" ht="15.75" thickBot="1" x14ac:dyDescent="0.25">
      <c r="A16" s="36">
        <v>10</v>
      </c>
      <c r="B16" s="44">
        <f>IF('Entries September''25'!N16-'Entries September''25'!N15&lt;1,"0",'Entries September''25'!N16-'Entries September''25'!N15)</f>
        <v>252.03000000000065</v>
      </c>
      <c r="C16" s="44" t="str">
        <f>IF('Entries September''25'!L16-'Entries September''25'!L15&lt;1,"0",'Entries September''25'!L16-'Entries September''25'!L15)</f>
        <v>0</v>
      </c>
      <c r="D16" s="44">
        <f>IF('Entries September''25'!M16-'Entries September''25'!M15&lt;1,"0",'Entries September''25'!M16-'Entries September''25'!M15)</f>
        <v>1508.0500000000029</v>
      </c>
      <c r="E16" s="509">
        <v>1100</v>
      </c>
      <c r="F16" s="352">
        <v>320.82600000000002</v>
      </c>
      <c r="G16" s="348">
        <f t="shared" si="0"/>
        <v>3.4286497977096615</v>
      </c>
      <c r="I16" s="483">
        <v>110</v>
      </c>
      <c r="J16" s="484">
        <v>18730</v>
      </c>
      <c r="K16" s="485">
        <f t="shared" si="1"/>
        <v>8495.7836328478825</v>
      </c>
      <c r="M16" s="470"/>
      <c r="N16" s="470"/>
      <c r="O16" s="471"/>
      <c r="P16" s="471"/>
      <c r="Q16" s="493">
        <v>45879</v>
      </c>
      <c r="R16" s="497">
        <f>'Entries September''25'!AL15</f>
        <v>130</v>
      </c>
      <c r="S16" s="502" cm="1">
        <f t="array" ref="S16">IF(R16=0,0,IF(COUNTIF($I$6:$I$40,R16),_xlfn.XLOOKUP(R16,$I$6:$I$40,$K$6:$K$40),_xlfn.LET(_xlpm.x, R16,_xlpm.lo,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10126.901515587924</v>
      </c>
      <c r="T16" s="507">
        <f>'Entries September''25'!AM14</f>
        <v>0</v>
      </c>
      <c r="U16" s="504">
        <f>'Entries September''25'!AN14</f>
        <v>0</v>
      </c>
      <c r="V16" s="496">
        <f>'Entries September''25'!AO14/2.204623</f>
        <v>9967.2370287346166</v>
      </c>
      <c r="W16" s="486">
        <f t="shared" si="2"/>
        <v>20094.138544322541</v>
      </c>
      <c r="X16" s="487">
        <f t="shared" ref="X16:X38" si="4">IF(W17-W16&lt;0,W16-W17,W17-W16)</f>
        <v>4134.1385443225408</v>
      </c>
    </row>
    <row r="17" spans="1:24" ht="15.75" thickBot="1" x14ac:dyDescent="0.25">
      <c r="A17" s="36">
        <v>11</v>
      </c>
      <c r="B17" s="44">
        <f>IF('Entries September''25'!N17-'Entries September''25'!N16&lt;1,"0",'Entries September''25'!N17-'Entries September''25'!N16)</f>
        <v>85.889999999999418</v>
      </c>
      <c r="C17" s="44" t="str">
        <f>IF('Entries September''25'!L17-'Entries September''25'!L16&lt;1,"0",'Entries September''25'!L17-'Entries September''25'!L16)</f>
        <v>0</v>
      </c>
      <c r="D17" s="44">
        <f>IF('Entries September''25'!M17-'Entries September''25'!M16&lt;1,"0",'Entries September''25'!M17-'Entries September''25'!M16)</f>
        <v>272.22000000000116</v>
      </c>
      <c r="E17" s="509">
        <v>0</v>
      </c>
      <c r="F17" s="352">
        <v>5.6760000000000002</v>
      </c>
      <c r="G17" s="348">
        <f t="shared" si="0"/>
        <v>0</v>
      </c>
      <c r="I17" s="483">
        <v>120</v>
      </c>
      <c r="J17" s="484">
        <v>20528</v>
      </c>
      <c r="K17" s="485">
        <f t="shared" si="1"/>
        <v>9311.3425742179043</v>
      </c>
      <c r="M17" s="470"/>
      <c r="N17" s="470"/>
      <c r="O17" s="471"/>
      <c r="P17" s="471"/>
      <c r="Q17" s="493">
        <v>45880</v>
      </c>
      <c r="R17" s="497">
        <f>'Entries September''25'!AL16</f>
        <v>0</v>
      </c>
      <c r="S17" s="502" cm="1">
        <f t="array" ref="S17">IF(R17=0,0,IF(COUNTIF($I$6:$I$40,R17),_xlfn.XLOOKUP(R17,$I$6:$I$40,$K$6:$K$40),_xlfn.LET(_xlpm.x, R17,_xlpm.lo,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7" s="507">
        <f>'Entries September''25'!AM15</f>
        <v>11400</v>
      </c>
      <c r="U17" s="504">
        <f>'Entries September''25'!AN15</f>
        <v>4560</v>
      </c>
      <c r="V17" s="496">
        <f>'Entries September''25'!AO15/2.204623</f>
        <v>0</v>
      </c>
      <c r="W17" s="486">
        <f>S17+T17+U17+V17</f>
        <v>15960</v>
      </c>
      <c r="X17" s="487">
        <f t="shared" si="4"/>
        <v>15960</v>
      </c>
    </row>
    <row r="18" spans="1:24" ht="15.75" thickBot="1" x14ac:dyDescent="0.25">
      <c r="A18" s="806">
        <v>12</v>
      </c>
      <c r="B18" s="807">
        <f>IF('Entries September''25'!N18-'Entries September''25'!N17&lt;1,"0",'Entries September''25'!N18-'Entries September''25'!N17)</f>
        <v>27.059999999999491</v>
      </c>
      <c r="C18" s="807" t="str">
        <f>IF('Entries September''25'!L18-'Entries September''25'!L17&lt;1,"0",'Entries September''25'!L18-'Entries September''25'!L17)</f>
        <v>0</v>
      </c>
      <c r="D18" s="807">
        <f>IF('Entries September''25'!M18-'Entries September''25'!M17&lt;1,"0",'Entries September''25'!M18-'Entries September''25'!M17)</f>
        <v>401.61000000000058</v>
      </c>
      <c r="E18" s="808">
        <v>300</v>
      </c>
      <c r="F18" s="352">
        <v>64.878</v>
      </c>
      <c r="G18" s="348">
        <f t="shared" si="0"/>
        <v>4.6240636271155093</v>
      </c>
      <c r="I18" s="483">
        <v>130</v>
      </c>
      <c r="J18" s="484">
        <v>22326</v>
      </c>
      <c r="K18" s="485">
        <f t="shared" si="1"/>
        <v>10126.901515587924</v>
      </c>
      <c r="M18" s="470"/>
      <c r="N18" s="470"/>
      <c r="O18" s="471"/>
      <c r="P18" s="471"/>
      <c r="Q18" s="493">
        <v>45881</v>
      </c>
      <c r="R18" s="497">
        <f>'Entries September''25'!AL17</f>
        <v>0</v>
      </c>
      <c r="S18" s="502" cm="1">
        <f t="array" ref="S18">IF(R18=0,0,IF(COUNTIF($I$6:$I$40,R18),_xlfn.XLOOKUP(R18,$I$6:$I$40,$K$6:$K$40),_xlfn.LET(_xlpm.x, R18,_xlpm.lo,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8" s="507">
        <f>'Entries September''25'!AM16</f>
        <v>0</v>
      </c>
      <c r="U18" s="504">
        <f>'Entries September''25'!AN16</f>
        <v>0</v>
      </c>
      <c r="V18" s="496">
        <f>'Entries September''25'!AO16/2.204623</f>
        <v>0</v>
      </c>
      <c r="W18" s="486">
        <f t="shared" si="2"/>
        <v>0</v>
      </c>
      <c r="X18" s="487">
        <f t="shared" si="4"/>
        <v>0</v>
      </c>
    </row>
    <row r="19" spans="1:24" ht="15.75" thickBot="1" x14ac:dyDescent="0.25">
      <c r="A19" s="519">
        <v>13</v>
      </c>
      <c r="B19" s="520" t="str">
        <f>IF('Entries September''25'!N19-'Entries September''25'!N18&lt;1,"0",'Entries September''25'!N19-'Entries September''25'!N18)</f>
        <v>0</v>
      </c>
      <c r="C19" s="520" t="str">
        <f>IF('Entries September''25'!L19-'Entries September''25'!L18&lt;1,"0",'Entries September''25'!L19-'Entries September''25'!L18)</f>
        <v>0</v>
      </c>
      <c r="D19" s="520" t="str">
        <f>IF('Entries September''25'!M19-'Entries September''25'!M18&lt;1,"0",'Entries September''25'!M19-'Entries September''25'!M18)</f>
        <v>0</v>
      </c>
      <c r="E19" s="521">
        <v>0</v>
      </c>
      <c r="F19" s="352">
        <v>0</v>
      </c>
      <c r="G19" s="348" t="str">
        <f t="shared" si="0"/>
        <v>0</v>
      </c>
      <c r="I19" s="483">
        <v>140</v>
      </c>
      <c r="J19" s="484">
        <v>24125</v>
      </c>
      <c r="K19" s="485">
        <f t="shared" si="1"/>
        <v>10942.914049250143</v>
      </c>
      <c r="M19" s="470"/>
      <c r="N19" s="470"/>
      <c r="O19" s="471"/>
      <c r="P19" s="471"/>
      <c r="Q19" s="493">
        <v>45882</v>
      </c>
      <c r="R19" s="497">
        <f>'Entries September''25'!AL18</f>
        <v>0</v>
      </c>
      <c r="S19" s="502" cm="1">
        <f t="array" ref="S19">IF(R19=0,0,IF(COUNTIF($I$6:$I$40,R19),_xlfn.XLOOKUP(R19,$I$6:$I$40,$K$6:$K$40),_xlfn.LET(_xlpm.x, R19,_xlpm.lo,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9" s="507">
        <f>'Entries September''25'!AM17</f>
        <v>0</v>
      </c>
      <c r="U19" s="504">
        <f>'Entries September''25'!AN17</f>
        <v>0</v>
      </c>
      <c r="V19" s="496">
        <f>'Entries September''25'!AO17/2.204623</f>
        <v>0</v>
      </c>
      <c r="W19" s="486">
        <f t="shared" si="2"/>
        <v>0</v>
      </c>
      <c r="X19" s="487">
        <f t="shared" si="4"/>
        <v>0</v>
      </c>
    </row>
    <row r="20" spans="1:24" ht="15.75" thickBot="1" x14ac:dyDescent="0.25">
      <c r="A20" s="519">
        <v>14</v>
      </c>
      <c r="B20" s="520">
        <f>IF('Entries September''25'!N20-'Entries September''25'!N19&lt;1,"0",'Entries September''25'!N20-'Entries September''25'!N19)</f>
        <v>3.1400000000012369</v>
      </c>
      <c r="C20" s="520" t="str">
        <f>IF('Entries September''25'!L20-'Entries September''25'!L19&lt;1,"0",'Entries September''25'!L20-'Entries September''25'!L19)</f>
        <v>0</v>
      </c>
      <c r="D20" s="520" t="str">
        <f>IF('Entries September''25'!M20-'Entries September''25'!M19&lt;1,"0",'Entries September''25'!M20-'Entries September''25'!M19)</f>
        <v>0</v>
      </c>
      <c r="E20" s="521">
        <v>1800</v>
      </c>
      <c r="F20" s="352">
        <v>0</v>
      </c>
      <c r="G20" s="348" t="str">
        <f t="shared" si="0"/>
        <v>0</v>
      </c>
      <c r="I20" s="483">
        <v>150</v>
      </c>
      <c r="J20" s="484">
        <v>25923</v>
      </c>
      <c r="K20" s="485">
        <f t="shared" si="1"/>
        <v>11758.472990620165</v>
      </c>
      <c r="M20" s="470"/>
      <c r="N20" s="470"/>
      <c r="O20" s="471"/>
      <c r="P20" s="471"/>
      <c r="Q20" s="493">
        <v>45883</v>
      </c>
      <c r="R20" s="497">
        <f>'Entries September''25'!AL19</f>
        <v>0</v>
      </c>
      <c r="S20" s="502" cm="1">
        <f t="array" ref="S20">IF(R20=0,0,IF(COUNTIF($I$6:$I$40,R20),_xlfn.XLOOKUP(R20,$I$6:$I$40,$K$6:$K$40),_xlfn.LET(_xlpm.x, R20,_xlpm.lo,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0" s="507">
        <f>'Entries September''25'!AM18</f>
        <v>0</v>
      </c>
      <c r="U20" s="504">
        <f>'Entries September''25'!AN18</f>
        <v>0</v>
      </c>
      <c r="V20" s="496">
        <f>'Entries September''25'!AO18/2.204623</f>
        <v>0</v>
      </c>
      <c r="W20" s="486">
        <f t="shared" si="2"/>
        <v>0</v>
      </c>
      <c r="X20" s="487">
        <f t="shared" si="4"/>
        <v>0</v>
      </c>
    </row>
    <row r="21" spans="1:24" ht="15.75" thickBot="1" x14ac:dyDescent="0.25">
      <c r="A21" s="36">
        <v>15</v>
      </c>
      <c r="B21" s="44">
        <f>IF('Entries September''25'!N21-'Entries September''25'!N20&lt;1,"0",'Entries September''25'!N21-'Entries September''25'!N20)</f>
        <v>402.07999999999993</v>
      </c>
      <c r="C21" s="44" t="str">
        <f>IF('Entries September''25'!L21-'Entries September''25'!L20&lt;1,"0",'Entries September''25'!L21-'Entries September''25'!L20)</f>
        <v>0</v>
      </c>
      <c r="D21" s="44">
        <f>IF('Entries September''25'!M21-'Entries September''25'!M20&lt;1,"0",'Entries September''25'!M21-'Entries September''25'!M20)</f>
        <v>2220.1199999999953</v>
      </c>
      <c r="E21" s="509">
        <v>2200</v>
      </c>
      <c r="F21" s="352">
        <v>518.43119999999999</v>
      </c>
      <c r="G21" s="348">
        <f t="shared" si="0"/>
        <v>4.2435717603415846</v>
      </c>
      <c r="I21" s="483">
        <v>160</v>
      </c>
      <c r="J21" s="484">
        <v>27721</v>
      </c>
      <c r="K21" s="485">
        <f t="shared" si="1"/>
        <v>12574.031931990185</v>
      </c>
      <c r="M21" s="470"/>
      <c r="N21" s="470"/>
      <c r="O21" s="471"/>
      <c r="P21" s="471"/>
      <c r="Q21" s="493">
        <v>45884</v>
      </c>
      <c r="R21" s="497">
        <f>'Entries September''25'!AL20</f>
        <v>0</v>
      </c>
      <c r="S21" s="502" cm="1">
        <f t="array" ref="S21">IF(R21=0,0,IF(COUNTIF($I$6:$I$40,R21),_xlfn.XLOOKUP(R21,$I$6:$I$40,$K$6:$K$40),_xlfn.LET(_xlpm.x, R21,_xlpm.lo,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1" s="507">
        <f>'Entries September''25'!AM19</f>
        <v>0</v>
      </c>
      <c r="U21" s="504">
        <f>'Entries September''25'!AN19</f>
        <v>0</v>
      </c>
      <c r="V21" s="496">
        <f>'Entries September''25'!AO19/2.204623</f>
        <v>0</v>
      </c>
      <c r="W21" s="486">
        <f t="shared" si="2"/>
        <v>0</v>
      </c>
      <c r="X21" s="487">
        <f t="shared" si="4"/>
        <v>0</v>
      </c>
    </row>
    <row r="22" spans="1:24" ht="15.75" thickBot="1" x14ac:dyDescent="0.25">
      <c r="A22" s="36">
        <v>16</v>
      </c>
      <c r="B22" s="44">
        <f>IF('Entries September''25'!N22-'Entries September''25'!N21&lt;1,"0",'Entries September''25'!N22-'Entries September''25'!N21)</f>
        <v>355.10000000000036</v>
      </c>
      <c r="C22" s="44" t="str">
        <f>IF('Entries September''25'!L22-'Entries September''25'!L21&lt;1,"0",'Entries September''25'!L22-'Entries September''25'!L21)</f>
        <v>0</v>
      </c>
      <c r="D22" s="44">
        <f>IF('Entries September''25'!M22-'Entries September''25'!M21&lt;1,"0",'Entries September''25'!M22-'Entries September''25'!M21)</f>
        <v>2342.7899999999936</v>
      </c>
      <c r="E22" s="509">
        <v>2300</v>
      </c>
      <c r="F22" s="352">
        <v>442.33199999999999</v>
      </c>
      <c r="G22" s="348">
        <f t="shared" si="0"/>
        <v>5.1997142417912334</v>
      </c>
      <c r="I22" s="483">
        <v>170</v>
      </c>
      <c r="J22" s="484">
        <v>29519</v>
      </c>
      <c r="K22" s="485">
        <f t="shared" si="1"/>
        <v>13389.590873360206</v>
      </c>
      <c r="M22" s="470"/>
      <c r="N22" s="470"/>
      <c r="O22" s="471"/>
      <c r="P22" s="471"/>
      <c r="Q22" s="493">
        <v>45885</v>
      </c>
      <c r="R22" s="497">
        <f>'Entries September''25'!AL21</f>
        <v>0</v>
      </c>
      <c r="S22" s="502" cm="1">
        <f t="array" ref="S22">IF(R22=0,0,IF(COUNTIF($I$6:$I$40,R22),_xlfn.XLOOKUP(R22,$I$6:$I$40,$K$6:$K$40),_xlfn.LET(_xlpm.x, R22,_xlpm.lo,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2" s="507">
        <f>'Entries September''25'!AM20</f>
        <v>0</v>
      </c>
      <c r="U22" s="504">
        <f>'Entries September''25'!AN20</f>
        <v>0</v>
      </c>
      <c r="V22" s="496">
        <f>'Entries September''25'!AO20/2.204623</f>
        <v>0</v>
      </c>
      <c r="W22" s="486">
        <f t="shared" si="2"/>
        <v>0</v>
      </c>
      <c r="X22" s="487">
        <f t="shared" si="4"/>
        <v>0</v>
      </c>
    </row>
    <row r="23" spans="1:24" ht="15.75" thickBot="1" x14ac:dyDescent="0.25">
      <c r="A23" s="36">
        <v>17</v>
      </c>
      <c r="B23" s="44">
        <f>IF('Entries September''25'!N23-'Entries September''25'!N22&lt;1,"0",'Entries September''25'!N23-'Entries September''25'!N22)</f>
        <v>428.8799999999992</v>
      </c>
      <c r="C23" s="44" t="str">
        <f>IF('Entries September''25'!L23-'Entries September''25'!L22&lt;1,"0",'Entries September''25'!L23-'Entries September''25'!L22)</f>
        <v>0</v>
      </c>
      <c r="D23" s="44">
        <f>IF('Entries September''25'!M23-'Entries September''25'!M22&lt;1,"0",'Entries September''25'!M23-'Entries September''25'!M22)</f>
        <v>2373.7300000000105</v>
      </c>
      <c r="E23" s="509">
        <v>3000</v>
      </c>
      <c r="F23" s="352">
        <v>439.75800000000004</v>
      </c>
      <c r="G23" s="348">
        <f t="shared" si="0"/>
        <v>6.8219338818168165</v>
      </c>
      <c r="I23" s="483">
        <v>180</v>
      </c>
      <c r="J23" s="484">
        <v>31317</v>
      </c>
      <c r="K23" s="485">
        <f t="shared" si="1"/>
        <v>14205.149814730226</v>
      </c>
      <c r="M23" s="470"/>
      <c r="N23" s="470"/>
      <c r="O23" s="471"/>
      <c r="P23" s="471"/>
      <c r="Q23" s="493">
        <v>45886</v>
      </c>
      <c r="R23" s="497">
        <f>'Entries September''25'!AL22</f>
        <v>0</v>
      </c>
      <c r="S23" s="502" cm="1">
        <f t="array" ref="S23">IF(R23=0,0,IF(COUNTIF($I$6:$I$40,R23),_xlfn.XLOOKUP(R23,$I$6:$I$40,$K$6:$K$40),_xlfn.LET(_xlpm.x, R23,_xlpm.lo,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3" s="507">
        <f>'Entries September''25'!AM21</f>
        <v>0</v>
      </c>
      <c r="U23" s="504">
        <f>'Entries September''25'!AN21</f>
        <v>0</v>
      </c>
      <c r="V23" s="496">
        <f>'Entries September''25'!AO21/2.204623</f>
        <v>0</v>
      </c>
      <c r="W23" s="486">
        <f t="shared" si="2"/>
        <v>0</v>
      </c>
      <c r="X23" s="487">
        <f t="shared" si="4"/>
        <v>0</v>
      </c>
    </row>
    <row r="24" spans="1:24" ht="15.75" thickBot="1" x14ac:dyDescent="0.25">
      <c r="A24" s="36">
        <v>18</v>
      </c>
      <c r="B24" s="44">
        <f>IF('Entries September''25'!N24-'Entries September''25'!N23&lt;1,"0",'Entries September''25'!N24-'Entries September''25'!N23)</f>
        <v>596.8700000000008</v>
      </c>
      <c r="C24" s="44">
        <f>IF('Entries September''25'!L24-'Entries September''25'!L23&lt;1,"0",'Entries September''25'!L24-'Entries September''25'!L23)</f>
        <v>93.810000000000031</v>
      </c>
      <c r="D24" s="44">
        <f>IF('Entries September''25'!M24-'Entries September''25'!M23&lt;1,"0",'Entries September''25'!M24-'Entries September''25'!M23)</f>
        <v>3353.9599999999919</v>
      </c>
      <c r="E24" s="509">
        <v>2400</v>
      </c>
      <c r="F24" s="352">
        <v>814.04399999999998</v>
      </c>
      <c r="G24" s="348">
        <f t="shared" si="0"/>
        <v>2.9482435838849006</v>
      </c>
      <c r="I24" s="483">
        <v>190</v>
      </c>
      <c r="J24" s="484">
        <v>33116</v>
      </c>
      <c r="K24" s="485">
        <f t="shared" si="1"/>
        <v>15021.162348392445</v>
      </c>
      <c r="M24" s="470"/>
      <c r="N24" s="470"/>
      <c r="O24" s="471"/>
      <c r="P24" s="471"/>
      <c r="Q24" s="493">
        <v>45887</v>
      </c>
      <c r="R24" s="497">
        <f>'Entries September''25'!AL23</f>
        <v>0</v>
      </c>
      <c r="S24" s="502" cm="1">
        <f t="array" ref="S24">IF(R24=0,0,IF(COUNTIF($I$6:$I$40,R24),_xlfn.XLOOKUP(R24,$I$6:$I$40,$K$6:$K$40),_xlfn.LET(_xlpm.x, R24,_xlpm.lo,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4" s="507">
        <f>'Entries September''25'!AM22</f>
        <v>0</v>
      </c>
      <c r="U24" s="504">
        <f>'Entries September''25'!AN22</f>
        <v>0</v>
      </c>
      <c r="V24" s="496">
        <f>'Entries September''25'!AO22/2.204623</f>
        <v>0</v>
      </c>
      <c r="W24" s="486">
        <f t="shared" si="2"/>
        <v>0</v>
      </c>
      <c r="X24" s="487">
        <f t="shared" si="4"/>
        <v>0</v>
      </c>
    </row>
    <row r="25" spans="1:24" ht="15.75" thickBot="1" x14ac:dyDescent="0.25">
      <c r="A25" s="806">
        <v>19</v>
      </c>
      <c r="B25" s="807">
        <f>IF('Entries September''25'!N25-'Entries September''25'!N24&lt;1,"0",'Entries September''25'!N25-'Entries September''25'!N24)</f>
        <v>415.84000000000015</v>
      </c>
      <c r="C25" s="807">
        <f>IF('Entries September''25'!L25-'Entries September''25'!L24&lt;1,"0",'Entries September''25'!L25-'Entries September''25'!L24)</f>
        <v>104.83999999999997</v>
      </c>
      <c r="D25" s="807">
        <f>IF('Entries September''25'!M25-'Entries September''25'!M24&lt;1,"0",'Entries September''25'!M25-'Entries September''25'!M24)</f>
        <v>2876.2400000000052</v>
      </c>
      <c r="E25" s="808">
        <v>3300</v>
      </c>
      <c r="F25" s="352">
        <v>524.37</v>
      </c>
      <c r="G25" s="348">
        <f t="shared" si="0"/>
        <v>6.293266205160478</v>
      </c>
      <c r="I25" s="483">
        <v>200</v>
      </c>
      <c r="J25" s="484">
        <v>34914</v>
      </c>
      <c r="K25" s="485">
        <f t="shared" si="1"/>
        <v>15836.721289762465</v>
      </c>
      <c r="M25" s="470"/>
      <c r="N25" s="470"/>
      <c r="O25" s="471"/>
      <c r="P25" s="471"/>
      <c r="Q25" s="493">
        <v>45888</v>
      </c>
      <c r="R25" s="497">
        <f>'Entries September''25'!AL24</f>
        <v>0</v>
      </c>
      <c r="S25" s="502" cm="1">
        <f t="array" ref="S25">IF(R25=0,0,IF(COUNTIF($I$6:$I$40,R25),_xlfn.XLOOKUP(R25,$I$6:$I$40,$K$6:$K$40),_xlfn.LET(_xlpm.x, R25,_xlpm.lo,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5" s="507">
        <f>'Entries September''25'!AM23</f>
        <v>0</v>
      </c>
      <c r="U25" s="504">
        <f>'Entries September''25'!AN23</f>
        <v>0</v>
      </c>
      <c r="V25" s="496">
        <f>'Entries September''25'!AO23/2.204623</f>
        <v>0</v>
      </c>
      <c r="W25" s="486">
        <f t="shared" si="2"/>
        <v>0</v>
      </c>
      <c r="X25" s="487">
        <f t="shared" si="4"/>
        <v>0</v>
      </c>
    </row>
    <row r="26" spans="1:24" ht="15.75" thickBot="1" x14ac:dyDescent="0.25">
      <c r="A26" s="519">
        <v>20</v>
      </c>
      <c r="B26" s="520" t="str">
        <f>IF('Entries September''25'!N26-'Entries September''25'!N25&lt;1,"0",'Entries September''25'!N26-'Entries September''25'!N25)</f>
        <v>0</v>
      </c>
      <c r="C26" s="520" t="str">
        <f>IF('Entries September''25'!L26-'Entries September''25'!L25&lt;1,"0",'Entries September''25'!L26-'Entries September''25'!L25)</f>
        <v>0</v>
      </c>
      <c r="D26" s="520" t="str">
        <f>IF('Entries September''25'!M26-'Entries September''25'!M25&lt;1,"0",'Entries September''25'!M26-'Entries September''25'!M25)</f>
        <v>0</v>
      </c>
      <c r="E26" s="521">
        <v>0</v>
      </c>
      <c r="F26" s="352">
        <v>0</v>
      </c>
      <c r="G26" s="348" t="str">
        <f t="shared" si="0"/>
        <v>0</v>
      </c>
      <c r="I26" s="483">
        <v>210</v>
      </c>
      <c r="J26" s="484">
        <v>36712</v>
      </c>
      <c r="K26" s="485">
        <f t="shared" si="1"/>
        <v>16652.280231132489</v>
      </c>
      <c r="M26" s="470"/>
      <c r="N26" s="470"/>
      <c r="O26" s="471"/>
      <c r="P26" s="471"/>
      <c r="Q26" s="493">
        <v>45889</v>
      </c>
      <c r="R26" s="497">
        <f>'Entries September''25'!AL25</f>
        <v>0</v>
      </c>
      <c r="S26" s="502" cm="1">
        <f t="array" ref="S26">IF(R26=0,0,IF(COUNTIF($I$6:$I$40,R26),_xlfn.XLOOKUP(R26,$I$6:$I$40,$K$6:$K$40),_xlfn.LET(_xlpm.x, R26,_xlpm.lo,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6" s="507">
        <f>'Entries September''25'!AM24</f>
        <v>0</v>
      </c>
      <c r="U26" s="504">
        <f>'Entries September''25'!AN24</f>
        <v>0</v>
      </c>
      <c r="V26" s="496">
        <f>'Entries September''25'!AO24/2.204623</f>
        <v>0</v>
      </c>
      <c r="W26" s="486">
        <f t="shared" si="2"/>
        <v>0</v>
      </c>
      <c r="X26" s="487">
        <f t="shared" si="4"/>
        <v>0</v>
      </c>
    </row>
    <row r="27" spans="1:24" ht="15.75" thickBot="1" x14ac:dyDescent="0.25">
      <c r="A27" s="519">
        <v>21</v>
      </c>
      <c r="B27" s="520" t="str">
        <f>IF('Entries September''25'!N27-'Entries September''25'!N26&lt;1,"0",'Entries September''25'!N27-'Entries September''25'!N26)</f>
        <v>0</v>
      </c>
      <c r="C27" s="520" t="str">
        <f>IF('Entries September''25'!L27-'Entries September''25'!L26&lt;1,"0",'Entries September''25'!L27-'Entries September''25'!L26)</f>
        <v>0</v>
      </c>
      <c r="D27" s="520">
        <f>IF('Entries September''25'!M27-'Entries September''25'!M26&lt;1,"0",'Entries September''25'!M27-'Entries September''25'!M26)</f>
        <v>1.8699999999953434</v>
      </c>
      <c r="E27" s="521">
        <v>0</v>
      </c>
      <c r="F27" s="352">
        <v>0</v>
      </c>
      <c r="G27" s="348" t="str">
        <f t="shared" si="0"/>
        <v>0</v>
      </c>
      <c r="I27" s="483">
        <v>220</v>
      </c>
      <c r="J27" s="484">
        <v>38510</v>
      </c>
      <c r="K27" s="485">
        <f t="shared" si="1"/>
        <v>17467.839172502507</v>
      </c>
      <c r="M27" s="470"/>
      <c r="N27" s="470"/>
      <c r="O27" s="471"/>
      <c r="P27" s="471"/>
      <c r="Q27" s="493">
        <v>45890</v>
      </c>
      <c r="R27" s="497">
        <f>'Entries September''25'!AL26</f>
        <v>0</v>
      </c>
      <c r="S27" s="502" cm="1">
        <f t="array" ref="S27">IF(R27=0,0,IF(COUNTIF($I$6:$I$40,R27),_xlfn.XLOOKUP(R27,$I$6:$I$40,$K$6:$K$40),_xlfn.LET(_xlpm.x, R27,_xlpm.lo,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7" s="507">
        <f>'Entries September''25'!AM25</f>
        <v>0</v>
      </c>
      <c r="U27" s="504">
        <f>'Entries September''25'!AN25</f>
        <v>0</v>
      </c>
      <c r="V27" s="496">
        <f>'Entries September''25'!AO25/2.204623</f>
        <v>0</v>
      </c>
      <c r="W27" s="486">
        <f t="shared" si="2"/>
        <v>0</v>
      </c>
      <c r="X27" s="487">
        <f t="shared" si="4"/>
        <v>0</v>
      </c>
    </row>
    <row r="28" spans="1:24" ht="15.75" thickBot="1" x14ac:dyDescent="0.25">
      <c r="A28" s="36">
        <v>22</v>
      </c>
      <c r="B28" s="44">
        <f>IF('Entries September''25'!N28-'Entries September''25'!N27&lt;1,"0",'Entries September''25'!N28-'Entries September''25'!N27)</f>
        <v>312.17000000000007</v>
      </c>
      <c r="C28" s="44">
        <f>IF('Entries September''25'!L28-'Entries September''25'!L27&lt;1,"0",'Entries September''25'!L28-'Entries September''25'!L27)</f>
        <v>55.629999999999995</v>
      </c>
      <c r="D28" s="44">
        <f>IF('Entries September''25'!M28-'Entries September''25'!M27&lt;1,"0",'Entries September''25'!M28-'Entries September''25'!M27)</f>
        <v>1702.9000000000087</v>
      </c>
      <c r="E28" s="509">
        <v>800</v>
      </c>
      <c r="F28" s="352">
        <v>349.47</v>
      </c>
      <c r="G28" s="348">
        <f t="shared" si="0"/>
        <v>2.289180759435717</v>
      </c>
      <c r="I28" s="483">
        <v>230</v>
      </c>
      <c r="J28" s="484">
        <v>40308</v>
      </c>
      <c r="K28" s="485">
        <f t="shared" si="1"/>
        <v>18283.398113872528</v>
      </c>
      <c r="M28" s="470"/>
      <c r="N28" s="470"/>
      <c r="O28" s="471"/>
      <c r="P28" s="471"/>
      <c r="Q28" s="493">
        <v>45891</v>
      </c>
      <c r="R28" s="497">
        <f>'Entries September''25'!AL27</f>
        <v>0</v>
      </c>
      <c r="S28" s="502" cm="1">
        <f t="array" ref="S28">IF(R28=0,0,IF(COUNTIF($I$6:$I$40,R28),_xlfn.XLOOKUP(R28,$I$6:$I$40,$K$6:$K$40),_xlfn.LET(_xlpm.x, R28,_xlpm.lo,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8" s="507">
        <f>'Entries September''25'!AM26</f>
        <v>0</v>
      </c>
      <c r="U28" s="504">
        <f>'Entries September''25'!AN26</f>
        <v>0</v>
      </c>
      <c r="V28" s="496">
        <f>'Entries September''25'!AO26/2.204623</f>
        <v>0</v>
      </c>
      <c r="W28" s="486">
        <f t="shared" si="2"/>
        <v>0</v>
      </c>
      <c r="X28" s="487">
        <f t="shared" si="4"/>
        <v>0</v>
      </c>
    </row>
    <row r="29" spans="1:24" ht="15.75" thickBot="1" x14ac:dyDescent="0.25">
      <c r="A29" s="36">
        <v>23</v>
      </c>
      <c r="B29" s="44">
        <f>IF('Entries September''25'!N29-'Entries September''25'!N28&lt;1,"0",'Entries September''25'!N29-'Entries September''25'!N28)</f>
        <v>397.22999999999956</v>
      </c>
      <c r="C29" s="44">
        <f>IF('Entries September''25'!L29-'Entries September''25'!L28&lt;1,"0",'Entries September''25'!L29-'Entries September''25'!L28)</f>
        <v>91.71999999999997</v>
      </c>
      <c r="D29" s="44">
        <f>IF('Entries September''25'!M29-'Entries September''25'!M28&lt;1,"0",'Entries September''25'!M29-'Entries September''25'!M28)</f>
        <v>2375.5499999999884</v>
      </c>
      <c r="E29" s="509">
        <v>2400</v>
      </c>
      <c r="F29" s="352">
        <v>484.24200000000002</v>
      </c>
      <c r="G29" s="348">
        <f t="shared" si="0"/>
        <v>4.956199586157334</v>
      </c>
      <c r="I29" s="483">
        <v>240</v>
      </c>
      <c r="J29" s="484">
        <v>42107</v>
      </c>
      <c r="K29" s="485">
        <f t="shared" si="1"/>
        <v>19099.410647534747</v>
      </c>
      <c r="M29" s="470"/>
      <c r="N29" s="470"/>
      <c r="O29" s="471"/>
      <c r="P29" s="471"/>
      <c r="Q29" s="493">
        <v>45892</v>
      </c>
      <c r="R29" s="497">
        <f>'Entries September''25'!AL28</f>
        <v>0</v>
      </c>
      <c r="S29" s="502" cm="1">
        <f t="array" ref="S29">IF(R29=0,0,IF(COUNTIF($I$6:$I$40,R29),_xlfn.XLOOKUP(R29,$I$6:$I$40,$K$6:$K$40),_xlfn.LET(_xlpm.x, R29,_xlpm.lo,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9" s="507">
        <f>'Entries September''25'!AM27</f>
        <v>0</v>
      </c>
      <c r="U29" s="504">
        <f>'Entries September''25'!AN27</f>
        <v>0</v>
      </c>
      <c r="V29" s="496">
        <f>'Entries September''25'!AO27/2.204623</f>
        <v>0</v>
      </c>
      <c r="W29" s="486">
        <f t="shared" si="2"/>
        <v>0</v>
      </c>
      <c r="X29" s="487">
        <f t="shared" si="4"/>
        <v>0</v>
      </c>
    </row>
    <row r="30" spans="1:24" ht="15.75" thickBot="1" x14ac:dyDescent="0.25">
      <c r="A30" s="36">
        <v>24</v>
      </c>
      <c r="B30" s="44" t="str">
        <f>IF('Entries September''25'!N30-'Entries September''25'!N29&lt;1,"0",'Entries September''25'!N30-'Entries September''25'!N29)</f>
        <v>0</v>
      </c>
      <c r="C30" s="44">
        <f>IF('Entries September''25'!L30-'Entries September''25'!L29&lt;1,"0",'Entries September''25'!L30-'Entries September''25'!L29)</f>
        <v>21.550000000000068</v>
      </c>
      <c r="D30" s="44">
        <f>IF('Entries September''25'!M30-'Entries September''25'!M29&lt;1,"0",'Entries September''25'!M30-'Entries September''25'!M29)</f>
        <v>315.85000000000582</v>
      </c>
      <c r="E30" s="509">
        <v>800</v>
      </c>
      <c r="F30" s="352">
        <v>0</v>
      </c>
      <c r="G30" s="348" t="str">
        <f t="shared" si="0"/>
        <v>0</v>
      </c>
      <c r="I30" s="483">
        <v>250</v>
      </c>
      <c r="J30" s="484">
        <v>43905</v>
      </c>
      <c r="K30" s="485">
        <f t="shared" si="1"/>
        <v>19914.969588904769</v>
      </c>
      <c r="M30" s="470"/>
      <c r="N30" s="470"/>
      <c r="O30" s="471"/>
      <c r="P30" s="471"/>
      <c r="Q30" s="493">
        <v>45893</v>
      </c>
      <c r="R30" s="497">
        <f>'Entries September''25'!AL29</f>
        <v>0</v>
      </c>
      <c r="S30" s="502" cm="1">
        <f t="array" ref="S30">IF(R30=0,0,IF(COUNTIF($I$6:$I$40,R30),_xlfn.XLOOKUP(R30,$I$6:$I$40,$K$6:$K$40),_xlfn.LET(_xlpm.x, R30,_xlpm.lo,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0" s="507">
        <f>'Entries September''25'!AM28</f>
        <v>0</v>
      </c>
      <c r="U30" s="504">
        <f>'Entries September''25'!AN28</f>
        <v>0</v>
      </c>
      <c r="V30" s="496">
        <f>'Entries September''25'!AO28/2.204623</f>
        <v>0</v>
      </c>
      <c r="W30" s="486">
        <f t="shared" si="2"/>
        <v>0</v>
      </c>
      <c r="X30" s="487">
        <f t="shared" si="4"/>
        <v>0</v>
      </c>
    </row>
    <row r="31" spans="1:24" ht="15.75" thickBot="1" x14ac:dyDescent="0.25">
      <c r="A31" s="36">
        <v>25</v>
      </c>
      <c r="B31" s="44">
        <f>IF('Entries September''25'!N31-'Entries September''25'!N30&lt;1,"0",'Entries September''25'!N31-'Entries September''25'!N30)</f>
        <v>265.36000000000058</v>
      </c>
      <c r="C31" s="44">
        <f>IF('Entries September''25'!L31-'Entries September''25'!L30&lt;1,"0",'Entries September''25'!L31-'Entries September''25'!L30)</f>
        <v>7.7899999999999636</v>
      </c>
      <c r="D31" s="44">
        <f>IF('Entries September''25'!M31-'Entries September''25'!M30&lt;1,"0",'Entries September''25'!M31-'Entries September''25'!M30)</f>
        <v>1667.9100000000035</v>
      </c>
      <c r="E31" s="509">
        <v>1000</v>
      </c>
      <c r="F31" s="352">
        <v>282.94200000000001</v>
      </c>
      <c r="G31" s="348">
        <f t="shared" si="0"/>
        <v>3.5342932473793214</v>
      </c>
      <c r="I31" s="483">
        <v>260</v>
      </c>
      <c r="J31" s="484">
        <v>45703</v>
      </c>
      <c r="K31" s="485">
        <f t="shared" si="1"/>
        <v>20730.528530274787</v>
      </c>
      <c r="M31" s="470"/>
      <c r="N31" s="470"/>
      <c r="O31" s="471"/>
      <c r="P31" s="471"/>
      <c r="Q31" s="493">
        <v>45894</v>
      </c>
      <c r="R31" s="497">
        <f>'Entries September''25'!AL30</f>
        <v>0</v>
      </c>
      <c r="S31" s="502" cm="1">
        <f t="array" ref="S31">IF(R31=0,0,IF(COUNTIF($I$6:$I$40,R31),_xlfn.XLOOKUP(R31,$I$6:$I$40,$K$6:$K$40),_xlfn.LET(_xlpm.x, R31,_xlpm.lo,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1" s="507">
        <f>'Entries September''25'!AM29</f>
        <v>0</v>
      </c>
      <c r="U31" s="504">
        <f>'Entries September''25'!AN29</f>
        <v>0</v>
      </c>
      <c r="V31" s="496">
        <f>'Entries September''25'!AO29/2.204623</f>
        <v>0</v>
      </c>
      <c r="W31" s="486">
        <f t="shared" si="2"/>
        <v>0</v>
      </c>
      <c r="X31" s="487">
        <f t="shared" si="4"/>
        <v>0</v>
      </c>
    </row>
    <row r="32" spans="1:24" ht="15.75" thickBot="1" x14ac:dyDescent="0.25">
      <c r="A32" s="806">
        <v>26</v>
      </c>
      <c r="B32" s="807">
        <f>IF('Entries September''25'!N32-'Entries September''25'!N31&lt;1,"0",'Entries September''25'!N32-'Entries September''25'!N31)</f>
        <v>406.95999999999913</v>
      </c>
      <c r="C32" s="807">
        <f>IF('Entries September''25'!L32-'Entries September''25'!L31&lt;1,"0",'Entries September''25'!L32-'Entries September''25'!L31)</f>
        <v>63.389999999999986</v>
      </c>
      <c r="D32" s="807">
        <f>IF('Entries September''25'!M32-'Entries September''25'!M31&lt;1,"0",'Entries September''25'!M32-'Entries September''25'!M31)</f>
        <v>2874.2899999999936</v>
      </c>
      <c r="E32" s="808">
        <v>3100</v>
      </c>
      <c r="F32" s="352">
        <v>523.24800000000005</v>
      </c>
      <c r="G32" s="348">
        <f t="shared" si="0"/>
        <v>5.9245329174693451</v>
      </c>
      <c r="I32" s="483">
        <v>270</v>
      </c>
      <c r="J32" s="484">
        <v>47501</v>
      </c>
      <c r="K32" s="485">
        <f t="shared" si="1"/>
        <v>21546.087471644809</v>
      </c>
      <c r="M32" s="470"/>
      <c r="N32" s="470"/>
      <c r="O32" s="471"/>
      <c r="P32" s="471"/>
      <c r="Q32" s="493">
        <v>45895</v>
      </c>
      <c r="R32" s="497">
        <f>'Entries September''25'!AL31</f>
        <v>0</v>
      </c>
      <c r="S32" s="502" cm="1">
        <f t="array" ref="S32">IF(R32=0,0,IF(COUNTIF($I$6:$I$40,R32),_xlfn.XLOOKUP(R32,$I$6:$I$40,$K$6:$K$40),_xlfn.LET(_xlpm.x, R32,_xlpm.lo,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2" s="507">
        <f>'Entries September''25'!AM30</f>
        <v>0</v>
      </c>
      <c r="U32" s="504">
        <f>'Entries September''25'!AN30</f>
        <v>0</v>
      </c>
      <c r="V32" s="496">
        <f>'Entries September''25'!AO30/2.204623</f>
        <v>0</v>
      </c>
      <c r="W32" s="486">
        <f t="shared" si="2"/>
        <v>0</v>
      </c>
      <c r="X32" s="487">
        <f t="shared" si="4"/>
        <v>0</v>
      </c>
    </row>
    <row r="33" spans="1:24" ht="15.75" thickBot="1" x14ac:dyDescent="0.25">
      <c r="A33" s="519">
        <v>27</v>
      </c>
      <c r="B33" s="520" t="str">
        <f>IF('Entries September''25'!N33-'Entries September''25'!N32&lt;1,"0",'Entries September''25'!N33-'Entries September''25'!N32)</f>
        <v>0</v>
      </c>
      <c r="C33" s="520" t="str">
        <f>IF('Entries September''25'!L33-'Entries September''25'!L32&lt;1,"0",'Entries September''25'!L33-'Entries September''25'!L32)</f>
        <v>0</v>
      </c>
      <c r="D33" s="520" t="str">
        <f>IF('Entries September''25'!M33-'Entries September''25'!M32&lt;1,"0",'Entries September''25'!M33-'Entries September''25'!M32)</f>
        <v>0</v>
      </c>
      <c r="E33" s="521">
        <v>0</v>
      </c>
      <c r="F33" s="352">
        <v>0</v>
      </c>
      <c r="G33" s="348" t="str">
        <f t="shared" si="0"/>
        <v>0</v>
      </c>
      <c r="I33" s="483">
        <v>280</v>
      </c>
      <c r="J33" s="484">
        <v>49299</v>
      </c>
      <c r="K33" s="485">
        <f t="shared" si="1"/>
        <v>22361.646413014831</v>
      </c>
      <c r="M33" s="470"/>
      <c r="N33" s="470"/>
      <c r="O33" s="471"/>
      <c r="P33" s="471"/>
      <c r="Q33" s="493">
        <v>45896</v>
      </c>
      <c r="R33" s="497">
        <f>'Entries September''25'!AL32</f>
        <v>0</v>
      </c>
      <c r="S33" s="502" cm="1">
        <f t="array" ref="S33">IF(R33=0,0,IF(COUNTIF($I$6:$I$40,R33),_xlfn.XLOOKUP(R33,$I$6:$I$40,$K$6:$K$40),_xlfn.LET(_xlpm.x, R33,_xlpm.lo,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3" s="507">
        <f>'Entries September''25'!AM31</f>
        <v>0</v>
      </c>
      <c r="U33" s="504">
        <f>'Entries September''25'!AN31</f>
        <v>0</v>
      </c>
      <c r="V33" s="496">
        <f>'Entries September''25'!AO31/2.204623</f>
        <v>0</v>
      </c>
      <c r="W33" s="486">
        <f t="shared" si="2"/>
        <v>0</v>
      </c>
      <c r="X33" s="487">
        <f t="shared" si="4"/>
        <v>0</v>
      </c>
    </row>
    <row r="34" spans="1:24" ht="15.75" thickBot="1" x14ac:dyDescent="0.25">
      <c r="A34" s="519">
        <v>28</v>
      </c>
      <c r="B34" s="520" t="str">
        <f>IF('Entries September''25'!N34-'Entries September''25'!N33&lt;1,"0",'Entries September''25'!N34-'Entries September''25'!N33)</f>
        <v>0</v>
      </c>
      <c r="C34" s="520" t="str">
        <f>IF('Entries September''25'!L34-'Entries September''25'!L33&lt;1,"0",'Entries September''25'!L34-'Entries September''25'!L33)</f>
        <v>0</v>
      </c>
      <c r="D34" s="520" t="str">
        <f>IF('Entries September''25'!M34-'Entries September''25'!M33&lt;1,"0",'Entries September''25'!M34-'Entries September''25'!M33)</f>
        <v>0</v>
      </c>
      <c r="E34" s="521">
        <v>2000</v>
      </c>
      <c r="F34" s="352">
        <v>0</v>
      </c>
      <c r="G34" s="348" t="str">
        <f t="shared" si="0"/>
        <v>0</v>
      </c>
      <c r="I34" s="483">
        <v>290</v>
      </c>
      <c r="J34" s="484">
        <v>51098</v>
      </c>
      <c r="K34" s="485">
        <f t="shared" si="1"/>
        <v>23177.658946677049</v>
      </c>
      <c r="M34" s="470"/>
      <c r="N34" s="470"/>
      <c r="O34" s="471"/>
      <c r="P34" s="471"/>
      <c r="Q34" s="493">
        <v>45897</v>
      </c>
      <c r="R34" s="497">
        <f>'Entries September''25'!AL33</f>
        <v>0</v>
      </c>
      <c r="S34" s="502" cm="1">
        <f t="array" ref="S34">IF(R34=0,0,IF(COUNTIF($I$6:$I$40,R34),_xlfn.XLOOKUP(R34,$I$6:$I$40,$K$6:$K$40),_xlfn.LET(_xlpm.x, R34,_xlpm.lo,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4" s="507">
        <f>'Entries September''25'!AM32</f>
        <v>0</v>
      </c>
      <c r="U34" s="504">
        <f>'Entries September''25'!AN32</f>
        <v>0</v>
      </c>
      <c r="V34" s="496">
        <f>'Entries September''25'!AO32/2.204623</f>
        <v>0</v>
      </c>
      <c r="W34" s="486">
        <f t="shared" si="2"/>
        <v>0</v>
      </c>
      <c r="X34" s="487">
        <f t="shared" si="4"/>
        <v>0</v>
      </c>
    </row>
    <row r="35" spans="1:24" ht="15.75" thickBot="1" x14ac:dyDescent="0.25">
      <c r="A35" s="36">
        <v>29</v>
      </c>
      <c r="B35" s="44">
        <f>IF('Entries September''25'!N35-'Entries September''25'!N34&lt;1,"0",'Entries September''25'!N35-'Entries September''25'!N34)</f>
        <v>296.88000000000102</v>
      </c>
      <c r="C35" s="44">
        <f>IF('Entries September''25'!L35-'Entries September''25'!L34&lt;1,"0",'Entries September''25'!L35-'Entries September''25'!L34)</f>
        <v>11.980000000000018</v>
      </c>
      <c r="D35" s="44">
        <f>IF('Entries September''25'!M35-'Entries September''25'!M34&lt;1,"0",'Entries September''25'!M35-'Entries September''25'!M34)</f>
        <v>1773.6300000000047</v>
      </c>
      <c r="E35" s="509">
        <v>1800</v>
      </c>
      <c r="F35" s="352">
        <v>189.09</v>
      </c>
      <c r="G35" s="348">
        <f t="shared" si="0"/>
        <v>9.5192765349833408</v>
      </c>
      <c r="I35" s="483">
        <v>300</v>
      </c>
      <c r="J35" s="484">
        <v>52896</v>
      </c>
      <c r="K35" s="485">
        <f t="shared" si="1"/>
        <v>23993.217888047071</v>
      </c>
      <c r="M35" s="470"/>
      <c r="N35" s="470"/>
      <c r="O35" s="471"/>
      <c r="P35" s="471"/>
      <c r="Q35" s="493">
        <v>45898</v>
      </c>
      <c r="R35" s="497">
        <f>'Entries September''25'!AL34</f>
        <v>0</v>
      </c>
      <c r="S35" s="502" cm="1">
        <f t="array" ref="S35">IF(R35=0,0,IF(COUNTIF($I$6:$I$40,R35),_xlfn.XLOOKUP(R35,$I$6:$I$40,$K$6:$K$40),_xlfn.LET(_xlpm.x, R35,_xlpm.lo,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5" s="507">
        <f>'Entries September''25'!AM33</f>
        <v>0</v>
      </c>
      <c r="U35" s="504">
        <f>'Entries September''25'!AN33</f>
        <v>0</v>
      </c>
      <c r="V35" s="496">
        <f>'Entries September''25'!AO33/2.204623</f>
        <v>0</v>
      </c>
      <c r="W35" s="486">
        <f t="shared" si="2"/>
        <v>0</v>
      </c>
      <c r="X35" s="487">
        <f t="shared" si="4"/>
        <v>0</v>
      </c>
    </row>
    <row r="36" spans="1:24" ht="15.75" thickBot="1" x14ac:dyDescent="0.25">
      <c r="A36" s="36">
        <v>30</v>
      </c>
      <c r="B36" s="44">
        <f>IF('Entries September''25'!N36-'Entries September''25'!N35&lt;1,"0",'Entries September''25'!N36-'Entries September''25'!N35)</f>
        <v>325.6299999999992</v>
      </c>
      <c r="C36" s="44">
        <f>IF('Entries September''25'!L36-'Entries September''25'!L35&lt;1,"0",'Entries September''25'!L36-'Entries September''25'!L35)</f>
        <v>20.490000000000009</v>
      </c>
      <c r="D36" s="44">
        <f>IF('Entries September''25'!M36-'Entries September''25'!M35&lt;1,"0",'Entries September''25'!M36-'Entries September''25'!M35)</f>
        <v>1362.1900000000023</v>
      </c>
      <c r="E36" s="509">
        <v>1300</v>
      </c>
      <c r="F36" s="352">
        <v>198.52800000000002</v>
      </c>
      <c r="G36" s="348">
        <f t="shared" si="0"/>
        <v>6.5481947130883293</v>
      </c>
      <c r="I36" s="483">
        <v>310</v>
      </c>
      <c r="J36" s="484">
        <v>54694</v>
      </c>
      <c r="K36" s="485">
        <f t="shared" si="1"/>
        <v>24808.776829417089</v>
      </c>
      <c r="M36" s="470"/>
      <c r="N36" s="470"/>
      <c r="O36" s="471"/>
      <c r="P36" s="471"/>
      <c r="Q36" s="493">
        <v>45899</v>
      </c>
      <c r="R36" s="497">
        <f>'Entries September''25'!AL35</f>
        <v>0</v>
      </c>
      <c r="S36" s="502" cm="1">
        <f t="array" ref="S36">IF(R36=0,0,IF(COUNTIF($I$6:$I$40,R36),_xlfn.XLOOKUP(R36,$I$6:$I$40,$K$6:$K$40),_xlfn.LET(_xlpm.x, R36,_xlpm.lo,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6" s="507">
        <f>'Entries September''25'!AM34</f>
        <v>0</v>
      </c>
      <c r="U36" s="504">
        <f>'Entries September''25'!AN34</f>
        <v>0</v>
      </c>
      <c r="V36" s="496">
        <f>'Entries September''25'!AO34/2.204623</f>
        <v>0</v>
      </c>
      <c r="W36" s="486">
        <f t="shared" si="2"/>
        <v>0</v>
      </c>
      <c r="X36" s="487">
        <f t="shared" si="4"/>
        <v>0</v>
      </c>
    </row>
    <row r="37" spans="1:24" ht="15.75" thickBot="1" x14ac:dyDescent="0.25">
      <c r="A37" s="36">
        <v>31</v>
      </c>
      <c r="B37" s="44" t="str">
        <f>IF('Entries September''25'!N37-'Entries September''25'!N36&lt;1,"0",'Entries September''25'!N37-'Entries September''25'!N36)</f>
        <v>0</v>
      </c>
      <c r="C37" s="44" t="str">
        <f>IF('Entries September''25'!L37-'Entries September''25'!L36&lt;1,"0",'Entries September''25'!L37-'Entries September''25'!L36)</f>
        <v>0</v>
      </c>
      <c r="D37" s="44" t="str">
        <f>IF('Entries September''25'!M37-'Entries September''25'!M36&lt;1,"0",'Entries September''25'!M37-'Entries September''25'!M36)</f>
        <v>0</v>
      </c>
      <c r="E37" s="509">
        <v>0</v>
      </c>
      <c r="F37" s="360">
        <v>0</v>
      </c>
      <c r="G37" s="348" t="str">
        <f t="shared" si="0"/>
        <v>0</v>
      </c>
      <c r="H37" s="364" t="s">
        <v>248</v>
      </c>
      <c r="I37" s="483">
        <v>320</v>
      </c>
      <c r="J37" s="484">
        <v>56492</v>
      </c>
      <c r="K37" s="485">
        <f t="shared" si="1"/>
        <v>25624.335770787111</v>
      </c>
      <c r="M37" s="470"/>
      <c r="N37" s="470"/>
      <c r="O37" s="471"/>
      <c r="P37" s="471"/>
      <c r="Q37" s="493">
        <v>45900</v>
      </c>
      <c r="R37" s="497">
        <f>'Entries September''25'!AL36</f>
        <v>0</v>
      </c>
      <c r="S37" s="502" cm="1">
        <f t="array" ref="S37">IF(R37=0,0,IF(COUNTIF($I$6:$I$40,R37),_xlfn.XLOOKUP(R37,$I$6:$I$40,$K$6:$K$40),_xlfn.LET(_xlpm.x, R37,_xlpm.lo,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7" s="507">
        <f>'Entries September''25'!AM35</f>
        <v>0</v>
      </c>
      <c r="U37" s="504">
        <f>'Entries September''25'!AN35</f>
        <v>0</v>
      </c>
      <c r="V37" s="496">
        <f>'Entries September''25'!AO35/2.204623</f>
        <v>0</v>
      </c>
      <c r="W37" s="486">
        <f t="shared" si="2"/>
        <v>0</v>
      </c>
      <c r="X37" s="487">
        <f t="shared" si="4"/>
        <v>0</v>
      </c>
    </row>
    <row r="38" spans="1:24" ht="18.75" thickBot="1" x14ac:dyDescent="0.3">
      <c r="A38" s="41" t="s">
        <v>86</v>
      </c>
      <c r="B38" s="361">
        <f>SUM(B7:B37)</f>
        <v>6362.74</v>
      </c>
      <c r="C38" s="361">
        <f>SUM(C7:C37)</f>
        <v>471.20000000000005</v>
      </c>
      <c r="D38" s="361">
        <f>SUM(D7:D37)</f>
        <v>39920.300000000003</v>
      </c>
      <c r="E38" s="361">
        <f>SUM(E7:E37)</f>
        <v>44700</v>
      </c>
      <c r="F38" s="395">
        <f>SUM(F7:F37)</f>
        <v>7491.0012000000006</v>
      </c>
      <c r="G38" s="362">
        <f>IF(F38=0,"0",(E38/F38))</f>
        <v>5.9671596368186401</v>
      </c>
      <c r="H38" s="365">
        <v>5</v>
      </c>
      <c r="I38" s="483">
        <v>330</v>
      </c>
      <c r="J38" s="484">
        <v>58290</v>
      </c>
      <c r="K38" s="485">
        <f t="shared" si="1"/>
        <v>26439.894712157133</v>
      </c>
      <c r="M38" s="470"/>
      <c r="N38" s="470"/>
      <c r="O38" s="471"/>
      <c r="P38" s="471"/>
      <c r="Q38" s="493">
        <v>45901</v>
      </c>
      <c r="R38" s="497">
        <f>'Entries September''25'!AL37</f>
        <v>0</v>
      </c>
      <c r="S38" s="503" cm="1">
        <f t="array" ref="S38">IF(R38=0,0,IF(COUNTIF($I$6:$I$40,R38),_xlfn.XLOOKUP(R38,$I$6:$I$40,$K$6:$K$40),_xlfn.LET(_xlpm.x, R38,_xlpm.lo,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8" s="507">
        <f>'Entries September''25'!AM36</f>
        <v>0</v>
      </c>
      <c r="U38" s="504">
        <f>'Entries September''25'!AN36</f>
        <v>0</v>
      </c>
      <c r="V38" s="496">
        <f>'Entries September''25'!AO36/2.204623</f>
        <v>0</v>
      </c>
      <c r="W38" s="486">
        <f t="shared" si="2"/>
        <v>0</v>
      </c>
      <c r="X38" s="487">
        <f t="shared" si="4"/>
        <v>0</v>
      </c>
    </row>
    <row r="39" spans="1:24" ht="15.75" thickBot="1" x14ac:dyDescent="0.25">
      <c r="A39" s="8"/>
      <c r="B39" s="8"/>
      <c r="C39" s="8"/>
      <c r="D39" s="11"/>
      <c r="E39" s="11"/>
      <c r="F39" s="8"/>
      <c r="I39" s="483">
        <v>340</v>
      </c>
      <c r="J39" s="484">
        <v>60089</v>
      </c>
      <c r="K39" s="485">
        <f t="shared" si="1"/>
        <v>27255.907245819351</v>
      </c>
      <c r="M39" s="470"/>
      <c r="N39" s="470"/>
      <c r="O39" s="471"/>
      <c r="P39" s="471"/>
      <c r="Q39" s="494"/>
      <c r="R39" s="497">
        <f>'Entries September''25'!AL38</f>
        <v>0</v>
      </c>
      <c r="S39" s="503" cm="1">
        <f t="array" ref="S39">IF(R39=0,0,IF(COUNTIF($I$6:$I$40,R39),_xlfn.XLOOKUP(R39,$I$6:$I$40,$K$6:$K$40),_xlfn.LET(_xlpm.x, R39,_xlpm.lo,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9" s="507">
        <f>'Entries September''25'!AM37</f>
        <v>0</v>
      </c>
      <c r="U39" s="504">
        <f>'Entries September''25'!AN37</f>
        <v>0</v>
      </c>
      <c r="V39" s="496">
        <f>'Entries September''25'!AO37/2.204623</f>
        <v>0</v>
      </c>
      <c r="W39" s="486">
        <f t="shared" si="2"/>
        <v>0</v>
      </c>
      <c r="X39" s="508"/>
    </row>
    <row r="40" spans="1:24" ht="15.75" thickBot="1" x14ac:dyDescent="0.25">
      <c r="A40" s="8"/>
      <c r="B40" s="8"/>
      <c r="C40" s="8"/>
      <c r="D40" s="11"/>
      <c r="E40" s="11"/>
      <c r="F40" s="8"/>
      <c r="I40" s="491">
        <v>350</v>
      </c>
      <c r="J40" s="492">
        <v>60537</v>
      </c>
      <c r="K40" s="485">
        <f t="shared" si="1"/>
        <v>27459.11659272356</v>
      </c>
      <c r="M40" s="470"/>
      <c r="N40" s="470"/>
      <c r="O40" s="471"/>
      <c r="P40" s="471"/>
      <c r="Q40" s="191"/>
      <c r="R40" s="498"/>
      <c r="S40" s="499"/>
      <c r="T40" s="488"/>
      <c r="U40" s="488"/>
      <c r="V40" s="489"/>
      <c r="W40" s="488" t="s">
        <v>245</v>
      </c>
      <c r="X40" s="490">
        <f>SUM(X8:X38)</f>
        <v>50136.009648815234</v>
      </c>
    </row>
    <row r="41" spans="1:24" x14ac:dyDescent="0.2">
      <c r="M41" s="470"/>
      <c r="N41" s="470"/>
      <c r="O41" s="471"/>
      <c r="P41" s="471"/>
      <c r="Q41" s="191"/>
      <c r="R41" s="191"/>
      <c r="S41" s="191"/>
      <c r="T41" s="191"/>
      <c r="U41" s="191"/>
      <c r="V41" s="470"/>
      <c r="W41" s="191"/>
      <c r="X41" s="191"/>
    </row>
    <row r="42" spans="1:24" x14ac:dyDescent="0.2">
      <c r="Q42" s="191"/>
      <c r="R42" s="191"/>
      <c r="S42" s="191"/>
      <c r="T42" s="191"/>
      <c r="U42" s="191"/>
      <c r="V42" s="470"/>
      <c r="W42" s="191"/>
      <c r="X42" s="191"/>
    </row>
  </sheetData>
  <mergeCells count="16">
    <mergeCell ref="A5:A6"/>
    <mergeCell ref="G5:G6"/>
    <mergeCell ref="B5:B6"/>
    <mergeCell ref="F5:F6"/>
    <mergeCell ref="D5:D6"/>
    <mergeCell ref="E5:E6"/>
    <mergeCell ref="C5:C6"/>
    <mergeCell ref="W5:W6"/>
    <mergeCell ref="X5:X6"/>
    <mergeCell ref="I3:K3"/>
    <mergeCell ref="I4:K4"/>
    <mergeCell ref="M5:O5"/>
    <mergeCell ref="Q5:Q6"/>
    <mergeCell ref="R5:S5"/>
    <mergeCell ref="V5:V6"/>
    <mergeCell ref="Q4:T4"/>
  </mergeCells>
  <phoneticPr fontId="0" type="noConversion"/>
  <conditionalFormatting sqref="G7:G38">
    <cfRule type="cellIs" dxfId="40" priority="2" operator="greaterThan">
      <formula>21</formula>
    </cfRule>
  </conditionalFormatting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AK143"/>
  <sheetViews>
    <sheetView showGridLines="0" topLeftCell="A4" zoomScale="80" zoomScaleNormal="80" workbookViewId="0">
      <pane xSplit="1" ySplit="7" topLeftCell="B36" activePane="bottomRight" state="frozen"/>
      <selection activeCell="A4" sqref="A4"/>
      <selection pane="topRight" activeCell="B4" sqref="B4"/>
      <selection pane="bottomLeft" activeCell="A11" sqref="A11"/>
      <selection pane="bottomRight" activeCell="E52" sqref="E52"/>
    </sheetView>
  </sheetViews>
  <sheetFormatPr defaultColWidth="9.28515625" defaultRowHeight="12.75" x14ac:dyDescent="0.2"/>
  <cols>
    <col min="1" max="1" width="46" style="81" bestFit="1" customWidth="1"/>
    <col min="2" max="4" width="14.7109375" style="82" customWidth="1"/>
    <col min="5" max="5" width="16.140625" style="82" bestFit="1" customWidth="1"/>
    <col min="6" max="8" width="14.7109375" style="82" customWidth="1"/>
    <col min="9" max="9" width="18.5703125" style="82" customWidth="1"/>
    <col min="10" max="12" width="14.7109375" style="82" customWidth="1"/>
    <col min="13" max="13" width="20.28515625" style="162" customWidth="1"/>
    <col min="14" max="15" width="14.7109375" style="82" customWidth="1"/>
    <col min="16" max="16" width="23.7109375" style="82" bestFit="1" customWidth="1"/>
    <col min="17" max="18" width="15.85546875" style="82" customWidth="1"/>
    <col min="19" max="19" width="18.28515625" style="82" customWidth="1"/>
    <col min="20" max="20" width="14.7109375" style="82" customWidth="1"/>
    <col min="21" max="21" width="15.85546875" style="82" customWidth="1"/>
    <col min="22" max="22" width="14.7109375" style="82" customWidth="1"/>
    <col min="23" max="23" width="16.85546875" style="82" customWidth="1"/>
    <col min="24" max="25" width="15.85546875" style="82" customWidth="1"/>
    <col min="26" max="31" width="14.7109375" style="82" customWidth="1"/>
    <col min="32" max="32" width="14.7109375" style="202" customWidth="1"/>
    <col min="33" max="33" width="15.42578125" style="211" bestFit="1" customWidth="1"/>
    <col min="34" max="34" width="15.5703125" style="211" customWidth="1"/>
    <col min="35" max="35" width="15.42578125" style="265" bestFit="1" customWidth="1"/>
    <col min="36" max="37" width="9.28515625" style="265"/>
    <col min="38" max="16384" width="9.28515625" style="81"/>
  </cols>
  <sheetData>
    <row r="1" spans="1:37" x14ac:dyDescent="0.2">
      <c r="B1" s="85"/>
      <c r="C1" s="81"/>
      <c r="D1" s="81"/>
      <c r="E1" s="81"/>
      <c r="F1" s="81"/>
      <c r="G1" s="81"/>
      <c r="H1" s="81"/>
      <c r="I1" s="81"/>
      <c r="J1" s="81"/>
      <c r="K1" s="81"/>
      <c r="L1" s="81"/>
      <c r="M1" s="87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201"/>
      <c r="AG1" s="265"/>
      <c r="AH1" s="265"/>
    </row>
    <row r="2" spans="1:37" x14ac:dyDescent="0.2">
      <c r="B2" s="85"/>
      <c r="C2" s="81"/>
      <c r="D2" s="81"/>
      <c r="E2" s="81"/>
      <c r="F2" s="81"/>
      <c r="G2" s="81"/>
      <c r="H2" s="81"/>
      <c r="I2" s="81"/>
      <c r="J2" s="81"/>
      <c r="K2" s="81"/>
      <c r="L2" s="81"/>
      <c r="M2" s="87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201"/>
      <c r="AG2" s="265"/>
      <c r="AH2" s="265"/>
    </row>
    <row r="3" spans="1:37" x14ac:dyDescent="0.2">
      <c r="A3" s="1" t="s">
        <v>135</v>
      </c>
      <c r="B3" s="85"/>
      <c r="C3" s="1"/>
      <c r="D3" s="81"/>
      <c r="E3" s="81"/>
      <c r="F3" s="81"/>
      <c r="G3" s="81"/>
      <c r="H3" s="81"/>
      <c r="I3" s="81"/>
      <c r="J3" s="81"/>
      <c r="K3" s="81"/>
      <c r="L3" s="81"/>
      <c r="M3" s="87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201"/>
      <c r="AG3" s="265"/>
      <c r="AH3" s="265"/>
    </row>
    <row r="4" spans="1:37" x14ac:dyDescent="0.2">
      <c r="A4" s="1"/>
      <c r="M4" s="92" t="s">
        <v>231</v>
      </c>
      <c r="Y4" s="82">
        <v>1364</v>
      </c>
    </row>
    <row r="5" spans="1:37" ht="26.25" x14ac:dyDescent="0.4">
      <c r="A5" s="183">
        <v>45901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</row>
    <row r="6" spans="1:37" ht="26.25" x14ac:dyDescent="0.2">
      <c r="A6" s="83"/>
      <c r="B6" s="547">
        <v>1</v>
      </c>
      <c r="C6" s="547">
        <v>2</v>
      </c>
      <c r="D6" s="547">
        <v>3</v>
      </c>
      <c r="E6" s="547">
        <v>4</v>
      </c>
      <c r="F6" s="547">
        <v>5</v>
      </c>
      <c r="G6" s="547">
        <v>6</v>
      </c>
      <c r="H6" s="547">
        <v>7</v>
      </c>
      <c r="I6" s="547">
        <v>8</v>
      </c>
      <c r="J6" s="547">
        <v>9</v>
      </c>
      <c r="K6" s="547">
        <v>10</v>
      </c>
      <c r="L6" s="547">
        <v>11</v>
      </c>
      <c r="M6" s="547">
        <v>12</v>
      </c>
      <c r="N6" s="547">
        <v>13</v>
      </c>
      <c r="O6" s="547">
        <v>14</v>
      </c>
      <c r="P6" s="547">
        <v>15</v>
      </c>
      <c r="Q6" s="547">
        <v>16</v>
      </c>
      <c r="R6" s="547">
        <v>17</v>
      </c>
      <c r="S6" s="547">
        <v>18</v>
      </c>
      <c r="T6" s="547">
        <v>19</v>
      </c>
      <c r="U6" s="547">
        <v>20</v>
      </c>
      <c r="V6" s="547">
        <v>21</v>
      </c>
      <c r="W6" s="547">
        <v>22</v>
      </c>
      <c r="X6" s="547">
        <v>23</v>
      </c>
      <c r="Y6" s="547">
        <v>24</v>
      </c>
      <c r="Z6" s="547">
        <v>25</v>
      </c>
      <c r="AA6" s="547">
        <v>26</v>
      </c>
      <c r="AB6" s="547">
        <v>27</v>
      </c>
      <c r="AC6" s="547">
        <v>28</v>
      </c>
      <c r="AD6" s="547">
        <v>29</v>
      </c>
      <c r="AE6" s="547">
        <v>30</v>
      </c>
      <c r="AF6" s="547"/>
      <c r="AG6" s="294"/>
      <c r="AH6" s="982" t="s">
        <v>220</v>
      </c>
      <c r="AI6" s="292"/>
    </row>
    <row r="7" spans="1:37" s="74" customFormat="1" ht="25.5" customHeight="1" x14ac:dyDescent="0.25">
      <c r="A7" s="97" t="s">
        <v>132</v>
      </c>
      <c r="B7" s="549" t="s">
        <v>142</v>
      </c>
      <c r="C7" s="549" t="s">
        <v>143</v>
      </c>
      <c r="D7" s="549" t="s">
        <v>144</v>
      </c>
      <c r="E7" s="549" t="s">
        <v>145</v>
      </c>
      <c r="F7" s="549" t="s">
        <v>146</v>
      </c>
      <c r="G7" s="549" t="s">
        <v>147</v>
      </c>
      <c r="H7" s="549" t="s">
        <v>148</v>
      </c>
      <c r="I7" s="549" t="s">
        <v>142</v>
      </c>
      <c r="J7" s="549" t="s">
        <v>143</v>
      </c>
      <c r="K7" s="549" t="s">
        <v>144</v>
      </c>
      <c r="L7" s="549" t="s">
        <v>145</v>
      </c>
      <c r="M7" s="549" t="s">
        <v>146</v>
      </c>
      <c r="N7" s="549" t="s">
        <v>147</v>
      </c>
      <c r="O7" s="549" t="s">
        <v>148</v>
      </c>
      <c r="P7" s="549" t="s">
        <v>142</v>
      </c>
      <c r="Q7" s="549" t="s">
        <v>143</v>
      </c>
      <c r="R7" s="549" t="s">
        <v>144</v>
      </c>
      <c r="S7" s="549" t="s">
        <v>145</v>
      </c>
      <c r="T7" s="549" t="s">
        <v>146</v>
      </c>
      <c r="U7" s="549" t="s">
        <v>147</v>
      </c>
      <c r="V7" s="549" t="s">
        <v>148</v>
      </c>
      <c r="W7" s="549" t="s">
        <v>142</v>
      </c>
      <c r="X7" s="549" t="s">
        <v>143</v>
      </c>
      <c r="Y7" s="549" t="s">
        <v>144</v>
      </c>
      <c r="Z7" s="549" t="s">
        <v>145</v>
      </c>
      <c r="AA7" s="549" t="s">
        <v>146</v>
      </c>
      <c r="AB7" s="549" t="s">
        <v>147</v>
      </c>
      <c r="AC7" s="549" t="s">
        <v>148</v>
      </c>
      <c r="AD7" s="549" t="s">
        <v>142</v>
      </c>
      <c r="AE7" s="549" t="s">
        <v>143</v>
      </c>
      <c r="AF7" s="549"/>
      <c r="AG7" s="213" t="s">
        <v>19</v>
      </c>
      <c r="AH7" s="982"/>
      <c r="AI7" s="293" t="s">
        <v>233</v>
      </c>
      <c r="AJ7" s="220"/>
      <c r="AK7" s="220"/>
    </row>
    <row r="8" spans="1:37" s="76" customFormat="1" ht="26.25" x14ac:dyDescent="0.3">
      <c r="A8" s="98" t="s">
        <v>137</v>
      </c>
      <c r="B8" s="99"/>
      <c r="C8" s="99">
        <f>'Daily KPIs'!C8</f>
        <v>4718</v>
      </c>
      <c r="D8" s="99">
        <f>'Daily KPIs'!D8</f>
        <v>4513</v>
      </c>
      <c r="E8" s="99">
        <f>'Daily KPIs'!E8</f>
        <v>5941</v>
      </c>
      <c r="F8" s="99">
        <f>'Daily KPIs'!F8</f>
        <v>4159</v>
      </c>
      <c r="G8" s="99">
        <f>'Daily KPIs'!G8</f>
        <v>0</v>
      </c>
      <c r="H8" s="100">
        <f>'Daily KPIs'!H8</f>
        <v>0</v>
      </c>
      <c r="I8" s="100">
        <f>'Daily KPIs'!I8</f>
        <v>4642</v>
      </c>
      <c r="J8" s="99">
        <f>'Daily KPIs'!J8</f>
        <v>5456</v>
      </c>
      <c r="K8" s="99">
        <f>'Daily KPIs'!K8</f>
        <v>4861</v>
      </c>
      <c r="L8" s="99">
        <f>'Daily KPIs'!L8</f>
        <v>86</v>
      </c>
      <c r="M8" s="99">
        <f>'Daily KPIs'!M8</f>
        <v>983</v>
      </c>
      <c r="N8" s="99">
        <f>'Daily KPIs'!N8</f>
        <v>0</v>
      </c>
      <c r="O8" s="99">
        <f>'Daily KPIs'!O8</f>
        <v>0</v>
      </c>
      <c r="P8" s="99">
        <f>'Daily KPIs'!P8</f>
        <v>7466</v>
      </c>
      <c r="Q8" s="100">
        <f>'Daily KPIs'!Q8</f>
        <v>6702</v>
      </c>
      <c r="R8" s="176">
        <f>'Daily KPIs'!R8</f>
        <v>6663</v>
      </c>
      <c r="S8" s="99">
        <f>'Daily KPIs'!S8</f>
        <v>12334</v>
      </c>
      <c r="T8" s="100">
        <f>'Daily KPIs'!T8</f>
        <v>7945</v>
      </c>
      <c r="U8" s="99">
        <f>'Daily KPIs'!U8</f>
        <v>0</v>
      </c>
      <c r="V8" s="99">
        <f>'Daily KPIs'!V8</f>
        <v>0</v>
      </c>
      <c r="W8" s="101">
        <f>'Daily KPIs'!W8</f>
        <v>5295</v>
      </c>
      <c r="X8" s="101">
        <f>'Daily KPIs'!X8</f>
        <v>7337</v>
      </c>
      <c r="Y8" s="99">
        <f>'Daily KPIs'!Y8</f>
        <v>0</v>
      </c>
      <c r="Z8" s="99">
        <f>'Daily KPIs'!Z8</f>
        <v>4287</v>
      </c>
      <c r="AA8" s="99">
        <f>'Daily KPIs'!AA8</f>
        <v>7928</v>
      </c>
      <c r="AB8" s="102">
        <f>'Daily KPIs'!AB8</f>
        <v>0</v>
      </c>
      <c r="AC8" s="102">
        <f>'Daily KPIs'!AC8</f>
        <v>0</v>
      </c>
      <c r="AD8" s="102"/>
      <c r="AE8" s="102"/>
      <c r="AF8" s="203">
        <f>'Daily KPIs'!AD8</f>
        <v>2865</v>
      </c>
      <c r="AG8" s="214">
        <f>SUM($B8:AF8)</f>
        <v>104181</v>
      </c>
      <c r="AH8" s="294">
        <v>96325</v>
      </c>
      <c r="AI8" s="295">
        <f>AG8-AH8</f>
        <v>7856</v>
      </c>
      <c r="AJ8" s="267"/>
      <c r="AK8" s="267"/>
    </row>
    <row r="9" spans="1:37" ht="20.25" x14ac:dyDescent="0.3">
      <c r="A9" s="98" t="s">
        <v>139</v>
      </c>
      <c r="B9" s="99">
        <f>'Daily KPIs'!B9</f>
        <v>390.85200000000003</v>
      </c>
      <c r="C9" s="99">
        <f>'Daily KPIs'!C9</f>
        <v>311.38800000000003</v>
      </c>
      <c r="D9" s="99">
        <f>'Daily KPIs'!D9</f>
        <v>297.858</v>
      </c>
      <c r="E9" s="99">
        <f>'Daily KPIs'!E9</f>
        <v>392.10599999999999</v>
      </c>
      <c r="F9" s="99">
        <f>'Daily KPIs'!F9</f>
        <v>274.49400000000003</v>
      </c>
      <c r="G9" s="99">
        <f>'Daily KPIs'!G9</f>
        <v>0</v>
      </c>
      <c r="H9" s="99">
        <f>'Daily KPIs'!H9</f>
        <v>0</v>
      </c>
      <c r="I9" s="99">
        <f>'Daily KPIs'!I9</f>
        <v>306.37200000000001</v>
      </c>
      <c r="J9" s="99">
        <f>'Daily KPIs'!J9</f>
        <v>360.096</v>
      </c>
      <c r="K9" s="99">
        <f>'Daily KPIs'!K9</f>
        <v>320.82600000000002</v>
      </c>
      <c r="L9" s="99">
        <f>'Daily KPIs'!L9</f>
        <v>5.6760000000000002</v>
      </c>
      <c r="M9" s="99">
        <f>'Daily KPIs'!M9</f>
        <v>64.878</v>
      </c>
      <c r="N9" s="99">
        <f>'Daily KPIs'!N9</f>
        <v>0</v>
      </c>
      <c r="O9" s="99">
        <f>'Daily KPIs'!O9</f>
        <v>0</v>
      </c>
      <c r="P9" s="99">
        <f>'Daily KPIs'!P9</f>
        <v>518.43119999999999</v>
      </c>
      <c r="Q9" s="99">
        <f>'Daily KPIs'!Q9</f>
        <v>442.33199999999999</v>
      </c>
      <c r="R9" s="99">
        <f>'Daily KPIs'!R9</f>
        <v>439.75800000000004</v>
      </c>
      <c r="S9" s="99">
        <f>'Daily KPIs'!S9</f>
        <v>814.04399999999998</v>
      </c>
      <c r="T9" s="99">
        <f>'Daily KPIs'!T9</f>
        <v>524.37</v>
      </c>
      <c r="U9" s="99">
        <f>'Daily KPIs'!U9</f>
        <v>0</v>
      </c>
      <c r="V9" s="99">
        <f>'Daily KPIs'!V9</f>
        <v>0</v>
      </c>
      <c r="W9" s="99">
        <f>'Daily KPIs'!W9</f>
        <v>349.47</v>
      </c>
      <c r="X9" s="99">
        <f>'Daily KPIs'!X9</f>
        <v>484.24200000000002</v>
      </c>
      <c r="Y9" s="99">
        <f>'Daily KPIs'!Y9</f>
        <v>0</v>
      </c>
      <c r="Z9" s="99">
        <f>'Daily KPIs'!Z9</f>
        <v>282.94200000000001</v>
      </c>
      <c r="AA9" s="99">
        <f>'Daily KPIs'!AA9</f>
        <v>523.24800000000005</v>
      </c>
      <c r="AB9" s="99">
        <f>'Daily KPIs'!AB9</f>
        <v>0</v>
      </c>
      <c r="AC9" s="99">
        <f>'Daily KPIs'!AC9</f>
        <v>0</v>
      </c>
      <c r="AD9" s="99"/>
      <c r="AE9" s="99"/>
      <c r="AF9" s="204">
        <f>'Daily KPIs'!AD9</f>
        <v>189.09</v>
      </c>
      <c r="AG9" s="216">
        <f>SUM($B9:AF9)</f>
        <v>7292.4732000000004</v>
      </c>
      <c r="AH9" s="215"/>
      <c r="AI9" s="266"/>
    </row>
    <row r="10" spans="1:37" s="76" customFormat="1" ht="20.25" x14ac:dyDescent="0.3">
      <c r="A10" s="103" t="s">
        <v>136</v>
      </c>
      <c r="B10" s="163" t="str">
        <f>'Daily KPIs'!B10</f>
        <v>CB/ST</v>
      </c>
      <c r="C10" s="163" t="str">
        <f>'Daily KPIs'!C10</f>
        <v>ST/CB</v>
      </c>
      <c r="D10" s="163" t="str">
        <f>'Daily KPIs'!D10</f>
        <v>CB</v>
      </c>
      <c r="E10" s="163" t="str">
        <f>'Daily KPIs'!E10</f>
        <v>SM</v>
      </c>
      <c r="F10" s="163" t="str">
        <f>'Daily KPIs'!F10</f>
        <v>CB</v>
      </c>
      <c r="G10" s="163">
        <f>'Daily KPIs'!G10</f>
        <v>0</v>
      </c>
      <c r="H10" s="163" t="str">
        <f>'Daily KPIs'!I10</f>
        <v>CB</v>
      </c>
      <c r="I10" s="163" t="str">
        <f>'Daily KPIs'!J10</f>
        <v>CB</v>
      </c>
      <c r="J10" s="163" t="str">
        <f>'Daily KPIs'!J10</f>
        <v>CB</v>
      </c>
      <c r="K10" s="163" t="str">
        <f>'Daily KPIs'!K10</f>
        <v>CB/GN</v>
      </c>
      <c r="L10" s="163" t="str">
        <f>'Daily KPIs'!L10</f>
        <v>GN</v>
      </c>
      <c r="M10" s="163" t="str">
        <f>'Daily KPIs'!M10</f>
        <v>GN</v>
      </c>
      <c r="N10" s="163">
        <f>'Daily KPIs'!N10</f>
        <v>0</v>
      </c>
      <c r="O10" s="163">
        <f>'Daily KPIs'!O10</f>
        <v>0</v>
      </c>
      <c r="P10" s="163" t="str">
        <f>'Daily KPIs'!P10</f>
        <v>VM/ ST</v>
      </c>
      <c r="Q10" s="163" t="str">
        <f>'Daily KPIs'!Q10</f>
        <v>ST</v>
      </c>
      <c r="R10" s="163" t="str">
        <f>'Daily KPIs'!R10</f>
        <v>CB</v>
      </c>
      <c r="S10" s="163" t="str">
        <f>'Daily KPIs'!S10</f>
        <v>CB</v>
      </c>
      <c r="T10" s="163" t="str">
        <f>'Daily KPIs'!T10</f>
        <v>CB/ST</v>
      </c>
      <c r="U10" s="163">
        <f>'Daily KPIs'!U10</f>
        <v>0</v>
      </c>
      <c r="V10" s="163">
        <f>'Daily KPIs'!V10</f>
        <v>0</v>
      </c>
      <c r="W10" s="163" t="str">
        <f>'Daily KPIs'!W10</f>
        <v>ST</v>
      </c>
      <c r="X10" s="163" t="str">
        <f>'Daily KPIs'!X10</f>
        <v>ST/CB</v>
      </c>
      <c r="Y10" s="981">
        <f>'Daily KPIs'!Y10</f>
        <v>0</v>
      </c>
      <c r="Z10" s="981"/>
      <c r="AA10" s="163" t="str">
        <f>'Daily KPIs'!AA10</f>
        <v>MK/CB</v>
      </c>
      <c r="AB10" s="163">
        <f>'Daily KPIs'!AB10</f>
        <v>0</v>
      </c>
      <c r="AC10" s="163">
        <f>'Daily KPIs'!AC10</f>
        <v>0</v>
      </c>
      <c r="AD10" s="163"/>
      <c r="AE10" s="163"/>
      <c r="AF10" s="205" t="str">
        <f>'Daily KPIs'!AD10</f>
        <v>CB</v>
      </c>
      <c r="AG10" s="217"/>
      <c r="AH10" s="218"/>
      <c r="AI10" s="266"/>
      <c r="AJ10" s="267"/>
      <c r="AK10" s="267"/>
    </row>
    <row r="11" spans="1:37" ht="18" x14ac:dyDescent="0.25">
      <c r="A11" s="10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93"/>
      <c r="N11" s="84"/>
      <c r="O11" s="84"/>
      <c r="P11" s="84"/>
      <c r="Q11" s="84"/>
      <c r="R11" s="84"/>
      <c r="S11" s="84"/>
      <c r="U11" s="84"/>
      <c r="X11" s="81"/>
      <c r="AF11" s="82"/>
    </row>
    <row r="12" spans="1:37" ht="18" hidden="1" x14ac:dyDescent="0.25">
      <c r="A12" s="10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93"/>
      <c r="N12" s="84"/>
      <c r="O12" s="84"/>
      <c r="P12" s="84"/>
      <c r="Q12" s="84"/>
      <c r="R12" s="84"/>
      <c r="S12" s="84"/>
      <c r="U12" s="84"/>
      <c r="AF12" s="82"/>
    </row>
    <row r="13" spans="1:37" ht="18" x14ac:dyDescent="0.25">
      <c r="A13" s="105" t="s">
        <v>192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94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</row>
    <row r="14" spans="1:37" s="77" customFormat="1" ht="18" x14ac:dyDescent="0.25">
      <c r="A14" s="106" t="s">
        <v>124</v>
      </c>
      <c r="B14" s="107">
        <v>1</v>
      </c>
      <c r="C14" s="107">
        <v>2</v>
      </c>
      <c r="D14" s="107">
        <v>3</v>
      </c>
      <c r="E14" s="107">
        <v>4</v>
      </c>
      <c r="F14" s="107">
        <v>5</v>
      </c>
      <c r="G14" s="107">
        <v>6</v>
      </c>
      <c r="H14" s="107">
        <v>7</v>
      </c>
      <c r="I14" s="107">
        <v>8</v>
      </c>
      <c r="J14" s="107">
        <v>9</v>
      </c>
      <c r="K14" s="107">
        <v>10</v>
      </c>
      <c r="L14" s="107">
        <v>11</v>
      </c>
      <c r="M14" s="108">
        <v>12</v>
      </c>
      <c r="N14" s="107">
        <v>13</v>
      </c>
      <c r="O14" s="107">
        <v>14</v>
      </c>
      <c r="P14" s="107">
        <v>15</v>
      </c>
      <c r="Q14" s="107">
        <v>16</v>
      </c>
      <c r="R14" s="107">
        <v>17</v>
      </c>
      <c r="S14" s="107">
        <v>18</v>
      </c>
      <c r="T14" s="107">
        <v>19</v>
      </c>
      <c r="U14" s="107">
        <v>20</v>
      </c>
      <c r="V14" s="107">
        <v>21</v>
      </c>
      <c r="W14" s="107">
        <v>22</v>
      </c>
      <c r="X14" s="107">
        <v>23</v>
      </c>
      <c r="Y14" s="107">
        <v>24</v>
      </c>
      <c r="Z14" s="107">
        <v>25</v>
      </c>
      <c r="AA14" s="107">
        <v>26</v>
      </c>
      <c r="AB14" s="107">
        <v>27</v>
      </c>
      <c r="AC14" s="107">
        <v>28</v>
      </c>
      <c r="AD14" s="107">
        <v>29</v>
      </c>
      <c r="AE14" s="107">
        <v>30</v>
      </c>
      <c r="AF14" s="107">
        <v>31</v>
      </c>
      <c r="AG14" s="219" t="s">
        <v>86</v>
      </c>
      <c r="AH14" s="220"/>
      <c r="AI14" s="268"/>
      <c r="AJ14" s="268"/>
      <c r="AK14" s="268"/>
    </row>
    <row r="15" spans="1:37" ht="18" x14ac:dyDescent="0.25">
      <c r="A15" s="109" t="s">
        <v>140</v>
      </c>
      <c r="B15" s="110" t="str">
        <f>+'Water '!$C7</f>
        <v>0</v>
      </c>
      <c r="C15" s="110" t="str">
        <f>+'Water '!$C8</f>
        <v>0</v>
      </c>
      <c r="D15" s="110" t="str">
        <f>+'Water '!$C9</f>
        <v>0</v>
      </c>
      <c r="E15" s="110" t="str">
        <f>+'Water '!$C10</f>
        <v>0</v>
      </c>
      <c r="F15" s="110" t="str">
        <f>+'Water '!$C11</f>
        <v>0</v>
      </c>
      <c r="G15" s="110" t="str">
        <f>+'Water '!$C12</f>
        <v>0</v>
      </c>
      <c r="H15" s="110" t="str">
        <f>+'Water '!$C13</f>
        <v>0</v>
      </c>
      <c r="I15" s="110" t="str">
        <f>+'Water '!$C14</f>
        <v>0</v>
      </c>
      <c r="J15" s="110" t="str">
        <f>+'Water '!$C15</f>
        <v>0</v>
      </c>
      <c r="K15" s="110" t="str">
        <f>+'Water '!$C16</f>
        <v>0</v>
      </c>
      <c r="L15" s="110" t="str">
        <f>+'Water '!$C17</f>
        <v>0</v>
      </c>
      <c r="M15" s="111" t="str">
        <f>+'Water '!$C18</f>
        <v>0</v>
      </c>
      <c r="N15" s="111" t="str">
        <f>+'Water '!$C18</f>
        <v>0</v>
      </c>
      <c r="O15" s="110" t="str">
        <f>+'Water '!$C20</f>
        <v>0</v>
      </c>
      <c r="P15" s="110" t="str">
        <f>+'Water '!$C21</f>
        <v>0</v>
      </c>
      <c r="Q15" s="110" t="str">
        <f>+'Water '!$C22</f>
        <v>0</v>
      </c>
      <c r="R15" s="110" t="str">
        <f>+'Water '!$C23</f>
        <v>0</v>
      </c>
      <c r="S15" s="110" t="str">
        <f>+'Water '!$C24</f>
        <v>0</v>
      </c>
      <c r="T15" s="110" t="str">
        <f>+'Water '!$C25</f>
        <v>0</v>
      </c>
      <c r="U15" s="110" t="str">
        <f>+'Water '!$C26</f>
        <v>0</v>
      </c>
      <c r="V15" s="110" t="str">
        <f>+'Water '!$C27</f>
        <v>0</v>
      </c>
      <c r="W15" s="110" t="str">
        <f>+'Water '!$C28</f>
        <v>0</v>
      </c>
      <c r="X15" s="110" t="str">
        <f>+'Water '!$C29</f>
        <v>0</v>
      </c>
      <c r="Y15" s="110" t="str">
        <f>+'Water '!$C30</f>
        <v>0</v>
      </c>
      <c r="Z15" s="110" t="str">
        <f>+'Water '!$C31</f>
        <v>0</v>
      </c>
      <c r="AA15" s="110" t="str">
        <f>+'Water '!$C32</f>
        <v>0</v>
      </c>
      <c r="AB15" s="110" t="str">
        <f>+'Water '!$C33</f>
        <v>0</v>
      </c>
      <c r="AC15" s="110" t="str">
        <f>+'Water '!$C34</f>
        <v>0</v>
      </c>
      <c r="AD15" s="110" t="str">
        <f>+'Water '!$C31</f>
        <v>0</v>
      </c>
      <c r="AE15" s="110" t="str">
        <f>+'Water '!$C32</f>
        <v>0</v>
      </c>
      <c r="AF15" s="110" t="str">
        <f>+'Water '!$C33</f>
        <v>0</v>
      </c>
      <c r="AG15" s="221">
        <f>SUM($B15:AF15)</f>
        <v>0</v>
      </c>
      <c r="AH15" s="222"/>
    </row>
    <row r="16" spans="1:37" ht="18" x14ac:dyDescent="0.25">
      <c r="A16" s="109" t="s">
        <v>125</v>
      </c>
      <c r="B16" s="110">
        <f>+'Water '!$D7</f>
        <v>446</v>
      </c>
      <c r="C16" s="110">
        <f>+'Water '!$D8</f>
        <v>96</v>
      </c>
      <c r="D16" s="110">
        <f>+'Water '!$D9</f>
        <v>207</v>
      </c>
      <c r="E16" s="110">
        <f>+'Water '!$D10</f>
        <v>71</v>
      </c>
      <c r="F16" s="110">
        <f>+'Water '!$D11</f>
        <v>82</v>
      </c>
      <c r="G16" s="110" t="str">
        <f>+'Water '!$D12</f>
        <v>0</v>
      </c>
      <c r="H16" s="110" t="str">
        <f>+'Water '!$D13</f>
        <v>0</v>
      </c>
      <c r="I16" s="110">
        <f>+'Water '!$D14</f>
        <v>182</v>
      </c>
      <c r="J16" s="110">
        <f>+'Water '!$D15</f>
        <v>333</v>
      </c>
      <c r="K16" s="110">
        <f>+'Water '!$D16</f>
        <v>183</v>
      </c>
      <c r="L16" s="110">
        <f>+'Water '!$D17</f>
        <v>54</v>
      </c>
      <c r="M16" s="111" t="str">
        <f>+'Water '!$D18</f>
        <v>0</v>
      </c>
      <c r="N16" s="110" t="str">
        <f>+'Water '!$D19</f>
        <v>0</v>
      </c>
      <c r="O16" s="110" t="str">
        <f>+'Water '!$D20</f>
        <v>0</v>
      </c>
      <c r="P16" s="110">
        <f>+'Water '!$D21</f>
        <v>249</v>
      </c>
      <c r="Q16" s="110">
        <f>+'Water '!$D22</f>
        <v>202</v>
      </c>
      <c r="R16" s="110">
        <f>+'Water '!$D23</f>
        <v>111</v>
      </c>
      <c r="S16" s="110">
        <f>+'Water '!$D24</f>
        <v>209</v>
      </c>
      <c r="T16" s="110">
        <f>+'Water '!$D25</f>
        <v>198</v>
      </c>
      <c r="U16" s="110" t="str">
        <f>+'Water '!$D26</f>
        <v>0</v>
      </c>
      <c r="V16" s="110">
        <f>+'Water '!$D27</f>
        <v>74</v>
      </c>
      <c r="W16" s="110">
        <f>+'Water '!$D28</f>
        <v>199</v>
      </c>
      <c r="X16" s="110">
        <f>+'Water '!$D29</f>
        <v>396</v>
      </c>
      <c r="Y16" s="110">
        <f>+'Water '!$D30</f>
        <v>102</v>
      </c>
      <c r="Z16" s="110">
        <f>+'Water '!$D31</f>
        <v>251</v>
      </c>
      <c r="AA16" s="110">
        <f>+'Water '!$D32</f>
        <v>141</v>
      </c>
      <c r="AB16" s="110" t="str">
        <f>+'Water '!$D33</f>
        <v>0</v>
      </c>
      <c r="AC16" s="110" t="str">
        <f>+'Water '!$D34</f>
        <v>0</v>
      </c>
      <c r="AD16" s="110">
        <f>+'Water '!$D31</f>
        <v>251</v>
      </c>
      <c r="AE16" s="110">
        <f>+'Water '!$D32</f>
        <v>141</v>
      </c>
      <c r="AF16" s="110" t="str">
        <f>+'Water '!$D33</f>
        <v>0</v>
      </c>
      <c r="AG16" s="221">
        <f>SUM($B16:AF16)</f>
        <v>4178</v>
      </c>
      <c r="AH16" s="222"/>
    </row>
    <row r="17" spans="1:37" ht="18" x14ac:dyDescent="0.25">
      <c r="A17" s="109" t="s">
        <v>126</v>
      </c>
      <c r="B17" s="112">
        <f>+'Water '!$E7</f>
        <v>244</v>
      </c>
      <c r="C17" s="113">
        <f>+'Water '!$E8</f>
        <v>137</v>
      </c>
      <c r="D17" s="112">
        <f>+'Water '!$E9</f>
        <v>175</v>
      </c>
      <c r="E17" s="112">
        <f>+'Water '!$E10</f>
        <v>290</v>
      </c>
      <c r="F17" s="112">
        <f>+'Water '!$E11</f>
        <v>254</v>
      </c>
      <c r="G17" s="112">
        <f>+'Water '!$E12</f>
        <v>89</v>
      </c>
      <c r="H17" s="114" t="str">
        <f>+'Water '!$E13</f>
        <v>0</v>
      </c>
      <c r="I17" s="113">
        <f>+'Water '!$E14</f>
        <v>145</v>
      </c>
      <c r="J17" s="114">
        <f>+'Water '!$E15</f>
        <v>52</v>
      </c>
      <c r="K17" s="114">
        <f>+'Water '!$E16</f>
        <v>109</v>
      </c>
      <c r="L17" s="114">
        <f>+'Water '!$E17</f>
        <v>231</v>
      </c>
      <c r="M17" s="115">
        <f>+'Water '!$E18</f>
        <v>80</v>
      </c>
      <c r="N17" s="112">
        <f>+'Water '!$E19</f>
        <v>76</v>
      </c>
      <c r="O17" s="114">
        <f>+'Water '!$E20</f>
        <v>68</v>
      </c>
      <c r="P17" s="114">
        <f>+'Water '!$E21</f>
        <v>103</v>
      </c>
      <c r="Q17" s="114">
        <f>+'Water '!$E22</f>
        <v>185</v>
      </c>
      <c r="R17" s="114">
        <f>+'Water '!$E23</f>
        <v>187</v>
      </c>
      <c r="S17" s="114">
        <f>+'Water '!$E24</f>
        <v>234</v>
      </c>
      <c r="T17" s="114">
        <f>+'Water '!$E25</f>
        <v>225</v>
      </c>
      <c r="U17" s="114" t="str">
        <f>+'Water '!$E26</f>
        <v>0</v>
      </c>
      <c r="V17" s="114">
        <f>+'Water '!$E27</f>
        <v>45</v>
      </c>
      <c r="W17" s="114">
        <f>+'Water '!$E28</f>
        <v>136</v>
      </c>
      <c r="X17" s="114">
        <f>+'Water '!$E29</f>
        <v>57</v>
      </c>
      <c r="Y17" s="116">
        <f>+'Water '!$E30</f>
        <v>121</v>
      </c>
      <c r="Z17" s="116">
        <f>+'Water '!$E31</f>
        <v>129</v>
      </c>
      <c r="AA17" s="112">
        <f>+'Water '!$E32</f>
        <v>183</v>
      </c>
      <c r="AB17" s="114">
        <f>+'Water '!$E33</f>
        <v>147</v>
      </c>
      <c r="AC17" s="114" t="str">
        <f>+'Water '!$E34</f>
        <v>0</v>
      </c>
      <c r="AD17" s="116">
        <f>+'Water '!$E31</f>
        <v>129</v>
      </c>
      <c r="AE17" s="112">
        <f>+'Water '!$E32</f>
        <v>183</v>
      </c>
      <c r="AF17" s="114">
        <f>+'Water '!$E33</f>
        <v>147</v>
      </c>
      <c r="AG17" s="223">
        <f>SUM($B17:AF17)</f>
        <v>4161</v>
      </c>
      <c r="AH17" s="224"/>
      <c r="AI17" s="269"/>
    </row>
    <row r="18" spans="1:37" s="78" customFormat="1" ht="20.25" x14ac:dyDescent="0.3">
      <c r="A18" s="117" t="s">
        <v>168</v>
      </c>
      <c r="B18" s="118">
        <f>SUM(B15:B17)</f>
        <v>690</v>
      </c>
      <c r="C18" s="118">
        <f t="shared" ref="C18:AC18" si="0">SUM(C15:C17)</f>
        <v>233</v>
      </c>
      <c r="D18" s="118">
        <f t="shared" si="0"/>
        <v>382</v>
      </c>
      <c r="E18" s="118">
        <f t="shared" si="0"/>
        <v>361</v>
      </c>
      <c r="F18" s="118">
        <f t="shared" si="0"/>
        <v>336</v>
      </c>
      <c r="G18" s="118">
        <f t="shared" si="0"/>
        <v>89</v>
      </c>
      <c r="H18" s="118">
        <f t="shared" si="0"/>
        <v>0</v>
      </c>
      <c r="I18" s="118">
        <f t="shared" si="0"/>
        <v>327</v>
      </c>
      <c r="J18" s="118">
        <f t="shared" si="0"/>
        <v>385</v>
      </c>
      <c r="K18" s="118">
        <f t="shared" si="0"/>
        <v>292</v>
      </c>
      <c r="L18" s="118">
        <f t="shared" si="0"/>
        <v>285</v>
      </c>
      <c r="M18" s="118">
        <f t="shared" si="0"/>
        <v>80</v>
      </c>
      <c r="N18" s="175">
        <f t="shared" si="0"/>
        <v>76</v>
      </c>
      <c r="O18" s="175">
        <f t="shared" si="0"/>
        <v>68</v>
      </c>
      <c r="P18" s="175">
        <f t="shared" si="0"/>
        <v>352</v>
      </c>
      <c r="Q18" s="175">
        <f t="shared" si="0"/>
        <v>387</v>
      </c>
      <c r="R18" s="175">
        <f t="shared" si="0"/>
        <v>298</v>
      </c>
      <c r="S18" s="175">
        <f t="shared" si="0"/>
        <v>443</v>
      </c>
      <c r="T18" s="175">
        <f t="shared" si="0"/>
        <v>423</v>
      </c>
      <c r="U18" s="175">
        <f t="shared" si="0"/>
        <v>0</v>
      </c>
      <c r="V18" s="175">
        <f t="shared" si="0"/>
        <v>119</v>
      </c>
      <c r="W18" s="175">
        <f t="shared" si="0"/>
        <v>335</v>
      </c>
      <c r="X18" s="175">
        <f t="shared" si="0"/>
        <v>453</v>
      </c>
      <c r="Y18" s="175">
        <f t="shared" si="0"/>
        <v>223</v>
      </c>
      <c r="Z18" s="175">
        <f t="shared" si="0"/>
        <v>380</v>
      </c>
      <c r="AA18" s="175">
        <f t="shared" si="0"/>
        <v>324</v>
      </c>
      <c r="AB18" s="175">
        <f t="shared" si="0"/>
        <v>147</v>
      </c>
      <c r="AC18" s="175">
        <f t="shared" si="0"/>
        <v>0</v>
      </c>
      <c r="AD18" s="175">
        <f t="shared" ref="AD18:AF18" si="1">SUM(AD15:AD17)</f>
        <v>380</v>
      </c>
      <c r="AE18" s="175">
        <f t="shared" si="1"/>
        <v>324</v>
      </c>
      <c r="AF18" s="175">
        <f t="shared" si="1"/>
        <v>147</v>
      </c>
      <c r="AG18" s="225">
        <f>SUM($B18:AF18)</f>
        <v>8339</v>
      </c>
      <c r="AH18" s="225"/>
      <c r="AI18" s="270"/>
      <c r="AJ18" s="271"/>
      <c r="AK18" s="271"/>
    </row>
    <row r="19" spans="1:37" ht="18" x14ac:dyDescent="0.25">
      <c r="A19" s="104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20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221"/>
      <c r="AH19" s="221"/>
      <c r="AI19" s="272"/>
    </row>
    <row r="20" spans="1:37" ht="18" hidden="1" x14ac:dyDescent="0.25">
      <c r="A20" s="10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20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221">
        <f>SUM($B20:AF20)</f>
        <v>0</v>
      </c>
      <c r="AH20" s="221"/>
      <c r="AI20" s="272"/>
    </row>
    <row r="21" spans="1:37" ht="18" x14ac:dyDescent="0.25">
      <c r="A21" s="121" t="s">
        <v>152</v>
      </c>
      <c r="B21" s="119">
        <f>0.73*(B96+B15)</f>
        <v>164.98</v>
      </c>
      <c r="C21" s="119">
        <f t="shared" ref="C21:AC21" si="2">0.73*(C96+C15)</f>
        <v>104.39</v>
      </c>
      <c r="D21" s="119">
        <f t="shared" si="2"/>
        <v>3.65</v>
      </c>
      <c r="E21" s="119">
        <f>0.73*(E96+E15)</f>
        <v>349.67</v>
      </c>
      <c r="F21" s="119">
        <f t="shared" si="2"/>
        <v>198.56</v>
      </c>
      <c r="G21" s="119">
        <f t="shared" si="2"/>
        <v>67.89</v>
      </c>
      <c r="H21" s="119">
        <f t="shared" si="2"/>
        <v>0</v>
      </c>
      <c r="I21" s="119">
        <f t="shared" si="2"/>
        <v>110.96</v>
      </c>
      <c r="J21" s="119">
        <f t="shared" si="2"/>
        <v>39.42</v>
      </c>
      <c r="K21" s="119">
        <f t="shared" si="2"/>
        <v>83.95</v>
      </c>
      <c r="L21" s="119">
        <f t="shared" si="2"/>
        <v>176.66</v>
      </c>
      <c r="M21" s="119">
        <f t="shared" si="2"/>
        <v>61.32</v>
      </c>
      <c r="N21" s="119">
        <f>0.73*(N96+N15)</f>
        <v>58.4</v>
      </c>
      <c r="O21" s="119">
        <f>0.73*(O96+O15)</f>
        <v>58.4</v>
      </c>
      <c r="P21" s="119">
        <f t="shared" si="2"/>
        <v>58.4</v>
      </c>
      <c r="Q21" s="119">
        <f>0.73*(Q96+Q15)</f>
        <v>58.4</v>
      </c>
      <c r="R21" s="119">
        <f t="shared" si="2"/>
        <v>58.4</v>
      </c>
      <c r="S21" s="119">
        <f t="shared" si="2"/>
        <v>58.4</v>
      </c>
      <c r="T21" s="119">
        <f t="shared" si="2"/>
        <v>177.39</v>
      </c>
      <c r="U21" s="119">
        <f t="shared" si="2"/>
        <v>0</v>
      </c>
      <c r="V21" s="119">
        <f t="shared" si="2"/>
        <v>37.96</v>
      </c>
      <c r="W21" s="119">
        <f>0.73*(W96+W15)</f>
        <v>103.66</v>
      </c>
      <c r="X21" s="119">
        <f t="shared" si="2"/>
        <v>43.07</v>
      </c>
      <c r="Y21" s="119">
        <f>0.73*(Y96+Y15)</f>
        <v>94.899999999999991</v>
      </c>
      <c r="Z21" s="119">
        <f t="shared" si="2"/>
        <v>96.36</v>
      </c>
      <c r="AA21" s="119">
        <f t="shared" si="2"/>
        <v>96.36</v>
      </c>
      <c r="AB21" s="119">
        <f t="shared" si="2"/>
        <v>96.36</v>
      </c>
      <c r="AC21" s="119">
        <f t="shared" si="2"/>
        <v>96.36</v>
      </c>
      <c r="AD21" s="119">
        <f t="shared" ref="AD21:AF21" si="3">0.73*(AD96+AD15)</f>
        <v>96.36</v>
      </c>
      <c r="AE21" s="119">
        <f t="shared" si="3"/>
        <v>96.36</v>
      </c>
      <c r="AF21" s="119">
        <f t="shared" si="3"/>
        <v>47.449999999999996</v>
      </c>
      <c r="AG21" s="221">
        <f>SUM($B21:AF21)</f>
        <v>2794.4400000000014</v>
      </c>
      <c r="AH21" s="226">
        <f>AG24+AG37+AG28</f>
        <v>8313</v>
      </c>
      <c r="AI21" s="272"/>
      <c r="AJ21" s="273">
        <f>(AH21*10)/AG9</f>
        <v>11.399424820649322</v>
      </c>
    </row>
    <row r="22" spans="1:37" ht="18" x14ac:dyDescent="0.25">
      <c r="A22" s="104"/>
      <c r="B22" s="95"/>
      <c r="C22" s="95"/>
      <c r="D22" s="95"/>
      <c r="E22" s="119">
        <f>0.73*(E97+E16)</f>
        <v>51.83</v>
      </c>
      <c r="F22" s="95"/>
      <c r="G22" s="95"/>
      <c r="H22" s="95"/>
      <c r="I22" s="95"/>
      <c r="J22" s="95"/>
      <c r="K22" s="95"/>
      <c r="L22" s="95"/>
      <c r="M22" s="96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212"/>
      <c r="AH22" s="212"/>
      <c r="AI22" s="272"/>
    </row>
    <row r="23" spans="1:37" ht="18" x14ac:dyDescent="0.25">
      <c r="A23" s="121" t="s">
        <v>131</v>
      </c>
      <c r="B23" s="119" t="str">
        <f>'Water '!R7</f>
        <v>0</v>
      </c>
      <c r="C23" s="119" t="str">
        <f>'Water '!R8</f>
        <v>0</v>
      </c>
      <c r="D23" s="119" t="str">
        <f>'Water '!R9</f>
        <v>0</v>
      </c>
      <c r="E23" s="119" t="str">
        <f>'Water '!R10</f>
        <v>0</v>
      </c>
      <c r="F23" s="119" t="str">
        <f>'Water '!R11</f>
        <v>0</v>
      </c>
      <c r="G23" s="119" t="str">
        <f>'Water '!R12</f>
        <v>0</v>
      </c>
      <c r="H23" s="119" t="str">
        <f>'Water '!R13</f>
        <v>0</v>
      </c>
      <c r="I23" s="119" t="str">
        <f>'Water '!R14</f>
        <v>0</v>
      </c>
      <c r="J23" s="119" t="str">
        <f>'Water '!R15</f>
        <v>0</v>
      </c>
      <c r="K23" s="119" t="str">
        <f>'Water '!R16</f>
        <v>0</v>
      </c>
      <c r="L23" s="119" t="str">
        <f>'Water '!R17</f>
        <v>0</v>
      </c>
      <c r="M23" s="120" t="str">
        <f>'Water '!R18</f>
        <v>0</v>
      </c>
      <c r="N23" s="119" t="str">
        <f>'Water '!R19</f>
        <v>0</v>
      </c>
      <c r="O23" s="119" t="str">
        <f>'Water '!R20</f>
        <v>0</v>
      </c>
      <c r="P23" s="119" t="str">
        <f>'Water '!R21</f>
        <v>0</v>
      </c>
      <c r="Q23" s="119" t="str">
        <f>'Water '!R22</f>
        <v>0</v>
      </c>
      <c r="R23" s="119" t="str">
        <f>'Water '!R23</f>
        <v>0</v>
      </c>
      <c r="S23" s="119" t="str">
        <f>'Water '!R24</f>
        <v>0</v>
      </c>
      <c r="T23" s="119" t="str">
        <f>'Water '!R25</f>
        <v>0</v>
      </c>
      <c r="U23" s="119" t="str">
        <f>'Water '!R26</f>
        <v>0</v>
      </c>
      <c r="V23" s="119" t="str">
        <f>'Water '!R27</f>
        <v>0</v>
      </c>
      <c r="W23" s="119" t="str">
        <f>'Water '!R28</f>
        <v>0</v>
      </c>
      <c r="X23" s="119" t="str">
        <f>'Water '!R29</f>
        <v>0</v>
      </c>
      <c r="Y23" s="119" t="str">
        <f>'Water '!R30</f>
        <v>0</v>
      </c>
      <c r="Z23" s="119" t="str">
        <f>'Water '!R31</f>
        <v>0</v>
      </c>
      <c r="AA23" s="119" t="str">
        <f>'Water '!R32</f>
        <v>0</v>
      </c>
      <c r="AB23" s="119" t="str">
        <f>'Water '!R33</f>
        <v>0</v>
      </c>
      <c r="AC23" s="119" t="str">
        <f>'Water '!R34</f>
        <v>0</v>
      </c>
      <c r="AD23" s="119">
        <f>'Water '!V31</f>
        <v>30</v>
      </c>
      <c r="AE23" s="119">
        <f>'Water '!V32</f>
        <v>69</v>
      </c>
      <c r="AF23" s="119" t="str">
        <f>'Water '!V33</f>
        <v>0</v>
      </c>
      <c r="AG23" s="221">
        <f>SUM($B23:AF23)</f>
        <v>99</v>
      </c>
      <c r="AH23" s="221"/>
      <c r="AI23" s="272"/>
    </row>
    <row r="24" spans="1:37" ht="18" x14ac:dyDescent="0.25">
      <c r="A24" s="122" t="s">
        <v>166</v>
      </c>
      <c r="B24" s="112">
        <f>'Water '!H7</f>
        <v>252</v>
      </c>
      <c r="C24" s="112">
        <f>'Water '!H8</f>
        <v>242</v>
      </c>
      <c r="D24" s="112">
        <f>'Water '!H9</f>
        <v>170</v>
      </c>
      <c r="E24" s="112">
        <f>'Water '!H10</f>
        <v>223</v>
      </c>
      <c r="F24" s="112">
        <f>'Water '!H11</f>
        <v>178</v>
      </c>
      <c r="G24" s="112">
        <f>'Water '!H12</f>
        <v>83</v>
      </c>
      <c r="H24" s="112">
        <f>'Water '!H13</f>
        <v>0</v>
      </c>
      <c r="I24" s="112">
        <f>'Water '!H14</f>
        <v>166</v>
      </c>
      <c r="J24" s="112">
        <f>'Water '!H15</f>
        <v>206</v>
      </c>
      <c r="K24" s="112">
        <f>'Water '!H16</f>
        <v>204</v>
      </c>
      <c r="L24" s="112">
        <f>'Water '!H17</f>
        <v>98</v>
      </c>
      <c r="M24" s="123">
        <f>'Water '!H18</f>
        <v>81</v>
      </c>
      <c r="N24" s="112">
        <f>'Water '!H19</f>
        <v>22</v>
      </c>
      <c r="O24" s="112">
        <f>'Water '!H20</f>
        <v>74</v>
      </c>
      <c r="P24" s="112">
        <f>'Water '!H21</f>
        <v>249</v>
      </c>
      <c r="Q24" s="112">
        <f>'Water '!H22</f>
        <v>201</v>
      </c>
      <c r="R24" s="112">
        <f>'Water '!H23</f>
        <v>240</v>
      </c>
      <c r="S24" s="112">
        <f>'Water '!H24</f>
        <v>291</v>
      </c>
      <c r="T24" s="112">
        <f>'Water '!H25</f>
        <v>210</v>
      </c>
      <c r="U24" s="112">
        <f>'Water '!H26</f>
        <v>37</v>
      </c>
      <c r="V24" s="112">
        <f>'Water '!H27</f>
        <v>23</v>
      </c>
      <c r="W24" s="112">
        <f>'Water '!H28</f>
        <v>267</v>
      </c>
      <c r="X24" s="112">
        <f>'Water '!H29</f>
        <v>259</v>
      </c>
      <c r="Y24" s="112">
        <f>'Water '!H30</f>
        <v>102</v>
      </c>
      <c r="Z24" s="112">
        <f>'Water '!H31</f>
        <v>196</v>
      </c>
      <c r="AA24" s="112">
        <f>'Water '!H32</f>
        <v>240</v>
      </c>
      <c r="AB24" s="112">
        <f>'Water '!H33</f>
        <v>68</v>
      </c>
      <c r="AC24" s="112">
        <f>'Water '!H34</f>
        <v>19</v>
      </c>
      <c r="AD24" s="112" t="str">
        <f>'Water '!L31</f>
        <v>0</v>
      </c>
      <c r="AE24" s="112" t="str">
        <f>'Water '!L32</f>
        <v>0</v>
      </c>
      <c r="AF24" s="112" t="str">
        <f>'Water '!L33</f>
        <v>0</v>
      </c>
      <c r="AG24" s="223">
        <f>SUM($B24:AF24)</f>
        <v>4401</v>
      </c>
      <c r="AH24" s="223"/>
      <c r="AI24" s="223"/>
    </row>
    <row r="25" spans="1:37" s="78" customFormat="1" ht="20.25" x14ac:dyDescent="0.3">
      <c r="A25" s="124" t="s">
        <v>153</v>
      </c>
      <c r="B25" s="118">
        <f>SUM(B23:B24)</f>
        <v>252</v>
      </c>
      <c r="C25" s="118">
        <f t="shared" ref="C25:AC25" si="4">SUM(C23:C24)</f>
        <v>242</v>
      </c>
      <c r="D25" s="118">
        <f t="shared" si="4"/>
        <v>170</v>
      </c>
      <c r="E25" s="118">
        <f t="shared" si="4"/>
        <v>223</v>
      </c>
      <c r="F25" s="118">
        <f t="shared" si="4"/>
        <v>178</v>
      </c>
      <c r="G25" s="118">
        <f t="shared" si="4"/>
        <v>83</v>
      </c>
      <c r="H25" s="118">
        <f t="shared" si="4"/>
        <v>0</v>
      </c>
      <c r="I25" s="118">
        <f t="shared" si="4"/>
        <v>166</v>
      </c>
      <c r="J25" s="118">
        <f t="shared" si="4"/>
        <v>206</v>
      </c>
      <c r="K25" s="118">
        <f t="shared" si="4"/>
        <v>204</v>
      </c>
      <c r="L25" s="118">
        <f t="shared" si="4"/>
        <v>98</v>
      </c>
      <c r="M25" s="118">
        <f t="shared" si="4"/>
        <v>81</v>
      </c>
      <c r="N25" s="118">
        <f t="shared" si="4"/>
        <v>22</v>
      </c>
      <c r="O25" s="118">
        <f t="shared" si="4"/>
        <v>74</v>
      </c>
      <c r="P25" s="118">
        <f t="shared" si="4"/>
        <v>249</v>
      </c>
      <c r="Q25" s="118">
        <f t="shared" si="4"/>
        <v>201</v>
      </c>
      <c r="R25" s="118">
        <f t="shared" si="4"/>
        <v>240</v>
      </c>
      <c r="S25" s="118">
        <f t="shared" si="4"/>
        <v>291</v>
      </c>
      <c r="T25" s="118">
        <f t="shared" si="4"/>
        <v>210</v>
      </c>
      <c r="U25" s="118">
        <f t="shared" si="4"/>
        <v>37</v>
      </c>
      <c r="V25" s="118">
        <f t="shared" si="4"/>
        <v>23</v>
      </c>
      <c r="W25" s="118">
        <f t="shared" si="4"/>
        <v>267</v>
      </c>
      <c r="X25" s="118">
        <f t="shared" si="4"/>
        <v>259</v>
      </c>
      <c r="Y25" s="118">
        <f t="shared" si="4"/>
        <v>102</v>
      </c>
      <c r="Z25" s="118">
        <f t="shared" si="4"/>
        <v>196</v>
      </c>
      <c r="AA25" s="118">
        <f t="shared" si="4"/>
        <v>240</v>
      </c>
      <c r="AB25" s="118">
        <f t="shared" si="4"/>
        <v>68</v>
      </c>
      <c r="AC25" s="118">
        <f t="shared" si="4"/>
        <v>19</v>
      </c>
      <c r="AD25" s="118">
        <f t="shared" ref="AD25:AF25" si="5">SUM(AD23:AD24)</f>
        <v>30</v>
      </c>
      <c r="AE25" s="118">
        <f t="shared" si="5"/>
        <v>69</v>
      </c>
      <c r="AF25" s="118">
        <f t="shared" si="5"/>
        <v>0</v>
      </c>
      <c r="AG25" s="225">
        <f>SUM($B25:AF25)</f>
        <v>4500</v>
      </c>
      <c r="AH25" s="225"/>
      <c r="AI25" s="270"/>
      <c r="AJ25" s="271"/>
      <c r="AK25" s="271"/>
    </row>
    <row r="26" spans="1:37" ht="18" x14ac:dyDescent="0.25">
      <c r="A26" s="109"/>
      <c r="B26" s="125">
        <f>IF(B$9=0,"",+(B25*10)/B$9)</f>
        <v>6.447453255963894</v>
      </c>
      <c r="C26" s="125">
        <f t="shared" ref="C26:AC26" si="6">IF(C$9=0,"",+(C25*10)/C$9)</f>
        <v>7.7716546559276525</v>
      </c>
      <c r="D26" s="125">
        <f t="shared" si="6"/>
        <v>5.7074176285344018</v>
      </c>
      <c r="E26" s="125">
        <f>IF(E$9=0,"",+(E25*10)/E$9)</f>
        <v>5.6872376347212237</v>
      </c>
      <c r="F26" s="125">
        <f t="shared" si="6"/>
        <v>6.484659045370754</v>
      </c>
      <c r="G26" s="125" t="str">
        <f t="shared" si="6"/>
        <v/>
      </c>
      <c r="H26" s="125" t="str">
        <f t="shared" si="6"/>
        <v/>
      </c>
      <c r="I26" s="125">
        <f t="shared" si="6"/>
        <v>5.4182497095034794</v>
      </c>
      <c r="J26" s="125">
        <f t="shared" si="6"/>
        <v>5.7206967031013951</v>
      </c>
      <c r="K26" s="125">
        <f t="shared" si="6"/>
        <v>6.3585868975706452</v>
      </c>
      <c r="L26" s="125">
        <f>IF(L$9=0,"",+(L25*10)/L$9)</f>
        <v>172.6568005637773</v>
      </c>
      <c r="M26" s="125">
        <f t="shared" si="6"/>
        <v>12.484971793211875</v>
      </c>
      <c r="N26" s="125" t="str">
        <f t="shared" si="6"/>
        <v/>
      </c>
      <c r="O26" s="125" t="str">
        <f>IF(O$9=0,"",+(O25*10)/O$9)</f>
        <v/>
      </c>
      <c r="P26" s="125">
        <f t="shared" si="6"/>
        <v>4.8029516742047935</v>
      </c>
      <c r="Q26" s="125">
        <f t="shared" si="6"/>
        <v>4.5440980982610348</v>
      </c>
      <c r="R26" s="125">
        <f t="shared" si="6"/>
        <v>5.4575471054534539</v>
      </c>
      <c r="S26" s="125">
        <f t="shared" si="6"/>
        <v>3.5747453454604421</v>
      </c>
      <c r="T26" s="125">
        <f t="shared" si="6"/>
        <v>4.0048057669203043</v>
      </c>
      <c r="U26" s="125" t="str">
        <f t="shared" si="6"/>
        <v/>
      </c>
      <c r="V26" s="125" t="str">
        <f t="shared" si="6"/>
        <v/>
      </c>
      <c r="W26" s="125">
        <f t="shared" si="6"/>
        <v>7.6401407846167047</v>
      </c>
      <c r="X26" s="125">
        <f t="shared" si="6"/>
        <v>5.3485653867281231</v>
      </c>
      <c r="Y26" s="125" t="str">
        <f t="shared" si="6"/>
        <v/>
      </c>
      <c r="Z26" s="125">
        <f t="shared" si="6"/>
        <v>6.9272147648634697</v>
      </c>
      <c r="AA26" s="125">
        <f t="shared" si="6"/>
        <v>4.5867351619117507</v>
      </c>
      <c r="AB26" s="125" t="str">
        <f t="shared" si="6"/>
        <v/>
      </c>
      <c r="AC26" s="125" t="str">
        <f t="shared" si="6"/>
        <v/>
      </c>
      <c r="AD26" s="125" t="str">
        <f t="shared" ref="AD26:AF26" si="7">IF(AD$9=0,"",+(AD25*10)/AD$9)</f>
        <v/>
      </c>
      <c r="AE26" s="125" t="str">
        <f t="shared" si="7"/>
        <v/>
      </c>
      <c r="AF26" s="125">
        <f t="shared" si="7"/>
        <v>0</v>
      </c>
      <c r="AG26" s="227"/>
      <c r="AH26" s="227"/>
      <c r="AI26" s="272"/>
    </row>
    <row r="27" spans="1:37" ht="18" x14ac:dyDescent="0.25">
      <c r="A27" s="126" t="s">
        <v>169</v>
      </c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20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221">
        <f>SUM($B27:AF27)</f>
        <v>0</v>
      </c>
      <c r="AH27" s="221"/>
      <c r="AI27" s="272"/>
    </row>
    <row r="28" spans="1:37" ht="18" x14ac:dyDescent="0.25">
      <c r="A28" s="109" t="s">
        <v>127</v>
      </c>
      <c r="B28" s="127">
        <f>+'Water '!$J7</f>
        <v>166</v>
      </c>
      <c r="C28" s="127">
        <f>+'Water '!$J8</f>
        <v>208</v>
      </c>
      <c r="D28" s="127">
        <f>+'Water '!$J9</f>
        <v>165</v>
      </c>
      <c r="E28" s="127">
        <f>+'Water '!$J10</f>
        <v>180</v>
      </c>
      <c r="F28" s="127">
        <f>+'Water '!$J11</f>
        <v>207</v>
      </c>
      <c r="G28" s="127" t="str">
        <f>+'Water '!$J12</f>
        <v>0</v>
      </c>
      <c r="H28" s="111" t="str">
        <f>+'Water '!$J13</f>
        <v>0</v>
      </c>
      <c r="I28" s="127">
        <f>+'Water '!$J14</f>
        <v>191</v>
      </c>
      <c r="J28" s="127">
        <f>+'Water '!$J15</f>
        <v>211</v>
      </c>
      <c r="K28" s="127">
        <f>+'Water '!$J16</f>
        <v>189</v>
      </c>
      <c r="L28" s="128">
        <f>+'Water '!$J17</f>
        <v>164</v>
      </c>
      <c r="M28" s="111">
        <f>+'Water '!$J18</f>
        <v>50</v>
      </c>
      <c r="N28" s="127" t="str">
        <f>+'Water '!$J19</f>
        <v>0</v>
      </c>
      <c r="O28" s="127">
        <f>+'Water '!$J20</f>
        <v>6</v>
      </c>
      <c r="P28" s="127">
        <f>+'Water '!$J21</f>
        <v>100</v>
      </c>
      <c r="Q28" s="127">
        <f>+'Water '!$J22</f>
        <v>119</v>
      </c>
      <c r="R28" s="110">
        <f>+'Water '!$J23</f>
        <v>149</v>
      </c>
      <c r="S28" s="128">
        <f>+'Water '!$J24</f>
        <v>162</v>
      </c>
      <c r="T28" s="127">
        <f>+'Water '!$J25</f>
        <v>168</v>
      </c>
      <c r="U28" s="127" t="str">
        <f>+'Water '!$J26</f>
        <v>0</v>
      </c>
      <c r="V28" s="127">
        <f>+'Water '!$J27</f>
        <v>1</v>
      </c>
      <c r="W28" s="127">
        <f>+'Water '!$J28</f>
        <v>131</v>
      </c>
      <c r="X28" s="127">
        <f>+'Water '!$J29</f>
        <v>192</v>
      </c>
      <c r="Y28" s="127">
        <f>+'Water '!$J30</f>
        <v>163</v>
      </c>
      <c r="Z28" s="127">
        <f>+'Water '!$J31</f>
        <v>179</v>
      </c>
      <c r="AA28" s="127">
        <f>+'Water '!$J32</f>
        <v>113</v>
      </c>
      <c r="AB28" s="128">
        <f>+'Water '!$J33</f>
        <v>35</v>
      </c>
      <c r="AC28" s="127">
        <f>+'Water '!$J34</f>
        <v>1</v>
      </c>
      <c r="AD28" s="127">
        <f>+'Water '!$J31</f>
        <v>179</v>
      </c>
      <c r="AE28" s="127">
        <f>+'Water '!$J32</f>
        <v>113</v>
      </c>
      <c r="AF28" s="128">
        <f>+'Water '!$J33</f>
        <v>35</v>
      </c>
      <c r="AG28" s="221">
        <f>SUM($B28:AF28)</f>
        <v>3577</v>
      </c>
      <c r="AH28" s="221"/>
      <c r="AI28" s="272"/>
    </row>
    <row r="29" spans="1:37" ht="17.25" customHeight="1" x14ac:dyDescent="0.25">
      <c r="A29" s="121" t="s">
        <v>173</v>
      </c>
      <c r="B29" s="119" t="str">
        <f>'Water '!X7</f>
        <v>0</v>
      </c>
      <c r="C29" s="119" t="str">
        <f>'Water '!X8</f>
        <v>0</v>
      </c>
      <c r="D29" s="119" t="str">
        <f>'Water '!X9</f>
        <v>0</v>
      </c>
      <c r="E29" s="119" t="str">
        <f>'Water '!X10</f>
        <v>0</v>
      </c>
      <c r="F29" s="119" t="str">
        <f>'Water '!X11</f>
        <v>0</v>
      </c>
      <c r="G29" s="119" t="str">
        <f>'Water '!X12</f>
        <v>0</v>
      </c>
      <c r="H29" s="119" t="str">
        <f>'Water '!X13</f>
        <v>0</v>
      </c>
      <c r="I29" s="119" t="str">
        <f>'Water '!X14</f>
        <v>0</v>
      </c>
      <c r="J29" s="119" t="str">
        <f>'Water '!X15</f>
        <v>0</v>
      </c>
      <c r="K29" s="119" t="str">
        <f>'Water '!X16</f>
        <v>0</v>
      </c>
      <c r="L29" s="119" t="str">
        <f>'Water '!X17</f>
        <v>0</v>
      </c>
      <c r="M29" s="119" t="str">
        <f>'Water '!X18</f>
        <v>0</v>
      </c>
      <c r="N29" s="119" t="str">
        <f>'Water '!X19</f>
        <v>0</v>
      </c>
      <c r="O29" s="119" t="str">
        <f>'Water '!X20</f>
        <v>0</v>
      </c>
      <c r="P29" s="119" t="str">
        <f>'Water '!X21</f>
        <v>0</v>
      </c>
      <c r="Q29" s="119" t="str">
        <f>'Water '!X22</f>
        <v>0</v>
      </c>
      <c r="R29" s="119" t="str">
        <f>'Water '!X23</f>
        <v>0</v>
      </c>
      <c r="S29" s="119" t="str">
        <f>'Water '!X24</f>
        <v>0</v>
      </c>
      <c r="T29" s="119" t="str">
        <f>'Water '!X25</f>
        <v>0</v>
      </c>
      <c r="U29" s="119" t="str">
        <f>'Water '!X26</f>
        <v>0</v>
      </c>
      <c r="V29" s="119" t="str">
        <f>'Water '!X27</f>
        <v>0</v>
      </c>
      <c r="W29" s="119" t="str">
        <f>'Water '!X28</f>
        <v>0</v>
      </c>
      <c r="X29" s="119" t="str">
        <f>'Water '!X29</f>
        <v>0</v>
      </c>
      <c r="Y29" s="119" t="str">
        <f>'Water '!X30</f>
        <v>0</v>
      </c>
      <c r="Z29" s="119" t="str">
        <f>'Water '!X31</f>
        <v>0</v>
      </c>
      <c r="AA29" s="119" t="str">
        <f>'Water '!X32</f>
        <v>0</v>
      </c>
      <c r="AB29" s="119" t="str">
        <f>'Water '!X33</f>
        <v>0</v>
      </c>
      <c r="AC29" s="119" t="str">
        <f>'Water '!X34</f>
        <v>0</v>
      </c>
      <c r="AD29" s="119">
        <f>'Water '!AB31</f>
        <v>13.430314340041422</v>
      </c>
      <c r="AE29" s="119">
        <f>'Water '!AB32</f>
        <v>6.1920924685808636</v>
      </c>
      <c r="AF29" s="119" t="str">
        <f>'Water '!AB33</f>
        <v>0</v>
      </c>
      <c r="AG29" s="221">
        <f>SUM($B29:AF29)</f>
        <v>19.622406808622287</v>
      </c>
      <c r="AH29" s="221"/>
      <c r="AI29" s="272"/>
    </row>
    <row r="30" spans="1:37" ht="17.25" customHeight="1" x14ac:dyDescent="0.25">
      <c r="A30" s="129" t="s">
        <v>189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221"/>
      <c r="AH30" s="221"/>
      <c r="AI30" s="272"/>
    </row>
    <row r="31" spans="1:37" ht="18" x14ac:dyDescent="0.25">
      <c r="A31" s="130" t="s">
        <v>172</v>
      </c>
      <c r="B31" s="131" t="str">
        <f>+'Water '!$K7</f>
        <v>0</v>
      </c>
      <c r="C31" s="131" t="str">
        <f>+'Water '!$K8</f>
        <v>0</v>
      </c>
      <c r="D31" s="131" t="str">
        <f>+'Water '!$K9</f>
        <v>0</v>
      </c>
      <c r="E31" s="131" t="str">
        <f>+'Water '!$K10</f>
        <v>0</v>
      </c>
      <c r="F31" s="131" t="str">
        <f>+'Water '!$K11</f>
        <v>0</v>
      </c>
      <c r="G31" s="131" t="str">
        <f>+'Water '!$K12</f>
        <v>0</v>
      </c>
      <c r="H31" s="131" t="str">
        <f>+'Water '!$K13</f>
        <v>0</v>
      </c>
      <c r="I31" s="131" t="str">
        <f>+'Water '!$K14</f>
        <v>0</v>
      </c>
      <c r="J31" s="131" t="str">
        <f>+'Water '!$K15</f>
        <v>0</v>
      </c>
      <c r="K31" s="131" t="str">
        <f>+'Water '!$K16</f>
        <v>0</v>
      </c>
      <c r="L31" s="131" t="str">
        <f>+'Water '!$K17</f>
        <v>0</v>
      </c>
      <c r="M31" s="131" t="str">
        <f>+'Water '!$K18</f>
        <v>0</v>
      </c>
      <c r="N31" s="131" t="str">
        <f>+'Water '!$K19</f>
        <v>0</v>
      </c>
      <c r="O31" s="131" t="str">
        <f>+'Water '!$K19</f>
        <v>0</v>
      </c>
      <c r="P31" s="131" t="str">
        <f>+'Water '!$K19</f>
        <v>0</v>
      </c>
      <c r="Q31" s="131" t="str">
        <f>+'Water '!$K22</f>
        <v>0</v>
      </c>
      <c r="R31" s="131" t="str">
        <f>+'Water '!$K22</f>
        <v>0</v>
      </c>
      <c r="S31" s="131" t="str">
        <f>+'Water '!$K22</f>
        <v>0</v>
      </c>
      <c r="T31" s="131" t="str">
        <f>+'Water '!$K25</f>
        <v>0</v>
      </c>
      <c r="U31" s="131" t="str">
        <f>+'Water '!$K26</f>
        <v>0</v>
      </c>
      <c r="V31" s="131" t="str">
        <f>+'Water '!$K27</f>
        <v>0</v>
      </c>
      <c r="W31" s="131" t="str">
        <f>+'Water '!$K28</f>
        <v>0</v>
      </c>
      <c r="X31" s="131" t="str">
        <f>+'Water '!$K29</f>
        <v>0</v>
      </c>
      <c r="Y31" s="131" t="str">
        <f>+'Water '!$K30</f>
        <v>0</v>
      </c>
      <c r="Z31" s="131" t="str">
        <f>+'Water '!$K31</f>
        <v>0</v>
      </c>
      <c r="AA31" s="131" t="str">
        <f>+'Water '!$K32</f>
        <v>0</v>
      </c>
      <c r="AB31" s="131" t="str">
        <f>+'Water '!$K33</f>
        <v>0</v>
      </c>
      <c r="AC31" s="131" t="str">
        <f>+'Water '!$K34</f>
        <v>0</v>
      </c>
      <c r="AD31" s="131" t="str">
        <f>+'Water '!$K31</f>
        <v>0</v>
      </c>
      <c r="AE31" s="131" t="str">
        <f>+'Water '!$K32</f>
        <v>0</v>
      </c>
      <c r="AF31" s="131" t="str">
        <f>+'Water '!$K33</f>
        <v>0</v>
      </c>
      <c r="AG31" s="228">
        <f>SUM($B31:AF31)</f>
        <v>0</v>
      </c>
      <c r="AH31" s="228"/>
      <c r="AI31" s="228"/>
    </row>
    <row r="32" spans="1:37" ht="17.25" customHeight="1" x14ac:dyDescent="0.25">
      <c r="A32" s="132" t="s">
        <v>174</v>
      </c>
      <c r="B32" s="133" t="str">
        <f>'Water '!L7</f>
        <v>0</v>
      </c>
      <c r="C32" s="133" t="str">
        <f>'Water '!L8</f>
        <v>0</v>
      </c>
      <c r="D32" s="133" t="str">
        <f>'Water '!L9</f>
        <v>0</v>
      </c>
      <c r="E32" s="133" t="str">
        <f>'Water '!L10</f>
        <v>0</v>
      </c>
      <c r="F32" s="133" t="str">
        <f>'Water '!L11</f>
        <v>0</v>
      </c>
      <c r="G32" s="133" t="str">
        <f>'Water '!L12</f>
        <v>0</v>
      </c>
      <c r="H32" s="133" t="str">
        <f>'Water '!L13</f>
        <v>0</v>
      </c>
      <c r="I32" s="133" t="str">
        <f>'Water '!L14</f>
        <v>0</v>
      </c>
      <c r="J32" s="133" t="str">
        <f>'Water '!L15</f>
        <v>0</v>
      </c>
      <c r="K32" s="133" t="str">
        <f>'Water '!L16</f>
        <v>0</v>
      </c>
      <c r="L32" s="133" t="str">
        <f>'Water '!L17</f>
        <v>0</v>
      </c>
      <c r="M32" s="133" t="str">
        <f>'Water '!L18</f>
        <v>0</v>
      </c>
      <c r="N32" s="133" t="str">
        <f>'Water '!L19</f>
        <v>0</v>
      </c>
      <c r="O32" s="133" t="str">
        <f>'Water '!M19</f>
        <v>0</v>
      </c>
      <c r="P32" s="133" t="str">
        <f>'Water '!N19</f>
        <v>0</v>
      </c>
      <c r="Q32" s="133" t="str">
        <f>'Water '!L22</f>
        <v>0</v>
      </c>
      <c r="R32" s="133">
        <f>'Water '!M22</f>
        <v>11</v>
      </c>
      <c r="S32" s="133">
        <f>'Water '!N22</f>
        <v>37</v>
      </c>
      <c r="T32" s="133" t="str">
        <f>'Water '!L25</f>
        <v>0</v>
      </c>
      <c r="U32" s="133" t="str">
        <f>'Water '!L26</f>
        <v>0</v>
      </c>
      <c r="V32" s="133" t="str">
        <f>'Water '!L27</f>
        <v>0</v>
      </c>
      <c r="W32" s="133" t="str">
        <f>'Water '!L28</f>
        <v>0</v>
      </c>
      <c r="X32" s="133" t="str">
        <f>'Water '!L29</f>
        <v>0</v>
      </c>
      <c r="Y32" s="133" t="str">
        <f>'Water '!L30</f>
        <v>0</v>
      </c>
      <c r="Z32" s="133" t="str">
        <f>'Water '!L31</f>
        <v>0</v>
      </c>
      <c r="AA32" s="133" t="str">
        <f>'Water '!L32</f>
        <v>0</v>
      </c>
      <c r="AB32" s="133" t="str">
        <f>'Water '!L33</f>
        <v>0</v>
      </c>
      <c r="AC32" s="133" t="str">
        <f>'Water '!L34</f>
        <v>0</v>
      </c>
      <c r="AD32" s="133">
        <f>'Water '!P31</f>
        <v>18</v>
      </c>
      <c r="AE32" s="133">
        <f>'Water '!P32</f>
        <v>26</v>
      </c>
      <c r="AF32" s="133">
        <f>'Water '!P33</f>
        <v>1</v>
      </c>
      <c r="AG32" s="228">
        <f>SUM($B32:AF32)</f>
        <v>93</v>
      </c>
      <c r="AH32" s="228"/>
      <c r="AI32" s="228"/>
    </row>
    <row r="33" spans="1:37" ht="18" x14ac:dyDescent="0.25">
      <c r="A33" s="132" t="s">
        <v>100</v>
      </c>
      <c r="B33" s="131">
        <f>+'Water '!$N7</f>
        <v>86</v>
      </c>
      <c r="C33" s="131">
        <f>+'Water '!$N8</f>
        <v>72</v>
      </c>
      <c r="D33" s="131">
        <f>+'Water '!$N9</f>
        <v>22</v>
      </c>
      <c r="E33" s="131">
        <f>+'Water '!$N10</f>
        <v>68</v>
      </c>
      <c r="F33" s="131">
        <f>+'Water '!$N11</f>
        <v>52</v>
      </c>
      <c r="G33" s="131" t="str">
        <f>+'Water '!$N12</f>
        <v>0</v>
      </c>
      <c r="H33" s="131" t="str">
        <f>+'Water '!$N13</f>
        <v>0</v>
      </c>
      <c r="I33" s="131">
        <f>+'Water '!$N14</f>
        <v>12</v>
      </c>
      <c r="J33" s="131">
        <f>+'Water '!$N15</f>
        <v>30</v>
      </c>
      <c r="K33" s="131">
        <f>+'Water '!$N16</f>
        <v>49</v>
      </c>
      <c r="L33" s="131">
        <f>+'Water '!$N17</f>
        <v>30</v>
      </c>
      <c r="M33" s="131">
        <f>+'Water '!$N18</f>
        <v>12</v>
      </c>
      <c r="N33" s="131" t="str">
        <f>+'Water '!$N19</f>
        <v>0</v>
      </c>
      <c r="O33" s="131" t="str">
        <f>+'Water '!$N19</f>
        <v>0</v>
      </c>
      <c r="P33" s="131" t="str">
        <f>+'Water '!$N19</f>
        <v>0</v>
      </c>
      <c r="Q33" s="131">
        <f>+'Water '!$N22</f>
        <v>37</v>
      </c>
      <c r="R33" s="131">
        <f>+'Water '!$N22</f>
        <v>37</v>
      </c>
      <c r="S33" s="131">
        <f>+'Water '!$N22</f>
        <v>37</v>
      </c>
      <c r="T33" s="131">
        <f>+'Water '!$N25</f>
        <v>39</v>
      </c>
      <c r="U33" s="131" t="str">
        <f>+'Water '!$N26</f>
        <v>0</v>
      </c>
      <c r="V33" s="131" t="str">
        <f>+'Water '!$N27</f>
        <v>0</v>
      </c>
      <c r="W33" s="131">
        <f>+'Water '!$N28</f>
        <v>42</v>
      </c>
      <c r="X33" s="131">
        <f>+'Water '!$N29</f>
        <v>65</v>
      </c>
      <c r="Y33" s="131">
        <f>+'Water '!$N30</f>
        <v>57</v>
      </c>
      <c r="Z33" s="131">
        <f>+'Water '!$N31</f>
        <v>45</v>
      </c>
      <c r="AA33" s="131">
        <f>+'Water '!$N32</f>
        <v>51</v>
      </c>
      <c r="AB33" s="131" t="str">
        <f>+'Water '!$N33</f>
        <v>0</v>
      </c>
      <c r="AC33" s="131" t="str">
        <f>+'Water '!$N34</f>
        <v>0</v>
      </c>
      <c r="AD33" s="131">
        <f>+'Water '!$N31</f>
        <v>45</v>
      </c>
      <c r="AE33" s="131">
        <f>+'Water '!$N32</f>
        <v>51</v>
      </c>
      <c r="AF33" s="131" t="str">
        <f>+'Water '!$N33</f>
        <v>0</v>
      </c>
      <c r="AG33" s="228">
        <f>SUM($B33:AF33)</f>
        <v>939</v>
      </c>
      <c r="AH33" s="228"/>
      <c r="AI33" s="228"/>
      <c r="AJ33" s="265">
        <f>34294/2.2</f>
        <v>15588.181818181816</v>
      </c>
    </row>
    <row r="34" spans="1:37" ht="18" x14ac:dyDescent="0.25">
      <c r="A34" s="121" t="s">
        <v>129</v>
      </c>
      <c r="B34" s="134">
        <f>+'Water '!$O7</f>
        <v>78</v>
      </c>
      <c r="C34" s="134">
        <f>+'Water '!$O8</f>
        <v>70</v>
      </c>
      <c r="D34" s="134">
        <f>+'Water '!$O9</f>
        <v>68</v>
      </c>
      <c r="E34" s="134">
        <f>+'Water '!$O10</f>
        <v>75</v>
      </c>
      <c r="F34" s="134">
        <f>+'Water '!$O11</f>
        <v>59</v>
      </c>
      <c r="G34" s="134">
        <f>+'Water '!$O12</f>
        <v>40</v>
      </c>
      <c r="H34" s="134" t="str">
        <f>+'Water '!$O13</f>
        <v>0</v>
      </c>
      <c r="I34" s="134">
        <f>+'Water '!$O14</f>
        <v>64</v>
      </c>
      <c r="J34" s="134">
        <f>+'Water '!$O15</f>
        <v>75</v>
      </c>
      <c r="K34" s="134">
        <f>+'Water '!$O16</f>
        <v>70</v>
      </c>
      <c r="L34" s="134">
        <f>+'Water '!$O17</f>
        <v>21</v>
      </c>
      <c r="M34" s="134">
        <f>+'Water '!$O18</f>
        <v>23</v>
      </c>
      <c r="N34" s="134">
        <f>+'Water '!$O19</f>
        <v>4</v>
      </c>
      <c r="O34" s="134">
        <f>+'Water '!$O19</f>
        <v>4</v>
      </c>
      <c r="P34" s="134">
        <f>+'Water '!$O19</f>
        <v>4</v>
      </c>
      <c r="Q34" s="134">
        <f>+'Water '!$O19</f>
        <v>4</v>
      </c>
      <c r="R34" s="134">
        <f>+'Water '!$O19</f>
        <v>4</v>
      </c>
      <c r="S34" s="134">
        <f>+'Water '!$O19</f>
        <v>4</v>
      </c>
      <c r="T34" s="134">
        <f>+'Water '!$O25</f>
        <v>89</v>
      </c>
      <c r="U34" s="134">
        <f>+'Water '!$O26</f>
        <v>6</v>
      </c>
      <c r="V34" s="134">
        <f>+'Water '!$O27</f>
        <v>25</v>
      </c>
      <c r="W34" s="134">
        <f>+'Water '!$O28</f>
        <v>87</v>
      </c>
      <c r="X34" s="134">
        <f>+'Water '!$O29</f>
        <v>95</v>
      </c>
      <c r="Y34" s="134">
        <f>+'Water '!$O30</f>
        <v>1</v>
      </c>
      <c r="Z34" s="134">
        <f>+'Water '!$O31</f>
        <v>77</v>
      </c>
      <c r="AA34" s="134">
        <f>+'Water '!$O32</f>
        <v>99</v>
      </c>
      <c r="AB34" s="134">
        <f>+'Water '!$O33</f>
        <v>30</v>
      </c>
      <c r="AC34" s="134">
        <f>+'Water '!$O34</f>
        <v>1</v>
      </c>
      <c r="AD34" s="134">
        <f>+'Water '!$O31</f>
        <v>77</v>
      </c>
      <c r="AE34" s="134">
        <f>+'Water '!$O32</f>
        <v>99</v>
      </c>
      <c r="AF34" s="134">
        <f>+'Water '!$O33</f>
        <v>30</v>
      </c>
      <c r="AG34" s="229">
        <f>SUM($B34:AF34)</f>
        <v>1383</v>
      </c>
      <c r="AH34" s="229"/>
      <c r="AI34" s="229"/>
    </row>
    <row r="35" spans="1:37" ht="17.25" customHeight="1" x14ac:dyDescent="0.25">
      <c r="A35" s="121" t="s">
        <v>170</v>
      </c>
      <c r="B35" s="119">
        <f>IF('Entries September''25'!AC7-'Entries September''25'!AC6&lt;1,0,'Entries September''25'!AC7-'Entries September''25'!AC6)</f>
        <v>26</v>
      </c>
      <c r="C35" s="119">
        <f>IF('Entries September''25'!AC8-'Entries September''25'!AC7&lt;1,0,'Entries September''25'!AC8-'Entries September''25'!AC7)</f>
        <v>18</v>
      </c>
      <c r="D35" s="119">
        <f>IF('Entries September''25'!AC9-'Entries September''25'!AC8&lt;1,0,'Entries September''25'!AC9-'Entries September''25'!AC8)</f>
        <v>20</v>
      </c>
      <c r="E35" s="119">
        <f>IF('Entries September''25'!AC10-'Entries September''25'!AC9&lt;1,0,'Entries September''25'!AC10-'Entries September''25'!AC9)</f>
        <v>19</v>
      </c>
      <c r="F35" s="119">
        <f>IF('Entries September''25'!AC11-'Entries September''25'!AC10&lt;1,0,'Entries September''25'!AC11-'Entries September''25'!AC10)</f>
        <v>15</v>
      </c>
      <c r="G35" s="119">
        <f>IF('Entries September''25'!AC12-'Entries September''25'!AC11&lt;1,0,'Entries September''25'!AC12-'Entries September''25'!AC11)</f>
        <v>0</v>
      </c>
      <c r="H35" s="119">
        <f>IF('Entries September''25'!AC13-'Entries September''25'!AC12&lt;1,0,'Entries September''25'!AC13-'Entries September''25'!AC12)</f>
        <v>0</v>
      </c>
      <c r="I35" s="119">
        <f>IF('Entries September''25'!AC14-'Entries September''25'!AC13&lt;1,0,'Entries September''25'!AC14-'Entries September''25'!AC13)</f>
        <v>15</v>
      </c>
      <c r="J35" s="119">
        <f>IF('Entries September''25'!AC15-'Entries September''25'!AC14&lt;1,0,'Entries September''25'!AC15-'Entries September''25'!AC14)</f>
        <v>19</v>
      </c>
      <c r="K35" s="119">
        <f>IF('Entries September''25'!AC16-'Entries September''25'!AC15&lt;1,0,'Entries September''25'!AC16-'Entries September''25'!AC15)</f>
        <v>18</v>
      </c>
      <c r="L35" s="119">
        <f>IF('Entries September''25'!AC17-'Entries September''25'!AC16&lt;1,0,'Entries September''25'!AC17-'Entries September''25'!AC16)</f>
        <v>5</v>
      </c>
      <c r="M35" s="119">
        <f>IF('Entries September''25'!AC18-'Entries September''25'!AC17&lt;1,0,'Entries September''25'!AC18-'Entries September''25'!AC17)</f>
        <v>4</v>
      </c>
      <c r="N35" s="95">
        <f>IF('Entries September''25'!AC19-'Entries September''25'!AC18&lt;1,0,'Entries September''25'!AC19-'Entries September''25'!AC18)</f>
        <v>0</v>
      </c>
      <c r="O35" s="95">
        <f>IF('Entries September''25'!AC20-'Entries September''25'!AC19&lt;1,0,'Entries September''25'!AC20-'Entries September''25'!AC19)</f>
        <v>17</v>
      </c>
      <c r="P35" s="95">
        <f>IF('Entries September''25'!AC21-'Entries September''25'!AC20&lt;1,0,'Entries September''25'!AC21-'Entries September''25'!AC20)</f>
        <v>26</v>
      </c>
      <c r="Q35" s="95">
        <f>IF('Entries September''25'!AC22-'Entries September''25'!AC21&lt;1,0,'Entries September''25'!AC22-'Entries September''25'!AC21)</f>
        <v>20</v>
      </c>
      <c r="R35" s="95">
        <f>IF('Entries September''25'!AC23-'Entries September''25'!AC22&lt;1,0,'Entries September''25'!AC23-'Entries September''25'!AC22)</f>
        <v>29</v>
      </c>
      <c r="S35" s="95">
        <f>IF('Entries September''25'!AC24-'Entries September''25'!AC23&lt;1,0,'Entries September''25'!AC24-'Entries September''25'!AC23)</f>
        <v>32</v>
      </c>
      <c r="T35" s="95">
        <f>IF('Entries September''25'!AC25-'Entries September''25'!AC24&lt;1,0,'Entries September''25'!AC25-'Entries September''25'!AC24)</f>
        <v>24</v>
      </c>
      <c r="U35" s="95">
        <f>IF('Entries September''25'!AC26-'Entries September''25'!AC25&lt;1,0,'Entries September''25'!AC26-'Entries September''25'!AC25)</f>
        <v>0</v>
      </c>
      <c r="V35" s="95">
        <f>IF('Entries September''25'!AC27-'Entries September''25'!AC26&lt;1,0,'Entries September''25'!AC27-'Entries September''25'!AC26)</f>
        <v>14</v>
      </c>
      <c r="W35" s="95">
        <f>IF('Entries September''25'!$AC28-'Entries September''25'!$AC27&lt;1,0,'Entries September''25'!$AC28-'Entries September''25'!$AC27)</f>
        <v>0</v>
      </c>
      <c r="X35" s="95">
        <f>IF('Entries September''25'!$AC29-'Entries September''25'!$AC28&lt;1,0,'Entries September''25'!$AC29-'Entries September''25'!$AC28)</f>
        <v>48</v>
      </c>
      <c r="Y35" s="95">
        <f>IF('Entries September''25'!$AC30-'Entries September''25'!$AC29&lt;1,0,'Entries September''25'!$AC30-'Entries September''25'!$AC29)</f>
        <v>2</v>
      </c>
      <c r="Z35" s="95">
        <f>IF('Entries September''25'!$AC31-'Entries September''25'!$AC30&lt;1,0,'Entries September''25'!$AC31-'Entries September''25'!$AC30)</f>
        <v>18</v>
      </c>
      <c r="AA35" s="95">
        <f>IF('Entries September''25'!$AC32-'Entries September''25'!$AC31&lt;1,0,'Entries September''25'!$AC32-'Entries September''25'!$AC31)</f>
        <v>26</v>
      </c>
      <c r="AB35" s="95">
        <f>IF('Entries September''25'!$AC33-'Entries September''25'!$AC32&lt;1,0,'Entries September''25'!$AC33-'Entries September''25'!$AC32)</f>
        <v>1</v>
      </c>
      <c r="AC35" s="95">
        <f>IF('Entries September''25'!$AC34-'Entries September''25'!$AC33&lt;1,0,'Entries September''25'!$AC34-'Entries September''25'!$AC33)</f>
        <v>0</v>
      </c>
      <c r="AD35" s="95">
        <f>IF('Entries September''25'!$AC31-'Entries September''25'!$AC30&lt;1,0,'Entries September''25'!$AC31-'Entries September''25'!$AC30)</f>
        <v>18</v>
      </c>
      <c r="AE35" s="95">
        <f>IF('Entries September''25'!$AC32-'Entries September''25'!$AC31&lt;1,0,'Entries September''25'!$AC32-'Entries September''25'!$AC31)</f>
        <v>26</v>
      </c>
      <c r="AF35" s="95">
        <f>IF('Entries September''25'!$AC33-'Entries September''25'!$AC32&lt;1,0,'Entries September''25'!$AC33-'Entries September''25'!$AC32)</f>
        <v>1</v>
      </c>
      <c r="AG35" s="221">
        <f>SUM($B35:AF35)</f>
        <v>461</v>
      </c>
      <c r="AH35" s="221"/>
      <c r="AI35" s="272"/>
    </row>
    <row r="36" spans="1:37" ht="18" x14ac:dyDescent="0.25">
      <c r="A36" s="109" t="s">
        <v>128</v>
      </c>
      <c r="B36" s="110">
        <f>+'Water '!$M7</f>
        <v>6</v>
      </c>
      <c r="C36" s="110">
        <f>+'Water '!$M8</f>
        <v>9</v>
      </c>
      <c r="D36" s="110">
        <f>+'Water '!$M9</f>
        <v>8</v>
      </c>
      <c r="E36" s="110">
        <f>+'Water '!$M10</f>
        <v>8</v>
      </c>
      <c r="F36" s="110">
        <f>+'Water '!$M11</f>
        <v>5</v>
      </c>
      <c r="G36" s="110" t="str">
        <f>+'Water '!$M12</f>
        <v>0</v>
      </c>
      <c r="H36" s="110" t="str">
        <f>+'Water '!$M13</f>
        <v>0</v>
      </c>
      <c r="I36" s="110">
        <f>+'Water '!$M14</f>
        <v>15</v>
      </c>
      <c r="J36" s="110">
        <f>+'Water '!$M15</f>
        <v>10</v>
      </c>
      <c r="K36" s="110">
        <f>+'Water '!$M16</f>
        <v>9</v>
      </c>
      <c r="L36" s="110">
        <f>+'Water '!$M17</f>
        <v>6</v>
      </c>
      <c r="M36" s="110">
        <f>+'Water '!$M18</f>
        <v>4</v>
      </c>
      <c r="N36" s="110" t="str">
        <f>+'Water '!$M19</f>
        <v>0</v>
      </c>
      <c r="O36" s="110" t="str">
        <f>+'Water '!$M20</f>
        <v>0</v>
      </c>
      <c r="P36" s="110">
        <f>+'Water '!$M21</f>
        <v>15</v>
      </c>
      <c r="Q36" s="110">
        <f>+'Water '!$M22</f>
        <v>11</v>
      </c>
      <c r="R36" s="110">
        <f>+'Water '!$M23</f>
        <v>14</v>
      </c>
      <c r="S36" s="110">
        <f>+'Water '!$M24</f>
        <v>13</v>
      </c>
      <c r="T36" s="110">
        <f>+'Water '!$M25</f>
        <v>9</v>
      </c>
      <c r="U36" s="110">
        <f>+'Water '!$M26</f>
        <v>2</v>
      </c>
      <c r="V36" s="110">
        <f>+'Water '!$M27</f>
        <v>1</v>
      </c>
      <c r="W36" s="110">
        <f>+'Water '!$M28</f>
        <v>10</v>
      </c>
      <c r="X36" s="110">
        <f>+'Water '!$M29</f>
        <v>11</v>
      </c>
      <c r="Y36" s="110" t="str">
        <f>+'Water '!$M30</f>
        <v>0</v>
      </c>
      <c r="Z36" s="110">
        <f>+'Water '!$M31</f>
        <v>6</v>
      </c>
      <c r="AA36" s="110">
        <f>+'Water '!$M32</f>
        <v>6</v>
      </c>
      <c r="AB36" s="110">
        <f>+'Water '!$M33</f>
        <v>5</v>
      </c>
      <c r="AC36" s="110" t="str">
        <f>+'Water '!$M34</f>
        <v>0</v>
      </c>
      <c r="AD36" s="110">
        <f>+'Water '!$M31</f>
        <v>6</v>
      </c>
      <c r="AE36" s="110">
        <f>+'Water '!$M32</f>
        <v>6</v>
      </c>
      <c r="AF36" s="110">
        <f>+'Water '!$M33</f>
        <v>5</v>
      </c>
      <c r="AG36" s="221">
        <f>SUM($B36:AF36)</f>
        <v>200</v>
      </c>
      <c r="AH36" s="221"/>
      <c r="AI36" s="272"/>
    </row>
    <row r="37" spans="1:37" ht="18" x14ac:dyDescent="0.25">
      <c r="A37" s="132" t="s">
        <v>130</v>
      </c>
      <c r="B37" s="131">
        <f>+'Water '!$Q7</f>
        <v>11</v>
      </c>
      <c r="C37" s="131">
        <f>+'Water '!$Q8</f>
        <v>23</v>
      </c>
      <c r="D37" s="131">
        <f>+'Water '!$Q9</f>
        <v>15</v>
      </c>
      <c r="E37" s="131">
        <f>+'Water '!$Q10</f>
        <v>19</v>
      </c>
      <c r="F37" s="131">
        <f>+'Water '!$Q11</f>
        <v>15</v>
      </c>
      <c r="G37" s="131">
        <f>+'Water '!$Q12</f>
        <v>1</v>
      </c>
      <c r="H37" s="131">
        <f>+'Water '!$Q13</f>
        <v>2</v>
      </c>
      <c r="I37" s="131">
        <f>+'Water '!$Q14</f>
        <v>18</v>
      </c>
      <c r="J37" s="131">
        <f>+'Water '!$Q15</f>
        <v>14</v>
      </c>
      <c r="K37" s="131">
        <f>+'Water '!$Q16</f>
        <v>13</v>
      </c>
      <c r="L37" s="131">
        <f>+'Water '!$Q17</f>
        <v>10</v>
      </c>
      <c r="M37" s="131">
        <f>+'Water '!$Q18</f>
        <v>7</v>
      </c>
      <c r="N37" s="131" t="str">
        <f>+'Water '!$Q19</f>
        <v>0</v>
      </c>
      <c r="O37" s="131" t="str">
        <f>+'Water '!$Q19</f>
        <v>0</v>
      </c>
      <c r="P37" s="131">
        <f>+'Water '!$Q21</f>
        <v>21</v>
      </c>
      <c r="Q37" s="131">
        <f>+'Water '!$Q22</f>
        <v>12</v>
      </c>
      <c r="R37" s="131">
        <f>+'Water '!$Q22</f>
        <v>12</v>
      </c>
      <c r="S37" s="131">
        <f>+'Water '!$Q24</f>
        <v>22</v>
      </c>
      <c r="T37" s="131">
        <f>+'Water '!$Q25</f>
        <v>15</v>
      </c>
      <c r="U37" s="131">
        <f>+'Water '!$Q26</f>
        <v>3</v>
      </c>
      <c r="V37" s="131">
        <f>+'Water '!$Q27</f>
        <v>7</v>
      </c>
      <c r="W37" s="131">
        <f>+'Water '!$Q28</f>
        <v>17</v>
      </c>
      <c r="X37" s="131">
        <f>+'Water '!$Q29</f>
        <v>13</v>
      </c>
      <c r="Y37" s="131">
        <f>+'Water '!$Q30</f>
        <v>5</v>
      </c>
      <c r="Z37" s="131">
        <f>+'Water '!$Q31</f>
        <v>13</v>
      </c>
      <c r="AA37" s="131">
        <f>+'Water '!$Q32</f>
        <v>15</v>
      </c>
      <c r="AB37" s="131">
        <f>+'Water '!$Q33</f>
        <v>1</v>
      </c>
      <c r="AC37" s="131">
        <f>+'Water '!$Q34</f>
        <v>2</v>
      </c>
      <c r="AD37" s="131">
        <f>+'Water '!$Q31</f>
        <v>13</v>
      </c>
      <c r="AE37" s="131">
        <f>+'Water '!$Q32</f>
        <v>15</v>
      </c>
      <c r="AF37" s="131">
        <f>+'Water '!$Q33</f>
        <v>1</v>
      </c>
      <c r="AG37" s="228">
        <f>SUM($B37:AF37)</f>
        <v>335</v>
      </c>
      <c r="AH37" s="228"/>
      <c r="AI37" s="228"/>
    </row>
    <row r="38" spans="1:37" s="87" customFormat="1" ht="18" hidden="1" x14ac:dyDescent="0.25">
      <c r="A38" s="135" t="s">
        <v>167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10"/>
      <c r="P38" s="136"/>
      <c r="Q38" s="136"/>
      <c r="R38" s="110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230">
        <f>SUM($B38:AF38)</f>
        <v>0</v>
      </c>
      <c r="AH38" s="230"/>
      <c r="AI38" s="274"/>
      <c r="AJ38" s="275"/>
      <c r="AK38" s="275"/>
    </row>
    <row r="39" spans="1:37" ht="17.25" customHeight="1" x14ac:dyDescent="0.25">
      <c r="A39" s="121" t="s">
        <v>202</v>
      </c>
      <c r="B39" s="119" t="str">
        <f>'Water '!Y7</f>
        <v>0</v>
      </c>
      <c r="C39" s="119" t="str">
        <f>'Water '!Y8</f>
        <v>0</v>
      </c>
      <c r="D39" s="119" t="str">
        <f>'Water '!Y9</f>
        <v>0</v>
      </c>
      <c r="E39" s="119" t="str">
        <f>'Water '!Y10</f>
        <v>0</v>
      </c>
      <c r="F39" s="119" t="str">
        <f>'Water '!Y11</f>
        <v>0</v>
      </c>
      <c r="G39" s="119" t="str">
        <f>'Water '!Y12</f>
        <v>0</v>
      </c>
      <c r="H39" s="119" t="str">
        <f>'Water '!Y13</f>
        <v>0</v>
      </c>
      <c r="I39" s="119" t="str">
        <f>'Water '!Y14</f>
        <v>0</v>
      </c>
      <c r="J39" s="119" t="str">
        <f>'Water '!Y15</f>
        <v>0</v>
      </c>
      <c r="K39" s="119" t="str">
        <f>'Water '!Y16</f>
        <v>0</v>
      </c>
      <c r="L39" s="119" t="str">
        <f>'Water '!Y17</f>
        <v>0</v>
      </c>
      <c r="M39" s="119" t="str">
        <f>'Water '!Y18</f>
        <v>0</v>
      </c>
      <c r="N39" s="119" t="str">
        <f>'Water '!Y19</f>
        <v>0</v>
      </c>
      <c r="O39" s="119" t="str">
        <f>'Water '!Y20</f>
        <v>0</v>
      </c>
      <c r="P39" s="119" t="str">
        <f>'Water '!Y21</f>
        <v>0</v>
      </c>
      <c r="Q39" s="119" t="str">
        <f>'Water '!Y22</f>
        <v>0</v>
      </c>
      <c r="R39" s="119" t="str">
        <f>'Water '!Y23</f>
        <v>0</v>
      </c>
      <c r="S39" s="119" t="str">
        <f>'Water '!Y24</f>
        <v>0</v>
      </c>
      <c r="T39" s="119" t="str">
        <f>'Water '!Y25</f>
        <v>0</v>
      </c>
      <c r="U39" s="119" t="str">
        <f>'Water '!Y26</f>
        <v>0</v>
      </c>
      <c r="V39" s="119" t="str">
        <f>'Water '!Y27</f>
        <v>0</v>
      </c>
      <c r="W39" s="119" t="str">
        <f>'Water '!Y28</f>
        <v>0</v>
      </c>
      <c r="X39" s="119" t="str">
        <f>'Water '!Y29</f>
        <v>0</v>
      </c>
      <c r="Y39" s="119" t="str">
        <f>'Water '!Y30</f>
        <v>0</v>
      </c>
      <c r="Z39" s="119" t="str">
        <f>'Water '!Y31</f>
        <v>0</v>
      </c>
      <c r="AA39" s="119" t="str">
        <f>'Water '!Y32</f>
        <v>0</v>
      </c>
      <c r="AB39" s="119" t="str">
        <f>'Water '!Y33</f>
        <v>0</v>
      </c>
      <c r="AC39" s="119" t="str">
        <f>'Water '!Y34</f>
        <v>0</v>
      </c>
      <c r="AD39" s="119">
        <f>'Water '!AC31</f>
        <v>0</v>
      </c>
      <c r="AE39" s="119">
        <f>'Water '!AC32</f>
        <v>0</v>
      </c>
      <c r="AF39" s="119">
        <f>'Water '!AC33</f>
        <v>0</v>
      </c>
      <c r="AG39" s="221">
        <f>SUM($B39:AF39)</f>
        <v>0</v>
      </c>
      <c r="AH39" s="221"/>
      <c r="AI39" s="272"/>
    </row>
    <row r="40" spans="1:37" ht="17.25" customHeight="1" x14ac:dyDescent="0.25">
      <c r="A40" s="121" t="s">
        <v>188</v>
      </c>
      <c r="B40" s="119">
        <f>'Water '!I7</f>
        <v>0</v>
      </c>
      <c r="C40" s="119">
        <f>'Water '!I8</f>
        <v>0</v>
      </c>
      <c r="D40" s="119">
        <f>'Water '!I9</f>
        <v>0</v>
      </c>
      <c r="E40" s="119">
        <f>'Water '!I10</f>
        <v>0</v>
      </c>
      <c r="F40" s="119">
        <f>'Water '!I11</f>
        <v>0</v>
      </c>
      <c r="G40" s="119">
        <f>'Water '!I12</f>
        <v>0</v>
      </c>
      <c r="H40" s="119">
        <f>'Water '!I13</f>
        <v>0</v>
      </c>
      <c r="I40" s="119">
        <f>'Water '!I14</f>
        <v>0</v>
      </c>
      <c r="J40" s="119">
        <f>'Water '!I15</f>
        <v>0</v>
      </c>
      <c r="K40" s="119">
        <f>'Water '!I16</f>
        <v>0</v>
      </c>
      <c r="L40" s="119">
        <f>'Water '!J16</f>
        <v>189</v>
      </c>
      <c r="M40" s="119" t="str">
        <f>'Water '!K16</f>
        <v>0</v>
      </c>
      <c r="N40" s="119">
        <f>'Water '!I19</f>
        <v>0</v>
      </c>
      <c r="O40" s="119">
        <f>'Water '!I20</f>
        <v>0</v>
      </c>
      <c r="P40" s="119">
        <f>'Water '!I21</f>
        <v>0</v>
      </c>
      <c r="Q40" s="119">
        <f>'Water '!I22</f>
        <v>0</v>
      </c>
      <c r="R40" s="119">
        <f>'Water '!I23</f>
        <v>0</v>
      </c>
      <c r="S40" s="119">
        <f>'Water '!I24</f>
        <v>0</v>
      </c>
      <c r="T40" s="119">
        <f>'Water '!I25</f>
        <v>0</v>
      </c>
      <c r="U40" s="119">
        <f>'Water '!I26</f>
        <v>0</v>
      </c>
      <c r="V40" s="119">
        <f>'Water '!I27</f>
        <v>0</v>
      </c>
      <c r="W40" s="119">
        <f>'Water '!I28</f>
        <v>0</v>
      </c>
      <c r="X40" s="119">
        <f>'Water '!I29</f>
        <v>0</v>
      </c>
      <c r="Y40" s="119">
        <f>'Water '!I30</f>
        <v>0</v>
      </c>
      <c r="Z40" s="119">
        <f>'Water '!I31</f>
        <v>0</v>
      </c>
      <c r="AA40" s="119">
        <f>'Water '!I32</f>
        <v>0</v>
      </c>
      <c r="AB40" s="119">
        <f>'Water '!I33</f>
        <v>0</v>
      </c>
      <c r="AC40" s="119">
        <f>'Water '!I34</f>
        <v>0</v>
      </c>
      <c r="AD40" s="119">
        <f>'Water '!M31</f>
        <v>6</v>
      </c>
      <c r="AE40" s="119">
        <f>'Water '!M32</f>
        <v>6</v>
      </c>
      <c r="AF40" s="119">
        <f>'Water '!M33</f>
        <v>5</v>
      </c>
      <c r="AG40" s="221">
        <f>SUM($B40:AF40)</f>
        <v>206</v>
      </c>
      <c r="AH40" s="221"/>
      <c r="AI40" s="272"/>
    </row>
    <row r="41" spans="1:37" ht="17.25" customHeight="1" x14ac:dyDescent="0.25">
      <c r="A41" s="129" t="s">
        <v>201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221"/>
      <c r="AH41" s="221"/>
      <c r="AI41" s="276"/>
    </row>
    <row r="42" spans="1:37" s="88" customFormat="1" ht="20.25" x14ac:dyDescent="0.3">
      <c r="A42" s="137" t="s">
        <v>193</v>
      </c>
      <c r="B42" s="138">
        <f t="shared" ref="B42:AF42" si="8">SUM(B28:B41)</f>
        <v>373</v>
      </c>
      <c r="C42" s="138">
        <f>SUM(C28:C41)</f>
        <v>400</v>
      </c>
      <c r="D42" s="138">
        <f t="shared" si="8"/>
        <v>298</v>
      </c>
      <c r="E42" s="138">
        <f>SUM(E28:E41)</f>
        <v>369</v>
      </c>
      <c r="F42" s="138">
        <f t="shared" si="8"/>
        <v>353</v>
      </c>
      <c r="G42" s="138">
        <f>SUM(G28:G41)</f>
        <v>41</v>
      </c>
      <c r="H42" s="138">
        <f t="shared" si="8"/>
        <v>2</v>
      </c>
      <c r="I42" s="138">
        <f t="shared" si="8"/>
        <v>315</v>
      </c>
      <c r="J42" s="138">
        <f t="shared" si="8"/>
        <v>359</v>
      </c>
      <c r="K42" s="138">
        <f t="shared" si="8"/>
        <v>348</v>
      </c>
      <c r="L42" s="138">
        <f t="shared" si="8"/>
        <v>425</v>
      </c>
      <c r="M42" s="138">
        <f t="shared" si="8"/>
        <v>100</v>
      </c>
      <c r="N42" s="138">
        <f>SUM(N28:N41)</f>
        <v>4</v>
      </c>
      <c r="O42" s="138">
        <f>SUM(O28:O41)</f>
        <v>27</v>
      </c>
      <c r="P42" s="138">
        <f t="shared" si="8"/>
        <v>166</v>
      </c>
      <c r="Q42" s="138">
        <f t="shared" si="8"/>
        <v>203</v>
      </c>
      <c r="R42" s="138">
        <f t="shared" si="8"/>
        <v>256</v>
      </c>
      <c r="S42" s="138">
        <f t="shared" si="8"/>
        <v>307</v>
      </c>
      <c r="T42" s="138">
        <f t="shared" si="8"/>
        <v>344</v>
      </c>
      <c r="U42" s="138">
        <f t="shared" si="8"/>
        <v>11</v>
      </c>
      <c r="V42" s="138">
        <f t="shared" si="8"/>
        <v>48</v>
      </c>
      <c r="W42" s="138">
        <f t="shared" si="8"/>
        <v>287</v>
      </c>
      <c r="X42" s="138">
        <f t="shared" si="8"/>
        <v>424</v>
      </c>
      <c r="Y42" s="138">
        <f t="shared" si="8"/>
        <v>228</v>
      </c>
      <c r="Z42" s="138">
        <f t="shared" si="8"/>
        <v>338</v>
      </c>
      <c r="AA42" s="138">
        <f>SUM(AA28:AA41)</f>
        <v>310</v>
      </c>
      <c r="AB42" s="138">
        <f t="shared" si="8"/>
        <v>72</v>
      </c>
      <c r="AC42" s="138">
        <f t="shared" si="8"/>
        <v>4</v>
      </c>
      <c r="AD42" s="138">
        <f t="shared" si="8"/>
        <v>375.43031434004143</v>
      </c>
      <c r="AE42" s="138">
        <f t="shared" si="8"/>
        <v>348.19209246858088</v>
      </c>
      <c r="AF42" s="138">
        <f t="shared" si="8"/>
        <v>78</v>
      </c>
      <c r="AG42" s="231">
        <f>SUM($B42:AF42)</f>
        <v>7213.6224068086221</v>
      </c>
      <c r="AH42" s="231"/>
      <c r="AI42" s="277"/>
      <c r="AJ42" s="278"/>
      <c r="AK42" s="278"/>
    </row>
    <row r="43" spans="1:37" ht="18" x14ac:dyDescent="0.2">
      <c r="A43" s="139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222"/>
      <c r="AH43" s="222"/>
    </row>
    <row r="44" spans="1:37" ht="18" x14ac:dyDescent="0.2">
      <c r="A44" s="139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222"/>
      <c r="AH44" s="222"/>
    </row>
    <row r="45" spans="1:37" ht="20.25" x14ac:dyDescent="0.3">
      <c r="A45" s="105" t="s">
        <v>194</v>
      </c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232"/>
      <c r="AH45" s="232"/>
    </row>
    <row r="46" spans="1:37" ht="20.25" x14ac:dyDescent="0.3">
      <c r="A46" s="105"/>
      <c r="B46" s="84"/>
      <c r="C46" s="84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232"/>
      <c r="AH46" s="232"/>
    </row>
    <row r="47" spans="1:37" s="182" customFormat="1" ht="26.25" x14ac:dyDescent="0.4">
      <c r="A47" s="181" t="s">
        <v>195</v>
      </c>
      <c r="B47" s="178">
        <f>IF('Entries September''25'!M7-'Entries September''25'!M6&lt;1,0,'Entries September''25'!M7-'Entries September''25'!M6)</f>
        <v>2513.9000000000015</v>
      </c>
      <c r="C47" s="178">
        <f>IF('Entries September''25'!M8-'Entries September''25'!M7&lt;1,0,'Entries September''25'!M8-'Entries September''25'!M7)</f>
        <v>1992.0599999999977</v>
      </c>
      <c r="D47" s="178">
        <f>IF('Entries September''25'!M9-'Entries September''25'!M8&lt;1,0,'Entries September''25'!M9-'Entries September''25'!M8)</f>
        <v>1666.9099999999962</v>
      </c>
      <c r="E47" s="178">
        <f>IF('Entries September''25'!M10-'Entries September''25'!M9&lt;1,0,'Entries September''25'!M10-'Entries September''25'!M9)</f>
        <v>1422.3800000000047</v>
      </c>
      <c r="F47" s="178">
        <f>IF('Entries September''25'!M11-'Entries September''25'!M10&lt;1,0,'Entries September''25'!M11-'Entries September''25'!M10)</f>
        <v>1516.5299999999988</v>
      </c>
      <c r="G47" s="178">
        <f>IF('Entries September''25'!M12-'Entries September''25'!M11&lt;1,0,'Entries September''25'!M12-'Entries September''25'!M11)</f>
        <v>0</v>
      </c>
      <c r="H47" s="178">
        <f>IF('Entries September''25'!M13-'Entries September''25'!M12&lt;1,0,'Entries September''25'!M13-'Entries September''25'!M12)</f>
        <v>0</v>
      </c>
      <c r="I47" s="178">
        <f>IF('Entries September''25'!M14-'Entries September''25'!M13&lt;1,0,'Entries September''25'!M14-'Entries September''25'!M13)</f>
        <v>1434.2400000000052</v>
      </c>
      <c r="J47" s="178">
        <f>IF('Entries September''25'!M15-'Entries September''25'!M14&lt;1,0,'Entries September''25'!M15-'Entries September''25'!M14)</f>
        <v>1951.3699999999953</v>
      </c>
      <c r="K47" s="178">
        <f>IF('Entries September''25'!M16-'Entries September''25'!M15&lt;1,0,'Entries September''25'!M16-'Entries September''25'!M15)</f>
        <v>1508.0500000000029</v>
      </c>
      <c r="L47" s="177">
        <f>IF('Entries September''25'!M17-'Entries September''25'!M16&lt;1,0,'Entries September''25'!M17-'Entries September''25'!M16)</f>
        <v>272.22000000000116</v>
      </c>
      <c r="M47" s="178">
        <f>IF('Entries September''25'!M18-'Entries September''25'!M17&lt;1,0,'Entries September''25'!M18-'Entries September''25'!M17)</f>
        <v>401.61000000000058</v>
      </c>
      <c r="N47" s="178">
        <f>IF('Entries September''25'!M19-'Entries September''25'!M18&lt;1,0,'Entries September''25'!M19-'Entries September''25'!M18)</f>
        <v>0</v>
      </c>
      <c r="O47" s="178">
        <f>IF('Entries September''25'!M20-'Entries September''25'!M19&lt;1,0,'Entries September''25'!M20-'Entries September''25'!M19)</f>
        <v>0</v>
      </c>
      <c r="P47" s="178">
        <f>IF('Entries September''25'!M21-'Entries September''25'!M20&lt;1,0,'Entries September''25'!M21-'Entries September''25'!M20)</f>
        <v>2220.1199999999953</v>
      </c>
      <c r="Q47" s="178">
        <f>IF('Entries September''25'!M22-'Entries September''25'!M21&lt;1,0,'Entries September''25'!M22-'Entries September''25'!M21)</f>
        <v>2342.7899999999936</v>
      </c>
      <c r="R47" s="178">
        <f>IF('Entries September''25'!M23-'Entries September''25'!M22&lt;1,0,'Entries September''25'!M23-'Entries September''25'!M22)</f>
        <v>2373.7300000000105</v>
      </c>
      <c r="S47" s="178">
        <f>IF('Entries September''25'!N23-'Entries September''25'!N22&lt;1,0,'Entries September''25'!N23-'Entries September''25'!N22)</f>
        <v>428.8799999999992</v>
      </c>
      <c r="T47" s="178">
        <f>IF('Entries September''25'!O23-'Entries September''25'!O22&lt;1,0,'Entries September''25'!O23-'Entries September''25'!O22)</f>
        <v>111</v>
      </c>
      <c r="U47" s="178">
        <f>IF('Entries September''25'!P23-'Entries September''25'!P22&lt;1,0,'Entries September''25'!P23-'Entries September''25'!P22)</f>
        <v>187</v>
      </c>
      <c r="V47" s="178">
        <f>IF('Entries September''25'!O24-'Entries September''25'!O23&lt;1,0,'Entries September''25'!O24-'Entries September''25'!O23)</f>
        <v>209</v>
      </c>
      <c r="W47" s="178">
        <f>IF('Entries September''25'!P24-'Entries September''25'!P23&lt;1,0,'Entries September''25'!P24-'Entries September''25'!P23)</f>
        <v>234</v>
      </c>
      <c r="X47" s="178">
        <f>IF('Entries September''25'!Q24-'Entries September''25'!Q23&lt;1,0,'Entries September''25'!Q24-'Entries September''25'!Q23)</f>
        <v>291</v>
      </c>
      <c r="Y47" s="178">
        <f>IF('Entries September''25'!R24-'Entries September''25'!R23&lt;1,0,'Entries September''25'!R24-'Entries September''25'!R23)</f>
        <v>0</v>
      </c>
      <c r="Z47" s="178">
        <f>IF('Entries September''25'!S24-'Entries September''25'!S23&lt;1,0,'Entries September''25'!S24-'Entries September''25'!S23)</f>
        <v>162</v>
      </c>
      <c r="AA47" s="178">
        <f>IF('Entries September''25'!T24-'Entries September''25'!T23&lt;1,0,'Entries September''25'!T24-'Entries September''25'!T23)</f>
        <v>0</v>
      </c>
      <c r="AB47" s="178">
        <f>IF('Entries September''25'!U24-'Entries September''25'!U23&lt;1,0,'Entries September''25'!U24-'Entries September''25'!U23)</f>
        <v>13</v>
      </c>
      <c r="AC47" s="178">
        <f>IF('Entries September''25'!V24-'Entries September''25'!V23&lt;1,0,'Entries September''25'!V24-'Entries September''25'!V23)</f>
        <v>236</v>
      </c>
      <c r="AD47" s="178">
        <f>IF('Entries September''25'!W24-'Entries September''25'!W23&lt;1,0,'Entries September''25'!W24-'Entries September''25'!W23)</f>
        <v>0</v>
      </c>
      <c r="AE47" s="178">
        <f>IF('Entries September''25'!X24-'Entries September''25'!X23&lt;1,0,'Entries September''25'!X24-'Entries September''25'!X23)</f>
        <v>57</v>
      </c>
      <c r="AF47" s="178">
        <f>IF('Entries September''25'!Y24-'Entries September''25'!Y23&lt;1,0,'Entries September''25'!Y24-'Entries September''25'!Y23)</f>
        <v>128</v>
      </c>
      <c r="AG47" s="233">
        <f>SUM($B47:AF47)</f>
        <v>23672.79</v>
      </c>
      <c r="AH47" s="234"/>
      <c r="AI47" s="234"/>
      <c r="AJ47" s="279"/>
      <c r="AK47" s="279"/>
    </row>
    <row r="48" spans="1:37" ht="20.25" hidden="1" x14ac:dyDescent="0.3">
      <c r="A48" s="105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235"/>
      <c r="AH48" s="216"/>
      <c r="AI48" s="280"/>
    </row>
    <row r="49" spans="1:37" s="188" customFormat="1" ht="20.25" x14ac:dyDescent="0.3">
      <c r="A49" s="186" t="s">
        <v>196</v>
      </c>
      <c r="B49" s="187">
        <f>'Daily KPIs'!B76</f>
        <v>282.29999999999927</v>
      </c>
      <c r="C49" s="187">
        <f>'Daily KPIs'!C76</f>
        <v>246.92000000000007</v>
      </c>
      <c r="D49" s="187">
        <f>'Daily KPIs'!D76</f>
        <v>247.10000000000036</v>
      </c>
      <c r="E49" s="187">
        <f>'Daily KPIs'!E76</f>
        <v>268.92000000000007</v>
      </c>
      <c r="F49" s="187">
        <f>'Daily KPIs'!F76</f>
        <v>216.39999999999964</v>
      </c>
      <c r="G49" s="187" t="str">
        <f>'Daily KPIs'!G76</f>
        <v>0</v>
      </c>
      <c r="H49" s="187" t="str">
        <f>'Daily KPIs'!H76</f>
        <v>0</v>
      </c>
      <c r="I49" s="187">
        <f>'Daily KPIs'!I76</f>
        <v>228.92000000000007</v>
      </c>
      <c r="J49" s="187">
        <f>'Daily KPIs'!J76</f>
        <v>301.05999999999949</v>
      </c>
      <c r="K49" s="187">
        <f>'Daily KPIs'!K76</f>
        <v>252.03000000000065</v>
      </c>
      <c r="L49" s="187">
        <f>'Daily KPIs'!L76</f>
        <v>85.889999999999418</v>
      </c>
      <c r="M49" s="187">
        <f>'Daily KPIs'!M76</f>
        <v>27.059999999999491</v>
      </c>
      <c r="N49" s="187" t="str">
        <f>'Daily KPIs'!N76</f>
        <v>0</v>
      </c>
      <c r="O49" s="187">
        <f>'Daily KPIs'!O76</f>
        <v>3.1400000000012369</v>
      </c>
      <c r="P49" s="187">
        <f>'Daily KPIs'!P76</f>
        <v>402.07999999999993</v>
      </c>
      <c r="Q49" s="187">
        <f>'Daily KPIs'!Q76</f>
        <v>355.10000000000036</v>
      </c>
      <c r="R49" s="187">
        <f>'Daily KPIs'!R76</f>
        <v>428.8799999999992</v>
      </c>
      <c r="S49" s="187">
        <f>'Daily KPIs'!S76</f>
        <v>596.8700000000008</v>
      </c>
      <c r="T49" s="187">
        <f>'Daily KPIs'!T76</f>
        <v>415.84000000000015</v>
      </c>
      <c r="U49" s="187" t="str">
        <f>'Daily KPIs'!U76</f>
        <v>0</v>
      </c>
      <c r="V49" s="187" t="str">
        <f>'Daily KPIs'!V76</f>
        <v>0</v>
      </c>
      <c r="W49" s="187">
        <f>'Daily KPIs'!W76</f>
        <v>312.17000000000007</v>
      </c>
      <c r="X49" s="187">
        <f>'Daily KPIs'!X76</f>
        <v>397.22999999999956</v>
      </c>
      <c r="Y49" s="187" t="str">
        <f>'Daily KPIs'!Y76</f>
        <v>0</v>
      </c>
      <c r="Z49" s="187">
        <f>'Daily KPIs'!Z76</f>
        <v>265.36000000000058</v>
      </c>
      <c r="AA49" s="187">
        <f>'Daily KPIs'!AA76</f>
        <v>406.95999999999913</v>
      </c>
      <c r="AB49" s="187" t="str">
        <f>'Daily KPIs'!AB76</f>
        <v>0</v>
      </c>
      <c r="AC49" s="187" t="str">
        <f>'Daily KPIs'!AC76</f>
        <v>0</v>
      </c>
      <c r="AD49" s="187">
        <f>'Daily KPIs'!AD76</f>
        <v>296.88000000000102</v>
      </c>
      <c r="AE49" s="187">
        <f>'Daily KPIs'!AE76</f>
        <v>325.6299999999992</v>
      </c>
      <c r="AF49" s="187" t="str">
        <f>'Daily KPIs'!AF76</f>
        <v>0</v>
      </c>
      <c r="AG49" s="236">
        <f>SUM($B49:AF49)</f>
        <v>6362.74</v>
      </c>
      <c r="AH49" s="237"/>
      <c r="AI49" s="281"/>
      <c r="AJ49" s="282"/>
      <c r="AK49" s="282"/>
    </row>
    <row r="50" spans="1:37" ht="18" hidden="1" x14ac:dyDescent="0.25">
      <c r="A50" s="105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222"/>
      <c r="AH50" s="222"/>
    </row>
    <row r="51" spans="1:37" ht="18" x14ac:dyDescent="0.25">
      <c r="A51" s="104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222"/>
      <c r="AH51" s="222"/>
    </row>
    <row r="52" spans="1:37" s="88" customFormat="1" ht="20.25" x14ac:dyDescent="0.3">
      <c r="A52" s="137" t="s">
        <v>133</v>
      </c>
      <c r="B52" s="141">
        <f>'Elec.September''25'!$B$7</f>
        <v>8479</v>
      </c>
      <c r="C52" s="141">
        <f>'Elec.September''25'!$B$8</f>
        <v>9132</v>
      </c>
      <c r="D52" s="141">
        <f>'Elec.September''25'!$B$9</f>
        <v>7961</v>
      </c>
      <c r="E52" s="141">
        <f>'Elec.September''25'!$B$10</f>
        <v>8276</v>
      </c>
      <c r="F52" s="141">
        <f>'Elec.September''25'!$B$11</f>
        <v>8163</v>
      </c>
      <c r="G52" s="141">
        <f>'Elec.September''25'!$B$12</f>
        <v>5259</v>
      </c>
      <c r="H52" s="141">
        <f>'Elec.September''25'!$B$13</f>
        <v>5037</v>
      </c>
      <c r="I52" s="141">
        <f>'Elec.September''25'!$B$14</f>
        <v>8003</v>
      </c>
      <c r="J52" s="141">
        <f>'Elec.September''25'!$B$15</f>
        <v>8837</v>
      </c>
      <c r="K52" s="141">
        <f>'Elec.September''25'!$B$16</f>
        <v>8797</v>
      </c>
      <c r="L52" s="141">
        <f>'Elec.September''25'!$B$17</f>
        <v>7197</v>
      </c>
      <c r="M52" s="141">
        <f>'Elec.September''25'!$B$18</f>
        <v>7195</v>
      </c>
      <c r="N52" s="141">
        <f>'Elec.September''25'!$B$19</f>
        <v>5393</v>
      </c>
      <c r="O52" s="141">
        <f>'Elec.September''25'!$B$20</f>
        <v>5482</v>
      </c>
      <c r="P52" s="141">
        <f>'Elec.September''25'!$B$21</f>
        <v>9086</v>
      </c>
      <c r="Q52" s="141">
        <f>'Elec.September''25'!$B$22</f>
        <v>7655</v>
      </c>
      <c r="R52" s="141">
        <f>'Elec.September''25'!$B$23</f>
        <v>8972</v>
      </c>
      <c r="S52" s="141">
        <f>'Elec.September''25'!$B$24</f>
        <v>9638</v>
      </c>
      <c r="T52" s="141">
        <f>'Elec.September''25'!$B$24</f>
        <v>9638</v>
      </c>
      <c r="U52" s="141">
        <f>'Elec.September''25'!$B$24</f>
        <v>9638</v>
      </c>
      <c r="V52" s="141">
        <f>'Elec.September''25'!$B$24</f>
        <v>9638</v>
      </c>
      <c r="W52" s="141">
        <f>'Elec.September''25'!$B$24</f>
        <v>9638</v>
      </c>
      <c r="X52" s="141">
        <f>'Elec.September''25'!$B$24</f>
        <v>9638</v>
      </c>
      <c r="Y52" s="141">
        <f>'Elec.September''25'!$B$24</f>
        <v>9638</v>
      </c>
      <c r="Z52" s="141">
        <f>'Elec.September''25'!$B$24</f>
        <v>9638</v>
      </c>
      <c r="AA52" s="141">
        <f>'Elec.September''25'!$B$24</f>
        <v>9638</v>
      </c>
      <c r="AB52" s="141">
        <f>'Elec.September''25'!$B$24</f>
        <v>9638</v>
      </c>
      <c r="AC52" s="141">
        <f>'Elec.September''25'!$B$24</f>
        <v>9638</v>
      </c>
      <c r="AD52" s="141">
        <f>'Elec.September''25'!$B$24</f>
        <v>9638</v>
      </c>
      <c r="AE52" s="141">
        <f>'Elec.September''25'!$B$24</f>
        <v>9638</v>
      </c>
      <c r="AF52" s="141">
        <f>'Elec.September''25'!$B$24</f>
        <v>9638</v>
      </c>
      <c r="AG52" s="225">
        <f>SUM(B52:AC52)</f>
        <v>234942</v>
      </c>
      <c r="AH52" s="225"/>
      <c r="AI52" s="277"/>
      <c r="AJ52" s="278"/>
      <c r="AK52" s="278"/>
    </row>
    <row r="53" spans="1:37" ht="20.25" x14ac:dyDescent="0.3">
      <c r="A53" s="105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216"/>
      <c r="AH53" s="216"/>
      <c r="AI53" s="280"/>
    </row>
    <row r="54" spans="1:37" s="88" customFormat="1" ht="20.25" x14ac:dyDescent="0.3">
      <c r="A54" s="137" t="s">
        <v>134</v>
      </c>
      <c r="B54" s="143">
        <f>+'Fuel '!$K7</f>
        <v>3020</v>
      </c>
      <c r="C54" s="143">
        <f>+'Fuel '!$K8</f>
        <v>2960</v>
      </c>
      <c r="D54" s="143">
        <f>+'Fuel '!$K9</f>
        <v>2910</v>
      </c>
      <c r="E54" s="143">
        <f>+'Fuel '!$K10</f>
        <v>3180</v>
      </c>
      <c r="F54" s="143">
        <f>+'Fuel '!$K11</f>
        <v>2830</v>
      </c>
      <c r="G54" s="143">
        <f>+'Fuel '!$K12</f>
        <v>290</v>
      </c>
      <c r="H54" s="143">
        <f>+'Fuel '!$K13</f>
        <v>170</v>
      </c>
      <c r="I54" s="143">
        <f>+'Fuel '!$K14</f>
        <v>3390</v>
      </c>
      <c r="J54" s="143">
        <f>+'Fuel '!$K15</f>
        <v>3060</v>
      </c>
      <c r="K54" s="143">
        <f>+'Fuel '!$K16</f>
        <v>2810</v>
      </c>
      <c r="L54" s="143">
        <f>+'Fuel '!$K17</f>
        <v>2370</v>
      </c>
      <c r="M54" s="143">
        <f>+'Fuel '!$K18</f>
        <v>1340</v>
      </c>
      <c r="N54" s="143">
        <f>+'Fuel '!$K19</f>
        <v>0</v>
      </c>
      <c r="O54" s="143">
        <f>+'Fuel '!$K20</f>
        <v>950</v>
      </c>
      <c r="P54" s="143">
        <f>+'Fuel '!$K21</f>
        <v>3140</v>
      </c>
      <c r="Q54" s="143">
        <f>+'Fuel '!$K22</f>
        <v>2280</v>
      </c>
      <c r="R54" s="143">
        <f>+'Fuel '!$K23</f>
        <v>3190</v>
      </c>
      <c r="S54" s="143">
        <f>+'Fuel '!$K24</f>
        <v>3610</v>
      </c>
      <c r="T54" s="143">
        <f>+'Fuel '!$K24</f>
        <v>3610</v>
      </c>
      <c r="U54" s="143">
        <f>+'Fuel '!$K24</f>
        <v>3610</v>
      </c>
      <c r="V54" s="143">
        <f>+'Fuel '!$K24</f>
        <v>3610</v>
      </c>
      <c r="W54" s="143">
        <f>+'Fuel '!$K24</f>
        <v>3610</v>
      </c>
      <c r="X54" s="143">
        <f>+'Fuel '!$K24</f>
        <v>3610</v>
      </c>
      <c r="Y54" s="143">
        <f>+'Fuel '!$K24</f>
        <v>3610</v>
      </c>
      <c r="Z54" s="143">
        <f>+'Fuel '!$K24</f>
        <v>3610</v>
      </c>
      <c r="AA54" s="143">
        <f>+'Fuel '!$K24</f>
        <v>3610</v>
      </c>
      <c r="AB54" s="143">
        <f>+'Fuel '!$K24</f>
        <v>3610</v>
      </c>
      <c r="AC54" s="143">
        <f>+'Fuel '!$K24</f>
        <v>3610</v>
      </c>
      <c r="AD54" s="143">
        <f>+'Fuel '!$K24</f>
        <v>3610</v>
      </c>
      <c r="AE54" s="143">
        <f>+'Fuel '!$K24</f>
        <v>3610</v>
      </c>
      <c r="AF54" s="143">
        <f>+'Fuel '!$K24</f>
        <v>3610</v>
      </c>
      <c r="AG54" s="238">
        <f>SUM($B54:AF54)</f>
        <v>88430</v>
      </c>
      <c r="AH54" s="225"/>
      <c r="AI54" s="277"/>
      <c r="AJ54" s="278"/>
      <c r="AK54" s="278"/>
    </row>
    <row r="55" spans="1:37" ht="18" hidden="1" x14ac:dyDescent="0.25">
      <c r="A55" s="10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222"/>
      <c r="AH55" s="222"/>
    </row>
    <row r="56" spans="1:37" ht="18" x14ac:dyDescent="0.25">
      <c r="A56" s="104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222"/>
      <c r="AH56" s="222"/>
    </row>
    <row r="57" spans="1:37" ht="18" x14ac:dyDescent="0.25">
      <c r="A57" s="105" t="s">
        <v>192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37" s="77" customFormat="1" ht="18" x14ac:dyDescent="0.25">
      <c r="A58" s="106" t="s">
        <v>124</v>
      </c>
      <c r="B58" s="107">
        <v>1</v>
      </c>
      <c r="C58" s="107">
        <v>2</v>
      </c>
      <c r="D58" s="107">
        <v>3</v>
      </c>
      <c r="E58" s="107">
        <v>4</v>
      </c>
      <c r="F58" s="107">
        <v>5</v>
      </c>
      <c r="G58" s="107">
        <v>6</v>
      </c>
      <c r="H58" s="107">
        <v>7</v>
      </c>
      <c r="I58" s="107">
        <v>8</v>
      </c>
      <c r="J58" s="107">
        <v>9</v>
      </c>
      <c r="K58" s="107">
        <v>10</v>
      </c>
      <c r="L58" s="107">
        <v>11</v>
      </c>
      <c r="M58" s="107">
        <v>12</v>
      </c>
      <c r="N58" s="107">
        <v>13</v>
      </c>
      <c r="O58" s="107">
        <v>14</v>
      </c>
      <c r="P58" s="107">
        <v>15</v>
      </c>
      <c r="Q58" s="107">
        <v>16</v>
      </c>
      <c r="R58" s="107">
        <v>17</v>
      </c>
      <c r="S58" s="107">
        <v>18</v>
      </c>
      <c r="T58" s="107">
        <v>19</v>
      </c>
      <c r="U58" s="107">
        <v>20</v>
      </c>
      <c r="V58" s="107">
        <v>21</v>
      </c>
      <c r="W58" s="107">
        <v>22</v>
      </c>
      <c r="X58" s="107">
        <v>9</v>
      </c>
      <c r="Y58" s="107">
        <v>24</v>
      </c>
      <c r="Z58" s="107">
        <v>25</v>
      </c>
      <c r="AA58" s="107">
        <v>26</v>
      </c>
      <c r="AB58" s="107">
        <v>27</v>
      </c>
      <c r="AC58" s="107">
        <v>28</v>
      </c>
      <c r="AD58" s="107">
        <v>29</v>
      </c>
      <c r="AE58" s="107">
        <v>30</v>
      </c>
      <c r="AF58" s="107">
        <v>31</v>
      </c>
      <c r="AG58" s="219" t="s">
        <v>86</v>
      </c>
      <c r="AH58" s="219" t="s">
        <v>154</v>
      </c>
      <c r="AI58" s="219" t="s">
        <v>203</v>
      </c>
      <c r="AJ58" s="268"/>
      <c r="AK58" s="268"/>
    </row>
    <row r="59" spans="1:37" s="78" customFormat="1" ht="20.25" x14ac:dyDescent="0.3">
      <c r="A59" s="124" t="s">
        <v>138</v>
      </c>
      <c r="B59" s="144">
        <f>IF(B$9=0,"",+(B18*10)/B$9)</f>
        <v>17.653741057996374</v>
      </c>
      <c r="C59" s="144">
        <f>IF(C$9=0,"",+(C18*10)/C$9)</f>
        <v>7.4826261769881937</v>
      </c>
      <c r="D59" s="144">
        <f t="shared" ref="D59:Y59" si="9">IF(D$9=0,"",+(D18*10)/D$9)</f>
        <v>12.824903141765539</v>
      </c>
      <c r="E59" s="144">
        <f t="shared" si="9"/>
        <v>9.2066941082258378</v>
      </c>
      <c r="F59" s="144">
        <f t="shared" si="9"/>
        <v>12.240704714857154</v>
      </c>
      <c r="G59" s="144" t="str">
        <f t="shared" si="9"/>
        <v/>
      </c>
      <c r="H59" s="144" t="str">
        <f t="shared" si="9"/>
        <v/>
      </c>
      <c r="I59" s="144">
        <f t="shared" si="9"/>
        <v>10.673299126552035</v>
      </c>
      <c r="J59" s="144">
        <f t="shared" si="9"/>
        <v>10.691593352883675</v>
      </c>
      <c r="K59" s="144">
        <f>IF(K$9=0,"",+(K18*10)/K$9)</f>
        <v>9.1015067357383739</v>
      </c>
      <c r="L59" s="144">
        <f>IF(L$9=0,"",+(L18*10)/L$9)</f>
        <v>502.11416490486255</v>
      </c>
      <c r="M59" s="144">
        <f>IF(M$9=0,"",+(M18*10)/M$9)</f>
        <v>12.330836338974692</v>
      </c>
      <c r="N59" s="144" t="str">
        <f>IF(N$9=0,"",+(N18*10)/N$9)</f>
        <v/>
      </c>
      <c r="O59" s="144" t="str">
        <f t="shared" ref="O59:S59" si="10">IF(O$9=0,"",+(O18*10)/O$9)</f>
        <v/>
      </c>
      <c r="P59" s="144">
        <f t="shared" si="10"/>
        <v>6.7897148165465353</v>
      </c>
      <c r="Q59" s="144">
        <f t="shared" si="10"/>
        <v>8.7490843981443795</v>
      </c>
      <c r="R59" s="144">
        <f t="shared" si="10"/>
        <v>6.7764543226047049</v>
      </c>
      <c r="S59" s="144">
        <f t="shared" si="10"/>
        <v>5.4419662819208794</v>
      </c>
      <c r="T59" s="144">
        <f t="shared" si="9"/>
        <v>8.0668230447966138</v>
      </c>
      <c r="U59" s="144" t="str">
        <f t="shared" si="9"/>
        <v/>
      </c>
      <c r="V59" s="144" t="str">
        <f t="shared" si="9"/>
        <v/>
      </c>
      <c r="W59" s="144">
        <f t="shared" si="9"/>
        <v>9.5859444301370633</v>
      </c>
      <c r="X59" s="144">
        <f t="shared" si="9"/>
        <v>9.3548267188719691</v>
      </c>
      <c r="Y59" s="144" t="str">
        <f t="shared" si="9"/>
        <v/>
      </c>
      <c r="Z59" s="144">
        <f>IF(Z$9=0,"",+(Z18*10)/Z$9)</f>
        <v>13.430314340041422</v>
      </c>
      <c r="AA59" s="144">
        <f t="shared" ref="AA59:AF59" si="11">IF(AA$9=0,"",+(AA18*10)/AA$9)</f>
        <v>6.1920924685808636</v>
      </c>
      <c r="AB59" s="144" t="str">
        <f t="shared" si="11"/>
        <v/>
      </c>
      <c r="AC59" s="144" t="str">
        <f t="shared" si="11"/>
        <v/>
      </c>
      <c r="AD59" s="144" t="str">
        <f t="shared" si="11"/>
        <v/>
      </c>
      <c r="AE59" s="144" t="str">
        <f t="shared" si="11"/>
        <v/>
      </c>
      <c r="AF59" s="144">
        <f t="shared" si="11"/>
        <v>7.7740758369030623</v>
      </c>
      <c r="AG59" s="239">
        <f>IF(AG$9=0,"",+(AG18*10)/AG$9)</f>
        <v>11.435078019895911</v>
      </c>
      <c r="AH59" s="240">
        <f>'Daily KPIs'!AI89</f>
        <v>10.199999999999999</v>
      </c>
      <c r="AI59" s="283">
        <f>+AH59-AG59</f>
        <v>-1.2350780198959121</v>
      </c>
      <c r="AJ59" s="271"/>
      <c r="AK59" s="271"/>
    </row>
    <row r="60" spans="1:37" ht="18" hidden="1" x14ac:dyDescent="0.2">
      <c r="A60" s="109"/>
      <c r="M60" s="82"/>
      <c r="AG60" s="241"/>
      <c r="AH60" s="241"/>
    </row>
    <row r="61" spans="1:37" ht="18" x14ac:dyDescent="0.2">
      <c r="A61" s="126" t="s">
        <v>141</v>
      </c>
      <c r="M61" s="82"/>
      <c r="AF61" s="82"/>
      <c r="AG61" s="219" t="s">
        <v>86</v>
      </c>
      <c r="AH61" s="219" t="s">
        <v>154</v>
      </c>
      <c r="AI61" s="219" t="s">
        <v>203</v>
      </c>
    </row>
    <row r="62" spans="1:37" ht="18" x14ac:dyDescent="0.25">
      <c r="A62" s="109" t="s">
        <v>127</v>
      </c>
      <c r="B62" s="145">
        <f>IF(B$9=0,"",+(B28*10)/B$9)</f>
        <v>4.2471319067063744</v>
      </c>
      <c r="C62" s="145">
        <f>IF(C$9=0,"",+(C28*10)/C$9)</f>
        <v>6.6797692910452549</v>
      </c>
      <c r="D62" s="145">
        <f t="shared" ref="D62:W62" si="12">IF(D$9=0,"",+(D28*10)/D$9)</f>
        <v>5.5395524041657431</v>
      </c>
      <c r="E62" s="145">
        <f t="shared" si="12"/>
        <v>4.5905954002234086</v>
      </c>
      <c r="F62" s="145">
        <f t="shared" si="12"/>
        <v>7.5411484404030684</v>
      </c>
      <c r="G62" s="145" t="str">
        <f t="shared" si="12"/>
        <v/>
      </c>
      <c r="H62" s="145" t="str">
        <f t="shared" si="12"/>
        <v/>
      </c>
      <c r="I62" s="145">
        <f t="shared" si="12"/>
        <v>6.2342511717780997</v>
      </c>
      <c r="J62" s="145">
        <f t="shared" si="12"/>
        <v>5.8595485648271568</v>
      </c>
      <c r="K62" s="145">
        <f t="shared" si="12"/>
        <v>5.8910437433375096</v>
      </c>
      <c r="L62" s="145">
        <f t="shared" si="12"/>
        <v>288.93587033121918</v>
      </c>
      <c r="M62" s="145">
        <f>IF(M$9=0,"",+(M28*10)/M$9)</f>
        <v>7.7067727118591822</v>
      </c>
      <c r="N62" s="145" t="str">
        <f>IF(N$9=0,"",+(N28*10)/N$9)</f>
        <v/>
      </c>
      <c r="O62" s="145" t="str">
        <f t="shared" ref="O62:S62" si="13">IF(O$9=0,"",+(O28*10)/O$9)</f>
        <v/>
      </c>
      <c r="P62" s="145">
        <f t="shared" si="13"/>
        <v>1.9288962547007202</v>
      </c>
      <c r="Q62" s="145">
        <f t="shared" si="13"/>
        <v>2.690286933796334</v>
      </c>
      <c r="R62" s="145">
        <f t="shared" si="13"/>
        <v>3.3882271613023525</v>
      </c>
      <c r="S62" s="145">
        <f t="shared" si="13"/>
        <v>1.990064419122308</v>
      </c>
      <c r="T62" s="145">
        <f t="shared" si="12"/>
        <v>3.2038446135362433</v>
      </c>
      <c r="U62" s="145" t="str">
        <f t="shared" si="12"/>
        <v/>
      </c>
      <c r="V62" s="145" t="str">
        <f t="shared" si="12"/>
        <v/>
      </c>
      <c r="W62" s="145">
        <f t="shared" si="12"/>
        <v>3.7485334935759864</v>
      </c>
      <c r="X62" s="145">
        <f t="shared" ref="X62" si="14">IF(X$9=0,"",+(X28*10)/X$9)</f>
        <v>3.9649596689258675</v>
      </c>
      <c r="Y62" s="145" t="str">
        <f t="shared" ref="Y62:AF62" si="15">IF(Y$9=0,"",+(Y28*10)/Y$9)</f>
        <v/>
      </c>
      <c r="Z62" s="145">
        <f t="shared" si="15"/>
        <v>6.3263849128089857</v>
      </c>
      <c r="AA62" s="145">
        <f t="shared" si="15"/>
        <v>2.1595878054001161</v>
      </c>
      <c r="AB62" s="145" t="str">
        <f t="shared" si="15"/>
        <v/>
      </c>
      <c r="AC62" s="145" t="str">
        <f t="shared" si="15"/>
        <v/>
      </c>
      <c r="AD62" s="145" t="str">
        <f t="shared" si="15"/>
        <v/>
      </c>
      <c r="AE62" s="145" t="str">
        <f t="shared" si="15"/>
        <v/>
      </c>
      <c r="AF62" s="145">
        <f t="shared" si="15"/>
        <v>1.8509704373578719</v>
      </c>
      <c r="AG62" s="242">
        <f>IF(+(AG28*10)/AG$9&lt;1,0,+(AG28*10)/AG$9)</f>
        <v>4.905057450193989</v>
      </c>
      <c r="AH62" s="242">
        <v>2.5</v>
      </c>
      <c r="AI62" s="243">
        <f t="shared" ref="AI62:AI78" si="16">AH62-AG62</f>
        <v>-2.405057450193989</v>
      </c>
    </row>
    <row r="63" spans="1:37" ht="18.75" x14ac:dyDescent="0.3">
      <c r="A63" s="167" t="s">
        <v>216</v>
      </c>
      <c r="B63" s="168">
        <f>IF(B$93=0,"",+(B28*10)/B$93)</f>
        <v>3.6149825783972127</v>
      </c>
      <c r="C63" s="168">
        <f t="shared" ref="C63:X63" si="17">IF(C$93=0,"",+(C28*10)/C$93)</f>
        <v>5.1909158971799352</v>
      </c>
      <c r="D63" s="168">
        <f t="shared" si="17"/>
        <v>3.2410135533294047</v>
      </c>
      <c r="E63" s="168" t="str">
        <f t="shared" si="17"/>
        <v/>
      </c>
      <c r="F63" s="168">
        <f t="shared" si="17"/>
        <v>6.0437956204379564</v>
      </c>
      <c r="G63" s="168" t="str">
        <f t="shared" si="17"/>
        <v/>
      </c>
      <c r="H63" s="168" t="str">
        <f t="shared" si="17"/>
        <v/>
      </c>
      <c r="I63" s="168">
        <f>IF(I$93=0,"",+(I28*10)/I$93)</f>
        <v>5.8160779537149825</v>
      </c>
      <c r="J63" s="168">
        <f t="shared" si="17"/>
        <v>4.7458389563652723</v>
      </c>
      <c r="K63" s="168">
        <f t="shared" si="17"/>
        <v>4.1841930484835066</v>
      </c>
      <c r="L63" s="168">
        <f t="shared" si="17"/>
        <v>3.5972801052862473</v>
      </c>
      <c r="M63" s="168" t="str">
        <f t="shared" si="17"/>
        <v/>
      </c>
      <c r="N63" s="168" t="str">
        <f t="shared" si="17"/>
        <v/>
      </c>
      <c r="O63" s="168" t="str">
        <f t="shared" ref="O63:S63" si="18">IF(O$93=0,"",+(O28*10)/O$93)</f>
        <v/>
      </c>
      <c r="P63" s="168">
        <f t="shared" si="18"/>
        <v>5.144032921810699</v>
      </c>
      <c r="Q63" s="168">
        <f t="shared" si="18"/>
        <v>7.8912466843501319</v>
      </c>
      <c r="R63" s="168">
        <f t="shared" si="18"/>
        <v>4.9305095962938452</v>
      </c>
      <c r="S63" s="168">
        <f t="shared" si="18"/>
        <v>4.0138751238850343</v>
      </c>
      <c r="T63" s="168">
        <f t="shared" si="17"/>
        <v>4.1389504804138957</v>
      </c>
      <c r="U63" s="168" t="str">
        <f t="shared" si="17"/>
        <v/>
      </c>
      <c r="V63" s="168" t="str">
        <f t="shared" si="17"/>
        <v/>
      </c>
      <c r="W63" s="168">
        <f t="shared" si="17"/>
        <v>2.8797537920422074</v>
      </c>
      <c r="X63" s="168">
        <f t="shared" si="17"/>
        <v>4.2207078478786553</v>
      </c>
      <c r="Y63" s="168">
        <f t="shared" ref="Y63:AF63" si="19">IF(Y$93=0,"",+(Y28*10)/Y$93)</f>
        <v>3.9669019226089075</v>
      </c>
      <c r="Z63" s="168">
        <f t="shared" si="19"/>
        <v>4.0008940545373273</v>
      </c>
      <c r="AA63" s="168">
        <f t="shared" si="19"/>
        <v>5.5940594059405937</v>
      </c>
      <c r="AB63" s="168" t="str">
        <f t="shared" si="19"/>
        <v/>
      </c>
      <c r="AC63" s="168" t="str">
        <f t="shared" si="19"/>
        <v/>
      </c>
      <c r="AD63" s="168">
        <f t="shared" si="19"/>
        <v>11.893687707641195</v>
      </c>
      <c r="AE63" s="168">
        <f t="shared" si="19"/>
        <v>2.7111324376199617</v>
      </c>
      <c r="AF63" s="168">
        <f t="shared" si="19"/>
        <v>2.3255813953488373</v>
      </c>
      <c r="AG63" s="244">
        <f>IF(+(AG28*10)/AG$93&lt;1,0,+(AG28*10)/AG$93)</f>
        <v>4.745983096498561</v>
      </c>
      <c r="AH63" s="244">
        <v>2.5</v>
      </c>
      <c r="AI63" s="245">
        <f t="shared" si="16"/>
        <v>-2.245983096498561</v>
      </c>
    </row>
    <row r="64" spans="1:37" s="90" customFormat="1" ht="18" x14ac:dyDescent="0.25">
      <c r="A64" s="146" t="s">
        <v>173</v>
      </c>
      <c r="B64" s="147">
        <f>IF(B$9=0,"",+(B29*10)/B$9)</f>
        <v>0</v>
      </c>
      <c r="C64" s="147">
        <f t="shared" ref="C64:X64" si="20">IF(C$9=0,"",+(C29*10)/C$9)</f>
        <v>0</v>
      </c>
      <c r="D64" s="147">
        <f t="shared" si="20"/>
        <v>0</v>
      </c>
      <c r="E64" s="147">
        <f t="shared" si="20"/>
        <v>0</v>
      </c>
      <c r="F64" s="147">
        <f t="shared" si="20"/>
        <v>0</v>
      </c>
      <c r="G64" s="147" t="str">
        <f t="shared" si="20"/>
        <v/>
      </c>
      <c r="H64" s="147" t="str">
        <f t="shared" si="20"/>
        <v/>
      </c>
      <c r="I64" s="147">
        <f t="shared" si="20"/>
        <v>0</v>
      </c>
      <c r="J64" s="147">
        <f t="shared" si="20"/>
        <v>0</v>
      </c>
      <c r="K64" s="147">
        <f t="shared" si="20"/>
        <v>0</v>
      </c>
      <c r="L64" s="147">
        <f t="shared" si="20"/>
        <v>0</v>
      </c>
      <c r="M64" s="147">
        <f>IF(M$9=0,"",+(M29*10)/M$9)</f>
        <v>0</v>
      </c>
      <c r="N64" s="147" t="str">
        <f t="shared" si="20"/>
        <v/>
      </c>
      <c r="O64" s="147" t="str">
        <f t="shared" ref="O64:S64" si="21">IF(O$9=0,"",+(O29*10)/O$9)</f>
        <v/>
      </c>
      <c r="P64" s="147">
        <f t="shared" si="21"/>
        <v>0</v>
      </c>
      <c r="Q64" s="147">
        <f t="shared" si="21"/>
        <v>0</v>
      </c>
      <c r="R64" s="147">
        <f t="shared" si="21"/>
        <v>0</v>
      </c>
      <c r="S64" s="147">
        <f t="shared" si="21"/>
        <v>0</v>
      </c>
      <c r="T64" s="147">
        <f t="shared" si="20"/>
        <v>0</v>
      </c>
      <c r="U64" s="147" t="str">
        <f t="shared" si="20"/>
        <v/>
      </c>
      <c r="V64" s="147" t="str">
        <f t="shared" si="20"/>
        <v/>
      </c>
      <c r="W64" s="147">
        <f t="shared" si="20"/>
        <v>0</v>
      </c>
      <c r="X64" s="147">
        <f t="shared" si="20"/>
        <v>0</v>
      </c>
      <c r="Y64" s="147" t="str">
        <f t="shared" ref="Y64:AF64" si="22">IF(Y$9=0,"",+(Y29*10)/Y$9)</f>
        <v/>
      </c>
      <c r="Z64" s="147">
        <f t="shared" si="22"/>
        <v>0</v>
      </c>
      <c r="AA64" s="147">
        <f t="shared" si="22"/>
        <v>0</v>
      </c>
      <c r="AB64" s="147" t="str">
        <f t="shared" si="22"/>
        <v/>
      </c>
      <c r="AC64" s="147" t="str">
        <f t="shared" si="22"/>
        <v/>
      </c>
      <c r="AD64" s="147" t="str">
        <f t="shared" si="22"/>
        <v/>
      </c>
      <c r="AE64" s="147" t="str">
        <f t="shared" si="22"/>
        <v/>
      </c>
      <c r="AF64" s="147">
        <f t="shared" si="22"/>
        <v>0</v>
      </c>
      <c r="AG64" s="246">
        <f>+(AG29*10)/AG$9</f>
        <v>2.6907753063284877E-2</v>
      </c>
      <c r="AH64" s="246">
        <v>0.1</v>
      </c>
      <c r="AI64" s="247">
        <f>AH64-AG64</f>
        <v>7.3092246936715122E-2</v>
      </c>
      <c r="AJ64" s="284"/>
      <c r="AK64" s="284"/>
    </row>
    <row r="65" spans="1:37" s="87" customFormat="1" ht="18" x14ac:dyDescent="0.25">
      <c r="A65" s="135" t="s">
        <v>189</v>
      </c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248"/>
      <c r="AH65" s="248">
        <v>0.1</v>
      </c>
      <c r="AI65" s="249">
        <f>AH65-AG65</f>
        <v>0.1</v>
      </c>
      <c r="AJ65" s="275"/>
      <c r="AK65" s="275"/>
    </row>
    <row r="66" spans="1:37" ht="18" x14ac:dyDescent="0.25">
      <c r="A66" s="109" t="s">
        <v>172</v>
      </c>
      <c r="B66" s="145">
        <f t="shared" ref="B66:V66" si="23">IF(B$9=0,"",+(B31*10)/B$9)</f>
        <v>0</v>
      </c>
      <c r="C66" s="145">
        <f t="shared" si="23"/>
        <v>0</v>
      </c>
      <c r="D66" s="145">
        <f t="shared" si="23"/>
        <v>0</v>
      </c>
      <c r="E66" s="145">
        <f t="shared" si="23"/>
        <v>0</v>
      </c>
      <c r="F66" s="145">
        <f t="shared" si="23"/>
        <v>0</v>
      </c>
      <c r="G66" s="145" t="str">
        <f t="shared" si="23"/>
        <v/>
      </c>
      <c r="H66" s="145" t="str">
        <f t="shared" si="23"/>
        <v/>
      </c>
      <c r="I66" s="145">
        <f t="shared" si="23"/>
        <v>0</v>
      </c>
      <c r="J66" s="145">
        <f t="shared" si="23"/>
        <v>0</v>
      </c>
      <c r="K66" s="145">
        <f t="shared" si="23"/>
        <v>0</v>
      </c>
      <c r="L66" s="145">
        <f t="shared" si="23"/>
        <v>0</v>
      </c>
      <c r="M66" s="145">
        <f t="shared" si="23"/>
        <v>0</v>
      </c>
      <c r="N66" s="145" t="str">
        <f t="shared" si="23"/>
        <v/>
      </c>
      <c r="O66" s="145" t="str">
        <f t="shared" ref="O66:S66" si="24">IF(O$9=0,"",+(O31*10)/O$9)</f>
        <v/>
      </c>
      <c r="P66" s="145">
        <f t="shared" si="24"/>
        <v>0</v>
      </c>
      <c r="Q66" s="145">
        <f t="shared" si="24"/>
        <v>0</v>
      </c>
      <c r="R66" s="145">
        <f t="shared" si="24"/>
        <v>0</v>
      </c>
      <c r="S66" s="145">
        <f t="shared" si="24"/>
        <v>0</v>
      </c>
      <c r="T66" s="145">
        <f t="shared" si="23"/>
        <v>0</v>
      </c>
      <c r="U66" s="145" t="str">
        <f t="shared" si="23"/>
        <v/>
      </c>
      <c r="V66" s="145" t="str">
        <f t="shared" si="23"/>
        <v/>
      </c>
      <c r="W66" s="145" t="s">
        <v>212</v>
      </c>
      <c r="X66" s="145"/>
      <c r="Y66" s="145"/>
      <c r="Z66" s="145"/>
      <c r="AA66" s="145"/>
      <c r="AB66" s="145"/>
      <c r="AC66" s="145"/>
      <c r="AD66" s="145"/>
      <c r="AE66" s="145"/>
      <c r="AF66" s="145"/>
      <c r="AG66" s="242">
        <f>+(AG31*10)/AG$9</f>
        <v>0</v>
      </c>
      <c r="AH66" s="242">
        <v>0.7</v>
      </c>
      <c r="AI66" s="243">
        <f t="shared" si="16"/>
        <v>0.7</v>
      </c>
    </row>
    <row r="67" spans="1:37" s="91" customFormat="1" ht="18" x14ac:dyDescent="0.25">
      <c r="A67" s="149" t="s">
        <v>174</v>
      </c>
      <c r="B67" s="150">
        <f t="shared" ref="B67:X67" si="25">IF(B$9=0,"",+(B32*10)/B$9)</f>
        <v>0</v>
      </c>
      <c r="C67" s="150">
        <f t="shared" si="25"/>
        <v>0</v>
      </c>
      <c r="D67" s="150">
        <f t="shared" si="25"/>
        <v>0</v>
      </c>
      <c r="E67" s="150">
        <f t="shared" si="25"/>
        <v>0</v>
      </c>
      <c r="F67" s="150">
        <f t="shared" si="25"/>
        <v>0</v>
      </c>
      <c r="G67" s="150" t="str">
        <f t="shared" si="25"/>
        <v/>
      </c>
      <c r="H67" s="150" t="str">
        <f t="shared" si="25"/>
        <v/>
      </c>
      <c r="I67" s="150">
        <f t="shared" si="25"/>
        <v>0</v>
      </c>
      <c r="J67" s="150">
        <f t="shared" si="25"/>
        <v>0</v>
      </c>
      <c r="K67" s="150">
        <f t="shared" si="25"/>
        <v>0</v>
      </c>
      <c r="L67" s="150">
        <f t="shared" si="25"/>
        <v>0</v>
      </c>
      <c r="M67" s="150">
        <f t="shared" si="25"/>
        <v>0</v>
      </c>
      <c r="N67" s="150" t="str">
        <f t="shared" si="25"/>
        <v/>
      </c>
      <c r="O67" s="150" t="str">
        <f t="shared" ref="O67:S67" si="26">IF(O$9=0,"",+(O32*10)/O$9)</f>
        <v/>
      </c>
      <c r="P67" s="150">
        <f t="shared" si="26"/>
        <v>0</v>
      </c>
      <c r="Q67" s="150">
        <f t="shared" si="26"/>
        <v>0</v>
      </c>
      <c r="R67" s="150">
        <f t="shared" si="26"/>
        <v>0.2501375756666166</v>
      </c>
      <c r="S67" s="150">
        <f t="shared" si="26"/>
        <v>0.4545208858489222</v>
      </c>
      <c r="T67" s="150">
        <f t="shared" si="25"/>
        <v>0</v>
      </c>
      <c r="U67" s="150" t="str">
        <f t="shared" si="25"/>
        <v/>
      </c>
      <c r="V67" s="150" t="str">
        <f t="shared" si="25"/>
        <v/>
      </c>
      <c r="W67" s="150">
        <f t="shared" si="25"/>
        <v>0</v>
      </c>
      <c r="X67" s="150">
        <f t="shared" si="25"/>
        <v>0</v>
      </c>
      <c r="Y67" s="150" t="str">
        <f t="shared" ref="Y67:AF67" si="27">IF(Y$9=0,"",+(Y32*10)/Y$9)</f>
        <v/>
      </c>
      <c r="Z67" s="150">
        <f t="shared" si="27"/>
        <v>0</v>
      </c>
      <c r="AA67" s="150">
        <f t="shared" si="27"/>
        <v>0</v>
      </c>
      <c r="AB67" s="150" t="str">
        <f t="shared" si="27"/>
        <v/>
      </c>
      <c r="AC67" s="150" t="str">
        <f t="shared" si="27"/>
        <v/>
      </c>
      <c r="AD67" s="150" t="str">
        <f t="shared" si="27"/>
        <v/>
      </c>
      <c r="AE67" s="150" t="str">
        <f t="shared" si="27"/>
        <v/>
      </c>
      <c r="AF67" s="150">
        <f t="shared" si="27"/>
        <v>5.2884869638796336E-2</v>
      </c>
      <c r="AG67" s="250">
        <f>+(AG32*10)/AG$9</f>
        <v>0.1275287511512555</v>
      </c>
      <c r="AH67" s="250">
        <v>1</v>
      </c>
      <c r="AI67" s="251">
        <f>AH67-AG67</f>
        <v>0.8724712488487445</v>
      </c>
      <c r="AJ67" s="285"/>
      <c r="AK67" s="285"/>
    </row>
    <row r="68" spans="1:37" ht="18" x14ac:dyDescent="0.25">
      <c r="A68" s="121" t="s">
        <v>100</v>
      </c>
      <c r="B68" s="145">
        <f t="shared" ref="B68:X68" si="28">IF(B$9=0,"",+(B33*10)/B$9)</f>
        <v>2.2003213492575191</v>
      </c>
      <c r="C68" s="145">
        <f t="shared" si="28"/>
        <v>2.3122278315156652</v>
      </c>
      <c r="D68" s="145">
        <f t="shared" si="28"/>
        <v>0.73860698722209917</v>
      </c>
      <c r="E68" s="145">
        <f t="shared" si="28"/>
        <v>1.7342249289732878</v>
      </c>
      <c r="F68" s="145">
        <f t="shared" si="28"/>
        <v>1.8943947772993215</v>
      </c>
      <c r="G68" s="145" t="str">
        <f t="shared" si="28"/>
        <v/>
      </c>
      <c r="H68" s="145" t="str">
        <f t="shared" si="28"/>
        <v/>
      </c>
      <c r="I68" s="145">
        <f t="shared" si="28"/>
        <v>0.39168070189181775</v>
      </c>
      <c r="J68" s="145">
        <f t="shared" si="28"/>
        <v>0.83311117035457205</v>
      </c>
      <c r="K68" s="145">
        <f t="shared" si="28"/>
        <v>1.5273076371615766</v>
      </c>
      <c r="L68" s="145">
        <f t="shared" si="28"/>
        <v>52.854122621564478</v>
      </c>
      <c r="M68" s="145">
        <f t="shared" si="28"/>
        <v>1.8496254508462036</v>
      </c>
      <c r="N68" s="145" t="str">
        <f t="shared" si="28"/>
        <v/>
      </c>
      <c r="O68" s="145" t="str">
        <f t="shared" ref="O68:S68" si="29">IF(O$9=0,"",+(O33*10)/O$9)</f>
        <v/>
      </c>
      <c r="P68" s="145">
        <f t="shared" si="29"/>
        <v>0</v>
      </c>
      <c r="Q68" s="145">
        <f t="shared" si="29"/>
        <v>0.83647576933163326</v>
      </c>
      <c r="R68" s="145">
        <f t="shared" si="29"/>
        <v>0.84137184542407406</v>
      </c>
      <c r="S68" s="145">
        <f t="shared" si="29"/>
        <v>0.4545208858489222</v>
      </c>
      <c r="T68" s="145">
        <f t="shared" si="28"/>
        <v>0.74374964242805652</v>
      </c>
      <c r="U68" s="145" t="str">
        <f t="shared" si="28"/>
        <v/>
      </c>
      <c r="V68" s="145" t="str">
        <f t="shared" si="28"/>
        <v/>
      </c>
      <c r="W68" s="145">
        <f t="shared" si="28"/>
        <v>1.2018198987037514</v>
      </c>
      <c r="X68" s="145">
        <f t="shared" si="28"/>
        <v>1.3423040545842782</v>
      </c>
      <c r="Y68" s="145" t="str">
        <f t="shared" ref="Y68:AF68" si="30">IF(Y$9=0,"",+(Y33*10)/Y$9)</f>
        <v/>
      </c>
      <c r="Z68" s="145">
        <f t="shared" si="30"/>
        <v>1.5904319613206948</v>
      </c>
      <c r="AA68" s="145">
        <f t="shared" si="30"/>
        <v>0.97468122190624706</v>
      </c>
      <c r="AB68" s="145" t="str">
        <f t="shared" si="30"/>
        <v/>
      </c>
      <c r="AC68" s="145" t="str">
        <f t="shared" si="30"/>
        <v/>
      </c>
      <c r="AD68" s="145" t="str">
        <f t="shared" si="30"/>
        <v/>
      </c>
      <c r="AE68" s="145" t="str">
        <f t="shared" si="30"/>
        <v/>
      </c>
      <c r="AF68" s="145">
        <f t="shared" si="30"/>
        <v>0</v>
      </c>
      <c r="AG68" s="242">
        <f>+(AG33*10)/AG$9</f>
        <v>1.2876290035594509</v>
      </c>
      <c r="AH68" s="242">
        <v>0.7</v>
      </c>
      <c r="AI68" s="243">
        <f t="shared" si="16"/>
        <v>-0.58762900355945091</v>
      </c>
    </row>
    <row r="69" spans="1:37" ht="18" x14ac:dyDescent="0.25">
      <c r="A69" s="121" t="s">
        <v>129</v>
      </c>
      <c r="B69" s="145">
        <f t="shared" ref="B69:X69" si="31">IF(B$9=0,"",+(B34*10)/B$9)</f>
        <v>1.9956402935126338</v>
      </c>
      <c r="C69" s="145">
        <f t="shared" si="31"/>
        <v>2.2479992806402298</v>
      </c>
      <c r="D69" s="145">
        <f t="shared" si="31"/>
        <v>2.282967051413761</v>
      </c>
      <c r="E69" s="145">
        <f t="shared" si="31"/>
        <v>1.9127480834264203</v>
      </c>
      <c r="F69" s="145">
        <f t="shared" si="31"/>
        <v>2.1494094588588455</v>
      </c>
      <c r="G69" s="145" t="str">
        <f t="shared" si="31"/>
        <v/>
      </c>
      <c r="H69" s="145" t="str">
        <f t="shared" si="31"/>
        <v/>
      </c>
      <c r="I69" s="145">
        <f t="shared" si="31"/>
        <v>2.0889637434230282</v>
      </c>
      <c r="J69" s="145">
        <f t="shared" si="31"/>
        <v>2.0827779258864303</v>
      </c>
      <c r="K69" s="145">
        <f t="shared" si="31"/>
        <v>2.1818680530879666</v>
      </c>
      <c r="L69" s="145">
        <f t="shared" si="31"/>
        <v>36.99788583509514</v>
      </c>
      <c r="M69" s="145">
        <f t="shared" si="31"/>
        <v>3.5451154474552236</v>
      </c>
      <c r="N69" s="145" t="str">
        <f t="shared" si="31"/>
        <v/>
      </c>
      <c r="O69" s="145" t="str">
        <f t="shared" ref="O69:S69" si="32">IF(O$9=0,"",+(O34*10)/O$9)</f>
        <v/>
      </c>
      <c r="P69" s="145">
        <f t="shared" si="32"/>
        <v>7.7155850188028813E-2</v>
      </c>
      <c r="Q69" s="145">
        <f t="shared" si="32"/>
        <v>9.042981290071711E-2</v>
      </c>
      <c r="R69" s="145">
        <f t="shared" si="32"/>
        <v>9.0959118424224231E-2</v>
      </c>
      <c r="S69" s="145">
        <f t="shared" si="32"/>
        <v>4.9137393064748347E-2</v>
      </c>
      <c r="T69" s="145">
        <f t="shared" si="31"/>
        <v>1.6972748250281289</v>
      </c>
      <c r="U69" s="145" t="str">
        <f t="shared" si="31"/>
        <v/>
      </c>
      <c r="V69" s="145" t="str">
        <f t="shared" si="31"/>
        <v/>
      </c>
      <c r="W69" s="145">
        <f t="shared" si="31"/>
        <v>2.4894840758863421</v>
      </c>
      <c r="X69" s="145">
        <f t="shared" si="31"/>
        <v>1.9618290028539449</v>
      </c>
      <c r="Y69" s="145" t="str">
        <f t="shared" ref="Y69:AF69" si="33">IF(Y$9=0,"",+(Y34*10)/Y$9)</f>
        <v/>
      </c>
      <c r="Z69" s="145">
        <f t="shared" si="33"/>
        <v>2.7214058004820774</v>
      </c>
      <c r="AA69" s="145">
        <f t="shared" si="33"/>
        <v>1.8920282542885971</v>
      </c>
      <c r="AB69" s="145" t="str">
        <f t="shared" si="33"/>
        <v/>
      </c>
      <c r="AC69" s="145" t="str">
        <f t="shared" si="33"/>
        <v/>
      </c>
      <c r="AD69" s="145" t="str">
        <f t="shared" si="33"/>
        <v/>
      </c>
      <c r="AE69" s="145" t="str">
        <f t="shared" si="33"/>
        <v/>
      </c>
      <c r="AF69" s="145">
        <f t="shared" si="33"/>
        <v>1.5865460891638903</v>
      </c>
      <c r="AG69" s="242">
        <f>+(AG34*10)/AG$9</f>
        <v>1.8964759445396384</v>
      </c>
      <c r="AH69" s="242">
        <v>2.6</v>
      </c>
      <c r="AI69" s="243">
        <f t="shared" si="16"/>
        <v>0.70352405546036167</v>
      </c>
    </row>
    <row r="70" spans="1:37" ht="18.75" x14ac:dyDescent="0.3">
      <c r="A70" s="169" t="s">
        <v>101</v>
      </c>
      <c r="B70" s="170" t="str">
        <f>IF(B$86=0,"",+(B34*10)/B$86)</f>
        <v/>
      </c>
      <c r="C70" s="170" t="str">
        <f t="shared" ref="C70:X70" si="34">IF(C$86=0,"",+(C34*10)/C$86)</f>
        <v/>
      </c>
      <c r="D70" s="170" t="str">
        <f t="shared" si="34"/>
        <v/>
      </c>
      <c r="E70" s="170" t="str">
        <f t="shared" si="34"/>
        <v/>
      </c>
      <c r="F70" s="170" t="str">
        <f t="shared" si="34"/>
        <v/>
      </c>
      <c r="G70" s="170" t="str">
        <f t="shared" si="34"/>
        <v/>
      </c>
      <c r="H70" s="170" t="str">
        <f t="shared" si="34"/>
        <v/>
      </c>
      <c r="I70" s="170" t="str">
        <f t="shared" si="34"/>
        <v/>
      </c>
      <c r="J70" s="170" t="str">
        <f t="shared" si="34"/>
        <v/>
      </c>
      <c r="K70" s="170" t="str">
        <f t="shared" si="34"/>
        <v/>
      </c>
      <c r="L70" s="170" t="str">
        <f t="shared" si="34"/>
        <v/>
      </c>
      <c r="M70" s="170" t="str">
        <f t="shared" si="34"/>
        <v/>
      </c>
      <c r="N70" s="170" t="str">
        <f t="shared" si="34"/>
        <v/>
      </c>
      <c r="O70" s="170" t="str">
        <f t="shared" ref="O70:S70" si="35">IF(O$86=0,"",+(O34*10)/O$86)</f>
        <v/>
      </c>
      <c r="P70" s="170" t="str">
        <f t="shared" si="35"/>
        <v/>
      </c>
      <c r="Q70" s="170" t="str">
        <f t="shared" si="35"/>
        <v/>
      </c>
      <c r="R70" s="170" t="str">
        <f t="shared" si="35"/>
        <v/>
      </c>
      <c r="S70" s="170" t="str">
        <f t="shared" si="35"/>
        <v/>
      </c>
      <c r="T70" s="170" t="str">
        <f t="shared" si="34"/>
        <v/>
      </c>
      <c r="U70" s="170" t="str">
        <f t="shared" si="34"/>
        <v/>
      </c>
      <c r="V70" s="170" t="str">
        <f t="shared" si="34"/>
        <v/>
      </c>
      <c r="W70" s="170" t="str">
        <f t="shared" si="34"/>
        <v/>
      </c>
      <c r="X70" s="170" t="str">
        <f t="shared" si="34"/>
        <v/>
      </c>
      <c r="Y70" s="170" t="str">
        <f t="shared" ref="Y70:AF70" si="36">IF(Y$86=0,"",+(Y34*10)/Y$86)</f>
        <v/>
      </c>
      <c r="Z70" s="170" t="str">
        <f t="shared" si="36"/>
        <v/>
      </c>
      <c r="AA70" s="170" t="str">
        <f t="shared" si="36"/>
        <v/>
      </c>
      <c r="AB70" s="170" t="str">
        <f t="shared" si="36"/>
        <v/>
      </c>
      <c r="AC70" s="170" t="str">
        <f t="shared" si="36"/>
        <v/>
      </c>
      <c r="AD70" s="170" t="str">
        <f t="shared" si="36"/>
        <v/>
      </c>
      <c r="AE70" s="170" t="str">
        <f t="shared" si="36"/>
        <v/>
      </c>
      <c r="AF70" s="170" t="str">
        <f t="shared" si="36"/>
        <v/>
      </c>
      <c r="AG70" s="252"/>
      <c r="AH70" s="252">
        <v>2.6</v>
      </c>
      <c r="AI70" s="253">
        <f t="shared" si="16"/>
        <v>2.6</v>
      </c>
    </row>
    <row r="71" spans="1:37" ht="18" x14ac:dyDescent="0.25">
      <c r="A71" s="121" t="s">
        <v>170</v>
      </c>
      <c r="B71" s="145">
        <f t="shared" ref="B71:X71" si="37">IF(B$9=0,"",+(B35*10)/B$9)</f>
        <v>0.66521343117087794</v>
      </c>
      <c r="C71" s="145">
        <f t="shared" si="37"/>
        <v>0.57805695787891631</v>
      </c>
      <c r="D71" s="145">
        <f t="shared" si="37"/>
        <v>0.67146089747463555</v>
      </c>
      <c r="E71" s="145">
        <f t="shared" si="37"/>
        <v>0.48456284780135983</v>
      </c>
      <c r="F71" s="145">
        <f t="shared" si="37"/>
        <v>0.54646003191326575</v>
      </c>
      <c r="G71" s="145" t="str">
        <f t="shared" si="37"/>
        <v/>
      </c>
      <c r="H71" s="145" t="str">
        <f t="shared" si="37"/>
        <v/>
      </c>
      <c r="I71" s="145">
        <f t="shared" si="37"/>
        <v>0.4896008773647722</v>
      </c>
      <c r="J71" s="145">
        <f t="shared" si="37"/>
        <v>0.52763707455789566</v>
      </c>
      <c r="K71" s="145">
        <f t="shared" si="37"/>
        <v>0.56105178507976283</v>
      </c>
      <c r="L71" s="145">
        <f t="shared" si="37"/>
        <v>8.8090204369274137</v>
      </c>
      <c r="M71" s="145">
        <f t="shared" si="37"/>
        <v>0.61654181694873456</v>
      </c>
      <c r="N71" s="145" t="str">
        <f t="shared" si="37"/>
        <v/>
      </c>
      <c r="O71" s="145" t="str">
        <f t="shared" ref="O71:S71" si="38">IF(O$9=0,"",+(O35*10)/O$9)</f>
        <v/>
      </c>
      <c r="P71" s="145">
        <f t="shared" si="38"/>
        <v>0.5015130262221873</v>
      </c>
      <c r="Q71" s="145">
        <f t="shared" si="38"/>
        <v>0.45214906450358555</v>
      </c>
      <c r="R71" s="145">
        <f t="shared" si="38"/>
        <v>0.65945360857562563</v>
      </c>
      <c r="S71" s="145">
        <f t="shared" si="38"/>
        <v>0.39309914451798678</v>
      </c>
      <c r="T71" s="145">
        <f t="shared" si="37"/>
        <v>0.45769208764803476</v>
      </c>
      <c r="U71" s="145" t="str">
        <f t="shared" si="37"/>
        <v/>
      </c>
      <c r="V71" s="145" t="str">
        <f t="shared" si="37"/>
        <v/>
      </c>
      <c r="W71" s="145">
        <f t="shared" si="37"/>
        <v>0</v>
      </c>
      <c r="X71" s="145">
        <f t="shared" si="37"/>
        <v>0.99123991723146687</v>
      </c>
      <c r="Y71" s="145" t="str">
        <f t="shared" ref="Y71:AF71" si="39">IF(Y$9=0,"",+(Y35*10)/Y$9)</f>
        <v/>
      </c>
      <c r="Z71" s="145">
        <f t="shared" si="39"/>
        <v>0.63617278452827786</v>
      </c>
      <c r="AA71" s="145">
        <f t="shared" si="39"/>
        <v>0.49689630920710631</v>
      </c>
      <c r="AB71" s="145" t="str">
        <f t="shared" si="39"/>
        <v/>
      </c>
      <c r="AC71" s="145" t="str">
        <f t="shared" si="39"/>
        <v/>
      </c>
      <c r="AD71" s="145" t="str">
        <f t="shared" si="39"/>
        <v/>
      </c>
      <c r="AE71" s="145" t="str">
        <f t="shared" si="39"/>
        <v/>
      </c>
      <c r="AF71" s="145">
        <f t="shared" si="39"/>
        <v>5.2884869638796336E-2</v>
      </c>
      <c r="AG71" s="242">
        <f>+(AG35*10)/AG$9</f>
        <v>0.63215864817987943</v>
      </c>
      <c r="AH71" s="242">
        <v>0.7</v>
      </c>
      <c r="AI71" s="243">
        <f>AH71-AG71</f>
        <v>6.7841351820120521E-2</v>
      </c>
    </row>
    <row r="72" spans="1:37" ht="18" x14ac:dyDescent="0.25">
      <c r="A72" s="109" t="s">
        <v>128</v>
      </c>
      <c r="B72" s="145">
        <f t="shared" ref="B72:X72" si="40">IF(B$9=0,"",+(B36*10)/B$9)</f>
        <v>0.15351079180866414</v>
      </c>
      <c r="C72" s="145">
        <f t="shared" si="40"/>
        <v>0.28902847893945816</v>
      </c>
      <c r="D72" s="145">
        <f t="shared" si="40"/>
        <v>0.26858435898985422</v>
      </c>
      <c r="E72" s="145">
        <f t="shared" si="40"/>
        <v>0.20402646223215151</v>
      </c>
      <c r="F72" s="145">
        <f t="shared" si="40"/>
        <v>0.18215334397108859</v>
      </c>
      <c r="G72" s="145" t="str">
        <f t="shared" si="40"/>
        <v/>
      </c>
      <c r="H72" s="145" t="str">
        <f t="shared" si="40"/>
        <v/>
      </c>
      <c r="I72" s="145">
        <f t="shared" si="40"/>
        <v>0.4896008773647722</v>
      </c>
      <c r="J72" s="145">
        <f t="shared" si="40"/>
        <v>0.27770372345152405</v>
      </c>
      <c r="K72" s="145">
        <f t="shared" si="40"/>
        <v>0.28052589253988142</v>
      </c>
      <c r="L72" s="145">
        <f t="shared" si="40"/>
        <v>10.570824524312895</v>
      </c>
      <c r="M72" s="145">
        <f t="shared" si="40"/>
        <v>0.61654181694873456</v>
      </c>
      <c r="N72" s="145" t="str">
        <f t="shared" si="40"/>
        <v/>
      </c>
      <c r="O72" s="145" t="str">
        <f t="shared" ref="O72:S72" si="41">IF(O$9=0,"",+(O36*10)/O$9)</f>
        <v/>
      </c>
      <c r="P72" s="145">
        <f t="shared" si="41"/>
        <v>0.28933443820510801</v>
      </c>
      <c r="Q72" s="145">
        <f t="shared" si="41"/>
        <v>0.24868198547697204</v>
      </c>
      <c r="R72" s="145">
        <f t="shared" si="41"/>
        <v>0.31835691448478476</v>
      </c>
      <c r="S72" s="145">
        <f t="shared" si="41"/>
        <v>0.15969652746043211</v>
      </c>
      <c r="T72" s="145">
        <f t="shared" si="40"/>
        <v>0.17163453286801303</v>
      </c>
      <c r="U72" s="145" t="str">
        <f t="shared" si="40"/>
        <v/>
      </c>
      <c r="V72" s="145" t="str">
        <f t="shared" si="40"/>
        <v/>
      </c>
      <c r="W72" s="145">
        <f t="shared" si="40"/>
        <v>0.28614759492946462</v>
      </c>
      <c r="X72" s="145">
        <f t="shared" si="40"/>
        <v>0.22715914769887782</v>
      </c>
      <c r="Y72" s="145" t="str">
        <f t="shared" ref="Y72:AF72" si="42">IF(Y$9=0,"",+(Y36*10)/Y$9)</f>
        <v/>
      </c>
      <c r="Z72" s="145">
        <f t="shared" si="42"/>
        <v>0.21205759484275929</v>
      </c>
      <c r="AA72" s="145">
        <f t="shared" si="42"/>
        <v>0.11466837904779377</v>
      </c>
      <c r="AB72" s="145" t="str">
        <f t="shared" si="42"/>
        <v/>
      </c>
      <c r="AC72" s="145" t="str">
        <f t="shared" si="42"/>
        <v/>
      </c>
      <c r="AD72" s="145" t="str">
        <f t="shared" si="42"/>
        <v/>
      </c>
      <c r="AE72" s="145" t="str">
        <f t="shared" si="42"/>
        <v/>
      </c>
      <c r="AF72" s="145">
        <f t="shared" si="42"/>
        <v>0.2644243481939817</v>
      </c>
      <c r="AG72" s="242">
        <f>+(AG36*10)/AG$9</f>
        <v>0.27425537881990431</v>
      </c>
      <c r="AH72" s="242">
        <v>0.1</v>
      </c>
      <c r="AI72" s="243">
        <f>AH72-AG72</f>
        <v>-0.1742553788199043</v>
      </c>
    </row>
    <row r="73" spans="1:37" ht="18" x14ac:dyDescent="0.25">
      <c r="A73" s="121" t="s">
        <v>130</v>
      </c>
      <c r="B73" s="145">
        <f t="shared" ref="B73:X73" si="43">IF(B$9=0,"",+(B37*10)/B$9)</f>
        <v>0.2814364516492176</v>
      </c>
      <c r="C73" s="145">
        <f t="shared" si="43"/>
        <v>0.73862833506750414</v>
      </c>
      <c r="D73" s="145">
        <f t="shared" si="43"/>
        <v>0.50359567310597664</v>
      </c>
      <c r="E73" s="145">
        <f t="shared" si="43"/>
        <v>0.48456284780135983</v>
      </c>
      <c r="F73" s="145">
        <f t="shared" si="43"/>
        <v>0.54646003191326575</v>
      </c>
      <c r="G73" s="145" t="str">
        <f t="shared" si="43"/>
        <v/>
      </c>
      <c r="H73" s="145" t="str">
        <f t="shared" si="43"/>
        <v/>
      </c>
      <c r="I73" s="145">
        <f t="shared" si="43"/>
        <v>0.58752105283772671</v>
      </c>
      <c r="J73" s="145">
        <f t="shared" si="43"/>
        <v>0.38878521283213363</v>
      </c>
      <c r="K73" s="145">
        <f t="shared" si="43"/>
        <v>0.40520406700205092</v>
      </c>
      <c r="L73" s="145">
        <f t="shared" si="43"/>
        <v>17.618040873854827</v>
      </c>
      <c r="M73" s="145">
        <f t="shared" si="43"/>
        <v>1.0789481796602856</v>
      </c>
      <c r="N73" s="145" t="str">
        <f t="shared" si="43"/>
        <v/>
      </c>
      <c r="O73" s="145" t="str">
        <f t="shared" ref="O73:S73" si="44">IF(O$9=0,"",+(O37*10)/O$9)</f>
        <v/>
      </c>
      <c r="P73" s="145">
        <f t="shared" si="44"/>
        <v>0.40506821348715122</v>
      </c>
      <c r="Q73" s="145">
        <f t="shared" si="44"/>
        <v>0.27128943870215133</v>
      </c>
      <c r="R73" s="145">
        <f t="shared" si="44"/>
        <v>0.27287735527267265</v>
      </c>
      <c r="S73" s="145">
        <f t="shared" si="44"/>
        <v>0.27025566185611588</v>
      </c>
      <c r="T73" s="145">
        <f t="shared" si="43"/>
        <v>0.28605755478002176</v>
      </c>
      <c r="U73" s="145" t="str">
        <f t="shared" si="43"/>
        <v/>
      </c>
      <c r="V73" s="145" t="str">
        <f t="shared" si="43"/>
        <v/>
      </c>
      <c r="W73" s="145">
        <f t="shared" si="43"/>
        <v>0.48645091138008983</v>
      </c>
      <c r="X73" s="145">
        <f t="shared" si="43"/>
        <v>0.26846081091685559</v>
      </c>
      <c r="Y73" s="145" t="str">
        <f t="shared" ref="Y73:AF73" si="45">IF(Y$9=0,"",+(Y37*10)/Y$9)</f>
        <v/>
      </c>
      <c r="Z73" s="145">
        <f t="shared" si="45"/>
        <v>0.45945812215931181</v>
      </c>
      <c r="AA73" s="145">
        <f t="shared" si="45"/>
        <v>0.28667094761948442</v>
      </c>
      <c r="AB73" s="145" t="str">
        <f t="shared" si="45"/>
        <v/>
      </c>
      <c r="AC73" s="145" t="str">
        <f t="shared" si="45"/>
        <v/>
      </c>
      <c r="AD73" s="145" t="str">
        <f t="shared" si="45"/>
        <v/>
      </c>
      <c r="AE73" s="145" t="str">
        <f t="shared" si="45"/>
        <v/>
      </c>
      <c r="AF73" s="145">
        <f t="shared" si="45"/>
        <v>5.2884869638796336E-2</v>
      </c>
      <c r="AG73" s="242">
        <f>+(AG37*10)/AG$9</f>
        <v>0.45937775952333976</v>
      </c>
      <c r="AH73" s="242">
        <v>0.6</v>
      </c>
      <c r="AI73" s="243">
        <f t="shared" si="16"/>
        <v>0.14062224047666022</v>
      </c>
    </row>
    <row r="74" spans="1:37" s="91" customFormat="1" ht="18" x14ac:dyDescent="0.25">
      <c r="A74" s="149" t="s">
        <v>167</v>
      </c>
      <c r="B74" s="150">
        <f t="shared" ref="B74:X74" si="46">IF(B$9=0,"",+(B38*10)/B$9)</f>
        <v>0</v>
      </c>
      <c r="C74" s="150">
        <f t="shared" si="46"/>
        <v>0</v>
      </c>
      <c r="D74" s="150">
        <f t="shared" si="46"/>
        <v>0</v>
      </c>
      <c r="E74" s="150">
        <f t="shared" si="46"/>
        <v>0</v>
      </c>
      <c r="F74" s="150">
        <f t="shared" si="46"/>
        <v>0</v>
      </c>
      <c r="G74" s="150" t="str">
        <f t="shared" si="46"/>
        <v/>
      </c>
      <c r="H74" s="150" t="str">
        <f t="shared" si="46"/>
        <v/>
      </c>
      <c r="I74" s="150">
        <f t="shared" si="46"/>
        <v>0</v>
      </c>
      <c r="J74" s="150">
        <f t="shared" si="46"/>
        <v>0</v>
      </c>
      <c r="K74" s="150">
        <f t="shared" si="46"/>
        <v>0</v>
      </c>
      <c r="L74" s="150">
        <f t="shared" si="46"/>
        <v>0</v>
      </c>
      <c r="M74" s="150">
        <f t="shared" si="46"/>
        <v>0</v>
      </c>
      <c r="N74" s="150" t="str">
        <f t="shared" si="46"/>
        <v/>
      </c>
      <c r="O74" s="150" t="str">
        <f t="shared" ref="O74:S74" si="47">IF(O$9=0,"",+(O38*10)/O$9)</f>
        <v/>
      </c>
      <c r="P74" s="150">
        <f t="shared" si="47"/>
        <v>0</v>
      </c>
      <c r="Q74" s="150">
        <f t="shared" si="47"/>
        <v>0</v>
      </c>
      <c r="R74" s="150">
        <f t="shared" si="47"/>
        <v>0</v>
      </c>
      <c r="S74" s="150">
        <f t="shared" si="47"/>
        <v>0</v>
      </c>
      <c r="T74" s="150">
        <f t="shared" si="46"/>
        <v>0</v>
      </c>
      <c r="U74" s="150" t="str">
        <f t="shared" si="46"/>
        <v/>
      </c>
      <c r="V74" s="150" t="str">
        <f t="shared" si="46"/>
        <v/>
      </c>
      <c r="W74" s="150">
        <f t="shared" si="46"/>
        <v>0</v>
      </c>
      <c r="X74" s="150">
        <f t="shared" si="46"/>
        <v>0</v>
      </c>
      <c r="Y74" s="150" t="str">
        <f t="shared" ref="Y74:AF74" si="48">IF(Y$9=0,"",+(Y38*10)/Y$9)</f>
        <v/>
      </c>
      <c r="Z74" s="150">
        <f t="shared" si="48"/>
        <v>0</v>
      </c>
      <c r="AA74" s="150">
        <f t="shared" si="48"/>
        <v>0</v>
      </c>
      <c r="AB74" s="150" t="str">
        <f t="shared" si="48"/>
        <v/>
      </c>
      <c r="AC74" s="150" t="str">
        <f t="shared" si="48"/>
        <v/>
      </c>
      <c r="AD74" s="150" t="str">
        <f t="shared" si="48"/>
        <v/>
      </c>
      <c r="AE74" s="150" t="str">
        <f t="shared" si="48"/>
        <v/>
      </c>
      <c r="AF74" s="150">
        <f t="shared" si="48"/>
        <v>0</v>
      </c>
      <c r="AG74" s="250">
        <f>+(AG38*10)/AG$9</f>
        <v>0</v>
      </c>
      <c r="AH74" s="250">
        <v>0.5</v>
      </c>
      <c r="AI74" s="251">
        <f t="shared" si="16"/>
        <v>0.5</v>
      </c>
      <c r="AJ74" s="285"/>
      <c r="AK74" s="285"/>
    </row>
    <row r="75" spans="1:37" ht="18" x14ac:dyDescent="0.25">
      <c r="A75" s="121" t="s">
        <v>202</v>
      </c>
      <c r="B75" s="145">
        <f t="shared" ref="B75:X75" si="49">IF(B$9=0,"",+(B39*10)/B$9)</f>
        <v>0</v>
      </c>
      <c r="C75" s="145">
        <f t="shared" si="49"/>
        <v>0</v>
      </c>
      <c r="D75" s="145">
        <f t="shared" si="49"/>
        <v>0</v>
      </c>
      <c r="E75" s="145">
        <f t="shared" si="49"/>
        <v>0</v>
      </c>
      <c r="F75" s="145">
        <f t="shared" si="49"/>
        <v>0</v>
      </c>
      <c r="G75" s="145" t="str">
        <f t="shared" si="49"/>
        <v/>
      </c>
      <c r="H75" s="145" t="str">
        <f t="shared" si="49"/>
        <v/>
      </c>
      <c r="I75" s="145">
        <f t="shared" si="49"/>
        <v>0</v>
      </c>
      <c r="J75" s="145">
        <f t="shared" si="49"/>
        <v>0</v>
      </c>
      <c r="K75" s="145">
        <f t="shared" si="49"/>
        <v>0</v>
      </c>
      <c r="L75" s="145">
        <f t="shared" si="49"/>
        <v>0</v>
      </c>
      <c r="M75" s="145">
        <f t="shared" si="49"/>
        <v>0</v>
      </c>
      <c r="N75" s="145" t="str">
        <f t="shared" si="49"/>
        <v/>
      </c>
      <c r="O75" s="145" t="str">
        <f t="shared" ref="O75:S75" si="50">IF(O$9=0,"",+(O39*10)/O$9)</f>
        <v/>
      </c>
      <c r="P75" s="145">
        <f t="shared" si="50"/>
        <v>0</v>
      </c>
      <c r="Q75" s="145">
        <f t="shared" si="50"/>
        <v>0</v>
      </c>
      <c r="R75" s="145">
        <f t="shared" si="50"/>
        <v>0</v>
      </c>
      <c r="S75" s="145">
        <f t="shared" si="50"/>
        <v>0</v>
      </c>
      <c r="T75" s="145">
        <f t="shared" si="49"/>
        <v>0</v>
      </c>
      <c r="U75" s="145" t="str">
        <f t="shared" si="49"/>
        <v/>
      </c>
      <c r="V75" s="145" t="str">
        <f t="shared" si="49"/>
        <v/>
      </c>
      <c r="W75" s="145">
        <f t="shared" si="49"/>
        <v>0</v>
      </c>
      <c r="X75" s="145">
        <f t="shared" si="49"/>
        <v>0</v>
      </c>
      <c r="Y75" s="145" t="str">
        <f t="shared" ref="Y75:AF75" si="51">IF(Y$9=0,"",+(Y39*10)/Y$9)</f>
        <v/>
      </c>
      <c r="Z75" s="145">
        <f t="shared" si="51"/>
        <v>0</v>
      </c>
      <c r="AA75" s="145">
        <f t="shared" si="51"/>
        <v>0</v>
      </c>
      <c r="AB75" s="145" t="str">
        <f t="shared" si="51"/>
        <v/>
      </c>
      <c r="AC75" s="145" t="str">
        <f t="shared" si="51"/>
        <v/>
      </c>
      <c r="AD75" s="145" t="str">
        <f t="shared" si="51"/>
        <v/>
      </c>
      <c r="AE75" s="145" t="str">
        <f t="shared" si="51"/>
        <v/>
      </c>
      <c r="AF75" s="145">
        <f t="shared" si="51"/>
        <v>0</v>
      </c>
      <c r="AG75" s="242">
        <f>+(AG39*10)/AG$9</f>
        <v>0</v>
      </c>
      <c r="AH75" s="242">
        <v>0.3</v>
      </c>
      <c r="AI75" s="243">
        <f t="shared" si="16"/>
        <v>0.3</v>
      </c>
    </row>
    <row r="76" spans="1:37" s="91" customFormat="1" ht="18" x14ac:dyDescent="0.25">
      <c r="A76" s="149" t="s">
        <v>188</v>
      </c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250"/>
      <c r="AH76" s="250">
        <v>0.4</v>
      </c>
      <c r="AI76" s="251">
        <f t="shared" si="16"/>
        <v>0.4</v>
      </c>
      <c r="AJ76" s="285"/>
      <c r="AK76" s="285"/>
    </row>
    <row r="77" spans="1:37" s="91" customFormat="1" ht="18" x14ac:dyDescent="0.25">
      <c r="A77" s="149" t="s">
        <v>201</v>
      </c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250"/>
      <c r="AH77" s="250">
        <v>0.2</v>
      </c>
      <c r="AI77" s="251">
        <f t="shared" si="16"/>
        <v>0.2</v>
      </c>
      <c r="AJ77" s="285"/>
      <c r="AK77" s="285"/>
    </row>
    <row r="78" spans="1:37" s="1" customFormat="1" ht="18" x14ac:dyDescent="0.25">
      <c r="A78" s="151" t="s">
        <v>197</v>
      </c>
      <c r="B78" s="152">
        <f t="shared" ref="B78:AH78" si="52">SUM(B62:B77)</f>
        <v>13.1582368025025</v>
      </c>
      <c r="C78" s="152">
        <f t="shared" si="52"/>
        <v>18.036626072266962</v>
      </c>
      <c r="D78" s="152">
        <f t="shared" si="52"/>
        <v>13.245780925701473</v>
      </c>
      <c r="E78" s="152">
        <f t="shared" si="52"/>
        <v>9.4107205704579897</v>
      </c>
      <c r="F78" s="152">
        <f t="shared" si="52"/>
        <v>18.903821704796812</v>
      </c>
      <c r="G78" s="152">
        <f t="shared" si="52"/>
        <v>0</v>
      </c>
      <c r="H78" s="152">
        <f t="shared" si="52"/>
        <v>0</v>
      </c>
      <c r="I78" s="152">
        <f t="shared" si="52"/>
        <v>16.097696378375201</v>
      </c>
      <c r="J78" s="152">
        <f t="shared" si="52"/>
        <v>14.715402628274987</v>
      </c>
      <c r="K78" s="152">
        <f t="shared" si="52"/>
        <v>15.031194226692255</v>
      </c>
      <c r="L78" s="152">
        <f t="shared" si="52"/>
        <v>419.38304472826024</v>
      </c>
      <c r="M78" s="152">
        <f t="shared" si="52"/>
        <v>15.413545423718363</v>
      </c>
      <c r="N78" s="152">
        <f>SUM(N62:N77)</f>
        <v>0</v>
      </c>
      <c r="O78" s="152">
        <f t="shared" si="52"/>
        <v>0</v>
      </c>
      <c r="P78" s="152">
        <f t="shared" si="52"/>
        <v>8.3460007046138944</v>
      </c>
      <c r="Q78" s="152">
        <f t="shared" si="52"/>
        <v>12.480559689061526</v>
      </c>
      <c r="R78" s="152">
        <f t="shared" si="52"/>
        <v>10.751893175444199</v>
      </c>
      <c r="S78" s="152">
        <f t="shared" si="52"/>
        <v>7.78517004160447</v>
      </c>
      <c r="T78" s="152">
        <f t="shared" si="52"/>
        <v>10.699203736702396</v>
      </c>
      <c r="U78" s="152">
        <f t="shared" si="52"/>
        <v>0</v>
      </c>
      <c r="V78" s="152">
        <f t="shared" si="52"/>
        <v>0</v>
      </c>
      <c r="W78" s="152">
        <f>SUM(W62:W77)</f>
        <v>11.092189766517842</v>
      </c>
      <c r="X78" s="152">
        <f>SUM(X62:X77)</f>
        <v>12.976660450089945</v>
      </c>
      <c r="Y78" s="152">
        <f t="shared" si="52"/>
        <v>3.9669019226089075</v>
      </c>
      <c r="Z78" s="152">
        <f t="shared" si="52"/>
        <v>15.946805230679434</v>
      </c>
      <c r="AA78" s="152">
        <f t="shared" si="52"/>
        <v>11.518592323409937</v>
      </c>
      <c r="AB78" s="152">
        <f t="shared" si="52"/>
        <v>0</v>
      </c>
      <c r="AC78" s="152">
        <f t="shared" si="52"/>
        <v>0</v>
      </c>
      <c r="AD78" s="152">
        <f t="shared" ref="AD78:AF78" si="53">SUM(AD62:AD77)</f>
        <v>11.893687707641195</v>
      </c>
      <c r="AE78" s="152">
        <f t="shared" si="53"/>
        <v>2.7111324376199617</v>
      </c>
      <c r="AF78" s="152">
        <f t="shared" si="53"/>
        <v>6.1861768789809695</v>
      </c>
      <c r="AG78" s="254">
        <f>SUM(AG62:AG77)</f>
        <v>14.3553737855293</v>
      </c>
      <c r="AH78" s="254">
        <f t="shared" si="52"/>
        <v>15.599999999999998</v>
      </c>
      <c r="AI78" s="254">
        <f t="shared" si="16"/>
        <v>1.2446262144706974</v>
      </c>
      <c r="AJ78" s="211"/>
      <c r="AK78" s="211"/>
    </row>
    <row r="79" spans="1:37" s="89" customFormat="1" ht="19.5" thickBot="1" x14ac:dyDescent="0.35">
      <c r="A79" s="153" t="s">
        <v>204</v>
      </c>
      <c r="B79" s="154">
        <f>SUM(B69:B72)</f>
        <v>2.814364516492176</v>
      </c>
      <c r="C79" s="154">
        <f t="shared" ref="C79:AI79" si="54">SUM(C69:C72)</f>
        <v>3.115084717458604</v>
      </c>
      <c r="D79" s="154">
        <f>SUM(D69:D72)</f>
        <v>3.2230123078782507</v>
      </c>
      <c r="E79" s="154">
        <f t="shared" si="54"/>
        <v>2.6013373934599318</v>
      </c>
      <c r="F79" s="154">
        <f t="shared" si="54"/>
        <v>2.8780228347431995</v>
      </c>
      <c r="G79" s="154">
        <f t="shared" si="54"/>
        <v>0</v>
      </c>
      <c r="H79" s="154">
        <f t="shared" si="54"/>
        <v>0</v>
      </c>
      <c r="I79" s="154">
        <f t="shared" si="54"/>
        <v>3.0681654981525726</v>
      </c>
      <c r="J79" s="154">
        <f t="shared" si="54"/>
        <v>2.8881187238958503</v>
      </c>
      <c r="K79" s="154">
        <f t="shared" si="54"/>
        <v>3.023445730707611</v>
      </c>
      <c r="L79" s="154">
        <f t="shared" si="54"/>
        <v>56.377730796335449</v>
      </c>
      <c r="M79" s="154">
        <f>SUM(M69:M72)</f>
        <v>4.7781990813526924</v>
      </c>
      <c r="N79" s="154">
        <f t="shared" si="54"/>
        <v>0</v>
      </c>
      <c r="O79" s="154">
        <f t="shared" si="54"/>
        <v>0</v>
      </c>
      <c r="P79" s="154">
        <f t="shared" si="54"/>
        <v>0.8680033146153241</v>
      </c>
      <c r="Q79" s="154">
        <f t="shared" si="54"/>
        <v>0.79126086288127473</v>
      </c>
      <c r="R79" s="154">
        <f t="shared" si="54"/>
        <v>1.0687696414846346</v>
      </c>
      <c r="S79" s="154">
        <f t="shared" si="54"/>
        <v>0.60193306504316724</v>
      </c>
      <c r="T79" s="154">
        <f t="shared" si="54"/>
        <v>2.3266014455441764</v>
      </c>
      <c r="U79" s="154">
        <f t="shared" si="54"/>
        <v>0</v>
      </c>
      <c r="V79" s="154">
        <f t="shared" si="54"/>
        <v>0</v>
      </c>
      <c r="W79" s="154">
        <f t="shared" si="54"/>
        <v>2.7756316708158066</v>
      </c>
      <c r="X79" s="154">
        <f t="shared" si="54"/>
        <v>3.1802280677842898</v>
      </c>
      <c r="Y79" s="154">
        <f t="shared" si="54"/>
        <v>0</v>
      </c>
      <c r="Z79" s="154">
        <f t="shared" si="54"/>
        <v>3.5696361798531142</v>
      </c>
      <c r="AA79" s="154">
        <f t="shared" si="54"/>
        <v>2.5035929425434968</v>
      </c>
      <c r="AB79" s="154">
        <f t="shared" si="54"/>
        <v>0</v>
      </c>
      <c r="AC79" s="154">
        <f t="shared" si="54"/>
        <v>0</v>
      </c>
      <c r="AD79" s="154">
        <f t="shared" ref="AD79:AF79" si="55">SUM(AD69:AD72)</f>
        <v>0</v>
      </c>
      <c r="AE79" s="154">
        <f t="shared" si="55"/>
        <v>0</v>
      </c>
      <c r="AF79" s="154">
        <f t="shared" si="55"/>
        <v>1.9038553069966682</v>
      </c>
      <c r="AG79" s="255">
        <f t="shared" si="54"/>
        <v>2.8028899715394222</v>
      </c>
      <c r="AH79" s="255">
        <f t="shared" si="54"/>
        <v>6</v>
      </c>
      <c r="AI79" s="255">
        <f t="shared" si="54"/>
        <v>3.1971100284605782</v>
      </c>
      <c r="AJ79" s="286"/>
      <c r="AK79" s="286"/>
    </row>
    <row r="80" spans="1:37" s="78" customFormat="1" ht="20.25" x14ac:dyDescent="0.3">
      <c r="A80" s="137" t="s">
        <v>198</v>
      </c>
      <c r="B80" s="155">
        <f t="shared" ref="B80:W80" si="56">IF(B$9=0,"",+B47/B$9)</f>
        <v>6.4318463254633498</v>
      </c>
      <c r="C80" s="155">
        <f>IF(C$9=0,"",+C47/C$9)</f>
        <v>6.3973563528459589</v>
      </c>
      <c r="D80" s="155">
        <f t="shared" si="56"/>
        <v>5.5963244230472107</v>
      </c>
      <c r="E80" s="155">
        <f t="shared" si="56"/>
        <v>3.6275394918721076</v>
      </c>
      <c r="F80" s="155">
        <f t="shared" si="56"/>
        <v>5.5248202146494956</v>
      </c>
      <c r="G80" s="155" t="str">
        <f t="shared" si="56"/>
        <v/>
      </c>
      <c r="H80" s="155" t="str">
        <f t="shared" si="56"/>
        <v/>
      </c>
      <c r="I80" s="155">
        <f t="shared" si="56"/>
        <v>4.6813677490110228</v>
      </c>
      <c r="J80" s="155">
        <f t="shared" si="56"/>
        <v>5.4190271483159913</v>
      </c>
      <c r="K80" s="155">
        <f t="shared" si="56"/>
        <v>4.7005230249418775</v>
      </c>
      <c r="L80" s="155">
        <f t="shared" si="56"/>
        <v>47.959830866807813</v>
      </c>
      <c r="M80" s="155">
        <f t="shared" si="56"/>
        <v>6.190233977619541</v>
      </c>
      <c r="N80" s="155" t="str">
        <f t="shared" si="56"/>
        <v/>
      </c>
      <c r="O80" s="155" t="str">
        <f t="shared" si="56"/>
        <v/>
      </c>
      <c r="P80" s="155">
        <f t="shared" si="56"/>
        <v>4.2823811529861544</v>
      </c>
      <c r="Q80" s="155">
        <f t="shared" si="56"/>
        <v>5.2964515341417613</v>
      </c>
      <c r="R80" s="155">
        <f t="shared" si="56"/>
        <v>5.3978097044283677</v>
      </c>
      <c r="S80" s="155">
        <f t="shared" si="56"/>
        <v>0.52685112844023074</v>
      </c>
      <c r="T80" s="155">
        <f t="shared" si="56"/>
        <v>0.21168259053721608</v>
      </c>
      <c r="U80" s="155" t="str">
        <f t="shared" si="56"/>
        <v/>
      </c>
      <c r="V80" s="155" t="str">
        <f t="shared" si="56"/>
        <v/>
      </c>
      <c r="W80" s="155">
        <f t="shared" si="56"/>
        <v>0.66958537213494718</v>
      </c>
      <c r="X80" s="155">
        <f>IF(X$9=0,"",+X47/X$9)</f>
        <v>0.60093919982157684</v>
      </c>
      <c r="Y80" s="155" t="str">
        <f>IF(Y$9=0,"",+Y47/Y$9)</f>
        <v/>
      </c>
      <c r="Z80" s="155">
        <f>IF(Z$9=0,"",+Z47/Z$9)</f>
        <v>0.57255550607545003</v>
      </c>
      <c r="AA80" s="155">
        <f t="shared" ref="AA80:AF80" si="57">IF(AA$9=0,"",+AA47/AA$9)</f>
        <v>0</v>
      </c>
      <c r="AB80" s="155" t="str">
        <f t="shared" si="57"/>
        <v/>
      </c>
      <c r="AC80" s="155" t="str">
        <f t="shared" si="57"/>
        <v/>
      </c>
      <c r="AD80" s="155" t="str">
        <f t="shared" si="57"/>
        <v/>
      </c>
      <c r="AE80" s="155" t="str">
        <f t="shared" si="57"/>
        <v/>
      </c>
      <c r="AF80" s="155">
        <f t="shared" si="57"/>
        <v>0.67692633137659319</v>
      </c>
      <c r="AG80" s="256">
        <f>+(AG47)/AG$9</f>
        <v>3.2461949945870217</v>
      </c>
      <c r="AH80" s="257">
        <f>'Daily KPIs'!AI91</f>
        <v>5</v>
      </c>
      <c r="AI80" s="287">
        <f>AH80-AG80</f>
        <v>1.7538050054129783</v>
      </c>
      <c r="AJ80" s="271"/>
      <c r="AK80" s="271"/>
    </row>
    <row r="81" spans="1:37" s="1" customFormat="1" ht="20.25" x14ac:dyDescent="0.3">
      <c r="A81" s="156" t="s">
        <v>199</v>
      </c>
      <c r="B81" s="157">
        <f t="shared" ref="B81:Z81" si="58">IF(B$9=0,"",+B49/B$9)</f>
        <v>0.72226827545976291</v>
      </c>
      <c r="C81" s="157">
        <f>IF(C$9=0,"",+C49/C$9)</f>
        <v>0.79296568910812248</v>
      </c>
      <c r="D81" s="157">
        <f>IF(D$9=0,"",+D49/D$9)</f>
        <v>0.8295899388299135</v>
      </c>
      <c r="E81" s="157">
        <f t="shared" si="58"/>
        <v>0.68583495279337747</v>
      </c>
      <c r="F81" s="157">
        <f t="shared" si="58"/>
        <v>0.78835967270687013</v>
      </c>
      <c r="G81" s="157" t="str">
        <f t="shared" si="58"/>
        <v/>
      </c>
      <c r="H81" s="157" t="str">
        <f t="shared" si="58"/>
        <v/>
      </c>
      <c r="I81" s="157">
        <f t="shared" si="58"/>
        <v>0.7471962189756246</v>
      </c>
      <c r="J81" s="157">
        <f t="shared" si="58"/>
        <v>0.83605482982315682</v>
      </c>
      <c r="K81" s="157">
        <f t="shared" si="58"/>
        <v>0.78556600774251661</v>
      </c>
      <c r="L81" s="157">
        <f t="shared" si="58"/>
        <v>15.132135306553808</v>
      </c>
      <c r="M81" s="157">
        <f t="shared" si="58"/>
        <v>0.41709053916581107</v>
      </c>
      <c r="N81" s="157" t="str">
        <f t="shared" si="58"/>
        <v/>
      </c>
      <c r="O81" s="157" t="str">
        <f t="shared" ref="O81:S81" si="59">IF(O$9=0,"",+O49/O$9)</f>
        <v/>
      </c>
      <c r="P81" s="157">
        <f t="shared" si="59"/>
        <v>0.77557060609006545</v>
      </c>
      <c r="Q81" s="157">
        <f t="shared" si="59"/>
        <v>0.80279066402611698</v>
      </c>
      <c r="R81" s="157">
        <f t="shared" si="59"/>
        <v>0.97526366774453033</v>
      </c>
      <c r="S81" s="157">
        <f t="shared" si="59"/>
        <v>0.7332158949639096</v>
      </c>
      <c r="T81" s="157">
        <f t="shared" si="58"/>
        <v>0.79302782386482851</v>
      </c>
      <c r="U81" s="157" t="str">
        <f t="shared" si="58"/>
        <v/>
      </c>
      <c r="V81" s="157" t="str">
        <f>IF(V$9=0,"",+V49/V$9)</f>
        <v/>
      </c>
      <c r="W81" s="157">
        <f t="shared" si="58"/>
        <v>0.89326694709130983</v>
      </c>
      <c r="X81" s="157">
        <f t="shared" si="58"/>
        <v>0.82031298400386488</v>
      </c>
      <c r="Y81" s="157" t="str">
        <f t="shared" si="58"/>
        <v/>
      </c>
      <c r="Z81" s="157">
        <f t="shared" si="58"/>
        <v>0.93786005612457879</v>
      </c>
      <c r="AA81" s="157">
        <f t="shared" ref="AA81:AF81" si="60">IF(AA$9=0,"",+AA49/AA$9)</f>
        <v>0.77775739228816754</v>
      </c>
      <c r="AB81" s="157" t="str">
        <f t="shared" si="60"/>
        <v/>
      </c>
      <c r="AC81" s="157" t="str">
        <f t="shared" si="60"/>
        <v/>
      </c>
      <c r="AD81" s="157" t="str">
        <f t="shared" si="60"/>
        <v/>
      </c>
      <c r="AE81" s="157" t="str">
        <f t="shared" si="60"/>
        <v/>
      </c>
      <c r="AF81" s="157">
        <f t="shared" si="60"/>
        <v>0</v>
      </c>
      <c r="AG81" s="288">
        <f>IF(AG$9=0,"",+AG49/AG$9)</f>
        <v>0.872507834516279</v>
      </c>
      <c r="AH81" s="288">
        <f>'Daily KPIs'!AI92</f>
        <v>1.7</v>
      </c>
      <c r="AI81" s="287">
        <f>AH81-AG81</f>
        <v>0.82749216548372095</v>
      </c>
      <c r="AJ81" s="211"/>
      <c r="AK81" s="211"/>
    </row>
    <row r="82" spans="1:37" s="78" customFormat="1" ht="20.25" x14ac:dyDescent="0.3">
      <c r="A82" s="137" t="s">
        <v>190</v>
      </c>
      <c r="B82" s="144">
        <f>IF(B$9=0,"",B52/B$9)</f>
        <v>21.693633395761054</v>
      </c>
      <c r="C82" s="144">
        <f t="shared" ref="C82:Y82" si="61">IF(C$9=0,"",C52/C$9)</f>
        <v>29.326756329723686</v>
      </c>
      <c r="D82" s="144">
        <f t="shared" si="61"/>
        <v>26.727501023977869</v>
      </c>
      <c r="E82" s="144">
        <f t="shared" si="61"/>
        <v>21.106537517916074</v>
      </c>
      <c r="F82" s="144">
        <f t="shared" si="61"/>
        <v>29.738354936719926</v>
      </c>
      <c r="G82" s="144" t="str">
        <f t="shared" si="61"/>
        <v/>
      </c>
      <c r="H82" s="144" t="str">
        <f t="shared" si="61"/>
        <v/>
      </c>
      <c r="I82" s="144">
        <f t="shared" si="61"/>
        <v>26.121838810335149</v>
      </c>
      <c r="J82" s="144">
        <f t="shared" si="61"/>
        <v>24.54067804141118</v>
      </c>
      <c r="K82" s="144">
        <f t="shared" si="61"/>
        <v>27.419847518592629</v>
      </c>
      <c r="L82" s="144">
        <f t="shared" si="61"/>
        <v>1267.970401691332</v>
      </c>
      <c r="M82" s="144">
        <f t="shared" si="61"/>
        <v>110.90045932365362</v>
      </c>
      <c r="N82" s="144" t="str">
        <f>IF(N$9=0,"",N52/N$9)</f>
        <v/>
      </c>
      <c r="O82" s="144" t="str">
        <f t="shared" ref="O82:S82" si="62">IF(O$9=0,"",O52/O$9)</f>
        <v/>
      </c>
      <c r="P82" s="144">
        <f t="shared" si="62"/>
        <v>17.525951370210745</v>
      </c>
      <c r="Q82" s="144">
        <f t="shared" si="62"/>
        <v>17.306005443874739</v>
      </c>
      <c r="R82" s="144">
        <f t="shared" si="62"/>
        <v>20.402130262553495</v>
      </c>
      <c r="S82" s="144">
        <f t="shared" si="62"/>
        <v>11.839654858951114</v>
      </c>
      <c r="T82" s="144">
        <f t="shared" si="61"/>
        <v>18.380151419798995</v>
      </c>
      <c r="U82" s="144" t="str">
        <f t="shared" si="61"/>
        <v/>
      </c>
      <c r="V82" s="144" t="str">
        <f t="shared" si="61"/>
        <v/>
      </c>
      <c r="W82" s="144">
        <f t="shared" si="61"/>
        <v>27.578905199301797</v>
      </c>
      <c r="X82" s="144">
        <f t="shared" si="61"/>
        <v>19.903271504743497</v>
      </c>
      <c r="Y82" s="144" t="str">
        <f t="shared" si="61"/>
        <v/>
      </c>
      <c r="Z82" s="144">
        <f>IF(Z$9=0,"",Z52/Z$9)</f>
        <v>34.063518318241897</v>
      </c>
      <c r="AA82" s="144">
        <f t="shared" ref="AA82:AF82" si="63">IF(AA$9=0,"",AA52/AA$9)</f>
        <v>18.419563954377274</v>
      </c>
      <c r="AB82" s="144" t="str">
        <f t="shared" si="63"/>
        <v/>
      </c>
      <c r="AC82" s="144" t="str">
        <f t="shared" si="63"/>
        <v/>
      </c>
      <c r="AD82" s="144" t="str">
        <f t="shared" si="63"/>
        <v/>
      </c>
      <c r="AE82" s="144" t="str">
        <f t="shared" si="63"/>
        <v/>
      </c>
      <c r="AF82" s="144">
        <f t="shared" si="63"/>
        <v>50.970437357871909</v>
      </c>
      <c r="AG82" s="239">
        <f>+(AG52)/AG$9</f>
        <v>32.21705360535298</v>
      </c>
      <c r="AH82" s="240">
        <f>'Daily KPIs'!AI93</f>
        <v>22</v>
      </c>
      <c r="AI82" s="287">
        <f>AH82-AG82</f>
        <v>-10.21705360535298</v>
      </c>
      <c r="AJ82" s="271"/>
      <c r="AK82" s="271"/>
    </row>
    <row r="83" spans="1:37" s="1" customFormat="1" ht="20.25" x14ac:dyDescent="0.3">
      <c r="A83" s="105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258"/>
      <c r="AH83" s="258">
        <f>SUM(AH62:AH78)</f>
        <v>31.199999999999996</v>
      </c>
      <c r="AI83" s="287">
        <f>AH83-AG83</f>
        <v>31.199999999999996</v>
      </c>
      <c r="AJ83" s="211"/>
      <c r="AK83" s="211"/>
    </row>
    <row r="84" spans="1:37" s="78" customFormat="1" ht="20.25" x14ac:dyDescent="0.3">
      <c r="A84" s="137" t="s">
        <v>191</v>
      </c>
      <c r="B84" s="144">
        <f>IF(B$9=0,"",B54/B$9)</f>
        <v>7.7267098543694281</v>
      </c>
      <c r="C84" s="144">
        <f t="shared" ref="C84:Z84" si="64">IF(C$9=0,"",C54/C$9)</f>
        <v>9.505825529564401</v>
      </c>
      <c r="D84" s="144">
        <f t="shared" si="64"/>
        <v>9.7697560582559468</v>
      </c>
      <c r="E84" s="144">
        <f t="shared" si="64"/>
        <v>8.1100518737280218</v>
      </c>
      <c r="F84" s="144">
        <f t="shared" si="64"/>
        <v>10.309879268763614</v>
      </c>
      <c r="G84" s="144" t="str">
        <f>IF(G$9=0,"",G54/G$9)</f>
        <v/>
      </c>
      <c r="H84" s="144" t="str">
        <f t="shared" si="64"/>
        <v/>
      </c>
      <c r="I84" s="144">
        <f t="shared" si="64"/>
        <v>11.064979828443851</v>
      </c>
      <c r="J84" s="144">
        <f t="shared" si="64"/>
        <v>8.4977339376166352</v>
      </c>
      <c r="K84" s="144">
        <f t="shared" si="64"/>
        <v>8.7586417559674086</v>
      </c>
      <c r="L84" s="144">
        <f t="shared" si="64"/>
        <v>417.54756871035937</v>
      </c>
      <c r="M84" s="144">
        <f t="shared" si="64"/>
        <v>20.654150867782608</v>
      </c>
      <c r="N84" s="144" t="str">
        <f>IF(N$9=0,"",N54/N$9)</f>
        <v/>
      </c>
      <c r="O84" s="144" t="str">
        <f t="shared" ref="O84:S84" si="65">IF(O$9=0,"",O54/O$9)</f>
        <v/>
      </c>
      <c r="P84" s="144">
        <f t="shared" si="65"/>
        <v>6.056734239760261</v>
      </c>
      <c r="Q84" s="144">
        <f t="shared" si="65"/>
        <v>5.1544993353408755</v>
      </c>
      <c r="R84" s="144">
        <f t="shared" si="65"/>
        <v>7.2539896943318816</v>
      </c>
      <c r="S84" s="144">
        <f t="shared" si="65"/>
        <v>4.4346497240935383</v>
      </c>
      <c r="T84" s="144">
        <f t="shared" si="64"/>
        <v>6.884451818372523</v>
      </c>
      <c r="U84" s="144" t="str">
        <f t="shared" si="64"/>
        <v/>
      </c>
      <c r="V84" s="144" t="str">
        <f t="shared" si="64"/>
        <v/>
      </c>
      <c r="W84" s="144">
        <f t="shared" si="64"/>
        <v>10.329928176953672</v>
      </c>
      <c r="X84" s="144">
        <f t="shared" si="64"/>
        <v>7.4549502108449905</v>
      </c>
      <c r="Y84" s="144" t="str">
        <f t="shared" si="64"/>
        <v/>
      </c>
      <c r="Z84" s="144">
        <f t="shared" si="64"/>
        <v>12.75879862303935</v>
      </c>
      <c r="AA84" s="144">
        <f t="shared" ref="AA84:AF84" si="66">IF(AA$9=0,"",AA54/AA$9)</f>
        <v>6.8992141393755917</v>
      </c>
      <c r="AB84" s="144" t="str">
        <f t="shared" si="66"/>
        <v/>
      </c>
      <c r="AC84" s="144" t="str">
        <f t="shared" si="66"/>
        <v/>
      </c>
      <c r="AD84" s="144" t="str">
        <f t="shared" si="66"/>
        <v/>
      </c>
      <c r="AE84" s="144" t="str">
        <f t="shared" si="66"/>
        <v/>
      </c>
      <c r="AF84" s="144">
        <f t="shared" si="66"/>
        <v>19.091437939605477</v>
      </c>
      <c r="AG84" s="256">
        <f>+(AG54)/AG$9</f>
        <v>12.126201574522069</v>
      </c>
      <c r="AH84" s="257">
        <f>'Daily KPIs'!AI95</f>
        <v>7.2</v>
      </c>
      <c r="AI84" s="287">
        <f>AH84-AG84</f>
        <v>-4.9262015745220689</v>
      </c>
      <c r="AJ84" s="271"/>
      <c r="AK84" s="271"/>
    </row>
    <row r="85" spans="1:37" s="1" customFormat="1" ht="18" x14ac:dyDescent="0.25">
      <c r="A85" s="10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211"/>
      <c r="AH85" s="211"/>
      <c r="AI85" s="211"/>
      <c r="AJ85" s="211"/>
      <c r="AK85" s="211"/>
    </row>
    <row r="86" spans="1:37" ht="18.75" x14ac:dyDescent="0.3">
      <c r="A86" s="171" t="s">
        <v>218</v>
      </c>
      <c r="B86" s="172">
        <f>'Daily KPIs'!B98</f>
        <v>0</v>
      </c>
      <c r="C86" s="172">
        <f>'Daily KPIs'!C98</f>
        <v>0</v>
      </c>
      <c r="D86" s="172">
        <f>'Daily KPIs'!D98</f>
        <v>0</v>
      </c>
      <c r="E86" s="172">
        <f>'Daily KPIs'!E98</f>
        <v>0</v>
      </c>
      <c r="F86" s="172">
        <f>'Daily KPIs'!F98</f>
        <v>0</v>
      </c>
      <c r="G86" s="172">
        <f>'Daily KPIs'!G98</f>
        <v>0</v>
      </c>
      <c r="H86" s="172">
        <f>'Daily KPIs'!H98</f>
        <v>0</v>
      </c>
      <c r="I86" s="172">
        <f>'Daily KPIs'!I98</f>
        <v>0</v>
      </c>
      <c r="J86" s="172">
        <f>'Daily KPIs'!J98</f>
        <v>0</v>
      </c>
      <c r="K86" s="172">
        <f>'Daily KPIs'!K98</f>
        <v>0</v>
      </c>
      <c r="L86" s="172">
        <f>'Daily KPIs'!L98</f>
        <v>0</v>
      </c>
      <c r="M86" s="172">
        <f>'Daily KPIs'!M98</f>
        <v>0</v>
      </c>
      <c r="N86" s="172">
        <f>'Daily KPIs'!N98</f>
        <v>0</v>
      </c>
      <c r="O86" s="172">
        <f>'Daily KPIs'!O98</f>
        <v>0</v>
      </c>
      <c r="P86" s="172">
        <f>'Daily KPIs'!P98</f>
        <v>0</v>
      </c>
      <c r="Q86" s="172">
        <f>'Daily KPIs'!Q98</f>
        <v>0</v>
      </c>
      <c r="R86" s="172">
        <f>'Daily KPIs'!R98</f>
        <v>0</v>
      </c>
      <c r="S86" s="172">
        <f>'Daily KPIs'!S98</f>
        <v>0</v>
      </c>
      <c r="T86" s="172">
        <f>'Daily KPIs'!T98</f>
        <v>0</v>
      </c>
      <c r="U86" s="172">
        <f>'Daily KPIs'!U98</f>
        <v>0</v>
      </c>
      <c r="V86" s="172">
        <f>'Daily KPIs'!V98</f>
        <v>0</v>
      </c>
      <c r="W86" s="172">
        <f>'Daily KPIs'!W98</f>
        <v>0</v>
      </c>
      <c r="X86" s="172">
        <f>'Daily KPIs'!X98</f>
        <v>0</v>
      </c>
      <c r="Y86" s="172">
        <f>'Daily KPIs'!Y98</f>
        <v>0</v>
      </c>
      <c r="Z86" s="172">
        <f>'Daily KPIs'!Z98</f>
        <v>0</v>
      </c>
      <c r="AA86" s="172">
        <f>'Daily KPIs'!AA98</f>
        <v>0</v>
      </c>
      <c r="AB86" s="172">
        <f>'Daily KPIs'!AB98</f>
        <v>0</v>
      </c>
      <c r="AC86" s="172">
        <f>'Daily KPIs'!AC98</f>
        <v>0</v>
      </c>
      <c r="AD86" s="172">
        <f>'Daily KPIs'!AD98</f>
        <v>0</v>
      </c>
      <c r="AE86" s="172">
        <f>'Daily KPIs'!AE98</f>
        <v>0</v>
      </c>
      <c r="AF86" s="172">
        <f>'Daily KPIs'!AF98</f>
        <v>0</v>
      </c>
      <c r="AG86" s="259">
        <f>SUM($B86:AF86)</f>
        <v>0</v>
      </c>
      <c r="AH86" s="259"/>
      <c r="AI86" s="289" t="s">
        <v>187</v>
      </c>
    </row>
    <row r="87" spans="1:37" ht="18" x14ac:dyDescent="0.25">
      <c r="A87" s="105" t="s">
        <v>205</v>
      </c>
      <c r="B87" s="159">
        <f>IF('Entries September''25'!L7-'Entries September''25'!L6&lt;1,0,'Entries September''25'!L7-'Entries September''25'!L6)</f>
        <v>0</v>
      </c>
      <c r="C87" s="159">
        <f>IF('Entries September''25'!L8-'Entries September''25'!L7&lt;1,0,'Entries September''25'!L8-'Entries September''25'!L7)</f>
        <v>0</v>
      </c>
      <c r="D87" s="159">
        <f>IF('Entries September''25'!L9-'Entries September''25'!L8&lt;1,0,'Entries September''25'!L9-'Entries September''25'!L8)</f>
        <v>0</v>
      </c>
      <c r="E87" s="159">
        <f>IF('Entries September''25'!L10-'Entries September''25'!L9&lt;1,0,'Entries September''25'!L10-'Entries September''25'!L9)</f>
        <v>0</v>
      </c>
      <c r="F87" s="159">
        <f>IF('Entries September''25'!L11-'Entries September''25'!L10&lt;1,0,'Entries September''25'!L11-'Entries September''25'!L10)</f>
        <v>0</v>
      </c>
      <c r="G87" s="159">
        <f>IF('Entries September''25'!L12-'Entries September''25'!L11&lt;1,0,'Entries September''25'!L12-'Entries September''25'!L11)</f>
        <v>0</v>
      </c>
      <c r="H87" s="159">
        <f>IF('Entries September''25'!L13-'Entries September''25'!L12&lt;1,0,'Entries September''25'!L13-'Entries September''25'!L12)</f>
        <v>0</v>
      </c>
      <c r="I87" s="159">
        <f>IF('Entries September''25'!L14-'Entries September''25'!L13&lt;1,0,'Entries September''25'!L14-'Entries September''25'!L13)</f>
        <v>0</v>
      </c>
      <c r="J87" s="159">
        <f>IF('Entries September''25'!L15-'Entries September''25'!L14&lt;1,0,'Entries September''25'!L15-'Entries September''25'!L14)</f>
        <v>0</v>
      </c>
      <c r="K87" s="159">
        <f>IF('Entries September''25'!L16-'Entries September''25'!L15&lt;1,0,'Entries September''25'!L16-'Entries September''25'!L15)</f>
        <v>0</v>
      </c>
      <c r="L87" s="159">
        <f>IF('Entries September''25'!L17-'Entries September''25'!L16&lt;1,0,'Entries September''25'!L17-'Entries September''25'!L16)</f>
        <v>0</v>
      </c>
      <c r="M87" s="159">
        <f>IF('Entries September''25'!L18-'Entries September''25'!L17&lt;1,0,'Entries September''25'!L18-'Entries September''25'!L17)</f>
        <v>0</v>
      </c>
      <c r="N87" s="119">
        <f>IF('Entries September''25'!L19-'Entries September''25'!L18&lt;1,0,'Entries September''25'!L19-'Entries September''25'!L18)</f>
        <v>0</v>
      </c>
      <c r="O87" s="119">
        <f>IF('Entries September''25'!L20-'Entries September''25'!L19&lt;1,0,'Entries September''25'!L20-'Entries September''25'!L19)</f>
        <v>0</v>
      </c>
      <c r="P87" s="119">
        <f>IF('Entries September''25'!L21-'Entries September''25'!L20&lt;1,0,'Entries September''25'!L21-'Entries September''25'!L20)</f>
        <v>0</v>
      </c>
      <c r="Q87" s="119">
        <f>IF('Entries September''25'!L22-'Entries September''25'!L21&lt;1,0,'Entries September''25'!L22-'Entries September''25'!L21)</f>
        <v>0</v>
      </c>
      <c r="R87" s="119">
        <f>IF('Entries September''25'!L23-'Entries September''25'!L22&lt;1,0,'Entries September''25'!L23-'Entries September''25'!L22)</f>
        <v>0</v>
      </c>
      <c r="S87" s="119">
        <f>IF('Entries September''25'!L24-'Entries September''25'!L23&lt;1,0,'Entries September''25'!L24-'Entries September''25'!L23)</f>
        <v>93.810000000000031</v>
      </c>
      <c r="T87" s="119">
        <f>IF('Entries September''25'!L25-'Entries September''25'!L24&lt;1,0,'Entries September''25'!L25-'Entries September''25'!L24)</f>
        <v>104.83999999999997</v>
      </c>
      <c r="U87" s="119">
        <f>IF('Entries September''25'!L26-'Entries September''25'!L25&lt;1,0,'Entries September''25'!L26-'Entries September''25'!L25)</f>
        <v>0</v>
      </c>
      <c r="V87" s="119">
        <f>IF('Entries September''25'!L27-'Entries September''25'!L26&lt;1,0,'Entries September''25'!L27-'Entries September''25'!L26)</f>
        <v>0</v>
      </c>
      <c r="W87" s="119">
        <f>IF('Entries September''25'!L28-'Entries September''25'!L27&lt;1,0,'Entries September''25'!L28-'Entries September''25'!L27)</f>
        <v>55.629999999999995</v>
      </c>
      <c r="X87" s="119">
        <f>IF('Entries September''25'!L29-'Entries September''25'!L28&lt;1,0,'Entries September''25'!L29-'Entries September''25'!L28)</f>
        <v>91.71999999999997</v>
      </c>
      <c r="Y87" s="119">
        <f>IF('Entries September''25'!L30-'Entries September''25'!L29&lt;1,0,'Entries September''25'!L30-'Entries September''25'!L29)</f>
        <v>21.550000000000068</v>
      </c>
      <c r="Z87" s="119">
        <f>IF('Entries September''25'!L31-'Entries September''25'!L30&lt;1,0,'Entries September''25'!L31-'Entries September''25'!L30)</f>
        <v>7.7899999999999636</v>
      </c>
      <c r="AA87" s="119">
        <f>IF('Entries September''25'!L32-'Entries September''25'!L31&lt;1,0,'Entries September''25'!L32-'Entries September''25'!L31)</f>
        <v>63.389999999999986</v>
      </c>
      <c r="AB87" s="119">
        <f>IF('Entries September''25'!L33-'Entries September''25'!L32&lt;1,0,'Entries September''25'!L33-'Entries September''25'!L32)</f>
        <v>0</v>
      </c>
      <c r="AC87" s="119">
        <f>IF('Entries September''25'!L34-'Entries September''25'!L33&lt;1,0,'Entries September''25'!L34-'Entries September''25'!L33)</f>
        <v>0</v>
      </c>
      <c r="AD87" s="119">
        <f>IF('Entries September''25'!L35-'Entries September''25'!L34&lt;1,0,'Entries September''25'!L35-'Entries September''25'!L34)</f>
        <v>11.980000000000018</v>
      </c>
      <c r="AE87" s="119">
        <f>IF('Entries September''25'!L36-'Entries September''25'!L35&lt;1,0,'Entries September''25'!L36-'Entries September''25'!L35)</f>
        <v>20.490000000000009</v>
      </c>
      <c r="AF87" s="119">
        <f>IF('Entries September''25'!L37-'Entries September''25'!L36&lt;1,0,'Entries September''25'!L37-'Entries September''25'!L36)</f>
        <v>0</v>
      </c>
      <c r="AG87" s="221">
        <f>SUM($B87:AF87)</f>
        <v>471.20000000000005</v>
      </c>
      <c r="AH87" s="221"/>
      <c r="AI87" s="272"/>
    </row>
    <row r="88" spans="1:37" ht="18" x14ac:dyDescent="0.25">
      <c r="A88" s="105" t="s">
        <v>206</v>
      </c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212">
        <f>SUM(B88:AF88)</f>
        <v>0</v>
      </c>
      <c r="AH88" s="212"/>
      <c r="AI88" s="272"/>
    </row>
    <row r="89" spans="1:37" ht="18" x14ac:dyDescent="0.25">
      <c r="A89" s="105" t="s">
        <v>207</v>
      </c>
      <c r="B89" s="160" t="str">
        <f t="shared" ref="B89:AD89" si="67">IF(B87=0,"",B88/B87)</f>
        <v/>
      </c>
      <c r="C89" s="160" t="str">
        <f t="shared" si="67"/>
        <v/>
      </c>
      <c r="D89" s="160" t="str">
        <f t="shared" si="67"/>
        <v/>
      </c>
      <c r="E89" s="160" t="str">
        <f t="shared" si="67"/>
        <v/>
      </c>
      <c r="F89" s="160" t="str">
        <f t="shared" si="67"/>
        <v/>
      </c>
      <c r="G89" s="160" t="str">
        <f t="shared" si="67"/>
        <v/>
      </c>
      <c r="H89" s="160" t="str">
        <f t="shared" si="67"/>
        <v/>
      </c>
      <c r="I89" s="160" t="str">
        <f>IF(I87=0,"",I88/I87)</f>
        <v/>
      </c>
      <c r="J89" s="160" t="str">
        <f t="shared" si="67"/>
        <v/>
      </c>
      <c r="K89" s="160" t="str">
        <f t="shared" si="67"/>
        <v/>
      </c>
      <c r="L89" s="160" t="str">
        <f t="shared" si="67"/>
        <v/>
      </c>
      <c r="M89" s="160" t="str">
        <f t="shared" si="67"/>
        <v/>
      </c>
      <c r="N89" s="160" t="str">
        <f t="shared" si="67"/>
        <v/>
      </c>
      <c r="O89" s="160" t="str">
        <f t="shared" ref="O89:S89" si="68">IF(O87=0,"",O88/O87)</f>
        <v/>
      </c>
      <c r="P89" s="160" t="str">
        <f t="shared" si="68"/>
        <v/>
      </c>
      <c r="Q89" s="160" t="str">
        <f t="shared" si="68"/>
        <v/>
      </c>
      <c r="R89" s="160" t="str">
        <f t="shared" si="68"/>
        <v/>
      </c>
      <c r="S89" s="160">
        <f t="shared" si="68"/>
        <v>0</v>
      </c>
      <c r="T89" s="160">
        <f t="shared" si="67"/>
        <v>0</v>
      </c>
      <c r="U89" s="160" t="str">
        <f>IF(U87=0,"",U88/U87)</f>
        <v/>
      </c>
      <c r="V89" s="160" t="str">
        <f t="shared" si="67"/>
        <v/>
      </c>
      <c r="W89" s="160">
        <f t="shared" si="67"/>
        <v>0</v>
      </c>
      <c r="X89" s="160">
        <f t="shared" si="67"/>
        <v>0</v>
      </c>
      <c r="Y89" s="160">
        <f t="shared" si="67"/>
        <v>0</v>
      </c>
      <c r="Z89" s="160">
        <f t="shared" si="67"/>
        <v>0</v>
      </c>
      <c r="AA89" s="160">
        <f t="shared" si="67"/>
        <v>0</v>
      </c>
      <c r="AB89" s="160" t="str">
        <f t="shared" si="67"/>
        <v/>
      </c>
      <c r="AC89" s="160" t="str">
        <f t="shared" si="67"/>
        <v/>
      </c>
      <c r="AD89" s="160">
        <f t="shared" si="67"/>
        <v>0</v>
      </c>
      <c r="AE89" s="160">
        <f t="shared" ref="AE89" si="69">IF(AE87=0,"",AE88/AE87)</f>
        <v>0</v>
      </c>
      <c r="AF89" s="160" t="str">
        <f>IF(AF87=0,"",AF88/AF87)</f>
        <v/>
      </c>
      <c r="AG89" s="260">
        <f>IF(AG87=0,"",AG88/AG87)</f>
        <v>0</v>
      </c>
      <c r="AH89" s="212"/>
      <c r="AI89" s="272"/>
    </row>
    <row r="90" spans="1:37" ht="18" x14ac:dyDescent="0.25">
      <c r="A90" s="105" t="s">
        <v>200</v>
      </c>
      <c r="B90" s="159">
        <f>IF('Entries September''25'!$AF7-'Entries September''25'!$AF6&lt;1,0,'Entries September''25'!$AF7-'Entries September''25'!$AF6)</f>
        <v>0</v>
      </c>
      <c r="C90" s="159">
        <f>IF('Entries September''25'!$AF8-'Entries September''25'!$AF7&lt;1,0,'Entries September''25'!$AF8-'Entries September''25'!$AF7)</f>
        <v>0</v>
      </c>
      <c r="D90" s="159">
        <f>IF('Entries September''25'!$AF9-'Entries September''25'!$AF8&lt;1,0,'Entries September''25'!$AF9-'Entries September''25'!$AF8)</f>
        <v>0</v>
      </c>
      <c r="E90" s="159">
        <f>IF('Entries September''25'!$AF10-'Entries September''25'!$AF9&lt;1,0,'Entries September''25'!$AF10-'Entries September''25'!$AF9)</f>
        <v>0</v>
      </c>
      <c r="F90" s="159">
        <f>IF('Entries September''25'!$AF11-'Entries September''25'!$AF10&lt;1,0,'Entries September''25'!$AF11-'Entries September''25'!$AF10)</f>
        <v>0</v>
      </c>
      <c r="G90" s="159">
        <f>IF('Entries September''25'!$AF12-'Entries September''25'!$AF11&lt;1,0,'Entries September''25'!$AF12-'Entries September''25'!$AF11)</f>
        <v>0</v>
      </c>
      <c r="H90" s="159">
        <f>IF('Entries September''25'!$AF13-'Entries September''25'!$AF12&lt;1,0,'Entries September''25'!$AF13-'Entries September''25'!$AF12)</f>
        <v>0</v>
      </c>
      <c r="I90" s="159">
        <f>IF('Entries September''25'!AF14-'Entries September''25'!AF13&lt;1,0,'Entries September''25'!AF14-'Entries September''25'!AF13)</f>
        <v>0</v>
      </c>
      <c r="J90" s="159">
        <f>IF('Entries September''25'!AF15-'Entries September''25'!AF14&lt;1,0,'Entries September''25'!AF15-'Entries September''25'!AF14)</f>
        <v>0</v>
      </c>
      <c r="K90" s="159">
        <f>IF('Entries September''25'!AF16-'Entries September''25'!AF15&lt;1,0,'Entries September''25'!AF16-'Entries September''25'!AF15)</f>
        <v>0</v>
      </c>
      <c r="L90" s="159">
        <f>IF('Entries September''25'!$AF17-'Entries September''25'!$AF16&lt;1,0,'Entries September''25'!$AF17-'Entries September''25'!$AF16)</f>
        <v>0</v>
      </c>
      <c r="M90" s="159">
        <f>IF('Entries September''25'!$AF18-'Entries September''25'!$AF17&lt;1,0,'Entries September''25'!$AF18-'Entries September''25'!$AF17)</f>
        <v>0</v>
      </c>
      <c r="N90" s="159">
        <f>IF('Entries September''25'!$AF19-'Entries September''25'!$AF18&lt;1,0,'Entries September''25'!$AF19-'Entries September''25'!$AF18)</f>
        <v>0</v>
      </c>
      <c r="O90" s="159">
        <f>IF('Entries September''25'!$AF20-'Entries September''25'!$AF19&lt;1,0,'Entries September''25'!$AF20-'Entries September''25'!$AF19)</f>
        <v>0</v>
      </c>
      <c r="P90" s="159">
        <f>IF('Entries September''25'!$AF21-'Entries September''25'!$AF20&lt;1,0,'Entries September''25'!$AF21-'Entries September''25'!$AF20)</f>
        <v>0</v>
      </c>
      <c r="Q90" s="159">
        <f>IF('Entries September''25'!$AF22-'Entries September''25'!$AF21&lt;1,0,'Entries September''25'!$AF22-'Entries September''25'!$AF21)</f>
        <v>0</v>
      </c>
      <c r="R90" s="159">
        <f>IF('Entries September''25'!$AF23-'Entries September''25'!$AF22&lt;1,0,'Entries September''25'!$AF23-'Entries September''25'!$AF22)</f>
        <v>0</v>
      </c>
      <c r="S90" s="159">
        <f>IF('Entries September''25'!$AF24-'Entries September''25'!$AF23&lt;1,0,'Entries September''25'!$AF24-'Entries September''25'!$AF23)</f>
        <v>0</v>
      </c>
      <c r="T90" s="159">
        <f>IF('Entries September''25'!$AF25-'Entries September''25'!$AF24&lt;1,0,'Entries September''25'!$AF25-'Entries September''25'!$AF24)</f>
        <v>0</v>
      </c>
      <c r="U90" s="159">
        <f>IF('Entries September''25'!$AF26-'Entries September''25'!$AF25&lt;1,0,'Entries September''25'!$AF26-'Entries September''25'!$AF25)</f>
        <v>0</v>
      </c>
      <c r="V90" s="159">
        <f>IF('Entries September''25'!$AF27-'Entries September''25'!$AF26&lt;1,0,'Entries September''25'!$AF27-'Entries September''25'!$AF26)</f>
        <v>0</v>
      </c>
      <c r="W90" s="159">
        <f>IF('Entries September''25'!$AF28-'Entries September''25'!$AF27&lt;1,0,'Entries September''25'!$AF28-'Entries September''25'!$AF27)</f>
        <v>0</v>
      </c>
      <c r="X90" s="159">
        <f>IF('Entries September''25'!$AF29-'Entries September''25'!$AF28&lt;1,0,'Entries September''25'!$AF29-'Entries September''25'!$AF28)</f>
        <v>0</v>
      </c>
      <c r="Y90" s="159">
        <f>IF('Entries September''25'!$AF30-'Entries September''25'!$AF29&lt;1,0,'Entries September''25'!$AF30-'Entries September''25'!$AF29)</f>
        <v>0</v>
      </c>
      <c r="Z90" s="159">
        <f>IF('Entries September''25'!$AF31-'Entries September''25'!$AF30&lt;1,0,'Entries September''25'!$AF31-'Entries September''25'!$AF30)</f>
        <v>0</v>
      </c>
      <c r="AA90" s="159">
        <f>IF('Entries September''25'!$AF32-'Entries September''25'!$AF31&lt;1,0,'Entries September''25'!$AF32-'Entries September''25'!$AF31)</f>
        <v>0</v>
      </c>
      <c r="AB90" s="159">
        <f>IF('Entries September''25'!$AF33-'Entries September''25'!$AF32&lt;1,0,'Entries September''25'!$AF33-'Entries September''25'!$AF32)</f>
        <v>0</v>
      </c>
      <c r="AC90" s="159">
        <f>IF('Entries September''25'!$AF34-'Entries September''25'!$AF33&lt;1,0,'Entries September''25'!$AF34-'Entries September''25'!$AF33)</f>
        <v>0</v>
      </c>
      <c r="AD90" s="159">
        <f>IF('Entries September''25'!$AF35-'Entries September''25'!$AF34&lt;1,0,'Entries September''25'!$AF35-'Entries September''25'!$AF34)</f>
        <v>0</v>
      </c>
      <c r="AE90" s="159">
        <f>IF('Entries September''25'!$AF36-'Entries September''25'!$AF35&lt;1,0,'Entries September''25'!$AF36-'Entries September''25'!$AF35)</f>
        <v>0</v>
      </c>
      <c r="AF90" s="159">
        <f>IF('Entries September''25'!$AF26-'Entries September''25'!$AF25&lt;1,0,'Entries September''25'!$AF26-'Entries September''25'!$AF25)</f>
        <v>0</v>
      </c>
      <c r="AG90" s="221">
        <f>SUM(B90:AF90)</f>
        <v>0</v>
      </c>
      <c r="AH90" s="221"/>
      <c r="AI90" s="272"/>
    </row>
    <row r="91" spans="1:37" ht="18" x14ac:dyDescent="0.25">
      <c r="A91" s="104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212"/>
      <c r="AH91" s="212"/>
      <c r="AI91" s="272"/>
    </row>
    <row r="92" spans="1:37" ht="18" x14ac:dyDescent="0.25">
      <c r="A92" s="104" t="s">
        <v>162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212"/>
      <c r="AH92" s="212"/>
      <c r="AI92" s="272"/>
    </row>
    <row r="93" spans="1:37" ht="18" x14ac:dyDescent="0.25">
      <c r="A93" s="164" t="s">
        <v>214</v>
      </c>
      <c r="B93" s="165">
        <f>'Daily KPIs'!B12</f>
        <v>459.2</v>
      </c>
      <c r="C93" s="165">
        <f>'Daily KPIs'!C12</f>
        <v>400.7</v>
      </c>
      <c r="D93" s="165">
        <f>'Daily KPIs'!D12</f>
        <v>509.1</v>
      </c>
      <c r="E93" s="165">
        <f>'Daily KPIs'!E12</f>
        <v>0</v>
      </c>
      <c r="F93" s="165">
        <f>'Daily KPIs'!F12</f>
        <v>342.5</v>
      </c>
      <c r="G93" s="165">
        <f>'Daily KPIs'!G12</f>
        <v>0</v>
      </c>
      <c r="H93" s="165">
        <f>'Daily KPIs'!H12</f>
        <v>0</v>
      </c>
      <c r="I93" s="165">
        <f>'Daily KPIs'!I12</f>
        <v>328.4</v>
      </c>
      <c r="J93" s="165">
        <f>'Daily KPIs'!J12</f>
        <v>444.6</v>
      </c>
      <c r="K93" s="165">
        <f>'Daily KPIs'!K12</f>
        <v>451.7</v>
      </c>
      <c r="L93" s="165">
        <f>'Daily KPIs'!L12</f>
        <v>455.9</v>
      </c>
      <c r="M93" s="165">
        <f>'Daily KPIs'!M12</f>
        <v>0</v>
      </c>
      <c r="N93" s="165">
        <f>'Daily KPIs'!N12</f>
        <v>0</v>
      </c>
      <c r="O93" s="165">
        <f>'Daily KPIs'!O12</f>
        <v>0</v>
      </c>
      <c r="P93" s="165">
        <f>'Daily KPIs'!P12</f>
        <v>194.4</v>
      </c>
      <c r="Q93" s="165">
        <f>'Daily KPIs'!Q12</f>
        <v>150.80000000000001</v>
      </c>
      <c r="R93" s="165">
        <f>'Daily KPIs'!R12</f>
        <v>302.2</v>
      </c>
      <c r="S93" s="165">
        <f>'Daily KPIs'!S12</f>
        <v>403.6</v>
      </c>
      <c r="T93" s="165">
        <f>'Daily KPIs'!T12</f>
        <v>405.9</v>
      </c>
      <c r="U93" s="165">
        <f>'Daily KPIs'!U12</f>
        <v>0</v>
      </c>
      <c r="V93" s="165">
        <f>'Daily KPIs'!V12</f>
        <v>0</v>
      </c>
      <c r="W93" s="165">
        <f>'Daily KPIs'!W12</f>
        <v>454.9</v>
      </c>
      <c r="X93" s="165">
        <f>'Daily KPIs'!X12</f>
        <v>454.9</v>
      </c>
      <c r="Y93" s="165">
        <f>'Daily KPIs'!Y12</f>
        <v>410.9</v>
      </c>
      <c r="Z93" s="165">
        <f>'Daily KPIs'!Z12</f>
        <v>447.4</v>
      </c>
      <c r="AA93" s="165">
        <f>'Daily KPIs'!AA12</f>
        <v>202</v>
      </c>
      <c r="AB93" s="165">
        <f>'Daily KPIs'!AB12</f>
        <v>0</v>
      </c>
      <c r="AC93" s="165">
        <f>'Daily KPIs'!AC12</f>
        <v>0</v>
      </c>
      <c r="AD93" s="165">
        <f>'Daily KPIs'!AD12</f>
        <v>150.5</v>
      </c>
      <c r="AE93" s="165">
        <f>'Daily KPIs'!AE12</f>
        <v>416.8</v>
      </c>
      <c r="AF93" s="209">
        <f>'Daily KPIs'!AD12</f>
        <v>150.5</v>
      </c>
      <c r="AG93" s="261">
        <f>SUM(B93:AF93)</f>
        <v>7536.8999999999987</v>
      </c>
      <c r="AH93" s="262"/>
      <c r="AI93" s="290"/>
    </row>
    <row r="94" spans="1:37" ht="18" x14ac:dyDescent="0.25">
      <c r="A94" s="164" t="s">
        <v>215</v>
      </c>
      <c r="B94" s="166" t="str">
        <f>'Daily KPIs'!B13</f>
        <v>CB/SM</v>
      </c>
      <c r="C94" s="166" t="str">
        <f>'Daily KPIs'!C13</f>
        <v>SM/CB</v>
      </c>
      <c r="D94" s="166" t="str">
        <f>'Daily KPIs'!D13</f>
        <v>CB</v>
      </c>
      <c r="E94" s="166" t="str">
        <f>'Daily KPIs'!E13</f>
        <v>CB/ST</v>
      </c>
      <c r="F94" s="166" t="str">
        <f>'Daily KPIs'!F13</f>
        <v>ST</v>
      </c>
      <c r="G94" s="166">
        <f>'Daily KPIs'!G10</f>
        <v>0</v>
      </c>
      <c r="H94" s="166">
        <f>'Daily KPIs'!H13</f>
        <v>0</v>
      </c>
      <c r="I94" s="166" t="str">
        <f>'Daily KPIs'!I13</f>
        <v>VM</v>
      </c>
      <c r="J94" s="166" t="str">
        <f>'Daily KPIs'!J13</f>
        <v>VM/ CB</v>
      </c>
      <c r="K94" s="166" t="str">
        <f>'Daily KPIs'!K13</f>
        <v>CB</v>
      </c>
      <c r="L94" s="166" t="str">
        <f>'Daily KPIs'!L13</f>
        <v>CB/ ST</v>
      </c>
      <c r="M94" s="166">
        <f>'Daily KPIs'!M13</f>
        <v>0</v>
      </c>
      <c r="N94" s="166">
        <f>'Daily KPIs'!N13</f>
        <v>0</v>
      </c>
      <c r="O94" s="166">
        <f>'Daily KPIs'!O13</f>
        <v>0</v>
      </c>
      <c r="P94" s="166" t="str">
        <f>'Daily KPIs'!P13</f>
        <v>ST</v>
      </c>
      <c r="Q94" s="166" t="str">
        <f>'Daily KPIs'!Q13</f>
        <v>MK</v>
      </c>
      <c r="R94" s="166" t="str">
        <f>'Daily KPIs'!R13</f>
        <v>MK/CB</v>
      </c>
      <c r="S94" s="166" t="str">
        <f>'Daily KPIs'!S13</f>
        <v>CB</v>
      </c>
      <c r="T94" s="166" t="str">
        <f>'Daily KPIs'!T13</f>
        <v>CB/ ST</v>
      </c>
      <c r="U94" s="166">
        <f>'Daily KPIs'!U13</f>
        <v>0</v>
      </c>
      <c r="V94" s="166">
        <f>'Daily KPIs'!V13</f>
        <v>0</v>
      </c>
      <c r="W94" s="166" t="str">
        <f>'Daily KPIs'!W13</f>
        <v>CB</v>
      </c>
      <c r="X94" s="166" t="str">
        <f>'Daily KPIs'!X13</f>
        <v>CB</v>
      </c>
      <c r="Y94" s="166" t="str">
        <f>'Daily KPIs'!Y13</f>
        <v>CB/ST</v>
      </c>
      <c r="Z94" s="166" t="str">
        <f>'Daily KPIs'!Z13</f>
        <v>ST</v>
      </c>
      <c r="AA94" s="166" t="str">
        <f>'Daily KPIs'!AA13</f>
        <v>GN</v>
      </c>
      <c r="AB94" s="166">
        <f>'Daily KPIs'!AB13</f>
        <v>0</v>
      </c>
      <c r="AC94" s="166">
        <f>'Daily KPIs'!AC13</f>
        <v>0</v>
      </c>
      <c r="AD94" s="166" t="str">
        <f>'Daily KPIs'!AD13</f>
        <v>SM</v>
      </c>
      <c r="AE94" s="166" t="str">
        <f>'Daily KPIs'!AE13</f>
        <v>SM/ST</v>
      </c>
      <c r="AF94" s="210" t="str">
        <f>'Daily KPIs'!AD13</f>
        <v>SM</v>
      </c>
      <c r="AG94" s="262"/>
      <c r="AH94" s="262"/>
      <c r="AI94" s="290"/>
    </row>
    <row r="95" spans="1:37" ht="18" x14ac:dyDescent="0.25">
      <c r="A95" s="173" t="s">
        <v>217</v>
      </c>
      <c r="B95" s="174">
        <f>'Daily KPIs'!B14</f>
        <v>9</v>
      </c>
      <c r="C95" s="174">
        <f>'Daily KPIs'!C14</f>
        <v>8</v>
      </c>
      <c r="D95" s="174">
        <f>'Daily KPIs'!D14</f>
        <v>10</v>
      </c>
      <c r="E95" s="174">
        <f>'Daily KPIs'!E14</f>
        <v>10</v>
      </c>
      <c r="F95" s="174">
        <f>'Daily KPIs'!F14</f>
        <v>7</v>
      </c>
      <c r="G95" s="174">
        <f>'Daily KPIs'!G14</f>
        <v>0</v>
      </c>
      <c r="H95" s="174">
        <f>'Daily KPIs'!H14</f>
        <v>0</v>
      </c>
      <c r="I95" s="174">
        <f>'Daily KPIs'!I14</f>
        <v>7</v>
      </c>
      <c r="J95" s="174">
        <f>'Daily KPIs'!J14</f>
        <v>9</v>
      </c>
      <c r="K95" s="174">
        <f>'Daily KPIs'!K14</f>
        <v>9</v>
      </c>
      <c r="L95" s="174">
        <f>'Daily KPIs'!L14</f>
        <v>9</v>
      </c>
      <c r="M95" s="174">
        <f>'Daily KPIs'!M14</f>
        <v>0</v>
      </c>
      <c r="N95" s="174">
        <f>'Daily KPIs'!N14</f>
        <v>0</v>
      </c>
      <c r="O95" s="174">
        <f>'Daily KPIs'!O14</f>
        <v>0</v>
      </c>
      <c r="P95" s="174">
        <f>'Daily KPIs'!P14</f>
        <v>4</v>
      </c>
      <c r="Q95" s="174">
        <f>'Daily KPIs'!Q14</f>
        <v>3</v>
      </c>
      <c r="R95" s="174">
        <f>'Daily KPIs'!R14</f>
        <v>6</v>
      </c>
      <c r="S95" s="174">
        <f>'Daily KPIs'!S14</f>
        <v>7</v>
      </c>
      <c r="T95" s="174">
        <f>'Daily KPIs'!T14</f>
        <v>8</v>
      </c>
      <c r="U95" s="174">
        <f>'Daily KPIs'!U14</f>
        <v>0</v>
      </c>
      <c r="V95" s="174">
        <f>'Daily KPIs'!V14</f>
        <v>0</v>
      </c>
      <c r="W95" s="174">
        <f>'Daily KPIs'!W14</f>
        <v>9</v>
      </c>
      <c r="X95" s="174">
        <f>'Daily KPIs'!X14</f>
        <v>9</v>
      </c>
      <c r="Y95" s="174">
        <f>'Daily KPIs'!Y14</f>
        <v>8</v>
      </c>
      <c r="Z95" s="174">
        <f>'Daily KPIs'!Z14</f>
        <v>9</v>
      </c>
      <c r="AA95" s="174">
        <f>'Daily KPIs'!AA14</f>
        <v>4</v>
      </c>
      <c r="AB95" s="174">
        <f>'Daily KPIs'!AB14</f>
        <v>0</v>
      </c>
      <c r="AC95" s="174">
        <f>'Daily KPIs'!AC14</f>
        <v>0</v>
      </c>
      <c r="AD95" s="174">
        <f>'Daily KPIs'!AD14</f>
        <v>3</v>
      </c>
      <c r="AE95" s="174">
        <f>'Daily KPIs'!AE14</f>
        <v>8</v>
      </c>
      <c r="AF95" s="207">
        <f>'Daily KPIs'!AD14</f>
        <v>3</v>
      </c>
      <c r="AG95" s="263">
        <f>SUM($B95:AF95)</f>
        <v>159</v>
      </c>
      <c r="AH95" s="263"/>
      <c r="AI95" s="291"/>
    </row>
    <row r="96" spans="1:37" ht="18" x14ac:dyDescent="0.25">
      <c r="A96" s="109" t="s">
        <v>149</v>
      </c>
      <c r="B96" s="110">
        <f>+'Water '!$F7</f>
        <v>226</v>
      </c>
      <c r="C96" s="110">
        <f>+'Water '!$F8</f>
        <v>143</v>
      </c>
      <c r="D96" s="110">
        <f>+'Water '!$F9</f>
        <v>5</v>
      </c>
      <c r="E96" s="110">
        <f>+'Water '!$F10</f>
        <v>479</v>
      </c>
      <c r="F96" s="110">
        <f>+'Water '!$F11</f>
        <v>272</v>
      </c>
      <c r="G96" s="110">
        <f>+'Water '!$F12</f>
        <v>93</v>
      </c>
      <c r="H96" s="110" t="str">
        <f>+'Water '!$F13</f>
        <v>0</v>
      </c>
      <c r="I96" s="110">
        <f>+'Water '!$F14</f>
        <v>152</v>
      </c>
      <c r="J96" s="110">
        <f>+'Water '!$F15</f>
        <v>54</v>
      </c>
      <c r="K96" s="110">
        <f>+'Water '!$F16</f>
        <v>115</v>
      </c>
      <c r="L96" s="110">
        <f>+'Water '!$F17</f>
        <v>242</v>
      </c>
      <c r="M96" s="110">
        <f>+'Water '!$F18</f>
        <v>84</v>
      </c>
      <c r="N96" s="110">
        <f>+'Water '!$F19</f>
        <v>80</v>
      </c>
      <c r="O96" s="110">
        <f>+'Water '!$F19</f>
        <v>80</v>
      </c>
      <c r="P96" s="110">
        <f>+'Water '!$F19</f>
        <v>80</v>
      </c>
      <c r="Q96" s="110">
        <f>+'Water '!$F19</f>
        <v>80</v>
      </c>
      <c r="R96" s="110">
        <f>+'Water '!$F19</f>
        <v>80</v>
      </c>
      <c r="S96" s="110">
        <f>+'Water '!$F19</f>
        <v>80</v>
      </c>
      <c r="T96" s="110">
        <f>+'Water '!$F25</f>
        <v>243</v>
      </c>
      <c r="U96" s="110" t="str">
        <f>+'Water '!$F26</f>
        <v>0</v>
      </c>
      <c r="V96" s="110">
        <f>+'Water '!$F27</f>
        <v>52</v>
      </c>
      <c r="W96" s="110">
        <f>+'Water '!$F28</f>
        <v>142</v>
      </c>
      <c r="X96" s="110">
        <f>+'Water '!$F29</f>
        <v>59</v>
      </c>
      <c r="Y96" s="110">
        <f>+'Water '!$F30</f>
        <v>130</v>
      </c>
      <c r="Z96" s="110">
        <f>+'Water '!$F31</f>
        <v>132</v>
      </c>
      <c r="AA96" s="110">
        <f>+'Water '!$F31</f>
        <v>132</v>
      </c>
      <c r="AB96" s="110">
        <f>+'Water '!$F31</f>
        <v>132</v>
      </c>
      <c r="AC96" s="110">
        <f>+'Water '!$F31</f>
        <v>132</v>
      </c>
      <c r="AD96" s="110">
        <f>+'Water '!$F31</f>
        <v>132</v>
      </c>
      <c r="AE96" s="110">
        <f>+'Water '!$F31</f>
        <v>132</v>
      </c>
      <c r="AF96" s="206">
        <f>+'Water '!$F35</f>
        <v>65</v>
      </c>
      <c r="AG96" s="221">
        <f>SUM($B96:AF96)</f>
        <v>3828</v>
      </c>
      <c r="AH96" s="221"/>
      <c r="AI96" s="272"/>
    </row>
    <row r="97" spans="1:35" ht="18" x14ac:dyDescent="0.25">
      <c r="A97" s="104" t="s">
        <v>150</v>
      </c>
      <c r="B97" s="161" t="s">
        <v>151</v>
      </c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207"/>
      <c r="AG97" s="221">
        <f>SUM($B97:AC97)</f>
        <v>0</v>
      </c>
      <c r="AH97" s="221"/>
      <c r="AI97" s="272"/>
    </row>
    <row r="98" spans="1:35" ht="18" x14ac:dyDescent="0.25">
      <c r="A98" s="104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207"/>
      <c r="AG98" s="212"/>
      <c r="AH98" s="212"/>
      <c r="AI98" s="272"/>
    </row>
    <row r="99" spans="1:35" ht="18" x14ac:dyDescent="0.25">
      <c r="A99" s="104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207"/>
      <c r="AG99" s="212"/>
      <c r="AH99" s="212"/>
      <c r="AI99" s="272"/>
    </row>
    <row r="100" spans="1:35" ht="18" x14ac:dyDescent="0.25">
      <c r="A100" s="104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207"/>
      <c r="AG100" s="212"/>
      <c r="AH100" s="212"/>
      <c r="AI100" s="272"/>
    </row>
    <row r="101" spans="1:35" ht="18" x14ac:dyDescent="0.25">
      <c r="A101" s="104"/>
      <c r="B101" s="159">
        <f>'Daily KPIs CO2'!B52</f>
        <v>8479</v>
      </c>
      <c r="C101" s="159">
        <f>'Daily KPIs CO2'!C52</f>
        <v>9132</v>
      </c>
      <c r="D101" s="159">
        <f>'Daily KPIs CO2'!D52</f>
        <v>7961</v>
      </c>
      <c r="E101" s="159">
        <f>'Daily KPIs CO2'!E52</f>
        <v>8276</v>
      </c>
      <c r="F101" s="159">
        <f>'Daily KPIs CO2'!F52</f>
        <v>8163</v>
      </c>
      <c r="G101" s="159">
        <f>'Daily KPIs CO2'!G52</f>
        <v>5259</v>
      </c>
      <c r="H101" s="159">
        <f>'Daily KPIs CO2'!H52</f>
        <v>5037</v>
      </c>
      <c r="I101" s="159">
        <f>'Daily KPIs CO2'!I52</f>
        <v>8003</v>
      </c>
      <c r="J101" s="159">
        <f>'Daily KPIs CO2'!J52</f>
        <v>8837</v>
      </c>
      <c r="K101" s="159">
        <f>'Daily KPIs CO2'!K52</f>
        <v>8797</v>
      </c>
      <c r="L101" s="159">
        <f>'Daily KPIs CO2'!L52</f>
        <v>7197</v>
      </c>
      <c r="M101" s="159">
        <f>'Daily KPIs CO2'!M52</f>
        <v>7195</v>
      </c>
      <c r="N101" s="159">
        <f>'Daily KPIs CO2'!N52</f>
        <v>5393</v>
      </c>
      <c r="O101" s="159">
        <f>'Daily KPIs CO2'!O52</f>
        <v>5482</v>
      </c>
      <c r="P101" s="159">
        <f>'Daily KPIs CO2'!P52</f>
        <v>9086</v>
      </c>
      <c r="Q101" s="159">
        <f>'Daily KPIs CO2'!Q52</f>
        <v>7655</v>
      </c>
      <c r="R101" s="159">
        <f>'Daily KPIs CO2'!R52</f>
        <v>8972</v>
      </c>
      <c r="S101" s="159">
        <f>'Daily KPIs CO2'!S52</f>
        <v>9638</v>
      </c>
      <c r="T101" s="159">
        <f>'Daily KPIs CO2'!T52</f>
        <v>9638</v>
      </c>
      <c r="U101" s="159">
        <f>'Daily KPIs CO2'!U52</f>
        <v>9638</v>
      </c>
      <c r="V101" s="159">
        <f>'Daily KPIs CO2'!V52</f>
        <v>9638</v>
      </c>
      <c r="W101" s="159">
        <f>'Daily KPIs CO2'!W52</f>
        <v>9638</v>
      </c>
      <c r="X101" s="159">
        <f>'Daily KPIs CO2'!X52</f>
        <v>9638</v>
      </c>
      <c r="Y101" s="159">
        <f>'Daily KPIs CO2'!Y52</f>
        <v>9638</v>
      </c>
      <c r="Z101" s="159">
        <f>'Daily KPIs CO2'!Z52</f>
        <v>9638</v>
      </c>
      <c r="AA101" s="159">
        <f>'Daily KPIs CO2'!AA52</f>
        <v>9638</v>
      </c>
      <c r="AB101" s="159">
        <f>'Daily KPIs CO2'!AB52</f>
        <v>9638</v>
      </c>
      <c r="AC101" s="159">
        <f>'Daily KPIs CO2'!AC52</f>
        <v>9638</v>
      </c>
      <c r="AD101" s="159">
        <f>'Daily KPIs CO2'!AD52</f>
        <v>9638</v>
      </c>
      <c r="AE101" s="159">
        <f>'Daily KPIs CO2'!AE52</f>
        <v>9638</v>
      </c>
      <c r="AF101" s="208">
        <f>'Daily KPIs CO2'!AF52</f>
        <v>9638</v>
      </c>
      <c r="AG101" s="264">
        <f>'Daily KPIs CO2'!AG52</f>
        <v>234942</v>
      </c>
      <c r="AH101" s="212"/>
      <c r="AI101" s="272"/>
    </row>
    <row r="102" spans="1:35" x14ac:dyDescent="0.2">
      <c r="M102" s="82"/>
    </row>
    <row r="103" spans="1:35" x14ac:dyDescent="0.2">
      <c r="M103" s="82"/>
    </row>
    <row r="104" spans="1:35" x14ac:dyDescent="0.2">
      <c r="M104" s="82"/>
    </row>
    <row r="105" spans="1:35" x14ac:dyDescent="0.2">
      <c r="M105" s="82"/>
    </row>
    <row r="106" spans="1:35" x14ac:dyDescent="0.2">
      <c r="M106" s="82"/>
    </row>
    <row r="107" spans="1:35" x14ac:dyDescent="0.2">
      <c r="M107" s="82"/>
    </row>
    <row r="108" spans="1:35" x14ac:dyDescent="0.2">
      <c r="H108" s="82" t="s">
        <v>212</v>
      </c>
      <c r="M108" s="82"/>
    </row>
    <row r="109" spans="1:35" x14ac:dyDescent="0.2">
      <c r="M109" s="82"/>
    </row>
    <row r="110" spans="1:35" x14ac:dyDescent="0.2">
      <c r="M110" s="82"/>
    </row>
    <row r="111" spans="1:35" x14ac:dyDescent="0.2">
      <c r="M111" s="82"/>
    </row>
    <row r="112" spans="1:35" x14ac:dyDescent="0.2">
      <c r="M112" s="82"/>
    </row>
    <row r="113" spans="13:13" x14ac:dyDescent="0.2">
      <c r="M113" s="82"/>
    </row>
    <row r="114" spans="13:13" x14ac:dyDescent="0.2">
      <c r="M114" s="82"/>
    </row>
    <row r="115" spans="13:13" x14ac:dyDescent="0.2">
      <c r="M115" s="82"/>
    </row>
    <row r="116" spans="13:13" x14ac:dyDescent="0.2">
      <c r="M116" s="82"/>
    </row>
    <row r="117" spans="13:13" x14ac:dyDescent="0.2">
      <c r="M117" s="82"/>
    </row>
    <row r="118" spans="13:13" x14ac:dyDescent="0.2">
      <c r="M118" s="82"/>
    </row>
    <row r="119" spans="13:13" x14ac:dyDescent="0.2">
      <c r="M119" s="82"/>
    </row>
    <row r="120" spans="13:13" x14ac:dyDescent="0.2">
      <c r="M120" s="82"/>
    </row>
    <row r="121" spans="13:13" x14ac:dyDescent="0.2">
      <c r="M121" s="82"/>
    </row>
    <row r="122" spans="13:13" x14ac:dyDescent="0.2">
      <c r="M122" s="82"/>
    </row>
    <row r="123" spans="13:13" x14ac:dyDescent="0.2">
      <c r="M123" s="82"/>
    </row>
    <row r="124" spans="13:13" x14ac:dyDescent="0.2">
      <c r="M124" s="82"/>
    </row>
    <row r="125" spans="13:13" x14ac:dyDescent="0.2">
      <c r="M125" s="82"/>
    </row>
    <row r="126" spans="13:13" x14ac:dyDescent="0.2">
      <c r="M126" s="82"/>
    </row>
    <row r="127" spans="13:13" x14ac:dyDescent="0.2">
      <c r="M127" s="82"/>
    </row>
    <row r="128" spans="13:13" x14ac:dyDescent="0.2">
      <c r="M128" s="82"/>
    </row>
    <row r="129" spans="13:13" x14ac:dyDescent="0.2">
      <c r="M129" s="82"/>
    </row>
    <row r="130" spans="13:13" x14ac:dyDescent="0.2">
      <c r="M130" s="82"/>
    </row>
    <row r="131" spans="13:13" x14ac:dyDescent="0.2">
      <c r="M131" s="82"/>
    </row>
    <row r="132" spans="13:13" x14ac:dyDescent="0.2">
      <c r="M132" s="82"/>
    </row>
    <row r="133" spans="13:13" x14ac:dyDescent="0.2">
      <c r="M133" s="82"/>
    </row>
    <row r="134" spans="13:13" x14ac:dyDescent="0.2">
      <c r="M134" s="82"/>
    </row>
    <row r="135" spans="13:13" x14ac:dyDescent="0.2">
      <c r="M135" s="82"/>
    </row>
    <row r="136" spans="13:13" x14ac:dyDescent="0.2">
      <c r="M136" s="82"/>
    </row>
    <row r="137" spans="13:13" x14ac:dyDescent="0.2">
      <c r="M137" s="82"/>
    </row>
    <row r="138" spans="13:13" x14ac:dyDescent="0.2">
      <c r="M138" s="82"/>
    </row>
    <row r="139" spans="13:13" x14ac:dyDescent="0.2">
      <c r="M139" s="82"/>
    </row>
    <row r="140" spans="13:13" x14ac:dyDescent="0.2">
      <c r="M140" s="82"/>
    </row>
    <row r="141" spans="13:13" x14ac:dyDescent="0.2">
      <c r="M141" s="82"/>
    </row>
    <row r="142" spans="13:13" x14ac:dyDescent="0.2">
      <c r="M142" s="82"/>
    </row>
    <row r="143" spans="13:13" x14ac:dyDescent="0.2">
      <c r="M143" s="82"/>
    </row>
  </sheetData>
  <mergeCells count="2">
    <mergeCell ref="Y10:Z10"/>
    <mergeCell ref="AH6:AH7"/>
  </mergeCells>
  <phoneticPr fontId="2" type="noConversion"/>
  <conditionalFormatting sqref="B82:AF82">
    <cfRule type="cellIs" dxfId="39" priority="3" operator="greaterThan">
      <formula>26</formula>
    </cfRule>
  </conditionalFormatting>
  <conditionalFormatting sqref="B84:AF84">
    <cfRule type="cellIs" dxfId="38" priority="4" operator="greaterThan">
      <formula>6.8</formula>
    </cfRule>
  </conditionalFormatting>
  <conditionalFormatting sqref="D64:D65 D67 T69:AI70 D71 D73:D77">
    <cfRule type="cellIs" dxfId="37" priority="5" stopIfTrue="1" operator="greaterThan">
      <formula>3.8</formula>
    </cfRule>
  </conditionalFormatting>
  <conditionalFormatting sqref="D69:S69 B70:S70">
    <cfRule type="cellIs" dxfId="36" priority="13" stopIfTrue="1" operator="greaterThan">
      <formula>3.8</formula>
    </cfRule>
  </conditionalFormatting>
  <conditionalFormatting sqref="AI8">
    <cfRule type="cellIs" dxfId="35" priority="1" operator="greaterThan">
      <formula>0</formula>
    </cfRule>
    <cfRule type="cellIs" dxfId="34" priority="2" operator="lessThan">
      <formula>0</formula>
    </cfRule>
  </conditionalFormatting>
  <pageMargins left="0.5" right="0.25" top="0.28000000000000003" bottom="0" header="0" footer="0"/>
  <pageSetup paperSize="5" scale="29" orientation="landscape" r:id="rId1"/>
  <headerFooter alignWithMargins="0"/>
  <rowBreaks count="1" manualBreakCount="1">
    <brk id="101" max="1638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ES173"/>
  <sheetViews>
    <sheetView showGridLines="0" topLeftCell="A5" zoomScale="70" zoomScaleNormal="70" zoomScaleSheetLayoutView="50" workbookViewId="0">
      <pane xSplit="1" ySplit="10" topLeftCell="Z68" activePane="bottomRight" state="frozen"/>
      <selection activeCell="A5" sqref="A5"/>
      <selection pane="topRight" activeCell="B5" sqref="B5"/>
      <selection pane="bottomLeft" activeCell="A15" sqref="A15"/>
      <selection pane="bottomRight" activeCell="AH74" sqref="AH74"/>
    </sheetView>
  </sheetViews>
  <sheetFormatPr defaultColWidth="9.28515625" defaultRowHeight="26.25" outlineLevelRow="1" x14ac:dyDescent="0.35"/>
  <cols>
    <col min="1" max="1" width="57.5703125" style="540" customWidth="1"/>
    <col min="2" max="2" width="42.28515625" style="292" customWidth="1"/>
    <col min="3" max="3" width="24.140625" style="292" customWidth="1"/>
    <col min="4" max="4" width="27.28515625" style="292" customWidth="1"/>
    <col min="5" max="5" width="23.28515625" style="292" customWidth="1"/>
    <col min="6" max="6" width="30.140625" style="292" customWidth="1"/>
    <col min="7" max="7" width="36.42578125" style="292" customWidth="1"/>
    <col min="8" max="8" width="35.5703125" style="292" customWidth="1"/>
    <col min="9" max="9" width="23.7109375" style="292" customWidth="1"/>
    <col min="10" max="10" width="22.140625" style="542" customWidth="1"/>
    <col min="11" max="11" width="29.7109375" style="542" customWidth="1"/>
    <col min="12" max="12" width="23" style="542" customWidth="1"/>
    <col min="13" max="13" width="29.7109375" style="543" customWidth="1"/>
    <col min="14" max="33" width="29.7109375" style="542" customWidth="1"/>
    <col min="34" max="34" width="29.7109375" style="541" customWidth="1"/>
    <col min="35" max="35" width="24.7109375" style="541" customWidth="1"/>
    <col min="36" max="36" width="24.7109375" style="292" customWidth="1"/>
    <col min="37" max="37" width="11.7109375" style="292" customWidth="1"/>
    <col min="38" max="38" width="20.7109375" style="292" customWidth="1"/>
    <col min="39" max="40" width="9.28515625" style="292"/>
    <col min="41" max="41" width="11.28515625" style="292" bestFit="1" customWidth="1"/>
    <col min="42" max="59" width="9.28515625" style="292"/>
    <col min="60" max="16384" width="9.28515625" style="540"/>
  </cols>
  <sheetData>
    <row r="1" spans="1:149" x14ac:dyDescent="0.35">
      <c r="B1" s="541"/>
      <c r="AH1" s="292"/>
      <c r="AI1" s="292"/>
    </row>
    <row r="2" spans="1:149" x14ac:dyDescent="0.35">
      <c r="B2" s="541"/>
      <c r="AH2" s="292"/>
      <c r="AI2" s="292"/>
    </row>
    <row r="3" spans="1:149" x14ac:dyDescent="0.4">
      <c r="A3" s="544" t="s">
        <v>135</v>
      </c>
      <c r="B3" s="541"/>
      <c r="C3" s="541"/>
      <c r="AH3" s="292"/>
      <c r="AI3" s="292"/>
    </row>
    <row r="4" spans="1:149" hidden="1" x14ac:dyDescent="0.4">
      <c r="A4" s="544"/>
      <c r="M4" s="545"/>
    </row>
    <row r="5" spans="1:149" hidden="1" x14ac:dyDescent="0.35">
      <c r="B5" s="546"/>
      <c r="C5" s="546"/>
      <c r="D5" s="546"/>
      <c r="E5" s="546"/>
      <c r="F5" s="546"/>
      <c r="G5" s="546"/>
      <c r="H5" s="546"/>
      <c r="I5" s="546"/>
      <c r="J5" s="546"/>
      <c r="K5" s="546"/>
      <c r="L5" s="546"/>
      <c r="M5" s="546"/>
      <c r="N5" s="546"/>
      <c r="O5" s="546"/>
      <c r="P5" s="546"/>
      <c r="Q5" s="546"/>
      <c r="R5" s="546"/>
      <c r="S5" s="546"/>
      <c r="T5" s="546"/>
      <c r="U5" s="546"/>
      <c r="V5" s="546"/>
      <c r="W5" s="546"/>
      <c r="X5" s="546"/>
      <c r="Y5" s="546">
        <v>1800</v>
      </c>
      <c r="Z5" s="546"/>
      <c r="AA5" s="546"/>
      <c r="AB5" s="546"/>
      <c r="AC5" s="546"/>
      <c r="AD5" s="546"/>
      <c r="AE5" s="546"/>
      <c r="AF5" s="546"/>
      <c r="AG5" s="546"/>
      <c r="AH5" s="546"/>
      <c r="AI5" s="546"/>
      <c r="AJ5" s="546"/>
    </row>
    <row r="6" spans="1:149" x14ac:dyDescent="0.4">
      <c r="A6" s="183">
        <v>45902</v>
      </c>
      <c r="B6" s="547">
        <v>1</v>
      </c>
      <c r="C6" s="547">
        <v>2</v>
      </c>
      <c r="D6" s="547">
        <v>3</v>
      </c>
      <c r="E6" s="547">
        <v>4</v>
      </c>
      <c r="F6" s="547">
        <v>5</v>
      </c>
      <c r="G6" s="547">
        <v>6</v>
      </c>
      <c r="H6" s="547">
        <v>7</v>
      </c>
      <c r="I6" s="547">
        <v>8</v>
      </c>
      <c r="J6" s="547">
        <v>9</v>
      </c>
      <c r="K6" s="547">
        <v>10</v>
      </c>
      <c r="L6" s="547">
        <v>11</v>
      </c>
      <c r="M6" s="547">
        <v>12</v>
      </c>
      <c r="N6" s="547">
        <v>13</v>
      </c>
      <c r="O6" s="547">
        <v>14</v>
      </c>
      <c r="P6" s="547">
        <v>15</v>
      </c>
      <c r="Q6" s="547">
        <v>16</v>
      </c>
      <c r="R6" s="547">
        <v>17</v>
      </c>
      <c r="S6" s="547">
        <v>18</v>
      </c>
      <c r="T6" s="547">
        <v>19</v>
      </c>
      <c r="U6" s="547">
        <v>20</v>
      </c>
      <c r="V6" s="547">
        <v>21</v>
      </c>
      <c r="W6" s="547">
        <v>22</v>
      </c>
      <c r="X6" s="547">
        <v>23</v>
      </c>
      <c r="Y6" s="547">
        <v>24</v>
      </c>
      <c r="Z6" s="547">
        <v>25</v>
      </c>
      <c r="AA6" s="547">
        <v>26</v>
      </c>
      <c r="AB6" s="547">
        <v>27</v>
      </c>
      <c r="AC6" s="547">
        <v>28</v>
      </c>
      <c r="AD6" s="547">
        <v>29</v>
      </c>
      <c r="AE6" s="547">
        <v>30</v>
      </c>
      <c r="AF6" s="547"/>
      <c r="AG6" s="292"/>
      <c r="AI6" s="982" t="s">
        <v>220</v>
      </c>
    </row>
    <row r="7" spans="1:149" s="551" customFormat="1" x14ac:dyDescent="0.4">
      <c r="A7" s="548"/>
      <c r="B7" s="549" t="s">
        <v>142</v>
      </c>
      <c r="C7" s="549" t="s">
        <v>143</v>
      </c>
      <c r="D7" s="549" t="s">
        <v>144</v>
      </c>
      <c r="E7" s="549" t="s">
        <v>145</v>
      </c>
      <c r="F7" s="549" t="s">
        <v>146</v>
      </c>
      <c r="G7" s="549" t="s">
        <v>147</v>
      </c>
      <c r="H7" s="549" t="s">
        <v>148</v>
      </c>
      <c r="I7" s="549" t="s">
        <v>142</v>
      </c>
      <c r="J7" s="549" t="s">
        <v>143</v>
      </c>
      <c r="K7" s="549" t="s">
        <v>144</v>
      </c>
      <c r="L7" s="549" t="s">
        <v>145</v>
      </c>
      <c r="M7" s="549" t="s">
        <v>146</v>
      </c>
      <c r="N7" s="549" t="s">
        <v>147</v>
      </c>
      <c r="O7" s="549" t="s">
        <v>148</v>
      </c>
      <c r="P7" s="549" t="s">
        <v>142</v>
      </c>
      <c r="Q7" s="549" t="s">
        <v>143</v>
      </c>
      <c r="R7" s="549" t="s">
        <v>144</v>
      </c>
      <c r="S7" s="549" t="s">
        <v>145</v>
      </c>
      <c r="T7" s="549" t="s">
        <v>146</v>
      </c>
      <c r="U7" s="549" t="s">
        <v>147</v>
      </c>
      <c r="V7" s="549" t="s">
        <v>148</v>
      </c>
      <c r="W7" s="549" t="s">
        <v>142</v>
      </c>
      <c r="X7" s="549" t="s">
        <v>143</v>
      </c>
      <c r="Y7" s="549" t="s">
        <v>144</v>
      </c>
      <c r="Z7" s="549" t="s">
        <v>145</v>
      </c>
      <c r="AA7" s="549" t="s">
        <v>146</v>
      </c>
      <c r="AB7" s="549" t="s">
        <v>147</v>
      </c>
      <c r="AC7" s="549" t="s">
        <v>148</v>
      </c>
      <c r="AD7" s="549" t="s">
        <v>142</v>
      </c>
      <c r="AE7" s="549" t="s">
        <v>143</v>
      </c>
      <c r="AF7" s="549"/>
      <c r="AG7" s="550"/>
      <c r="AH7" s="550" t="s">
        <v>19</v>
      </c>
      <c r="AI7" s="982"/>
      <c r="AJ7" s="293" t="s">
        <v>233</v>
      </c>
      <c r="AK7" s="293"/>
      <c r="AL7" s="293"/>
      <c r="AM7" s="293"/>
      <c r="AN7" s="293"/>
      <c r="AO7" s="293"/>
      <c r="AP7" s="293"/>
      <c r="AQ7" s="293"/>
      <c r="AR7" s="293"/>
      <c r="AS7" s="293"/>
      <c r="AT7" s="293"/>
      <c r="AU7" s="293"/>
      <c r="AV7" s="293"/>
      <c r="AW7" s="293"/>
      <c r="AX7" s="293"/>
      <c r="AY7" s="293"/>
      <c r="AZ7" s="293"/>
      <c r="BA7" s="293"/>
      <c r="BB7" s="293"/>
      <c r="BC7" s="293"/>
      <c r="BD7" s="293"/>
      <c r="BE7" s="293"/>
      <c r="BF7" s="293"/>
      <c r="BG7" s="293"/>
    </row>
    <row r="8" spans="1:149" s="555" customFormat="1" x14ac:dyDescent="0.35">
      <c r="A8" s="552" t="s">
        <v>137</v>
      </c>
      <c r="B8" s="765">
        <f>1051+4871</f>
        <v>5922</v>
      </c>
      <c r="C8" s="765">
        <f>3385+1333</f>
        <v>4718</v>
      </c>
      <c r="D8" s="765">
        <f>926+3587</f>
        <v>4513</v>
      </c>
      <c r="E8" s="778">
        <v>5941</v>
      </c>
      <c r="F8" s="778">
        <f>3305+854</f>
        <v>4159</v>
      </c>
      <c r="G8" s="768"/>
      <c r="H8" s="768"/>
      <c r="I8" s="778">
        <f>966+3676</f>
        <v>4642</v>
      </c>
      <c r="J8" s="778">
        <v>5456</v>
      </c>
      <c r="K8" s="778">
        <f>3071+1790</f>
        <v>4861</v>
      </c>
      <c r="L8" s="778">
        <v>86</v>
      </c>
      <c r="M8" s="778">
        <v>983</v>
      </c>
      <c r="N8" s="743"/>
      <c r="O8" s="743"/>
      <c r="P8" s="765">
        <f>5349+2117</f>
        <v>7466</v>
      </c>
      <c r="Q8" s="778">
        <v>6702</v>
      </c>
      <c r="R8" s="778">
        <f>1277+5386</f>
        <v>6663</v>
      </c>
      <c r="S8" s="765">
        <v>12334</v>
      </c>
      <c r="T8" s="765">
        <f>2260+2546+1210+1929</f>
        <v>7945</v>
      </c>
      <c r="U8" s="768"/>
      <c r="V8" s="743"/>
      <c r="W8" s="838">
        <v>5295</v>
      </c>
      <c r="X8" s="765">
        <f>1634+5703</f>
        <v>7337</v>
      </c>
      <c r="Y8" s="743"/>
      <c r="Z8" s="765">
        <f>1463+2824</f>
        <v>4287</v>
      </c>
      <c r="AA8" s="765">
        <f>5807+2121</f>
        <v>7928</v>
      </c>
      <c r="AB8" s="743"/>
      <c r="AC8" s="743"/>
      <c r="AD8" s="765">
        <v>2865</v>
      </c>
      <c r="AE8" s="765">
        <f>88+1003+433+1172+312</f>
        <v>3008</v>
      </c>
      <c r="AF8" s="779"/>
      <c r="AG8" s="780"/>
      <c r="AH8" s="553">
        <f>SUM(B8:AF8)</f>
        <v>113111</v>
      </c>
      <c r="AI8" s="294">
        <v>77500</v>
      </c>
      <c r="AJ8" s="295">
        <f>AH8-AI8</f>
        <v>35611</v>
      </c>
      <c r="AK8" s="554"/>
      <c r="AL8" s="554"/>
      <c r="AM8" s="554"/>
      <c r="AN8" s="554"/>
      <c r="AO8" s="554"/>
      <c r="AP8" s="554"/>
      <c r="AQ8" s="554"/>
      <c r="AR8" s="554"/>
      <c r="AS8" s="554"/>
      <c r="AT8" s="554"/>
      <c r="AU8" s="554"/>
      <c r="AV8" s="554"/>
      <c r="AW8" s="554"/>
      <c r="AX8" s="554"/>
      <c r="AY8" s="554"/>
      <c r="AZ8" s="554"/>
      <c r="BA8" s="554"/>
      <c r="BB8" s="554"/>
      <c r="BC8" s="554"/>
      <c r="BD8" s="554"/>
      <c r="BE8" s="554"/>
      <c r="BF8" s="554"/>
      <c r="BG8" s="554"/>
    </row>
    <row r="9" spans="1:149" x14ac:dyDescent="0.35">
      <c r="A9" s="556" t="s">
        <v>139</v>
      </c>
      <c r="B9" s="809">
        <f t="shared" ref="B9:E9" si="0">B8*0.066</f>
        <v>390.85200000000003</v>
      </c>
      <c r="C9" s="809">
        <f t="shared" si="0"/>
        <v>311.38800000000003</v>
      </c>
      <c r="D9" s="809">
        <f t="shared" si="0"/>
        <v>297.858</v>
      </c>
      <c r="E9" s="809">
        <f t="shared" si="0"/>
        <v>392.10599999999999</v>
      </c>
      <c r="F9" s="809">
        <f>F8*0.066</f>
        <v>274.49400000000003</v>
      </c>
      <c r="G9" s="768"/>
      <c r="H9" s="768"/>
      <c r="I9" s="809">
        <f>I8*0.066</f>
        <v>306.37200000000001</v>
      </c>
      <c r="J9" s="809">
        <f>J8*0.066</f>
        <v>360.096</v>
      </c>
      <c r="K9" s="809">
        <f>K8*0.066</f>
        <v>320.82600000000002</v>
      </c>
      <c r="L9" s="809">
        <f>L8*0.066</f>
        <v>5.6760000000000002</v>
      </c>
      <c r="M9" s="809">
        <f>M8*0.066</f>
        <v>64.878</v>
      </c>
      <c r="N9" s="768"/>
      <c r="O9" s="768"/>
      <c r="P9" s="809">
        <f>5349*0.0708+2117*0.066</f>
        <v>518.43119999999999</v>
      </c>
      <c r="Q9" s="809">
        <f>Q8*0.066</f>
        <v>442.33199999999999</v>
      </c>
      <c r="R9" s="809">
        <f>R8*0.066</f>
        <v>439.75800000000004</v>
      </c>
      <c r="S9" s="809">
        <f>S8*0.066</f>
        <v>814.04399999999998</v>
      </c>
      <c r="T9" s="809">
        <f>T8*0.066</f>
        <v>524.37</v>
      </c>
      <c r="U9" s="768"/>
      <c r="V9" s="768"/>
      <c r="W9" s="809">
        <f>W8*0.066</f>
        <v>349.47</v>
      </c>
      <c r="X9" s="809">
        <f>X8*0.066</f>
        <v>484.24200000000002</v>
      </c>
      <c r="Y9" s="768"/>
      <c r="Z9" s="809">
        <f>Z8*0.066</f>
        <v>282.94200000000001</v>
      </c>
      <c r="AA9" s="809">
        <f>AA8*0.066</f>
        <v>523.24800000000005</v>
      </c>
      <c r="AB9" s="768"/>
      <c r="AC9" s="768"/>
      <c r="AD9" s="809">
        <f>AD8*0.066</f>
        <v>189.09</v>
      </c>
      <c r="AE9" s="809">
        <f>AE8*0.066</f>
        <v>198.52800000000002</v>
      </c>
      <c r="AF9" s="778"/>
      <c r="AG9" s="781"/>
      <c r="AH9" s="557">
        <f>SUM($B9:AF9)</f>
        <v>7491.0012000000006</v>
      </c>
      <c r="AI9" s="557"/>
      <c r="AO9" s="558"/>
    </row>
    <row r="10" spans="1:149" s="559" customFormat="1" x14ac:dyDescent="0.35">
      <c r="A10" s="559" t="s">
        <v>136</v>
      </c>
      <c r="B10" s="786" t="s">
        <v>297</v>
      </c>
      <c r="C10" s="777" t="s">
        <v>299</v>
      </c>
      <c r="D10" s="786" t="s">
        <v>301</v>
      </c>
      <c r="E10" s="782" t="s">
        <v>302</v>
      </c>
      <c r="F10" s="827" t="s">
        <v>301</v>
      </c>
      <c r="G10" s="793"/>
      <c r="H10" s="794"/>
      <c r="I10" s="784" t="s">
        <v>301</v>
      </c>
      <c r="J10" s="784" t="s">
        <v>301</v>
      </c>
      <c r="K10" s="784" t="s">
        <v>306</v>
      </c>
      <c r="L10" s="868" t="s">
        <v>308</v>
      </c>
      <c r="M10" s="868" t="s">
        <v>308</v>
      </c>
      <c r="N10" s="797"/>
      <c r="O10" s="744"/>
      <c r="P10" s="833" t="s">
        <v>309</v>
      </c>
      <c r="Q10" s="777" t="s">
        <v>303</v>
      </c>
      <c r="R10" s="786" t="s">
        <v>301</v>
      </c>
      <c r="S10" s="786" t="s">
        <v>301</v>
      </c>
      <c r="T10" s="785" t="s">
        <v>312</v>
      </c>
      <c r="U10" s="798"/>
      <c r="V10" s="744"/>
      <c r="W10" s="785" t="s">
        <v>303</v>
      </c>
      <c r="X10" s="785" t="s">
        <v>315</v>
      </c>
      <c r="Y10" s="839"/>
      <c r="Z10" s="840" t="s">
        <v>314</v>
      </c>
      <c r="AA10" s="841" t="s">
        <v>316</v>
      </c>
      <c r="AB10" s="799"/>
      <c r="AC10" s="799"/>
      <c r="AD10" s="786" t="s">
        <v>301</v>
      </c>
      <c r="AE10" s="786" t="s">
        <v>317</v>
      </c>
      <c r="AF10" s="787"/>
      <c r="AG10" s="783"/>
      <c r="AH10" s="560"/>
      <c r="AI10" s="560"/>
      <c r="AJ10" s="292"/>
      <c r="AK10" s="554"/>
      <c r="AL10" s="554" t="s">
        <v>58</v>
      </c>
      <c r="AM10" s="554"/>
      <c r="AN10" s="554" t="s">
        <v>58</v>
      </c>
      <c r="AO10" s="554"/>
      <c r="AP10" s="554"/>
      <c r="AQ10" s="554"/>
      <c r="AR10" s="554"/>
      <c r="AS10" s="554"/>
      <c r="AT10" s="554"/>
      <c r="AU10" s="554"/>
      <c r="AV10" s="554"/>
      <c r="AW10" s="554"/>
      <c r="AX10" s="554"/>
      <c r="AY10" s="554"/>
      <c r="AZ10" s="554"/>
      <c r="BA10" s="554"/>
      <c r="BB10" s="554"/>
      <c r="BC10" s="554"/>
      <c r="BD10" s="554"/>
      <c r="BE10" s="554"/>
      <c r="BF10" s="554"/>
      <c r="BG10" s="554"/>
    </row>
    <row r="11" spans="1:149" s="564" customFormat="1" ht="1.5" customHeight="1" x14ac:dyDescent="0.35">
      <c r="A11" s="561"/>
      <c r="B11" s="766"/>
      <c r="C11" s="766"/>
      <c r="D11" s="766"/>
      <c r="E11" s="788"/>
      <c r="F11" s="828"/>
      <c r="G11" s="813"/>
      <c r="H11" s="795"/>
      <c r="I11" s="766"/>
      <c r="J11" s="789"/>
      <c r="K11" s="766"/>
      <c r="M11" s="766"/>
      <c r="N11" s="745"/>
      <c r="O11" s="745"/>
      <c r="P11" s="766"/>
      <c r="Q11" s="766"/>
      <c r="R11" s="766"/>
      <c r="S11" s="766"/>
      <c r="T11" s="789"/>
      <c r="U11" s="795"/>
      <c r="V11" s="745"/>
      <c r="W11" s="766"/>
      <c r="X11" s="766"/>
      <c r="Y11" s="766"/>
      <c r="Z11" s="766"/>
      <c r="AA11" s="766"/>
      <c r="AB11" s="745"/>
      <c r="AC11" s="745"/>
      <c r="AD11" s="766"/>
      <c r="AE11" s="766"/>
      <c r="AF11" s="766"/>
      <c r="AG11" s="790"/>
      <c r="AH11" s="562"/>
      <c r="AI11" s="562"/>
      <c r="AJ11" s="563"/>
      <c r="AK11" s="554"/>
      <c r="AL11" s="554"/>
      <c r="AM11" s="554"/>
      <c r="AN11" s="554"/>
      <c r="AO11" s="554"/>
      <c r="AP11" s="554"/>
      <c r="AQ11" s="554"/>
      <c r="AR11" s="554"/>
      <c r="AS11" s="554"/>
      <c r="AT11" s="554"/>
      <c r="AU11" s="554"/>
      <c r="AV11" s="554"/>
      <c r="AW11" s="554"/>
      <c r="AX11" s="554"/>
      <c r="AY11" s="554"/>
      <c r="AZ11" s="554"/>
      <c r="BA11" s="554"/>
      <c r="BB11" s="554"/>
      <c r="BC11" s="554"/>
      <c r="BD11" s="554"/>
      <c r="BE11" s="554"/>
      <c r="BF11" s="554"/>
      <c r="BG11" s="554"/>
      <c r="BH11" s="559"/>
      <c r="BI11" s="559"/>
      <c r="BJ11" s="559"/>
      <c r="BK11" s="559"/>
      <c r="BL11" s="559"/>
      <c r="BM11" s="559"/>
      <c r="BN11" s="559"/>
      <c r="BO11" s="559"/>
      <c r="BP11" s="559"/>
      <c r="BQ11" s="559"/>
      <c r="BR11" s="559"/>
      <c r="BS11" s="559"/>
      <c r="BT11" s="559"/>
      <c r="BU11" s="559"/>
      <c r="BV11" s="559"/>
      <c r="BW11" s="559"/>
      <c r="BX11" s="559"/>
      <c r="BY11" s="559"/>
      <c r="BZ11" s="559"/>
      <c r="CA11" s="559"/>
      <c r="CB11" s="559"/>
      <c r="CC11" s="559"/>
      <c r="CD11" s="559"/>
      <c r="CE11" s="559"/>
      <c r="CF11" s="559"/>
      <c r="CG11" s="559"/>
      <c r="CH11" s="559"/>
      <c r="CI11" s="559"/>
      <c r="CJ11" s="559"/>
      <c r="CK11" s="559"/>
      <c r="CL11" s="559"/>
      <c r="CM11" s="559"/>
      <c r="CN11" s="559"/>
      <c r="CO11" s="559"/>
      <c r="CP11" s="559"/>
      <c r="CQ11" s="559"/>
      <c r="CR11" s="559"/>
      <c r="CS11" s="559"/>
      <c r="CT11" s="559"/>
      <c r="CU11" s="559"/>
      <c r="CV11" s="559"/>
      <c r="CW11" s="559"/>
      <c r="CX11" s="559"/>
      <c r="CY11" s="559"/>
      <c r="CZ11" s="559"/>
      <c r="DA11" s="559"/>
      <c r="DB11" s="559"/>
      <c r="DC11" s="559"/>
      <c r="DD11" s="559"/>
      <c r="DE11" s="559"/>
      <c r="DF11" s="559"/>
      <c r="DG11" s="559"/>
      <c r="DH11" s="559"/>
      <c r="DI11" s="559"/>
      <c r="DJ11" s="559"/>
      <c r="DK11" s="559"/>
      <c r="DL11" s="559"/>
      <c r="DM11" s="559"/>
      <c r="DN11" s="559"/>
      <c r="DO11" s="559"/>
      <c r="DP11" s="559"/>
      <c r="DQ11" s="559"/>
      <c r="DR11" s="559"/>
      <c r="DS11" s="559"/>
      <c r="DT11" s="559"/>
      <c r="DU11" s="559"/>
      <c r="DV11" s="559"/>
      <c r="DW11" s="559"/>
      <c r="DX11" s="559"/>
      <c r="DY11" s="559"/>
      <c r="DZ11" s="559"/>
      <c r="EA11" s="559"/>
      <c r="EB11" s="559"/>
      <c r="EC11" s="559"/>
      <c r="ED11" s="559"/>
      <c r="EE11" s="559"/>
      <c r="EF11" s="559"/>
      <c r="EG11" s="559"/>
      <c r="EH11" s="559"/>
      <c r="EI11" s="559"/>
      <c r="EJ11" s="559"/>
      <c r="EK11" s="559"/>
      <c r="EL11" s="559"/>
      <c r="EM11" s="559"/>
      <c r="EN11" s="559"/>
      <c r="EO11" s="559"/>
      <c r="EP11" s="559"/>
      <c r="EQ11" s="559"/>
      <c r="ER11" s="559"/>
      <c r="ES11" s="559"/>
    </row>
    <row r="12" spans="1:149" ht="27.75" customHeight="1" x14ac:dyDescent="0.4">
      <c r="A12" s="565" t="s">
        <v>214</v>
      </c>
      <c r="B12" s="567">
        <v>459.2</v>
      </c>
      <c r="C12" s="567">
        <v>400.7</v>
      </c>
      <c r="D12" s="567">
        <v>509.1</v>
      </c>
      <c r="E12" s="567"/>
      <c r="F12" s="567">
        <v>342.5</v>
      </c>
      <c r="G12" s="742"/>
      <c r="H12" s="742"/>
      <c r="I12" s="567">
        <v>328.4</v>
      </c>
      <c r="J12" s="567">
        <v>444.6</v>
      </c>
      <c r="K12" s="567">
        <v>451.7</v>
      </c>
      <c r="L12" s="571">
        <v>455.9</v>
      </c>
      <c r="M12" s="567"/>
      <c r="N12" s="742"/>
      <c r="O12" s="742"/>
      <c r="P12" s="567">
        <v>194.4</v>
      </c>
      <c r="Q12" s="567">
        <v>150.80000000000001</v>
      </c>
      <c r="R12" s="567">
        <v>302.2</v>
      </c>
      <c r="S12" s="567">
        <v>403.6</v>
      </c>
      <c r="T12" s="567">
        <v>405.9</v>
      </c>
      <c r="U12" s="742"/>
      <c r="V12" s="742"/>
      <c r="W12" s="567">
        <v>454.9</v>
      </c>
      <c r="X12" s="567">
        <v>454.9</v>
      </c>
      <c r="Y12" s="567">
        <v>410.9</v>
      </c>
      <c r="Z12" s="567">
        <v>447.4</v>
      </c>
      <c r="AA12" s="567">
        <v>202</v>
      </c>
      <c r="AB12" s="742"/>
      <c r="AC12" s="742"/>
      <c r="AD12" s="567">
        <v>150.5</v>
      </c>
      <c r="AE12" s="567">
        <f>366.8+50</f>
        <v>416.8</v>
      </c>
      <c r="AF12" s="567"/>
      <c r="AG12" s="567"/>
      <c r="AH12" s="568">
        <f>SUM(B12:AF12)</f>
        <v>7386.3999999999987</v>
      </c>
      <c r="AI12" s="569"/>
      <c r="AJ12" s="542" t="s">
        <v>58</v>
      </c>
      <c r="AL12" s="292" t="s">
        <v>231</v>
      </c>
    </row>
    <row r="13" spans="1:149" x14ac:dyDescent="0.35">
      <c r="A13" s="570" t="s">
        <v>215</v>
      </c>
      <c r="B13" s="757" t="s">
        <v>298</v>
      </c>
      <c r="C13" s="811" t="s">
        <v>300</v>
      </c>
      <c r="D13" s="757" t="s">
        <v>301</v>
      </c>
      <c r="E13" s="757" t="s">
        <v>297</v>
      </c>
      <c r="F13" s="787" t="s">
        <v>303</v>
      </c>
      <c r="G13" s="796"/>
      <c r="H13" s="796"/>
      <c r="I13" s="791" t="s">
        <v>304</v>
      </c>
      <c r="J13" s="791" t="s">
        <v>305</v>
      </c>
      <c r="K13" s="757" t="s">
        <v>301</v>
      </c>
      <c r="L13" s="757" t="s">
        <v>307</v>
      </c>
      <c r="M13" s="757"/>
      <c r="N13" s="796"/>
      <c r="O13" s="796"/>
      <c r="P13" s="787" t="s">
        <v>303</v>
      </c>
      <c r="Q13" s="834" t="s">
        <v>310</v>
      </c>
      <c r="R13" s="834" t="s">
        <v>311</v>
      </c>
      <c r="S13" s="757" t="s">
        <v>301</v>
      </c>
      <c r="T13" s="757" t="s">
        <v>307</v>
      </c>
      <c r="U13" s="796"/>
      <c r="V13" s="796"/>
      <c r="W13" s="757" t="s">
        <v>301</v>
      </c>
      <c r="X13" s="757" t="s">
        <v>301</v>
      </c>
      <c r="Y13" s="757" t="s">
        <v>313</v>
      </c>
      <c r="Z13" s="757" t="s">
        <v>303</v>
      </c>
      <c r="AA13" s="767" t="s">
        <v>308</v>
      </c>
      <c r="AB13" s="800"/>
      <c r="AC13" s="796"/>
      <c r="AD13" s="834" t="s">
        <v>302</v>
      </c>
      <c r="AE13" s="834" t="s">
        <v>318</v>
      </c>
      <c r="AF13" s="791"/>
      <c r="AG13" s="792"/>
      <c r="AH13" s="569"/>
      <c r="AI13" s="569"/>
      <c r="AJ13" s="542"/>
    </row>
    <row r="14" spans="1:149" ht="24.75" customHeight="1" x14ac:dyDescent="0.35">
      <c r="A14" s="540" t="s">
        <v>217</v>
      </c>
      <c r="B14" s="571">
        <f>6+3</f>
        <v>9</v>
      </c>
      <c r="C14" s="571">
        <f>5+3</f>
        <v>8</v>
      </c>
      <c r="D14" s="571">
        <v>10</v>
      </c>
      <c r="E14" s="571">
        <f>7+3</f>
        <v>10</v>
      </c>
      <c r="F14" s="571">
        <v>7</v>
      </c>
      <c r="G14" s="741"/>
      <c r="H14" s="741"/>
      <c r="I14" s="571">
        <v>7</v>
      </c>
      <c r="J14" s="571">
        <f>1+8</f>
        <v>9</v>
      </c>
      <c r="K14" s="571">
        <v>9</v>
      </c>
      <c r="L14" s="571">
        <f>3+6</f>
        <v>9</v>
      </c>
      <c r="M14" s="571"/>
      <c r="N14" s="741"/>
      <c r="O14" s="741"/>
      <c r="P14" s="571">
        <v>4</v>
      </c>
      <c r="Q14" s="571">
        <v>3</v>
      </c>
      <c r="R14" s="571">
        <f>5+1</f>
        <v>6</v>
      </c>
      <c r="S14" s="571">
        <v>7</v>
      </c>
      <c r="T14" s="571">
        <f>4+4</f>
        <v>8</v>
      </c>
      <c r="U14" s="741"/>
      <c r="V14" s="741"/>
      <c r="W14" s="571">
        <v>9</v>
      </c>
      <c r="X14" s="571">
        <v>9</v>
      </c>
      <c r="Y14" s="571">
        <f>6+2</f>
        <v>8</v>
      </c>
      <c r="Z14" s="571">
        <v>9</v>
      </c>
      <c r="AA14" s="571">
        <v>4</v>
      </c>
      <c r="AB14" s="741"/>
      <c r="AC14" s="741"/>
      <c r="AD14" s="571">
        <v>3</v>
      </c>
      <c r="AE14" s="571">
        <f>7+1</f>
        <v>8</v>
      </c>
      <c r="AF14" s="571"/>
      <c r="AG14" s="571"/>
      <c r="AH14" s="541">
        <f>SUM($B14:AF14)</f>
        <v>156</v>
      </c>
    </row>
    <row r="15" spans="1:149" s="577" customFormat="1" ht="26.25" customHeight="1" x14ac:dyDescent="0.35">
      <c r="A15" s="572" t="s">
        <v>216</v>
      </c>
      <c r="B15" s="573">
        <f>IF(B$12=0,"",+(B36*10)/B$12)</f>
        <v>3.6149825783972127</v>
      </c>
      <c r="C15" s="573">
        <f>IF(C$12=0,"",+(C36*10)/C$12)</f>
        <v>5.1909158971799352</v>
      </c>
      <c r="D15" s="573">
        <f>IF(D$12=0,"",+(D36*10)/D$12)</f>
        <v>3.2410135533294047</v>
      </c>
      <c r="E15" s="573" t="str">
        <f t="shared" ref="E15:AB15" si="1">IF(E$12=0,"",+(E36*10)/E$12)</f>
        <v/>
      </c>
      <c r="F15" s="573">
        <f>IF(F$12=0,"",+(F36*10)/F$12)</f>
        <v>6.0437956204379564</v>
      </c>
      <c r="G15" s="573" t="str">
        <f t="shared" ref="G15:K15" si="2">IF(G$12=0,"",+(G36*10)/G$12)</f>
        <v/>
      </c>
      <c r="H15" s="573" t="str">
        <f t="shared" si="2"/>
        <v/>
      </c>
      <c r="I15" s="573">
        <f>IF(I$12=0,"",+(I36*10)/I$12)</f>
        <v>5.8160779537149825</v>
      </c>
      <c r="J15" s="573">
        <f>IF(J$12=0,"",+(J36*10)/J$12)</f>
        <v>4.7458389563652723</v>
      </c>
      <c r="K15" s="573">
        <f t="shared" si="2"/>
        <v>4.1841930484835066</v>
      </c>
      <c r="L15" s="573">
        <f>IF(L$12=0,"",+(L36*10)/L$12)</f>
        <v>3.5972801052862473</v>
      </c>
      <c r="M15" s="574" t="str">
        <f t="shared" ref="M15:O15" si="3">IF(M$12=0,"",+(M36*10)/M$12)</f>
        <v/>
      </c>
      <c r="N15" s="574" t="str">
        <f t="shared" si="3"/>
        <v/>
      </c>
      <c r="O15" s="574" t="str">
        <f t="shared" si="3"/>
        <v/>
      </c>
      <c r="P15" s="574">
        <f>IF(P$12=0,"",+(P36*10)/P$12)</f>
        <v>5.144032921810699</v>
      </c>
      <c r="Q15" s="574">
        <f>IF(Q$12=0,"",+(Q36*10)/Q$12)</f>
        <v>7.8912466843501319</v>
      </c>
      <c r="R15" s="574">
        <f>IF(R$12=0,"",+(R36*10)/R$12)</f>
        <v>4.9305095962938452</v>
      </c>
      <c r="S15" s="574">
        <f>IF(S$12=0,"",+(S36*10)/S$12)</f>
        <v>4.0138751238850343</v>
      </c>
      <c r="T15" s="574">
        <f>IF(T$12=0,"",+(T36*10)/T$12)</f>
        <v>4.1389504804138957</v>
      </c>
      <c r="U15" s="574" t="str">
        <f t="shared" si="1"/>
        <v/>
      </c>
      <c r="V15" s="574" t="str">
        <f t="shared" si="1"/>
        <v/>
      </c>
      <c r="W15" s="574">
        <f>IF(W$12=0,"",+(W36*10)/W$12)</f>
        <v>2.8797537920422074</v>
      </c>
      <c r="X15" s="574">
        <f>IF(X$12=0,"",+(X36*10)/X$12)</f>
        <v>4.2207078478786553</v>
      </c>
      <c r="Y15" s="574">
        <f>IF(Y$12=0,"",+(Y36*10)/Y$12)</f>
        <v>3.9669019226089075</v>
      </c>
      <c r="Z15" s="574">
        <f>IF(Z$12=0,"",+(Z36*10)/Z$12)</f>
        <v>4.0008940545373273</v>
      </c>
      <c r="AA15" s="574">
        <f>IF(AA$12=0,"",+(AA36*10)/AA$12)</f>
        <v>5.5940594059405937</v>
      </c>
      <c r="AB15" s="574" t="str">
        <f t="shared" si="1"/>
        <v/>
      </c>
      <c r="AC15" s="574" t="str">
        <f>IF(AC$12=0,"",+(AC36*10)/AC$12)</f>
        <v/>
      </c>
      <c r="AD15" s="574">
        <f>IF(AD$12=0,"",+(AD36*10)/AD$12)</f>
        <v>2.8571428571428572</v>
      </c>
      <c r="AE15" s="574">
        <f>IF(AE$12=0,"",+(AE36*10)/AE$12)</f>
        <v>5.59021113243762</v>
      </c>
      <c r="AF15" s="574" t="str">
        <f>IF(AF$12=0,"",+(AF36*10)/AF$12)</f>
        <v/>
      </c>
      <c r="AG15" s="574"/>
      <c r="AH15" s="573">
        <f>IF(AH12=0,"",+(AH36*10)/AH12)</f>
        <v>4.773638037474278</v>
      </c>
      <c r="AI15" s="575"/>
      <c r="AJ15" s="576"/>
      <c r="AK15" s="292"/>
      <c r="AL15" s="292"/>
      <c r="AM15" s="292"/>
      <c r="AN15" s="292"/>
      <c r="AO15" s="292"/>
      <c r="AP15" s="292"/>
      <c r="AQ15" s="292"/>
      <c r="AR15" s="292"/>
      <c r="AS15" s="292"/>
      <c r="AT15" s="292"/>
      <c r="AU15" s="292"/>
      <c r="AV15" s="292"/>
      <c r="AW15" s="292"/>
      <c r="AX15" s="292"/>
      <c r="AY15" s="292"/>
      <c r="AZ15" s="292"/>
      <c r="BA15" s="292"/>
      <c r="BB15" s="292"/>
      <c r="BC15" s="292"/>
      <c r="BD15" s="292"/>
      <c r="BE15" s="292"/>
      <c r="BF15" s="292"/>
      <c r="BG15" s="292"/>
      <c r="BH15" s="540"/>
      <c r="BI15" s="540"/>
      <c r="BJ15" s="540"/>
      <c r="BK15" s="540"/>
      <c r="BL15" s="540"/>
      <c r="BM15" s="540"/>
      <c r="BN15" s="540"/>
      <c r="BO15" s="540"/>
      <c r="BP15" s="540"/>
      <c r="BQ15" s="540"/>
      <c r="BR15" s="540"/>
      <c r="BS15" s="540"/>
      <c r="BT15" s="540"/>
      <c r="BU15" s="540"/>
      <c r="BV15" s="540"/>
      <c r="BW15" s="540"/>
      <c r="BX15" s="540"/>
      <c r="BY15" s="540"/>
      <c r="BZ15" s="540"/>
      <c r="CA15" s="540"/>
      <c r="CB15" s="540"/>
      <c r="CC15" s="540"/>
      <c r="CD15" s="540"/>
      <c r="CE15" s="540"/>
      <c r="CF15" s="540"/>
      <c r="CG15" s="540"/>
      <c r="CH15" s="540"/>
      <c r="CI15" s="540"/>
      <c r="CJ15" s="540"/>
      <c r="CK15" s="540"/>
      <c r="CL15" s="540"/>
      <c r="CM15" s="540"/>
      <c r="CN15" s="540"/>
      <c r="CO15" s="540"/>
      <c r="CP15" s="540"/>
      <c r="CQ15" s="540"/>
      <c r="CR15" s="540"/>
      <c r="CS15" s="540"/>
      <c r="CT15" s="540"/>
      <c r="CU15" s="540"/>
      <c r="CV15" s="540"/>
      <c r="CW15" s="540"/>
      <c r="CX15" s="540"/>
      <c r="CY15" s="540"/>
      <c r="CZ15" s="540"/>
      <c r="DA15" s="540"/>
      <c r="DB15" s="540"/>
      <c r="DC15" s="540"/>
      <c r="DD15" s="540"/>
      <c r="DE15" s="540"/>
      <c r="DF15" s="540"/>
      <c r="DG15" s="540"/>
      <c r="DH15" s="540"/>
      <c r="DI15" s="540"/>
      <c r="DJ15" s="540"/>
      <c r="DK15" s="540"/>
      <c r="DL15" s="540"/>
      <c r="DM15" s="540"/>
      <c r="DN15" s="540"/>
      <c r="DO15" s="540"/>
      <c r="DP15" s="540"/>
      <c r="DQ15" s="540"/>
      <c r="DR15" s="540"/>
      <c r="DS15" s="540"/>
      <c r="DT15" s="540"/>
      <c r="DU15" s="540"/>
      <c r="DV15" s="540"/>
      <c r="DW15" s="540"/>
      <c r="DX15" s="540"/>
      <c r="DY15" s="540"/>
      <c r="DZ15" s="540"/>
      <c r="EA15" s="540"/>
      <c r="EB15" s="540"/>
      <c r="EC15" s="540"/>
      <c r="ED15" s="540"/>
      <c r="EE15" s="540"/>
      <c r="EF15" s="540"/>
      <c r="EG15" s="540"/>
      <c r="EH15" s="540"/>
      <c r="EI15" s="540"/>
      <c r="EJ15" s="540"/>
      <c r="EK15" s="540"/>
      <c r="EL15" s="540"/>
      <c r="EM15" s="540"/>
      <c r="EN15" s="540"/>
      <c r="EO15" s="540"/>
      <c r="EP15" s="540"/>
      <c r="EQ15" s="540"/>
      <c r="ER15" s="540"/>
      <c r="ES15" s="540"/>
    </row>
    <row r="16" spans="1:149" ht="19.5" customHeight="1" x14ac:dyDescent="0.35">
      <c r="M16" s="542"/>
    </row>
    <row r="17" spans="1:149" ht="30" x14ac:dyDescent="0.4">
      <c r="A17" s="544" t="s">
        <v>222</v>
      </c>
      <c r="M17" s="542"/>
    </row>
    <row r="18" spans="1:149" s="579" customFormat="1" outlineLevel="1" x14ac:dyDescent="0.4">
      <c r="A18" s="551"/>
      <c r="B18" s="578"/>
      <c r="C18" s="578"/>
      <c r="D18" s="578"/>
      <c r="E18" s="578"/>
      <c r="F18" s="578"/>
      <c r="G18" s="578"/>
      <c r="H18" s="578"/>
      <c r="I18" s="578"/>
      <c r="J18" s="578"/>
      <c r="K18" s="578"/>
      <c r="L18" s="578"/>
      <c r="M18" s="578"/>
      <c r="N18" s="578"/>
      <c r="O18" s="578"/>
      <c r="P18" s="578"/>
      <c r="Q18" s="578"/>
      <c r="R18" s="578"/>
      <c r="S18" s="578"/>
      <c r="T18" s="578"/>
      <c r="U18" s="578"/>
      <c r="V18" s="578"/>
      <c r="W18" s="578"/>
      <c r="X18" s="578"/>
      <c r="Y18" s="578"/>
      <c r="Z18" s="578"/>
      <c r="AA18" s="578"/>
      <c r="AB18" s="578"/>
      <c r="AC18" s="578"/>
      <c r="AD18" s="578"/>
      <c r="AE18" s="578"/>
      <c r="AF18" s="578"/>
      <c r="AG18" s="578"/>
      <c r="AH18" s="293" t="s">
        <v>86</v>
      </c>
      <c r="AI18" s="293"/>
      <c r="AJ18" s="578"/>
      <c r="AK18" s="578"/>
      <c r="AL18" s="578"/>
      <c r="AM18" s="578"/>
      <c r="AN18" s="578" t="s">
        <v>58</v>
      </c>
      <c r="AO18" s="578"/>
      <c r="AP18" s="578"/>
      <c r="AQ18" s="578"/>
      <c r="AR18" s="578"/>
      <c r="AS18" s="578"/>
      <c r="AT18" s="578"/>
      <c r="AU18" s="578"/>
      <c r="AV18" s="578"/>
      <c r="AW18" s="578"/>
      <c r="AX18" s="578"/>
      <c r="AY18" s="578"/>
      <c r="AZ18" s="578"/>
      <c r="BA18" s="578"/>
      <c r="BB18" s="578"/>
      <c r="BC18" s="578"/>
      <c r="BD18" s="578"/>
      <c r="BE18" s="578"/>
      <c r="BF18" s="578"/>
      <c r="BG18" s="578"/>
    </row>
    <row r="19" spans="1:149" ht="45.75" customHeight="1" outlineLevel="1" x14ac:dyDescent="0.35">
      <c r="A19" s="580" t="s">
        <v>140</v>
      </c>
      <c r="B19" s="581" t="str">
        <f>+'Water '!$C7</f>
        <v>0</v>
      </c>
      <c r="C19" s="581" t="str">
        <f>+'Water '!$C8</f>
        <v>0</v>
      </c>
      <c r="D19" s="581" t="str">
        <f>+'Water '!$C9</f>
        <v>0</v>
      </c>
      <c r="E19" s="581" t="str">
        <f>+'Water '!$C10</f>
        <v>0</v>
      </c>
      <c r="F19" s="581" t="str">
        <f>+'Water '!$C11</f>
        <v>0</v>
      </c>
      <c r="G19" s="581" t="str">
        <f>+'Water '!$C12</f>
        <v>0</v>
      </c>
      <c r="H19" s="581" t="str">
        <f>+'Water '!$C13</f>
        <v>0</v>
      </c>
      <c r="I19" s="581" t="str">
        <f>+'Water '!$C14</f>
        <v>0</v>
      </c>
      <c r="J19" s="582" t="str">
        <f>+'Water '!$C15</f>
        <v>0</v>
      </c>
      <c r="K19" s="582" t="str">
        <f>+'Water '!$C16</f>
        <v>0</v>
      </c>
      <c r="L19" s="582" t="str">
        <f>+'Water '!$C17</f>
        <v>0</v>
      </c>
      <c r="M19" s="582" t="str">
        <f>+'Water '!$C18</f>
        <v>0</v>
      </c>
      <c r="N19" s="582" t="str">
        <f>+'Water '!$C18</f>
        <v>0</v>
      </c>
      <c r="O19" s="582" t="str">
        <f>+'Water '!$C20</f>
        <v>0</v>
      </c>
      <c r="P19" s="582" t="str">
        <f>+'Water '!$C21</f>
        <v>0</v>
      </c>
      <c r="Q19" s="582" t="str">
        <f>+'Water '!$C22</f>
        <v>0</v>
      </c>
      <c r="R19" s="582" t="str">
        <f>+'Water '!$C23</f>
        <v>0</v>
      </c>
      <c r="S19" s="582" t="str">
        <f>+'Water '!$C24</f>
        <v>0</v>
      </c>
      <c r="T19" s="582" t="str">
        <f>+'Water '!$C25</f>
        <v>0</v>
      </c>
      <c r="U19" s="582" t="str">
        <f>+'Water '!$C26</f>
        <v>0</v>
      </c>
      <c r="V19" s="582" t="str">
        <f>+'Water '!$C27</f>
        <v>0</v>
      </c>
      <c r="W19" s="582" t="str">
        <f>+'Water '!$C28</f>
        <v>0</v>
      </c>
      <c r="X19" s="582" t="str">
        <f>+'Water '!$C29</f>
        <v>0</v>
      </c>
      <c r="Y19" s="582" t="str">
        <f>+'Water '!$C30</f>
        <v>0</v>
      </c>
      <c r="Z19" s="582" t="str">
        <f>+'Water '!$C31</f>
        <v>0</v>
      </c>
      <c r="AA19" s="582" t="str">
        <f>+'Water '!$C32</f>
        <v>0</v>
      </c>
      <c r="AB19" s="582" t="str">
        <f>+'Water '!$C33</f>
        <v>0</v>
      </c>
      <c r="AC19" s="582" t="str">
        <f>+'Water '!$C34</f>
        <v>0</v>
      </c>
      <c r="AD19" s="582" t="str">
        <f>+'Water '!$C35</f>
        <v>0</v>
      </c>
      <c r="AE19" s="582" t="str">
        <f>+'Water '!$C36</f>
        <v>0</v>
      </c>
      <c r="AF19" s="582" t="str">
        <f>+'Water '!$C37</f>
        <v>0</v>
      </c>
      <c r="AG19" s="582"/>
      <c r="AH19" s="557">
        <f>SUM($B19:AF19)</f>
        <v>0</v>
      </c>
      <c r="AI19" s="557"/>
      <c r="AN19" s="292" t="s">
        <v>58</v>
      </c>
    </row>
    <row r="20" spans="1:149" outlineLevel="1" x14ac:dyDescent="0.35">
      <c r="A20" s="580" t="s">
        <v>125</v>
      </c>
      <c r="B20" s="581">
        <f>+'Water '!$D7</f>
        <v>446</v>
      </c>
      <c r="C20" s="581">
        <f>+'Water '!$D8</f>
        <v>96</v>
      </c>
      <c r="D20" s="581">
        <f>+'Water '!$D9</f>
        <v>207</v>
      </c>
      <c r="E20" s="581">
        <f>+'Water '!$D10</f>
        <v>71</v>
      </c>
      <c r="F20" s="581">
        <f>+'Water '!$D11</f>
        <v>82</v>
      </c>
      <c r="G20" s="581" t="str">
        <f>+'Water '!$D12</f>
        <v>0</v>
      </c>
      <c r="H20" s="581" t="str">
        <f>+'Water '!$D13</f>
        <v>0</v>
      </c>
      <c r="I20" s="581">
        <f>+'Water '!$D14</f>
        <v>182</v>
      </c>
      <c r="J20" s="582">
        <f>+'Water '!$D15</f>
        <v>333</v>
      </c>
      <c r="K20" s="582">
        <f>+'Water '!$D16</f>
        <v>183</v>
      </c>
      <c r="L20" s="582">
        <f>+'Water '!$D17</f>
        <v>54</v>
      </c>
      <c r="M20" s="582" t="str">
        <f>+'Water '!$D18</f>
        <v>0</v>
      </c>
      <c r="N20" s="582" t="str">
        <f>+'Water '!$D19</f>
        <v>0</v>
      </c>
      <c r="O20" s="582" t="str">
        <f>+'Water '!$D20</f>
        <v>0</v>
      </c>
      <c r="P20" s="582">
        <f>+'Water '!$D21</f>
        <v>249</v>
      </c>
      <c r="Q20" s="582">
        <f>+'Water '!$D22</f>
        <v>202</v>
      </c>
      <c r="R20" s="582">
        <f>+'Water '!$D23</f>
        <v>111</v>
      </c>
      <c r="S20" s="583">
        <f>+'Water '!$D24</f>
        <v>209</v>
      </c>
      <c r="T20" s="582">
        <f>+'Water '!$D25</f>
        <v>198</v>
      </c>
      <c r="U20" s="582" t="str">
        <f>+'Water '!$D26</f>
        <v>0</v>
      </c>
      <c r="V20" s="582">
        <f>+'Water '!$D27</f>
        <v>74</v>
      </c>
      <c r="W20" s="582">
        <f>+'Water '!$D28</f>
        <v>199</v>
      </c>
      <c r="X20" s="582">
        <f>+'Water '!$D29</f>
        <v>396</v>
      </c>
      <c r="Y20" s="582">
        <f>+'Water '!$D30</f>
        <v>102</v>
      </c>
      <c r="Z20" s="582">
        <f>+'Water '!$D31</f>
        <v>251</v>
      </c>
      <c r="AA20" s="582">
        <f>+'Water '!$D32</f>
        <v>141</v>
      </c>
      <c r="AB20" s="582" t="str">
        <f>+'Water '!$D33</f>
        <v>0</v>
      </c>
      <c r="AC20" s="582" t="str">
        <f>+'Water '!$D34</f>
        <v>0</v>
      </c>
      <c r="AD20" s="582">
        <f>+'Water '!$D35</f>
        <v>295</v>
      </c>
      <c r="AE20" s="582">
        <f>+'Water '!$D36</f>
        <v>185</v>
      </c>
      <c r="AF20" s="582" t="str">
        <f>+'Water '!$D37</f>
        <v>0</v>
      </c>
      <c r="AG20" s="582"/>
      <c r="AH20" s="557">
        <f>SUM($B20:AF20)</f>
        <v>4266</v>
      </c>
      <c r="AI20" s="557"/>
      <c r="AJ20" s="558"/>
      <c r="AR20" s="292" t="s">
        <v>58</v>
      </c>
    </row>
    <row r="21" spans="1:149" outlineLevel="1" x14ac:dyDescent="0.35">
      <c r="A21" s="580" t="s">
        <v>126</v>
      </c>
      <c r="B21" s="581">
        <f>+'Water '!$E7</f>
        <v>244</v>
      </c>
      <c r="C21" s="584">
        <f>+'Water '!$E8</f>
        <v>137</v>
      </c>
      <c r="D21" s="584">
        <f>+'Water '!$E9</f>
        <v>175</v>
      </c>
      <c r="E21" s="584">
        <f>+'Water '!$E10</f>
        <v>290</v>
      </c>
      <c r="F21" s="584">
        <f>+'Water '!$E11</f>
        <v>254</v>
      </c>
      <c r="G21" s="584">
        <f>+'Water '!$E12</f>
        <v>89</v>
      </c>
      <c r="H21" s="584" t="str">
        <f>+'Water '!$E13</f>
        <v>0</v>
      </c>
      <c r="I21" s="584">
        <f>+'Water '!$E14</f>
        <v>145</v>
      </c>
      <c r="J21" s="584">
        <f>+'Water '!$E15</f>
        <v>52</v>
      </c>
      <c r="K21" s="584">
        <f>+'Water '!$E16</f>
        <v>109</v>
      </c>
      <c r="L21" s="584">
        <f>+'Water '!$E17</f>
        <v>231</v>
      </c>
      <c r="M21" s="584">
        <f>+'Water '!$E18</f>
        <v>80</v>
      </c>
      <c r="N21" s="584">
        <f>+'Water '!$E19</f>
        <v>76</v>
      </c>
      <c r="O21" s="584">
        <f>+'Water '!$E20</f>
        <v>68</v>
      </c>
      <c r="P21" s="584">
        <f>+'Water '!$E21</f>
        <v>103</v>
      </c>
      <c r="Q21" s="584">
        <f>+'Water '!$E22</f>
        <v>185</v>
      </c>
      <c r="R21" s="584">
        <f>+'Water '!$E23</f>
        <v>187</v>
      </c>
      <c r="S21" s="584">
        <f>+'Water '!$E24</f>
        <v>234</v>
      </c>
      <c r="T21" s="584">
        <f>+'Water '!$E25</f>
        <v>225</v>
      </c>
      <c r="U21" s="584" t="str">
        <f>+'Water '!$E26</f>
        <v>0</v>
      </c>
      <c r="V21" s="584">
        <f>+'Water '!$E27</f>
        <v>45</v>
      </c>
      <c r="W21" s="584">
        <f>+'Water '!$E28</f>
        <v>136</v>
      </c>
      <c r="X21" s="584">
        <f>+'Water '!$E29</f>
        <v>57</v>
      </c>
      <c r="Y21" s="585">
        <f>+'Water '!$E30</f>
        <v>121</v>
      </c>
      <c r="Z21" s="584">
        <f>+'Water '!$E31</f>
        <v>129</v>
      </c>
      <c r="AA21" s="582">
        <f>+'Water '!$E32</f>
        <v>183</v>
      </c>
      <c r="AB21" s="582">
        <f>+'Water '!$E33</f>
        <v>147</v>
      </c>
      <c r="AC21" s="582" t="str">
        <f>+'Water '!$E34</f>
        <v>0</v>
      </c>
      <c r="AD21" s="582">
        <f>+'Water '!$E35</f>
        <v>61</v>
      </c>
      <c r="AE21" s="582">
        <f>+'Water '!$E36</f>
        <v>184</v>
      </c>
      <c r="AF21" s="582" t="str">
        <f>+'Water '!$E37</f>
        <v>0</v>
      </c>
      <c r="AG21" s="582"/>
      <c r="AH21" s="557">
        <f>SUM($B21:AF21)</f>
        <v>3947</v>
      </c>
      <c r="AI21" s="557"/>
      <c r="AR21" s="292" t="s">
        <v>58</v>
      </c>
    </row>
    <row r="22" spans="1:149" s="591" customFormat="1" x14ac:dyDescent="0.4">
      <c r="A22" s="586" t="s">
        <v>168</v>
      </c>
      <c r="B22" s="587">
        <f>SUM(B19:B21)</f>
        <v>690</v>
      </c>
      <c r="C22" s="587">
        <f>SUM(C19:C21)</f>
        <v>233</v>
      </c>
      <c r="D22" s="587">
        <f>SUM(D19:D21)</f>
        <v>382</v>
      </c>
      <c r="E22" s="587">
        <f>SUM(E19:E21)</f>
        <v>361</v>
      </c>
      <c r="F22" s="587">
        <f t="shared" ref="F22:AF22" si="4">SUM(F19:F21)</f>
        <v>336</v>
      </c>
      <c r="G22" s="587">
        <f t="shared" si="4"/>
        <v>89</v>
      </c>
      <c r="H22" s="587">
        <f t="shared" si="4"/>
        <v>0</v>
      </c>
      <c r="I22" s="587">
        <f>SUM(I19:I21)</f>
        <v>327</v>
      </c>
      <c r="J22" s="587">
        <f>SUM(J19:J21)</f>
        <v>385</v>
      </c>
      <c r="K22" s="587">
        <f t="shared" si="4"/>
        <v>292</v>
      </c>
      <c r="L22" s="587">
        <f>SUM(L19:L21)</f>
        <v>285</v>
      </c>
      <c r="M22" s="587">
        <f t="shared" si="4"/>
        <v>80</v>
      </c>
      <c r="N22" s="587">
        <f>SUM(N19:N21)</f>
        <v>76</v>
      </c>
      <c r="O22" s="587">
        <f t="shared" si="4"/>
        <v>68</v>
      </c>
      <c r="P22" s="587">
        <f>SUM(P19:P21)</f>
        <v>352</v>
      </c>
      <c r="Q22" s="587">
        <f t="shared" si="4"/>
        <v>387</v>
      </c>
      <c r="R22" s="587">
        <f>SUM(R19:R21)</f>
        <v>298</v>
      </c>
      <c r="S22" s="587">
        <f>SUM(S19:S21)</f>
        <v>443</v>
      </c>
      <c r="T22" s="587">
        <f t="shared" si="4"/>
        <v>423</v>
      </c>
      <c r="U22" s="587">
        <f t="shared" si="4"/>
        <v>0</v>
      </c>
      <c r="V22" s="587">
        <f>SUM(V19:V21)</f>
        <v>119</v>
      </c>
      <c r="W22" s="587">
        <f t="shared" si="4"/>
        <v>335</v>
      </c>
      <c r="X22" s="587">
        <f t="shared" si="4"/>
        <v>453</v>
      </c>
      <c r="Y22" s="587">
        <f>SUM(Y19:Y21)</f>
        <v>223</v>
      </c>
      <c r="Z22" s="587">
        <f t="shared" si="4"/>
        <v>380</v>
      </c>
      <c r="AA22" s="588">
        <f>SUM(AA19:AA21)</f>
        <v>324</v>
      </c>
      <c r="AB22" s="588">
        <f>SUM(AB19:AB21)</f>
        <v>147</v>
      </c>
      <c r="AC22" s="588">
        <f>SUM(AC19:AC21)</f>
        <v>0</v>
      </c>
      <c r="AD22" s="588">
        <f>SUM(AD19:AD21)</f>
        <v>356</v>
      </c>
      <c r="AE22" s="588">
        <f t="shared" si="4"/>
        <v>369</v>
      </c>
      <c r="AF22" s="588">
        <f t="shared" si="4"/>
        <v>0</v>
      </c>
      <c r="AG22" s="588"/>
      <c r="AH22" s="589">
        <f>SUM($B22:AF22)</f>
        <v>8213</v>
      </c>
      <c r="AI22" s="587"/>
      <c r="AJ22" s="590"/>
      <c r="AK22" s="541"/>
      <c r="AL22" s="541"/>
      <c r="AM22" s="541"/>
      <c r="AN22" s="541"/>
      <c r="AO22" s="541"/>
      <c r="AP22" s="541"/>
      <c r="AQ22" s="541"/>
      <c r="AR22" s="541"/>
      <c r="AS22" s="541"/>
      <c r="AT22" s="541"/>
      <c r="AU22" s="541"/>
      <c r="AV22" s="541"/>
      <c r="AW22" s="541"/>
      <c r="AX22" s="541"/>
      <c r="AY22" s="541"/>
      <c r="AZ22" s="541"/>
      <c r="BA22" s="541"/>
      <c r="BB22" s="541"/>
      <c r="BC22" s="541"/>
      <c r="BD22" s="541"/>
      <c r="BE22" s="541"/>
      <c r="BF22" s="541"/>
      <c r="BG22" s="541"/>
      <c r="BH22" s="544"/>
      <c r="BI22" s="544"/>
      <c r="BJ22" s="544"/>
      <c r="BK22" s="544"/>
      <c r="BL22" s="544"/>
      <c r="BM22" s="544"/>
      <c r="BN22" s="544"/>
      <c r="BO22" s="544"/>
      <c r="BP22" s="544"/>
      <c r="BQ22" s="544"/>
      <c r="BR22" s="544"/>
      <c r="BS22" s="544"/>
      <c r="BT22" s="544"/>
      <c r="BU22" s="544"/>
      <c r="BV22" s="544"/>
      <c r="BW22" s="544"/>
      <c r="BX22" s="544"/>
      <c r="BY22" s="544"/>
      <c r="BZ22" s="544"/>
      <c r="CA22" s="544"/>
      <c r="CB22" s="544"/>
      <c r="CC22" s="544"/>
      <c r="CD22" s="544"/>
      <c r="CE22" s="544"/>
      <c r="CF22" s="544"/>
      <c r="CG22" s="544"/>
      <c r="CH22" s="544"/>
      <c r="CI22" s="544"/>
      <c r="CJ22" s="544"/>
      <c r="CK22" s="544"/>
      <c r="CL22" s="544"/>
      <c r="CM22" s="544"/>
      <c r="CN22" s="544"/>
      <c r="CO22" s="544"/>
      <c r="CP22" s="544"/>
      <c r="CQ22" s="544"/>
      <c r="CR22" s="544"/>
      <c r="CS22" s="544"/>
      <c r="CT22" s="544"/>
      <c r="CU22" s="544"/>
      <c r="CV22" s="544"/>
      <c r="CW22" s="544"/>
      <c r="CX22" s="544"/>
      <c r="CY22" s="544"/>
      <c r="CZ22" s="544"/>
      <c r="DA22" s="544"/>
      <c r="DB22" s="544"/>
      <c r="DC22" s="544"/>
      <c r="DD22" s="544"/>
      <c r="DE22" s="544"/>
      <c r="DF22" s="544"/>
      <c r="DG22" s="544"/>
      <c r="DH22" s="544"/>
      <c r="DI22" s="544"/>
      <c r="DJ22" s="544"/>
      <c r="DK22" s="544"/>
      <c r="DL22" s="544"/>
      <c r="DM22" s="544"/>
      <c r="DN22" s="544"/>
      <c r="DO22" s="544"/>
      <c r="DP22" s="544"/>
      <c r="DQ22" s="544"/>
      <c r="DR22" s="544"/>
      <c r="DS22" s="544"/>
      <c r="DT22" s="544"/>
      <c r="DU22" s="544"/>
      <c r="DV22" s="544"/>
      <c r="DW22" s="544"/>
      <c r="DX22" s="544"/>
      <c r="DY22" s="544"/>
      <c r="DZ22" s="544"/>
      <c r="EA22" s="544"/>
      <c r="EB22" s="544"/>
      <c r="EC22" s="544"/>
      <c r="ED22" s="544"/>
      <c r="EE22" s="544"/>
      <c r="EF22" s="544"/>
      <c r="EG22" s="544"/>
      <c r="EH22" s="544"/>
      <c r="EI22" s="544"/>
      <c r="EJ22" s="544"/>
      <c r="EK22" s="544"/>
      <c r="EL22" s="544"/>
      <c r="EM22" s="544"/>
      <c r="EN22" s="544"/>
      <c r="EO22" s="544"/>
      <c r="EP22" s="544"/>
      <c r="EQ22" s="544"/>
      <c r="ER22" s="544"/>
      <c r="ES22" s="544"/>
    </row>
    <row r="23" spans="1:149" s="544" customFormat="1" hidden="1" x14ac:dyDescent="0.4">
      <c r="A23" s="592"/>
      <c r="B23" s="557"/>
      <c r="C23" s="557"/>
      <c r="D23" s="557"/>
      <c r="E23" s="557"/>
      <c r="F23" s="557"/>
      <c r="G23" s="557"/>
      <c r="H23" s="557"/>
      <c r="I23" s="557"/>
      <c r="J23" s="593"/>
      <c r="K23" s="593"/>
      <c r="L23" s="593"/>
      <c r="M23" s="593"/>
      <c r="N23" s="593"/>
      <c r="O23" s="593"/>
      <c r="P23" s="593"/>
      <c r="Q23" s="593"/>
      <c r="R23" s="593"/>
      <c r="S23" s="593"/>
      <c r="T23" s="593"/>
      <c r="U23" s="593"/>
      <c r="V23" s="593"/>
      <c r="W23" s="593"/>
      <c r="X23" s="593"/>
      <c r="Y23" s="593"/>
      <c r="Z23" s="593"/>
      <c r="AA23" s="593"/>
      <c r="AB23" s="593"/>
      <c r="AC23" s="593"/>
      <c r="AD23" s="593"/>
      <c r="AE23" s="593"/>
      <c r="AF23" s="593"/>
      <c r="AG23" s="593"/>
      <c r="AH23" s="557"/>
      <c r="AI23" s="557"/>
      <c r="AJ23" s="541"/>
      <c r="AK23" s="541"/>
      <c r="AL23" s="541"/>
      <c r="AM23" s="541"/>
      <c r="AN23" s="541"/>
      <c r="AO23" s="541"/>
      <c r="AP23" s="541"/>
      <c r="AQ23" s="541"/>
      <c r="AR23" s="541"/>
      <c r="AS23" s="541"/>
      <c r="AT23" s="541"/>
      <c r="AU23" s="541"/>
      <c r="AV23" s="541"/>
      <c r="AW23" s="541"/>
      <c r="AX23" s="541"/>
      <c r="AY23" s="541"/>
      <c r="AZ23" s="541"/>
      <c r="BA23" s="541"/>
      <c r="BB23" s="541"/>
      <c r="BC23" s="541"/>
      <c r="BD23" s="541"/>
      <c r="BE23" s="541"/>
      <c r="BF23" s="541"/>
      <c r="BG23" s="541"/>
    </row>
    <row r="24" spans="1:149" hidden="1" x14ac:dyDescent="0.35">
      <c r="B24" s="558"/>
      <c r="C24" s="558"/>
      <c r="D24" s="558"/>
      <c r="E24" s="558"/>
      <c r="F24" s="558"/>
      <c r="G24" s="558"/>
      <c r="H24" s="558"/>
      <c r="I24" s="558"/>
      <c r="J24" s="594"/>
      <c r="K24" s="594"/>
      <c r="L24" s="594"/>
      <c r="M24" s="594"/>
      <c r="N24" s="594"/>
      <c r="O24" s="594"/>
      <c r="P24" s="594"/>
      <c r="Q24" s="594"/>
      <c r="R24" s="594"/>
      <c r="S24" s="594"/>
      <c r="T24" s="594"/>
      <c r="U24" s="594"/>
      <c r="V24" s="594"/>
      <c r="W24" s="594"/>
      <c r="X24" s="594"/>
      <c r="Y24" s="594"/>
      <c r="Z24" s="594"/>
      <c r="AA24" s="594"/>
      <c r="AB24" s="594"/>
      <c r="AC24" s="594"/>
      <c r="AD24" s="594"/>
      <c r="AE24" s="594"/>
      <c r="AH24" s="557"/>
      <c r="AI24" s="557"/>
    </row>
    <row r="25" spans="1:149" x14ac:dyDescent="0.35">
      <c r="A25" s="580"/>
      <c r="B25" s="558"/>
      <c r="C25" s="558"/>
      <c r="D25" s="558"/>
      <c r="E25" s="558"/>
      <c r="F25" s="558"/>
      <c r="G25" s="558"/>
      <c r="H25" s="558"/>
      <c r="I25" s="558"/>
      <c r="J25" s="594"/>
      <c r="K25" s="594"/>
      <c r="L25" s="594"/>
      <c r="M25" s="594"/>
      <c r="AH25" s="557">
        <f>SUM($B25:AF25)</f>
        <v>0</v>
      </c>
      <c r="AI25" s="557"/>
    </row>
    <row r="26" spans="1:149" outlineLevel="1" x14ac:dyDescent="0.35">
      <c r="A26" s="595" t="s">
        <v>152</v>
      </c>
      <c r="B26" s="558">
        <f>0.73*(B71+B19)</f>
        <v>164.98</v>
      </c>
      <c r="C26" s="558">
        <f>0.73*(C111+C19)</f>
        <v>104.39</v>
      </c>
      <c r="D26" s="558">
        <f t="shared" ref="D26:AF26" si="5">0.73*(D71+D19)</f>
        <v>3.65</v>
      </c>
      <c r="E26" s="558">
        <f t="shared" si="5"/>
        <v>349.67</v>
      </c>
      <c r="F26" s="558">
        <f t="shared" si="5"/>
        <v>198.56</v>
      </c>
      <c r="G26" s="558">
        <f t="shared" si="5"/>
        <v>67.89</v>
      </c>
      <c r="H26" s="558">
        <f t="shared" si="5"/>
        <v>0</v>
      </c>
      <c r="I26" s="558">
        <f t="shared" si="5"/>
        <v>110.96</v>
      </c>
      <c r="J26" s="594">
        <f t="shared" si="5"/>
        <v>39.42</v>
      </c>
      <c r="K26" s="594">
        <f>0.73*(K71+K19)</f>
        <v>83.95</v>
      </c>
      <c r="L26" s="594">
        <f t="shared" si="5"/>
        <v>176.66</v>
      </c>
      <c r="M26" s="594">
        <f t="shared" si="5"/>
        <v>61.32</v>
      </c>
      <c r="N26" s="594">
        <f t="shared" si="5"/>
        <v>58.4</v>
      </c>
      <c r="O26" s="594">
        <f t="shared" si="5"/>
        <v>54.019999999999996</v>
      </c>
      <c r="P26" s="594">
        <f t="shared" si="5"/>
        <v>123.36999999999999</v>
      </c>
      <c r="Q26" s="594">
        <f t="shared" si="5"/>
        <v>95.63</v>
      </c>
      <c r="R26" s="594">
        <f t="shared" si="5"/>
        <v>143.07999999999998</v>
      </c>
      <c r="S26" s="594">
        <f t="shared" si="5"/>
        <v>172.28</v>
      </c>
      <c r="T26" s="594">
        <f t="shared" si="5"/>
        <v>177.39</v>
      </c>
      <c r="U26" s="594">
        <f t="shared" si="5"/>
        <v>0</v>
      </c>
      <c r="V26" s="594">
        <f t="shared" si="5"/>
        <v>37.96</v>
      </c>
      <c r="W26" s="594">
        <f t="shared" si="5"/>
        <v>103.66</v>
      </c>
      <c r="X26" s="594">
        <f t="shared" si="5"/>
        <v>43.07</v>
      </c>
      <c r="Y26" s="594">
        <f t="shared" si="5"/>
        <v>94.899999999999991</v>
      </c>
      <c r="Z26" s="594">
        <f t="shared" si="5"/>
        <v>96.36</v>
      </c>
      <c r="AA26" s="594">
        <f t="shared" si="5"/>
        <v>140.88999999999999</v>
      </c>
      <c r="AB26" s="594">
        <f t="shared" si="5"/>
        <v>112.42</v>
      </c>
      <c r="AC26" s="594">
        <f t="shared" si="5"/>
        <v>0</v>
      </c>
      <c r="AD26" s="594">
        <f t="shared" si="5"/>
        <v>47.449999999999996</v>
      </c>
      <c r="AE26" s="594">
        <f t="shared" si="5"/>
        <v>141.62</v>
      </c>
      <c r="AF26" s="594">
        <f t="shared" si="5"/>
        <v>0</v>
      </c>
      <c r="AG26" s="594"/>
      <c r="AH26" s="557">
        <f>SUM($B26:AF26)</f>
        <v>3003.95</v>
      </c>
      <c r="AI26" s="596">
        <f>AH29+AH45+AH36</f>
        <v>8669</v>
      </c>
      <c r="AK26" s="597">
        <f>(AI26*10)/AH9</f>
        <v>11.572551877311138</v>
      </c>
    </row>
    <row r="27" spans="1:149" outlineLevel="1" x14ac:dyDescent="0.35">
      <c r="E27" s="558">
        <f>0.73*(E111+E20)</f>
        <v>51.83</v>
      </c>
      <c r="M27" s="542"/>
      <c r="AI27" s="557"/>
    </row>
    <row r="28" spans="1:149" outlineLevel="1" x14ac:dyDescent="0.35">
      <c r="A28" s="595" t="s">
        <v>131</v>
      </c>
      <c r="B28" s="558" t="str">
        <f>'Water '!R7</f>
        <v>0</v>
      </c>
      <c r="C28" s="558" t="str">
        <f>'Water '!R8</f>
        <v>0</v>
      </c>
      <c r="D28" s="558" t="str">
        <f>'Water '!R9</f>
        <v>0</v>
      </c>
      <c r="E28" s="558" t="str">
        <f>'Water '!R10</f>
        <v>0</v>
      </c>
      <c r="F28" s="558" t="str">
        <f>'Water '!R11</f>
        <v>0</v>
      </c>
      <c r="G28" s="558" t="str">
        <f>'Water '!R12</f>
        <v>0</v>
      </c>
      <c r="H28" s="558" t="str">
        <f>'Water '!R13</f>
        <v>0</v>
      </c>
      <c r="I28" s="558" t="str">
        <f>'Water '!R14</f>
        <v>0</v>
      </c>
      <c r="J28" s="594" t="str">
        <f>'Water '!R15</f>
        <v>0</v>
      </c>
      <c r="K28" s="594" t="str">
        <f>'Water '!R16</f>
        <v>0</v>
      </c>
      <c r="L28" s="594" t="str">
        <f>'Water '!R17</f>
        <v>0</v>
      </c>
      <c r="M28" s="594" t="str">
        <f>'Water '!R18</f>
        <v>0</v>
      </c>
      <c r="N28" s="594" t="str">
        <f>'Water '!R19</f>
        <v>0</v>
      </c>
      <c r="O28" s="594" t="str">
        <f>'Water '!R20</f>
        <v>0</v>
      </c>
      <c r="P28" s="594" t="str">
        <f>'Water '!R21</f>
        <v>0</v>
      </c>
      <c r="Q28" s="594" t="str">
        <f>'Water '!R22</f>
        <v>0</v>
      </c>
      <c r="R28" s="594" t="str">
        <f>'Water '!R23</f>
        <v>0</v>
      </c>
      <c r="S28" s="594" t="str">
        <f>'Water '!R24</f>
        <v>0</v>
      </c>
      <c r="T28" s="594" t="str">
        <f>'Water '!R25</f>
        <v>0</v>
      </c>
      <c r="U28" s="594" t="str">
        <f>'Water '!R26</f>
        <v>0</v>
      </c>
      <c r="V28" s="594" t="str">
        <f>'Water '!R27</f>
        <v>0</v>
      </c>
      <c r="W28" s="594" t="str">
        <f>'Water '!R28</f>
        <v>0</v>
      </c>
      <c r="X28" s="594" t="str">
        <f>'Water '!R29</f>
        <v>0</v>
      </c>
      <c r="Y28" s="594" t="str">
        <f>'Water '!R30</f>
        <v>0</v>
      </c>
      <c r="Z28" s="594" t="str">
        <f>'Water '!R31</f>
        <v>0</v>
      </c>
      <c r="AA28" s="594" t="str">
        <f>'Water '!R32</f>
        <v>0</v>
      </c>
      <c r="AB28" s="594" t="str">
        <f>'Water '!R33</f>
        <v>0</v>
      </c>
      <c r="AC28" s="594" t="str">
        <f>'Water '!R32</f>
        <v>0</v>
      </c>
      <c r="AD28" s="594" t="str">
        <f>'Water '!R35</f>
        <v>0</v>
      </c>
      <c r="AE28" s="594" t="str">
        <f>'Water '!R36</f>
        <v>0</v>
      </c>
      <c r="AF28" s="594" t="str">
        <f>'Water '!R37</f>
        <v>0</v>
      </c>
      <c r="AG28" s="594"/>
      <c r="AH28" s="557">
        <f>SUM($B28:AF28)</f>
        <v>0</v>
      </c>
      <c r="AI28" s="557"/>
      <c r="AR28" s="292" t="s">
        <v>58</v>
      </c>
    </row>
    <row r="29" spans="1:149" outlineLevel="1" x14ac:dyDescent="0.35">
      <c r="A29" s="580" t="s">
        <v>166</v>
      </c>
      <c r="B29" s="581">
        <f>'Water '!H7</f>
        <v>252</v>
      </c>
      <c r="C29" s="581">
        <f>'Water '!H8</f>
        <v>242</v>
      </c>
      <c r="D29" s="581">
        <f>'Water '!H9</f>
        <v>170</v>
      </c>
      <c r="E29" s="581">
        <f>'Water '!H10</f>
        <v>223</v>
      </c>
      <c r="F29" s="581">
        <f>'Water '!H11</f>
        <v>178</v>
      </c>
      <c r="G29" s="581">
        <f>'Water '!H12</f>
        <v>83</v>
      </c>
      <c r="H29" s="581">
        <f>'Water '!H13</f>
        <v>0</v>
      </c>
      <c r="I29" s="581">
        <f>'Water '!H14</f>
        <v>166</v>
      </c>
      <c r="J29" s="582">
        <f>'Water '!H15</f>
        <v>206</v>
      </c>
      <c r="K29" s="582">
        <f>'Water '!H16</f>
        <v>204</v>
      </c>
      <c r="L29" s="582">
        <f>'Water '!H17</f>
        <v>98</v>
      </c>
      <c r="M29" s="582">
        <f>'Water '!H18</f>
        <v>81</v>
      </c>
      <c r="N29" s="582">
        <f>'Water '!H19</f>
        <v>22</v>
      </c>
      <c r="O29" s="582">
        <f>'Water '!$H20</f>
        <v>74</v>
      </c>
      <c r="P29" s="582">
        <f>'Water '!$H21</f>
        <v>249</v>
      </c>
      <c r="Q29" s="582">
        <f>'Water '!$H22</f>
        <v>201</v>
      </c>
      <c r="R29" s="582">
        <f>'Water '!$H23</f>
        <v>240</v>
      </c>
      <c r="S29" s="582">
        <f>'Water '!$H24</f>
        <v>291</v>
      </c>
      <c r="T29" s="582">
        <f>'Water '!$H25</f>
        <v>210</v>
      </c>
      <c r="U29" s="582">
        <f>'Water '!$H26</f>
        <v>37</v>
      </c>
      <c r="V29" s="582">
        <f>'Water '!$H27</f>
        <v>23</v>
      </c>
      <c r="W29" s="582">
        <f>'Water '!$H28</f>
        <v>267</v>
      </c>
      <c r="X29" s="582">
        <f>'Water '!$H29</f>
        <v>259</v>
      </c>
      <c r="Y29" s="582">
        <f>'Water '!$H30</f>
        <v>102</v>
      </c>
      <c r="Z29" s="582">
        <f>'Water '!$H31</f>
        <v>196</v>
      </c>
      <c r="AA29" s="582">
        <f>'Water '!$H32</f>
        <v>240</v>
      </c>
      <c r="AB29" s="582">
        <f>'Water '!$H33</f>
        <v>68</v>
      </c>
      <c r="AC29" s="582">
        <f>'Water '!$H34</f>
        <v>19</v>
      </c>
      <c r="AD29" s="582">
        <f>'Water '!$H35</f>
        <v>200</v>
      </c>
      <c r="AE29" s="582">
        <f>'Water '!$H36</f>
        <v>200</v>
      </c>
      <c r="AF29" s="582">
        <f>'Water '!$H37</f>
        <v>0</v>
      </c>
      <c r="AG29" s="582"/>
      <c r="AH29" s="557">
        <f>SUM($B29:AF29)</f>
        <v>4801</v>
      </c>
      <c r="AI29" s="557"/>
      <c r="AJ29" s="557"/>
    </row>
    <row r="30" spans="1:149" outlineLevel="1" x14ac:dyDescent="0.35">
      <c r="A30" s="580" t="str">
        <f t="shared" ref="A30:AF30" si="6">A36</f>
        <v>Brewhouse</v>
      </c>
      <c r="B30" s="581">
        <f t="shared" si="6"/>
        <v>166</v>
      </c>
      <c r="C30" s="581">
        <f t="shared" si="6"/>
        <v>208</v>
      </c>
      <c r="D30" s="581">
        <f t="shared" si="6"/>
        <v>165</v>
      </c>
      <c r="E30" s="581">
        <f t="shared" si="6"/>
        <v>180</v>
      </c>
      <c r="F30" s="581">
        <f t="shared" si="6"/>
        <v>207</v>
      </c>
      <c r="G30" s="581" t="str">
        <f t="shared" si="6"/>
        <v>0</v>
      </c>
      <c r="H30" s="581" t="str">
        <f>H36</f>
        <v>0</v>
      </c>
      <c r="I30" s="581">
        <f t="shared" si="6"/>
        <v>191</v>
      </c>
      <c r="J30" s="582">
        <f t="shared" si="6"/>
        <v>211</v>
      </c>
      <c r="K30" s="582">
        <f t="shared" si="6"/>
        <v>189</v>
      </c>
      <c r="L30" s="582">
        <f t="shared" si="6"/>
        <v>164</v>
      </c>
      <c r="M30" s="582">
        <f t="shared" si="6"/>
        <v>50</v>
      </c>
      <c r="N30" s="582" t="str">
        <f t="shared" si="6"/>
        <v>0</v>
      </c>
      <c r="O30" s="582">
        <f t="shared" si="6"/>
        <v>6</v>
      </c>
      <c r="P30" s="582">
        <f t="shared" si="6"/>
        <v>100</v>
      </c>
      <c r="Q30" s="582">
        <f t="shared" si="6"/>
        <v>119</v>
      </c>
      <c r="R30" s="582">
        <f t="shared" si="6"/>
        <v>149</v>
      </c>
      <c r="S30" s="582">
        <f t="shared" si="6"/>
        <v>162</v>
      </c>
      <c r="T30" s="582">
        <f t="shared" si="6"/>
        <v>168</v>
      </c>
      <c r="U30" s="582" t="str">
        <f t="shared" si="6"/>
        <v>0</v>
      </c>
      <c r="V30" s="582">
        <f t="shared" si="6"/>
        <v>1</v>
      </c>
      <c r="W30" s="582">
        <f t="shared" si="6"/>
        <v>131</v>
      </c>
      <c r="X30" s="582">
        <f t="shared" si="6"/>
        <v>192</v>
      </c>
      <c r="Y30" s="582">
        <f>Y36</f>
        <v>163</v>
      </c>
      <c r="Z30" s="582">
        <f t="shared" si="6"/>
        <v>179</v>
      </c>
      <c r="AA30" s="582">
        <f t="shared" si="6"/>
        <v>113</v>
      </c>
      <c r="AB30" s="582">
        <f t="shared" si="6"/>
        <v>35</v>
      </c>
      <c r="AC30" s="582">
        <f>AC36</f>
        <v>1</v>
      </c>
      <c r="AD30" s="582">
        <f t="shared" si="6"/>
        <v>43</v>
      </c>
      <c r="AE30" s="582">
        <f t="shared" si="6"/>
        <v>233</v>
      </c>
      <c r="AF30" s="582" t="str">
        <f t="shared" si="6"/>
        <v>0</v>
      </c>
      <c r="AG30" s="582"/>
      <c r="AH30" s="557">
        <f>AH36</f>
        <v>3526</v>
      </c>
      <c r="AI30" s="557"/>
      <c r="AJ30" s="557"/>
    </row>
    <row r="31" spans="1:149" outlineLevel="1" x14ac:dyDescent="0.35">
      <c r="A31" s="580" t="str">
        <f t="shared" ref="A31:AF31" si="7">A45</f>
        <v>Boiler Supply</v>
      </c>
      <c r="B31" s="581">
        <f t="shared" si="7"/>
        <v>11</v>
      </c>
      <c r="C31" s="581">
        <f t="shared" si="7"/>
        <v>23</v>
      </c>
      <c r="D31" s="581">
        <f t="shared" si="7"/>
        <v>15</v>
      </c>
      <c r="E31" s="581">
        <f t="shared" si="7"/>
        <v>19</v>
      </c>
      <c r="F31" s="581">
        <f t="shared" si="7"/>
        <v>15</v>
      </c>
      <c r="G31" s="581">
        <f t="shared" si="7"/>
        <v>1</v>
      </c>
      <c r="H31" s="581">
        <f t="shared" si="7"/>
        <v>2</v>
      </c>
      <c r="I31" s="581">
        <f t="shared" si="7"/>
        <v>18</v>
      </c>
      <c r="J31" s="582">
        <f>J45</f>
        <v>14</v>
      </c>
      <c r="K31" s="582">
        <f>K45</f>
        <v>13</v>
      </c>
      <c r="L31" s="582">
        <f t="shared" si="7"/>
        <v>10</v>
      </c>
      <c r="M31" s="582">
        <f>M45</f>
        <v>7</v>
      </c>
      <c r="N31" s="582" t="str">
        <f t="shared" si="7"/>
        <v>0</v>
      </c>
      <c r="O31" s="582">
        <f t="shared" si="7"/>
        <v>2</v>
      </c>
      <c r="P31" s="582">
        <f t="shared" si="7"/>
        <v>21</v>
      </c>
      <c r="Q31" s="582">
        <f t="shared" si="7"/>
        <v>12</v>
      </c>
      <c r="R31" s="582">
        <f t="shared" si="7"/>
        <v>17</v>
      </c>
      <c r="S31" s="582">
        <f t="shared" si="7"/>
        <v>22</v>
      </c>
      <c r="T31" s="582">
        <f t="shared" si="7"/>
        <v>15</v>
      </c>
      <c r="U31" s="582">
        <f t="shared" si="7"/>
        <v>3</v>
      </c>
      <c r="V31" s="582">
        <f>V45</f>
        <v>7</v>
      </c>
      <c r="W31" s="582">
        <f t="shared" si="7"/>
        <v>17</v>
      </c>
      <c r="X31" s="582">
        <f t="shared" si="7"/>
        <v>13</v>
      </c>
      <c r="Y31" s="582">
        <f t="shared" si="7"/>
        <v>5</v>
      </c>
      <c r="Z31" s="582">
        <f t="shared" si="7"/>
        <v>13</v>
      </c>
      <c r="AA31" s="582">
        <f t="shared" si="7"/>
        <v>15</v>
      </c>
      <c r="AB31" s="582">
        <f t="shared" si="7"/>
        <v>1</v>
      </c>
      <c r="AC31" s="582">
        <f t="shared" si="7"/>
        <v>2</v>
      </c>
      <c r="AD31" s="582">
        <f t="shared" si="7"/>
        <v>15</v>
      </c>
      <c r="AE31" s="582">
        <f t="shared" si="7"/>
        <v>14</v>
      </c>
      <c r="AF31" s="582" t="str">
        <f t="shared" si="7"/>
        <v>0</v>
      </c>
      <c r="AG31" s="582"/>
      <c r="AH31" s="557">
        <f>AH45</f>
        <v>342</v>
      </c>
      <c r="AI31" s="557"/>
      <c r="AJ31" s="557"/>
    </row>
    <row r="32" spans="1:149" s="603" customFormat="1" x14ac:dyDescent="0.4">
      <c r="A32" s="598" t="s">
        <v>153</v>
      </c>
      <c r="B32" s="599">
        <f>SUM(B28:B31)</f>
        <v>429</v>
      </c>
      <c r="C32" s="599">
        <f>SUM(C28:C31)</f>
        <v>473</v>
      </c>
      <c r="D32" s="599">
        <f t="shared" ref="D32:AF32" si="8">SUM(D28:D31)</f>
        <v>350</v>
      </c>
      <c r="E32" s="599">
        <f t="shared" si="8"/>
        <v>422</v>
      </c>
      <c r="F32" s="599">
        <f t="shared" si="8"/>
        <v>400</v>
      </c>
      <c r="G32" s="599">
        <f t="shared" si="8"/>
        <v>84</v>
      </c>
      <c r="H32" s="599">
        <f t="shared" si="8"/>
        <v>2</v>
      </c>
      <c r="I32" s="599">
        <f t="shared" si="8"/>
        <v>375</v>
      </c>
      <c r="J32" s="600">
        <f t="shared" si="8"/>
        <v>431</v>
      </c>
      <c r="K32" s="600">
        <f>SUM(K28:K31)</f>
        <v>406</v>
      </c>
      <c r="L32" s="600">
        <f t="shared" si="8"/>
        <v>272</v>
      </c>
      <c r="M32" s="600">
        <f t="shared" si="8"/>
        <v>138</v>
      </c>
      <c r="N32" s="600">
        <f t="shared" si="8"/>
        <v>22</v>
      </c>
      <c r="O32" s="600">
        <f t="shared" si="8"/>
        <v>82</v>
      </c>
      <c r="P32" s="600">
        <f t="shared" si="8"/>
        <v>370</v>
      </c>
      <c r="Q32" s="600">
        <f>SUM(Q28:Q31)</f>
        <v>332</v>
      </c>
      <c r="R32" s="600">
        <f t="shared" si="8"/>
        <v>406</v>
      </c>
      <c r="S32" s="600">
        <f t="shared" si="8"/>
        <v>475</v>
      </c>
      <c r="T32" s="600">
        <f t="shared" si="8"/>
        <v>393</v>
      </c>
      <c r="U32" s="600">
        <f t="shared" si="8"/>
        <v>40</v>
      </c>
      <c r="V32" s="600">
        <f t="shared" si="8"/>
        <v>31</v>
      </c>
      <c r="W32" s="599">
        <f t="shared" si="8"/>
        <v>415</v>
      </c>
      <c r="X32" s="600">
        <f t="shared" si="8"/>
        <v>464</v>
      </c>
      <c r="Y32" s="600">
        <f t="shared" si="8"/>
        <v>270</v>
      </c>
      <c r="Z32" s="600">
        <f t="shared" si="8"/>
        <v>388</v>
      </c>
      <c r="AA32" s="600">
        <f t="shared" si="8"/>
        <v>368</v>
      </c>
      <c r="AB32" s="600">
        <f t="shared" si="8"/>
        <v>104</v>
      </c>
      <c r="AC32" s="600">
        <f>SUM(AC28:AC31)</f>
        <v>22</v>
      </c>
      <c r="AD32" s="601">
        <f t="shared" si="8"/>
        <v>258</v>
      </c>
      <c r="AE32" s="600">
        <f t="shared" si="8"/>
        <v>447</v>
      </c>
      <c r="AF32" s="600">
        <f t="shared" si="8"/>
        <v>0</v>
      </c>
      <c r="AG32" s="600"/>
      <c r="AH32" s="599">
        <f>SUM($B32:AF32)</f>
        <v>8669</v>
      </c>
      <c r="AI32" s="599"/>
      <c r="AJ32" s="602"/>
      <c r="AK32" s="602"/>
      <c r="AL32" s="602"/>
      <c r="AM32" s="602"/>
      <c r="AN32" s="602"/>
      <c r="AO32" s="602"/>
      <c r="AP32" s="602"/>
      <c r="AQ32" s="602"/>
      <c r="AR32" s="602"/>
      <c r="AS32" s="602"/>
      <c r="AT32" s="602"/>
      <c r="AU32" s="602"/>
      <c r="AV32" s="602"/>
      <c r="AW32" s="602"/>
      <c r="AX32" s="602"/>
      <c r="AY32" s="602"/>
      <c r="AZ32" s="602"/>
      <c r="BA32" s="602"/>
      <c r="BB32" s="602"/>
      <c r="BC32" s="602"/>
      <c r="BD32" s="602"/>
      <c r="BE32" s="602"/>
      <c r="BF32" s="602"/>
      <c r="BG32" s="602"/>
    </row>
    <row r="33" spans="1:149" s="544" customFormat="1" x14ac:dyDescent="0.4">
      <c r="A33" s="604"/>
      <c r="B33" s="557"/>
      <c r="C33" s="557"/>
      <c r="D33" s="557"/>
      <c r="E33" s="557"/>
      <c r="F33" s="557"/>
      <c r="G33" s="557"/>
      <c r="H33" s="557"/>
      <c r="I33" s="557"/>
      <c r="J33" s="593"/>
      <c r="K33" s="593"/>
      <c r="L33" s="593"/>
      <c r="M33" s="593"/>
      <c r="N33" s="593"/>
      <c r="O33" s="593"/>
      <c r="P33" s="593"/>
      <c r="Q33" s="593"/>
      <c r="R33" s="593"/>
      <c r="S33" s="593"/>
      <c r="T33" s="593"/>
      <c r="U33" s="593"/>
      <c r="V33" s="593"/>
      <c r="W33" s="593"/>
      <c r="X33" s="593"/>
      <c r="Y33" s="593"/>
      <c r="Z33" s="593"/>
      <c r="AA33" s="593"/>
      <c r="AB33" s="593"/>
      <c r="AC33" s="593"/>
      <c r="AD33" s="593"/>
      <c r="AE33" s="593"/>
      <c r="AF33" s="593"/>
      <c r="AG33" s="593"/>
      <c r="AH33" s="557"/>
      <c r="AI33" s="557"/>
      <c r="AJ33" s="541"/>
      <c r="AK33" s="541"/>
      <c r="AL33" s="541"/>
      <c r="AM33" s="541"/>
      <c r="AN33" s="541"/>
      <c r="AO33" s="541"/>
      <c r="AP33" s="541"/>
      <c r="AQ33" s="541"/>
      <c r="AR33" s="541"/>
      <c r="AS33" s="541"/>
      <c r="AT33" s="541"/>
      <c r="AU33" s="541"/>
      <c r="AV33" s="541"/>
      <c r="AW33" s="541"/>
      <c r="AX33" s="541"/>
      <c r="AY33" s="541"/>
      <c r="AZ33" s="541"/>
      <c r="BA33" s="541"/>
      <c r="BB33" s="541"/>
      <c r="BC33" s="541"/>
      <c r="BD33" s="541"/>
      <c r="BE33" s="541"/>
      <c r="BF33" s="541"/>
      <c r="BG33" s="541"/>
    </row>
    <row r="34" spans="1:149" x14ac:dyDescent="0.35">
      <c r="A34" s="580"/>
      <c r="B34" s="605"/>
      <c r="C34" s="605"/>
      <c r="D34" s="605"/>
      <c r="E34" s="605"/>
      <c r="F34" s="605"/>
      <c r="G34" s="605"/>
      <c r="H34" s="605"/>
      <c r="I34" s="605"/>
      <c r="J34" s="566"/>
      <c r="K34" s="566"/>
      <c r="L34" s="566"/>
      <c r="M34" s="566"/>
      <c r="N34" s="566"/>
      <c r="O34" s="566"/>
      <c r="P34" s="566"/>
      <c r="Q34" s="566"/>
      <c r="R34" s="566"/>
      <c r="S34" s="566"/>
      <c r="T34" s="566"/>
      <c r="U34" s="566"/>
      <c r="V34" s="566"/>
      <c r="W34" s="566"/>
      <c r="X34" s="566"/>
      <c r="Y34" s="566"/>
      <c r="Z34" s="566"/>
      <c r="AA34" s="566"/>
      <c r="AB34" s="566"/>
      <c r="AC34" s="566"/>
      <c r="AD34" s="566"/>
      <c r="AE34" s="566"/>
      <c r="AF34" s="566"/>
      <c r="AG34" s="566"/>
      <c r="AH34" s="606"/>
      <c r="AI34" s="607"/>
    </row>
    <row r="35" spans="1:149" x14ac:dyDescent="0.35">
      <c r="A35" s="592" t="s">
        <v>169</v>
      </c>
      <c r="B35" s="558"/>
      <c r="C35" s="558"/>
      <c r="D35" s="558"/>
      <c r="E35" s="558"/>
      <c r="F35" s="558"/>
      <c r="G35" s="558"/>
      <c r="H35" s="558"/>
      <c r="I35" s="558"/>
      <c r="J35" s="594"/>
      <c r="K35" s="594"/>
      <c r="L35" s="594"/>
      <c r="M35" s="594"/>
      <c r="AH35" s="557"/>
      <c r="AI35" s="557"/>
    </row>
    <row r="36" spans="1:149" x14ac:dyDescent="0.35">
      <c r="A36" s="608" t="s">
        <v>74</v>
      </c>
      <c r="B36" s="609">
        <f>+'Water '!$J7</f>
        <v>166</v>
      </c>
      <c r="C36" s="609">
        <f>+'Water '!$J8</f>
        <v>208</v>
      </c>
      <c r="D36" s="609">
        <f>+'Water '!$J9</f>
        <v>165</v>
      </c>
      <c r="E36" s="609">
        <f>+'Water '!$J10</f>
        <v>180</v>
      </c>
      <c r="F36" s="609">
        <f>+'Water '!$J11</f>
        <v>207</v>
      </c>
      <c r="G36" s="609" t="str">
        <f>+'Water '!$J12</f>
        <v>0</v>
      </c>
      <c r="H36" s="581" t="str">
        <f>+'Water '!$J13</f>
        <v>0</v>
      </c>
      <c r="I36" s="609">
        <f>+'Water '!$J14</f>
        <v>191</v>
      </c>
      <c r="J36" s="609">
        <f>+'Water '!$J15</f>
        <v>211</v>
      </c>
      <c r="K36" s="609">
        <f>+'Water '!$J16</f>
        <v>189</v>
      </c>
      <c r="L36" s="581">
        <f>+'Water '!$J17</f>
        <v>164</v>
      </c>
      <c r="M36" s="609">
        <f>+'Water '!$J18</f>
        <v>50</v>
      </c>
      <c r="N36" s="609" t="str">
        <f>+'Water '!$J19</f>
        <v>0</v>
      </c>
      <c r="O36" s="609">
        <f>+'Water '!$J20</f>
        <v>6</v>
      </c>
      <c r="P36" s="581">
        <f>+'Water '!$J21</f>
        <v>100</v>
      </c>
      <c r="Q36" s="609">
        <f>+'Water '!$J22</f>
        <v>119</v>
      </c>
      <c r="R36" s="581">
        <f>+'Water '!$J23</f>
        <v>149</v>
      </c>
      <c r="S36" s="609">
        <f>+'Water '!$J24</f>
        <v>162</v>
      </c>
      <c r="T36" s="581">
        <f>+'Water '!$J25</f>
        <v>168</v>
      </c>
      <c r="U36" s="609" t="str">
        <f>+'Water '!$J26</f>
        <v>0</v>
      </c>
      <c r="V36" s="609">
        <f>+'Water '!$J27</f>
        <v>1</v>
      </c>
      <c r="W36" s="609">
        <f>+'Water '!$J28</f>
        <v>131</v>
      </c>
      <c r="X36" s="609">
        <f>+'Water '!$J29</f>
        <v>192</v>
      </c>
      <c r="Y36" s="609">
        <f>+'Water '!$J30</f>
        <v>163</v>
      </c>
      <c r="Z36" s="609">
        <f>+'Water '!$J31</f>
        <v>179</v>
      </c>
      <c r="AA36" s="609">
        <f>+'Water '!$J32</f>
        <v>113</v>
      </c>
      <c r="AB36" s="609">
        <f>+'Water '!$J33</f>
        <v>35</v>
      </c>
      <c r="AC36" s="581">
        <f>+'Water '!$J34</f>
        <v>1</v>
      </c>
      <c r="AD36" s="581">
        <f>+'Water '!$J35</f>
        <v>43</v>
      </c>
      <c r="AE36" s="581">
        <f>+'Water '!$J36</f>
        <v>233</v>
      </c>
      <c r="AF36" s="581" t="str">
        <f>+'Water '!$J37</f>
        <v>0</v>
      </c>
      <c r="AG36" s="581"/>
      <c r="AH36" s="557">
        <f>SUM($B36:AF36)</f>
        <v>3526</v>
      </c>
      <c r="AI36" s="557"/>
    </row>
    <row r="37" spans="1:149" s="577" customFormat="1" x14ac:dyDescent="0.35">
      <c r="A37" s="610" t="s">
        <v>230</v>
      </c>
      <c r="B37" s="611" t="str">
        <f>'Water '!X7</f>
        <v>0</v>
      </c>
      <c r="C37" s="611" t="str">
        <f>'Water '!X8</f>
        <v>0</v>
      </c>
      <c r="D37" s="611" t="str">
        <f>'Water '!X9</f>
        <v>0</v>
      </c>
      <c r="E37" s="611" t="str">
        <f>'Water '!X10</f>
        <v>0</v>
      </c>
      <c r="F37" s="611" t="str">
        <f>'Water '!X11</f>
        <v>0</v>
      </c>
      <c r="G37" s="611" t="str">
        <f>'Water '!X12</f>
        <v>0</v>
      </c>
      <c r="H37" s="611" t="str">
        <f>'Water '!X13</f>
        <v>0</v>
      </c>
      <c r="I37" s="611" t="str">
        <f>'Water '!X14</f>
        <v>0</v>
      </c>
      <c r="J37" s="611" t="str">
        <f>'Water '!X15</f>
        <v>0</v>
      </c>
      <c r="K37" s="611" t="str">
        <f>'Water '!X16</f>
        <v>0</v>
      </c>
      <c r="L37" s="611" t="str">
        <f>'Water '!X17</f>
        <v>0</v>
      </c>
      <c r="M37" s="611" t="str">
        <f>'Water '!X18</f>
        <v>0</v>
      </c>
      <c r="N37" s="611" t="str">
        <f>'Water '!X19</f>
        <v>0</v>
      </c>
      <c r="O37" s="611" t="str">
        <f>'Water '!X20</f>
        <v>0</v>
      </c>
      <c r="P37" s="611" t="str">
        <f>'Water '!X21</f>
        <v>0</v>
      </c>
      <c r="Q37" s="611" t="str">
        <f>'Water '!X22</f>
        <v>0</v>
      </c>
      <c r="R37" s="611" t="str">
        <f>'Water '!X23</f>
        <v>0</v>
      </c>
      <c r="S37" s="611" t="str">
        <f>'Water '!X24</f>
        <v>0</v>
      </c>
      <c r="T37" s="611" t="str">
        <f>'Water '!X25</f>
        <v>0</v>
      </c>
      <c r="U37" s="611" t="str">
        <f>'Water '!X26</f>
        <v>0</v>
      </c>
      <c r="V37" s="611" t="str">
        <f>'Water '!X27</f>
        <v>0</v>
      </c>
      <c r="W37" s="611" t="str">
        <f>'Water '!X28</f>
        <v>0</v>
      </c>
      <c r="X37" s="611" t="str">
        <f>'Water '!X29</f>
        <v>0</v>
      </c>
      <c r="Y37" s="611" t="str">
        <f>'Water '!X30</f>
        <v>0</v>
      </c>
      <c r="Z37" s="611" t="str">
        <f>'Water '!X31</f>
        <v>0</v>
      </c>
      <c r="AA37" s="611" t="str">
        <f>'Water '!X32</f>
        <v>0</v>
      </c>
      <c r="AB37" s="611" t="str">
        <f>'Water '!X33</f>
        <v>0</v>
      </c>
      <c r="AC37" s="611" t="str">
        <f>'Water '!X34</f>
        <v>0</v>
      </c>
      <c r="AD37" s="611" t="str">
        <f>'Water '!X35</f>
        <v>0</v>
      </c>
      <c r="AE37" s="611" t="str">
        <f>'Water '!Y35</f>
        <v>0</v>
      </c>
      <c r="AF37" s="611">
        <f>'Water '!Z35</f>
        <v>356</v>
      </c>
      <c r="AG37" s="611"/>
      <c r="AH37" s="587">
        <f>SUM($B37:AF37)</f>
        <v>356</v>
      </c>
      <c r="AI37" s="587"/>
      <c r="AJ37" s="547"/>
      <c r="AK37" s="292"/>
      <c r="AL37" s="292"/>
      <c r="AM37" s="292"/>
      <c r="AN37" s="292"/>
      <c r="AO37" s="292"/>
      <c r="AP37" s="292"/>
      <c r="AQ37" s="292"/>
      <c r="AR37" s="292"/>
      <c r="AS37" s="292"/>
      <c r="AT37" s="292"/>
      <c r="AU37" s="292"/>
      <c r="AV37" s="292"/>
      <c r="AW37" s="292"/>
      <c r="AX37" s="292"/>
      <c r="AY37" s="292"/>
      <c r="AZ37" s="292"/>
      <c r="BA37" s="292"/>
      <c r="BB37" s="292"/>
      <c r="BC37" s="292"/>
      <c r="BD37" s="292"/>
      <c r="BE37" s="292"/>
      <c r="BF37" s="292"/>
      <c r="BG37" s="292"/>
      <c r="BH37" s="540"/>
      <c r="BI37" s="540"/>
      <c r="BJ37" s="540"/>
      <c r="BK37" s="540"/>
      <c r="BL37" s="540"/>
      <c r="BM37" s="540"/>
      <c r="BN37" s="540"/>
      <c r="BO37" s="540"/>
      <c r="BP37" s="540"/>
      <c r="BQ37" s="540"/>
      <c r="BR37" s="540"/>
      <c r="BS37" s="540"/>
      <c r="BT37" s="540"/>
      <c r="BU37" s="540"/>
      <c r="BV37" s="540"/>
      <c r="BW37" s="540"/>
      <c r="BX37" s="540"/>
      <c r="BY37" s="540"/>
      <c r="BZ37" s="540"/>
      <c r="CA37" s="540"/>
      <c r="CB37" s="540"/>
      <c r="CC37" s="540"/>
      <c r="CD37" s="540"/>
      <c r="CE37" s="540"/>
      <c r="CF37" s="540"/>
      <c r="CG37" s="540"/>
      <c r="CH37" s="540"/>
      <c r="CI37" s="540"/>
      <c r="CJ37" s="540"/>
      <c r="CK37" s="540"/>
      <c r="CL37" s="540"/>
      <c r="CM37" s="540"/>
      <c r="CN37" s="540"/>
      <c r="CO37" s="540"/>
      <c r="CP37" s="540"/>
      <c r="CQ37" s="540"/>
      <c r="CR37" s="540"/>
      <c r="CS37" s="540"/>
      <c r="CT37" s="540"/>
      <c r="CU37" s="540"/>
      <c r="CV37" s="540"/>
      <c r="CW37" s="540"/>
      <c r="CX37" s="540"/>
      <c r="CY37" s="540"/>
      <c r="CZ37" s="540"/>
      <c r="DA37" s="540"/>
      <c r="DB37" s="540"/>
      <c r="DC37" s="540"/>
      <c r="DD37" s="540"/>
      <c r="DE37" s="540"/>
      <c r="DF37" s="540"/>
      <c r="DG37" s="540"/>
      <c r="DH37" s="540"/>
      <c r="DI37" s="540"/>
      <c r="DJ37" s="540"/>
      <c r="DK37" s="540"/>
      <c r="DL37" s="540"/>
      <c r="DM37" s="540"/>
      <c r="DN37" s="540"/>
      <c r="DO37" s="540"/>
      <c r="DP37" s="540"/>
      <c r="DQ37" s="540"/>
      <c r="DR37" s="540"/>
      <c r="DS37" s="540"/>
      <c r="DT37" s="540"/>
      <c r="DU37" s="540"/>
      <c r="DV37" s="540"/>
      <c r="DW37" s="540"/>
      <c r="DX37" s="540"/>
      <c r="DY37" s="540"/>
      <c r="DZ37" s="540"/>
      <c r="EA37" s="540"/>
      <c r="EB37" s="540"/>
      <c r="EC37" s="540"/>
      <c r="ED37" s="540"/>
      <c r="EE37" s="540"/>
      <c r="EF37" s="540"/>
      <c r="EG37" s="540"/>
      <c r="EH37" s="540"/>
      <c r="EI37" s="540"/>
      <c r="EJ37" s="540"/>
      <c r="EK37" s="540"/>
      <c r="EL37" s="540"/>
      <c r="EM37" s="540"/>
      <c r="EN37" s="540"/>
      <c r="EO37" s="540"/>
      <c r="EP37" s="540"/>
      <c r="EQ37" s="540"/>
      <c r="ER37" s="540"/>
      <c r="ES37" s="540"/>
    </row>
    <row r="38" spans="1:149" ht="32.25" customHeight="1" x14ac:dyDescent="0.35">
      <c r="A38" s="595" t="s">
        <v>189</v>
      </c>
      <c r="B38" s="558"/>
      <c r="C38" s="558"/>
      <c r="D38" s="558"/>
      <c r="E38" s="558"/>
      <c r="F38" s="558"/>
      <c r="G38" s="558"/>
      <c r="H38" s="558"/>
      <c r="I38" s="558"/>
      <c r="J38" s="558"/>
      <c r="K38" s="558"/>
      <c r="L38" s="558"/>
      <c r="M38" s="558"/>
      <c r="N38" s="558"/>
      <c r="O38" s="558"/>
      <c r="P38" s="558"/>
      <c r="Q38" s="558"/>
      <c r="R38" s="558"/>
      <c r="S38" s="558"/>
      <c r="T38" s="558"/>
      <c r="U38" s="558"/>
      <c r="V38" s="558"/>
      <c r="W38" s="558"/>
      <c r="X38" s="558"/>
      <c r="Y38" s="558"/>
      <c r="Z38" s="558"/>
      <c r="AA38" s="558"/>
      <c r="AB38" s="558"/>
      <c r="AC38" s="558"/>
      <c r="AD38" s="558"/>
      <c r="AE38" s="558"/>
      <c r="AF38" s="558"/>
      <c r="AG38" s="558"/>
      <c r="AH38" s="557"/>
      <c r="AI38" s="557"/>
    </row>
    <row r="39" spans="1:149" x14ac:dyDescent="0.35">
      <c r="A39" s="580" t="s">
        <v>221</v>
      </c>
      <c r="B39" s="581" t="str">
        <f>+'Water '!$K7</f>
        <v>0</v>
      </c>
      <c r="C39" s="581" t="str">
        <f>+'Water '!$K8</f>
        <v>0</v>
      </c>
      <c r="D39" s="581" t="str">
        <f>+'Water '!$K9</f>
        <v>0</v>
      </c>
      <c r="E39" s="581" t="str">
        <f>+'Water '!$K10</f>
        <v>0</v>
      </c>
      <c r="F39" s="581" t="str">
        <f>+'Water '!$K9</f>
        <v>0</v>
      </c>
      <c r="G39" s="581" t="str">
        <f>+'Water '!$K12</f>
        <v>0</v>
      </c>
      <c r="H39" s="581" t="str">
        <f>+'Water '!$K13</f>
        <v>0</v>
      </c>
      <c r="I39" s="581" t="str">
        <f>+'Water '!$K14</f>
        <v>0</v>
      </c>
      <c r="J39" s="581" t="str">
        <f>+'Water '!$K15</f>
        <v>0</v>
      </c>
      <c r="K39" s="581" t="str">
        <f>+'Water '!$K16</f>
        <v>0</v>
      </c>
      <c r="L39" s="581" t="str">
        <f>+'Water '!$K17</f>
        <v>0</v>
      </c>
      <c r="M39" s="581" t="str">
        <f>+'Water '!$K18</f>
        <v>0</v>
      </c>
      <c r="N39" s="581" t="str">
        <f>+'Water '!$K19</f>
        <v>0</v>
      </c>
      <c r="O39" s="581" t="str">
        <f>+'Water '!$K20</f>
        <v>0</v>
      </c>
      <c r="P39" s="581" t="str">
        <f>+'Water '!$K21</f>
        <v>0</v>
      </c>
      <c r="Q39" s="581" t="str">
        <f>+'Water '!$K22</f>
        <v>0</v>
      </c>
      <c r="R39" s="581" t="str">
        <f>+'Water '!$K23</f>
        <v>0</v>
      </c>
      <c r="S39" s="581" t="str">
        <f>+'Water '!$K24</f>
        <v>0</v>
      </c>
      <c r="T39" s="581" t="str">
        <f>+'Water '!$K25</f>
        <v>0</v>
      </c>
      <c r="U39" s="581" t="str">
        <f>+'Water '!$K26</f>
        <v>0</v>
      </c>
      <c r="V39" s="581" t="str">
        <f>+'Water '!$K27</f>
        <v>0</v>
      </c>
      <c r="W39" s="581" t="str">
        <f>+'Water '!$K28</f>
        <v>0</v>
      </c>
      <c r="X39" s="581" t="str">
        <f>+'Water '!$K29</f>
        <v>0</v>
      </c>
      <c r="Y39" s="581" t="str">
        <f>+'Water '!$K30</f>
        <v>0</v>
      </c>
      <c r="Z39" s="581" t="str">
        <f>+'Water '!$K31</f>
        <v>0</v>
      </c>
      <c r="AA39" s="581" t="str">
        <f>+'Water '!$K32</f>
        <v>0</v>
      </c>
      <c r="AB39" s="581" t="str">
        <f>+'Water '!$K33</f>
        <v>0</v>
      </c>
      <c r="AC39" s="581" t="str">
        <f>+'Water '!$K34</f>
        <v>0</v>
      </c>
      <c r="AD39" s="581" t="str">
        <f>+'Water '!$K35</f>
        <v>0</v>
      </c>
      <c r="AE39" s="581" t="str">
        <f>+'Water '!$K36</f>
        <v>0</v>
      </c>
      <c r="AF39" s="581" t="str">
        <f>+'Water '!$K37</f>
        <v>0</v>
      </c>
      <c r="AG39" s="581"/>
      <c r="AH39" s="557">
        <f>SUM($B39:AF39)</f>
        <v>0</v>
      </c>
      <c r="AI39" s="557"/>
      <c r="AJ39" s="557"/>
    </row>
    <row r="40" spans="1:149" s="577" customFormat="1" ht="27" customHeight="1" x14ac:dyDescent="0.35">
      <c r="A40" s="612" t="s">
        <v>174</v>
      </c>
      <c r="B40" s="611" t="str">
        <f>'Water '!L7</f>
        <v>0</v>
      </c>
      <c r="C40" s="611" t="str">
        <f>'Water '!L8</f>
        <v>0</v>
      </c>
      <c r="D40" s="611" t="str">
        <f>'Water '!L9</f>
        <v>0</v>
      </c>
      <c r="E40" s="611" t="str">
        <f>'Water '!L10</f>
        <v>0</v>
      </c>
      <c r="F40" s="611" t="str">
        <f>'Water '!L11</f>
        <v>0</v>
      </c>
      <c r="G40" s="611" t="str">
        <f>'Water '!L12</f>
        <v>0</v>
      </c>
      <c r="H40" s="611" t="str">
        <f>'Water '!L13</f>
        <v>0</v>
      </c>
      <c r="I40" s="611" t="str">
        <f>'Water '!L14</f>
        <v>0</v>
      </c>
      <c r="J40" s="611" t="str">
        <f>'Water '!L15</f>
        <v>0</v>
      </c>
      <c r="K40" s="611" t="str">
        <f>'Water '!L16</f>
        <v>0</v>
      </c>
      <c r="L40" s="611" t="str">
        <f>'Water '!L17</f>
        <v>0</v>
      </c>
      <c r="M40" s="611" t="str">
        <f>'Water '!L18</f>
        <v>0</v>
      </c>
      <c r="N40" s="611" t="str">
        <f>'Water '!L19</f>
        <v>0</v>
      </c>
      <c r="O40" s="611" t="str">
        <f>'Water '!L20</f>
        <v>0</v>
      </c>
      <c r="P40" s="611" t="str">
        <f>'Water '!L21</f>
        <v>0</v>
      </c>
      <c r="Q40" s="611" t="str">
        <f>'Water '!L22</f>
        <v>0</v>
      </c>
      <c r="R40" s="611" t="str">
        <f>'Water '!L23</f>
        <v>0</v>
      </c>
      <c r="S40" s="611" t="str">
        <f>'Water '!L24</f>
        <v>0</v>
      </c>
      <c r="T40" s="611" t="str">
        <f>'Water '!L25</f>
        <v>0</v>
      </c>
      <c r="U40" s="611" t="str">
        <f>'Water '!L26</f>
        <v>0</v>
      </c>
      <c r="V40" s="611" t="str">
        <f>'Water '!L27</f>
        <v>0</v>
      </c>
      <c r="W40" s="611" t="str">
        <f>'Water '!L28</f>
        <v>0</v>
      </c>
      <c r="X40" s="611" t="str">
        <f>'Water '!L29</f>
        <v>0</v>
      </c>
      <c r="Y40" s="611" t="str">
        <f>'Water '!L30</f>
        <v>0</v>
      </c>
      <c r="Z40" s="611" t="str">
        <f>'Water '!L31</f>
        <v>0</v>
      </c>
      <c r="AA40" s="611" t="str">
        <f>'Water '!L32</f>
        <v>0</v>
      </c>
      <c r="AB40" s="611" t="str">
        <f>'Water '!L33</f>
        <v>0</v>
      </c>
      <c r="AC40" s="611" t="str">
        <f>'Water '!L34</f>
        <v>0</v>
      </c>
      <c r="AD40" s="611" t="str">
        <f>'Water '!L35</f>
        <v>0</v>
      </c>
      <c r="AE40" s="611" t="str">
        <f>'Water '!L36</f>
        <v>0</v>
      </c>
      <c r="AF40" s="611" t="str">
        <f>'Water '!L37</f>
        <v>0</v>
      </c>
      <c r="AG40" s="611"/>
      <c r="AH40" s="587">
        <f>SUM($B40:AF40)</f>
        <v>0</v>
      </c>
      <c r="AI40" s="587"/>
      <c r="AJ40" s="587"/>
      <c r="AK40" s="292"/>
      <c r="AL40" s="292"/>
      <c r="AM40" s="292"/>
      <c r="AN40" s="292"/>
      <c r="AO40" s="292"/>
      <c r="AP40" s="292"/>
      <c r="AQ40" s="292"/>
      <c r="AR40" s="292"/>
      <c r="AS40" s="292"/>
      <c r="AT40" s="292"/>
      <c r="AU40" s="292"/>
      <c r="AV40" s="292"/>
      <c r="AW40" s="292"/>
      <c r="AX40" s="292"/>
      <c r="AY40" s="292"/>
      <c r="AZ40" s="292"/>
      <c r="BA40" s="292"/>
      <c r="BB40" s="292"/>
      <c r="BC40" s="292"/>
      <c r="BD40" s="292"/>
      <c r="BE40" s="292"/>
      <c r="BF40" s="292"/>
      <c r="BG40" s="292"/>
      <c r="BH40" s="540"/>
      <c r="BI40" s="540"/>
      <c r="BJ40" s="540"/>
      <c r="BK40" s="540"/>
      <c r="BL40" s="540"/>
      <c r="BM40" s="540"/>
      <c r="BN40" s="540"/>
      <c r="BO40" s="540"/>
      <c r="BP40" s="540"/>
      <c r="BQ40" s="540"/>
      <c r="BR40" s="540"/>
      <c r="BS40" s="540"/>
      <c r="BT40" s="540"/>
      <c r="BU40" s="540"/>
      <c r="BV40" s="540"/>
      <c r="BW40" s="540"/>
      <c r="BX40" s="540"/>
      <c r="BY40" s="540"/>
      <c r="BZ40" s="540"/>
      <c r="CA40" s="540"/>
      <c r="CB40" s="540"/>
      <c r="CC40" s="540"/>
      <c r="CD40" s="540"/>
      <c r="CE40" s="540"/>
      <c r="CF40" s="540"/>
      <c r="CG40" s="540"/>
      <c r="CH40" s="540"/>
      <c r="CI40" s="540"/>
      <c r="CJ40" s="540"/>
      <c r="CK40" s="540"/>
      <c r="CL40" s="540"/>
      <c r="CM40" s="540"/>
      <c r="CN40" s="540"/>
      <c r="CO40" s="540"/>
      <c r="CP40" s="540"/>
      <c r="CQ40" s="540"/>
      <c r="CR40" s="540"/>
      <c r="CS40" s="540"/>
      <c r="CT40" s="540"/>
      <c r="CU40" s="540"/>
      <c r="CV40" s="540"/>
      <c r="CW40" s="540"/>
      <c r="CX40" s="540"/>
      <c r="CY40" s="540"/>
      <c r="CZ40" s="540"/>
      <c r="DA40" s="540"/>
      <c r="DB40" s="540"/>
      <c r="DC40" s="540"/>
      <c r="DD40" s="540"/>
      <c r="DE40" s="540"/>
      <c r="DF40" s="540"/>
      <c r="DG40" s="540"/>
      <c r="DH40" s="540"/>
      <c r="DI40" s="540"/>
      <c r="DJ40" s="540"/>
      <c r="DK40" s="540"/>
      <c r="DL40" s="540"/>
      <c r="DM40" s="540"/>
      <c r="DN40" s="540"/>
      <c r="DO40" s="540"/>
      <c r="DP40" s="540"/>
      <c r="DQ40" s="540"/>
      <c r="DR40" s="540"/>
      <c r="DS40" s="540"/>
      <c r="DT40" s="540"/>
      <c r="DU40" s="540"/>
      <c r="DV40" s="540"/>
      <c r="DW40" s="540"/>
      <c r="DX40" s="540"/>
      <c r="DY40" s="540"/>
      <c r="DZ40" s="540"/>
      <c r="EA40" s="540"/>
      <c r="EB40" s="540"/>
      <c r="EC40" s="540"/>
      <c r="ED40" s="540"/>
      <c r="EE40" s="540"/>
      <c r="EF40" s="540"/>
      <c r="EG40" s="540"/>
      <c r="EH40" s="540"/>
      <c r="EI40" s="540"/>
      <c r="EJ40" s="540"/>
      <c r="EK40" s="540"/>
      <c r="EL40" s="540"/>
      <c r="EM40" s="540"/>
      <c r="EN40" s="540"/>
      <c r="EO40" s="540"/>
      <c r="EP40" s="540"/>
      <c r="EQ40" s="540"/>
      <c r="ER40" s="540"/>
      <c r="ES40" s="540"/>
    </row>
    <row r="41" spans="1:149" s="577" customFormat="1" x14ac:dyDescent="0.35">
      <c r="A41" s="612" t="s">
        <v>100</v>
      </c>
      <c r="B41" s="613">
        <f>+'Water '!$N7</f>
        <v>86</v>
      </c>
      <c r="C41" s="613">
        <f>+'Water '!$N8</f>
        <v>72</v>
      </c>
      <c r="D41" s="613">
        <f>+'Water '!$N9</f>
        <v>22</v>
      </c>
      <c r="E41" s="613">
        <f>+'Water '!$N10</f>
        <v>68</v>
      </c>
      <c r="F41" s="613">
        <f>+'Water '!$N11</f>
        <v>52</v>
      </c>
      <c r="G41" s="613" t="str">
        <f>+'Water '!$N12</f>
        <v>0</v>
      </c>
      <c r="H41" s="613" t="str">
        <f>+'Water '!$N13</f>
        <v>0</v>
      </c>
      <c r="I41" s="613">
        <f>+'Water '!$N14</f>
        <v>12</v>
      </c>
      <c r="J41" s="613">
        <f>+'Water '!$N15</f>
        <v>30</v>
      </c>
      <c r="K41" s="613">
        <f>+'Water '!$N16</f>
        <v>49</v>
      </c>
      <c r="L41" s="613">
        <f>+'Water '!$N17</f>
        <v>30</v>
      </c>
      <c r="M41" s="746">
        <f>+'Water '!$N18</f>
        <v>12</v>
      </c>
      <c r="N41" s="613" t="str">
        <f>+'Water '!$N19</f>
        <v>0</v>
      </c>
      <c r="O41" s="613">
        <f>+'Water '!$N20</f>
        <v>4</v>
      </c>
      <c r="P41" s="613">
        <f>+'Water '!$N21</f>
        <v>46</v>
      </c>
      <c r="Q41" s="613">
        <f>+'Water '!$N22</f>
        <v>37</v>
      </c>
      <c r="R41" s="613">
        <f>+'Water '!$N23</f>
        <v>32</v>
      </c>
      <c r="S41" s="613">
        <f>+'Water '!$N24</f>
        <v>57</v>
      </c>
      <c r="T41" s="613">
        <f>+'Water '!$N25</f>
        <v>39</v>
      </c>
      <c r="U41" s="613" t="str">
        <f>+'Water '!$N26</f>
        <v>0</v>
      </c>
      <c r="V41" s="613" t="str">
        <f>+'Water '!$N27</f>
        <v>0</v>
      </c>
      <c r="W41" s="613">
        <f>+'Water '!$N28</f>
        <v>42</v>
      </c>
      <c r="X41" s="613">
        <f>+'Water '!$N29</f>
        <v>65</v>
      </c>
      <c r="Y41" s="613">
        <f>+'Water '!$N30</f>
        <v>57</v>
      </c>
      <c r="Z41" s="613">
        <f>+'Water '!$N31</f>
        <v>45</v>
      </c>
      <c r="AA41" s="613">
        <f>+'Water '!$N32</f>
        <v>51</v>
      </c>
      <c r="AB41" s="613" t="str">
        <f>+'Water '!$N33</f>
        <v>0</v>
      </c>
      <c r="AC41" s="613" t="str">
        <f>+'Water '!$N34</f>
        <v>0</v>
      </c>
      <c r="AD41" s="613">
        <f>+'Water '!$N35</f>
        <v>48</v>
      </c>
      <c r="AE41" s="613">
        <f>+'Water '!$N36</f>
        <v>46</v>
      </c>
      <c r="AF41" s="613" t="str">
        <f>+'Water '!$N37</f>
        <v>0</v>
      </c>
      <c r="AG41" s="613"/>
      <c r="AH41" s="587">
        <f>SUM($B41:AF41)</f>
        <v>1002</v>
      </c>
      <c r="AI41" s="587"/>
      <c r="AJ41" s="587"/>
      <c r="AK41" s="292"/>
      <c r="AL41" s="292"/>
      <c r="AM41" s="292"/>
      <c r="AN41" s="292"/>
      <c r="AO41" s="292"/>
      <c r="AP41" s="292"/>
      <c r="AQ41" s="292"/>
      <c r="AR41" s="292"/>
      <c r="AS41" s="292"/>
      <c r="AT41" s="292"/>
      <c r="AU41" s="292"/>
      <c r="AV41" s="292"/>
      <c r="AW41" s="292"/>
      <c r="AX41" s="292"/>
      <c r="AY41" s="292"/>
      <c r="AZ41" s="292"/>
      <c r="BA41" s="292"/>
      <c r="BB41" s="292"/>
      <c r="BC41" s="292"/>
      <c r="BD41" s="292"/>
      <c r="BE41" s="292"/>
      <c r="BF41" s="292"/>
      <c r="BG41" s="292"/>
      <c r="BH41" s="540"/>
      <c r="BI41" s="540"/>
      <c r="BJ41" s="540"/>
      <c r="BK41" s="540"/>
      <c r="BL41" s="540"/>
      <c r="BM41" s="540"/>
      <c r="BN41" s="540"/>
      <c r="BO41" s="540"/>
      <c r="BP41" s="540"/>
      <c r="BQ41" s="540"/>
      <c r="BR41" s="540"/>
      <c r="BS41" s="540"/>
      <c r="BT41" s="540"/>
      <c r="BU41" s="540"/>
      <c r="BV41" s="540"/>
      <c r="BW41" s="540"/>
      <c r="BX41" s="540"/>
      <c r="BY41" s="540"/>
      <c r="BZ41" s="540"/>
      <c r="CA41" s="540"/>
      <c r="CB41" s="540"/>
      <c r="CC41" s="540"/>
      <c r="CD41" s="540"/>
      <c r="CE41" s="540"/>
      <c r="CF41" s="540"/>
      <c r="CG41" s="540"/>
      <c r="CH41" s="540"/>
      <c r="CI41" s="540"/>
      <c r="CJ41" s="540"/>
      <c r="CK41" s="540"/>
      <c r="CL41" s="540"/>
      <c r="CM41" s="540"/>
      <c r="CN41" s="540"/>
      <c r="CO41" s="540"/>
      <c r="CP41" s="540"/>
      <c r="CQ41" s="540"/>
      <c r="CR41" s="540"/>
      <c r="CS41" s="540"/>
      <c r="CT41" s="540"/>
      <c r="CU41" s="540"/>
      <c r="CV41" s="540"/>
      <c r="CW41" s="540"/>
      <c r="CX41" s="540"/>
      <c r="CY41" s="540"/>
      <c r="CZ41" s="540"/>
      <c r="DA41" s="540"/>
      <c r="DB41" s="540"/>
      <c r="DC41" s="540"/>
      <c r="DD41" s="540"/>
      <c r="DE41" s="540"/>
      <c r="DF41" s="540"/>
      <c r="DG41" s="540"/>
      <c r="DH41" s="540"/>
      <c r="DI41" s="540"/>
      <c r="DJ41" s="540"/>
      <c r="DK41" s="540"/>
      <c r="DL41" s="540"/>
      <c r="DM41" s="540"/>
      <c r="DN41" s="540"/>
      <c r="DO41" s="540"/>
      <c r="DP41" s="540"/>
      <c r="DQ41" s="540"/>
      <c r="DR41" s="540"/>
      <c r="DS41" s="540"/>
      <c r="DT41" s="540"/>
      <c r="DU41" s="540"/>
      <c r="DV41" s="540"/>
      <c r="DW41" s="540"/>
      <c r="DX41" s="540"/>
      <c r="DY41" s="540"/>
      <c r="DZ41" s="540"/>
      <c r="EA41" s="540"/>
      <c r="EB41" s="540"/>
      <c r="EC41" s="540"/>
      <c r="ED41" s="540"/>
      <c r="EE41" s="540"/>
      <c r="EF41" s="540"/>
      <c r="EG41" s="540"/>
      <c r="EH41" s="540"/>
      <c r="EI41" s="540"/>
      <c r="EJ41" s="540"/>
      <c r="EK41" s="540"/>
      <c r="EL41" s="540"/>
      <c r="EM41" s="540"/>
      <c r="EN41" s="540"/>
      <c r="EO41" s="540"/>
      <c r="EP41" s="540"/>
      <c r="EQ41" s="540"/>
      <c r="ER41" s="540"/>
      <c r="ES41" s="540"/>
    </row>
    <row r="42" spans="1:149" s="577" customFormat="1" x14ac:dyDescent="0.35">
      <c r="A42" s="595" t="s">
        <v>129</v>
      </c>
      <c r="B42" s="581">
        <f>+'Water '!$O7</f>
        <v>78</v>
      </c>
      <c r="C42" s="581">
        <f>+'Water '!$O8</f>
        <v>70</v>
      </c>
      <c r="D42" s="581">
        <f>+'Water '!$O9</f>
        <v>68</v>
      </c>
      <c r="E42" s="581">
        <f>+'Water '!$O10</f>
        <v>75</v>
      </c>
      <c r="F42" s="581">
        <f>+'Water '!$O11</f>
        <v>59</v>
      </c>
      <c r="G42" s="581">
        <f>+'Water '!$O12</f>
        <v>40</v>
      </c>
      <c r="H42" s="581" t="str">
        <f>+'Water '!$O13</f>
        <v>0</v>
      </c>
      <c r="I42" s="581">
        <f>+'Water '!$O14</f>
        <v>64</v>
      </c>
      <c r="J42" s="581">
        <f>+'Water '!$O15</f>
        <v>75</v>
      </c>
      <c r="K42" s="581">
        <f>+'Water '!$O16</f>
        <v>70</v>
      </c>
      <c r="L42" s="581">
        <f>+'Water '!$O17</f>
        <v>21</v>
      </c>
      <c r="M42" s="581">
        <f>+'Water '!$O18</f>
        <v>23</v>
      </c>
      <c r="N42" s="581">
        <f>+'Water '!$O19</f>
        <v>4</v>
      </c>
      <c r="O42" s="581">
        <f>+'Water '!$O20</f>
        <v>29</v>
      </c>
      <c r="P42" s="581">
        <f>+'Water '!$O21</f>
        <v>100</v>
      </c>
      <c r="Q42" s="581">
        <f>+'Water '!$O22</f>
        <v>84</v>
      </c>
      <c r="R42" s="581">
        <f>+'Water '!$O23</f>
        <v>99</v>
      </c>
      <c r="S42" s="581">
        <f>+'Water '!$O24</f>
        <v>128</v>
      </c>
      <c r="T42" s="581">
        <f>+'Water '!$O25</f>
        <v>89</v>
      </c>
      <c r="U42" s="581">
        <f>+'Water '!$O26</f>
        <v>6</v>
      </c>
      <c r="V42" s="581">
        <f>+'Water '!$O27</f>
        <v>25</v>
      </c>
      <c r="W42" s="581">
        <f>+'Water '!$O28</f>
        <v>87</v>
      </c>
      <c r="X42" s="581">
        <f>+'Water '!$O29</f>
        <v>95</v>
      </c>
      <c r="Y42" s="581">
        <f>+'Water '!$O30</f>
        <v>1</v>
      </c>
      <c r="Z42" s="581">
        <f>+'Water '!$O31</f>
        <v>77</v>
      </c>
      <c r="AA42" s="581">
        <f>+'Water '!$O32</f>
        <v>99</v>
      </c>
      <c r="AB42" s="581">
        <f>+'Water '!$O33</f>
        <v>30</v>
      </c>
      <c r="AC42" s="581">
        <f>+'Water '!$O34</f>
        <v>1</v>
      </c>
      <c r="AD42" s="581">
        <f>+'Water '!$O35</f>
        <v>70</v>
      </c>
      <c r="AE42" s="581">
        <f>+'Water '!$O36</f>
        <v>72</v>
      </c>
      <c r="AF42" s="581" t="str">
        <f>+'Water '!$O37</f>
        <v>0</v>
      </c>
      <c r="AG42" s="581"/>
      <c r="AH42" s="614">
        <f>SUM($B42:AF42)</f>
        <v>1739</v>
      </c>
      <c r="AI42" s="581"/>
      <c r="AJ42" s="581"/>
      <c r="AK42" s="292"/>
      <c r="AL42" s="292"/>
      <c r="AM42" s="292"/>
      <c r="AN42" s="292"/>
      <c r="AO42" s="292"/>
      <c r="AP42" s="292"/>
      <c r="AQ42" s="292"/>
      <c r="AR42" s="292"/>
      <c r="AS42" s="292"/>
      <c r="AT42" s="292"/>
      <c r="AU42" s="292"/>
      <c r="AV42" s="292"/>
      <c r="AW42" s="292"/>
      <c r="AX42" s="292"/>
      <c r="AY42" s="292"/>
      <c r="AZ42" s="292"/>
      <c r="BA42" s="292"/>
      <c r="BB42" s="292"/>
      <c r="BC42" s="292"/>
      <c r="BD42" s="292"/>
      <c r="BE42" s="292"/>
      <c r="BF42" s="292"/>
      <c r="BG42" s="292"/>
      <c r="BH42" s="540"/>
      <c r="BI42" s="540"/>
      <c r="BJ42" s="540"/>
      <c r="BK42" s="540"/>
      <c r="BL42" s="540"/>
      <c r="BM42" s="540"/>
      <c r="BN42" s="540"/>
      <c r="BO42" s="540"/>
      <c r="BP42" s="540"/>
      <c r="BQ42" s="540"/>
      <c r="BR42" s="540"/>
      <c r="BS42" s="540"/>
      <c r="BT42" s="540"/>
      <c r="BU42" s="540"/>
      <c r="BV42" s="540"/>
      <c r="BW42" s="540"/>
      <c r="BX42" s="540"/>
      <c r="BY42" s="540"/>
      <c r="BZ42" s="540"/>
      <c r="CA42" s="540"/>
      <c r="CB42" s="540"/>
      <c r="CC42" s="540"/>
      <c r="CD42" s="540"/>
      <c r="CE42" s="540"/>
      <c r="CF42" s="540"/>
      <c r="CG42" s="540"/>
      <c r="CH42" s="540"/>
      <c r="CI42" s="540"/>
      <c r="CJ42" s="540"/>
      <c r="CK42" s="540"/>
      <c r="CL42" s="540"/>
      <c r="CM42" s="540"/>
      <c r="CN42" s="540"/>
      <c r="CO42" s="540"/>
      <c r="CP42" s="540"/>
      <c r="CQ42" s="540"/>
      <c r="CR42" s="540"/>
      <c r="CS42" s="540"/>
      <c r="CT42" s="540"/>
      <c r="CU42" s="540"/>
      <c r="CV42" s="540"/>
      <c r="CW42" s="540"/>
      <c r="CX42" s="540"/>
      <c r="CY42" s="540"/>
      <c r="CZ42" s="540"/>
      <c r="DA42" s="540"/>
      <c r="DB42" s="540"/>
      <c r="DC42" s="540"/>
      <c r="DD42" s="540"/>
      <c r="DE42" s="540"/>
      <c r="DF42" s="540"/>
      <c r="DG42" s="540"/>
      <c r="DH42" s="540"/>
      <c r="DI42" s="540"/>
      <c r="DJ42" s="540"/>
      <c r="DK42" s="540"/>
      <c r="DL42" s="540"/>
      <c r="DM42" s="540"/>
      <c r="DN42" s="540"/>
      <c r="DO42" s="540"/>
      <c r="DP42" s="540"/>
      <c r="DQ42" s="540"/>
      <c r="DR42" s="540"/>
      <c r="DS42" s="540"/>
      <c r="DT42" s="540"/>
      <c r="DU42" s="540"/>
      <c r="DV42" s="540"/>
      <c r="DW42" s="540"/>
      <c r="DX42" s="540"/>
      <c r="DY42" s="540"/>
      <c r="DZ42" s="540"/>
      <c r="EA42" s="540"/>
      <c r="EB42" s="540"/>
      <c r="EC42" s="540"/>
      <c r="ED42" s="540"/>
      <c r="EE42" s="540"/>
      <c r="EF42" s="540"/>
      <c r="EG42" s="540"/>
      <c r="EH42" s="540"/>
      <c r="EI42" s="540"/>
      <c r="EJ42" s="540"/>
      <c r="EK42" s="540"/>
      <c r="EL42" s="540"/>
      <c r="EM42" s="540"/>
      <c r="EN42" s="540"/>
      <c r="EO42" s="540"/>
      <c r="EP42" s="540"/>
      <c r="EQ42" s="540"/>
      <c r="ER42" s="540"/>
      <c r="ES42" s="540"/>
    </row>
    <row r="43" spans="1:149" s="577" customFormat="1" x14ac:dyDescent="0.35">
      <c r="A43" s="612" t="s">
        <v>170</v>
      </c>
      <c r="B43" s="615" cm="1">
        <f t="array" ref="B43:AF43">TRANSPOSE('Water '!P7:P37)</f>
        <v>26</v>
      </c>
      <c r="C43" s="615">
        <v>18</v>
      </c>
      <c r="D43" s="615">
        <v>20</v>
      </c>
      <c r="E43" s="615">
        <v>19</v>
      </c>
      <c r="F43" s="616">
        <v>15</v>
      </c>
      <c r="G43" s="616" t="str">
        <v>0</v>
      </c>
      <c r="H43" s="616" t="str">
        <v>0</v>
      </c>
      <c r="I43" s="616">
        <v>15</v>
      </c>
      <c r="J43" s="616">
        <v>19</v>
      </c>
      <c r="K43" s="616">
        <v>18</v>
      </c>
      <c r="L43" s="616">
        <v>5</v>
      </c>
      <c r="M43" s="616">
        <v>4</v>
      </c>
      <c r="N43" s="616" t="str">
        <v>0</v>
      </c>
      <c r="O43" s="616">
        <v>17</v>
      </c>
      <c r="P43" s="616">
        <v>26</v>
      </c>
      <c r="Q43" s="616">
        <v>20</v>
      </c>
      <c r="R43" s="616">
        <v>29</v>
      </c>
      <c r="S43" s="616">
        <v>32</v>
      </c>
      <c r="T43" s="616">
        <v>24</v>
      </c>
      <c r="U43" s="616" t="str">
        <v>0</v>
      </c>
      <c r="V43" s="616">
        <v>14</v>
      </c>
      <c r="W43" s="616" t="str">
        <v>0</v>
      </c>
      <c r="X43" s="616">
        <v>48</v>
      </c>
      <c r="Y43" s="616">
        <v>2</v>
      </c>
      <c r="Z43" s="616">
        <v>18</v>
      </c>
      <c r="AA43" s="616">
        <v>26</v>
      </c>
      <c r="AB43" s="616">
        <v>1</v>
      </c>
      <c r="AC43" s="616" t="str">
        <v>0</v>
      </c>
      <c r="AD43" s="616">
        <v>21</v>
      </c>
      <c r="AE43" s="616">
        <v>28</v>
      </c>
      <c r="AF43" s="616" t="str">
        <v>0</v>
      </c>
      <c r="AG43" s="616"/>
      <c r="AH43" s="617">
        <f>SUM($B43:AF43)</f>
        <v>465</v>
      </c>
      <c r="AI43" s="618"/>
      <c r="AJ43" s="547"/>
      <c r="AK43" s="292"/>
      <c r="AL43" s="558"/>
      <c r="AM43" s="292"/>
      <c r="AN43" s="292"/>
      <c r="AO43" s="292"/>
      <c r="AP43" s="292"/>
      <c r="AQ43" s="292"/>
      <c r="AR43" s="292"/>
      <c r="AS43" s="292"/>
      <c r="AT43" s="292"/>
      <c r="AU43" s="292"/>
      <c r="AV43" s="292"/>
      <c r="AW43" s="292"/>
      <c r="AX43" s="292"/>
      <c r="AY43" s="292"/>
      <c r="AZ43" s="292"/>
      <c r="BA43" s="292"/>
      <c r="BB43" s="292"/>
      <c r="BC43" s="292"/>
      <c r="BD43" s="292"/>
      <c r="BE43" s="292"/>
      <c r="BF43" s="292"/>
      <c r="BG43" s="292"/>
      <c r="BH43" s="540"/>
      <c r="BI43" s="540"/>
      <c r="BJ43" s="540"/>
      <c r="BK43" s="540"/>
      <c r="BL43" s="540"/>
      <c r="BM43" s="540"/>
      <c r="BN43" s="540"/>
      <c r="BO43" s="540"/>
      <c r="BP43" s="540"/>
      <c r="BQ43" s="540"/>
      <c r="BR43" s="540"/>
      <c r="BS43" s="540"/>
      <c r="BT43" s="540"/>
      <c r="BU43" s="540"/>
      <c r="BV43" s="540"/>
      <c r="BW43" s="540"/>
      <c r="BX43" s="540"/>
      <c r="BY43" s="540"/>
      <c r="BZ43" s="540"/>
      <c r="CA43" s="540"/>
      <c r="CB43" s="540"/>
      <c r="CC43" s="540"/>
      <c r="CD43" s="540"/>
      <c r="CE43" s="540"/>
      <c r="CF43" s="540"/>
      <c r="CG43" s="540"/>
      <c r="CH43" s="540"/>
      <c r="CI43" s="540"/>
      <c r="CJ43" s="540"/>
      <c r="CK43" s="540"/>
      <c r="CL43" s="540"/>
      <c r="CM43" s="540"/>
      <c r="CN43" s="540"/>
      <c r="CO43" s="540"/>
      <c r="CP43" s="540"/>
      <c r="CQ43" s="540"/>
      <c r="CR43" s="540"/>
      <c r="CS43" s="540"/>
      <c r="CT43" s="540"/>
      <c r="CU43" s="540"/>
      <c r="CV43" s="540"/>
      <c r="CW43" s="540"/>
      <c r="CX43" s="540"/>
      <c r="CY43" s="540"/>
      <c r="CZ43" s="540"/>
      <c r="DA43" s="540"/>
      <c r="DB43" s="540"/>
      <c r="DC43" s="540"/>
      <c r="DD43" s="540"/>
      <c r="DE43" s="540"/>
      <c r="DF43" s="540"/>
      <c r="DG43" s="540"/>
      <c r="DH43" s="540"/>
      <c r="DI43" s="540"/>
      <c r="DJ43" s="540"/>
      <c r="DK43" s="540"/>
      <c r="DL43" s="540"/>
      <c r="DM43" s="540"/>
      <c r="DN43" s="540"/>
      <c r="DO43" s="540"/>
      <c r="DP43" s="540"/>
      <c r="DQ43" s="540"/>
      <c r="DR43" s="540"/>
      <c r="DS43" s="540"/>
      <c r="DT43" s="540"/>
      <c r="DU43" s="540"/>
      <c r="DV43" s="540"/>
      <c r="DW43" s="540"/>
      <c r="DX43" s="540"/>
      <c r="DY43" s="540"/>
      <c r="DZ43" s="540"/>
      <c r="EA43" s="540"/>
      <c r="EB43" s="540"/>
      <c r="EC43" s="540"/>
      <c r="ED43" s="540"/>
      <c r="EE43" s="540"/>
      <c r="EF43" s="540"/>
      <c r="EG43" s="540"/>
      <c r="EH43" s="540"/>
      <c r="EI43" s="540"/>
      <c r="EJ43" s="540"/>
      <c r="EK43" s="540"/>
      <c r="EL43" s="540"/>
      <c r="EM43" s="540"/>
      <c r="EN43" s="540"/>
      <c r="EO43" s="540"/>
      <c r="EP43" s="540"/>
      <c r="EQ43" s="540"/>
      <c r="ER43" s="540"/>
      <c r="ES43" s="540"/>
    </row>
    <row r="44" spans="1:149" s="577" customFormat="1" x14ac:dyDescent="0.35">
      <c r="A44" s="580" t="s">
        <v>128</v>
      </c>
      <c r="B44" s="614">
        <f>+'Water '!$M7</f>
        <v>6</v>
      </c>
      <c r="C44" s="581">
        <f>+'Water '!$M8</f>
        <v>9</v>
      </c>
      <c r="D44" s="581">
        <f>+'Water '!$M9</f>
        <v>8</v>
      </c>
      <c r="E44" s="581">
        <f>+'Water '!$M10</f>
        <v>8</v>
      </c>
      <c r="F44" s="581">
        <f>+'Water '!$M11</f>
        <v>5</v>
      </c>
      <c r="G44" s="581" t="str">
        <f>+'Water '!$M12</f>
        <v>0</v>
      </c>
      <c r="H44" s="747" t="str">
        <f>+'Water '!$M13</f>
        <v>0</v>
      </c>
      <c r="I44" s="581">
        <f>+'Water '!$M14</f>
        <v>15</v>
      </c>
      <c r="J44" s="581">
        <f>+'Water '!$M15</f>
        <v>10</v>
      </c>
      <c r="K44" s="581">
        <f>+'Water '!$M16</f>
        <v>9</v>
      </c>
      <c r="L44" s="581">
        <f>+'Water '!$M17</f>
        <v>6</v>
      </c>
      <c r="M44" s="581">
        <f>+'Water '!$M18</f>
        <v>4</v>
      </c>
      <c r="N44" s="581" t="str">
        <f>+'Water '!$M19</f>
        <v>0</v>
      </c>
      <c r="O44" s="746" t="str">
        <f>+'Water '!$M20</f>
        <v>0</v>
      </c>
      <c r="P44" s="581">
        <f>+'Water '!$M21</f>
        <v>15</v>
      </c>
      <c r="Q44" s="581">
        <f>+'Water '!$M22</f>
        <v>11</v>
      </c>
      <c r="R44" s="581">
        <f>+'Water '!$M23</f>
        <v>14</v>
      </c>
      <c r="S44" s="581">
        <f>+'Water '!$M24</f>
        <v>13</v>
      </c>
      <c r="T44" s="581">
        <f>+'Water '!$M25</f>
        <v>9</v>
      </c>
      <c r="U44" s="581">
        <f>+'Water '!$M26</f>
        <v>2</v>
      </c>
      <c r="V44" s="581">
        <f>+'Water '!$M27</f>
        <v>1</v>
      </c>
      <c r="W44" s="581">
        <f>+'Water '!$M28</f>
        <v>10</v>
      </c>
      <c r="X44" s="581">
        <f>+'Water '!$M29</f>
        <v>11</v>
      </c>
      <c r="Y44" s="581" t="str">
        <f>+'Water '!$M30</f>
        <v>0</v>
      </c>
      <c r="Z44" s="581">
        <f>+'Water '!$M31</f>
        <v>6</v>
      </c>
      <c r="AA44" s="581">
        <f>+'Water '!$M32</f>
        <v>6</v>
      </c>
      <c r="AB44" s="581">
        <f>+'Water '!$M33</f>
        <v>5</v>
      </c>
      <c r="AC44" s="581" t="str">
        <f>+'Water '!$M34</f>
        <v>0</v>
      </c>
      <c r="AD44" s="581">
        <f>+'Water '!$M35</f>
        <v>24</v>
      </c>
      <c r="AE44" s="581">
        <f>+'Water '!$M36</f>
        <v>7</v>
      </c>
      <c r="AF44" s="581" t="str">
        <f>+'Water '!$M37</f>
        <v>0</v>
      </c>
      <c r="AG44" s="581"/>
      <c r="AH44" s="557">
        <f>SUM($B44:AF44)</f>
        <v>214</v>
      </c>
      <c r="AI44" s="557"/>
      <c r="AJ44" s="292"/>
      <c r="AK44" s="292"/>
      <c r="AL44" s="292"/>
      <c r="AM44" s="292"/>
      <c r="AN44" s="292"/>
      <c r="AO44" s="292"/>
      <c r="AP44" s="292"/>
      <c r="AQ44" s="292"/>
      <c r="AR44" s="292"/>
      <c r="AS44" s="292"/>
      <c r="AT44" s="292"/>
      <c r="AU44" s="292"/>
      <c r="AV44" s="292"/>
      <c r="AW44" s="292"/>
      <c r="AX44" s="292"/>
      <c r="AY44" s="292"/>
      <c r="AZ44" s="292"/>
      <c r="BA44" s="292"/>
      <c r="BB44" s="292"/>
      <c r="BC44" s="292"/>
      <c r="BD44" s="292"/>
      <c r="BE44" s="292"/>
      <c r="BF44" s="292"/>
      <c r="BG44" s="292"/>
      <c r="BH44" s="540"/>
      <c r="BI44" s="540"/>
      <c r="BJ44" s="540"/>
      <c r="BK44" s="540"/>
      <c r="BL44" s="540"/>
      <c r="BM44" s="540"/>
      <c r="BN44" s="540"/>
      <c r="BO44" s="540"/>
      <c r="BP44" s="540"/>
      <c r="BQ44" s="540"/>
      <c r="BR44" s="540"/>
      <c r="BS44" s="540"/>
      <c r="BT44" s="540"/>
      <c r="BU44" s="540"/>
      <c r="BV44" s="540"/>
      <c r="BW44" s="540"/>
      <c r="BX44" s="540"/>
      <c r="BY44" s="540"/>
      <c r="BZ44" s="540"/>
      <c r="CA44" s="540"/>
      <c r="CB44" s="540"/>
      <c r="CC44" s="540"/>
      <c r="CD44" s="540"/>
      <c r="CE44" s="540"/>
      <c r="CF44" s="540"/>
      <c r="CG44" s="540"/>
      <c r="CH44" s="540"/>
      <c r="CI44" s="540"/>
      <c r="CJ44" s="540"/>
      <c r="CK44" s="540"/>
      <c r="CL44" s="540"/>
      <c r="CM44" s="540"/>
      <c r="CN44" s="540"/>
      <c r="CO44" s="540"/>
      <c r="CP44" s="540"/>
      <c r="CQ44" s="540"/>
      <c r="CR44" s="540"/>
      <c r="CS44" s="540"/>
      <c r="CT44" s="540"/>
      <c r="CU44" s="540"/>
      <c r="CV44" s="540"/>
      <c r="CW44" s="540"/>
      <c r="CX44" s="540"/>
      <c r="CY44" s="540"/>
      <c r="CZ44" s="540"/>
      <c r="DA44" s="540"/>
      <c r="DB44" s="540"/>
      <c r="DC44" s="540"/>
      <c r="DD44" s="540"/>
      <c r="DE44" s="540"/>
      <c r="DF44" s="540"/>
      <c r="DG44" s="540"/>
      <c r="DH44" s="540"/>
      <c r="DI44" s="540"/>
      <c r="DJ44" s="540"/>
      <c r="DK44" s="540"/>
      <c r="DL44" s="540"/>
      <c r="DM44" s="540"/>
      <c r="DN44" s="540"/>
      <c r="DO44" s="540"/>
      <c r="DP44" s="540"/>
      <c r="DQ44" s="540"/>
      <c r="DR44" s="540"/>
      <c r="DS44" s="540"/>
      <c r="DT44" s="540"/>
      <c r="DU44" s="540"/>
      <c r="DV44" s="540"/>
      <c r="DW44" s="540"/>
      <c r="DX44" s="540"/>
      <c r="DY44" s="540"/>
      <c r="DZ44" s="540"/>
      <c r="EA44" s="540"/>
      <c r="EB44" s="540"/>
      <c r="EC44" s="540"/>
      <c r="ED44" s="540"/>
      <c r="EE44" s="540"/>
      <c r="EF44" s="540"/>
      <c r="EG44" s="540"/>
      <c r="EH44" s="540"/>
      <c r="EI44" s="540"/>
      <c r="EJ44" s="540"/>
      <c r="EK44" s="540"/>
      <c r="EL44" s="540"/>
      <c r="EM44" s="540"/>
      <c r="EN44" s="540"/>
      <c r="EO44" s="540"/>
      <c r="EP44" s="540"/>
      <c r="EQ44" s="540"/>
      <c r="ER44" s="540"/>
      <c r="ES44" s="540"/>
    </row>
    <row r="45" spans="1:149" s="577" customFormat="1" ht="35.25" customHeight="1" x14ac:dyDescent="0.35">
      <c r="A45" s="612" t="s">
        <v>130</v>
      </c>
      <c r="B45" s="613">
        <f>+'Water '!$Q7</f>
        <v>11</v>
      </c>
      <c r="C45" s="613">
        <f>+'Water '!$Q8</f>
        <v>23</v>
      </c>
      <c r="D45" s="613">
        <f>+'Water '!$Q9</f>
        <v>15</v>
      </c>
      <c r="E45" s="613">
        <f>+'Water '!$Q10</f>
        <v>19</v>
      </c>
      <c r="F45" s="613">
        <f>+'Water '!$Q11</f>
        <v>15</v>
      </c>
      <c r="G45" s="613">
        <f>+'Water '!$Q12</f>
        <v>1</v>
      </c>
      <c r="H45" s="613">
        <f>+'Water '!$Q13</f>
        <v>2</v>
      </c>
      <c r="I45" s="613">
        <f>+'Water '!$Q14</f>
        <v>18</v>
      </c>
      <c r="J45" s="613">
        <f>+'Water '!$Q15</f>
        <v>14</v>
      </c>
      <c r="K45" s="613">
        <f>+'Water '!$Q16</f>
        <v>13</v>
      </c>
      <c r="L45" s="613">
        <f>+'Water '!$Q17</f>
        <v>10</v>
      </c>
      <c r="M45" s="613">
        <f>+'Water '!$Q18</f>
        <v>7</v>
      </c>
      <c r="N45" s="613" t="str">
        <f>+'Water '!$Q19</f>
        <v>0</v>
      </c>
      <c r="O45" s="613">
        <f>'Water '!$Q20</f>
        <v>2</v>
      </c>
      <c r="P45" s="613">
        <f>'Water '!$Q21</f>
        <v>21</v>
      </c>
      <c r="Q45" s="613">
        <f>+'Water '!$Q22</f>
        <v>12</v>
      </c>
      <c r="R45" s="613">
        <f>'Water '!$Q23</f>
        <v>17</v>
      </c>
      <c r="S45" s="613">
        <f>+'Water '!$Q24</f>
        <v>22</v>
      </c>
      <c r="T45" s="613">
        <f>+'Water '!$Q25</f>
        <v>15</v>
      </c>
      <c r="U45" s="613">
        <f>+'Water '!$Q26</f>
        <v>3</v>
      </c>
      <c r="V45" s="613">
        <f>+'Water '!$Q27</f>
        <v>7</v>
      </c>
      <c r="W45" s="613">
        <f>+'Water '!$Q28</f>
        <v>17</v>
      </c>
      <c r="X45" s="613">
        <f>+'Water '!$Q29</f>
        <v>13</v>
      </c>
      <c r="Y45" s="613">
        <f>+'Water '!$Q30</f>
        <v>5</v>
      </c>
      <c r="Z45" s="613">
        <f>+'Water '!$Q31</f>
        <v>13</v>
      </c>
      <c r="AA45" s="613">
        <f>+'Water '!$Q32</f>
        <v>15</v>
      </c>
      <c r="AB45" s="613">
        <f>+'Water '!$Q33</f>
        <v>1</v>
      </c>
      <c r="AC45" s="613">
        <f>+'Water '!$Q34</f>
        <v>2</v>
      </c>
      <c r="AD45" s="613">
        <f>+'Water '!$Q35</f>
        <v>15</v>
      </c>
      <c r="AE45" s="613">
        <f>+'Water '!$Q36</f>
        <v>14</v>
      </c>
      <c r="AF45" s="613" t="str">
        <f>+'Water '!$Q37</f>
        <v>0</v>
      </c>
      <c r="AG45" s="613"/>
      <c r="AH45" s="587">
        <f>SUM($B45:AF45)</f>
        <v>342</v>
      </c>
      <c r="AI45" s="587"/>
      <c r="AJ45" s="587"/>
      <c r="AK45" s="292"/>
      <c r="AL45" s="292"/>
      <c r="AM45" s="292"/>
      <c r="AN45" s="292"/>
      <c r="AO45" s="292"/>
      <c r="AP45" s="292"/>
      <c r="AQ45" s="292"/>
      <c r="AR45" s="292"/>
      <c r="AS45" s="292"/>
      <c r="AT45" s="292"/>
      <c r="AU45" s="292"/>
      <c r="AV45" s="292"/>
      <c r="AW45" s="292"/>
      <c r="AX45" s="292"/>
      <c r="AY45" s="292"/>
      <c r="AZ45" s="292"/>
      <c r="BA45" s="292"/>
      <c r="BB45" s="292"/>
      <c r="BC45" s="292"/>
      <c r="BD45" s="292"/>
      <c r="BE45" s="292"/>
      <c r="BF45" s="292"/>
      <c r="BG45" s="292"/>
      <c r="BH45" s="540"/>
      <c r="BI45" s="540"/>
      <c r="BJ45" s="540"/>
      <c r="BK45" s="540"/>
      <c r="BL45" s="540"/>
      <c r="BM45" s="540"/>
      <c r="BN45" s="540"/>
      <c r="BO45" s="540"/>
      <c r="BP45" s="540"/>
      <c r="BQ45" s="540"/>
      <c r="BR45" s="540"/>
      <c r="BS45" s="540"/>
      <c r="BT45" s="540"/>
      <c r="BU45" s="540"/>
      <c r="BV45" s="540"/>
      <c r="BW45" s="540"/>
      <c r="BX45" s="540"/>
      <c r="BY45" s="540"/>
      <c r="BZ45" s="540"/>
      <c r="CA45" s="540"/>
      <c r="CB45" s="540"/>
      <c r="CC45" s="540"/>
      <c r="CD45" s="540"/>
      <c r="CE45" s="540"/>
      <c r="CF45" s="540"/>
      <c r="CG45" s="540"/>
      <c r="CH45" s="540"/>
      <c r="CI45" s="540"/>
      <c r="CJ45" s="540"/>
      <c r="CK45" s="540"/>
      <c r="CL45" s="540"/>
      <c r="CM45" s="540"/>
      <c r="CN45" s="540"/>
      <c r="CO45" s="540"/>
      <c r="CP45" s="540"/>
      <c r="CQ45" s="540"/>
      <c r="CR45" s="540"/>
      <c r="CS45" s="540"/>
      <c r="CT45" s="540"/>
      <c r="CU45" s="540"/>
      <c r="CV45" s="540"/>
      <c r="CW45" s="540"/>
      <c r="CX45" s="540"/>
      <c r="CY45" s="540"/>
      <c r="CZ45" s="540"/>
      <c r="DA45" s="540"/>
      <c r="DB45" s="540"/>
      <c r="DC45" s="540"/>
      <c r="DD45" s="540"/>
      <c r="DE45" s="540"/>
      <c r="DF45" s="540"/>
      <c r="DG45" s="540"/>
      <c r="DH45" s="540"/>
      <c r="DI45" s="540"/>
      <c r="DJ45" s="540"/>
      <c r="DK45" s="540"/>
      <c r="DL45" s="540"/>
      <c r="DM45" s="540"/>
      <c r="DN45" s="540"/>
      <c r="DO45" s="540"/>
      <c r="DP45" s="540"/>
      <c r="DQ45" s="540"/>
      <c r="DR45" s="540"/>
      <c r="DS45" s="540"/>
      <c r="DT45" s="540"/>
      <c r="DU45" s="540"/>
      <c r="DV45" s="540"/>
      <c r="DW45" s="540"/>
      <c r="DX45" s="540"/>
      <c r="DY45" s="540"/>
      <c r="DZ45" s="540"/>
      <c r="EA45" s="540"/>
      <c r="EB45" s="540"/>
      <c r="EC45" s="540"/>
      <c r="ED45" s="540"/>
      <c r="EE45" s="540"/>
      <c r="EF45" s="540"/>
      <c r="EG45" s="540"/>
      <c r="EH45" s="540"/>
      <c r="EI45" s="540"/>
      <c r="EJ45" s="540"/>
      <c r="EK45" s="540"/>
      <c r="EL45" s="540"/>
      <c r="EM45" s="540"/>
      <c r="EN45" s="540"/>
      <c r="EO45" s="540"/>
      <c r="EP45" s="540"/>
      <c r="EQ45" s="540"/>
      <c r="ER45" s="540"/>
      <c r="ES45" s="540"/>
    </row>
    <row r="46" spans="1:149" s="577" customFormat="1" x14ac:dyDescent="0.35">
      <c r="A46" s="595" t="s">
        <v>202</v>
      </c>
      <c r="B46" s="558" t="str">
        <f>'Water '!Y7</f>
        <v>0</v>
      </c>
      <c r="C46" s="558" t="str">
        <f>'Water '!Y8</f>
        <v>0</v>
      </c>
      <c r="D46" s="558" t="str">
        <f>'Water '!Y9</f>
        <v>0</v>
      </c>
      <c r="E46" s="558" t="str">
        <f>'Water '!Y10</f>
        <v>0</v>
      </c>
      <c r="F46" s="558" t="str">
        <f>'Water '!Y11</f>
        <v>0</v>
      </c>
      <c r="G46" s="558" t="str">
        <f>'Water '!Y12</f>
        <v>0</v>
      </c>
      <c r="H46" s="558" t="str">
        <f>'Water '!Y13</f>
        <v>0</v>
      </c>
      <c r="I46" s="558" t="str">
        <f>'Water '!Y14</f>
        <v>0</v>
      </c>
      <c r="J46" s="558" t="str">
        <f>'Water '!Y15</f>
        <v>0</v>
      </c>
      <c r="K46" s="558" t="str">
        <f>'Water '!Y16</f>
        <v>0</v>
      </c>
      <c r="L46" s="558" t="str">
        <f>'Water '!Y17</f>
        <v>0</v>
      </c>
      <c r="M46" s="558" t="str">
        <f>'Water '!Y18</f>
        <v>0</v>
      </c>
      <c r="N46" s="558" t="str">
        <f>'Water '!Y19</f>
        <v>0</v>
      </c>
      <c r="O46" s="558" t="str">
        <f>'Water '!Y20</f>
        <v>0</v>
      </c>
      <c r="P46" s="558" t="str">
        <f>'Water '!Y21</f>
        <v>0</v>
      </c>
      <c r="Q46" s="558" t="str">
        <f>'Water '!Y22</f>
        <v>0</v>
      </c>
      <c r="R46" s="558" t="str">
        <f>'Water '!Y23</f>
        <v>0</v>
      </c>
      <c r="S46" s="558" t="str">
        <f>'Water '!Y24</f>
        <v>0</v>
      </c>
      <c r="T46" s="558" t="str">
        <f>'Water '!Y25</f>
        <v>0</v>
      </c>
      <c r="U46" s="558" t="str">
        <f>'Water '!Y26</f>
        <v>0</v>
      </c>
      <c r="V46" s="558" t="str">
        <f>'Water '!Y27</f>
        <v>0</v>
      </c>
      <c r="W46" s="558" t="str">
        <f>'Water '!Y28</f>
        <v>0</v>
      </c>
      <c r="X46" s="558" t="str">
        <f>'Water '!Y29</f>
        <v>0</v>
      </c>
      <c r="Y46" s="558" t="str">
        <f>'Water '!Y30</f>
        <v>0</v>
      </c>
      <c r="Z46" s="558" t="str">
        <f>'Water '!Y31</f>
        <v>0</v>
      </c>
      <c r="AA46" s="558" t="str">
        <f>'Water '!Y32</f>
        <v>0</v>
      </c>
      <c r="AB46" s="558" t="str">
        <f>'Water '!Y33</f>
        <v>0</v>
      </c>
      <c r="AC46" s="558" t="str">
        <f>'Water '!Y34</f>
        <v>0</v>
      </c>
      <c r="AD46" s="558" t="str">
        <f>'Water '!Y35</f>
        <v>0</v>
      </c>
      <c r="AE46" s="558" t="str">
        <f>'Water '!Y36</f>
        <v>0</v>
      </c>
      <c r="AF46" s="558" t="str">
        <f>'Water '!Y37</f>
        <v>0</v>
      </c>
      <c r="AG46" s="558"/>
      <c r="AH46" s="557">
        <f>SUM($B46:AF46)</f>
        <v>0</v>
      </c>
      <c r="AI46" s="557"/>
      <c r="AJ46" s="292"/>
      <c r="AK46" s="292"/>
      <c r="AL46" s="292"/>
      <c r="AM46" s="292"/>
      <c r="AN46" s="292"/>
      <c r="AO46" s="292"/>
      <c r="AP46" s="292"/>
      <c r="AQ46" s="292"/>
      <c r="AR46" s="292"/>
      <c r="AS46" s="292"/>
      <c r="AT46" s="292"/>
      <c r="AU46" s="292"/>
      <c r="AV46" s="292"/>
      <c r="AW46" s="292"/>
      <c r="AX46" s="292"/>
      <c r="AY46" s="292"/>
      <c r="AZ46" s="292"/>
      <c r="BA46" s="292"/>
      <c r="BB46" s="292"/>
      <c r="BC46" s="292"/>
      <c r="BD46" s="292"/>
      <c r="BE46" s="292"/>
      <c r="BF46" s="292"/>
      <c r="BG46" s="292"/>
      <c r="BH46" s="540"/>
      <c r="BI46" s="540"/>
      <c r="BJ46" s="540"/>
      <c r="BK46" s="540"/>
      <c r="BL46" s="540"/>
      <c r="BM46" s="540"/>
      <c r="BN46" s="540"/>
      <c r="BO46" s="540"/>
      <c r="BP46" s="540"/>
      <c r="BQ46" s="540"/>
      <c r="BR46" s="540"/>
      <c r="BS46" s="540"/>
      <c r="BT46" s="540"/>
      <c r="BU46" s="540"/>
      <c r="BV46" s="540"/>
      <c r="BW46" s="540"/>
      <c r="BX46" s="540"/>
      <c r="BY46" s="540"/>
      <c r="BZ46" s="540"/>
      <c r="CA46" s="540"/>
      <c r="CB46" s="540"/>
      <c r="CC46" s="540"/>
      <c r="CD46" s="540"/>
      <c r="CE46" s="540"/>
      <c r="CF46" s="540"/>
      <c r="CG46" s="540"/>
      <c r="CH46" s="540"/>
      <c r="CI46" s="540"/>
      <c r="CJ46" s="540"/>
      <c r="CK46" s="540"/>
      <c r="CL46" s="540"/>
      <c r="CM46" s="540"/>
      <c r="CN46" s="540"/>
      <c r="CO46" s="540"/>
      <c r="CP46" s="540"/>
      <c r="CQ46" s="540"/>
      <c r="CR46" s="540"/>
      <c r="CS46" s="540"/>
      <c r="CT46" s="540"/>
      <c r="CU46" s="540"/>
      <c r="CV46" s="540"/>
      <c r="CW46" s="540"/>
      <c r="CX46" s="540"/>
      <c r="CY46" s="540"/>
      <c r="CZ46" s="540"/>
      <c r="DA46" s="540"/>
      <c r="DB46" s="540"/>
      <c r="DC46" s="540"/>
      <c r="DD46" s="540"/>
      <c r="DE46" s="540"/>
      <c r="DF46" s="540"/>
      <c r="DG46" s="540"/>
      <c r="DH46" s="540"/>
      <c r="DI46" s="540"/>
      <c r="DJ46" s="540"/>
      <c r="DK46" s="540"/>
      <c r="DL46" s="540"/>
      <c r="DM46" s="540"/>
      <c r="DN46" s="540"/>
      <c r="DO46" s="540"/>
      <c r="DP46" s="540"/>
      <c r="DQ46" s="540"/>
      <c r="DR46" s="540"/>
      <c r="DS46" s="540"/>
      <c r="DT46" s="540"/>
      <c r="DU46" s="540"/>
      <c r="DV46" s="540"/>
      <c r="DW46" s="540"/>
      <c r="DX46" s="540"/>
      <c r="DY46" s="540"/>
      <c r="DZ46" s="540"/>
      <c r="EA46" s="540"/>
      <c r="EB46" s="540"/>
      <c r="EC46" s="540"/>
      <c r="ED46" s="540"/>
      <c r="EE46" s="540"/>
      <c r="EF46" s="540"/>
      <c r="EG46" s="540"/>
      <c r="EH46" s="540"/>
      <c r="EI46" s="540"/>
      <c r="EJ46" s="540"/>
      <c r="EK46" s="540"/>
      <c r="EL46" s="540"/>
      <c r="EM46" s="540"/>
      <c r="EN46" s="540"/>
      <c r="EO46" s="540"/>
      <c r="EP46" s="540"/>
      <c r="EQ46" s="540"/>
      <c r="ER46" s="540"/>
      <c r="ES46" s="540"/>
    </row>
    <row r="47" spans="1:149" x14ac:dyDescent="0.35">
      <c r="A47" s="595" t="s">
        <v>188</v>
      </c>
      <c r="B47" s="558">
        <f>'Water '!I7</f>
        <v>0</v>
      </c>
      <c r="C47" s="558">
        <f>'Water '!I8</f>
        <v>0</v>
      </c>
      <c r="D47" s="558">
        <f>'Water '!I9</f>
        <v>0</v>
      </c>
      <c r="E47" s="558">
        <f>'Water '!I10</f>
        <v>0</v>
      </c>
      <c r="F47" s="558">
        <f>'Water '!I11</f>
        <v>0</v>
      </c>
      <c r="G47" s="558">
        <f>'Water '!I12</f>
        <v>0</v>
      </c>
      <c r="H47" s="558">
        <f>'Water '!I13</f>
        <v>0</v>
      </c>
      <c r="I47" s="558">
        <f>'Water '!I14</f>
        <v>0</v>
      </c>
      <c r="J47" s="558">
        <f>'Water '!I15</f>
        <v>0</v>
      </c>
      <c r="K47" s="558">
        <f>'Water '!I16</f>
        <v>0</v>
      </c>
      <c r="L47" s="558">
        <f>'Water '!I17</f>
        <v>0</v>
      </c>
      <c r="M47" s="558">
        <f>'Water '!I18</f>
        <v>0</v>
      </c>
      <c r="N47" s="558">
        <f>'Water '!I19</f>
        <v>0</v>
      </c>
      <c r="O47" s="558">
        <f>'Water '!I20</f>
        <v>0</v>
      </c>
      <c r="P47" s="558">
        <f>'Water '!I21</f>
        <v>0</v>
      </c>
      <c r="Q47" s="558">
        <f>'Water '!I22</f>
        <v>0</v>
      </c>
      <c r="R47" s="558">
        <f>'Water '!I23</f>
        <v>0</v>
      </c>
      <c r="S47" s="558">
        <f>'Water '!I24</f>
        <v>0</v>
      </c>
      <c r="T47" s="558">
        <f>'Water '!I25</f>
        <v>0</v>
      </c>
      <c r="U47" s="558">
        <f>'Water '!I26</f>
        <v>0</v>
      </c>
      <c r="V47" s="558">
        <f>'Water '!I27</f>
        <v>0</v>
      </c>
      <c r="W47" s="558">
        <f>'Water '!I28</f>
        <v>0</v>
      </c>
      <c r="X47" s="558">
        <f>'Water '!I29</f>
        <v>0</v>
      </c>
      <c r="Y47" s="558">
        <f>'Water '!I30</f>
        <v>0</v>
      </c>
      <c r="Z47" s="558">
        <f>'Water '!I31</f>
        <v>0</v>
      </c>
      <c r="AA47" s="558">
        <f>'Water '!I32</f>
        <v>0</v>
      </c>
      <c r="AB47" s="558">
        <f>'Water '!I33</f>
        <v>0</v>
      </c>
      <c r="AC47" s="558">
        <f>'Water '!I34</f>
        <v>0</v>
      </c>
      <c r="AD47" s="558">
        <f>'Water '!I35</f>
        <v>0</v>
      </c>
      <c r="AE47" s="558">
        <f>'Water '!I36</f>
        <v>0</v>
      </c>
      <c r="AF47" s="558">
        <f>'Water '!I37</f>
        <v>0</v>
      </c>
      <c r="AG47" s="558"/>
      <c r="AH47" s="557">
        <f>SUM($B47:AF47)</f>
        <v>0</v>
      </c>
      <c r="AI47" s="557"/>
    </row>
    <row r="48" spans="1:149" ht="24" customHeight="1" x14ac:dyDescent="0.35">
      <c r="A48" s="595" t="s">
        <v>201</v>
      </c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58"/>
      <c r="P48" s="558"/>
      <c r="Q48" s="558"/>
      <c r="R48" s="558"/>
      <c r="S48" s="558"/>
      <c r="T48" s="558"/>
      <c r="U48" s="558"/>
      <c r="V48" s="558"/>
      <c r="W48" s="558"/>
      <c r="X48" s="558"/>
      <c r="Y48" s="558"/>
      <c r="Z48" s="558"/>
      <c r="AA48" s="558"/>
      <c r="AB48" s="558"/>
      <c r="AC48" s="558"/>
      <c r="AD48" s="558"/>
      <c r="AE48" s="558"/>
      <c r="AF48" s="558"/>
      <c r="AG48" s="558"/>
      <c r="AH48" s="557"/>
      <c r="AI48" s="557"/>
    </row>
    <row r="49" spans="1:59" x14ac:dyDescent="0.35">
      <c r="A49" s="595" t="s">
        <v>167</v>
      </c>
      <c r="B49" s="581"/>
      <c r="C49" s="581"/>
      <c r="D49" s="581"/>
      <c r="E49" s="581"/>
      <c r="F49" s="581"/>
      <c r="G49" s="581"/>
      <c r="H49" s="581"/>
      <c r="I49" s="581"/>
      <c r="J49" s="581"/>
      <c r="K49" s="581"/>
      <c r="L49" s="581"/>
      <c r="M49" s="581"/>
      <c r="N49" s="581"/>
      <c r="O49" s="581"/>
      <c r="P49" s="581"/>
      <c r="Q49" s="581"/>
      <c r="R49" s="581"/>
      <c r="S49" s="581"/>
      <c r="T49" s="581"/>
      <c r="U49" s="581"/>
      <c r="V49" s="581"/>
      <c r="W49" s="581"/>
      <c r="X49" s="581"/>
      <c r="Y49" s="581"/>
      <c r="Z49" s="581"/>
      <c r="AA49" s="581"/>
      <c r="AB49" s="581"/>
      <c r="AC49" s="581"/>
      <c r="AD49" s="581"/>
      <c r="AE49" s="581"/>
      <c r="AF49" s="581"/>
      <c r="AG49" s="581"/>
      <c r="AH49" s="557">
        <f>SUM($B49:AF49)</f>
        <v>0</v>
      </c>
      <c r="AI49" s="557"/>
      <c r="AJ49" s="557"/>
    </row>
    <row r="50" spans="1:59" ht="30" x14ac:dyDescent="0.4">
      <c r="A50" s="544" t="s">
        <v>223</v>
      </c>
      <c r="B50" s="557">
        <f>SUM(B36:B48)</f>
        <v>373</v>
      </c>
      <c r="C50" s="557">
        <f t="shared" ref="C50:AF50" si="9">SUM(C36:C48)</f>
        <v>400</v>
      </c>
      <c r="D50" s="557">
        <f t="shared" si="9"/>
        <v>298</v>
      </c>
      <c r="E50" s="557">
        <f t="shared" si="9"/>
        <v>369</v>
      </c>
      <c r="F50" s="557">
        <f t="shared" si="9"/>
        <v>353</v>
      </c>
      <c r="G50" s="557">
        <f>SUM(G36:G48)</f>
        <v>41</v>
      </c>
      <c r="H50" s="557">
        <f t="shared" si="9"/>
        <v>2</v>
      </c>
      <c r="I50" s="557">
        <f t="shared" si="9"/>
        <v>315</v>
      </c>
      <c r="J50" s="557">
        <f t="shared" si="9"/>
        <v>359</v>
      </c>
      <c r="K50" s="557">
        <f t="shared" si="9"/>
        <v>348</v>
      </c>
      <c r="L50" s="557">
        <f t="shared" si="9"/>
        <v>236</v>
      </c>
      <c r="M50" s="557">
        <f t="shared" si="9"/>
        <v>100</v>
      </c>
      <c r="N50" s="557">
        <f t="shared" si="9"/>
        <v>4</v>
      </c>
      <c r="O50" s="557">
        <f t="shared" si="9"/>
        <v>58</v>
      </c>
      <c r="P50" s="557">
        <f t="shared" si="9"/>
        <v>308</v>
      </c>
      <c r="Q50" s="557">
        <f>SUM(Q36:Q48)</f>
        <v>283</v>
      </c>
      <c r="R50" s="557">
        <f t="shared" si="9"/>
        <v>340</v>
      </c>
      <c r="S50" s="557">
        <f>SUM(S36:S48)</f>
        <v>414</v>
      </c>
      <c r="T50" s="557">
        <f t="shared" si="9"/>
        <v>344</v>
      </c>
      <c r="U50" s="557">
        <f t="shared" si="9"/>
        <v>11</v>
      </c>
      <c r="V50" s="557">
        <f t="shared" si="9"/>
        <v>48</v>
      </c>
      <c r="W50" s="557">
        <f t="shared" si="9"/>
        <v>287</v>
      </c>
      <c r="X50" s="557">
        <f t="shared" si="9"/>
        <v>424</v>
      </c>
      <c r="Y50" s="557">
        <f t="shared" si="9"/>
        <v>228</v>
      </c>
      <c r="Z50" s="557">
        <f t="shared" si="9"/>
        <v>338</v>
      </c>
      <c r="AA50" s="557">
        <f t="shared" si="9"/>
        <v>310</v>
      </c>
      <c r="AB50" s="557">
        <f t="shared" si="9"/>
        <v>72</v>
      </c>
      <c r="AC50" s="557">
        <f t="shared" si="9"/>
        <v>4</v>
      </c>
      <c r="AD50" s="557">
        <f t="shared" si="9"/>
        <v>221</v>
      </c>
      <c r="AE50" s="557">
        <f t="shared" si="9"/>
        <v>400</v>
      </c>
      <c r="AF50" s="557">
        <f t="shared" si="9"/>
        <v>356</v>
      </c>
      <c r="AG50" s="557"/>
      <c r="AH50" s="557">
        <f>SUM($B50:AF50)</f>
        <v>7644</v>
      </c>
      <c r="AI50" s="557"/>
    </row>
    <row r="51" spans="1:59" x14ac:dyDescent="0.35">
      <c r="A51" s="604"/>
      <c r="B51" s="557"/>
      <c r="C51" s="557"/>
      <c r="D51" s="557"/>
      <c r="E51" s="557"/>
      <c r="F51" s="557"/>
      <c r="G51" s="557"/>
      <c r="H51" s="557"/>
      <c r="I51" s="557"/>
      <c r="J51" s="593"/>
      <c r="K51" s="593"/>
      <c r="L51" s="593"/>
      <c r="M51" s="593"/>
      <c r="N51" s="593"/>
      <c r="O51" s="593"/>
      <c r="P51" s="593"/>
      <c r="Q51" s="593"/>
      <c r="R51" s="593"/>
      <c r="S51" s="593"/>
      <c r="T51" s="593"/>
      <c r="U51" s="593"/>
      <c r="V51" s="593"/>
      <c r="W51" s="593"/>
      <c r="X51" s="593"/>
      <c r="Y51" s="593"/>
      <c r="Z51" s="593"/>
      <c r="AA51" s="593"/>
      <c r="AB51" s="593"/>
      <c r="AC51" s="593"/>
      <c r="AD51" s="593"/>
      <c r="AE51" s="593"/>
      <c r="AH51" s="557"/>
      <c r="AI51" s="557"/>
    </row>
    <row r="52" spans="1:59" x14ac:dyDescent="0.35">
      <c r="A52" s="604"/>
      <c r="B52" s="557"/>
      <c r="C52" s="557"/>
      <c r="D52" s="557"/>
      <c r="E52" s="557"/>
      <c r="F52" s="557"/>
      <c r="G52" s="557"/>
      <c r="H52" s="557"/>
      <c r="I52" s="557"/>
      <c r="J52" s="593"/>
      <c r="K52" s="593"/>
      <c r="L52" s="593"/>
      <c r="M52" s="593"/>
      <c r="N52" s="593"/>
      <c r="O52" s="593"/>
      <c r="P52" s="593"/>
      <c r="Q52" s="593"/>
      <c r="R52" s="593"/>
      <c r="S52" s="593"/>
      <c r="T52" s="593"/>
      <c r="U52" s="593"/>
      <c r="V52" s="593"/>
      <c r="W52" s="593"/>
      <c r="X52" s="593"/>
      <c r="Y52" s="593"/>
      <c r="Z52" s="593"/>
      <c r="AA52" s="593"/>
      <c r="AB52" s="593"/>
      <c r="AC52" s="593"/>
      <c r="AD52" s="593"/>
      <c r="AE52" s="593"/>
      <c r="AH52" s="557"/>
      <c r="AI52" s="557"/>
    </row>
    <row r="53" spans="1:59" x14ac:dyDescent="0.35">
      <c r="A53" s="592" t="s">
        <v>141</v>
      </c>
      <c r="M53" s="542"/>
      <c r="O53" s="542" t="s">
        <v>58</v>
      </c>
      <c r="AH53" s="293" t="s">
        <v>86</v>
      </c>
      <c r="AI53" s="293" t="s">
        <v>154</v>
      </c>
      <c r="AJ53" s="293" t="s">
        <v>203</v>
      </c>
    </row>
    <row r="54" spans="1:59" x14ac:dyDescent="0.35">
      <c r="A54" s="580" t="s">
        <v>229</v>
      </c>
      <c r="B54" s="619">
        <f>IF(B$9=0,"",+(B36*10)/B$9)</f>
        <v>4.2471319067063744</v>
      </c>
      <c r="C54" s="619">
        <f>IF(C$9=0,"",+(C36*10)/C$9)</f>
        <v>6.6797692910452549</v>
      </c>
      <c r="D54" s="619">
        <f>IF(D$9=0,"",+(D36*10)/D$9)</f>
        <v>5.5395524041657431</v>
      </c>
      <c r="E54" s="619">
        <f t="shared" ref="E54:F54" si="10">IF(E$9=0,"",+(E36*10)/E$9)</f>
        <v>4.5905954002234086</v>
      </c>
      <c r="F54" s="619">
        <f t="shared" si="10"/>
        <v>7.5411484404030684</v>
      </c>
      <c r="G54" s="619" t="str">
        <f>IF(G$9=0,"",+(G36*10)/G$9)</f>
        <v/>
      </c>
      <c r="H54" s="619" t="str">
        <f t="shared" ref="H54:AF54" si="11">IF(H$9=0,"",+(H36*10)/H$9)</f>
        <v/>
      </c>
      <c r="I54" s="619">
        <f t="shared" si="11"/>
        <v>6.2342511717780997</v>
      </c>
      <c r="J54" s="619">
        <f t="shared" si="11"/>
        <v>5.8595485648271568</v>
      </c>
      <c r="K54" s="619">
        <f t="shared" si="11"/>
        <v>5.8910437433375096</v>
      </c>
      <c r="L54" s="619">
        <f t="shared" si="11"/>
        <v>288.93587033121918</v>
      </c>
      <c r="M54" s="619">
        <f t="shared" si="11"/>
        <v>7.7067727118591822</v>
      </c>
      <c r="N54" s="619" t="str">
        <f t="shared" si="11"/>
        <v/>
      </c>
      <c r="O54" s="619" t="str">
        <f t="shared" si="11"/>
        <v/>
      </c>
      <c r="P54" s="619">
        <f t="shared" si="11"/>
        <v>1.9288962547007202</v>
      </c>
      <c r="Q54" s="619">
        <f t="shared" si="11"/>
        <v>2.690286933796334</v>
      </c>
      <c r="R54" s="619">
        <f t="shared" si="11"/>
        <v>3.3882271613023525</v>
      </c>
      <c r="S54" s="619">
        <f t="shared" si="11"/>
        <v>1.990064419122308</v>
      </c>
      <c r="T54" s="619">
        <f t="shared" si="11"/>
        <v>3.2038446135362433</v>
      </c>
      <c r="U54" s="619" t="str">
        <f t="shared" si="11"/>
        <v/>
      </c>
      <c r="V54" s="619" t="str">
        <f t="shared" si="11"/>
        <v/>
      </c>
      <c r="W54" s="619">
        <f t="shared" si="11"/>
        <v>3.7485334935759864</v>
      </c>
      <c r="X54" s="619">
        <f t="shared" si="11"/>
        <v>3.9649596689258675</v>
      </c>
      <c r="Y54" s="619" t="str">
        <f>IF(Y$9=0,"",+(Y36*10)/Y$9)</f>
        <v/>
      </c>
      <c r="Z54" s="619">
        <f t="shared" si="11"/>
        <v>6.3263849128089857</v>
      </c>
      <c r="AA54" s="619">
        <f t="shared" si="11"/>
        <v>2.1595878054001161</v>
      </c>
      <c r="AB54" s="619" t="str">
        <f t="shared" si="11"/>
        <v/>
      </c>
      <c r="AC54" s="619" t="str">
        <f>IF(AC$9=0,"",+(AC36*10)/AC$9)</f>
        <v/>
      </c>
      <c r="AD54" s="619">
        <f t="shared" si="11"/>
        <v>2.2740493944682427</v>
      </c>
      <c r="AE54" s="619">
        <f t="shared" si="11"/>
        <v>11.736379754996776</v>
      </c>
      <c r="AF54" s="619" t="str">
        <f t="shared" si="11"/>
        <v/>
      </c>
      <c r="AG54" s="619"/>
      <c r="AH54" s="620">
        <f>+(AH36*10)/AH$9</f>
        <v>4.7069809573652179</v>
      </c>
      <c r="AI54" s="620">
        <v>3.2</v>
      </c>
      <c r="AJ54" s="621">
        <f t="shared" ref="AJ54" si="12">AI54-AH54</f>
        <v>-1.5069809573652178</v>
      </c>
    </row>
    <row r="55" spans="1:59" s="627" customFormat="1" ht="25.5" customHeight="1" x14ac:dyDescent="0.35">
      <c r="A55" s="622" t="s">
        <v>173</v>
      </c>
      <c r="B55" s="623"/>
      <c r="C55" s="623"/>
      <c r="D55" s="623"/>
      <c r="E55" s="623"/>
      <c r="F55" s="623"/>
      <c r="G55" s="623"/>
      <c r="H55" s="623"/>
      <c r="I55" s="623"/>
      <c r="J55" s="623"/>
      <c r="K55" s="623"/>
      <c r="L55" s="623"/>
      <c r="M55" s="623"/>
      <c r="N55" s="623"/>
      <c r="O55" s="623"/>
      <c r="P55" s="623"/>
      <c r="Q55" s="623"/>
      <c r="R55" s="623"/>
      <c r="S55" s="623"/>
      <c r="T55" s="623"/>
      <c r="U55" s="623"/>
      <c r="V55" s="623"/>
      <c r="W55" s="623"/>
      <c r="X55" s="623"/>
      <c r="Y55" s="623"/>
      <c r="Z55" s="623"/>
      <c r="AA55" s="623"/>
      <c r="AB55" s="623"/>
      <c r="AC55" s="623"/>
      <c r="AD55" s="623"/>
      <c r="AE55" s="623"/>
      <c r="AF55" s="623"/>
      <c r="AG55" s="623"/>
      <c r="AH55" s="624">
        <f t="shared" ref="AH55:AH62" si="13">+(AH37*10)/AH$9</f>
        <v>0.47523687487862099</v>
      </c>
      <c r="AI55" s="624">
        <v>0.1</v>
      </c>
      <c r="AJ55" s="625">
        <f>AI55-AH55</f>
        <v>-0.37523687487862101</v>
      </c>
      <c r="AK55" s="626"/>
      <c r="AL55" s="547"/>
      <c r="AM55" s="626"/>
      <c r="AN55" s="626"/>
      <c r="AO55" s="626"/>
      <c r="AP55" s="626"/>
      <c r="AQ55" s="626"/>
      <c r="AR55" s="626"/>
      <c r="AS55" s="626"/>
      <c r="AT55" s="626"/>
      <c r="AU55" s="626"/>
      <c r="AV55" s="626"/>
      <c r="AW55" s="626"/>
      <c r="AX55" s="626"/>
      <c r="AY55" s="626"/>
      <c r="AZ55" s="626"/>
      <c r="BA55" s="626"/>
      <c r="BB55" s="626"/>
      <c r="BC55" s="626"/>
      <c r="BD55" s="626"/>
      <c r="BE55" s="626"/>
      <c r="BF55" s="626"/>
      <c r="BG55" s="626"/>
    </row>
    <row r="56" spans="1:59" s="633" customFormat="1" x14ac:dyDescent="0.35">
      <c r="A56" s="628" t="s">
        <v>189</v>
      </c>
      <c r="B56" s="619">
        <f t="shared" ref="B56:C56" si="14">IF(B$9=0,"",+(B38*10)/B$9)</f>
        <v>0</v>
      </c>
      <c r="C56" s="619">
        <f t="shared" si="14"/>
        <v>0</v>
      </c>
      <c r="D56" s="619">
        <f t="shared" ref="D56:F62" si="15">IF(D$9=0,"",+(D38*10)/D$9)</f>
        <v>0</v>
      </c>
      <c r="E56" s="619">
        <f t="shared" si="15"/>
        <v>0</v>
      </c>
      <c r="F56" s="619">
        <f t="shared" si="15"/>
        <v>0</v>
      </c>
      <c r="G56" s="619" t="str">
        <f t="shared" ref="G56:AF56" si="16">IF(G$9=0,"",+(G38*10)/G$9)</f>
        <v/>
      </c>
      <c r="H56" s="619" t="str">
        <f t="shared" si="16"/>
        <v/>
      </c>
      <c r="I56" s="619">
        <f t="shared" si="16"/>
        <v>0</v>
      </c>
      <c r="J56" s="619">
        <f t="shared" si="16"/>
        <v>0</v>
      </c>
      <c r="K56" s="619">
        <f t="shared" si="16"/>
        <v>0</v>
      </c>
      <c r="L56" s="619">
        <f t="shared" si="16"/>
        <v>0</v>
      </c>
      <c r="M56" s="619">
        <f t="shared" si="16"/>
        <v>0</v>
      </c>
      <c r="N56" s="619" t="str">
        <f t="shared" si="16"/>
        <v/>
      </c>
      <c r="O56" s="619" t="str">
        <f t="shared" si="16"/>
        <v/>
      </c>
      <c r="P56" s="619">
        <f t="shared" si="16"/>
        <v>0</v>
      </c>
      <c r="Q56" s="619">
        <f t="shared" si="16"/>
        <v>0</v>
      </c>
      <c r="R56" s="619">
        <f t="shared" si="16"/>
        <v>0</v>
      </c>
      <c r="S56" s="619">
        <f t="shared" si="16"/>
        <v>0</v>
      </c>
      <c r="T56" s="619">
        <f t="shared" si="16"/>
        <v>0</v>
      </c>
      <c r="U56" s="619" t="str">
        <f t="shared" si="16"/>
        <v/>
      </c>
      <c r="V56" s="619" t="str">
        <f t="shared" si="16"/>
        <v/>
      </c>
      <c r="W56" s="619">
        <f t="shared" si="16"/>
        <v>0</v>
      </c>
      <c r="X56" s="619">
        <f t="shared" si="16"/>
        <v>0</v>
      </c>
      <c r="Y56" s="619" t="str">
        <f t="shared" ref="Y56:Y63" si="17">IF(Y$9=0,"",+(Y38*10)/Y$9)</f>
        <v/>
      </c>
      <c r="Z56" s="619">
        <f t="shared" si="16"/>
        <v>0</v>
      </c>
      <c r="AA56" s="619">
        <f t="shared" si="16"/>
        <v>0</v>
      </c>
      <c r="AB56" s="619" t="str">
        <f t="shared" si="16"/>
        <v/>
      </c>
      <c r="AC56" s="619" t="str">
        <f t="shared" ref="AC56:AC63" si="18">IF(AC$9=0,"",+(AC38*10)/AC$9)</f>
        <v/>
      </c>
      <c r="AD56" s="619">
        <f t="shared" si="16"/>
        <v>0</v>
      </c>
      <c r="AE56" s="619">
        <f t="shared" si="16"/>
        <v>0</v>
      </c>
      <c r="AF56" s="619" t="str">
        <f t="shared" si="16"/>
        <v/>
      </c>
      <c r="AG56" s="619"/>
      <c r="AH56" s="629">
        <f t="shared" si="13"/>
        <v>0</v>
      </c>
      <c r="AI56" s="630">
        <v>0.1</v>
      </c>
      <c r="AJ56" s="631">
        <f>AI56-AH56</f>
        <v>0.1</v>
      </c>
      <c r="AK56" s="632"/>
      <c r="AL56" s="632"/>
      <c r="AM56" s="632"/>
      <c r="AN56" s="632"/>
      <c r="AO56" s="632"/>
      <c r="AP56" s="632"/>
      <c r="AQ56" s="632"/>
      <c r="AR56" s="632"/>
      <c r="AS56" s="632"/>
      <c r="AT56" s="632"/>
      <c r="AU56" s="632"/>
      <c r="AV56" s="632"/>
      <c r="AW56" s="632"/>
      <c r="AX56" s="632"/>
      <c r="AY56" s="632"/>
      <c r="AZ56" s="632"/>
      <c r="BA56" s="632"/>
      <c r="BB56" s="632"/>
      <c r="BC56" s="632"/>
      <c r="BD56" s="632"/>
      <c r="BE56" s="632"/>
      <c r="BF56" s="632"/>
      <c r="BG56" s="632"/>
    </row>
    <row r="57" spans="1:59" s="577" customFormat="1" x14ac:dyDescent="0.35">
      <c r="A57" s="634" t="s">
        <v>221</v>
      </c>
      <c r="B57" s="623">
        <f t="shared" ref="B57:C57" si="19">IF(B$9=0,"",+(B39*10)/B$9)</f>
        <v>0</v>
      </c>
      <c r="C57" s="623">
        <f t="shared" si="19"/>
        <v>0</v>
      </c>
      <c r="D57" s="623">
        <f t="shared" si="15"/>
        <v>0</v>
      </c>
      <c r="E57" s="623">
        <f t="shared" si="15"/>
        <v>0</v>
      </c>
      <c r="F57" s="623">
        <f t="shared" si="15"/>
        <v>0</v>
      </c>
      <c r="G57" s="623" t="str">
        <f t="shared" ref="G57:AF57" si="20">IF(G$9=0,"",+(G39*10)/G$9)</f>
        <v/>
      </c>
      <c r="H57" s="623" t="str">
        <f t="shared" si="20"/>
        <v/>
      </c>
      <c r="I57" s="623">
        <f t="shared" si="20"/>
        <v>0</v>
      </c>
      <c r="J57" s="623">
        <f t="shared" si="20"/>
        <v>0</v>
      </c>
      <c r="K57" s="623">
        <f t="shared" si="20"/>
        <v>0</v>
      </c>
      <c r="L57" s="623">
        <f t="shared" si="20"/>
        <v>0</v>
      </c>
      <c r="M57" s="623">
        <f t="shared" si="20"/>
        <v>0</v>
      </c>
      <c r="N57" s="623" t="str">
        <f t="shared" si="20"/>
        <v/>
      </c>
      <c r="O57" s="623" t="str">
        <f t="shared" si="20"/>
        <v/>
      </c>
      <c r="P57" s="623">
        <f t="shared" si="20"/>
        <v>0</v>
      </c>
      <c r="Q57" s="623">
        <f t="shared" si="20"/>
        <v>0</v>
      </c>
      <c r="R57" s="623">
        <f t="shared" si="20"/>
        <v>0</v>
      </c>
      <c r="S57" s="623">
        <f t="shared" si="20"/>
        <v>0</v>
      </c>
      <c r="T57" s="623">
        <f t="shared" si="20"/>
        <v>0</v>
      </c>
      <c r="U57" s="623" t="str">
        <f t="shared" si="20"/>
        <v/>
      </c>
      <c r="V57" s="623" t="str">
        <f t="shared" si="20"/>
        <v/>
      </c>
      <c r="W57" s="623">
        <f t="shared" si="20"/>
        <v>0</v>
      </c>
      <c r="X57" s="623">
        <f t="shared" si="20"/>
        <v>0</v>
      </c>
      <c r="Y57" s="623" t="str">
        <f t="shared" si="17"/>
        <v/>
      </c>
      <c r="Z57" s="623">
        <f t="shared" si="20"/>
        <v>0</v>
      </c>
      <c r="AA57" s="623">
        <f t="shared" si="20"/>
        <v>0</v>
      </c>
      <c r="AB57" s="623" t="str">
        <f t="shared" si="20"/>
        <v/>
      </c>
      <c r="AC57" s="623" t="str">
        <f t="shared" si="18"/>
        <v/>
      </c>
      <c r="AD57" s="623">
        <f t="shared" si="20"/>
        <v>0</v>
      </c>
      <c r="AE57" s="623">
        <f t="shared" si="20"/>
        <v>0</v>
      </c>
      <c r="AF57" s="623" t="str">
        <f t="shared" si="20"/>
        <v/>
      </c>
      <c r="AG57" s="623"/>
      <c r="AH57" s="624">
        <f t="shared" si="13"/>
        <v>0</v>
      </c>
      <c r="AI57" s="624">
        <v>0.7</v>
      </c>
      <c r="AJ57" s="625">
        <f t="shared" ref="AJ57" si="21">AI57-AH57</f>
        <v>0.7</v>
      </c>
      <c r="AK57" s="547"/>
      <c r="AL57" s="547"/>
      <c r="AM57" s="547"/>
      <c r="AN57" s="547"/>
      <c r="AO57" s="547"/>
      <c r="AP57" s="547"/>
      <c r="AQ57" s="547"/>
      <c r="AR57" s="547"/>
      <c r="AS57" s="547"/>
      <c r="AT57" s="547"/>
      <c r="AU57" s="547"/>
      <c r="AV57" s="547"/>
      <c r="AW57" s="547"/>
      <c r="AX57" s="547"/>
      <c r="AY57" s="547"/>
      <c r="AZ57" s="547"/>
      <c r="BA57" s="547"/>
      <c r="BB57" s="547"/>
      <c r="BC57" s="547"/>
      <c r="BD57" s="547"/>
      <c r="BE57" s="547"/>
      <c r="BF57" s="547"/>
      <c r="BG57" s="547"/>
    </row>
    <row r="58" spans="1:59" s="639" customFormat="1" x14ac:dyDescent="0.35">
      <c r="A58" s="635" t="s">
        <v>174</v>
      </c>
      <c r="B58" s="619">
        <f t="shared" ref="B58:C58" si="22">IF(B$9=0,"",+(B40*10)/B$9)</f>
        <v>0</v>
      </c>
      <c r="C58" s="619">
        <f t="shared" si="22"/>
        <v>0</v>
      </c>
      <c r="D58" s="619">
        <f t="shared" si="15"/>
        <v>0</v>
      </c>
      <c r="E58" s="619">
        <f t="shared" si="15"/>
        <v>0</v>
      </c>
      <c r="F58" s="619">
        <f t="shared" si="15"/>
        <v>0</v>
      </c>
      <c r="G58" s="619" t="str">
        <f t="shared" ref="G58:AF58" si="23">IF(G$9=0,"",+(G40*10)/G$9)</f>
        <v/>
      </c>
      <c r="H58" s="619" t="str">
        <f t="shared" si="23"/>
        <v/>
      </c>
      <c r="I58" s="619">
        <f t="shared" si="23"/>
        <v>0</v>
      </c>
      <c r="J58" s="619">
        <f t="shared" si="23"/>
        <v>0</v>
      </c>
      <c r="K58" s="619">
        <f t="shared" si="23"/>
        <v>0</v>
      </c>
      <c r="L58" s="619">
        <f t="shared" si="23"/>
        <v>0</v>
      </c>
      <c r="M58" s="619">
        <f t="shared" si="23"/>
        <v>0</v>
      </c>
      <c r="N58" s="619" t="str">
        <f t="shared" si="23"/>
        <v/>
      </c>
      <c r="O58" s="619" t="str">
        <f t="shared" si="23"/>
        <v/>
      </c>
      <c r="P58" s="619">
        <f t="shared" si="23"/>
        <v>0</v>
      </c>
      <c r="Q58" s="619">
        <f t="shared" si="23"/>
        <v>0</v>
      </c>
      <c r="R58" s="619">
        <f t="shared" si="23"/>
        <v>0</v>
      </c>
      <c r="S58" s="619">
        <f t="shared" si="23"/>
        <v>0</v>
      </c>
      <c r="T58" s="619">
        <f t="shared" si="23"/>
        <v>0</v>
      </c>
      <c r="U58" s="619" t="str">
        <f t="shared" si="23"/>
        <v/>
      </c>
      <c r="V58" s="619" t="str">
        <f t="shared" si="23"/>
        <v/>
      </c>
      <c r="W58" s="619">
        <f t="shared" si="23"/>
        <v>0</v>
      </c>
      <c r="X58" s="619">
        <f t="shared" si="23"/>
        <v>0</v>
      </c>
      <c r="Y58" s="619" t="str">
        <f t="shared" si="17"/>
        <v/>
      </c>
      <c r="Z58" s="619">
        <f t="shared" si="23"/>
        <v>0</v>
      </c>
      <c r="AA58" s="619">
        <f t="shared" si="23"/>
        <v>0</v>
      </c>
      <c r="AB58" s="619" t="str">
        <f t="shared" si="23"/>
        <v/>
      </c>
      <c r="AC58" s="619" t="str">
        <f t="shared" si="18"/>
        <v/>
      </c>
      <c r="AD58" s="619">
        <f t="shared" si="23"/>
        <v>0</v>
      </c>
      <c r="AE58" s="619">
        <f t="shared" si="23"/>
        <v>0</v>
      </c>
      <c r="AF58" s="619" t="str">
        <f t="shared" si="23"/>
        <v/>
      </c>
      <c r="AG58" s="619"/>
      <c r="AH58" s="629">
        <f t="shared" si="13"/>
        <v>0</v>
      </c>
      <c r="AI58" s="636">
        <v>1</v>
      </c>
      <c r="AJ58" s="637">
        <f>AI58-AH58</f>
        <v>1</v>
      </c>
      <c r="AK58" s="638"/>
      <c r="AL58" s="638"/>
      <c r="AM58" s="638"/>
      <c r="AN58" s="638"/>
      <c r="AO58" s="638"/>
      <c r="AP58" s="638"/>
      <c r="AQ58" s="638"/>
      <c r="AR58" s="638"/>
      <c r="AS58" s="638"/>
      <c r="AT58" s="638"/>
      <c r="AU58" s="638"/>
      <c r="AV58" s="638"/>
      <c r="AW58" s="638"/>
      <c r="AX58" s="638"/>
      <c r="AY58" s="638"/>
      <c r="AZ58" s="638"/>
      <c r="BA58" s="638"/>
      <c r="BB58" s="638"/>
      <c r="BC58" s="638"/>
      <c r="BD58" s="638"/>
      <c r="BE58" s="638"/>
      <c r="BF58" s="638"/>
      <c r="BG58" s="638"/>
    </row>
    <row r="59" spans="1:59" s="577" customFormat="1" x14ac:dyDescent="0.35">
      <c r="A59" s="612" t="s">
        <v>100</v>
      </c>
      <c r="B59" s="623">
        <f t="shared" ref="B59:C59" si="24">IF(B$9=0,"",+(B41*10)/B$9)</f>
        <v>2.2003213492575191</v>
      </c>
      <c r="C59" s="623">
        <f t="shared" si="24"/>
        <v>2.3122278315156652</v>
      </c>
      <c r="D59" s="623">
        <f t="shared" si="15"/>
        <v>0.73860698722209917</v>
      </c>
      <c r="E59" s="623">
        <f t="shared" si="15"/>
        <v>1.7342249289732878</v>
      </c>
      <c r="F59" s="623">
        <f t="shared" si="15"/>
        <v>1.8943947772993215</v>
      </c>
      <c r="G59" s="623" t="str">
        <f t="shared" ref="G59:AF59" si="25">IF(G$9=0,"",+(G41*10)/G$9)</f>
        <v/>
      </c>
      <c r="H59" s="623" t="str">
        <f t="shared" si="25"/>
        <v/>
      </c>
      <c r="I59" s="623">
        <f t="shared" si="25"/>
        <v>0.39168070189181775</v>
      </c>
      <c r="J59" s="623">
        <f t="shared" si="25"/>
        <v>0.83311117035457205</v>
      </c>
      <c r="K59" s="623">
        <f t="shared" si="25"/>
        <v>1.5273076371615766</v>
      </c>
      <c r="L59" s="623">
        <f t="shared" si="25"/>
        <v>52.854122621564478</v>
      </c>
      <c r="M59" s="623">
        <f t="shared" si="25"/>
        <v>1.8496254508462036</v>
      </c>
      <c r="N59" s="623" t="str">
        <f t="shared" si="25"/>
        <v/>
      </c>
      <c r="O59" s="623" t="str">
        <f t="shared" si="25"/>
        <v/>
      </c>
      <c r="P59" s="623">
        <f t="shared" si="25"/>
        <v>0.88729227716233128</v>
      </c>
      <c r="Q59" s="623">
        <f t="shared" si="25"/>
        <v>0.83647576933163326</v>
      </c>
      <c r="R59" s="623">
        <f t="shared" si="25"/>
        <v>0.72767294739379385</v>
      </c>
      <c r="S59" s="623">
        <f t="shared" si="25"/>
        <v>0.70020785117266393</v>
      </c>
      <c r="T59" s="623">
        <f>IF(T$9=0,"",+(T41*10)/T$9)</f>
        <v>0.74374964242805652</v>
      </c>
      <c r="U59" s="623" t="str">
        <f t="shared" si="25"/>
        <v/>
      </c>
      <c r="V59" s="623" t="str">
        <f t="shared" si="25"/>
        <v/>
      </c>
      <c r="W59" s="623">
        <f t="shared" si="25"/>
        <v>1.2018198987037514</v>
      </c>
      <c r="X59" s="623">
        <f t="shared" si="25"/>
        <v>1.3423040545842782</v>
      </c>
      <c r="Y59" s="623" t="str">
        <f t="shared" si="17"/>
        <v/>
      </c>
      <c r="Z59" s="623">
        <f t="shared" si="25"/>
        <v>1.5904319613206948</v>
      </c>
      <c r="AA59" s="623">
        <f t="shared" si="25"/>
        <v>0.97468122190624706</v>
      </c>
      <c r="AB59" s="623" t="str">
        <f t="shared" si="25"/>
        <v/>
      </c>
      <c r="AC59" s="623" t="str">
        <f t="shared" si="18"/>
        <v/>
      </c>
      <c r="AD59" s="623">
        <f t="shared" si="25"/>
        <v>2.5384737426622244</v>
      </c>
      <c r="AE59" s="623">
        <f t="shared" si="25"/>
        <v>2.3170535138620241</v>
      </c>
      <c r="AF59" s="623" t="str">
        <f t="shared" si="25"/>
        <v/>
      </c>
      <c r="AG59" s="623"/>
      <c r="AH59" s="623">
        <f t="shared" si="13"/>
        <v>1.3376049118774669</v>
      </c>
      <c r="AI59" s="624">
        <v>0.7</v>
      </c>
      <c r="AJ59" s="625">
        <f t="shared" ref="AJ59:AJ60" si="26">AI59-AH59</f>
        <v>-0.63760491187746693</v>
      </c>
      <c r="AK59" s="547"/>
      <c r="AL59" s="547"/>
      <c r="AM59" s="547"/>
      <c r="AN59" s="547"/>
      <c r="AO59" s="547"/>
      <c r="AP59" s="547"/>
      <c r="AQ59" s="547"/>
      <c r="AR59" s="547"/>
      <c r="AS59" s="547"/>
      <c r="AT59" s="547"/>
      <c r="AU59" s="547"/>
      <c r="AV59" s="547"/>
      <c r="AW59" s="547"/>
      <c r="AX59" s="547"/>
      <c r="AY59" s="547"/>
      <c r="AZ59" s="547"/>
      <c r="BA59" s="547"/>
      <c r="BB59" s="547"/>
      <c r="BC59" s="547"/>
      <c r="BD59" s="547"/>
      <c r="BE59" s="547"/>
      <c r="BF59" s="547"/>
      <c r="BG59" s="547"/>
    </row>
    <row r="60" spans="1:59" x14ac:dyDescent="0.35">
      <c r="A60" s="640" t="s">
        <v>129</v>
      </c>
      <c r="B60" s="619">
        <f t="shared" ref="B60" si="27">IF(B$9=0,"",+(B42*10)/B$9)</f>
        <v>1.9956402935126338</v>
      </c>
      <c r="C60" s="619">
        <f>IF(C$9=0,"",+(C42*10)/C$9)</f>
        <v>2.2479992806402298</v>
      </c>
      <c r="D60" s="619">
        <f t="shared" si="15"/>
        <v>2.282967051413761</v>
      </c>
      <c r="E60" s="619">
        <f t="shared" si="15"/>
        <v>1.9127480834264203</v>
      </c>
      <c r="F60" s="641">
        <f t="shared" si="15"/>
        <v>2.1494094588588455</v>
      </c>
      <c r="G60" s="619" t="str">
        <f t="shared" ref="G60:AF60" si="28">IF(G$9=0,"",+(G42*10)/G$9)</f>
        <v/>
      </c>
      <c r="H60" s="619" t="str">
        <f t="shared" si="28"/>
        <v/>
      </c>
      <c r="I60" s="619">
        <f t="shared" si="28"/>
        <v>2.0889637434230282</v>
      </c>
      <c r="J60" s="619">
        <f t="shared" si="28"/>
        <v>2.0827779258864303</v>
      </c>
      <c r="K60" s="619">
        <f t="shared" si="28"/>
        <v>2.1818680530879666</v>
      </c>
      <c r="L60" s="619">
        <f>IF(L$9=0,"",+(L42*10)/L$9)</f>
        <v>36.99788583509514</v>
      </c>
      <c r="M60" s="619">
        <f t="shared" si="28"/>
        <v>3.5451154474552236</v>
      </c>
      <c r="N60" s="619" t="str">
        <f t="shared" si="28"/>
        <v/>
      </c>
      <c r="O60" s="619" t="str">
        <f t="shared" si="28"/>
        <v/>
      </c>
      <c r="P60" s="619">
        <f t="shared" si="28"/>
        <v>1.9288962547007202</v>
      </c>
      <c r="Q60" s="619">
        <f t="shared" si="28"/>
        <v>1.8990260709150593</v>
      </c>
      <c r="R60" s="619">
        <f t="shared" si="28"/>
        <v>2.2512381809995494</v>
      </c>
      <c r="S60" s="619">
        <f t="shared" si="28"/>
        <v>1.5723965780719471</v>
      </c>
      <c r="T60" s="619">
        <f t="shared" si="28"/>
        <v>1.6972748250281289</v>
      </c>
      <c r="U60" s="619" t="str">
        <f t="shared" si="28"/>
        <v/>
      </c>
      <c r="V60" s="619" t="str">
        <f t="shared" si="28"/>
        <v/>
      </c>
      <c r="W60" s="619">
        <f t="shared" si="28"/>
        <v>2.4894840758863421</v>
      </c>
      <c r="X60" s="619">
        <f t="shared" si="28"/>
        <v>1.9618290028539449</v>
      </c>
      <c r="Y60" s="619" t="str">
        <f t="shared" si="17"/>
        <v/>
      </c>
      <c r="Z60" s="619">
        <f t="shared" si="28"/>
        <v>2.7214058004820774</v>
      </c>
      <c r="AA60" s="619">
        <f t="shared" si="28"/>
        <v>1.8920282542885971</v>
      </c>
      <c r="AB60" s="619" t="str">
        <f t="shared" si="28"/>
        <v/>
      </c>
      <c r="AC60" s="619" t="str">
        <f t="shared" si="18"/>
        <v/>
      </c>
      <c r="AD60" s="619">
        <f t="shared" si="28"/>
        <v>3.7019408747157438</v>
      </c>
      <c r="AE60" s="619">
        <f t="shared" si="28"/>
        <v>3.6266924564796903</v>
      </c>
      <c r="AF60" s="619" t="str">
        <f t="shared" si="28"/>
        <v/>
      </c>
      <c r="AG60" s="619"/>
      <c r="AH60" s="642">
        <f t="shared" si="13"/>
        <v>2.3214520376795558</v>
      </c>
      <c r="AI60" s="629">
        <v>2.1</v>
      </c>
      <c r="AJ60" s="621">
        <f t="shared" si="26"/>
        <v>-0.22145203767955568</v>
      </c>
    </row>
    <row r="61" spans="1:59" s="577" customFormat="1" x14ac:dyDescent="0.35">
      <c r="A61" s="612" t="s">
        <v>170</v>
      </c>
      <c r="B61" s="623">
        <f t="shared" ref="B61:C61" si="29">IF(B$9=0,"",+(B43*10)/B$9)</f>
        <v>0.66521343117087794</v>
      </c>
      <c r="C61" s="623">
        <f t="shared" si="29"/>
        <v>0.57805695787891631</v>
      </c>
      <c r="D61" s="623">
        <f t="shared" si="15"/>
        <v>0.67146089747463555</v>
      </c>
      <c r="E61" s="623">
        <f t="shared" si="15"/>
        <v>0.48456284780135983</v>
      </c>
      <c r="F61" s="623">
        <f t="shared" si="15"/>
        <v>0.54646003191326575</v>
      </c>
      <c r="G61" s="623" t="str">
        <f t="shared" ref="G61:AF61" si="30">IF(G$9=0,"",+(G43*10)/G$9)</f>
        <v/>
      </c>
      <c r="H61" s="623" t="str">
        <f t="shared" si="30"/>
        <v/>
      </c>
      <c r="I61" s="623">
        <f t="shared" si="30"/>
        <v>0.4896008773647722</v>
      </c>
      <c r="J61" s="623">
        <f t="shared" si="30"/>
        <v>0.52763707455789566</v>
      </c>
      <c r="K61" s="623">
        <f t="shared" si="30"/>
        <v>0.56105178507976283</v>
      </c>
      <c r="L61" s="623">
        <f t="shared" si="30"/>
        <v>8.8090204369274137</v>
      </c>
      <c r="M61" s="623">
        <f t="shared" si="30"/>
        <v>0.61654181694873456</v>
      </c>
      <c r="N61" s="623" t="str">
        <f t="shared" si="30"/>
        <v/>
      </c>
      <c r="O61" s="623" t="str">
        <f t="shared" si="30"/>
        <v/>
      </c>
      <c r="P61" s="623">
        <f t="shared" si="30"/>
        <v>0.5015130262221873</v>
      </c>
      <c r="Q61" s="623">
        <f t="shared" si="30"/>
        <v>0.45214906450358555</v>
      </c>
      <c r="R61" s="623">
        <f t="shared" si="30"/>
        <v>0.65945360857562563</v>
      </c>
      <c r="S61" s="623">
        <f t="shared" si="30"/>
        <v>0.39309914451798678</v>
      </c>
      <c r="T61" s="623">
        <f t="shared" si="30"/>
        <v>0.45769208764803476</v>
      </c>
      <c r="U61" s="623" t="str">
        <f t="shared" si="30"/>
        <v/>
      </c>
      <c r="V61" s="623" t="str">
        <f t="shared" si="30"/>
        <v/>
      </c>
      <c r="W61" s="623">
        <f t="shared" si="30"/>
        <v>0</v>
      </c>
      <c r="X61" s="623">
        <f t="shared" si="30"/>
        <v>0.99123991723146687</v>
      </c>
      <c r="Y61" s="623" t="str">
        <f t="shared" si="17"/>
        <v/>
      </c>
      <c r="Z61" s="623">
        <f t="shared" si="30"/>
        <v>0.63617278452827786</v>
      </c>
      <c r="AA61" s="623">
        <f t="shared" si="30"/>
        <v>0.49689630920710631</v>
      </c>
      <c r="AB61" s="623" t="str">
        <f t="shared" si="30"/>
        <v/>
      </c>
      <c r="AC61" s="623" t="str">
        <f t="shared" si="18"/>
        <v/>
      </c>
      <c r="AD61" s="623">
        <f t="shared" si="30"/>
        <v>1.110582262414723</v>
      </c>
      <c r="AE61" s="623">
        <f t="shared" si="30"/>
        <v>1.4103803997421018</v>
      </c>
      <c r="AF61" s="623" t="str">
        <f t="shared" si="30"/>
        <v/>
      </c>
      <c r="AG61" s="623"/>
      <c r="AH61" s="624">
        <f t="shared" si="13"/>
        <v>0.62074479443415387</v>
      </c>
      <c r="AI61" s="624">
        <v>0.7</v>
      </c>
      <c r="AJ61" s="625">
        <f>AI61-AH61</f>
        <v>7.9255205565846087E-2</v>
      </c>
      <c r="AK61" s="547"/>
      <c r="AL61" s="547"/>
      <c r="AM61" s="547"/>
      <c r="AN61" s="547"/>
      <c r="AO61" s="547"/>
      <c r="AP61" s="547"/>
      <c r="AQ61" s="547"/>
      <c r="AR61" s="547"/>
      <c r="AS61" s="547"/>
      <c r="AT61" s="547"/>
      <c r="AU61" s="547"/>
      <c r="AV61" s="547"/>
      <c r="AW61" s="547"/>
      <c r="AX61" s="547"/>
      <c r="AY61" s="547"/>
      <c r="AZ61" s="547"/>
      <c r="BA61" s="547"/>
      <c r="BB61" s="547"/>
      <c r="BC61" s="547"/>
      <c r="BD61" s="547"/>
      <c r="BE61" s="547"/>
      <c r="BF61" s="547"/>
      <c r="BG61" s="547"/>
    </row>
    <row r="62" spans="1:59" x14ac:dyDescent="0.35">
      <c r="A62" s="580" t="s">
        <v>128</v>
      </c>
      <c r="B62" s="619">
        <f t="shared" ref="B62:C62" si="31">IF(B$9=0,"",+(B44*10)/B$9)</f>
        <v>0.15351079180866414</v>
      </c>
      <c r="C62" s="619">
        <f t="shared" si="31"/>
        <v>0.28902847893945816</v>
      </c>
      <c r="D62" s="619">
        <f t="shared" si="15"/>
        <v>0.26858435898985422</v>
      </c>
      <c r="E62" s="619">
        <f t="shared" si="15"/>
        <v>0.20402646223215151</v>
      </c>
      <c r="F62" s="619">
        <f t="shared" si="15"/>
        <v>0.18215334397108859</v>
      </c>
      <c r="G62" s="619" t="str">
        <f t="shared" ref="G62:AF62" si="32">IF(G$9=0,"",+(G44*10)/G$9)</f>
        <v/>
      </c>
      <c r="H62" s="619" t="str">
        <f t="shared" si="32"/>
        <v/>
      </c>
      <c r="I62" s="619">
        <f t="shared" si="32"/>
        <v>0.4896008773647722</v>
      </c>
      <c r="J62" s="619">
        <f t="shared" si="32"/>
        <v>0.27770372345152405</v>
      </c>
      <c r="K62" s="619">
        <f t="shared" si="32"/>
        <v>0.28052589253988142</v>
      </c>
      <c r="L62" s="619">
        <f t="shared" si="32"/>
        <v>10.570824524312895</v>
      </c>
      <c r="M62" s="619">
        <f t="shared" si="32"/>
        <v>0.61654181694873456</v>
      </c>
      <c r="N62" s="619" t="str">
        <f t="shared" si="32"/>
        <v/>
      </c>
      <c r="O62" s="619" t="str">
        <f t="shared" si="32"/>
        <v/>
      </c>
      <c r="P62" s="619">
        <f t="shared" si="32"/>
        <v>0.28933443820510801</v>
      </c>
      <c r="Q62" s="619">
        <f t="shared" si="32"/>
        <v>0.24868198547697204</v>
      </c>
      <c r="R62" s="619">
        <f t="shared" si="32"/>
        <v>0.31835691448478476</v>
      </c>
      <c r="S62" s="619">
        <f t="shared" si="32"/>
        <v>0.15969652746043211</v>
      </c>
      <c r="T62" s="619">
        <f t="shared" si="32"/>
        <v>0.17163453286801303</v>
      </c>
      <c r="U62" s="619" t="str">
        <f t="shared" si="32"/>
        <v/>
      </c>
      <c r="V62" s="619" t="str">
        <f t="shared" si="32"/>
        <v/>
      </c>
      <c r="W62" s="619">
        <f t="shared" si="32"/>
        <v>0.28614759492946462</v>
      </c>
      <c r="X62" s="619">
        <f t="shared" si="32"/>
        <v>0.22715914769887782</v>
      </c>
      <c r="Y62" s="619" t="str">
        <f t="shared" si="17"/>
        <v/>
      </c>
      <c r="Z62" s="619">
        <f t="shared" si="32"/>
        <v>0.21205759484275929</v>
      </c>
      <c r="AA62" s="619">
        <f t="shared" si="32"/>
        <v>0.11466837904779377</v>
      </c>
      <c r="AB62" s="619" t="str">
        <f t="shared" si="32"/>
        <v/>
      </c>
      <c r="AC62" s="619" t="str">
        <f t="shared" si="18"/>
        <v/>
      </c>
      <c r="AD62" s="619">
        <f t="shared" si="32"/>
        <v>1.2692368713311122</v>
      </c>
      <c r="AE62" s="619">
        <f t="shared" si="32"/>
        <v>0.35259509993552546</v>
      </c>
      <c r="AF62" s="619" t="str">
        <f t="shared" si="32"/>
        <v/>
      </c>
      <c r="AG62" s="619"/>
      <c r="AH62" s="629">
        <f t="shared" si="13"/>
        <v>0.28567609894389012</v>
      </c>
      <c r="AI62" s="629">
        <v>0.1</v>
      </c>
      <c r="AJ62" s="621">
        <f>AI62-AH62</f>
        <v>-0.18567609894389012</v>
      </c>
    </row>
    <row r="63" spans="1:59" s="577" customFormat="1" x14ac:dyDescent="0.35">
      <c r="A63" s="612" t="s">
        <v>130</v>
      </c>
      <c r="B63" s="623">
        <f t="shared" ref="B63:C63" si="33">IF(B$9=0,"",+(B45*10)/B$9)</f>
        <v>0.2814364516492176</v>
      </c>
      <c r="C63" s="623">
        <f t="shared" si="33"/>
        <v>0.73862833506750414</v>
      </c>
      <c r="D63" s="623">
        <f>IF(D$9=0,"",+(D45*10)/D$9)</f>
        <v>0.50359567310597664</v>
      </c>
      <c r="E63" s="643">
        <f t="shared" ref="E63:AF63" si="34">IF(E$9=0,"",+(E45*10)/E$9)</f>
        <v>0.48456284780135983</v>
      </c>
      <c r="F63" s="643">
        <f t="shared" si="34"/>
        <v>0.54646003191326575</v>
      </c>
      <c r="G63" s="643" t="str">
        <f t="shared" si="34"/>
        <v/>
      </c>
      <c r="H63" s="643" t="str">
        <f t="shared" si="34"/>
        <v/>
      </c>
      <c r="I63" s="643">
        <f t="shared" si="34"/>
        <v>0.58752105283772671</v>
      </c>
      <c r="J63" s="643">
        <f t="shared" si="34"/>
        <v>0.38878521283213363</v>
      </c>
      <c r="K63" s="643">
        <f t="shared" si="34"/>
        <v>0.40520406700205092</v>
      </c>
      <c r="L63" s="643">
        <f t="shared" si="34"/>
        <v>17.618040873854827</v>
      </c>
      <c r="M63" s="643">
        <f t="shared" si="34"/>
        <v>1.0789481796602856</v>
      </c>
      <c r="N63" s="643" t="str">
        <f t="shared" si="34"/>
        <v/>
      </c>
      <c r="O63" s="643" t="str">
        <f t="shared" si="34"/>
        <v/>
      </c>
      <c r="P63" s="623">
        <f t="shared" si="34"/>
        <v>0.40506821348715122</v>
      </c>
      <c r="Q63" s="623">
        <f t="shared" si="34"/>
        <v>0.27128943870215133</v>
      </c>
      <c r="R63" s="643">
        <f t="shared" si="34"/>
        <v>0.38657625330295298</v>
      </c>
      <c r="S63" s="643">
        <f t="shared" si="34"/>
        <v>0.27025566185611588</v>
      </c>
      <c r="T63" s="623">
        <f t="shared" si="34"/>
        <v>0.28605755478002176</v>
      </c>
      <c r="U63" s="623" t="str">
        <f t="shared" si="34"/>
        <v/>
      </c>
      <c r="V63" s="623" t="str">
        <f t="shared" si="34"/>
        <v/>
      </c>
      <c r="W63" s="623">
        <f t="shared" si="34"/>
        <v>0.48645091138008983</v>
      </c>
      <c r="X63" s="623">
        <f t="shared" si="34"/>
        <v>0.26846081091685559</v>
      </c>
      <c r="Y63" s="623" t="str">
        <f t="shared" si="17"/>
        <v/>
      </c>
      <c r="Z63" s="623">
        <f t="shared" si="34"/>
        <v>0.45945812215931181</v>
      </c>
      <c r="AA63" s="623">
        <f t="shared" si="34"/>
        <v>0.28667094761948442</v>
      </c>
      <c r="AB63" s="623" t="str">
        <f t="shared" si="34"/>
        <v/>
      </c>
      <c r="AC63" s="623" t="str">
        <f t="shared" si="18"/>
        <v/>
      </c>
      <c r="AD63" s="623">
        <f t="shared" si="34"/>
        <v>0.79327304458194514</v>
      </c>
      <c r="AE63" s="623">
        <f t="shared" si="34"/>
        <v>0.70519019987105092</v>
      </c>
      <c r="AF63" s="623" t="str">
        <f t="shared" si="34"/>
        <v/>
      </c>
      <c r="AG63" s="623"/>
      <c r="AH63" s="624">
        <f>+(AH45*10)/AH$9</f>
        <v>0.45654778429350668</v>
      </c>
      <c r="AI63" s="624">
        <v>0.6</v>
      </c>
      <c r="AJ63" s="625">
        <f t="shared" ref="AJ63:AJ67" si="35">AI63-AH63</f>
        <v>0.1434522157064933</v>
      </c>
      <c r="AK63" s="547"/>
      <c r="AL63" s="547"/>
      <c r="AM63" s="547"/>
      <c r="AN63" s="547"/>
      <c r="AO63" s="547"/>
      <c r="AP63" s="547"/>
      <c r="AQ63" s="547"/>
      <c r="AR63" s="547"/>
      <c r="AS63" s="547"/>
      <c r="AT63" s="547"/>
      <c r="AU63" s="547"/>
      <c r="AV63" s="547"/>
      <c r="AW63" s="547"/>
      <c r="AX63" s="547"/>
      <c r="AY63" s="547"/>
      <c r="AZ63" s="547"/>
      <c r="BA63" s="547"/>
      <c r="BB63" s="547"/>
      <c r="BC63" s="547"/>
      <c r="BD63" s="547"/>
      <c r="BE63" s="547"/>
      <c r="BF63" s="547"/>
      <c r="BG63" s="547"/>
    </row>
    <row r="64" spans="1:59" s="648" customFormat="1" x14ac:dyDescent="0.35">
      <c r="A64" s="644" t="s">
        <v>167</v>
      </c>
      <c r="B64" s="619"/>
      <c r="C64" s="619"/>
      <c r="D64" s="619"/>
      <c r="E64" s="619"/>
      <c r="F64" s="619"/>
      <c r="G64" s="619"/>
      <c r="H64" s="619"/>
      <c r="I64" s="619"/>
      <c r="J64" s="619"/>
      <c r="K64" s="619"/>
      <c r="L64" s="619"/>
      <c r="M64" s="619"/>
      <c r="N64" s="619"/>
      <c r="O64" s="619"/>
      <c r="P64" s="619"/>
      <c r="Q64" s="619"/>
      <c r="R64" s="619"/>
      <c r="S64" s="619"/>
      <c r="T64" s="619"/>
      <c r="U64" s="619"/>
      <c r="V64" s="619"/>
      <c r="W64" s="619"/>
      <c r="X64" s="619"/>
      <c r="Y64" s="619"/>
      <c r="Z64" s="619"/>
      <c r="AA64" s="619"/>
      <c r="AB64" s="619"/>
      <c r="AC64" s="619"/>
      <c r="AD64" s="619"/>
      <c r="AE64" s="619"/>
      <c r="AF64" s="619"/>
      <c r="AG64" s="619"/>
      <c r="AH64" s="629"/>
      <c r="AI64" s="645">
        <v>0.5</v>
      </c>
      <c r="AJ64" s="646">
        <f t="shared" si="35"/>
        <v>0.5</v>
      </c>
      <c r="AK64" s="647"/>
      <c r="AL64" s="292"/>
      <c r="AM64" s="647"/>
      <c r="AN64" s="647"/>
      <c r="AO64" s="647"/>
      <c r="AP64" s="647"/>
      <c r="AQ64" s="647"/>
      <c r="AR64" s="647"/>
      <c r="AS64" s="647"/>
      <c r="AT64" s="647"/>
      <c r="AU64" s="647"/>
      <c r="AV64" s="647"/>
      <c r="AW64" s="647"/>
      <c r="AX64" s="647"/>
      <c r="AY64" s="647"/>
      <c r="AZ64" s="647"/>
      <c r="BA64" s="647"/>
      <c r="BB64" s="647"/>
      <c r="BC64" s="647"/>
      <c r="BD64" s="647"/>
      <c r="BE64" s="647"/>
      <c r="BF64" s="647"/>
      <c r="BG64" s="647"/>
    </row>
    <row r="65" spans="1:59" s="577" customFormat="1" x14ac:dyDescent="0.35">
      <c r="A65" s="612" t="s">
        <v>202</v>
      </c>
      <c r="B65" s="623">
        <f t="shared" ref="B65:C65" si="36">IF(B$9=0,"",+(B46*10)/B$9)</f>
        <v>0</v>
      </c>
      <c r="C65" s="623">
        <f t="shared" si="36"/>
        <v>0</v>
      </c>
      <c r="D65" s="623">
        <f>IF(D$9=0,"",+(D46*10)/D$9)</f>
        <v>0</v>
      </c>
      <c r="E65" s="649">
        <f t="shared" ref="E65:AF65" si="37">IF(E$9=0,"",+(E46*10)/E$9)</f>
        <v>0</v>
      </c>
      <c r="F65" s="649">
        <f t="shared" si="37"/>
        <v>0</v>
      </c>
      <c r="G65" s="649" t="str">
        <f t="shared" si="37"/>
        <v/>
      </c>
      <c r="H65" s="623" t="str">
        <f t="shared" si="37"/>
        <v/>
      </c>
      <c r="I65" s="623">
        <f t="shared" si="37"/>
        <v>0</v>
      </c>
      <c r="J65" s="623">
        <f>IF(J$9=0,"",+(J46*10)/J$9)</f>
        <v>0</v>
      </c>
      <c r="K65" s="623">
        <f t="shared" si="37"/>
        <v>0</v>
      </c>
      <c r="L65" s="649">
        <f t="shared" si="37"/>
        <v>0</v>
      </c>
      <c r="M65" s="623">
        <f t="shared" si="37"/>
        <v>0</v>
      </c>
      <c r="N65" s="623" t="str">
        <f t="shared" si="37"/>
        <v/>
      </c>
      <c r="O65" s="623" t="str">
        <f t="shared" si="37"/>
        <v/>
      </c>
      <c r="P65" s="623">
        <f t="shared" si="37"/>
        <v>0</v>
      </c>
      <c r="Q65" s="623">
        <f t="shared" si="37"/>
        <v>0</v>
      </c>
      <c r="R65" s="623">
        <f t="shared" si="37"/>
        <v>0</v>
      </c>
      <c r="S65" s="623">
        <f t="shared" si="37"/>
        <v>0</v>
      </c>
      <c r="T65" s="623">
        <f t="shared" si="37"/>
        <v>0</v>
      </c>
      <c r="U65" s="623" t="str">
        <f t="shared" si="37"/>
        <v/>
      </c>
      <c r="V65" s="649" t="str">
        <f t="shared" si="37"/>
        <v/>
      </c>
      <c r="W65" s="649">
        <f t="shared" si="37"/>
        <v>0</v>
      </c>
      <c r="X65" s="649">
        <f t="shared" si="37"/>
        <v>0</v>
      </c>
      <c r="Y65" s="649" t="str">
        <f>IF(Y$9=0,"",+(Y46*10)/Y$9)</f>
        <v/>
      </c>
      <c r="Z65" s="649">
        <f t="shared" si="37"/>
        <v>0</v>
      </c>
      <c r="AA65" s="649">
        <f t="shared" si="37"/>
        <v>0</v>
      </c>
      <c r="AB65" s="649" t="str">
        <f t="shared" si="37"/>
        <v/>
      </c>
      <c r="AC65" s="649" t="str">
        <f>IF(AC$9=0,"",+(AC46*10)/AC$9)</f>
        <v/>
      </c>
      <c r="AD65" s="649">
        <f t="shared" si="37"/>
        <v>0</v>
      </c>
      <c r="AE65" s="649">
        <f t="shared" si="37"/>
        <v>0</v>
      </c>
      <c r="AF65" s="649" t="str">
        <f t="shared" si="37"/>
        <v/>
      </c>
      <c r="AG65" s="649"/>
      <c r="AH65" s="624">
        <f>+(AH46*10)/AH$9</f>
        <v>0</v>
      </c>
      <c r="AI65" s="624">
        <v>0.3</v>
      </c>
      <c r="AJ65" s="625">
        <f t="shared" si="35"/>
        <v>0.3</v>
      </c>
      <c r="AK65" s="547"/>
      <c r="AL65" s="547"/>
      <c r="AM65" s="547"/>
      <c r="AN65" s="547"/>
      <c r="AO65" s="547"/>
      <c r="AP65" s="547"/>
      <c r="AQ65" s="547"/>
      <c r="AR65" s="547"/>
      <c r="AS65" s="547"/>
      <c r="AT65" s="547"/>
      <c r="AU65" s="547"/>
      <c r="AV65" s="547"/>
      <c r="AW65" s="547"/>
      <c r="AX65" s="547"/>
      <c r="AY65" s="547"/>
      <c r="AZ65" s="547"/>
      <c r="BA65" s="547"/>
      <c r="BB65" s="547"/>
      <c r="BC65" s="547"/>
      <c r="BD65" s="547"/>
      <c r="BE65" s="547"/>
      <c r="BF65" s="547"/>
      <c r="BG65" s="547"/>
    </row>
    <row r="66" spans="1:59" s="648" customFormat="1" hidden="1" x14ac:dyDescent="0.35">
      <c r="A66" s="644" t="s">
        <v>188</v>
      </c>
      <c r="B66" s="650"/>
      <c r="C66" s="650"/>
      <c r="D66" s="650"/>
      <c r="E66" s="650"/>
      <c r="F66" s="650"/>
      <c r="G66" s="650"/>
      <c r="H66" s="650"/>
      <c r="I66" s="650"/>
      <c r="J66" s="651"/>
      <c r="K66" s="651"/>
      <c r="L66" s="651"/>
      <c r="M66" s="651"/>
      <c r="N66" s="651"/>
      <c r="O66" s="651"/>
      <c r="P66" s="651"/>
      <c r="Q66" s="651"/>
      <c r="R66" s="651"/>
      <c r="S66" s="651"/>
      <c r="T66" s="651"/>
      <c r="U66" s="651"/>
      <c r="V66" s="651"/>
      <c r="W66" s="651"/>
      <c r="X66" s="651"/>
      <c r="Y66" s="651"/>
      <c r="Z66" s="651"/>
      <c r="AA66" s="651"/>
      <c r="AB66" s="651"/>
      <c r="AC66" s="651"/>
      <c r="AD66" s="651"/>
      <c r="AE66" s="651"/>
      <c r="AF66" s="651"/>
      <c r="AG66" s="651"/>
      <c r="AH66" s="645"/>
      <c r="AI66" s="645">
        <v>0.4</v>
      </c>
      <c r="AJ66" s="646">
        <f t="shared" si="35"/>
        <v>0.4</v>
      </c>
      <c r="AK66" s="647"/>
      <c r="AL66" s="292"/>
      <c r="AM66" s="647"/>
      <c r="AN66" s="647"/>
      <c r="AO66" s="647"/>
      <c r="AP66" s="647"/>
      <c r="AQ66" s="647"/>
      <c r="AR66" s="647"/>
      <c r="AS66" s="647"/>
      <c r="AT66" s="647"/>
      <c r="AU66" s="647"/>
      <c r="AV66" s="647"/>
      <c r="AW66" s="647"/>
      <c r="AX66" s="647"/>
      <c r="AY66" s="647"/>
      <c r="AZ66" s="647"/>
      <c r="BA66" s="647"/>
      <c r="BB66" s="647"/>
      <c r="BC66" s="647"/>
      <c r="BD66" s="647"/>
      <c r="BE66" s="647"/>
      <c r="BF66" s="647"/>
      <c r="BG66" s="647"/>
    </row>
    <row r="67" spans="1:59" s="627" customFormat="1" hidden="1" x14ac:dyDescent="0.35">
      <c r="A67" s="652" t="s">
        <v>201</v>
      </c>
      <c r="B67" s="653"/>
      <c r="C67" s="653"/>
      <c r="D67" s="653"/>
      <c r="E67" s="653"/>
      <c r="F67" s="653"/>
      <c r="G67" s="653"/>
      <c r="H67" s="653"/>
      <c r="I67" s="653"/>
      <c r="J67" s="654"/>
      <c r="K67" s="654"/>
      <c r="L67" s="654"/>
      <c r="M67" s="654"/>
      <c r="N67" s="654"/>
      <c r="O67" s="654"/>
      <c r="P67" s="654"/>
      <c r="Q67" s="654"/>
      <c r="R67" s="654"/>
      <c r="S67" s="654"/>
      <c r="T67" s="654"/>
      <c r="U67" s="654"/>
      <c r="V67" s="654"/>
      <c r="W67" s="654"/>
      <c r="X67" s="654"/>
      <c r="Y67" s="654"/>
      <c r="Z67" s="654"/>
      <c r="AA67" s="654"/>
      <c r="AB67" s="654"/>
      <c r="AC67" s="654"/>
      <c r="AD67" s="654"/>
      <c r="AE67" s="654"/>
      <c r="AF67" s="654"/>
      <c r="AG67" s="654"/>
      <c r="AH67" s="655"/>
      <c r="AI67" s="655">
        <v>0.2</v>
      </c>
      <c r="AJ67" s="656">
        <f t="shared" si="35"/>
        <v>0.2</v>
      </c>
      <c r="AK67" s="626"/>
      <c r="AL67" s="547"/>
      <c r="AM67" s="626"/>
      <c r="AN67" s="626"/>
      <c r="AO67" s="626"/>
      <c r="AP67" s="626"/>
      <c r="AQ67" s="626"/>
      <c r="AR67" s="626"/>
      <c r="AS67" s="626"/>
      <c r="AT67" s="626"/>
      <c r="AU67" s="626"/>
      <c r="AV67" s="626"/>
      <c r="AW67" s="626"/>
      <c r="AX67" s="626"/>
      <c r="AY67" s="626"/>
      <c r="AZ67" s="626"/>
      <c r="BA67" s="626"/>
      <c r="BB67" s="626"/>
      <c r="BC67" s="626"/>
      <c r="BD67" s="626"/>
      <c r="BE67" s="626"/>
      <c r="BF67" s="626"/>
      <c r="BG67" s="626"/>
    </row>
    <row r="68" spans="1:59" s="544" customFormat="1" ht="30" x14ac:dyDescent="0.4">
      <c r="A68" s="657" t="s">
        <v>225</v>
      </c>
      <c r="B68" s="658">
        <f>SUM(B54:B63,B65)</f>
        <v>9.5432542241052865</v>
      </c>
      <c r="C68" s="658">
        <f>SUM(C54:C63,C65)</f>
        <v>12.84571017508703</v>
      </c>
      <c r="D68" s="658">
        <f>SUM(D54:D63,D65)</f>
        <v>10.004767372372068</v>
      </c>
      <c r="E68" s="658">
        <f>SUM(E54:E63,E65)</f>
        <v>9.4107205704579897</v>
      </c>
      <c r="F68" s="658">
        <f t="shared" ref="F68:AJ68" si="38">SUM(F54:F63,F65)</f>
        <v>12.860026084358859</v>
      </c>
      <c r="G68" s="658">
        <f t="shared" si="38"/>
        <v>0</v>
      </c>
      <c r="H68" s="658">
        <f t="shared" si="38"/>
        <v>0</v>
      </c>
      <c r="I68" s="658">
        <f t="shared" si="38"/>
        <v>10.281618424660216</v>
      </c>
      <c r="J68" s="659">
        <f t="shared" si="38"/>
        <v>9.9695636719097109</v>
      </c>
      <c r="K68" s="659">
        <f t="shared" si="38"/>
        <v>10.847001178208748</v>
      </c>
      <c r="L68" s="659">
        <f t="shared" si="38"/>
        <v>415.785764622974</v>
      </c>
      <c r="M68" s="659">
        <f t="shared" si="38"/>
        <v>15.413545423718363</v>
      </c>
      <c r="N68" s="659">
        <f t="shared" si="38"/>
        <v>0</v>
      </c>
      <c r="O68" s="659">
        <f t="shared" si="38"/>
        <v>0</v>
      </c>
      <c r="P68" s="659">
        <f t="shared" si="38"/>
        <v>5.9410004644782184</v>
      </c>
      <c r="Q68" s="659">
        <f t="shared" si="38"/>
        <v>6.3979092627257357</v>
      </c>
      <c r="R68" s="659">
        <f t="shared" si="38"/>
        <v>7.7315250660590582</v>
      </c>
      <c r="S68" s="659">
        <f t="shared" si="38"/>
        <v>5.0857201822014542</v>
      </c>
      <c r="T68" s="659">
        <f t="shared" si="38"/>
        <v>6.5602532562884974</v>
      </c>
      <c r="U68" s="659">
        <f t="shared" si="38"/>
        <v>0</v>
      </c>
      <c r="V68" s="659">
        <f t="shared" si="38"/>
        <v>0</v>
      </c>
      <c r="W68" s="659">
        <f t="shared" si="38"/>
        <v>8.2124359744756337</v>
      </c>
      <c r="X68" s="659">
        <f t="shared" si="38"/>
        <v>8.7559526022112912</v>
      </c>
      <c r="Y68" s="659">
        <f t="shared" si="38"/>
        <v>0</v>
      </c>
      <c r="Z68" s="659">
        <f t="shared" si="38"/>
        <v>11.945911176142106</v>
      </c>
      <c r="AA68" s="659">
        <f t="shared" si="38"/>
        <v>5.9245329174693451</v>
      </c>
      <c r="AB68" s="659">
        <f t="shared" si="38"/>
        <v>0</v>
      </c>
      <c r="AC68" s="659">
        <f t="shared" si="38"/>
        <v>0</v>
      </c>
      <c r="AD68" s="659">
        <f t="shared" si="38"/>
        <v>11.687556190173991</v>
      </c>
      <c r="AE68" s="659">
        <f t="shared" si="38"/>
        <v>20.148291424887169</v>
      </c>
      <c r="AF68" s="659">
        <f t="shared" si="38"/>
        <v>0</v>
      </c>
      <c r="AG68" s="659"/>
      <c r="AH68" s="658">
        <f t="shared" si="38"/>
        <v>10.204243459472412</v>
      </c>
      <c r="AI68" s="658">
        <f>SUM(AI54:AI63,AI65)</f>
        <v>9.6</v>
      </c>
      <c r="AJ68" s="621">
        <f t="shared" si="38"/>
        <v>-0.60424345947241198</v>
      </c>
      <c r="AK68" s="541"/>
      <c r="AL68" s="292"/>
      <c r="AM68" s="541"/>
      <c r="AN68" s="541"/>
      <c r="AO68" s="541"/>
      <c r="AP68" s="541"/>
      <c r="AQ68" s="541"/>
      <c r="AR68" s="541"/>
      <c r="AS68" s="541"/>
      <c r="AT68" s="541"/>
      <c r="AU68" s="541"/>
      <c r="AV68" s="541"/>
      <c r="AW68" s="541"/>
      <c r="AX68" s="541"/>
      <c r="AY68" s="541"/>
      <c r="AZ68" s="541"/>
      <c r="BA68" s="541"/>
      <c r="BB68" s="541"/>
      <c r="BC68" s="541"/>
      <c r="BD68" s="541"/>
      <c r="BE68" s="541"/>
      <c r="BF68" s="541"/>
      <c r="BG68" s="541"/>
    </row>
    <row r="69" spans="1:59" s="664" customFormat="1" ht="25.5" x14ac:dyDescent="0.35">
      <c r="A69" s="660" t="s">
        <v>204</v>
      </c>
      <c r="B69" s="661">
        <f t="shared" ref="B69" si="39">SUM(B60:B62)</f>
        <v>2.814364516492176</v>
      </c>
      <c r="C69" s="661">
        <f>SUM(C60:C62)</f>
        <v>3.115084717458604</v>
      </c>
      <c r="D69" s="661">
        <f t="shared" ref="D69:AJ69" si="40">SUM(D60:D62)</f>
        <v>3.2230123078782507</v>
      </c>
      <c r="E69" s="661">
        <f t="shared" si="40"/>
        <v>2.6013373934599318</v>
      </c>
      <c r="F69" s="661">
        <f t="shared" si="40"/>
        <v>2.8780228347431995</v>
      </c>
      <c r="G69" s="661">
        <f t="shared" si="40"/>
        <v>0</v>
      </c>
      <c r="H69" s="661">
        <f t="shared" si="40"/>
        <v>0</v>
      </c>
      <c r="I69" s="661">
        <f t="shared" si="40"/>
        <v>3.0681654981525726</v>
      </c>
      <c r="J69" s="662">
        <f t="shared" si="40"/>
        <v>2.8881187238958503</v>
      </c>
      <c r="K69" s="662">
        <f t="shared" si="40"/>
        <v>3.023445730707611</v>
      </c>
      <c r="L69" s="662">
        <f t="shared" si="40"/>
        <v>56.377730796335449</v>
      </c>
      <c r="M69" s="662">
        <f t="shared" si="40"/>
        <v>4.7781990813526924</v>
      </c>
      <c r="N69" s="662">
        <f t="shared" si="40"/>
        <v>0</v>
      </c>
      <c r="O69" s="662">
        <f t="shared" si="40"/>
        <v>0</v>
      </c>
      <c r="P69" s="662">
        <f t="shared" si="40"/>
        <v>2.7197437191280156</v>
      </c>
      <c r="Q69" s="662">
        <f t="shared" si="40"/>
        <v>2.5998571208956167</v>
      </c>
      <c r="R69" s="662">
        <f t="shared" si="40"/>
        <v>3.2290487040599598</v>
      </c>
      <c r="S69" s="662">
        <f t="shared" si="40"/>
        <v>2.1251922500503659</v>
      </c>
      <c r="T69" s="662">
        <f t="shared" si="40"/>
        <v>2.3266014455441764</v>
      </c>
      <c r="U69" s="662">
        <f t="shared" si="40"/>
        <v>0</v>
      </c>
      <c r="V69" s="662">
        <f t="shared" si="40"/>
        <v>0</v>
      </c>
      <c r="W69" s="662">
        <f t="shared" si="40"/>
        <v>2.7756316708158066</v>
      </c>
      <c r="X69" s="662">
        <f t="shared" si="40"/>
        <v>3.1802280677842898</v>
      </c>
      <c r="Y69" s="662">
        <f t="shared" si="40"/>
        <v>0</v>
      </c>
      <c r="Z69" s="662">
        <f t="shared" si="40"/>
        <v>3.5696361798531142</v>
      </c>
      <c r="AA69" s="662">
        <f t="shared" si="40"/>
        <v>2.5035929425434968</v>
      </c>
      <c r="AB69" s="662">
        <f t="shared" si="40"/>
        <v>0</v>
      </c>
      <c r="AC69" s="662">
        <f t="shared" si="40"/>
        <v>0</v>
      </c>
      <c r="AD69" s="662">
        <f t="shared" si="40"/>
        <v>6.081760008461579</v>
      </c>
      <c r="AE69" s="662">
        <f t="shared" si="40"/>
        <v>5.389667956157318</v>
      </c>
      <c r="AF69" s="662">
        <f t="shared" si="40"/>
        <v>0</v>
      </c>
      <c r="AG69" s="662"/>
      <c r="AH69" s="661">
        <f t="shared" si="40"/>
        <v>3.2278729310575995</v>
      </c>
      <c r="AI69" s="661">
        <f t="shared" si="40"/>
        <v>2.9</v>
      </c>
      <c r="AJ69" s="661">
        <f t="shared" si="40"/>
        <v>-0.32787293105759974</v>
      </c>
      <c r="AK69" s="663"/>
      <c r="AL69" s="292"/>
      <c r="AM69" s="663"/>
      <c r="AN69" s="663"/>
      <c r="AO69" s="663"/>
      <c r="AP69" s="663"/>
      <c r="AQ69" s="663"/>
      <c r="AR69" s="663"/>
      <c r="AS69" s="663"/>
      <c r="AT69" s="663"/>
      <c r="AU69" s="663"/>
      <c r="AV69" s="663"/>
      <c r="AW69" s="663"/>
      <c r="AX69" s="663"/>
      <c r="AY69" s="663"/>
      <c r="AZ69" s="663"/>
      <c r="BA69" s="663"/>
      <c r="BB69" s="663"/>
      <c r="BC69" s="663"/>
      <c r="BD69" s="663"/>
      <c r="BE69" s="663"/>
      <c r="BF69" s="663"/>
      <c r="BG69" s="663"/>
    </row>
    <row r="70" spans="1:59" x14ac:dyDescent="0.35">
      <c r="A70" s="604"/>
      <c r="B70" s="557"/>
      <c r="C70" s="557"/>
      <c r="D70" s="557"/>
      <c r="E70" s="557"/>
      <c r="F70" s="557"/>
      <c r="G70" s="557"/>
      <c r="H70" s="557"/>
      <c r="I70" s="557"/>
      <c r="J70" s="593"/>
      <c r="K70" s="593"/>
      <c r="L70" s="593"/>
      <c r="M70" s="593"/>
      <c r="N70" s="593"/>
      <c r="O70" s="593"/>
      <c r="P70" s="593"/>
      <c r="Q70" s="593"/>
      <c r="R70" s="593"/>
      <c r="S70" s="593"/>
      <c r="T70" s="593"/>
      <c r="U70" s="593"/>
      <c r="V70" s="593"/>
      <c r="W70" s="593"/>
      <c r="X70" s="593"/>
      <c r="Y70" s="593"/>
      <c r="Z70" s="593"/>
      <c r="AA70" s="593"/>
      <c r="AB70" s="593"/>
      <c r="AC70" s="593"/>
      <c r="AD70" s="593"/>
      <c r="AE70" s="593"/>
      <c r="AH70" s="557"/>
      <c r="AI70" s="557"/>
    </row>
    <row r="71" spans="1:59" s="670" customFormat="1" ht="52.5" x14ac:dyDescent="0.4">
      <c r="A71" s="665" t="s">
        <v>234</v>
      </c>
      <c r="B71" s="666">
        <f>+'Water '!$F7</f>
        <v>226</v>
      </c>
      <c r="C71" s="666">
        <f>+'Water '!$F8</f>
        <v>143</v>
      </c>
      <c r="D71" s="666">
        <f>+'Water '!$F9</f>
        <v>5</v>
      </c>
      <c r="E71" s="666">
        <f>+'Water '!$F10</f>
        <v>479</v>
      </c>
      <c r="F71" s="666">
        <f>+'Water '!$F11</f>
        <v>272</v>
      </c>
      <c r="G71" s="666">
        <f>+'Water '!$F12</f>
        <v>93</v>
      </c>
      <c r="H71" s="666" t="str">
        <f>+'Water '!$F13</f>
        <v>0</v>
      </c>
      <c r="I71" s="666">
        <f>+'Water '!$F14</f>
        <v>152</v>
      </c>
      <c r="J71" s="667">
        <f>+'Water '!$F15</f>
        <v>54</v>
      </c>
      <c r="K71" s="667">
        <f>+'Water '!$F16</f>
        <v>115</v>
      </c>
      <c r="L71" s="667">
        <f>+'Water '!$F17</f>
        <v>242</v>
      </c>
      <c r="M71" s="667">
        <f>+'Water '!$F18</f>
        <v>84</v>
      </c>
      <c r="N71" s="667">
        <f>+'Water '!$F19</f>
        <v>80</v>
      </c>
      <c r="O71" s="667">
        <f>+'Water '!$F20</f>
        <v>74</v>
      </c>
      <c r="P71" s="667">
        <f>+'Water '!$F21</f>
        <v>169</v>
      </c>
      <c r="Q71" s="667">
        <f>+'Water '!$F22</f>
        <v>131</v>
      </c>
      <c r="R71" s="667">
        <f>+'Water '!$F23</f>
        <v>196</v>
      </c>
      <c r="S71" s="667">
        <f>+'Water '!$F24</f>
        <v>236</v>
      </c>
      <c r="T71" s="667">
        <f>+'Water '!$F25</f>
        <v>243</v>
      </c>
      <c r="U71" s="667" t="str">
        <f>+'Water '!$F26</f>
        <v>0</v>
      </c>
      <c r="V71" s="667">
        <f>+'Water '!$F27</f>
        <v>52</v>
      </c>
      <c r="W71" s="667">
        <f>+'Water '!$F28</f>
        <v>142</v>
      </c>
      <c r="X71" s="667">
        <f>+'Water '!$F29</f>
        <v>59</v>
      </c>
      <c r="Y71" s="667">
        <f>+'Water '!$F30</f>
        <v>130</v>
      </c>
      <c r="Z71" s="667">
        <f>+'Water '!$F31</f>
        <v>132</v>
      </c>
      <c r="AA71" s="667">
        <f>+'Water '!$F32</f>
        <v>193</v>
      </c>
      <c r="AB71" s="667">
        <f>+'Water '!$F33</f>
        <v>154</v>
      </c>
      <c r="AC71" s="667" t="str">
        <f>+'Water '!$F34</f>
        <v>0</v>
      </c>
      <c r="AD71" s="667">
        <f>+'Water '!$F35</f>
        <v>65</v>
      </c>
      <c r="AE71" s="667">
        <f>+'Water '!$F36</f>
        <v>194</v>
      </c>
      <c r="AF71" s="667" t="str">
        <f>+'Water '!$F37</f>
        <v>0</v>
      </c>
      <c r="AG71" s="667"/>
      <c r="AH71" s="668">
        <f>SUM($B71:AF71)</f>
        <v>4115</v>
      </c>
      <c r="AI71" s="668"/>
      <c r="AJ71" s="669"/>
      <c r="AK71" s="669"/>
      <c r="AL71" s="669"/>
      <c r="AM71" s="669"/>
      <c r="AN71" s="669"/>
      <c r="AO71" s="669"/>
      <c r="AP71" s="669"/>
      <c r="AQ71" s="669"/>
      <c r="AR71" s="669"/>
      <c r="AS71" s="669"/>
      <c r="AT71" s="669"/>
      <c r="AU71" s="669"/>
      <c r="AV71" s="669"/>
      <c r="AW71" s="669"/>
      <c r="AX71" s="669"/>
      <c r="AY71" s="669"/>
      <c r="AZ71" s="669"/>
      <c r="BA71" s="669"/>
      <c r="BB71" s="669"/>
      <c r="BC71" s="669"/>
      <c r="BD71" s="669"/>
      <c r="BE71" s="669"/>
      <c r="BF71" s="669"/>
      <c r="BG71" s="669"/>
    </row>
    <row r="72" spans="1:59" x14ac:dyDescent="0.35">
      <c r="A72" s="604"/>
      <c r="B72" s="557"/>
      <c r="C72" s="557"/>
      <c r="D72" s="557"/>
      <c r="E72" s="557"/>
      <c r="F72" s="557"/>
      <c r="G72" s="557"/>
      <c r="H72" s="557"/>
      <c r="I72" s="557"/>
      <c r="J72" s="593"/>
      <c r="K72" s="593"/>
      <c r="L72" s="593"/>
      <c r="M72" s="593"/>
      <c r="N72" s="593"/>
      <c r="O72" s="593"/>
      <c r="P72" s="593"/>
      <c r="Q72" s="593"/>
      <c r="R72" s="593"/>
      <c r="S72" s="593"/>
      <c r="T72" s="593"/>
      <c r="U72" s="593"/>
      <c r="V72" s="593"/>
      <c r="W72" s="593"/>
      <c r="X72" s="593"/>
      <c r="Y72" s="593"/>
      <c r="Z72" s="593"/>
      <c r="AA72" s="593"/>
      <c r="AB72" s="593"/>
      <c r="AC72" s="593"/>
      <c r="AD72" s="593"/>
      <c r="AE72" s="593"/>
      <c r="AH72" s="557"/>
      <c r="AI72" s="557"/>
    </row>
    <row r="73" spans="1:59" ht="25.5" hidden="1" customHeight="1" x14ac:dyDescent="0.5">
      <c r="A73" s="671" t="s">
        <v>242</v>
      </c>
      <c r="B73" s="557"/>
      <c r="C73" s="557"/>
      <c r="D73" s="557"/>
      <c r="E73" s="557"/>
      <c r="F73" s="593"/>
      <c r="G73" s="593"/>
      <c r="H73" s="593"/>
      <c r="I73" s="593"/>
      <c r="J73" s="593"/>
      <c r="K73" s="593"/>
      <c r="L73" s="593"/>
      <c r="M73" s="593"/>
      <c r="N73" s="593"/>
      <c r="O73" s="593"/>
      <c r="P73" s="593"/>
      <c r="Q73" s="593"/>
      <c r="R73" s="593"/>
      <c r="S73" s="593"/>
      <c r="T73" s="593"/>
      <c r="U73" s="593"/>
      <c r="V73" s="593"/>
      <c r="W73" s="593"/>
      <c r="X73" s="593"/>
      <c r="Y73" s="593"/>
      <c r="Z73" s="593"/>
      <c r="AA73" s="593"/>
      <c r="AB73" s="593"/>
      <c r="AC73" s="593"/>
      <c r="AD73" s="593"/>
      <c r="AE73" s="593"/>
      <c r="AF73" s="593"/>
      <c r="AG73" s="593"/>
      <c r="AH73" s="593">
        <f>SUM(B73:AF73)</f>
        <v>0</v>
      </c>
      <c r="AI73" s="672"/>
    </row>
    <row r="74" spans="1:59" s="577" customFormat="1" ht="37.5" customHeight="1" x14ac:dyDescent="0.5">
      <c r="A74" s="603" t="s">
        <v>224</v>
      </c>
      <c r="B74" s="673">
        <v>2400</v>
      </c>
      <c r="C74" s="812">
        <v>2000</v>
      </c>
      <c r="D74" s="674">
        <v>1800</v>
      </c>
      <c r="E74" s="816">
        <v>1400</v>
      </c>
      <c r="F74" s="816">
        <f>600+900</f>
        <v>1500</v>
      </c>
      <c r="G74" s="816"/>
      <c r="H74" s="810">
        <v>3000</v>
      </c>
      <c r="I74" s="674">
        <v>1600</v>
      </c>
      <c r="J74" s="674">
        <v>1400</v>
      </c>
      <c r="K74" s="674">
        <v>1100</v>
      </c>
      <c r="L74" s="674">
        <v>0</v>
      </c>
      <c r="M74" s="674">
        <v>300</v>
      </c>
      <c r="N74" s="674">
        <v>0</v>
      </c>
      <c r="O74" s="831">
        <v>1800</v>
      </c>
      <c r="P74" s="674">
        <v>2200</v>
      </c>
      <c r="Q74" s="674">
        <v>2300</v>
      </c>
      <c r="R74" s="836">
        <v>3000</v>
      </c>
      <c r="S74" s="673">
        <v>2400</v>
      </c>
      <c r="T74" s="673">
        <v>3300</v>
      </c>
      <c r="U74" s="673">
        <v>0</v>
      </c>
      <c r="V74" s="673"/>
      <c r="W74" s="673">
        <v>800</v>
      </c>
      <c r="X74" s="673">
        <v>2400</v>
      </c>
      <c r="Y74" s="673">
        <v>800</v>
      </c>
      <c r="Z74" s="673">
        <v>1000</v>
      </c>
      <c r="AA74" s="673">
        <v>3100</v>
      </c>
      <c r="AB74" s="673">
        <v>0</v>
      </c>
      <c r="AC74" s="810">
        <v>2000</v>
      </c>
      <c r="AD74" s="866">
        <f>1100+700</f>
        <v>1800</v>
      </c>
      <c r="AE74" s="867">
        <v>1300</v>
      </c>
      <c r="AF74" s="867">
        <v>0</v>
      </c>
      <c r="AG74" s="673">
        <v>0</v>
      </c>
      <c r="AH74" s="589">
        <f>SUM(B74:AF74)</f>
        <v>44700</v>
      </c>
      <c r="AI74" s="611"/>
      <c r="AJ74" s="611"/>
      <c r="AK74" s="547"/>
      <c r="AL74" s="547"/>
      <c r="AM74" s="547"/>
      <c r="AN74" s="547"/>
      <c r="AO74" s="547"/>
      <c r="AP74" s="547"/>
      <c r="AQ74" s="547"/>
      <c r="AR74" s="547"/>
      <c r="AS74" s="547"/>
      <c r="AT74" s="547"/>
      <c r="AU74" s="547"/>
      <c r="AV74" s="547"/>
      <c r="AW74" s="547"/>
      <c r="AX74" s="547"/>
      <c r="AY74" s="547"/>
      <c r="AZ74" s="547"/>
      <c r="BA74" s="547"/>
      <c r="BB74" s="547"/>
      <c r="BC74" s="547"/>
      <c r="BD74" s="547"/>
      <c r="BE74" s="547"/>
      <c r="BF74" s="547"/>
      <c r="BG74" s="547"/>
    </row>
    <row r="75" spans="1:59" s="679" customFormat="1" x14ac:dyDescent="0.4">
      <c r="A75" s="677" t="s">
        <v>266</v>
      </c>
      <c r="B75" s="678" cm="1">
        <f t="array" ref="B75:AF75">TRANSPOSE('CO2'!D7:D37)</f>
        <v>2513.9000000000015</v>
      </c>
      <c r="C75" s="678">
        <v>1992.0599999999977</v>
      </c>
      <c r="D75" s="678">
        <v>1666.9099999999962</v>
      </c>
      <c r="E75" s="678">
        <v>1422.3800000000047</v>
      </c>
      <c r="F75" s="678">
        <v>1516.5299999999988</v>
      </c>
      <c r="G75" s="678" t="str">
        <v>0</v>
      </c>
      <c r="H75" s="678" t="str">
        <v>0</v>
      </c>
      <c r="I75" s="678">
        <v>1434.2400000000052</v>
      </c>
      <c r="J75" s="678">
        <v>1951.3699999999953</v>
      </c>
      <c r="K75" s="678">
        <v>1508.0500000000029</v>
      </c>
      <c r="L75" s="678">
        <v>272.22000000000116</v>
      </c>
      <c r="M75" s="678">
        <v>401.61000000000058</v>
      </c>
      <c r="N75" s="678" t="str">
        <v>0</v>
      </c>
      <c r="O75" s="678" t="str">
        <v>0</v>
      </c>
      <c r="P75" s="678">
        <v>2220.1199999999953</v>
      </c>
      <c r="Q75" s="678">
        <v>2342.7899999999936</v>
      </c>
      <c r="R75" s="837">
        <v>2373.7300000000105</v>
      </c>
      <c r="S75" s="678">
        <v>3353.9599999999919</v>
      </c>
      <c r="T75" s="678">
        <v>2876.2400000000052</v>
      </c>
      <c r="U75" s="678" t="str">
        <v>0</v>
      </c>
      <c r="V75" s="678">
        <v>1.8699999999953434</v>
      </c>
      <c r="W75" s="678">
        <v>1702.9000000000087</v>
      </c>
      <c r="X75" s="678">
        <v>2375.5499999999884</v>
      </c>
      <c r="Y75" s="675">
        <v>315.85000000000582</v>
      </c>
      <c r="Z75" s="676">
        <v>1667.9100000000035</v>
      </c>
      <c r="AA75" s="676">
        <v>2874.2899999999936</v>
      </c>
      <c r="AB75" s="676" t="str">
        <v>0</v>
      </c>
      <c r="AC75" s="676" t="str">
        <v>0</v>
      </c>
      <c r="AD75" s="676">
        <v>1773.6300000000047</v>
      </c>
      <c r="AE75" s="675">
        <v>1362.1900000000023</v>
      </c>
      <c r="AF75" s="676" t="str">
        <v>0</v>
      </c>
      <c r="AG75" s="675"/>
      <c r="AH75" s="589">
        <f>SUM(B75:AF75)</f>
        <v>39920.300000000003</v>
      </c>
      <c r="AI75" s="676"/>
      <c r="AJ75" s="676"/>
      <c r="AK75" s="676"/>
      <c r="AL75" s="676"/>
      <c r="AM75" s="676"/>
      <c r="AN75" s="676"/>
      <c r="AO75" s="676"/>
      <c r="AP75" s="676"/>
      <c r="AQ75" s="676"/>
      <c r="AR75" s="676"/>
      <c r="AS75" s="676"/>
      <c r="AT75" s="676"/>
      <c r="AU75" s="676"/>
      <c r="AV75" s="676"/>
      <c r="AW75" s="676"/>
      <c r="AX75" s="676"/>
      <c r="AY75" s="676"/>
      <c r="AZ75" s="676"/>
      <c r="BA75" s="676"/>
      <c r="BB75" s="676"/>
      <c r="BC75" s="676"/>
      <c r="BD75" s="676"/>
      <c r="BE75" s="676"/>
      <c r="BF75" s="676"/>
    </row>
    <row r="76" spans="1:59" s="680" customFormat="1" x14ac:dyDescent="0.2">
      <c r="A76" s="680" t="s">
        <v>286</v>
      </c>
      <c r="B76" s="681" cm="1">
        <f t="array" ref="B76:AF76">TRANSPOSE('CO2'!B7:B37)</f>
        <v>282.29999999999927</v>
      </c>
      <c r="C76" s="681">
        <v>246.92000000000007</v>
      </c>
      <c r="D76" s="681">
        <v>247.10000000000036</v>
      </c>
      <c r="E76" s="681">
        <v>268.92000000000007</v>
      </c>
      <c r="F76" s="681">
        <v>216.39999999999964</v>
      </c>
      <c r="G76" s="681" t="str">
        <v>0</v>
      </c>
      <c r="H76" s="681" t="str">
        <v>0</v>
      </c>
      <c r="I76" s="681">
        <v>228.92000000000007</v>
      </c>
      <c r="J76" s="681">
        <v>301.05999999999949</v>
      </c>
      <c r="K76" s="681">
        <v>252.03000000000065</v>
      </c>
      <c r="L76" s="681">
        <v>85.889999999999418</v>
      </c>
      <c r="M76" s="681">
        <v>27.059999999999491</v>
      </c>
      <c r="N76" s="681" t="str">
        <v>0</v>
      </c>
      <c r="O76" s="681">
        <v>3.1400000000012369</v>
      </c>
      <c r="P76" s="681">
        <v>402.07999999999993</v>
      </c>
      <c r="Q76" s="681">
        <v>355.10000000000036</v>
      </c>
      <c r="R76" s="681">
        <v>428.8799999999992</v>
      </c>
      <c r="S76" s="681">
        <v>596.8700000000008</v>
      </c>
      <c r="T76" s="681">
        <v>415.84000000000015</v>
      </c>
      <c r="U76" s="681" t="str">
        <v>0</v>
      </c>
      <c r="V76" s="681" t="str">
        <v>0</v>
      </c>
      <c r="W76" s="681">
        <v>312.17000000000007</v>
      </c>
      <c r="X76" s="681">
        <v>397.22999999999956</v>
      </c>
      <c r="Y76" s="681" t="str">
        <v>0</v>
      </c>
      <c r="Z76" s="681">
        <v>265.36000000000058</v>
      </c>
      <c r="AA76" s="681">
        <v>406.95999999999913</v>
      </c>
      <c r="AB76" s="681" t="str">
        <v>0</v>
      </c>
      <c r="AC76" s="681" t="str">
        <v>0</v>
      </c>
      <c r="AD76" s="681">
        <v>296.88000000000102</v>
      </c>
      <c r="AE76" s="681">
        <v>325.6299999999992</v>
      </c>
      <c r="AF76" s="681" t="str">
        <v>0</v>
      </c>
      <c r="AG76" s="681"/>
      <c r="AH76" s="681">
        <f>SUM($B76:AF76)</f>
        <v>6362.74</v>
      </c>
      <c r="AI76" s="682"/>
      <c r="AJ76" s="683"/>
      <c r="AK76" s="683"/>
      <c r="AL76" s="683"/>
      <c r="AM76" s="683"/>
      <c r="AN76" s="683"/>
      <c r="AO76" s="683"/>
      <c r="AP76" s="683"/>
      <c r="AQ76" s="683"/>
      <c r="AR76" s="683"/>
      <c r="AS76" s="683"/>
      <c r="AT76" s="683"/>
      <c r="AU76" s="683"/>
      <c r="AV76" s="683"/>
      <c r="AW76" s="683"/>
      <c r="AX76" s="683"/>
      <c r="AY76" s="683"/>
      <c r="AZ76" s="683"/>
      <c r="BA76" s="683"/>
      <c r="BB76" s="683"/>
      <c r="BC76" s="683"/>
      <c r="BD76" s="683"/>
      <c r="BE76" s="683"/>
      <c r="BF76" s="683"/>
      <c r="BG76" s="683"/>
    </row>
    <row r="77" spans="1:59" s="690" customFormat="1" x14ac:dyDescent="0.35">
      <c r="A77" s="684" t="s">
        <v>288</v>
      </c>
      <c r="B77" s="685" t="str" cm="1">
        <f t="array" ref="B77:AF77">TRANSPOSE('CO2'!C7:C37)</f>
        <v>0</v>
      </c>
      <c r="C77" s="685" t="str">
        <v>0</v>
      </c>
      <c r="D77" s="685" t="str">
        <v>0</v>
      </c>
      <c r="E77" s="685" t="str">
        <v>0</v>
      </c>
      <c r="F77" s="685" t="str">
        <v>0</v>
      </c>
      <c r="G77" s="685" t="str">
        <v>0</v>
      </c>
      <c r="H77" s="685" t="str">
        <v>0</v>
      </c>
      <c r="I77" s="685" t="str">
        <v>0</v>
      </c>
      <c r="J77" s="686" t="str">
        <v>0</v>
      </c>
      <c r="K77" s="686" t="str">
        <v>0</v>
      </c>
      <c r="L77" s="686" t="str">
        <v>0</v>
      </c>
      <c r="M77" s="686" t="str">
        <v>0</v>
      </c>
      <c r="N77" s="686" t="str">
        <v>0</v>
      </c>
      <c r="O77" s="686" t="str">
        <v>0</v>
      </c>
      <c r="P77" s="686" t="str">
        <v>0</v>
      </c>
      <c r="Q77" s="686" t="str">
        <v>0</v>
      </c>
      <c r="R77" s="686" t="str">
        <v>0</v>
      </c>
      <c r="S77" s="686">
        <v>93.810000000000031</v>
      </c>
      <c r="T77" s="686">
        <v>104.83999999999997</v>
      </c>
      <c r="U77" s="686" t="str">
        <v>0</v>
      </c>
      <c r="V77" s="686" t="str">
        <v>0</v>
      </c>
      <c r="W77" s="686">
        <v>55.629999999999995</v>
      </c>
      <c r="X77" s="686">
        <v>91.71999999999997</v>
      </c>
      <c r="Y77" s="686">
        <v>21.550000000000068</v>
      </c>
      <c r="Z77" s="686">
        <v>7.7899999999999636</v>
      </c>
      <c r="AA77" s="686">
        <v>63.389999999999986</v>
      </c>
      <c r="AB77" s="686" t="str">
        <v>0</v>
      </c>
      <c r="AC77" s="686" t="str">
        <v>0</v>
      </c>
      <c r="AD77" s="686">
        <v>11.980000000000018</v>
      </c>
      <c r="AE77" s="686">
        <v>20.490000000000009</v>
      </c>
      <c r="AF77" s="686" t="str">
        <v>0</v>
      </c>
      <c r="AG77" s="687"/>
      <c r="AH77" s="688"/>
      <c r="AI77" s="689"/>
      <c r="AJ77" s="689"/>
      <c r="AK77" s="689"/>
      <c r="AL77" s="689"/>
      <c r="AM77" s="689"/>
      <c r="AN77" s="689"/>
      <c r="AO77" s="689"/>
      <c r="AP77" s="689"/>
      <c r="AQ77" s="689"/>
      <c r="AR77" s="689"/>
      <c r="AS77" s="689"/>
      <c r="AT77" s="689"/>
      <c r="AU77" s="689"/>
      <c r="AV77" s="689"/>
      <c r="AW77" s="689"/>
      <c r="AX77" s="689"/>
      <c r="AY77" s="689"/>
      <c r="AZ77" s="689"/>
      <c r="BA77" s="689"/>
      <c r="BB77" s="689"/>
      <c r="BC77" s="689"/>
      <c r="BD77" s="689"/>
      <c r="BE77" s="689"/>
      <c r="BF77" s="689"/>
    </row>
    <row r="78" spans="1:59" x14ac:dyDescent="0.4">
      <c r="A78" s="603"/>
      <c r="B78" s="558"/>
      <c r="C78" s="558"/>
      <c r="D78" s="558"/>
      <c r="E78" s="558"/>
      <c r="F78" s="558"/>
      <c r="G78" s="558"/>
      <c r="H78" s="558"/>
      <c r="I78" s="558"/>
      <c r="J78" s="594"/>
      <c r="K78" s="594"/>
      <c r="L78" s="594"/>
      <c r="M78" s="594"/>
      <c r="N78" s="594"/>
      <c r="O78" s="594"/>
      <c r="P78" s="594"/>
      <c r="Q78" s="594"/>
      <c r="R78" s="594"/>
      <c r="S78" s="594"/>
      <c r="T78" s="594"/>
      <c r="U78" s="594"/>
      <c r="V78" s="594"/>
      <c r="W78" s="594"/>
      <c r="X78" s="594"/>
      <c r="Y78" s="594"/>
      <c r="Z78" s="594"/>
      <c r="AA78" s="594"/>
      <c r="AB78" s="594"/>
      <c r="AC78" s="594"/>
      <c r="AD78" s="594"/>
      <c r="AE78" s="594"/>
      <c r="AF78" s="594"/>
      <c r="AG78" s="594"/>
      <c r="AH78" s="588">
        <f>SUM($B78:AF78)</f>
        <v>0</v>
      </c>
      <c r="AI78" s="557"/>
    </row>
    <row r="79" spans="1:59" ht="35.450000000000003" hidden="1" customHeight="1" x14ac:dyDescent="0.5">
      <c r="A79" s="691" t="s">
        <v>236</v>
      </c>
      <c r="B79" s="692">
        <f>'Daily KPIs CO2'!B47</f>
        <v>2513.9000000000015</v>
      </c>
      <c r="C79" s="692">
        <f>'Daily KPIs CO2'!C47</f>
        <v>1992.0599999999977</v>
      </c>
      <c r="D79" s="692">
        <f>'Daily KPIs CO2'!D47</f>
        <v>1666.9099999999962</v>
      </c>
      <c r="E79" s="692">
        <f>'Daily KPIs CO2'!E47</f>
        <v>1422.3800000000047</v>
      </c>
      <c r="F79" s="692">
        <f>'Daily KPIs CO2'!F47</f>
        <v>1516.5299999999988</v>
      </c>
      <c r="G79" s="692">
        <f>'Daily KPIs CO2'!G47</f>
        <v>0</v>
      </c>
      <c r="H79" s="692">
        <f>'Daily KPIs CO2'!H47</f>
        <v>0</v>
      </c>
      <c r="I79" s="692">
        <f>'Daily KPIs CO2'!I47</f>
        <v>1434.2400000000052</v>
      </c>
      <c r="J79" s="693">
        <f>'Daily KPIs CO2'!J47</f>
        <v>1951.3699999999953</v>
      </c>
      <c r="K79" s="693">
        <f>'Daily KPIs CO2'!K47</f>
        <v>1508.0500000000029</v>
      </c>
      <c r="L79" s="693" t="s">
        <v>241</v>
      </c>
      <c r="M79" s="693">
        <f>'Daily KPIs CO2'!M47</f>
        <v>401.61000000000058</v>
      </c>
      <c r="N79" s="693"/>
      <c r="O79" s="693">
        <f>'Daily KPIs CO2'!O47</f>
        <v>0</v>
      </c>
      <c r="P79" s="693">
        <f>'Daily KPIs CO2'!P47</f>
        <v>2220.1199999999953</v>
      </c>
      <c r="Q79" s="693">
        <f>'Daily KPIs CO2'!Q47</f>
        <v>2342.7899999999936</v>
      </c>
      <c r="R79" s="693">
        <f>'Daily KPIs CO2'!R47</f>
        <v>2373.7300000000105</v>
      </c>
      <c r="S79" s="693">
        <f>'Daily KPIs CO2'!S47</f>
        <v>428.8799999999992</v>
      </c>
      <c r="T79" s="693">
        <f>'Daily KPIs CO2'!T47</f>
        <v>111</v>
      </c>
      <c r="U79" s="693">
        <f>'Daily KPIs CO2'!U47</f>
        <v>187</v>
      </c>
      <c r="V79" s="693">
        <f>'Daily KPIs CO2'!V47</f>
        <v>209</v>
      </c>
      <c r="W79" s="693">
        <f>'Daily KPIs CO2'!W47</f>
        <v>234</v>
      </c>
      <c r="X79" s="693">
        <f>'Daily KPIs CO2'!X47</f>
        <v>291</v>
      </c>
      <c r="Y79" s="693">
        <f>'Daily KPIs CO2'!Y47</f>
        <v>0</v>
      </c>
      <c r="Z79" s="693">
        <f>'Daily KPIs CO2'!Z47</f>
        <v>162</v>
      </c>
      <c r="AA79" s="693">
        <f>'Daily KPIs CO2'!AA47</f>
        <v>0</v>
      </c>
      <c r="AB79" s="693">
        <f>'Daily KPIs CO2'!AB47</f>
        <v>13</v>
      </c>
      <c r="AC79" s="692">
        <f>'Daily KPIs CO2'!AC47</f>
        <v>236</v>
      </c>
      <c r="AD79" s="693">
        <f>'Daily KPIs CO2'!AF47</f>
        <v>128</v>
      </c>
      <c r="AE79" s="692">
        <f>'Daily KPIs CO2'!AG47</f>
        <v>23672.79</v>
      </c>
      <c r="AF79" s="693">
        <f>'Daily KPIs CO2'!AH47</f>
        <v>0</v>
      </c>
      <c r="AG79" s="693"/>
      <c r="AH79" s="694"/>
      <c r="AI79" s="557"/>
      <c r="AL79" s="191"/>
    </row>
    <row r="80" spans="1:59" s="698" customFormat="1" ht="32.450000000000003" customHeight="1" x14ac:dyDescent="0.4">
      <c r="A80" s="670" t="s">
        <v>133</v>
      </c>
      <c r="B80" s="695" cm="1">
        <f t="array" ref="B80:AF80">TRANSPOSE('Elec.September''25'!D7:D37)</f>
        <v>8479</v>
      </c>
      <c r="C80" s="695">
        <v>9132</v>
      </c>
      <c r="D80" s="695">
        <v>7961</v>
      </c>
      <c r="E80" s="695">
        <v>8276</v>
      </c>
      <c r="F80" s="695">
        <v>8163</v>
      </c>
      <c r="G80" s="695">
        <v>5259</v>
      </c>
      <c r="H80" s="695">
        <v>5037</v>
      </c>
      <c r="I80" s="695">
        <v>8003</v>
      </c>
      <c r="J80" s="695">
        <v>8837</v>
      </c>
      <c r="K80" s="696">
        <v>8797</v>
      </c>
      <c r="L80" s="696">
        <v>7197</v>
      </c>
      <c r="M80" s="696">
        <v>7195</v>
      </c>
      <c r="N80" s="696">
        <v>5393</v>
      </c>
      <c r="O80" s="696">
        <v>5482</v>
      </c>
      <c r="P80" s="696">
        <v>9086</v>
      </c>
      <c r="Q80" s="696">
        <v>7655</v>
      </c>
      <c r="R80" s="696">
        <v>8972</v>
      </c>
      <c r="S80" s="696">
        <v>9638</v>
      </c>
      <c r="T80" s="696">
        <v>8664</v>
      </c>
      <c r="U80" s="696">
        <v>5780</v>
      </c>
      <c r="V80" s="696">
        <v>4822</v>
      </c>
      <c r="W80" s="696">
        <v>8758</v>
      </c>
      <c r="X80" s="696">
        <v>9760</v>
      </c>
      <c r="Y80" s="696">
        <v>6575</v>
      </c>
      <c r="Z80" s="696">
        <v>8566</v>
      </c>
      <c r="AA80" s="696">
        <v>8674</v>
      </c>
      <c r="AB80" s="696">
        <v>6376</v>
      </c>
      <c r="AC80" s="696">
        <v>4654</v>
      </c>
      <c r="AD80" s="696">
        <v>7658</v>
      </c>
      <c r="AE80" s="696">
        <v>9131</v>
      </c>
      <c r="AF80" s="696">
        <v>0</v>
      </c>
      <c r="AG80" s="696"/>
      <c r="AH80" s="668">
        <f>SUM(B80:AF80)</f>
        <v>227980</v>
      </c>
      <c r="AI80" s="668"/>
      <c r="AJ80" s="697"/>
      <c r="AK80" s="697"/>
      <c r="AL80" s="697"/>
      <c r="AM80" s="697"/>
      <c r="AN80" s="697"/>
      <c r="AO80" s="697"/>
      <c r="AP80" s="697"/>
      <c r="AQ80" s="697"/>
      <c r="AR80" s="697"/>
      <c r="AS80" s="697"/>
      <c r="AT80" s="697"/>
      <c r="AU80" s="697"/>
      <c r="AV80" s="697"/>
      <c r="AW80" s="697"/>
      <c r="AX80" s="697"/>
      <c r="AY80" s="697"/>
      <c r="AZ80" s="697"/>
      <c r="BA80" s="697"/>
      <c r="BB80" s="697"/>
      <c r="BC80" s="697"/>
      <c r="BD80" s="697"/>
      <c r="BE80" s="697"/>
      <c r="BF80" s="697"/>
      <c r="BG80" s="697"/>
    </row>
    <row r="81" spans="1:59" s="698" customFormat="1" hidden="1" x14ac:dyDescent="0.4">
      <c r="A81" s="670"/>
      <c r="B81" s="695"/>
      <c r="C81" s="695"/>
      <c r="D81" s="695" t="s">
        <v>58</v>
      </c>
      <c r="E81" s="695"/>
      <c r="F81" s="695"/>
      <c r="G81" s="695"/>
      <c r="H81" s="695"/>
      <c r="I81" s="695"/>
      <c r="J81" s="696"/>
      <c r="K81" s="696"/>
      <c r="L81" s="696"/>
      <c r="M81" s="696"/>
      <c r="N81" s="696"/>
      <c r="O81" s="696"/>
      <c r="P81" s="699"/>
      <c r="Q81" s="696"/>
      <c r="R81" s="696"/>
      <c r="S81" s="696"/>
      <c r="T81" s="696"/>
      <c r="U81" s="696"/>
      <c r="V81" s="696"/>
      <c r="W81" s="696"/>
      <c r="X81" s="696"/>
      <c r="Y81" s="696"/>
      <c r="Z81" s="696"/>
      <c r="AA81" s="696"/>
      <c r="AB81" s="696"/>
      <c r="AC81" s="696"/>
      <c r="AD81" s="696"/>
      <c r="AE81" s="696"/>
      <c r="AF81" s="696"/>
      <c r="AG81" s="696"/>
      <c r="AH81" s="668"/>
      <c r="AI81" s="668"/>
      <c r="AJ81" s="697"/>
      <c r="AK81" s="697"/>
      <c r="AL81" s="697"/>
      <c r="AM81" s="697"/>
      <c r="AN81" s="697"/>
      <c r="AO81" s="697"/>
      <c r="AP81" s="697"/>
      <c r="AQ81" s="697"/>
      <c r="AR81" s="697"/>
      <c r="AS81" s="697"/>
      <c r="AT81" s="697"/>
      <c r="AU81" s="697"/>
      <c r="AV81" s="697"/>
      <c r="AW81" s="697"/>
      <c r="AX81" s="697"/>
      <c r="AY81" s="697"/>
      <c r="AZ81" s="697"/>
      <c r="BA81" s="697"/>
      <c r="BB81" s="697"/>
      <c r="BC81" s="697"/>
      <c r="BD81" s="697"/>
      <c r="BE81" s="697"/>
      <c r="BF81" s="697"/>
      <c r="BG81" s="697"/>
    </row>
    <row r="82" spans="1:59" s="698" customFormat="1" hidden="1" x14ac:dyDescent="0.4">
      <c r="A82" s="670"/>
      <c r="B82" s="697"/>
      <c r="C82" s="697"/>
      <c r="D82" s="697"/>
      <c r="E82" s="697"/>
      <c r="F82" s="697"/>
      <c r="G82" s="697"/>
      <c r="H82" s="697"/>
      <c r="I82" s="697"/>
      <c r="J82" s="700"/>
      <c r="K82" s="700"/>
      <c r="L82" s="700"/>
      <c r="M82" s="700"/>
      <c r="N82" s="700"/>
      <c r="O82" s="700"/>
      <c r="P82" s="700"/>
      <c r="Q82" s="700"/>
      <c r="R82" s="700"/>
      <c r="S82" s="700"/>
      <c r="T82" s="700"/>
      <c r="U82" s="700"/>
      <c r="V82" s="700"/>
      <c r="W82" s="700"/>
      <c r="X82" s="700"/>
      <c r="Y82" s="701"/>
      <c r="Z82" s="701"/>
      <c r="AA82" s="700"/>
      <c r="AB82" s="700"/>
      <c r="AC82" s="700"/>
      <c r="AD82" s="700"/>
      <c r="AE82" s="700"/>
      <c r="AF82" s="700"/>
      <c r="AG82" s="700"/>
      <c r="AH82" s="668"/>
      <c r="AI82" s="668"/>
      <c r="AJ82" s="697"/>
      <c r="AK82" s="697"/>
      <c r="AL82" s="697"/>
      <c r="AM82" s="697"/>
      <c r="AN82" s="697"/>
      <c r="AO82" s="697"/>
      <c r="AP82" s="697"/>
      <c r="AQ82" s="697"/>
      <c r="AR82" s="697"/>
      <c r="AS82" s="697"/>
      <c r="AT82" s="697"/>
      <c r="AU82" s="697"/>
      <c r="AV82" s="697"/>
      <c r="AW82" s="697"/>
      <c r="AX82" s="697"/>
      <c r="AY82" s="697"/>
      <c r="AZ82" s="697"/>
      <c r="BA82" s="697"/>
      <c r="BB82" s="697"/>
      <c r="BC82" s="697"/>
      <c r="BD82" s="697"/>
      <c r="BE82" s="697"/>
      <c r="BF82" s="697"/>
      <c r="BG82" s="697"/>
    </row>
    <row r="83" spans="1:59" s="698" customFormat="1" x14ac:dyDescent="0.4">
      <c r="A83" s="670" t="s">
        <v>134</v>
      </c>
      <c r="B83" s="702">
        <f>+'Fuel '!$K7</f>
        <v>3020</v>
      </c>
      <c r="C83" s="702">
        <f>+'Fuel '!$K8</f>
        <v>2960</v>
      </c>
      <c r="D83" s="702">
        <f>+'Fuel '!$K9</f>
        <v>2910</v>
      </c>
      <c r="E83" s="702">
        <f>+'Fuel '!$K10</f>
        <v>3180</v>
      </c>
      <c r="F83" s="702">
        <f>+'Fuel '!$K11</f>
        <v>2830</v>
      </c>
      <c r="G83" s="702">
        <f>+'Fuel '!$K12</f>
        <v>290</v>
      </c>
      <c r="H83" s="702">
        <f>+'Fuel '!$K13</f>
        <v>170</v>
      </c>
      <c r="I83" s="702">
        <f>+'Fuel '!$K14</f>
        <v>3390</v>
      </c>
      <c r="J83" s="703">
        <f>+'Fuel '!$K15</f>
        <v>3060</v>
      </c>
      <c r="K83" s="703">
        <f>+'Fuel '!$K16</f>
        <v>2810</v>
      </c>
      <c r="L83" s="703">
        <f>+'Fuel '!$K17</f>
        <v>2370</v>
      </c>
      <c r="M83" s="703">
        <f>+'Fuel '!$K18</f>
        <v>1340</v>
      </c>
      <c r="N83" s="703">
        <f>+'Fuel '!$K19</f>
        <v>0</v>
      </c>
      <c r="O83" s="703">
        <f>+'Fuel '!$K20</f>
        <v>950</v>
      </c>
      <c r="P83" s="703">
        <f>+'Fuel '!$K21</f>
        <v>3140</v>
      </c>
      <c r="Q83" s="703">
        <f>+'Fuel '!$K22</f>
        <v>2280</v>
      </c>
      <c r="R83" s="703">
        <f>+'Fuel '!$K23</f>
        <v>3190</v>
      </c>
      <c r="S83" s="703">
        <f>+'Fuel '!$K24</f>
        <v>3610</v>
      </c>
      <c r="T83" s="703">
        <f>+'Fuel '!$K25</f>
        <v>2910</v>
      </c>
      <c r="U83" s="703">
        <f>+'Fuel '!$K26</f>
        <v>0</v>
      </c>
      <c r="V83" s="703">
        <f>+'Fuel '!$K27</f>
        <v>1330</v>
      </c>
      <c r="W83" s="703">
        <f>+'Fuel '!$K28</f>
        <v>2910</v>
      </c>
      <c r="X83" s="703">
        <f>+'Fuel '!$K29</f>
        <v>3220</v>
      </c>
      <c r="Y83" s="703">
        <f>+'Fuel '!$K30</f>
        <v>1540</v>
      </c>
      <c r="Z83" s="703">
        <f>+'Fuel '!$K31</f>
        <v>3110</v>
      </c>
      <c r="AA83" s="703">
        <f>+'Fuel '!$K32</f>
        <v>2810</v>
      </c>
      <c r="AB83" s="703">
        <f>+'Fuel '!$K33</f>
        <v>690</v>
      </c>
      <c r="AC83" s="703">
        <f>+'Fuel '!$K34</f>
        <v>740</v>
      </c>
      <c r="AD83" s="703">
        <f>+'Fuel '!$K35</f>
        <v>2490</v>
      </c>
      <c r="AE83" s="703">
        <f>+'Fuel '!$K36</f>
        <v>3180</v>
      </c>
      <c r="AF83" s="703">
        <f>+'Fuel '!$K37</f>
        <v>0</v>
      </c>
      <c r="AG83" s="703"/>
      <c r="AH83" s="704">
        <f>SUM($B83:AF83)</f>
        <v>66430</v>
      </c>
      <c r="AI83" s="669"/>
      <c r="AJ83" s="697"/>
      <c r="AK83" s="697"/>
      <c r="AL83" s="697"/>
      <c r="AM83" s="697"/>
      <c r="AN83" s="697"/>
      <c r="AO83" s="697"/>
      <c r="AP83" s="697"/>
      <c r="AQ83" s="697"/>
      <c r="AR83" s="697"/>
      <c r="AS83" s="697"/>
      <c r="AT83" s="697"/>
      <c r="AU83" s="697"/>
      <c r="AV83" s="697"/>
      <c r="AW83" s="697"/>
      <c r="AX83" s="697"/>
      <c r="AY83" s="697"/>
      <c r="AZ83" s="697"/>
      <c r="BA83" s="697"/>
      <c r="BB83" s="697"/>
      <c r="BC83" s="697"/>
      <c r="BD83" s="697"/>
      <c r="BE83" s="697"/>
      <c r="BF83" s="697"/>
      <c r="BG83" s="697"/>
    </row>
    <row r="84" spans="1:59" s="709" customFormat="1" x14ac:dyDescent="0.4">
      <c r="A84" s="705" t="s">
        <v>238</v>
      </c>
      <c r="B84" s="706">
        <f>'Steam Mass Flow '!B5</f>
        <v>382.65500000026077</v>
      </c>
      <c r="C84" s="706" t="str">
        <f>'Steam Mass Flow '!B6</f>
        <v>0</v>
      </c>
      <c r="D84" s="706" t="str">
        <f>'Steam Mass Flow '!B7</f>
        <v>0</v>
      </c>
      <c r="E84" s="706" t="str">
        <f>'Steam Mass Flow '!B8</f>
        <v>0</v>
      </c>
      <c r="F84" s="706" t="str">
        <f>'Steam Mass Flow '!B9</f>
        <v>0</v>
      </c>
      <c r="G84" s="706" t="str">
        <f>'Steam Mass Flow '!B10</f>
        <v>0</v>
      </c>
      <c r="H84" s="706" t="str">
        <f>'Steam Mass Flow '!B11</f>
        <v>0</v>
      </c>
      <c r="I84" s="706">
        <f>'Steam Mass Flow '!B12</f>
        <v>896.42399999964982</v>
      </c>
      <c r="J84" s="706" t="str">
        <f>'Steam Mass Flow '!B13</f>
        <v>0</v>
      </c>
      <c r="K84" s="706" t="str">
        <f>'Steam Mass Flow '!B14</f>
        <v>0</v>
      </c>
      <c r="L84" s="706" t="str">
        <f>'Steam Mass Flow '!B15</f>
        <v>0</v>
      </c>
      <c r="M84" s="706">
        <f>'Steam Mass Flow '!B16</f>
        <v>141.44500000029802</v>
      </c>
      <c r="N84" s="706" t="str">
        <f>'Steam Mass Flow '!B17</f>
        <v>0</v>
      </c>
      <c r="O84" s="706" t="str">
        <f>'Steam Mass Flow '!B18</f>
        <v>0</v>
      </c>
      <c r="P84" s="706">
        <f>'Steam Mass Flow '!B19</f>
        <v>33.423999999649823</v>
      </c>
      <c r="Q84" s="706" t="str">
        <f>'Steam Mass Flow '!B20</f>
        <v>0</v>
      </c>
      <c r="R84" s="706" t="str">
        <f>'Steam Mass Flow '!B21</f>
        <v>0</v>
      </c>
      <c r="S84" s="706" t="str">
        <f>'Steam Mass Flow '!B22</f>
        <v>0</v>
      </c>
      <c r="T84" s="706" t="str">
        <f>'Steam Mass Flow '!B23</f>
        <v>0</v>
      </c>
      <c r="U84" s="706">
        <f>'Steam Mass Flow '!B24</f>
        <v>5872.2110000001267</v>
      </c>
      <c r="V84" s="706">
        <f>'Steam Mass Flow '!B25</f>
        <v>121.15799999982119</v>
      </c>
      <c r="W84" s="706" t="str">
        <f>'Steam Mass Flow '!B26</f>
        <v>0</v>
      </c>
      <c r="X84" s="706" t="str">
        <f>'Steam Mass Flow '!B27</f>
        <v>0</v>
      </c>
      <c r="Y84" s="706" t="str">
        <f>'Steam Mass Flow '!B28</f>
        <v>0</v>
      </c>
      <c r="Z84" s="706" t="str">
        <f>'Steam Mass Flow '!B29</f>
        <v>0</v>
      </c>
      <c r="AA84" s="706" t="str">
        <f>'Steam Mass Flow '!B30</f>
        <v>0</v>
      </c>
      <c r="AB84" s="706" t="str">
        <f>'Steam Mass Flow '!B31</f>
        <v>0</v>
      </c>
      <c r="AC84" s="706">
        <f>'Steam Mass Flow '!B32</f>
        <v>90.473000000230968</v>
      </c>
      <c r="AD84" s="706">
        <f>'Steam Mass Flow '!B33</f>
        <v>60.42200000025332</v>
      </c>
      <c r="AE84" s="706" t="str">
        <f>'Steam Mass Flow '!B34</f>
        <v>0</v>
      </c>
      <c r="AF84" s="706">
        <f>'Steam Mass Flow '!B35</f>
        <v>0</v>
      </c>
      <c r="AG84" s="706"/>
      <c r="AH84" s="707">
        <f>SUM($B84:AF84)</f>
        <v>7598.2120000002906</v>
      </c>
      <c r="AI84" s="706"/>
      <c r="AJ84" s="708"/>
      <c r="AK84" s="708"/>
      <c r="AL84" s="708"/>
      <c r="AM84" s="708"/>
      <c r="AN84" s="708"/>
      <c r="AO84" s="708"/>
      <c r="AP84" s="708"/>
      <c r="AQ84" s="708"/>
      <c r="AR84" s="708"/>
      <c r="AS84" s="708"/>
      <c r="AT84" s="708"/>
      <c r="AU84" s="708"/>
      <c r="AV84" s="708"/>
      <c r="AW84" s="708"/>
      <c r="AX84" s="708"/>
      <c r="AY84" s="708"/>
      <c r="AZ84" s="708"/>
      <c r="BA84" s="708"/>
      <c r="BB84" s="708"/>
      <c r="BC84" s="708"/>
      <c r="BD84" s="708"/>
      <c r="BE84" s="708"/>
      <c r="BF84" s="708"/>
      <c r="BG84" s="708"/>
    </row>
    <row r="85" spans="1:59" x14ac:dyDescent="0.4">
      <c r="A85" s="544"/>
      <c r="B85" s="541"/>
      <c r="C85" s="541"/>
      <c r="D85" s="541"/>
      <c r="E85" s="541"/>
      <c r="F85" s="541"/>
      <c r="G85" s="541"/>
      <c r="H85" s="541"/>
      <c r="I85" s="541"/>
      <c r="J85" s="569"/>
      <c r="K85" s="569"/>
      <c r="L85" s="569"/>
      <c r="M85" s="569"/>
      <c r="N85" s="569"/>
      <c r="O85" s="569"/>
      <c r="P85" s="569"/>
      <c r="Q85" s="569"/>
      <c r="R85" s="569"/>
      <c r="S85" s="569"/>
      <c r="T85" s="569"/>
      <c r="U85" s="569"/>
      <c r="V85" s="569"/>
      <c r="W85" s="569"/>
      <c r="X85" s="569"/>
      <c r="Y85" s="569"/>
      <c r="Z85" s="569"/>
      <c r="AA85" s="569"/>
      <c r="AB85" s="569"/>
      <c r="AC85" s="569"/>
      <c r="AD85" s="569"/>
      <c r="AE85" s="569"/>
      <c r="AH85" s="557"/>
      <c r="AI85" s="557"/>
    </row>
    <row r="86" spans="1:59" hidden="1" x14ac:dyDescent="0.35">
      <c r="B86" s="541"/>
      <c r="C86" s="541"/>
      <c r="D86" s="541"/>
      <c r="E86" s="541"/>
      <c r="F86" s="541"/>
      <c r="G86" s="541"/>
      <c r="H86" s="541"/>
      <c r="I86" s="541"/>
      <c r="J86" s="569"/>
      <c r="K86" s="569"/>
      <c r="L86" s="569"/>
      <c r="M86" s="569"/>
      <c r="N86" s="569"/>
      <c r="O86" s="569"/>
      <c r="P86" s="569"/>
      <c r="Q86" s="569"/>
      <c r="R86" s="569"/>
      <c r="S86" s="569"/>
      <c r="T86" s="569"/>
      <c r="U86" s="569"/>
      <c r="V86" s="569"/>
      <c r="W86" s="569"/>
      <c r="X86" s="569"/>
      <c r="Y86" s="569"/>
      <c r="Z86" s="569"/>
      <c r="AA86" s="569"/>
      <c r="AB86" s="569"/>
      <c r="AC86" s="569"/>
      <c r="AD86" s="569"/>
      <c r="AE86" s="569"/>
      <c r="AH86" s="557"/>
      <c r="AI86" s="557"/>
    </row>
    <row r="87" spans="1:59" ht="27.75" customHeight="1" thickBot="1" x14ac:dyDescent="0.45">
      <c r="A87" s="544" t="s">
        <v>222</v>
      </c>
      <c r="M87" s="542"/>
    </row>
    <row r="88" spans="1:59" ht="27" thickBot="1" x14ac:dyDescent="0.45">
      <c r="A88" s="544" t="s">
        <v>124</v>
      </c>
      <c r="B88" s="292">
        <v>1</v>
      </c>
      <c r="C88" s="292">
        <v>2</v>
      </c>
      <c r="D88" s="292">
        <v>3</v>
      </c>
      <c r="E88" s="292">
        <v>4</v>
      </c>
      <c r="F88" s="292">
        <v>5</v>
      </c>
      <c r="G88" s="292">
        <v>6</v>
      </c>
      <c r="H88" s="292">
        <v>7</v>
      </c>
      <c r="I88" s="292">
        <v>8</v>
      </c>
      <c r="J88" s="292">
        <v>9</v>
      </c>
      <c r="K88" s="292">
        <v>10</v>
      </c>
      <c r="L88" s="292">
        <v>11</v>
      </c>
      <c r="M88" s="292">
        <v>12</v>
      </c>
      <c r="N88" s="292">
        <v>13</v>
      </c>
      <c r="O88" s="292">
        <v>14</v>
      </c>
      <c r="P88" s="292">
        <v>15</v>
      </c>
      <c r="Q88" s="292">
        <v>16</v>
      </c>
      <c r="R88" s="292">
        <v>17</v>
      </c>
      <c r="S88" s="292">
        <v>18</v>
      </c>
      <c r="T88" s="292">
        <v>19</v>
      </c>
      <c r="U88" s="292">
        <v>20</v>
      </c>
      <c r="V88" s="292">
        <v>21</v>
      </c>
      <c r="W88" s="292">
        <v>22</v>
      </c>
      <c r="X88" s="292">
        <v>23</v>
      </c>
      <c r="Y88" s="292">
        <v>24</v>
      </c>
      <c r="Z88" s="292">
        <v>25</v>
      </c>
      <c r="AA88" s="292">
        <v>26</v>
      </c>
      <c r="AB88" s="292">
        <v>27</v>
      </c>
      <c r="AC88" s="292">
        <v>28</v>
      </c>
      <c r="AD88" s="292">
        <v>29</v>
      </c>
      <c r="AE88" s="292">
        <v>30</v>
      </c>
      <c r="AF88" s="292">
        <v>31</v>
      </c>
      <c r="AG88" s="292"/>
      <c r="AH88" s="748" t="s">
        <v>86</v>
      </c>
      <c r="AI88" s="749" t="s">
        <v>154</v>
      </c>
      <c r="AJ88" s="752" t="s">
        <v>203</v>
      </c>
      <c r="AK88" s="754" t="s">
        <v>252</v>
      </c>
    </row>
    <row r="89" spans="1:59" s="715" customFormat="1" x14ac:dyDescent="0.4">
      <c r="A89" s="710" t="s">
        <v>138</v>
      </c>
      <c r="B89" s="829">
        <f t="shared" ref="B89:H89" si="41">IF(B$9=0,"",+(B22*10)/B$9)</f>
        <v>17.653741057996374</v>
      </c>
      <c r="C89" s="737">
        <f>IF(C$9=0,"",+(C22*10)/C$9)</f>
        <v>7.4826261769881937</v>
      </c>
      <c r="D89" s="737">
        <f>IF(D$9=0,"",+(D22*10)/D$9)</f>
        <v>12.824903141765539</v>
      </c>
      <c r="E89" s="737">
        <f>IF(E$9=0,"",+(E22*10)/E$9)</f>
        <v>9.2066941082258378</v>
      </c>
      <c r="F89" s="737">
        <f t="shared" si="41"/>
        <v>12.240704714857154</v>
      </c>
      <c r="G89" s="737" t="str">
        <f t="shared" si="41"/>
        <v/>
      </c>
      <c r="H89" s="737" t="str">
        <f t="shared" si="41"/>
        <v/>
      </c>
      <c r="I89" s="737">
        <f>IF(I$9=0,"",+(I22*10)/I$9)</f>
        <v>10.673299126552035</v>
      </c>
      <c r="J89" s="737">
        <f>IF(J$9=0,"",+(J22*10)/J$9)</f>
        <v>10.691593352883675</v>
      </c>
      <c r="K89" s="737">
        <f t="shared" ref="K89:AE89" si="42">IF(K$9=0,"",+(K22*10)/K$9)</f>
        <v>9.1015067357383739</v>
      </c>
      <c r="L89" s="737">
        <f t="shared" si="42"/>
        <v>502.11416490486255</v>
      </c>
      <c r="M89" s="737">
        <f t="shared" si="42"/>
        <v>12.330836338974692</v>
      </c>
      <c r="N89" s="737" t="str">
        <f>IF(N$9=0,"",+(N22*10)/N$9)</f>
        <v/>
      </c>
      <c r="O89" s="737" t="str">
        <f t="shared" si="42"/>
        <v/>
      </c>
      <c r="P89" s="737">
        <f>IF(P$9=0,"",+(P22*10)/P$9)</f>
        <v>6.7897148165465353</v>
      </c>
      <c r="Q89" s="737">
        <f t="shared" ref="Q89:V89" si="43">IF(Q$9=0,"",+(Q22*10)/Q$9)</f>
        <v>8.7490843981443795</v>
      </c>
      <c r="R89" s="737">
        <f t="shared" si="43"/>
        <v>6.7764543226047049</v>
      </c>
      <c r="S89" s="737">
        <f t="shared" si="43"/>
        <v>5.4419662819208794</v>
      </c>
      <c r="T89" s="737">
        <f t="shared" si="43"/>
        <v>8.0668230447966138</v>
      </c>
      <c r="U89" s="737" t="str">
        <f t="shared" si="43"/>
        <v/>
      </c>
      <c r="V89" s="737" t="str">
        <f t="shared" si="43"/>
        <v/>
      </c>
      <c r="W89" s="737">
        <f t="shared" si="42"/>
        <v>9.5859444301370633</v>
      </c>
      <c r="X89" s="737">
        <f t="shared" si="42"/>
        <v>9.3548267188719691</v>
      </c>
      <c r="Y89" s="737" t="str">
        <f>IF(Y$9=0,"",+(Y22*10)/Y$9)</f>
        <v/>
      </c>
      <c r="Z89" s="737">
        <f t="shared" si="42"/>
        <v>13.430314340041422</v>
      </c>
      <c r="AA89" s="737">
        <f t="shared" si="42"/>
        <v>6.1920924685808636</v>
      </c>
      <c r="AB89" s="737" t="str">
        <f t="shared" si="42"/>
        <v/>
      </c>
      <c r="AC89" s="737" t="str">
        <f>IF(AC$9=0,"",+(AC22*10)/AC$9)</f>
        <v/>
      </c>
      <c r="AD89" s="737">
        <f>IF(AD$9=0,"",+(AD22*10)/AD$9)</f>
        <v>18.827013591411497</v>
      </c>
      <c r="AE89" s="737">
        <f t="shared" si="42"/>
        <v>18.586798839458414</v>
      </c>
      <c r="AF89" s="738" t="str">
        <f>IF(AF$9=0,"",+(AF22*10)/AF$9)</f>
        <v/>
      </c>
      <c r="AG89" s="711"/>
      <c r="AH89" s="814">
        <f>IF(AH$9=0,"0",+(AH22*10)/AH$9)</f>
        <v>10.963821498253131</v>
      </c>
      <c r="AI89" s="750">
        <v>10.199999999999999</v>
      </c>
      <c r="AJ89" s="753">
        <f>+AI89-AH89</f>
        <v>-0.76382149825313128</v>
      </c>
      <c r="AK89" s="755">
        <f>AH89/AI89*100</f>
        <v>107.48844606130521</v>
      </c>
      <c r="AL89" s="713"/>
      <c r="AM89" s="714"/>
      <c r="AN89" s="714"/>
      <c r="AO89" s="714"/>
      <c r="AP89" s="714"/>
      <c r="AQ89" s="714"/>
      <c r="AR89" s="714"/>
      <c r="AS89" s="714"/>
      <c r="AT89" s="714"/>
      <c r="AU89" s="714"/>
      <c r="AV89" s="714"/>
      <c r="AW89" s="714"/>
      <c r="AX89" s="714"/>
      <c r="AY89" s="714"/>
      <c r="AZ89" s="714"/>
      <c r="BA89" s="714"/>
      <c r="BB89" s="714"/>
      <c r="BC89" s="714"/>
      <c r="BD89" s="714"/>
      <c r="BE89" s="714"/>
      <c r="BF89" s="714"/>
      <c r="BG89" s="714"/>
    </row>
    <row r="90" spans="1:59" s="718" customFormat="1" hidden="1" x14ac:dyDescent="0.35">
      <c r="A90" s="716"/>
      <c r="B90" s="830"/>
      <c r="C90" s="739"/>
      <c r="D90" s="739"/>
      <c r="E90" s="739"/>
      <c r="F90" s="739"/>
      <c r="G90" s="739"/>
      <c r="H90" s="739"/>
      <c r="I90" s="739"/>
      <c r="J90" s="739"/>
      <c r="K90" s="739"/>
      <c r="L90" s="739"/>
      <c r="M90" s="739"/>
      <c r="N90" s="739"/>
      <c r="O90" s="739"/>
      <c r="P90" s="739"/>
      <c r="Q90" s="739"/>
      <c r="R90" s="739"/>
      <c r="S90" s="739"/>
      <c r="T90" s="739"/>
      <c r="U90" s="739"/>
      <c r="V90" s="739"/>
      <c r="W90" s="739"/>
      <c r="X90" s="739"/>
      <c r="Y90" s="739"/>
      <c r="Z90" s="739"/>
      <c r="AA90" s="739"/>
      <c r="AB90" s="739"/>
      <c r="AC90" s="739"/>
      <c r="AD90" s="739"/>
      <c r="AE90" s="739"/>
      <c r="AF90" s="740"/>
      <c r="AG90" s="717"/>
      <c r="AH90" s="814">
        <f t="shared" ref="AH90" si="44">IF(AH$9=0,"0",+(AH23*10)/AH$9)</f>
        <v>0</v>
      </c>
      <c r="AI90" s="758"/>
      <c r="AJ90" s="759"/>
      <c r="AK90" s="760" t="e">
        <f t="shared" ref="AK90:AK95" si="45">AH90/AI90*100</f>
        <v>#DIV/0!</v>
      </c>
      <c r="AL90" s="713"/>
      <c r="AM90" s="713"/>
      <c r="AN90" s="713"/>
      <c r="AO90" s="713"/>
      <c r="AP90" s="713"/>
      <c r="AQ90" s="713"/>
      <c r="AR90" s="713"/>
      <c r="AS90" s="713"/>
      <c r="AT90" s="713"/>
      <c r="AU90" s="713"/>
      <c r="AV90" s="713"/>
      <c r="AW90" s="713"/>
      <c r="AX90" s="713"/>
      <c r="AY90" s="713"/>
      <c r="AZ90" s="713"/>
      <c r="BA90" s="713"/>
      <c r="BB90" s="713"/>
      <c r="BC90" s="713"/>
      <c r="BD90" s="713"/>
      <c r="BE90" s="713"/>
      <c r="BF90" s="713"/>
      <c r="BG90" s="713"/>
    </row>
    <row r="91" spans="1:59" s="715" customFormat="1" ht="29.25" x14ac:dyDescent="0.5">
      <c r="A91" s="715" t="s">
        <v>226</v>
      </c>
      <c r="B91" s="829">
        <f>IF(B$9=0,"",+B74/B$9)</f>
        <v>6.1404316723465655</v>
      </c>
      <c r="C91" s="737">
        <f t="shared" ref="C91:H91" si="46">IF(C$9=0,"",+C74/C$9)</f>
        <v>6.422855087543514</v>
      </c>
      <c r="D91" s="737">
        <f>IF(D$9=0,"",+D74/D$9)</f>
        <v>6.0431480772717201</v>
      </c>
      <c r="E91" s="737">
        <f t="shared" si="46"/>
        <v>3.5704630890626516</v>
      </c>
      <c r="F91" s="737">
        <f t="shared" si="46"/>
        <v>5.464600319132658</v>
      </c>
      <c r="G91" s="737" t="str">
        <f>IF(G$9=0,"",+G74/G$9)</f>
        <v/>
      </c>
      <c r="H91" s="737" t="str">
        <f t="shared" si="46"/>
        <v/>
      </c>
      <c r="I91" s="737">
        <f t="shared" ref="I91:AE91" si="47">IF(I$9=0,"",+I74/I$9)</f>
        <v>5.2224093585575702</v>
      </c>
      <c r="J91" s="737">
        <f t="shared" si="47"/>
        <v>3.8878521283213363</v>
      </c>
      <c r="K91" s="737">
        <f t="shared" si="47"/>
        <v>3.4286497977096615</v>
      </c>
      <c r="L91" s="737">
        <f t="shared" si="47"/>
        <v>0</v>
      </c>
      <c r="M91" s="737">
        <f t="shared" si="47"/>
        <v>4.6240636271155093</v>
      </c>
      <c r="N91" s="737" t="str">
        <f t="shared" si="47"/>
        <v/>
      </c>
      <c r="O91" s="737" t="str">
        <f t="shared" si="47"/>
        <v/>
      </c>
      <c r="P91" s="737">
        <f t="shared" si="47"/>
        <v>4.2435717603415846</v>
      </c>
      <c r="Q91" s="737">
        <f t="shared" si="47"/>
        <v>5.1997142417912334</v>
      </c>
      <c r="R91" s="737">
        <f t="shared" si="47"/>
        <v>6.8219338818168165</v>
      </c>
      <c r="S91" s="737">
        <f>IF(S$9=0,"",+S74/S$9)</f>
        <v>2.9482435838849006</v>
      </c>
      <c r="T91" s="737">
        <f t="shared" si="47"/>
        <v>6.293266205160478</v>
      </c>
      <c r="U91" s="737" t="str">
        <f t="shared" si="47"/>
        <v/>
      </c>
      <c r="V91" s="737" t="str">
        <f>IF(V$9=0,"",+V74/V$9)</f>
        <v/>
      </c>
      <c r="W91" s="737">
        <f t="shared" si="47"/>
        <v>2.289180759435717</v>
      </c>
      <c r="X91" s="737">
        <f t="shared" si="47"/>
        <v>4.956199586157334</v>
      </c>
      <c r="Y91" s="737" t="str">
        <f>IF(Y$9=0,"",+Y74/Y$9)</f>
        <v/>
      </c>
      <c r="Z91" s="737">
        <f t="shared" si="47"/>
        <v>3.5342932473793214</v>
      </c>
      <c r="AA91" s="737">
        <f>IF(AA$9=0,"",+AA74/AA$9)</f>
        <v>5.9245329174693451</v>
      </c>
      <c r="AB91" s="737" t="str">
        <f t="shared" si="47"/>
        <v/>
      </c>
      <c r="AC91" s="737" t="str">
        <f>IF(AC$9=0,"",+AC74/AC$9)</f>
        <v/>
      </c>
      <c r="AD91" s="737">
        <f t="shared" si="47"/>
        <v>9.5192765349833408</v>
      </c>
      <c r="AE91" s="737">
        <f t="shared" si="47"/>
        <v>6.5481947130883293</v>
      </c>
      <c r="AF91" s="737" t="str">
        <f>IF(AF$9=0,"",+AF74/AF$9)</f>
        <v/>
      </c>
      <c r="AG91" s="712"/>
      <c r="AH91" s="814">
        <f>IF(AH$9=0,"0",+(AH74)/AH$9)</f>
        <v>5.9671596368186401</v>
      </c>
      <c r="AI91" s="761">
        <v>5</v>
      </c>
      <c r="AJ91" s="762">
        <f>AI91-AH91</f>
        <v>-0.96715963681864014</v>
      </c>
      <c r="AK91" s="760">
        <f t="shared" si="45"/>
        <v>119.3431927363728</v>
      </c>
      <c r="AL91" s="713"/>
      <c r="AM91" s="714"/>
      <c r="AN91" s="714"/>
      <c r="AO91" s="714" t="s">
        <v>212</v>
      </c>
      <c r="AP91" s="714"/>
      <c r="AQ91" s="714"/>
      <c r="AR91" s="714"/>
      <c r="AS91" s="714"/>
      <c r="AT91" s="714"/>
      <c r="AU91" s="714"/>
      <c r="AV91" s="714"/>
      <c r="AW91" s="714"/>
      <c r="AX91" s="714"/>
      <c r="AY91" s="714"/>
      <c r="AZ91" s="714"/>
      <c r="BA91" s="714"/>
      <c r="BB91" s="714"/>
      <c r="BC91" s="714"/>
      <c r="BD91" s="714"/>
      <c r="BE91" s="714"/>
      <c r="BF91" s="714"/>
      <c r="BG91" s="714"/>
    </row>
    <row r="92" spans="1:59" s="715" customFormat="1" ht="29.25" x14ac:dyDescent="0.5">
      <c r="A92" s="715" t="s">
        <v>287</v>
      </c>
      <c r="B92" s="737">
        <f t="shared" ref="B92:AF92" si="48">IF(B$9=0,"",+B76/B$9)</f>
        <v>0.72226827545976291</v>
      </c>
      <c r="C92" s="737">
        <f t="shared" si="48"/>
        <v>0.79296568910812248</v>
      </c>
      <c r="D92" s="737">
        <f t="shared" si="48"/>
        <v>0.8295899388299135</v>
      </c>
      <c r="E92" s="737">
        <f t="shared" si="48"/>
        <v>0.68583495279337747</v>
      </c>
      <c r="F92" s="737">
        <f t="shared" si="48"/>
        <v>0.78835967270687013</v>
      </c>
      <c r="G92" s="737" t="str">
        <f t="shared" si="48"/>
        <v/>
      </c>
      <c r="H92" s="737" t="str">
        <f t="shared" si="48"/>
        <v/>
      </c>
      <c r="I92" s="737">
        <f t="shared" ref="I92:AE92" si="49">IF(I$9=0,"",+I76/I$9)</f>
        <v>0.7471962189756246</v>
      </c>
      <c r="J92" s="737">
        <f t="shared" si="49"/>
        <v>0.83605482982315682</v>
      </c>
      <c r="K92" s="737">
        <f t="shared" si="49"/>
        <v>0.78556600774251661</v>
      </c>
      <c r="L92" s="737">
        <f t="shared" si="49"/>
        <v>15.132135306553808</v>
      </c>
      <c r="M92" s="737">
        <f t="shared" si="49"/>
        <v>0.41709053916581107</v>
      </c>
      <c r="N92" s="737" t="str">
        <f t="shared" si="49"/>
        <v/>
      </c>
      <c r="O92" s="737" t="str">
        <f>IF(O$9=0,"",+O76/O$9)</f>
        <v/>
      </c>
      <c r="P92" s="737">
        <f>IF(P$9=0,"",+P76/P$9)</f>
        <v>0.77557060609006545</v>
      </c>
      <c r="Q92" s="737">
        <f t="shared" si="49"/>
        <v>0.80279066402611698</v>
      </c>
      <c r="R92" s="737">
        <f t="shared" si="49"/>
        <v>0.97526366774453033</v>
      </c>
      <c r="S92" s="737">
        <f>IF(S$9=0,"",+S76/S$9)</f>
        <v>0.7332158949639096</v>
      </c>
      <c r="T92" s="737">
        <f t="shared" si="49"/>
        <v>0.79302782386482851</v>
      </c>
      <c r="U92" s="737" t="str">
        <f t="shared" si="49"/>
        <v/>
      </c>
      <c r="V92" s="737" t="str">
        <f t="shared" si="49"/>
        <v/>
      </c>
      <c r="W92" s="737">
        <f t="shared" si="49"/>
        <v>0.89326694709130983</v>
      </c>
      <c r="X92" s="737">
        <f t="shared" si="49"/>
        <v>0.82031298400386488</v>
      </c>
      <c r="Y92" s="737" t="str">
        <f>IF(Y$9=0,"",+Y76/Y$9)</f>
        <v/>
      </c>
      <c r="Z92" s="737">
        <f t="shared" si="49"/>
        <v>0.93786005612457879</v>
      </c>
      <c r="AA92" s="737">
        <f t="shared" si="49"/>
        <v>0.77775739228816754</v>
      </c>
      <c r="AB92" s="737" t="str">
        <f t="shared" si="49"/>
        <v/>
      </c>
      <c r="AC92" s="737" t="str">
        <f>IF(AC$9=0,"",+AC76/AC$9)</f>
        <v/>
      </c>
      <c r="AD92" s="737">
        <f>IF(AD$9=0,"",+AD76/AD$9)</f>
        <v>1.5700460098365911</v>
      </c>
      <c r="AE92" s="737">
        <f t="shared" si="49"/>
        <v>1.6402220341714981</v>
      </c>
      <c r="AF92" s="737" t="str">
        <f t="shared" si="48"/>
        <v/>
      </c>
      <c r="AG92" s="712"/>
      <c r="AH92" s="814">
        <f>IF(AH$9=0,"0",+AH76/AH$9)</f>
        <v>0.84938445878235869</v>
      </c>
      <c r="AI92" s="761">
        <v>1.7</v>
      </c>
      <c r="AJ92" s="763">
        <f>AI92-AH92</f>
        <v>0.85061554121764127</v>
      </c>
      <c r="AK92" s="760">
        <f t="shared" si="45"/>
        <v>49.963791693079926</v>
      </c>
      <c r="AL92" s="719"/>
      <c r="AM92" s="720"/>
      <c r="AN92" s="720"/>
      <c r="AO92" s="720"/>
      <c r="AP92" s="720"/>
      <c r="AQ92" s="720"/>
      <c r="AR92" s="720"/>
      <c r="AS92" s="720"/>
      <c r="AT92" s="720"/>
      <c r="AU92" s="720"/>
      <c r="AV92" s="720"/>
      <c r="AW92" s="720"/>
      <c r="AX92" s="720"/>
      <c r="AY92" s="720"/>
      <c r="AZ92" s="720"/>
      <c r="BA92" s="720"/>
      <c r="BB92" s="720"/>
      <c r="BC92" s="720"/>
      <c r="BD92" s="720"/>
      <c r="BE92" s="720"/>
      <c r="BF92" s="720"/>
      <c r="BG92" s="720"/>
    </row>
    <row r="93" spans="1:59" s="715" customFormat="1" x14ac:dyDescent="0.4">
      <c r="A93" s="715" t="s">
        <v>190</v>
      </c>
      <c r="B93" s="737">
        <f>IF(B$9=0,"",B80/B$9)</f>
        <v>21.693633395761054</v>
      </c>
      <c r="C93" s="737">
        <f t="shared" ref="C93:H93" si="50">IF(C$9=0,"",C80/C$9)</f>
        <v>29.326756329723686</v>
      </c>
      <c r="D93" s="737">
        <f t="shared" si="50"/>
        <v>26.727501023977869</v>
      </c>
      <c r="E93" s="737">
        <f t="shared" si="50"/>
        <v>21.106537517916074</v>
      </c>
      <c r="F93" s="737">
        <f t="shared" si="50"/>
        <v>29.738354936719926</v>
      </c>
      <c r="G93" s="737" t="str">
        <f>IF(G$9=0,"",G80/G$9)</f>
        <v/>
      </c>
      <c r="H93" s="737" t="str">
        <f t="shared" si="50"/>
        <v/>
      </c>
      <c r="I93" s="737">
        <f t="shared" ref="I93:AE93" si="51">IF(I$9=0,"",I80/I$9)</f>
        <v>26.121838810335149</v>
      </c>
      <c r="J93" s="737">
        <f t="shared" si="51"/>
        <v>24.54067804141118</v>
      </c>
      <c r="K93" s="737">
        <f t="shared" si="51"/>
        <v>27.419847518592629</v>
      </c>
      <c r="L93" s="737">
        <f t="shared" si="51"/>
        <v>1267.970401691332</v>
      </c>
      <c r="M93" s="737">
        <f t="shared" si="51"/>
        <v>110.90045932365362</v>
      </c>
      <c r="N93" s="737" t="str">
        <f t="shared" si="51"/>
        <v/>
      </c>
      <c r="O93" s="737" t="str">
        <f t="shared" si="51"/>
        <v/>
      </c>
      <c r="P93" s="737">
        <f t="shared" si="51"/>
        <v>17.525951370210745</v>
      </c>
      <c r="Q93" s="737">
        <f t="shared" si="51"/>
        <v>17.306005443874739</v>
      </c>
      <c r="R93" s="737">
        <f t="shared" si="51"/>
        <v>20.402130262553495</v>
      </c>
      <c r="S93" s="737">
        <f t="shared" si="51"/>
        <v>11.839654858951114</v>
      </c>
      <c r="T93" s="737">
        <f>IF(T$9=0,"",T80/T$9)</f>
        <v>16.522684364094054</v>
      </c>
      <c r="U93" s="737" t="str">
        <f t="shared" si="51"/>
        <v/>
      </c>
      <c r="V93" s="737" t="str">
        <f>IF(V$9=0,"",V80/V$9)</f>
        <v/>
      </c>
      <c r="W93" s="737">
        <f>IF(W$9=0,"",W80/W$9)</f>
        <v>25.060806363922509</v>
      </c>
      <c r="X93" s="737">
        <f t="shared" si="51"/>
        <v>20.155211650373161</v>
      </c>
      <c r="Y93" s="737" t="str">
        <f>IF(Y$9=0,"",Y80/Y$9)</f>
        <v/>
      </c>
      <c r="Z93" s="737">
        <f t="shared" si="51"/>
        <v>30.274755957051269</v>
      </c>
      <c r="AA93" s="737">
        <f>IF(AA$9=0,"",AA80/AA$9)</f>
        <v>16.577225331009387</v>
      </c>
      <c r="AB93" s="737" t="str">
        <f t="shared" si="51"/>
        <v/>
      </c>
      <c r="AC93" s="737" t="str">
        <f>IF(AC$9=0,"",AC80/AC$9)</f>
        <v/>
      </c>
      <c r="AD93" s="737">
        <f t="shared" si="51"/>
        <v>40.499233169390237</v>
      </c>
      <c r="AE93" s="737">
        <f t="shared" si="51"/>
        <v>45.993512250161181</v>
      </c>
      <c r="AF93" s="738" t="str">
        <f>IF(AF$9=0,"",AF80/AF$9)</f>
        <v/>
      </c>
      <c r="AG93" s="711"/>
      <c r="AH93" s="814">
        <f>IF(AH$9=0,"0",+(AH80)/AH$9)</f>
        <v>30.43384908281686</v>
      </c>
      <c r="AI93" s="761">
        <v>22</v>
      </c>
      <c r="AJ93" s="762">
        <f>AI93-AH93</f>
        <v>-8.4338490828168595</v>
      </c>
      <c r="AK93" s="760">
        <f>AH93/AI93*100</f>
        <v>138.33567764916754</v>
      </c>
      <c r="AL93" s="713"/>
      <c r="AM93" s="714"/>
      <c r="AN93" s="714"/>
      <c r="AO93" s="714"/>
      <c r="AP93" s="714"/>
      <c r="AQ93" s="714"/>
      <c r="AR93" s="714"/>
      <c r="AS93" s="714"/>
      <c r="AT93" s="714"/>
      <c r="AU93" s="714"/>
      <c r="AV93" s="714"/>
      <c r="AW93" s="714"/>
      <c r="AX93" s="714"/>
      <c r="AY93" s="714"/>
      <c r="AZ93" s="714"/>
      <c r="BA93" s="714"/>
      <c r="BB93" s="714"/>
      <c r="BC93" s="714"/>
      <c r="BD93" s="714"/>
      <c r="BE93" s="714"/>
      <c r="BF93" s="714"/>
      <c r="BG93" s="714"/>
    </row>
    <row r="94" spans="1:59" s="715" customFormat="1" hidden="1" x14ac:dyDescent="0.4">
      <c r="B94" s="737"/>
      <c r="C94" s="737"/>
      <c r="D94" s="737"/>
      <c r="E94" s="737"/>
      <c r="F94" s="737"/>
      <c r="G94" s="737"/>
      <c r="H94" s="737"/>
      <c r="I94" s="737"/>
      <c r="J94" s="737"/>
      <c r="K94" s="737"/>
      <c r="L94" s="737"/>
      <c r="M94" s="737"/>
      <c r="N94" s="737"/>
      <c r="O94" s="737"/>
      <c r="P94" s="737"/>
      <c r="Q94" s="737"/>
      <c r="R94" s="737"/>
      <c r="S94" s="737"/>
      <c r="T94" s="737"/>
      <c r="U94" s="737"/>
      <c r="V94" s="737"/>
      <c r="W94" s="737"/>
      <c r="X94" s="737"/>
      <c r="Y94" s="737"/>
      <c r="Z94" s="737"/>
      <c r="AA94" s="737"/>
      <c r="AB94" s="737"/>
      <c r="AC94" s="737"/>
      <c r="AD94" s="737"/>
      <c r="AE94" s="737"/>
      <c r="AF94" s="738"/>
      <c r="AG94" s="721"/>
      <c r="AH94" s="814">
        <f t="shared" ref="AH94" si="52">IF(AH$9=0,"0",+(AH78*10)/AH$9)</f>
        <v>0</v>
      </c>
      <c r="AI94" s="761"/>
      <c r="AJ94" s="763"/>
      <c r="AK94" s="760" t="e">
        <f t="shared" si="45"/>
        <v>#DIV/0!</v>
      </c>
      <c r="AL94" s="713"/>
      <c r="AM94" s="714"/>
      <c r="AN94" s="714"/>
      <c r="AO94" s="714"/>
      <c r="AP94" s="714"/>
      <c r="AQ94" s="714"/>
      <c r="AR94" s="714"/>
      <c r="AS94" s="714"/>
      <c r="AT94" s="714"/>
      <c r="AU94" s="714"/>
      <c r="AV94" s="714"/>
      <c r="AW94" s="714"/>
      <c r="AX94" s="714"/>
      <c r="AY94" s="714"/>
      <c r="AZ94" s="714"/>
      <c r="BA94" s="714"/>
      <c r="BB94" s="714"/>
      <c r="BC94" s="714"/>
      <c r="BD94" s="714"/>
      <c r="BE94" s="714"/>
      <c r="BF94" s="714"/>
      <c r="BG94" s="714"/>
    </row>
    <row r="95" spans="1:59" s="715" customFormat="1" ht="27" thickBot="1" x14ac:dyDescent="0.45">
      <c r="A95" s="715" t="s">
        <v>191</v>
      </c>
      <c r="B95" s="737">
        <f t="shared" ref="B95:AF95" si="53">IF(B$9=0,"",B83/B$9)</f>
        <v>7.7267098543694281</v>
      </c>
      <c r="C95" s="737">
        <f>IF(C$9=0,"",C83/C$9)</f>
        <v>9.505825529564401</v>
      </c>
      <c r="D95" s="738">
        <f t="shared" si="53"/>
        <v>9.7697560582559468</v>
      </c>
      <c r="E95" s="737">
        <f>IF(E$9=0,"",E83/E$9)</f>
        <v>8.1100518737280218</v>
      </c>
      <c r="F95" s="737">
        <f t="shared" si="53"/>
        <v>10.309879268763614</v>
      </c>
      <c r="G95" s="737" t="str">
        <f t="shared" si="53"/>
        <v/>
      </c>
      <c r="H95" s="738" t="str">
        <f t="shared" si="53"/>
        <v/>
      </c>
      <c r="I95" s="738">
        <f t="shared" ref="I95:AE95" si="54">IF(I$9=0,"",I83/I$9)</f>
        <v>11.064979828443851</v>
      </c>
      <c r="J95" s="738">
        <f t="shared" si="54"/>
        <v>8.4977339376166352</v>
      </c>
      <c r="K95" s="738">
        <f t="shared" si="54"/>
        <v>8.7586417559674086</v>
      </c>
      <c r="L95" s="738">
        <f t="shared" si="54"/>
        <v>417.54756871035937</v>
      </c>
      <c r="M95" s="738">
        <f t="shared" si="54"/>
        <v>20.654150867782608</v>
      </c>
      <c r="N95" s="738" t="str">
        <f t="shared" si="54"/>
        <v/>
      </c>
      <c r="O95" s="738" t="str">
        <f t="shared" si="54"/>
        <v/>
      </c>
      <c r="P95" s="738">
        <f>IF(P$9=0,"",P83/P$9)</f>
        <v>6.056734239760261</v>
      </c>
      <c r="Q95" s="738">
        <f t="shared" si="54"/>
        <v>5.1544993353408755</v>
      </c>
      <c r="R95" s="738">
        <f t="shared" si="54"/>
        <v>7.2539896943318816</v>
      </c>
      <c r="S95" s="738">
        <f t="shared" si="54"/>
        <v>4.4346497240935383</v>
      </c>
      <c r="T95" s="738">
        <f>IF(T$9=0,"",T83/T$9)</f>
        <v>5.5495165627324221</v>
      </c>
      <c r="U95" s="738" t="str">
        <f t="shared" si="54"/>
        <v/>
      </c>
      <c r="V95" s="738" t="str">
        <f t="shared" si="54"/>
        <v/>
      </c>
      <c r="W95" s="738">
        <f t="shared" si="54"/>
        <v>8.3268950124474195</v>
      </c>
      <c r="X95" s="738">
        <f t="shared" si="54"/>
        <v>6.6495677780944238</v>
      </c>
      <c r="Y95" s="738" t="str">
        <f>IF(Y$9=0,"",Y83/Y$9)</f>
        <v/>
      </c>
      <c r="Z95" s="738">
        <f t="shared" si="54"/>
        <v>10.99165199934969</v>
      </c>
      <c r="AA95" s="738">
        <f t="shared" si="54"/>
        <v>5.3703024187383415</v>
      </c>
      <c r="AB95" s="738" t="str">
        <f t="shared" si="54"/>
        <v/>
      </c>
      <c r="AC95" s="738" t="str">
        <f>IF(AC$9=0,"",AC83/AC$9)</f>
        <v/>
      </c>
      <c r="AD95" s="738">
        <f t="shared" si="54"/>
        <v>13.168332540060289</v>
      </c>
      <c r="AE95" s="738">
        <f t="shared" si="54"/>
        <v>16.017891682785297</v>
      </c>
      <c r="AF95" s="738" t="str">
        <f t="shared" si="53"/>
        <v/>
      </c>
      <c r="AG95" s="711"/>
      <c r="AH95" s="815">
        <f>IF(AH$9=0,"0",+(AH83)/AH$9)</f>
        <v>8.8679734826367387</v>
      </c>
      <c r="AI95" s="751">
        <v>7.2</v>
      </c>
      <c r="AJ95" s="764">
        <f>AI95-AH95</f>
        <v>-1.6679734826367385</v>
      </c>
      <c r="AK95" s="756">
        <f t="shared" si="45"/>
        <v>123.1662983699547</v>
      </c>
      <c r="AL95" s="713"/>
      <c r="AM95" s="714"/>
      <c r="AN95" s="714"/>
      <c r="AO95" s="714"/>
      <c r="AP95" s="714"/>
      <c r="AQ95" s="714"/>
      <c r="AR95" s="714"/>
      <c r="AS95" s="714"/>
      <c r="AT95" s="714"/>
      <c r="AU95" s="714"/>
      <c r="AV95" s="714"/>
      <c r="AW95" s="714"/>
      <c r="AX95" s="714"/>
      <c r="AY95" s="714"/>
      <c r="AZ95" s="714"/>
      <c r="BA95" s="714"/>
      <c r="BB95" s="714"/>
      <c r="BC95" s="714"/>
      <c r="BD95" s="714"/>
      <c r="BE95" s="714"/>
      <c r="BF95" s="714"/>
      <c r="BG95" s="714"/>
    </row>
    <row r="96" spans="1:59" s="544" customFormat="1" hidden="1" x14ac:dyDescent="0.4">
      <c r="B96" s="541"/>
      <c r="C96" s="541"/>
      <c r="D96" s="541"/>
      <c r="E96" s="541"/>
      <c r="F96" s="541"/>
      <c r="G96" s="541"/>
      <c r="H96" s="541"/>
      <c r="I96" s="541"/>
      <c r="J96" s="569"/>
      <c r="K96" s="569"/>
      <c r="L96" s="569"/>
      <c r="M96" s="569"/>
      <c r="N96" s="569"/>
      <c r="O96" s="569"/>
      <c r="P96" s="569"/>
      <c r="Q96" s="569"/>
      <c r="R96" s="569"/>
      <c r="S96" s="569"/>
      <c r="T96" s="569"/>
      <c r="U96" s="569"/>
      <c r="V96" s="569"/>
      <c r="W96" s="569"/>
      <c r="X96" s="569"/>
      <c r="Y96" s="569"/>
      <c r="Z96" s="569"/>
      <c r="AA96" s="569"/>
      <c r="AB96" s="569"/>
      <c r="AC96" s="569"/>
      <c r="AD96" s="569"/>
      <c r="AE96" s="569"/>
      <c r="AF96" s="569"/>
      <c r="AG96" s="569"/>
      <c r="AH96" s="714"/>
      <c r="AI96" s="541"/>
      <c r="AJ96" s="541"/>
      <c r="AK96" s="541"/>
      <c r="AL96" s="292"/>
      <c r="AM96" s="541"/>
      <c r="AN96" s="541"/>
      <c r="AO96" s="541"/>
      <c r="AP96" s="541"/>
      <c r="AQ96" s="541"/>
      <c r="AR96" s="541"/>
      <c r="AS96" s="541"/>
      <c r="AT96" s="541"/>
      <c r="AU96" s="541"/>
      <c r="AV96" s="541"/>
      <c r="AW96" s="541"/>
      <c r="AX96" s="541"/>
      <c r="AY96" s="541"/>
      <c r="AZ96" s="541"/>
      <c r="BA96" s="541"/>
      <c r="BB96" s="541"/>
      <c r="BC96" s="541"/>
      <c r="BD96" s="541"/>
      <c r="BE96" s="541"/>
      <c r="BF96" s="541"/>
      <c r="BG96" s="541"/>
    </row>
    <row r="97" spans="1:79" s="544" customFormat="1" hidden="1" x14ac:dyDescent="0.4">
      <c r="B97" s="541"/>
      <c r="C97" s="541"/>
      <c r="D97" s="541"/>
      <c r="E97" s="541"/>
      <c r="F97" s="541"/>
      <c r="G97" s="541"/>
      <c r="H97" s="541"/>
      <c r="I97" s="541"/>
      <c r="J97" s="569"/>
      <c r="K97" s="569"/>
      <c r="L97" s="569"/>
      <c r="M97" s="569"/>
      <c r="N97" s="569"/>
      <c r="O97" s="569"/>
      <c r="P97" s="569"/>
      <c r="Q97" s="569"/>
      <c r="R97" s="569"/>
      <c r="S97" s="569"/>
      <c r="T97" s="569"/>
      <c r="U97" s="569"/>
      <c r="V97" s="569"/>
      <c r="W97" s="569"/>
      <c r="X97" s="569"/>
      <c r="Y97" s="569"/>
      <c r="Z97" s="569"/>
      <c r="AA97" s="569"/>
      <c r="AB97" s="569"/>
      <c r="AC97" s="569"/>
      <c r="AD97" s="569"/>
      <c r="AE97" s="569"/>
      <c r="AF97" s="569"/>
      <c r="AG97" s="569"/>
      <c r="AH97" s="714"/>
      <c r="AI97" s="541"/>
      <c r="AJ97" s="541"/>
      <c r="AK97" s="541"/>
      <c r="AL97" s="292"/>
      <c r="AM97" s="541"/>
      <c r="AN97" s="541"/>
      <c r="AO97" s="541"/>
      <c r="AP97" s="541"/>
      <c r="AQ97" s="541"/>
      <c r="AR97" s="541"/>
      <c r="AS97" s="541"/>
      <c r="AT97" s="541"/>
      <c r="AU97" s="541"/>
      <c r="AV97" s="541"/>
      <c r="AW97" s="541"/>
      <c r="AX97" s="541"/>
      <c r="AY97" s="541"/>
      <c r="AZ97" s="541"/>
      <c r="BA97" s="541"/>
      <c r="BB97" s="541"/>
      <c r="BC97" s="541"/>
      <c r="BD97" s="541"/>
      <c r="BE97" s="541"/>
      <c r="BF97" s="541"/>
      <c r="BG97" s="541"/>
    </row>
    <row r="98" spans="1:79" ht="25.5" hidden="1" x14ac:dyDescent="0.35">
      <c r="A98" s="664" t="s">
        <v>218</v>
      </c>
      <c r="B98" s="722"/>
      <c r="C98" s="722"/>
      <c r="D98" s="722"/>
      <c r="E98" s="722"/>
      <c r="F98" s="722"/>
      <c r="G98" s="722"/>
      <c r="H98" s="722"/>
      <c r="I98" s="722"/>
      <c r="J98" s="723"/>
      <c r="K98" s="723"/>
      <c r="L98" s="723"/>
      <c r="M98" s="723"/>
      <c r="N98" s="723"/>
      <c r="O98" s="723"/>
      <c r="P98" s="723"/>
      <c r="Q98" s="723"/>
      <c r="R98" s="723"/>
      <c r="S98" s="723"/>
      <c r="T98" s="723"/>
      <c r="U98" s="723"/>
      <c r="V98" s="723"/>
      <c r="W98" s="723"/>
      <c r="X98" s="723"/>
      <c r="Y98" s="723"/>
      <c r="Z98" s="723"/>
      <c r="AA98" s="723"/>
      <c r="AB98" s="723"/>
      <c r="AC98" s="723"/>
      <c r="AD98" s="723"/>
      <c r="AE98" s="723"/>
      <c r="AF98" s="723"/>
      <c r="AG98" s="723"/>
      <c r="AH98" s="724">
        <f>SUM($B98:AF98)</f>
        <v>0</v>
      </c>
      <c r="AI98" s="725"/>
      <c r="AJ98" s="722" t="s">
        <v>187</v>
      </c>
    </row>
    <row r="99" spans="1:79" s="577" customFormat="1" ht="51" hidden="1" x14ac:dyDescent="0.35">
      <c r="A99" s="726" t="s">
        <v>219</v>
      </c>
      <c r="B99" s="573" t="str">
        <f t="shared" ref="B99:AF99" si="55">IF(B$98=0,"",+(B42*10)/B$98)</f>
        <v/>
      </c>
      <c r="C99" s="573" t="str">
        <f t="shared" si="55"/>
        <v/>
      </c>
      <c r="D99" s="573" t="str">
        <f t="shared" si="55"/>
        <v/>
      </c>
      <c r="E99" s="573" t="str">
        <f t="shared" si="55"/>
        <v/>
      </c>
      <c r="F99" s="573" t="str">
        <f t="shared" si="55"/>
        <v/>
      </c>
      <c r="G99" s="573" t="str">
        <f t="shared" si="55"/>
        <v/>
      </c>
      <c r="H99" s="573" t="str">
        <f t="shared" si="55"/>
        <v/>
      </c>
      <c r="I99" s="573" t="str">
        <f t="shared" si="55"/>
        <v/>
      </c>
      <c r="J99" s="574" t="str">
        <f t="shared" si="55"/>
        <v/>
      </c>
      <c r="K99" s="574" t="str">
        <f t="shared" si="55"/>
        <v/>
      </c>
      <c r="L99" s="574" t="str">
        <f t="shared" si="55"/>
        <v/>
      </c>
      <c r="M99" s="574" t="str">
        <f t="shared" si="55"/>
        <v/>
      </c>
      <c r="N99" s="574" t="str">
        <f t="shared" si="55"/>
        <v/>
      </c>
      <c r="O99" s="574" t="str">
        <f t="shared" si="55"/>
        <v/>
      </c>
      <c r="P99" s="574" t="str">
        <f t="shared" si="55"/>
        <v/>
      </c>
      <c r="Q99" s="574" t="str">
        <f t="shared" si="55"/>
        <v/>
      </c>
      <c r="R99" s="574" t="str">
        <f t="shared" si="55"/>
        <v/>
      </c>
      <c r="S99" s="574" t="str">
        <f t="shared" si="55"/>
        <v/>
      </c>
      <c r="T99" s="574" t="str">
        <f t="shared" si="55"/>
        <v/>
      </c>
      <c r="U99" s="574" t="str">
        <f t="shared" si="55"/>
        <v/>
      </c>
      <c r="V99" s="574" t="str">
        <f t="shared" si="55"/>
        <v/>
      </c>
      <c r="W99" s="574" t="str">
        <f t="shared" si="55"/>
        <v/>
      </c>
      <c r="X99" s="574" t="str">
        <f t="shared" si="55"/>
        <v/>
      </c>
      <c r="Y99" s="574" t="str">
        <f t="shared" si="55"/>
        <v/>
      </c>
      <c r="Z99" s="574" t="str">
        <f t="shared" si="55"/>
        <v/>
      </c>
      <c r="AA99" s="574" t="str">
        <f t="shared" si="55"/>
        <v/>
      </c>
      <c r="AB99" s="574" t="str">
        <f t="shared" si="55"/>
        <v/>
      </c>
      <c r="AC99" s="574" t="str">
        <f t="shared" si="55"/>
        <v/>
      </c>
      <c r="AD99" s="574" t="str">
        <f t="shared" si="55"/>
        <v/>
      </c>
      <c r="AE99" s="574" t="str">
        <f t="shared" si="55"/>
        <v/>
      </c>
      <c r="AF99" s="574" t="str">
        <f t="shared" si="55"/>
        <v/>
      </c>
      <c r="AG99" s="574"/>
      <c r="AH99" s="575" t="e">
        <f>+(AH42*10)/AH$98</f>
        <v>#DIV/0!</v>
      </c>
      <c r="AI99" s="575">
        <v>2.6</v>
      </c>
      <c r="AJ99" s="727" t="e">
        <f>AI99-AH99</f>
        <v>#DIV/0!</v>
      </c>
      <c r="AK99" s="292"/>
      <c r="AL99" s="292"/>
      <c r="AM99" s="292"/>
      <c r="AN99" s="292"/>
      <c r="AO99" s="292"/>
      <c r="AP99" s="292"/>
      <c r="AQ99" s="292"/>
      <c r="AR99" s="292"/>
      <c r="AS99" s="292"/>
      <c r="AT99" s="292"/>
      <c r="AU99" s="292"/>
      <c r="AV99" s="292"/>
      <c r="AW99" s="292"/>
      <c r="AX99" s="292"/>
      <c r="AY99" s="292"/>
      <c r="AZ99" s="292"/>
      <c r="BA99" s="292"/>
      <c r="BB99" s="292"/>
      <c r="BC99" s="292"/>
      <c r="BD99" s="292"/>
      <c r="BE99" s="292"/>
      <c r="BF99" s="292"/>
      <c r="BG99" s="292"/>
      <c r="BH99" s="540"/>
      <c r="BI99" s="540"/>
      <c r="BJ99" s="540"/>
      <c r="BK99" s="540"/>
      <c r="BL99" s="540"/>
      <c r="BM99" s="540"/>
      <c r="BN99" s="540"/>
      <c r="BO99" s="540"/>
      <c r="BP99" s="540"/>
      <c r="BQ99" s="540"/>
      <c r="BR99" s="540"/>
      <c r="BS99" s="540"/>
      <c r="BT99" s="540"/>
      <c r="BU99" s="540"/>
      <c r="BV99" s="540"/>
      <c r="BW99" s="540"/>
      <c r="BX99" s="540"/>
      <c r="BY99" s="540"/>
      <c r="BZ99" s="540"/>
      <c r="CA99" s="540"/>
    </row>
    <row r="100" spans="1:79" ht="25.5" hidden="1" x14ac:dyDescent="0.35">
      <c r="A100" s="728"/>
      <c r="B100" s="729"/>
      <c r="C100" s="729"/>
      <c r="D100" s="729"/>
      <c r="E100" s="729"/>
      <c r="F100" s="729"/>
      <c r="G100" s="729"/>
      <c r="H100" s="729"/>
      <c r="I100" s="729"/>
      <c r="J100" s="730"/>
      <c r="K100" s="730"/>
      <c r="L100" s="730"/>
      <c r="M100" s="730"/>
      <c r="N100" s="730"/>
      <c r="O100" s="730"/>
      <c r="P100" s="730"/>
      <c r="Q100" s="730"/>
      <c r="R100" s="730"/>
      <c r="S100" s="730"/>
      <c r="T100" s="730"/>
      <c r="U100" s="730"/>
      <c r="V100" s="730"/>
      <c r="W100" s="730"/>
      <c r="X100" s="730"/>
      <c r="Y100" s="730"/>
      <c r="Z100" s="730"/>
      <c r="AA100" s="730"/>
      <c r="AB100" s="730"/>
      <c r="AC100" s="730"/>
      <c r="AD100" s="730"/>
      <c r="AE100" s="730"/>
      <c r="AF100" s="730"/>
      <c r="AG100" s="730"/>
      <c r="AH100" s="731"/>
      <c r="AI100" s="731"/>
      <c r="AJ100" s="732"/>
    </row>
    <row r="101" spans="1:79" ht="25.5" hidden="1" x14ac:dyDescent="0.35">
      <c r="A101" s="728"/>
      <c r="B101" s="729"/>
      <c r="C101" s="729"/>
      <c r="D101" s="729"/>
      <c r="E101" s="729"/>
      <c r="F101" s="729"/>
      <c r="G101" s="729"/>
      <c r="H101" s="729"/>
      <c r="I101" s="729"/>
      <c r="J101" s="730"/>
      <c r="K101" s="730"/>
      <c r="L101" s="730"/>
      <c r="M101" s="730"/>
      <c r="N101" s="730"/>
      <c r="O101" s="730"/>
      <c r="P101" s="730"/>
      <c r="Q101" s="730"/>
      <c r="R101" s="730"/>
      <c r="S101" s="730"/>
      <c r="T101" s="730"/>
      <c r="U101" s="730"/>
      <c r="V101" s="730"/>
      <c r="W101" s="730"/>
      <c r="X101" s="730"/>
      <c r="Y101" s="730"/>
      <c r="Z101" s="730"/>
      <c r="AA101" s="730"/>
      <c r="AB101" s="730"/>
      <c r="AC101" s="730"/>
      <c r="AD101" s="730"/>
      <c r="AE101" s="730"/>
      <c r="AF101" s="730"/>
      <c r="AG101" s="730"/>
      <c r="AH101" s="731"/>
      <c r="AI101" s="731"/>
      <c r="AJ101" s="732"/>
    </row>
    <row r="102" spans="1:79" ht="29.25" hidden="1" x14ac:dyDescent="0.5">
      <c r="A102" s="544" t="s">
        <v>227</v>
      </c>
      <c r="B102" s="733">
        <f>IF('Entries September''25'!L7-'Entries September''25'!L6&lt;1,0,'Entries September''25'!L7-'Entries September''25'!L6)</f>
        <v>0</v>
      </c>
      <c r="C102" s="733">
        <f>IF('Entries September''25'!L8-'Entries September''25'!L7&lt;1,0,'Entries September''25'!L8-'Entries September''25'!L7)</f>
        <v>0</v>
      </c>
      <c r="D102" s="733">
        <f>IF('Entries September''25'!L9-'Entries September''25'!L8&lt;1,0,'Entries September''25'!L9-'Entries September''25'!L8)</f>
        <v>0</v>
      </c>
      <c r="E102" s="733">
        <f>IF('Entries September''25'!L10-'Entries September''25'!L9&lt;1,0,'Entries September''25'!L10-'Entries September''25'!L9)</f>
        <v>0</v>
      </c>
      <c r="F102" s="733">
        <f>IF('Entries September''25'!L11-'Entries September''25'!L10&lt;1,0,'Entries September''25'!L11-'Entries September''25'!L10)</f>
        <v>0</v>
      </c>
      <c r="G102" s="733">
        <f>IF('Entries September''25'!L12-'Entries September''25'!L11&lt;1,0,'Entries September''25'!L12-'Entries September''25'!L11)</f>
        <v>0</v>
      </c>
      <c r="H102" s="733">
        <f>IF('Entries September''25'!L13-'Entries September''25'!L12&lt;1,0,'Entries September''25'!L13-'Entries September''25'!L12)</f>
        <v>0</v>
      </c>
      <c r="I102" s="733">
        <f>IF('Entries September''25'!L14-'Entries September''25'!L13&lt;1,0,'Entries September''25'!L14-'Entries September''25'!L13)</f>
        <v>0</v>
      </c>
      <c r="J102" s="734">
        <f>IF('Entries September''25'!L15-'Entries September''25'!L14&lt;1,0,'Entries September''25'!L15-'Entries September''25'!L14)</f>
        <v>0</v>
      </c>
      <c r="K102" s="734">
        <f>IF('Entries September''25'!L16-'Entries September''25'!L15&lt;1,0,'Entries September''25'!L16-'Entries September''25'!L15)</f>
        <v>0</v>
      </c>
      <c r="L102" s="734">
        <f>IF('Entries September''25'!L17-'Entries September''25'!L16&lt;1,0,'Entries September''25'!L17-'Entries September''25'!L16)</f>
        <v>0</v>
      </c>
      <c r="M102" s="734">
        <f>IF('Entries September''25'!L18-'Entries September''25'!L17&lt;1,0,'Entries September''25'!L18-'Entries September''25'!L17)</f>
        <v>0</v>
      </c>
      <c r="N102" s="594">
        <f>IF('Entries September''25'!L19-'Entries September''25'!L18&lt;1,0,'Entries September''25'!L19-'Entries September''25'!L18)</f>
        <v>0</v>
      </c>
      <c r="O102" s="594">
        <f>IF('Entries September''25'!L20-'Entries September''25'!L19&lt;1,0,'Entries September''25'!L20-'Entries September''25'!L19)</f>
        <v>0</v>
      </c>
      <c r="P102" s="594">
        <f>IF('Entries September''25'!L21-'Entries September''25'!L20&lt;1,0,'Entries September''25'!L21-'Entries September''25'!L20)</f>
        <v>0</v>
      </c>
      <c r="Q102" s="594">
        <f>IF('Entries September''25'!L22-'Entries September''25'!L21&lt;1,0,'Entries September''25'!L22-'Entries September''25'!L21)</f>
        <v>0</v>
      </c>
      <c r="R102" s="594">
        <f>IF('Entries September''25'!L23-'Entries September''25'!L22&lt;1,0,'Entries September''25'!L23-'Entries September''25'!L22)</f>
        <v>0</v>
      </c>
      <c r="S102" s="594">
        <f>IF('Entries September''25'!L24-'Entries September''25'!L23&lt;1,0,'Entries September''25'!L24-'Entries September''25'!L23)</f>
        <v>93.810000000000031</v>
      </c>
      <c r="T102" s="594">
        <f>IF('Entries September''25'!L25-'Entries September''25'!L24&lt;1,0,'Entries September''25'!L25-'Entries September''25'!L24)</f>
        <v>104.83999999999997</v>
      </c>
      <c r="U102" s="594">
        <f>IF('Entries September''25'!L26-'Entries September''25'!L25&lt;1,0,'Entries September''25'!L26-'Entries September''25'!L25)</f>
        <v>0</v>
      </c>
      <c r="V102" s="594">
        <f>IF('Entries September''25'!L27-'Entries September''25'!L26&lt;1,0,'Entries September''25'!L27-'Entries September''25'!L26)</f>
        <v>0</v>
      </c>
      <c r="W102" s="594">
        <f>IF('Entries September''25'!L28-'Entries September''25'!L27&lt;1,0,'Entries September''25'!L28-'Entries September''25'!L27)</f>
        <v>55.629999999999995</v>
      </c>
      <c r="X102" s="594">
        <f>IF('Entries September''25'!L29-'Entries September''25'!L28&lt;1,0,'Entries September''25'!L29-'Entries September''25'!L28)</f>
        <v>91.71999999999997</v>
      </c>
      <c r="Y102" s="594">
        <f>IF('Entries September''25'!L30-'Entries September''25'!L29&lt;1,0,'Entries September''25'!L30-'Entries September''25'!L29)</f>
        <v>21.550000000000068</v>
      </c>
      <c r="Z102" s="594">
        <f>IF('Entries September''25'!L31-'Entries September''25'!L30&lt;1,0,'Entries September''25'!L31-'Entries September''25'!L30)</f>
        <v>7.7899999999999636</v>
      </c>
      <c r="AA102" s="594">
        <f>IF('Entries September''25'!L32-'Entries September''25'!L31&lt;1,0,'Entries September''25'!L32-'Entries September''25'!L31)</f>
        <v>63.389999999999986</v>
      </c>
      <c r="AB102" s="594">
        <f>IF('Entries September''25'!L33-'Entries September''25'!L32&lt;1,0,'Entries September''25'!L33-'Entries September''25'!L32)</f>
        <v>0</v>
      </c>
      <c r="AC102" s="594">
        <f>IF('Entries September''25'!L34-'Entries September''25'!L33&lt;1,0,'Entries September''25'!L34-'Entries September''25'!L33)</f>
        <v>0</v>
      </c>
      <c r="AD102" s="594" t="e">
        <f>IF('Entries September''25'!#REF!-'Entries September''25'!L34&lt;1,0,'Entries September''25'!#REF!-'Entries September''25'!L34)</f>
        <v>#REF!</v>
      </c>
      <c r="AE102" s="594" t="e">
        <f>IF('Entries September''25'!L35-'Entries September''25'!#REF!&lt;1,0,'Entries September''25'!L35-'Entries September''25'!#REF!)</f>
        <v>#REF!</v>
      </c>
      <c r="AF102" s="594">
        <f>IF('Entries September''25'!L36-'Entries September''25'!L35&lt;1,0,'Entries September''25'!L36-'Entries September''25'!L35)</f>
        <v>20.490000000000009</v>
      </c>
      <c r="AG102" s="594"/>
      <c r="AH102" s="557" t="e">
        <f>SUM($B102:AF102)</f>
        <v>#REF!</v>
      </c>
      <c r="AI102" s="557"/>
    </row>
    <row r="103" spans="1:79" hidden="1" x14ac:dyDescent="0.4">
      <c r="A103" s="544" t="s">
        <v>206</v>
      </c>
      <c r="M103" s="542"/>
      <c r="AH103" s="541">
        <f>SUM(B103:AF103)</f>
        <v>0</v>
      </c>
      <c r="AK103" s="292" t="s">
        <v>232</v>
      </c>
    </row>
    <row r="104" spans="1:79" hidden="1" x14ac:dyDescent="0.4">
      <c r="A104" s="544" t="s">
        <v>207</v>
      </c>
      <c r="B104" s="735" t="str">
        <f t="shared" ref="B104:AF104" si="56">IF(B102=0,"",B103/B102)</f>
        <v/>
      </c>
      <c r="C104" s="735" t="str">
        <f>IF(C102=0,"",C103/C102)</f>
        <v/>
      </c>
      <c r="D104" s="735" t="str">
        <f t="shared" si="56"/>
        <v/>
      </c>
      <c r="E104" s="735" t="str">
        <f t="shared" si="56"/>
        <v/>
      </c>
      <c r="F104" s="735" t="str">
        <f t="shared" si="56"/>
        <v/>
      </c>
      <c r="G104" s="735" t="s">
        <v>58</v>
      </c>
      <c r="H104" s="735" t="str">
        <f t="shared" si="56"/>
        <v/>
      </c>
      <c r="I104" s="735" t="str">
        <f>IF(I102=0,"",I103/I102)</f>
        <v/>
      </c>
      <c r="J104" s="736" t="str">
        <f t="shared" si="56"/>
        <v/>
      </c>
      <c r="K104" s="736" t="str">
        <f t="shared" si="56"/>
        <v/>
      </c>
      <c r="L104" s="736" t="str">
        <f t="shared" si="56"/>
        <v/>
      </c>
      <c r="M104" s="736" t="str">
        <f t="shared" si="56"/>
        <v/>
      </c>
      <c r="N104" s="736" t="str">
        <f t="shared" si="56"/>
        <v/>
      </c>
      <c r="O104" s="736" t="str">
        <f t="shared" si="56"/>
        <v/>
      </c>
      <c r="P104" s="736" t="str">
        <f t="shared" si="56"/>
        <v/>
      </c>
      <c r="Q104" s="736" t="str">
        <f t="shared" si="56"/>
        <v/>
      </c>
      <c r="R104" s="736" t="str">
        <f t="shared" si="56"/>
        <v/>
      </c>
      <c r="S104" s="736">
        <f t="shared" si="56"/>
        <v>0</v>
      </c>
      <c r="T104" s="736">
        <f t="shared" si="56"/>
        <v>0</v>
      </c>
      <c r="U104" s="736" t="str">
        <f>IF(U102=0,"",U103/U102)</f>
        <v/>
      </c>
      <c r="V104" s="736" t="str">
        <f t="shared" si="56"/>
        <v/>
      </c>
      <c r="W104" s="736">
        <f t="shared" si="56"/>
        <v>0</v>
      </c>
      <c r="X104" s="736">
        <f t="shared" si="56"/>
        <v>0</v>
      </c>
      <c r="Y104" s="736">
        <f t="shared" si="56"/>
        <v>0</v>
      </c>
      <c r="Z104" s="736">
        <f t="shared" si="56"/>
        <v>0</v>
      </c>
      <c r="AA104" s="736">
        <f t="shared" si="56"/>
        <v>0</v>
      </c>
      <c r="AB104" s="736" t="str">
        <f t="shared" si="56"/>
        <v/>
      </c>
      <c r="AC104" s="736" t="str">
        <f t="shared" si="56"/>
        <v/>
      </c>
      <c r="AD104" s="736" t="e">
        <f t="shared" si="56"/>
        <v>#REF!</v>
      </c>
      <c r="AE104" s="736" t="e">
        <f t="shared" si="56"/>
        <v>#REF!</v>
      </c>
      <c r="AF104" s="736">
        <f t="shared" si="56"/>
        <v>0</v>
      </c>
      <c r="AG104" s="736"/>
      <c r="AH104" s="735" t="e">
        <f>IF(AH102=0,"",AH103/AH102)</f>
        <v>#REF!</v>
      </c>
    </row>
    <row r="105" spans="1:79" ht="30" hidden="1" x14ac:dyDescent="0.4">
      <c r="A105" s="544" t="s">
        <v>228</v>
      </c>
      <c r="B105" s="733">
        <f>IF('Entries September''25'!$AF7-'Entries September''25'!$AF6&lt;1,0,'Entries September''25'!$AF7-'Entries September''25'!$AF6)</f>
        <v>0</v>
      </c>
      <c r="C105" s="733">
        <f>IF('Entries September''25'!$AF8-'Entries September''25'!$AF7&lt;1,0,'Entries September''25'!$AF8-'Entries September''25'!$AF7)</f>
        <v>0</v>
      </c>
      <c r="D105" s="733">
        <f>IF('Entries September''25'!$AF9-'Entries September''25'!$AF8&lt;1,0,'Entries September''25'!$AF9-'Entries September''25'!$AF8)</f>
        <v>0</v>
      </c>
      <c r="E105" s="733">
        <f>IF('Entries September''25'!$AF10-'Entries September''25'!$AF9&lt;1,0,'Entries September''25'!$AF10-'Entries September''25'!$AF9)</f>
        <v>0</v>
      </c>
      <c r="F105" s="733">
        <f>IF('Entries September''25'!$AF11-'Entries September''25'!$AF10&lt;1,0,'Entries September''25'!$AF11-'Entries September''25'!$AF10)</f>
        <v>0</v>
      </c>
      <c r="G105" s="733">
        <f>IF('Entries September''25'!$AF12-'Entries September''25'!$AF11&lt;1,0,'Entries September''25'!$AF12-'Entries September''25'!$AF11)</f>
        <v>0</v>
      </c>
      <c r="H105" s="733">
        <f>IF('Entries September''25'!$AF13-'Entries September''25'!$AF12&lt;1,0,'Entries September''25'!$AF13-'Entries September''25'!$AF12)</f>
        <v>0</v>
      </c>
      <c r="I105" s="733">
        <f>IF('Entries September''25'!AF14-'Entries September''25'!AF13&lt;1,0,'Entries September''25'!AF14-'Entries September''25'!AF13)</f>
        <v>0</v>
      </c>
      <c r="J105" s="734">
        <f>IF('Entries September''25'!AF15-'Entries September''25'!AF14&lt;1,0,'Entries September''25'!AF15-'Entries September''25'!AF14)</f>
        <v>0</v>
      </c>
      <c r="K105" s="734">
        <f>IF('Entries September''25'!AF16-'Entries September''25'!AF15&lt;1,0,'Entries September''25'!AF16-'Entries September''25'!AF15)</f>
        <v>0</v>
      </c>
      <c r="L105" s="734">
        <f>IF('Entries September''25'!$AF17-'Entries September''25'!$AF16&lt;1,0,'Entries September''25'!$AF17-'Entries September''25'!$AF16)</f>
        <v>0</v>
      </c>
      <c r="M105" s="734">
        <f>IF('Entries September''25'!$AF18-'Entries September''25'!$AF17&lt;1,0,'Entries September''25'!$AF18-'Entries September''25'!$AF17)</f>
        <v>0</v>
      </c>
      <c r="N105" s="734">
        <f>IF('Entries September''25'!$AF19-'Entries September''25'!$AF18&lt;1,0,'Entries September''25'!$AF19-'Entries September''25'!$AF18)</f>
        <v>0</v>
      </c>
      <c r="O105" s="734">
        <f>IF('Entries September''25'!$AF20-'Entries September''25'!$AF19&lt;1,0,'Entries September''25'!$AF20-'Entries September''25'!$AF19)</f>
        <v>0</v>
      </c>
      <c r="P105" s="734">
        <f>IF('Entries September''25'!$AF21-'Entries September''25'!$AF20&lt;1,0,'Entries September''25'!$AF21-'Entries September''25'!$AF20)</f>
        <v>0</v>
      </c>
      <c r="Q105" s="734">
        <f>IF('Entries September''25'!$AF22-'Entries September''25'!$AF21&lt;1,0,'Entries September''25'!$AF22-'Entries September''25'!$AF21)</f>
        <v>0</v>
      </c>
      <c r="R105" s="734">
        <f>IF('Entries September''25'!$AF23-'Entries September''25'!$AF22&lt;1,0,'Entries September''25'!$AF23-'Entries September''25'!$AF22)</f>
        <v>0</v>
      </c>
      <c r="S105" s="734">
        <f>IF('Entries September''25'!$AF24-'Entries September''25'!$AF23&lt;1,0,'Entries September''25'!$AF24-'Entries September''25'!$AF23)</f>
        <v>0</v>
      </c>
      <c r="T105" s="734">
        <f>IF('Entries September''25'!$AF25-'Entries September''25'!$AF24&lt;1,0,'Entries September''25'!$AF25-'Entries September''25'!$AF24)</f>
        <v>0</v>
      </c>
      <c r="U105" s="734">
        <f>IF('Entries September''25'!$AF26-'Entries September''25'!$AF25&lt;1,0,'Entries September''25'!$AF26-'Entries September''25'!$AF25)</f>
        <v>0</v>
      </c>
      <c r="V105" s="734">
        <f>IF('Entries September''25'!$AF27-'Entries September''25'!$AF26&lt;1,0,'Entries September''25'!$AF27-'Entries September''25'!$AF26)</f>
        <v>0</v>
      </c>
      <c r="W105" s="734">
        <f>IF('Entries September''25'!$AF28-'Entries September''25'!$AF27&lt;1,0,'Entries September''25'!$AF28-'Entries September''25'!$AF27)</f>
        <v>0</v>
      </c>
      <c r="X105" s="734">
        <f>IF('Entries September''25'!$AF29-'Entries September''25'!$AF28&lt;1,0,'Entries September''25'!$AF29-'Entries September''25'!$AF28)</f>
        <v>0</v>
      </c>
      <c r="Y105" s="734">
        <f>IF('Entries September''25'!$AF30-'Entries September''25'!$AF29&lt;1,0,'Entries September''25'!$AF30-'Entries September''25'!$AF29)</f>
        <v>0</v>
      </c>
      <c r="Z105" s="734">
        <f>IF('Entries September''25'!$AF31-'Entries September''25'!$AF30&lt;1,0,'Entries September''25'!$AF31-'Entries September''25'!$AF30)</f>
        <v>0</v>
      </c>
      <c r="AA105" s="734">
        <f>IF('Entries September''25'!$AF32-'Entries September''25'!$AF30&lt;1,0,'Entries September''25'!$AF32-'Entries September''25'!$AF30)</f>
        <v>0</v>
      </c>
      <c r="AB105" s="734">
        <f>IF('Entries September''25'!$AF33-'Entries September''25'!$AF32&lt;1,0,'Entries September''25'!$AF33-'Entries September''25'!$AF32)</f>
        <v>0</v>
      </c>
      <c r="AC105" s="734">
        <f>IF('Entries September''25'!$AF34-'Entries September''25'!$AF33&lt;1,0,'Entries September''25'!$AF34-'Entries September''25'!$AF33)</f>
        <v>0</v>
      </c>
      <c r="AD105" s="734" t="e">
        <f>IF('Entries September''25'!#REF!-'Entries September''25'!$AF34&lt;1,0,'Entries September''25'!#REF!-'Entries September''25'!$AF34)</f>
        <v>#REF!</v>
      </c>
      <c r="AE105" s="734" t="e">
        <f>IF('Entries September''25'!$AF35-'Entries September''25'!#REF!&lt;1,0,'Entries September''25'!$AF35-'Entries September''25'!#REF!)</f>
        <v>#REF!</v>
      </c>
      <c r="AF105" s="734">
        <f>IF('Entries September''25'!$AF36-'Entries September''25'!$AF35&lt;1,0,'Entries September''25'!$AF36-'Entries September''25'!$AF35)</f>
        <v>0</v>
      </c>
      <c r="AG105" s="734"/>
      <c r="AH105" s="557" t="e">
        <f>SUM(B105:AF105)</f>
        <v>#REF!</v>
      </c>
      <c r="AI105" s="557"/>
    </row>
    <row r="106" spans="1:79" hidden="1" x14ac:dyDescent="0.35">
      <c r="M106" s="542"/>
    </row>
    <row r="107" spans="1:79" hidden="1" x14ac:dyDescent="0.35">
      <c r="A107" s="540" t="s">
        <v>162</v>
      </c>
      <c r="M107" s="542"/>
    </row>
    <row r="108" spans="1:79" hidden="1" x14ac:dyDescent="0.35">
      <c r="M108" s="542"/>
    </row>
    <row r="109" spans="1:79" hidden="1" x14ac:dyDescent="0.35">
      <c r="M109" s="542"/>
    </row>
    <row r="110" spans="1:79" hidden="1" x14ac:dyDescent="0.35">
      <c r="M110" s="542"/>
    </row>
    <row r="111" spans="1:79" hidden="1" x14ac:dyDescent="0.35">
      <c r="A111" s="540" t="s">
        <v>150</v>
      </c>
      <c r="B111" s="597" t="s">
        <v>151</v>
      </c>
      <c r="C111" s="581">
        <f>+'Water '!$F8</f>
        <v>143</v>
      </c>
      <c r="M111" s="542"/>
      <c r="AB111" s="542" t="s">
        <v>151</v>
      </c>
      <c r="AC111" s="542" t="s">
        <v>151</v>
      </c>
      <c r="AF111" s="542" t="s">
        <v>151</v>
      </c>
      <c r="AH111" s="557">
        <f>SUM($B111:AC111)</f>
        <v>143</v>
      </c>
      <c r="AI111" s="557"/>
    </row>
    <row r="112" spans="1:79" hidden="1" x14ac:dyDescent="0.35">
      <c r="M112" s="542"/>
    </row>
    <row r="113" spans="2:34" hidden="1" x14ac:dyDescent="0.35">
      <c r="M113" s="542"/>
    </row>
    <row r="114" spans="2:34" hidden="1" x14ac:dyDescent="0.35">
      <c r="M114" s="542"/>
    </row>
    <row r="115" spans="2:34" hidden="1" x14ac:dyDescent="0.35">
      <c r="B115" s="733">
        <f>'Daily KPIs'!B80</f>
        <v>8479</v>
      </c>
      <c r="D115" s="733">
        <f>'Daily KPIs'!D80</f>
        <v>7961</v>
      </c>
      <c r="E115" s="733">
        <f>'Daily KPIs'!E80</f>
        <v>8276</v>
      </c>
      <c r="F115" s="733">
        <f>'Daily KPIs'!F80</f>
        <v>8163</v>
      </c>
      <c r="G115" s="733">
        <f>'Daily KPIs'!G80</f>
        <v>5259</v>
      </c>
      <c r="H115" s="733">
        <f>'Daily KPIs'!H80</f>
        <v>5037</v>
      </c>
      <c r="I115" s="733">
        <f>'Daily KPIs'!I80</f>
        <v>8003</v>
      </c>
      <c r="J115" s="734">
        <f>'Daily KPIs'!J80</f>
        <v>8837</v>
      </c>
      <c r="K115" s="734">
        <f>'Daily KPIs'!K80</f>
        <v>8797</v>
      </c>
      <c r="L115" s="734">
        <f>'Daily KPIs'!L80</f>
        <v>7197</v>
      </c>
      <c r="M115" s="734">
        <f>'Daily KPIs'!M80</f>
        <v>7195</v>
      </c>
      <c r="N115" s="734">
        <f>'Daily KPIs'!N80</f>
        <v>5393</v>
      </c>
      <c r="O115" s="734">
        <f>'Daily KPIs'!O80</f>
        <v>5482</v>
      </c>
      <c r="P115" s="734">
        <f>'Daily KPIs'!P80</f>
        <v>9086</v>
      </c>
      <c r="Q115" s="734">
        <f>'Daily KPIs'!Q80</f>
        <v>7655</v>
      </c>
      <c r="R115" s="734">
        <f>'Daily KPIs'!R80</f>
        <v>8972</v>
      </c>
      <c r="S115" s="734">
        <f>'Daily KPIs'!S80</f>
        <v>9638</v>
      </c>
      <c r="T115" s="734">
        <f>'Daily KPIs'!T80</f>
        <v>8664</v>
      </c>
      <c r="U115" s="734">
        <f>'Daily KPIs'!U80</f>
        <v>5780</v>
      </c>
      <c r="V115" s="734">
        <f>'Daily KPIs'!V80</f>
        <v>4822</v>
      </c>
      <c r="W115" s="734">
        <f>'Daily KPIs'!W80</f>
        <v>8758</v>
      </c>
      <c r="X115" s="734">
        <f>'Daily KPIs'!X80</f>
        <v>9760</v>
      </c>
      <c r="Y115" s="734">
        <f>'Daily KPIs'!Y80</f>
        <v>6575</v>
      </c>
      <c r="Z115" s="734">
        <f>'Daily KPIs'!Z80</f>
        <v>8566</v>
      </c>
      <c r="AA115" s="734">
        <f>'Daily KPIs'!AA80</f>
        <v>8674</v>
      </c>
      <c r="AB115" s="734">
        <f>'Daily KPIs'!AB80</f>
        <v>6376</v>
      </c>
      <c r="AC115" s="734">
        <f>'Daily KPIs'!AC80</f>
        <v>4654</v>
      </c>
      <c r="AD115" s="734">
        <f>'Daily KPIs'!AD80</f>
        <v>7658</v>
      </c>
      <c r="AE115" s="734">
        <f>'Daily KPIs'!AE80</f>
        <v>9131</v>
      </c>
      <c r="AF115" s="734">
        <f>'Daily KPIs'!AF80</f>
        <v>0</v>
      </c>
      <c r="AG115" s="734"/>
      <c r="AH115" s="733">
        <f>'Daily KPIs'!AH80</f>
        <v>227980</v>
      </c>
    </row>
    <row r="116" spans="2:34" hidden="1" x14ac:dyDescent="0.35">
      <c r="C116" s="733">
        <f>'Daily KPIs'!C80</f>
        <v>9132</v>
      </c>
      <c r="M116" s="542"/>
    </row>
    <row r="117" spans="2:34" hidden="1" x14ac:dyDescent="0.35">
      <c r="M117" s="542"/>
    </row>
    <row r="118" spans="2:34" hidden="1" x14ac:dyDescent="0.35">
      <c r="M118" s="542"/>
    </row>
    <row r="119" spans="2:34" hidden="1" x14ac:dyDescent="0.35">
      <c r="M119" s="542"/>
    </row>
    <row r="120" spans="2:34" hidden="1" x14ac:dyDescent="0.35">
      <c r="M120" s="542"/>
    </row>
    <row r="121" spans="2:34" hidden="1" x14ac:dyDescent="0.35">
      <c r="M121" s="542"/>
    </row>
    <row r="122" spans="2:34" hidden="1" x14ac:dyDescent="0.35">
      <c r="H122" s="292" t="s">
        <v>212</v>
      </c>
      <c r="M122" s="542"/>
      <c r="R122" s="569"/>
    </row>
    <row r="123" spans="2:34" hidden="1" x14ac:dyDescent="0.35">
      <c r="M123" s="542"/>
      <c r="R123" s="569"/>
    </row>
    <row r="124" spans="2:34" hidden="1" x14ac:dyDescent="0.35">
      <c r="M124" s="542"/>
    </row>
    <row r="125" spans="2:34" hidden="1" x14ac:dyDescent="0.35">
      <c r="M125" s="542"/>
    </row>
    <row r="126" spans="2:34" hidden="1" x14ac:dyDescent="0.35">
      <c r="M126" s="542"/>
    </row>
    <row r="127" spans="2:34" hidden="1" x14ac:dyDescent="0.35">
      <c r="M127" s="542"/>
    </row>
    <row r="128" spans="2:34" hidden="1" x14ac:dyDescent="0.35">
      <c r="M128" s="542"/>
    </row>
    <row r="129" spans="13:32" hidden="1" x14ac:dyDescent="0.35">
      <c r="M129" s="542"/>
    </row>
    <row r="130" spans="13:32" hidden="1" x14ac:dyDescent="0.35">
      <c r="M130" s="542"/>
    </row>
    <row r="131" spans="13:32" hidden="1" x14ac:dyDescent="0.35">
      <c r="M131" s="542"/>
    </row>
    <row r="132" spans="13:32" hidden="1" x14ac:dyDescent="0.35">
      <c r="M132" s="542"/>
    </row>
    <row r="133" spans="13:32" hidden="1" x14ac:dyDescent="0.35">
      <c r="M133" s="542"/>
    </row>
    <row r="134" spans="13:32" hidden="1" x14ac:dyDescent="0.35">
      <c r="M134" s="542"/>
    </row>
    <row r="135" spans="13:32" hidden="1" x14ac:dyDescent="0.35">
      <c r="M135" s="542"/>
    </row>
    <row r="136" spans="13:32" hidden="1" x14ac:dyDescent="0.35">
      <c r="M136" s="542"/>
    </row>
    <row r="137" spans="13:32" x14ac:dyDescent="0.35">
      <c r="M137" s="542"/>
    </row>
    <row r="138" spans="13:32" x14ac:dyDescent="0.35">
      <c r="M138" s="542"/>
    </row>
    <row r="139" spans="13:32" x14ac:dyDescent="0.35">
      <c r="M139" s="542"/>
    </row>
    <row r="140" spans="13:32" x14ac:dyDescent="0.35">
      <c r="M140" s="542"/>
    </row>
    <row r="141" spans="13:32" x14ac:dyDescent="0.35">
      <c r="M141" s="542"/>
      <c r="Z141" s="542" t="s">
        <v>58</v>
      </c>
      <c r="AF141" s="542" t="s">
        <v>58</v>
      </c>
    </row>
    <row r="142" spans="13:32" x14ac:dyDescent="0.35">
      <c r="M142" s="542"/>
    </row>
    <row r="143" spans="13:32" x14ac:dyDescent="0.35">
      <c r="M143" s="542"/>
    </row>
    <row r="144" spans="13:32" x14ac:dyDescent="0.35">
      <c r="M144" s="542"/>
    </row>
    <row r="145" spans="13:13" x14ac:dyDescent="0.35">
      <c r="M145" s="542"/>
    </row>
    <row r="146" spans="13:13" x14ac:dyDescent="0.35">
      <c r="M146" s="542"/>
    </row>
    <row r="147" spans="13:13" x14ac:dyDescent="0.35">
      <c r="M147" s="542"/>
    </row>
    <row r="148" spans="13:13" x14ac:dyDescent="0.35">
      <c r="M148" s="542"/>
    </row>
    <row r="149" spans="13:13" x14ac:dyDescent="0.35">
      <c r="M149" s="542"/>
    </row>
    <row r="150" spans="13:13" x14ac:dyDescent="0.35">
      <c r="M150" s="542"/>
    </row>
    <row r="151" spans="13:13" x14ac:dyDescent="0.35">
      <c r="M151" s="542"/>
    </row>
    <row r="152" spans="13:13" x14ac:dyDescent="0.35">
      <c r="M152" s="542"/>
    </row>
    <row r="153" spans="13:13" x14ac:dyDescent="0.35">
      <c r="M153" s="542"/>
    </row>
    <row r="154" spans="13:13" x14ac:dyDescent="0.35">
      <c r="M154" s="542"/>
    </row>
    <row r="155" spans="13:13" x14ac:dyDescent="0.35">
      <c r="M155" s="542"/>
    </row>
    <row r="156" spans="13:13" x14ac:dyDescent="0.35">
      <c r="M156" s="542"/>
    </row>
    <row r="157" spans="13:13" x14ac:dyDescent="0.35">
      <c r="M157" s="542"/>
    </row>
    <row r="158" spans="13:13" x14ac:dyDescent="0.35">
      <c r="M158" s="542"/>
    </row>
    <row r="159" spans="13:13" x14ac:dyDescent="0.35">
      <c r="M159" s="542"/>
    </row>
    <row r="160" spans="13:13" x14ac:dyDescent="0.35">
      <c r="M160" s="542"/>
    </row>
    <row r="161" spans="13:13" x14ac:dyDescent="0.35">
      <c r="M161" s="542"/>
    </row>
    <row r="162" spans="13:13" x14ac:dyDescent="0.35">
      <c r="M162" s="542"/>
    </row>
    <row r="163" spans="13:13" x14ac:dyDescent="0.35">
      <c r="M163" s="542"/>
    </row>
    <row r="164" spans="13:13" x14ac:dyDescent="0.35">
      <c r="M164" s="542"/>
    </row>
    <row r="165" spans="13:13" x14ac:dyDescent="0.35">
      <c r="M165" s="542"/>
    </row>
    <row r="166" spans="13:13" x14ac:dyDescent="0.35">
      <c r="M166" s="542"/>
    </row>
    <row r="167" spans="13:13" x14ac:dyDescent="0.35">
      <c r="M167" s="542"/>
    </row>
    <row r="168" spans="13:13" x14ac:dyDescent="0.35">
      <c r="M168" s="542"/>
    </row>
    <row r="169" spans="13:13" x14ac:dyDescent="0.35">
      <c r="M169" s="542"/>
    </row>
    <row r="170" spans="13:13" x14ac:dyDescent="0.35">
      <c r="M170" s="542"/>
    </row>
    <row r="171" spans="13:13" x14ac:dyDescent="0.35">
      <c r="M171" s="542"/>
    </row>
    <row r="172" spans="13:13" x14ac:dyDescent="0.35">
      <c r="M172" s="542"/>
    </row>
    <row r="173" spans="13:13" x14ac:dyDescent="0.35">
      <c r="M173" s="542"/>
    </row>
  </sheetData>
  <mergeCells count="1">
    <mergeCell ref="AI6:AI7"/>
  </mergeCells>
  <phoneticPr fontId="32" type="noConversion"/>
  <conditionalFormatting sqref="B92:C92">
    <cfRule type="cellIs" dxfId="33" priority="113" operator="greaterThan">
      <formula>$AI$92</formula>
    </cfRule>
  </conditionalFormatting>
  <conditionalFormatting sqref="B89:AF89">
    <cfRule type="cellIs" dxfId="32" priority="22" operator="greaterThan">
      <formula>10.2</formula>
    </cfRule>
  </conditionalFormatting>
  <conditionalFormatting sqref="B91:AF91">
    <cfRule type="cellIs" dxfId="31" priority="12" operator="greaterThan">
      <formula>5</formula>
    </cfRule>
    <cfRule type="cellIs" dxfId="30" priority="13" operator="lessThanOrEqual">
      <formula>5</formula>
    </cfRule>
  </conditionalFormatting>
  <conditionalFormatting sqref="B93:AF93">
    <cfRule type="cellIs" dxfId="29" priority="19" operator="greaterThan">
      <formula>22</formula>
    </cfRule>
  </conditionalFormatting>
  <conditionalFormatting sqref="B95:AF95">
    <cfRule type="cellIs" dxfId="28" priority="18" operator="greaterThan">
      <formula>7.2</formula>
    </cfRule>
  </conditionalFormatting>
  <conditionalFormatting sqref="B22:AG22">
    <cfRule type="cellIs" dxfId="27" priority="87" operator="greaterThan">
      <formula>400</formula>
    </cfRule>
  </conditionalFormatting>
  <conditionalFormatting sqref="B42:AG42">
    <cfRule type="cellIs" dxfId="26" priority="33" operator="greaterThan">
      <formula>70</formula>
    </cfRule>
  </conditionalFormatting>
  <conditionalFormatting sqref="B44:AG44">
    <cfRule type="colorScale" priority="1169">
      <colorScale>
        <cfvo type="min"/>
        <cfvo type="max"/>
        <color theme="0"/>
        <color rgb="FFFF0000"/>
      </colorScale>
    </cfRule>
  </conditionalFormatting>
  <conditionalFormatting sqref="B89:AG89">
    <cfRule type="cellIs" dxfId="25" priority="1154" operator="greaterThan">
      <formula>$AI$89</formula>
    </cfRule>
  </conditionalFormatting>
  <conditionalFormatting sqref="B93:AG93">
    <cfRule type="cellIs" dxfId="24" priority="1160" operator="greaterThan">
      <formula>$AI$93</formula>
    </cfRule>
  </conditionalFormatting>
  <conditionalFormatting sqref="B95:AG95">
    <cfRule type="cellIs" dxfId="23" priority="23" operator="greaterThan">
      <formula>7.2</formula>
    </cfRule>
    <cfRule type="cellIs" dxfId="22" priority="1162" operator="greaterThan">
      <formula>$AI$95</formula>
    </cfRule>
  </conditionalFormatting>
  <conditionalFormatting sqref="B15:AH15 B54:AH54">
    <cfRule type="cellIs" dxfId="21" priority="109" operator="greaterThan">
      <formula>3.2</formula>
    </cfRule>
  </conditionalFormatting>
  <conditionalFormatting sqref="B56:AH56">
    <cfRule type="cellIs" dxfId="20" priority="47" operator="greaterThan">
      <formula>0.1</formula>
    </cfRule>
  </conditionalFormatting>
  <conditionalFormatting sqref="B57:AH57 B59:AH59 B61:AH61">
    <cfRule type="cellIs" dxfId="19" priority="48" operator="greaterThan">
      <formula>0.7</formula>
    </cfRule>
  </conditionalFormatting>
  <conditionalFormatting sqref="B58:AH58 B62:AH62">
    <cfRule type="cellIs" dxfId="18" priority="49" operator="greaterThan">
      <formula>1</formula>
    </cfRule>
  </conditionalFormatting>
  <conditionalFormatting sqref="B60:AH60">
    <cfRule type="cellIs" dxfId="17" priority="8" operator="greaterThan">
      <formula>2.1</formula>
    </cfRule>
  </conditionalFormatting>
  <conditionalFormatting sqref="B65:AH65">
    <cfRule type="cellIs" dxfId="16" priority="42" operator="greaterThan">
      <formula>0.3</formula>
    </cfRule>
  </conditionalFormatting>
  <conditionalFormatting sqref="B68:AH68">
    <cfRule type="cellIs" dxfId="15" priority="44" operator="greaterThan">
      <formula>9.6</formula>
    </cfRule>
  </conditionalFormatting>
  <conditionalFormatting sqref="B69:AH69">
    <cfRule type="cellIs" dxfId="14" priority="45" operator="greaterThan">
      <formula>2.9</formula>
    </cfRule>
  </conditionalFormatting>
  <conditionalFormatting sqref="B91:AH91">
    <cfRule type="cellIs" dxfId="13" priority="5" operator="greaterThan">
      <formula>5.04</formula>
    </cfRule>
  </conditionalFormatting>
  <conditionalFormatting sqref="B92:AH92">
    <cfRule type="cellIs" dxfId="12" priority="3" operator="greaterThan">
      <formula>1.7</formula>
    </cfRule>
  </conditionalFormatting>
  <conditionalFormatting sqref="E95">
    <cfRule type="cellIs" dxfId="11" priority="25" operator="greaterThan">
      <formula>7.2</formula>
    </cfRule>
  </conditionalFormatting>
  <conditionalFormatting sqref="I63:AH63">
    <cfRule type="cellIs" dxfId="10" priority="54" operator="greaterThan">
      <formula>0.6</formula>
    </cfRule>
  </conditionalFormatting>
  <conditionalFormatting sqref="AC54:AG54">
    <cfRule type="cellIs" dxfId="9" priority="68" operator="greaterThan">
      <formula>$AI$54</formula>
    </cfRule>
  </conditionalFormatting>
  <conditionalFormatting sqref="AC55:AG59 AC61:AG61 AC63:AG63 B64:AG64">
    <cfRule type="cellIs" dxfId="8" priority="1121" operator="greaterThan">
      <formula>$AI59</formula>
    </cfRule>
  </conditionalFormatting>
  <conditionalFormatting sqref="AH92">
    <cfRule type="cellIs" dxfId="7" priority="6" operator="greaterThan">
      <formula>$AI$92</formula>
    </cfRule>
    <cfRule type="cellIs" dxfId="6" priority="4" operator="greaterThan">
      <formula>1.7</formula>
    </cfRule>
  </conditionalFormatting>
  <conditionalFormatting sqref="AH93">
    <cfRule type="cellIs" dxfId="5" priority="1" operator="lessThanOrEqual">
      <formula>22</formula>
    </cfRule>
  </conditionalFormatting>
  <conditionalFormatting sqref="AH93:AH95 AH89:AH90">
    <cfRule type="cellIs" dxfId="4" priority="7" operator="greaterThan">
      <formula>$AI$89</formula>
    </cfRule>
  </conditionalFormatting>
  <conditionalFormatting sqref="AH95">
    <cfRule type="cellIs" dxfId="3" priority="2" operator="lessThanOrEqual">
      <formula>7.2</formula>
    </cfRule>
  </conditionalFormatting>
  <conditionalFormatting sqref="AJ8">
    <cfRule type="cellIs" dxfId="2" priority="91" operator="greaterThan">
      <formula>0</formula>
    </cfRule>
    <cfRule type="cellIs" dxfId="1" priority="92" operator="lessThan">
      <formula>0</formula>
    </cfRule>
  </conditionalFormatting>
  <conditionalFormatting sqref="AK89:AK95">
    <cfRule type="cellIs" dxfId="0" priority="36" operator="greaterThan">
      <formula>100</formula>
    </cfRule>
  </conditionalFormatting>
  <printOptions horizontalCentered="1" verticalCentered="1"/>
  <pageMargins left="0" right="0" top="0" bottom="0" header="0.25" footer="0"/>
  <pageSetup scale="27" fitToWidth="0" orientation="landscape" r:id="rId1"/>
  <headerFooter alignWithMargins="0"/>
  <ignoredErrors>
    <ignoredError sqref="AH104" formula="1"/>
  </ignoredError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2"/>
  </sheetPr>
  <dimension ref="A1:R38"/>
  <sheetViews>
    <sheetView workbookViewId="0">
      <selection activeCell="F2" sqref="F2"/>
    </sheetView>
  </sheetViews>
  <sheetFormatPr defaultRowHeight="12.75" x14ac:dyDescent="0.2"/>
  <cols>
    <col min="2" max="2" width="13.5703125" customWidth="1"/>
    <col min="3" max="3" width="18.5703125" customWidth="1"/>
    <col min="4" max="4" width="17.7109375" customWidth="1"/>
    <col min="5" max="5" width="14" customWidth="1"/>
    <col min="6" max="6" width="14.28515625" customWidth="1"/>
    <col min="7" max="7" width="16.28515625" customWidth="1"/>
    <col min="8" max="9" width="14.5703125" customWidth="1"/>
    <col min="10" max="12" width="15.42578125" customWidth="1"/>
    <col min="13" max="14" width="15.7109375" customWidth="1"/>
    <col min="15" max="15" width="14" customWidth="1"/>
    <col min="16" max="16" width="12" customWidth="1"/>
    <col min="17" max="17" width="12.28515625" customWidth="1"/>
    <col min="18" max="18" width="11.28515625" customWidth="1"/>
  </cols>
  <sheetData>
    <row r="1" spans="1:18" ht="15.75" x14ac:dyDescent="0.25">
      <c r="A1" s="8"/>
      <c r="B1" s="8"/>
      <c r="C1" s="8"/>
      <c r="D1" s="8"/>
      <c r="E1" s="8"/>
      <c r="F1" s="66" t="s">
        <v>296</v>
      </c>
      <c r="G1" s="9"/>
      <c r="H1" s="9"/>
      <c r="I1" s="9"/>
      <c r="J1" s="9"/>
      <c r="K1" s="9"/>
      <c r="L1" s="9"/>
      <c r="M1" s="9"/>
      <c r="N1" s="9"/>
      <c r="O1" s="8"/>
      <c r="P1" s="8"/>
      <c r="Q1" s="8"/>
      <c r="R1" s="8"/>
    </row>
    <row r="2" spans="1:18" ht="15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75" x14ac:dyDescent="0.25">
      <c r="A4" s="67"/>
      <c r="B4" s="68" t="s">
        <v>18</v>
      </c>
      <c r="C4" s="68" t="s">
        <v>78</v>
      </c>
      <c r="D4" s="69" t="s">
        <v>77</v>
      </c>
      <c r="E4" s="69" t="s">
        <v>75</v>
      </c>
      <c r="F4" s="69" t="s">
        <v>76</v>
      </c>
      <c r="G4" s="69" t="s">
        <v>76</v>
      </c>
      <c r="H4" s="68" t="s">
        <v>72</v>
      </c>
      <c r="I4" s="68" t="s">
        <v>72</v>
      </c>
      <c r="J4" s="68" t="s">
        <v>73</v>
      </c>
      <c r="K4" s="68" t="s">
        <v>73</v>
      </c>
      <c r="L4" s="68" t="s">
        <v>79</v>
      </c>
      <c r="M4" s="69" t="s">
        <v>74</v>
      </c>
      <c r="N4" s="69" t="s">
        <v>156</v>
      </c>
      <c r="O4" s="69" t="s">
        <v>53</v>
      </c>
      <c r="P4" s="69"/>
      <c r="Q4" s="69"/>
      <c r="R4" s="67"/>
    </row>
    <row r="5" spans="1:18" ht="15.75" x14ac:dyDescent="0.25">
      <c r="A5" s="70" t="s">
        <v>7</v>
      </c>
      <c r="B5" s="68" t="s">
        <v>118</v>
      </c>
      <c r="C5" s="68" t="s">
        <v>119</v>
      </c>
      <c r="D5" s="68" t="s">
        <v>120</v>
      </c>
      <c r="E5" s="68" t="s">
        <v>121</v>
      </c>
      <c r="F5" s="68" t="s">
        <v>121</v>
      </c>
      <c r="G5" s="68" t="s">
        <v>119</v>
      </c>
      <c r="H5" s="68" t="s">
        <v>122</v>
      </c>
      <c r="I5" s="68" t="s">
        <v>123</v>
      </c>
      <c r="J5" s="68" t="s">
        <v>122</v>
      </c>
      <c r="K5" s="68" t="s">
        <v>123</v>
      </c>
      <c r="L5" s="68" t="s">
        <v>123</v>
      </c>
      <c r="M5" s="68" t="s">
        <v>122</v>
      </c>
      <c r="N5" s="68" t="s">
        <v>122</v>
      </c>
      <c r="O5" s="68" t="s">
        <v>63</v>
      </c>
      <c r="P5" s="69" t="s">
        <v>54</v>
      </c>
      <c r="Q5" s="69" t="s">
        <v>48</v>
      </c>
      <c r="R5" s="71" t="s">
        <v>15</v>
      </c>
    </row>
    <row r="6" spans="1:18" ht="15.75" thickBot="1" x14ac:dyDescent="0.25">
      <c r="A6" s="54">
        <v>31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3" t="s">
        <v>64</v>
      </c>
    </row>
    <row r="7" spans="1:18" ht="15" x14ac:dyDescent="0.25">
      <c r="A7" s="46">
        <v>1</v>
      </c>
      <c r="B7" s="55">
        <f>'Entries September''25'!O6</f>
        <v>193319</v>
      </c>
      <c r="C7" s="55">
        <f>B8-B7</f>
        <v>446</v>
      </c>
      <c r="D7" s="55">
        <f>C7-G7</f>
        <v>220</v>
      </c>
      <c r="E7" s="56">
        <f>'Entries September''25'!Y6</f>
        <v>41306</v>
      </c>
      <c r="F7" s="57">
        <f>'Entries September''25'!V6</f>
        <v>1312021</v>
      </c>
      <c r="G7" s="57">
        <f>F8-F7</f>
        <v>226</v>
      </c>
      <c r="H7" s="57">
        <f>'Entries September''25'!AA6</f>
        <v>97122</v>
      </c>
      <c r="I7" s="58">
        <f>H8-H7</f>
        <v>0</v>
      </c>
      <c r="J7" s="57">
        <f>'Entries September''25'!V6</f>
        <v>1312021</v>
      </c>
      <c r="K7" s="58">
        <f>J8-J7</f>
        <v>-1312021</v>
      </c>
      <c r="L7" s="58">
        <f>K7+I7</f>
        <v>-1312021</v>
      </c>
      <c r="M7" s="57">
        <f>'Entries September''25'!R6</f>
        <v>0</v>
      </c>
      <c r="N7" s="57">
        <f>'Entries September''25'!AC7-'Entries September''25'!AC6</f>
        <v>26</v>
      </c>
      <c r="O7" s="57">
        <f>C7+D7+G7</f>
        <v>892</v>
      </c>
      <c r="P7" s="59"/>
      <c r="Q7" s="45"/>
      <c r="R7" s="60" t="e">
        <f t="shared" ref="R7:R34" si="0">SUM(O7/Q7)</f>
        <v>#DIV/0!</v>
      </c>
    </row>
    <row r="8" spans="1:18" ht="15" x14ac:dyDescent="0.25">
      <c r="A8" s="46">
        <v>2</v>
      </c>
      <c r="B8" s="55">
        <f>'Entries September''25'!O7</f>
        <v>193765</v>
      </c>
      <c r="C8" s="55">
        <f t="shared" ref="C8:C34" si="1">B9-B8</f>
        <v>96</v>
      </c>
      <c r="D8" s="55">
        <f t="shared" ref="D8:D35" si="2">C8-G8</f>
        <v>-47</v>
      </c>
      <c r="E8" s="56">
        <f>'Entries September''25'!W7</f>
        <v>0</v>
      </c>
      <c r="F8" s="57">
        <f>'Entries September''25'!V7</f>
        <v>1312247</v>
      </c>
      <c r="G8" s="43">
        <f>F9-F8</f>
        <v>143</v>
      </c>
      <c r="H8" s="57">
        <f>'Entries September''25'!AA7</f>
        <v>97122</v>
      </c>
      <c r="I8" s="58">
        <f t="shared" ref="I8:I34" si="3">H9-H8</f>
        <v>0</v>
      </c>
      <c r="J8" s="57">
        <f>'Entries September''25'!T7</f>
        <v>0</v>
      </c>
      <c r="K8" s="58">
        <f t="shared" ref="K8:K34" si="4">J9-J8</f>
        <v>0</v>
      </c>
      <c r="L8" s="58">
        <f>K8+I8</f>
        <v>0</v>
      </c>
      <c r="M8" s="57">
        <f>'Entries September''25'!R7</f>
        <v>0</v>
      </c>
      <c r="N8" s="57">
        <f>'Entries September''25'!AC8-'Entries September''25'!AC7</f>
        <v>18</v>
      </c>
      <c r="O8" s="57">
        <f t="shared" ref="O8:O34" si="5">C8+D8+G8</f>
        <v>192</v>
      </c>
      <c r="P8" s="62"/>
      <c r="Q8" s="42"/>
      <c r="R8" s="60" t="e">
        <f t="shared" si="0"/>
        <v>#DIV/0!</v>
      </c>
    </row>
    <row r="9" spans="1:18" ht="15" x14ac:dyDescent="0.25">
      <c r="A9" s="46">
        <v>3</v>
      </c>
      <c r="B9" s="55">
        <f>'Entries September''25'!O8</f>
        <v>193861</v>
      </c>
      <c r="C9" s="55">
        <f t="shared" si="1"/>
        <v>207</v>
      </c>
      <c r="D9" s="55">
        <f t="shared" si="2"/>
        <v>202</v>
      </c>
      <c r="E9" s="56">
        <f>'Entries September''25'!W8</f>
        <v>0</v>
      </c>
      <c r="F9" s="57">
        <f>'Entries September''25'!V8</f>
        <v>1312390</v>
      </c>
      <c r="G9" s="57">
        <f>F10-F9</f>
        <v>5</v>
      </c>
      <c r="H9" s="57">
        <f>'Entries September''25'!AA8</f>
        <v>97122</v>
      </c>
      <c r="I9" s="58">
        <f t="shared" si="3"/>
        <v>0</v>
      </c>
      <c r="J9" s="57">
        <f>'Entries September''25'!T8</f>
        <v>0</v>
      </c>
      <c r="K9" s="58">
        <f t="shared" si="4"/>
        <v>0</v>
      </c>
      <c r="L9" s="58">
        <f t="shared" ref="L9:L34" si="6">K9+I9</f>
        <v>0</v>
      </c>
      <c r="M9" s="57">
        <f>'Entries September''25'!R10</f>
        <v>0</v>
      </c>
      <c r="N9" s="57">
        <f>'Entries September''25'!AC9-'Entries September''25'!AC8</f>
        <v>20</v>
      </c>
      <c r="O9" s="57">
        <f t="shared" si="5"/>
        <v>414</v>
      </c>
      <c r="P9" s="62"/>
      <c r="Q9" s="42"/>
      <c r="R9" s="60" t="e">
        <f t="shared" si="0"/>
        <v>#DIV/0!</v>
      </c>
    </row>
    <row r="10" spans="1:18" ht="15" x14ac:dyDescent="0.25">
      <c r="A10" s="46">
        <v>4</v>
      </c>
      <c r="B10" s="55">
        <f>'Entries September''25'!O9</f>
        <v>194068</v>
      </c>
      <c r="C10" s="55">
        <f t="shared" si="1"/>
        <v>71</v>
      </c>
      <c r="D10" s="55">
        <f t="shared" si="2"/>
        <v>-408</v>
      </c>
      <c r="E10" s="56">
        <f>'Entries September''25'!W9</f>
        <v>0</v>
      </c>
      <c r="F10" s="57">
        <f>'Entries September''25'!V9</f>
        <v>1312395</v>
      </c>
      <c r="G10" s="43">
        <f t="shared" ref="G10:G34" si="7">F11-F10</f>
        <v>479</v>
      </c>
      <c r="H10" s="57">
        <f>'Entries September''25'!AA9</f>
        <v>97122</v>
      </c>
      <c r="I10" s="58">
        <f t="shared" si="3"/>
        <v>0</v>
      </c>
      <c r="J10" s="57">
        <f>'Entries September''25'!T9</f>
        <v>0</v>
      </c>
      <c r="K10" s="58">
        <f t="shared" si="4"/>
        <v>0</v>
      </c>
      <c r="L10" s="58">
        <f t="shared" si="6"/>
        <v>0</v>
      </c>
      <c r="M10" s="57">
        <f>'Entries September''25'!R9</f>
        <v>0</v>
      </c>
      <c r="N10" s="57">
        <f>'Entries September''25'!AC10-'Entries September''25'!AC9</f>
        <v>19</v>
      </c>
      <c r="O10" s="57">
        <f t="shared" si="5"/>
        <v>142</v>
      </c>
      <c r="P10" s="62"/>
      <c r="Q10" s="42"/>
      <c r="R10" s="60" t="e">
        <f t="shared" si="0"/>
        <v>#DIV/0!</v>
      </c>
    </row>
    <row r="11" spans="1:18" ht="15" x14ac:dyDescent="0.25">
      <c r="A11" s="46">
        <v>5</v>
      </c>
      <c r="B11" s="55">
        <f>'Entries September''25'!O10</f>
        <v>194139</v>
      </c>
      <c r="C11" s="55">
        <f t="shared" si="1"/>
        <v>82</v>
      </c>
      <c r="D11" s="55">
        <f t="shared" si="2"/>
        <v>-190</v>
      </c>
      <c r="E11" s="56">
        <f>'Entries September''25'!W10</f>
        <v>0</v>
      </c>
      <c r="F11" s="57">
        <f>'Entries September''25'!V10</f>
        <v>1312874</v>
      </c>
      <c r="G11" s="57">
        <f t="shared" si="7"/>
        <v>272</v>
      </c>
      <c r="H11" s="57">
        <f>'Entries September''25'!AA10</f>
        <v>97122</v>
      </c>
      <c r="I11" s="58">
        <f t="shared" si="3"/>
        <v>0</v>
      </c>
      <c r="J11" s="57">
        <f>'Entries September''25'!T10</f>
        <v>0</v>
      </c>
      <c r="K11" s="58">
        <f t="shared" si="4"/>
        <v>0</v>
      </c>
      <c r="L11" s="58">
        <f t="shared" si="6"/>
        <v>0</v>
      </c>
      <c r="M11" s="57">
        <f>'Entries September''25'!R10</f>
        <v>0</v>
      </c>
      <c r="N11" s="57">
        <f>'Entries September''25'!AC11-'Entries September''25'!AC10</f>
        <v>15</v>
      </c>
      <c r="O11" s="57">
        <f t="shared" si="5"/>
        <v>164</v>
      </c>
      <c r="P11" s="62"/>
      <c r="Q11" s="45"/>
      <c r="R11" s="60" t="e">
        <f t="shared" si="0"/>
        <v>#DIV/0!</v>
      </c>
    </row>
    <row r="12" spans="1:18" ht="15" x14ac:dyDescent="0.25">
      <c r="A12" s="46">
        <v>6</v>
      </c>
      <c r="B12" s="55">
        <f>'Entries September''25'!O11</f>
        <v>194221</v>
      </c>
      <c r="C12" s="55">
        <f t="shared" si="1"/>
        <v>0</v>
      </c>
      <c r="D12" s="55">
        <f t="shared" si="2"/>
        <v>-93</v>
      </c>
      <c r="E12" s="56">
        <f>'Entries September''25'!W11</f>
        <v>0</v>
      </c>
      <c r="F12" s="57">
        <f>'Entries September''25'!V11</f>
        <v>1313146</v>
      </c>
      <c r="G12" s="57">
        <f t="shared" si="7"/>
        <v>93</v>
      </c>
      <c r="H12" s="57">
        <f>'Entries September''25'!AA11</f>
        <v>97122</v>
      </c>
      <c r="I12" s="58">
        <f t="shared" si="3"/>
        <v>0</v>
      </c>
      <c r="J12" s="57">
        <f>'Entries September''25'!T11</f>
        <v>0</v>
      </c>
      <c r="K12" s="58">
        <f t="shared" si="4"/>
        <v>21191</v>
      </c>
      <c r="L12" s="58">
        <f t="shared" si="6"/>
        <v>21191</v>
      </c>
      <c r="M12" s="57">
        <f>'Entries September''25'!R11</f>
        <v>0</v>
      </c>
      <c r="N12" s="57">
        <f>'Entries September''25'!AC12-'Entries September''25'!AC11</f>
        <v>0</v>
      </c>
      <c r="O12" s="57">
        <f t="shared" si="5"/>
        <v>0</v>
      </c>
      <c r="P12" s="62"/>
      <c r="Q12" s="45"/>
      <c r="R12" s="60" t="e">
        <f t="shared" si="0"/>
        <v>#DIV/0!</v>
      </c>
    </row>
    <row r="13" spans="1:18" ht="15" x14ac:dyDescent="0.25">
      <c r="A13" s="46">
        <v>7</v>
      </c>
      <c r="B13" s="55">
        <f>'Entries September''25'!O12</f>
        <v>194221</v>
      </c>
      <c r="C13" s="55">
        <f t="shared" si="1"/>
        <v>0</v>
      </c>
      <c r="D13" s="55">
        <f t="shared" si="2"/>
        <v>0</v>
      </c>
      <c r="E13" s="56">
        <f>'Entries September''25'!W12</f>
        <v>0</v>
      </c>
      <c r="F13" s="57">
        <f>'Entries September''25'!V12</f>
        <v>1313239</v>
      </c>
      <c r="G13" s="57">
        <f t="shared" si="7"/>
        <v>0</v>
      </c>
      <c r="H13" s="57">
        <f>'Entries September''25'!AA12</f>
        <v>97122</v>
      </c>
      <c r="I13" s="58">
        <f t="shared" si="3"/>
        <v>0</v>
      </c>
      <c r="J13" s="57">
        <f>'Entries September''25'!U12</f>
        <v>21191</v>
      </c>
      <c r="K13" s="58">
        <f t="shared" si="4"/>
        <v>-21191</v>
      </c>
      <c r="L13" s="58">
        <f t="shared" si="6"/>
        <v>-21191</v>
      </c>
      <c r="M13" s="57">
        <f>'Entries September''25'!R12</f>
        <v>0</v>
      </c>
      <c r="N13" s="57">
        <f>'Entries September''25'!AC13-'Entries September''25'!AC12</f>
        <v>0</v>
      </c>
      <c r="O13" s="57">
        <f t="shared" si="5"/>
        <v>0</v>
      </c>
      <c r="P13" s="62"/>
      <c r="Q13" s="45"/>
      <c r="R13" s="60" t="e">
        <f t="shared" si="0"/>
        <v>#DIV/0!</v>
      </c>
    </row>
    <row r="14" spans="1:18" ht="15" x14ac:dyDescent="0.25">
      <c r="A14" s="46">
        <v>8</v>
      </c>
      <c r="B14" s="55">
        <f>'Entries September''25'!O13</f>
        <v>194221</v>
      </c>
      <c r="C14" s="55">
        <f t="shared" si="1"/>
        <v>182</v>
      </c>
      <c r="D14" s="55">
        <f t="shared" si="2"/>
        <v>30</v>
      </c>
      <c r="E14" s="56">
        <f>'Entries September''25'!W13</f>
        <v>0</v>
      </c>
      <c r="F14" s="57">
        <f>'Entries September''25'!V13</f>
        <v>1313239</v>
      </c>
      <c r="G14" s="57">
        <f>F15-F14</f>
        <v>152</v>
      </c>
      <c r="H14" s="57">
        <f>'Entries September''25'!AA13</f>
        <v>97122</v>
      </c>
      <c r="I14" s="58">
        <f t="shared" si="3"/>
        <v>0</v>
      </c>
      <c r="J14" s="57">
        <f>'Entries September''25'!T13</f>
        <v>0</v>
      </c>
      <c r="K14" s="58">
        <f t="shared" si="4"/>
        <v>0</v>
      </c>
      <c r="L14" s="58">
        <f t="shared" si="6"/>
        <v>0</v>
      </c>
      <c r="M14" s="57">
        <f>'Entries September''25'!R13</f>
        <v>0</v>
      </c>
      <c r="N14" s="57">
        <f>'Entries September''25'!AC14-'Entries September''25'!AC13</f>
        <v>15</v>
      </c>
      <c r="O14" s="57">
        <f t="shared" si="5"/>
        <v>364</v>
      </c>
      <c r="P14" s="62"/>
      <c r="Q14" s="45"/>
      <c r="R14" s="60" t="e">
        <f t="shared" si="0"/>
        <v>#DIV/0!</v>
      </c>
    </row>
    <row r="15" spans="1:18" ht="15" x14ac:dyDescent="0.25">
      <c r="A15" s="46">
        <v>9</v>
      </c>
      <c r="B15" s="55">
        <f>'Entries September''25'!O14</f>
        <v>194403</v>
      </c>
      <c r="C15" s="55">
        <f t="shared" si="1"/>
        <v>333</v>
      </c>
      <c r="D15" s="55">
        <f t="shared" si="2"/>
        <v>279</v>
      </c>
      <c r="E15" s="56">
        <f>'Entries September''25'!W14</f>
        <v>0</v>
      </c>
      <c r="F15" s="57">
        <f>'Entries September''25'!V14</f>
        <v>1313391</v>
      </c>
      <c r="G15" s="57">
        <f t="shared" si="7"/>
        <v>54</v>
      </c>
      <c r="H15" s="57">
        <f>'Entries September''25'!AA14</f>
        <v>97122</v>
      </c>
      <c r="I15" s="58">
        <f t="shared" si="3"/>
        <v>0</v>
      </c>
      <c r="J15" s="57">
        <f>'Entries September''25'!T14</f>
        <v>0</v>
      </c>
      <c r="K15" s="58">
        <f t="shared" si="4"/>
        <v>0</v>
      </c>
      <c r="L15" s="58">
        <f t="shared" si="6"/>
        <v>0</v>
      </c>
      <c r="M15" s="57">
        <f>'Entries September''25'!R14</f>
        <v>0</v>
      </c>
      <c r="N15" s="57">
        <f>'Entries September''25'!AC15-'Entries September''25'!AC14</f>
        <v>19</v>
      </c>
      <c r="O15" s="57">
        <f t="shared" si="5"/>
        <v>666</v>
      </c>
      <c r="P15" s="62"/>
      <c r="Q15" s="45"/>
      <c r="R15" s="60" t="e">
        <f t="shared" si="0"/>
        <v>#DIV/0!</v>
      </c>
    </row>
    <row r="16" spans="1:18" ht="15" x14ac:dyDescent="0.25">
      <c r="A16" s="46">
        <v>10</v>
      </c>
      <c r="B16" s="55">
        <f>'Entries September''25'!O15</f>
        <v>194736</v>
      </c>
      <c r="C16" s="55">
        <f t="shared" si="1"/>
        <v>183</v>
      </c>
      <c r="D16" s="55">
        <f t="shared" si="2"/>
        <v>68</v>
      </c>
      <c r="E16" s="56">
        <f>'Entries September''25'!W15</f>
        <v>0</v>
      </c>
      <c r="F16" s="57">
        <f>'Entries September''25'!V15</f>
        <v>1313445</v>
      </c>
      <c r="G16" s="57">
        <f t="shared" si="7"/>
        <v>115</v>
      </c>
      <c r="H16" s="57">
        <f>'Entries September''25'!AA15</f>
        <v>97122</v>
      </c>
      <c r="I16" s="58">
        <f t="shared" si="3"/>
        <v>0</v>
      </c>
      <c r="J16" s="57">
        <f>'Entries September''25'!T15</f>
        <v>0</v>
      </c>
      <c r="K16" s="58">
        <f t="shared" si="4"/>
        <v>0</v>
      </c>
      <c r="L16" s="58">
        <f t="shared" si="6"/>
        <v>0</v>
      </c>
      <c r="M16" s="57">
        <f>'Entries September''25'!R15</f>
        <v>0</v>
      </c>
      <c r="N16" s="57">
        <f>'Entries September''25'!AC16-'Entries September''25'!AC15</f>
        <v>18</v>
      </c>
      <c r="O16" s="57">
        <f t="shared" si="5"/>
        <v>366</v>
      </c>
      <c r="P16" s="62"/>
      <c r="Q16" s="45"/>
      <c r="R16" s="60" t="e">
        <f t="shared" si="0"/>
        <v>#DIV/0!</v>
      </c>
    </row>
    <row r="17" spans="1:18" ht="15" x14ac:dyDescent="0.25">
      <c r="A17" s="46">
        <v>11</v>
      </c>
      <c r="B17" s="55">
        <f>'Entries September''25'!O16</f>
        <v>194919</v>
      </c>
      <c r="C17" s="55">
        <f t="shared" si="1"/>
        <v>54</v>
      </c>
      <c r="D17" s="55">
        <f t="shared" si="2"/>
        <v>-188</v>
      </c>
      <c r="E17" s="56">
        <f>'Entries September''25'!W16</f>
        <v>0</v>
      </c>
      <c r="F17" s="57">
        <f>'Entries September''25'!V16</f>
        <v>1313560</v>
      </c>
      <c r="G17" s="57">
        <f t="shared" si="7"/>
        <v>242</v>
      </c>
      <c r="H17" s="57">
        <f>'Entries September''25'!AA16</f>
        <v>97122</v>
      </c>
      <c r="I17" s="58">
        <f t="shared" si="3"/>
        <v>0</v>
      </c>
      <c r="J17" s="57">
        <f>'Entries September''25'!T16</f>
        <v>0</v>
      </c>
      <c r="K17" s="58">
        <f t="shared" si="4"/>
        <v>0</v>
      </c>
      <c r="L17" s="58">
        <f t="shared" si="6"/>
        <v>0</v>
      </c>
      <c r="M17" s="57">
        <f>'Entries September''25'!R16</f>
        <v>0</v>
      </c>
      <c r="N17" s="57">
        <f>'Entries September''25'!AC17-'Entries September''25'!AC16</f>
        <v>5</v>
      </c>
      <c r="O17" s="57">
        <f t="shared" si="5"/>
        <v>108</v>
      </c>
      <c r="P17" s="62"/>
      <c r="Q17" s="45"/>
      <c r="R17" s="60" t="e">
        <f t="shared" si="0"/>
        <v>#DIV/0!</v>
      </c>
    </row>
    <row r="18" spans="1:18" ht="15" x14ac:dyDescent="0.25">
      <c r="A18" s="46">
        <v>12</v>
      </c>
      <c r="B18" s="55">
        <f>'Entries September''25'!O17</f>
        <v>194973</v>
      </c>
      <c r="C18" s="55">
        <f t="shared" si="1"/>
        <v>0</v>
      </c>
      <c r="D18" s="55">
        <f t="shared" si="2"/>
        <v>-84</v>
      </c>
      <c r="E18" s="56">
        <f>'Entries September''25'!W17</f>
        <v>0</v>
      </c>
      <c r="F18" s="57">
        <f>'Entries September''25'!V17</f>
        <v>1313802</v>
      </c>
      <c r="G18" s="57">
        <f t="shared" si="7"/>
        <v>84</v>
      </c>
      <c r="H18" s="57">
        <f>'Entries September''25'!AA17</f>
        <v>97122</v>
      </c>
      <c r="I18" s="58">
        <f t="shared" si="3"/>
        <v>0</v>
      </c>
      <c r="J18" s="57">
        <f>'Entries September''25'!T17</f>
        <v>0</v>
      </c>
      <c r="K18" s="58">
        <f t="shared" si="4"/>
        <v>0</v>
      </c>
      <c r="L18" s="58">
        <f t="shared" si="6"/>
        <v>0</v>
      </c>
      <c r="M18" s="57">
        <f>'Entries September''25'!R17</f>
        <v>0</v>
      </c>
      <c r="N18" s="57">
        <f>'Entries September''25'!AC18-'Entries September''25'!AC17</f>
        <v>4</v>
      </c>
      <c r="O18" s="57">
        <f t="shared" si="5"/>
        <v>0</v>
      </c>
      <c r="P18" s="62"/>
      <c r="Q18" s="45"/>
      <c r="R18" s="60" t="e">
        <f t="shared" si="0"/>
        <v>#DIV/0!</v>
      </c>
    </row>
    <row r="19" spans="1:18" ht="15" x14ac:dyDescent="0.25">
      <c r="A19" s="46">
        <v>13</v>
      </c>
      <c r="B19" s="55">
        <f>'Entries September''25'!O18</f>
        <v>194973</v>
      </c>
      <c r="C19" s="55">
        <f t="shared" si="1"/>
        <v>0</v>
      </c>
      <c r="D19" s="55">
        <f t="shared" si="2"/>
        <v>-80</v>
      </c>
      <c r="E19" s="56">
        <f>'Entries September''25'!W18</f>
        <v>0</v>
      </c>
      <c r="F19" s="57">
        <f>'Entries September''25'!V18</f>
        <v>1313886</v>
      </c>
      <c r="G19" s="57">
        <f t="shared" si="7"/>
        <v>80</v>
      </c>
      <c r="H19" s="57">
        <f>'Entries September''25'!AA18</f>
        <v>97122</v>
      </c>
      <c r="I19" s="58">
        <f t="shared" si="3"/>
        <v>0</v>
      </c>
      <c r="J19" s="57">
        <f>'Entries September''25'!T18</f>
        <v>0</v>
      </c>
      <c r="K19" s="58">
        <f>J20-J19</f>
        <v>0</v>
      </c>
      <c r="L19" s="58">
        <f t="shared" si="6"/>
        <v>0</v>
      </c>
      <c r="M19" s="57">
        <f>'Entries September''25'!R18</f>
        <v>0</v>
      </c>
      <c r="N19" s="57">
        <f>'Entries September''25'!AC19-'Entries September''25'!AC18</f>
        <v>0</v>
      </c>
      <c r="O19" s="57">
        <f t="shared" si="5"/>
        <v>0</v>
      </c>
      <c r="P19" s="62"/>
      <c r="Q19" s="45"/>
      <c r="R19" s="60" t="e">
        <f t="shared" si="0"/>
        <v>#DIV/0!</v>
      </c>
    </row>
    <row r="20" spans="1:18" ht="15" x14ac:dyDescent="0.25">
      <c r="A20" s="46">
        <v>14</v>
      </c>
      <c r="B20" s="55">
        <f>'Entries September''25'!O19</f>
        <v>194973</v>
      </c>
      <c r="C20" s="55">
        <f t="shared" si="1"/>
        <v>0</v>
      </c>
      <c r="D20" s="55">
        <f t="shared" si="2"/>
        <v>-74</v>
      </c>
      <c r="E20" s="56">
        <f>'Entries September''25'!W19</f>
        <v>0</v>
      </c>
      <c r="F20" s="57">
        <f>'Entries September''25'!V19</f>
        <v>1313966</v>
      </c>
      <c r="G20" s="57">
        <f t="shared" si="7"/>
        <v>74</v>
      </c>
      <c r="H20" s="57">
        <f>'Entries September''25'!AA19</f>
        <v>97122</v>
      </c>
      <c r="I20" s="58">
        <f t="shared" si="3"/>
        <v>0</v>
      </c>
      <c r="J20" s="57">
        <f>'Entries September''25'!T19</f>
        <v>0</v>
      </c>
      <c r="K20" s="58">
        <f t="shared" si="4"/>
        <v>0</v>
      </c>
      <c r="L20" s="58">
        <f t="shared" si="6"/>
        <v>0</v>
      </c>
      <c r="M20" s="57">
        <f>'Entries September''25'!R19</f>
        <v>0</v>
      </c>
      <c r="N20" s="57">
        <f>'Entries September''25'!AC20-'Entries September''25'!AC19</f>
        <v>17</v>
      </c>
      <c r="O20" s="57">
        <f t="shared" si="5"/>
        <v>0</v>
      </c>
      <c r="P20" s="62"/>
      <c r="Q20" s="45"/>
      <c r="R20" s="60" t="e">
        <f t="shared" si="0"/>
        <v>#DIV/0!</v>
      </c>
    </row>
    <row r="21" spans="1:18" ht="15" x14ac:dyDescent="0.25">
      <c r="A21" s="46">
        <v>15</v>
      </c>
      <c r="B21" s="55">
        <f>'Entries September''25'!O20</f>
        <v>194973</v>
      </c>
      <c r="C21" s="55">
        <f t="shared" si="1"/>
        <v>249</v>
      </c>
      <c r="D21" s="55">
        <f t="shared" si="2"/>
        <v>80</v>
      </c>
      <c r="E21" s="56">
        <f>'Entries September''25'!W20</f>
        <v>0</v>
      </c>
      <c r="F21" s="57">
        <f>'Entries September''25'!V20</f>
        <v>1314040</v>
      </c>
      <c r="G21" s="57">
        <f t="shared" si="7"/>
        <v>169</v>
      </c>
      <c r="H21" s="57">
        <f>'Entries September''25'!AA20</f>
        <v>97122</v>
      </c>
      <c r="I21" s="58">
        <f t="shared" si="3"/>
        <v>0</v>
      </c>
      <c r="J21" s="57">
        <f>'Entries September''25'!T20</f>
        <v>0</v>
      </c>
      <c r="K21" s="58">
        <f t="shared" si="4"/>
        <v>0</v>
      </c>
      <c r="L21" s="58">
        <f t="shared" si="6"/>
        <v>0</v>
      </c>
      <c r="M21" s="57">
        <f>'Entries September''25'!R20</f>
        <v>0</v>
      </c>
      <c r="N21" s="57">
        <f>'Entries September''25'!AC21-'Entries September''25'!AC20</f>
        <v>26</v>
      </c>
      <c r="O21" s="57">
        <f t="shared" si="5"/>
        <v>498</v>
      </c>
      <c r="P21" s="62"/>
      <c r="Q21" s="45"/>
      <c r="R21" s="60" t="e">
        <f t="shared" si="0"/>
        <v>#DIV/0!</v>
      </c>
    </row>
    <row r="22" spans="1:18" ht="15" x14ac:dyDescent="0.25">
      <c r="A22" s="46">
        <v>16</v>
      </c>
      <c r="B22" s="55">
        <f>'Entries September''25'!O21</f>
        <v>195222</v>
      </c>
      <c r="C22" s="55">
        <f t="shared" si="1"/>
        <v>202</v>
      </c>
      <c r="D22" s="55">
        <f t="shared" si="2"/>
        <v>71</v>
      </c>
      <c r="E22" s="56">
        <f>'Entries September''25'!W21</f>
        <v>0</v>
      </c>
      <c r="F22" s="57">
        <f>'Entries September''25'!V21</f>
        <v>1314209</v>
      </c>
      <c r="G22" s="57">
        <f t="shared" si="7"/>
        <v>131</v>
      </c>
      <c r="H22" s="57">
        <f>'Entries September''25'!AA21</f>
        <v>97122</v>
      </c>
      <c r="I22" s="58">
        <f t="shared" si="3"/>
        <v>0</v>
      </c>
      <c r="J22" s="57">
        <f>'Entries September''25'!T21</f>
        <v>0</v>
      </c>
      <c r="K22" s="58">
        <f t="shared" si="4"/>
        <v>0</v>
      </c>
      <c r="L22" s="58">
        <f t="shared" si="6"/>
        <v>0</v>
      </c>
      <c r="M22" s="57">
        <f>'Entries September''25'!R21</f>
        <v>0</v>
      </c>
      <c r="N22" s="57">
        <f>'Entries September''25'!AC22-'Entries September''25'!AC21</f>
        <v>20</v>
      </c>
      <c r="O22" s="57">
        <f t="shared" si="5"/>
        <v>404</v>
      </c>
      <c r="P22" s="62"/>
      <c r="Q22" s="45"/>
      <c r="R22" s="60" t="e">
        <f t="shared" si="0"/>
        <v>#DIV/0!</v>
      </c>
    </row>
    <row r="23" spans="1:18" ht="15" x14ac:dyDescent="0.25">
      <c r="A23" s="46">
        <v>17</v>
      </c>
      <c r="B23" s="55">
        <f>'Entries September''25'!O22</f>
        <v>195424</v>
      </c>
      <c r="C23" s="55">
        <f t="shared" si="1"/>
        <v>111</v>
      </c>
      <c r="D23" s="55">
        <f t="shared" si="2"/>
        <v>-85</v>
      </c>
      <c r="E23" s="56">
        <f>'Entries September''25'!W22</f>
        <v>0</v>
      </c>
      <c r="F23" s="57">
        <f>'Entries September''25'!V22</f>
        <v>1314340</v>
      </c>
      <c r="G23" s="57">
        <f t="shared" si="7"/>
        <v>196</v>
      </c>
      <c r="H23" s="57">
        <f>'Entries September''25'!AA22</f>
        <v>97122</v>
      </c>
      <c r="I23" s="58">
        <f t="shared" si="3"/>
        <v>0</v>
      </c>
      <c r="J23" s="57">
        <f>'Entries September''25'!T22</f>
        <v>0</v>
      </c>
      <c r="K23" s="58">
        <f t="shared" si="4"/>
        <v>0</v>
      </c>
      <c r="L23" s="58">
        <f t="shared" si="6"/>
        <v>0</v>
      </c>
      <c r="M23" s="57">
        <f>'Entries September''25'!R22</f>
        <v>0</v>
      </c>
      <c r="N23" s="57">
        <f>'Entries September''25'!AC23-'Entries September''25'!AC22</f>
        <v>29</v>
      </c>
      <c r="O23" s="57">
        <f t="shared" si="5"/>
        <v>222</v>
      </c>
      <c r="P23" s="62"/>
      <c r="Q23" s="45"/>
      <c r="R23" s="60" t="e">
        <f t="shared" si="0"/>
        <v>#DIV/0!</v>
      </c>
    </row>
    <row r="24" spans="1:18" ht="15" x14ac:dyDescent="0.25">
      <c r="A24" s="46">
        <v>18</v>
      </c>
      <c r="B24" s="55">
        <f>'Entries September''25'!O23</f>
        <v>195535</v>
      </c>
      <c r="C24" s="55">
        <f t="shared" si="1"/>
        <v>209</v>
      </c>
      <c r="D24" s="55">
        <f t="shared" si="2"/>
        <v>-27</v>
      </c>
      <c r="E24" s="56">
        <f>'Entries September''25'!W23</f>
        <v>0</v>
      </c>
      <c r="F24" s="57">
        <f>'Entries September''25'!V23</f>
        <v>1314536</v>
      </c>
      <c r="G24" s="57">
        <f t="shared" si="7"/>
        <v>236</v>
      </c>
      <c r="H24" s="57">
        <f>'Entries September''25'!AA23</f>
        <v>97122</v>
      </c>
      <c r="I24" s="58">
        <f t="shared" si="3"/>
        <v>0</v>
      </c>
      <c r="J24" s="57">
        <f>'Entries September''25'!T23</f>
        <v>0</v>
      </c>
      <c r="K24" s="58">
        <f t="shared" si="4"/>
        <v>0</v>
      </c>
      <c r="L24" s="58">
        <f t="shared" si="6"/>
        <v>0</v>
      </c>
      <c r="M24" s="57">
        <f>'Entries September''25'!R23</f>
        <v>0</v>
      </c>
      <c r="N24" s="57">
        <f>'Entries September''25'!AC24-'Entries September''25'!AC23</f>
        <v>32</v>
      </c>
      <c r="O24" s="57">
        <f t="shared" si="5"/>
        <v>418</v>
      </c>
      <c r="P24" s="62"/>
      <c r="Q24" s="45"/>
      <c r="R24" s="60" t="e">
        <f t="shared" si="0"/>
        <v>#DIV/0!</v>
      </c>
    </row>
    <row r="25" spans="1:18" ht="15" x14ac:dyDescent="0.25">
      <c r="A25" s="46">
        <v>19</v>
      </c>
      <c r="B25" s="55">
        <f>'Entries September''25'!O24</f>
        <v>195744</v>
      </c>
      <c r="C25" s="55">
        <f t="shared" si="1"/>
        <v>198</v>
      </c>
      <c r="D25" s="55">
        <f t="shared" si="2"/>
        <v>-45</v>
      </c>
      <c r="E25" s="56">
        <f>'Entries September''25'!W24</f>
        <v>0</v>
      </c>
      <c r="F25" s="57">
        <f>'Entries September''25'!V24</f>
        <v>1314772</v>
      </c>
      <c r="G25" s="57">
        <f t="shared" si="7"/>
        <v>243</v>
      </c>
      <c r="H25" s="57">
        <f>'Entries September''25'!AA24</f>
        <v>97122</v>
      </c>
      <c r="I25" s="58">
        <f t="shared" si="3"/>
        <v>0</v>
      </c>
      <c r="J25" s="57">
        <f>'Entries September''25'!T24</f>
        <v>0</v>
      </c>
      <c r="K25" s="58">
        <f t="shared" si="4"/>
        <v>0</v>
      </c>
      <c r="L25" s="58">
        <f t="shared" si="6"/>
        <v>0</v>
      </c>
      <c r="M25" s="57">
        <f>'Entries September''25'!R24</f>
        <v>0</v>
      </c>
      <c r="N25" s="57">
        <f>'Entries September''25'!AC25-'Entries September''25'!AC24</f>
        <v>24</v>
      </c>
      <c r="O25" s="57">
        <f t="shared" si="5"/>
        <v>396</v>
      </c>
      <c r="P25" s="62"/>
      <c r="Q25" s="45"/>
      <c r="R25" s="60" t="e">
        <f t="shared" si="0"/>
        <v>#DIV/0!</v>
      </c>
    </row>
    <row r="26" spans="1:18" ht="15" x14ac:dyDescent="0.25">
      <c r="A26" s="46">
        <v>20</v>
      </c>
      <c r="B26" s="55">
        <f>'Entries September''25'!O25</f>
        <v>195942</v>
      </c>
      <c r="C26" s="55">
        <f t="shared" si="1"/>
        <v>0</v>
      </c>
      <c r="D26" s="55">
        <f t="shared" si="2"/>
        <v>0</v>
      </c>
      <c r="E26" s="56">
        <f>'Entries September''25'!W25</f>
        <v>0</v>
      </c>
      <c r="F26" s="57">
        <f>'Entries September''25'!V25</f>
        <v>1315015</v>
      </c>
      <c r="G26" s="57">
        <f t="shared" si="7"/>
        <v>0</v>
      </c>
      <c r="H26" s="57">
        <f>'Entries September''25'!AA25</f>
        <v>97122</v>
      </c>
      <c r="I26" s="58">
        <f t="shared" si="3"/>
        <v>0</v>
      </c>
      <c r="J26" s="57">
        <f>'Entries September''25'!T25</f>
        <v>0</v>
      </c>
      <c r="K26" s="58">
        <f t="shared" si="4"/>
        <v>0</v>
      </c>
      <c r="L26" s="58">
        <f t="shared" si="6"/>
        <v>0</v>
      </c>
      <c r="M26" s="57">
        <f>'Entries September''25'!R25</f>
        <v>0</v>
      </c>
      <c r="N26" s="57">
        <f>'Entries September''25'!AC26-'Entries September''25'!AC25</f>
        <v>0</v>
      </c>
      <c r="O26" s="57">
        <f t="shared" si="5"/>
        <v>0</v>
      </c>
      <c r="P26" s="62"/>
      <c r="Q26" s="45"/>
      <c r="R26" s="60" t="e">
        <f t="shared" si="0"/>
        <v>#DIV/0!</v>
      </c>
    </row>
    <row r="27" spans="1:18" ht="15" x14ac:dyDescent="0.25">
      <c r="A27" s="46">
        <v>21</v>
      </c>
      <c r="B27" s="55">
        <f>'Entries September''25'!O26</f>
        <v>195942</v>
      </c>
      <c r="C27" s="55">
        <f t="shared" si="1"/>
        <v>74</v>
      </c>
      <c r="D27" s="55">
        <f t="shared" si="2"/>
        <v>22</v>
      </c>
      <c r="E27" s="56">
        <f>'Entries September''25'!W26</f>
        <v>0</v>
      </c>
      <c r="F27" s="57">
        <f>'Entries September''25'!V26</f>
        <v>1315015</v>
      </c>
      <c r="G27" s="57">
        <f t="shared" si="7"/>
        <v>52</v>
      </c>
      <c r="H27" s="57">
        <f>'Entries September''25'!AA26</f>
        <v>97122</v>
      </c>
      <c r="I27" s="58">
        <f t="shared" si="3"/>
        <v>0</v>
      </c>
      <c r="J27" s="57">
        <f>'Entries September''25'!T26</f>
        <v>0</v>
      </c>
      <c r="K27" s="58">
        <f t="shared" si="4"/>
        <v>0</v>
      </c>
      <c r="L27" s="58">
        <f t="shared" si="6"/>
        <v>0</v>
      </c>
      <c r="M27" s="57">
        <f>'Entries September''25'!R26</f>
        <v>0</v>
      </c>
      <c r="N27" s="57">
        <f>'Entries September''25'!AC27-'Entries September''25'!AC26</f>
        <v>14</v>
      </c>
      <c r="O27" s="57">
        <f t="shared" si="5"/>
        <v>148</v>
      </c>
      <c r="P27" s="62"/>
      <c r="Q27" s="45"/>
      <c r="R27" s="60" t="e">
        <f t="shared" si="0"/>
        <v>#DIV/0!</v>
      </c>
    </row>
    <row r="28" spans="1:18" ht="15" x14ac:dyDescent="0.25">
      <c r="A28" s="46">
        <v>22</v>
      </c>
      <c r="B28" s="55">
        <f>'Entries September''25'!O27</f>
        <v>196016</v>
      </c>
      <c r="C28" s="55">
        <f t="shared" si="1"/>
        <v>199</v>
      </c>
      <c r="D28" s="55">
        <f t="shared" si="2"/>
        <v>57</v>
      </c>
      <c r="E28" s="56">
        <f>'Entries September''25'!W27</f>
        <v>0</v>
      </c>
      <c r="F28" s="57">
        <f>'Entries September''25'!V27</f>
        <v>1315067</v>
      </c>
      <c r="G28" s="57">
        <f t="shared" si="7"/>
        <v>142</v>
      </c>
      <c r="H28" s="57">
        <f>'Entries September''25'!AA27</f>
        <v>97122</v>
      </c>
      <c r="I28" s="58">
        <f t="shared" si="3"/>
        <v>0</v>
      </c>
      <c r="J28" s="57">
        <f>'Entries September''25'!T27</f>
        <v>0</v>
      </c>
      <c r="K28" s="58">
        <f t="shared" si="4"/>
        <v>0</v>
      </c>
      <c r="L28" s="58">
        <f t="shared" si="6"/>
        <v>0</v>
      </c>
      <c r="M28" s="57">
        <f>'Entries September''25'!R27</f>
        <v>0</v>
      </c>
      <c r="N28" s="57">
        <f>'Entries September''25'!AC28-'Entries September''25'!AC27</f>
        <v>0</v>
      </c>
      <c r="O28" s="57">
        <f t="shared" si="5"/>
        <v>398</v>
      </c>
      <c r="P28" s="62"/>
      <c r="Q28" s="45"/>
      <c r="R28" s="60" t="e">
        <f t="shared" si="0"/>
        <v>#DIV/0!</v>
      </c>
    </row>
    <row r="29" spans="1:18" ht="15" x14ac:dyDescent="0.25">
      <c r="A29" s="46">
        <v>23</v>
      </c>
      <c r="B29" s="55">
        <f>'Entries September''25'!O28</f>
        <v>196215</v>
      </c>
      <c r="C29" s="55">
        <f t="shared" si="1"/>
        <v>396</v>
      </c>
      <c r="D29" s="55">
        <f t="shared" si="2"/>
        <v>337</v>
      </c>
      <c r="E29" s="56">
        <f>'Entries September''25'!W28</f>
        <v>0</v>
      </c>
      <c r="F29" s="57">
        <f>'Entries September''25'!V28</f>
        <v>1315209</v>
      </c>
      <c r="G29" s="57">
        <f t="shared" si="7"/>
        <v>59</v>
      </c>
      <c r="H29" s="57">
        <f>'Entries September''25'!AA28</f>
        <v>97122</v>
      </c>
      <c r="I29" s="58">
        <f t="shared" si="3"/>
        <v>0</v>
      </c>
      <c r="J29" s="57">
        <f>'Entries September''25'!T28</f>
        <v>0</v>
      </c>
      <c r="K29" s="58">
        <f t="shared" si="4"/>
        <v>0</v>
      </c>
      <c r="L29" s="58">
        <f t="shared" si="6"/>
        <v>0</v>
      </c>
      <c r="M29" s="57">
        <f>'Entries September''25'!R28</f>
        <v>0</v>
      </c>
      <c r="N29" s="57">
        <f>'Entries September''25'!AC29-'Entries September''25'!AC28</f>
        <v>48</v>
      </c>
      <c r="O29" s="57">
        <f t="shared" si="5"/>
        <v>792</v>
      </c>
      <c r="P29" s="62"/>
      <c r="Q29" s="45"/>
      <c r="R29" s="60" t="e">
        <f t="shared" si="0"/>
        <v>#DIV/0!</v>
      </c>
    </row>
    <row r="30" spans="1:18" ht="15" x14ac:dyDescent="0.25">
      <c r="A30" s="46">
        <v>24</v>
      </c>
      <c r="B30" s="55">
        <f>'Entries September''25'!O29</f>
        <v>196611</v>
      </c>
      <c r="C30" s="55">
        <f t="shared" si="1"/>
        <v>102</v>
      </c>
      <c r="D30" s="55">
        <f t="shared" si="2"/>
        <v>-28</v>
      </c>
      <c r="E30" s="56">
        <f>'Entries September''25'!W29</f>
        <v>0</v>
      </c>
      <c r="F30" s="57">
        <f>'Entries September''25'!V29</f>
        <v>1315268</v>
      </c>
      <c r="G30" s="57">
        <f t="shared" si="7"/>
        <v>130</v>
      </c>
      <c r="H30" s="57">
        <f>'Entries September''25'!AA29</f>
        <v>97122</v>
      </c>
      <c r="I30" s="58">
        <f t="shared" si="3"/>
        <v>0</v>
      </c>
      <c r="J30" s="57">
        <f>'Entries September''25'!T29</f>
        <v>0</v>
      </c>
      <c r="K30" s="58">
        <f t="shared" si="4"/>
        <v>0</v>
      </c>
      <c r="L30" s="58">
        <f t="shared" si="6"/>
        <v>0</v>
      </c>
      <c r="M30" s="57">
        <f>'Entries September''25'!R29</f>
        <v>0</v>
      </c>
      <c r="N30" s="57">
        <f>'Entries September''25'!AC30-'Entries September''25'!AC29</f>
        <v>2</v>
      </c>
      <c r="O30" s="57">
        <f t="shared" si="5"/>
        <v>204</v>
      </c>
      <c r="P30" s="62"/>
      <c r="Q30" s="45"/>
      <c r="R30" s="60" t="e">
        <f t="shared" si="0"/>
        <v>#DIV/0!</v>
      </c>
    </row>
    <row r="31" spans="1:18" ht="15" x14ac:dyDescent="0.25">
      <c r="A31" s="46">
        <v>25</v>
      </c>
      <c r="B31" s="55">
        <f>'Entries September''25'!O30</f>
        <v>196713</v>
      </c>
      <c r="C31" s="55">
        <f t="shared" si="1"/>
        <v>251</v>
      </c>
      <c r="D31" s="55">
        <f t="shared" si="2"/>
        <v>119</v>
      </c>
      <c r="E31" s="56">
        <f>'Entries September''25'!W30</f>
        <v>0</v>
      </c>
      <c r="F31" s="57">
        <f>'Entries September''25'!V30</f>
        <v>1315398</v>
      </c>
      <c r="G31" s="57">
        <f t="shared" si="7"/>
        <v>132</v>
      </c>
      <c r="H31" s="57">
        <f>'Entries September''25'!AA30</f>
        <v>97122</v>
      </c>
      <c r="I31" s="58">
        <f t="shared" si="3"/>
        <v>0</v>
      </c>
      <c r="J31" s="57">
        <f>'Entries September''25'!T30</f>
        <v>0</v>
      </c>
      <c r="K31" s="58">
        <f t="shared" si="4"/>
        <v>0</v>
      </c>
      <c r="L31" s="58">
        <f t="shared" si="6"/>
        <v>0</v>
      </c>
      <c r="M31" s="57">
        <f>'Entries September''25'!R30</f>
        <v>0</v>
      </c>
      <c r="N31" s="57">
        <f>'Entries September''25'!AC31-'Entries September''25'!AC30</f>
        <v>18</v>
      </c>
      <c r="O31" s="57">
        <f t="shared" si="5"/>
        <v>502</v>
      </c>
      <c r="P31" s="62"/>
      <c r="Q31" s="45"/>
      <c r="R31" s="60" t="e">
        <f t="shared" si="0"/>
        <v>#DIV/0!</v>
      </c>
    </row>
    <row r="32" spans="1:18" ht="15" x14ac:dyDescent="0.25">
      <c r="A32" s="46">
        <v>26</v>
      </c>
      <c r="B32" s="55">
        <f>'Entries September''25'!O31</f>
        <v>196964</v>
      </c>
      <c r="C32" s="55">
        <f t="shared" si="1"/>
        <v>141</v>
      </c>
      <c r="D32" s="55">
        <f t="shared" si="2"/>
        <v>-52</v>
      </c>
      <c r="E32" s="56">
        <f>'Entries September''25'!W31</f>
        <v>0</v>
      </c>
      <c r="F32" s="57">
        <f>'Entries September''25'!V31</f>
        <v>1315530</v>
      </c>
      <c r="G32" s="57">
        <f t="shared" si="7"/>
        <v>193</v>
      </c>
      <c r="H32" s="57">
        <f>'Entries September''25'!AA31</f>
        <v>97122</v>
      </c>
      <c r="I32" s="58">
        <f t="shared" si="3"/>
        <v>0</v>
      </c>
      <c r="J32" s="57">
        <f>'Entries September''25'!T31</f>
        <v>0</v>
      </c>
      <c r="K32" s="58">
        <f t="shared" si="4"/>
        <v>0</v>
      </c>
      <c r="L32" s="58">
        <f t="shared" si="6"/>
        <v>0</v>
      </c>
      <c r="M32" s="57">
        <f>'Entries September''25'!R31</f>
        <v>0</v>
      </c>
      <c r="N32" s="57">
        <f>'Entries September''25'!AC32-'Entries September''25'!AC31</f>
        <v>26</v>
      </c>
      <c r="O32" s="57">
        <f t="shared" si="5"/>
        <v>282</v>
      </c>
      <c r="P32" s="62"/>
      <c r="Q32" s="45"/>
      <c r="R32" s="60" t="e">
        <f t="shared" si="0"/>
        <v>#DIV/0!</v>
      </c>
    </row>
    <row r="33" spans="1:18" ht="15" x14ac:dyDescent="0.25">
      <c r="A33" s="46">
        <v>27</v>
      </c>
      <c r="B33" s="55">
        <f>'Entries September''25'!O32</f>
        <v>197105</v>
      </c>
      <c r="C33" s="55">
        <f t="shared" si="1"/>
        <v>0</v>
      </c>
      <c r="D33" s="55">
        <f t="shared" si="2"/>
        <v>-154</v>
      </c>
      <c r="E33" s="56">
        <f>'Entries September''25'!W32</f>
        <v>0</v>
      </c>
      <c r="F33" s="57">
        <f>'Entries September''25'!V32</f>
        <v>1315723</v>
      </c>
      <c r="G33" s="57">
        <f t="shared" si="7"/>
        <v>154</v>
      </c>
      <c r="H33" s="57">
        <f>'Entries September''25'!AA32</f>
        <v>97122</v>
      </c>
      <c r="I33" s="58">
        <f t="shared" si="3"/>
        <v>0</v>
      </c>
      <c r="J33" s="57">
        <f>'Entries September''25'!T32</f>
        <v>0</v>
      </c>
      <c r="K33" s="58">
        <f t="shared" si="4"/>
        <v>0</v>
      </c>
      <c r="L33" s="58">
        <f t="shared" si="6"/>
        <v>0</v>
      </c>
      <c r="M33" s="57">
        <f>'Entries September''25'!R32</f>
        <v>0</v>
      </c>
      <c r="N33" s="57">
        <f>'Entries September''25'!AC33-'Entries September''25'!AC32</f>
        <v>1</v>
      </c>
      <c r="O33" s="57">
        <f t="shared" si="5"/>
        <v>0</v>
      </c>
      <c r="P33" s="62"/>
      <c r="Q33" s="45"/>
      <c r="R33" s="60" t="e">
        <f t="shared" si="0"/>
        <v>#DIV/0!</v>
      </c>
    </row>
    <row r="34" spans="1:18" ht="15" x14ac:dyDescent="0.25">
      <c r="A34" s="46">
        <v>28</v>
      </c>
      <c r="B34" s="55">
        <f>'Entries September''25'!O33</f>
        <v>197105</v>
      </c>
      <c r="C34" s="55">
        <f t="shared" si="1"/>
        <v>0</v>
      </c>
      <c r="D34" s="55">
        <f t="shared" si="2"/>
        <v>0</v>
      </c>
      <c r="E34" s="56">
        <f>'Entries September''25'!W33</f>
        <v>0</v>
      </c>
      <c r="F34" s="57">
        <f>'Entries September''25'!V33</f>
        <v>1315877</v>
      </c>
      <c r="G34" s="57">
        <f t="shared" si="7"/>
        <v>0</v>
      </c>
      <c r="H34" s="57">
        <f>'Entries September''25'!AA33</f>
        <v>97122</v>
      </c>
      <c r="I34" s="58">
        <f t="shared" si="3"/>
        <v>0</v>
      </c>
      <c r="J34" s="57">
        <f>'Entries September''25'!T33</f>
        <v>0</v>
      </c>
      <c r="K34" s="58">
        <f t="shared" si="4"/>
        <v>0</v>
      </c>
      <c r="L34" s="58">
        <f t="shared" si="6"/>
        <v>0</v>
      </c>
      <c r="M34" s="57">
        <f>'Entries September''25'!R33</f>
        <v>0</v>
      </c>
      <c r="N34" s="57">
        <f>'Entries September''25'!AC34-'Entries September''25'!AC33</f>
        <v>0</v>
      </c>
      <c r="O34" s="57">
        <f t="shared" si="5"/>
        <v>0</v>
      </c>
      <c r="P34" s="62"/>
      <c r="Q34" s="45"/>
      <c r="R34" s="60" t="e">
        <f t="shared" si="0"/>
        <v>#DIV/0!</v>
      </c>
    </row>
    <row r="35" spans="1:18" ht="15" x14ac:dyDescent="0.25">
      <c r="A35" s="46"/>
      <c r="B35" s="55">
        <f>'Entries September''25'!O34</f>
        <v>197105</v>
      </c>
      <c r="C35" s="63"/>
      <c r="D35" s="55">
        <f t="shared" si="2"/>
        <v>0</v>
      </c>
      <c r="E35" s="56"/>
      <c r="F35" s="57">
        <f>'Entries September''25'!V34</f>
        <v>1315877</v>
      </c>
      <c r="G35" s="57"/>
      <c r="H35" s="57">
        <f>'Entries September''25'!AA34</f>
        <v>97122</v>
      </c>
      <c r="I35" s="58"/>
      <c r="J35" s="57"/>
      <c r="K35" s="58"/>
      <c r="L35" s="58"/>
      <c r="M35" s="57"/>
      <c r="N35" s="57"/>
      <c r="O35" s="57"/>
      <c r="P35" s="62"/>
      <c r="Q35" s="45"/>
      <c r="R35" s="60"/>
    </row>
    <row r="36" spans="1:18" ht="15" x14ac:dyDescent="0.25">
      <c r="A36" s="46"/>
      <c r="B36" s="55"/>
      <c r="C36" s="64"/>
      <c r="D36" s="61"/>
      <c r="E36" s="56"/>
      <c r="F36" s="57"/>
      <c r="G36" s="57"/>
      <c r="H36" s="57"/>
      <c r="I36" s="58"/>
      <c r="J36" s="57"/>
      <c r="K36" s="58"/>
      <c r="L36" s="58"/>
      <c r="M36" s="57"/>
      <c r="N36" s="57"/>
      <c r="O36" s="57"/>
      <c r="P36" s="62"/>
      <c r="Q36" s="45"/>
      <c r="R36" s="60"/>
    </row>
    <row r="37" spans="1:18" ht="15" x14ac:dyDescent="0.25">
      <c r="A37" s="46"/>
      <c r="B37" s="55"/>
      <c r="C37" s="63"/>
      <c r="D37" s="61"/>
      <c r="E37" s="56"/>
      <c r="F37" s="57"/>
      <c r="G37" s="57"/>
      <c r="H37" s="57"/>
      <c r="I37" s="58"/>
      <c r="J37" s="57"/>
      <c r="K37" s="58"/>
      <c r="L37" s="58"/>
      <c r="M37" s="57"/>
      <c r="N37" s="57"/>
      <c r="O37" s="57"/>
      <c r="P37" s="62"/>
      <c r="Q37" s="45"/>
      <c r="R37" s="60"/>
    </row>
    <row r="38" spans="1:18" ht="14.25" x14ac:dyDescent="0.2">
      <c r="A38" s="46" t="s">
        <v>19</v>
      </c>
      <c r="B38" s="65"/>
      <c r="C38" s="65">
        <f>SUM(C7:C34)</f>
        <v>3786</v>
      </c>
      <c r="D38" s="65">
        <f>SUM(D7:D34)</f>
        <v>-70</v>
      </c>
      <c r="E38" s="65"/>
      <c r="F38" s="65"/>
      <c r="G38" s="65">
        <f t="shared" ref="G38:R38" si="8">SUM(G7:G34)</f>
        <v>3856</v>
      </c>
      <c r="H38" s="65"/>
      <c r="I38" s="65">
        <f t="shared" si="8"/>
        <v>0</v>
      </c>
      <c r="J38" s="65">
        <f t="shared" si="8"/>
        <v>1333212</v>
      </c>
      <c r="K38" s="65">
        <f t="shared" si="8"/>
        <v>-1312021</v>
      </c>
      <c r="L38" s="65">
        <f t="shared" si="8"/>
        <v>-1312021</v>
      </c>
      <c r="M38" s="65">
        <f t="shared" si="8"/>
        <v>0</v>
      </c>
      <c r="N38" s="65">
        <f t="shared" si="8"/>
        <v>416</v>
      </c>
      <c r="O38" s="65">
        <f t="shared" si="8"/>
        <v>7572</v>
      </c>
      <c r="P38" s="65">
        <f t="shared" si="8"/>
        <v>0</v>
      </c>
      <c r="Q38" s="65">
        <f t="shared" si="8"/>
        <v>0</v>
      </c>
      <c r="R38" s="65" t="e">
        <f t="shared" si="8"/>
        <v>#DIV/0!</v>
      </c>
    </row>
  </sheetData>
  <phoneticPr fontId="0" type="noConversion"/>
  <pageMargins left="0.75" right="0.75" top="1" bottom="1" header="0.5" footer="0.5"/>
  <pageSetup orientation="portrait" horizontalDpi="4294967294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</sheetPr>
  <dimension ref="A1"/>
  <sheetViews>
    <sheetView topLeftCell="B16" workbookViewId="0">
      <selection activeCell="L21" sqref="L21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Entries September'25</vt:lpstr>
      <vt:lpstr>Utility Analysis September'25 </vt:lpstr>
      <vt:lpstr>Steam Mass Flow </vt:lpstr>
      <vt:lpstr>Fuel </vt:lpstr>
      <vt:lpstr>Water </vt:lpstr>
      <vt:lpstr>Elec.September'25</vt:lpstr>
      <vt:lpstr>PROD.FIG. </vt:lpstr>
      <vt:lpstr>CO2</vt:lpstr>
      <vt:lpstr>Daily KPIs CO2</vt:lpstr>
      <vt:lpstr>Daily KPIs</vt:lpstr>
      <vt:lpstr>Water Analysis. '25</vt:lpstr>
      <vt:lpstr>Sheet1</vt:lpstr>
      <vt:lpstr>'Daily KPIs'!Print_Area</vt:lpstr>
      <vt:lpstr>'Entries September''25'!Print_Area</vt:lpstr>
    </vt:vector>
  </TitlesOfParts>
  <Company>GBL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</dc:creator>
  <cp:lastModifiedBy>Alexander Dominguez -Ramon</cp:lastModifiedBy>
  <cp:lastPrinted>2019-10-02T13:09:44Z</cp:lastPrinted>
  <dcterms:created xsi:type="dcterms:W3CDTF">2003-05-05T15:42:25Z</dcterms:created>
  <dcterms:modified xsi:type="dcterms:W3CDTF">2025-10-02T20:57:51Z</dcterms:modified>
</cp:coreProperties>
</file>