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O:\Planning 2025- Operations\Production 2026\"/>
    </mc:Choice>
  </mc:AlternateContent>
  <xr:revisionPtr revIDLastSave="0" documentId="13_ncr:1_{BC944416-6B72-495C-88E5-1989CD75DC59}" xr6:coauthVersionLast="47" xr6:coauthVersionMax="47" xr10:uidLastSave="{00000000-0000-0000-0000-000000000000}"/>
  <bookViews>
    <workbookView xWindow="-108" yWindow="-108" windowWidth="23256" windowHeight="12456" activeTab="4" xr2:uid="{979AA942-248D-4A27-B234-CE1A93CD885E}"/>
  </bookViews>
  <sheets>
    <sheet name="Production plan Org." sheetId="6" r:id="rId1"/>
    <sheet name="Local" sheetId="7" state="hidden" r:id="rId2"/>
    <sheet name="Capacity" sheetId="4" r:id="rId3"/>
    <sheet name="Crates Supply" sheetId="3" r:id="rId4"/>
    <sheet name="Brews" sheetId="1" r:id="rId5"/>
    <sheet name="Pilsen Malt " sheetId="9" r:id="rId6"/>
    <sheet name="Sugar" sheetId="10" r:id="rId7"/>
  </sheets>
  <externalReferences>
    <externalReference r:id="rId8"/>
    <externalReference r:id="rId9"/>
    <externalReference r:id="rId10"/>
  </externalReferences>
  <definedNames>
    <definedName name="_Fill" hidden="1">#REF!</definedName>
    <definedName name="Apr">[1]April!$A$1:$Q$35</definedName>
    <definedName name="Aug">[1]Aug!$A$1:$Q$35</definedName>
    <definedName name="CO2MOR">#REF!</definedName>
    <definedName name="Dec">[1]Dec!$A$1:$Q$35</definedName>
    <definedName name="elc.beer">[2]Electricity!#REF!</definedName>
    <definedName name="Elec.beer">[2]Electricity!#REF!</definedName>
    <definedName name="elec.malt">[2]Electricity!#REF!</definedName>
    <definedName name="elec.oth">[2]Electricity!#REF!</definedName>
    <definedName name="ELECMOR">#REF!</definedName>
    <definedName name="Feb">[1]Feb!$A$1:$Q$35</definedName>
    <definedName name="FUELMOR">#REF!</definedName>
    <definedName name="H20MOR">#REF!</definedName>
    <definedName name="Jan">'[1] Jan'!$A$1:$Q$35</definedName>
    <definedName name="July">[1]July!$A$1:$Q$35</definedName>
    <definedName name="June">[1]June!$A$1:$Q$35</definedName>
    <definedName name="Mar">[1]Mar!$A$1:$Q$35</definedName>
    <definedName name="May">[1]May!$A$1:$Q$35</definedName>
    <definedName name="MS">#REF!</definedName>
    <definedName name="Nov">[1]Nov!$A$1:$Q$35</definedName>
    <definedName name="Oct">[1]Oct!$A$1:$Q$35</definedName>
    <definedName name="_xlnm.Print_Area" localSheetId="4">Brews!$A$4:$Z$43</definedName>
    <definedName name="_xlnm.Print_Area" localSheetId="1">Local!$A$4:$N$23</definedName>
    <definedName name="_xlnm.Print_Area" localSheetId="0">'Production plan Org.'!$A$4:$N$43</definedName>
    <definedName name="_xlnm.Print_Area" localSheetId="6">Sugar!$B$4:$AA$43</definedName>
    <definedName name="RATIOS">#REF!</definedName>
    <definedName name="Sept">[1]Sept!$A$1:$Q$35</definedName>
    <definedName name="Summary">#REF!</definedName>
    <definedName name="TOTALMO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0" i="1" l="1"/>
  <c r="AH15" i="1"/>
  <c r="AH14" i="1"/>
  <c r="AH17" i="1"/>
  <c r="AH16" i="1"/>
  <c r="AH13" i="1"/>
  <c r="AH12" i="1"/>
  <c r="AH20" i="1" s="1"/>
  <c r="AC7" i="10"/>
  <c r="L47" i="10"/>
  <c r="AB47" i="10"/>
  <c r="AB24" i="10"/>
  <c r="AB23" i="10"/>
  <c r="AB12" i="10"/>
  <c r="V33" i="10"/>
  <c r="AB33" i="10" s="1"/>
  <c r="P33" i="10"/>
  <c r="F33" i="10"/>
  <c r="D25" i="10"/>
  <c r="D26" i="10"/>
  <c r="AB26" i="10" s="1"/>
  <c r="X26" i="10"/>
  <c r="V26" i="10"/>
  <c r="T26" i="10"/>
  <c r="R26" i="10"/>
  <c r="P26" i="10"/>
  <c r="N26" i="10"/>
  <c r="J26" i="10"/>
  <c r="H26" i="10"/>
  <c r="F26" i="10"/>
  <c r="J25" i="10"/>
  <c r="H25" i="10"/>
  <c r="F25" i="10"/>
  <c r="AB25" i="10" s="1"/>
  <c r="V25" i="10"/>
  <c r="T25" i="10"/>
  <c r="P25" i="10"/>
  <c r="L25" i="10"/>
  <c r="Z24" i="10"/>
  <c r="Z23" i="10"/>
  <c r="N23" i="10"/>
  <c r="Z20" i="10"/>
  <c r="X20" i="10"/>
  <c r="V20" i="10"/>
  <c r="T20" i="10"/>
  <c r="R20" i="10"/>
  <c r="P20" i="10"/>
  <c r="N20" i="10"/>
  <c r="L20" i="10"/>
  <c r="J20" i="10"/>
  <c r="H20" i="10"/>
  <c r="F20" i="10"/>
  <c r="D20" i="10"/>
  <c r="AB20" i="10" s="1"/>
  <c r="Z18" i="10"/>
  <c r="X18" i="10"/>
  <c r="V18" i="10"/>
  <c r="T18" i="10"/>
  <c r="AB18" i="10" s="1"/>
  <c r="R18" i="10"/>
  <c r="P18" i="10"/>
  <c r="N18" i="10"/>
  <c r="L18" i="10"/>
  <c r="J18" i="10"/>
  <c r="H18" i="10"/>
  <c r="F18" i="10"/>
  <c r="D18" i="10"/>
  <c r="N6" i="10"/>
  <c r="L6" i="10"/>
  <c r="J6" i="10"/>
  <c r="H6" i="10"/>
  <c r="F6" i="10"/>
  <c r="D6" i="10"/>
  <c r="Y39" i="10"/>
  <c r="W39" i="10"/>
  <c r="U39" i="10"/>
  <c r="S39" i="10"/>
  <c r="Q39" i="10"/>
  <c r="O39" i="10"/>
  <c r="M39" i="10"/>
  <c r="K39" i="10"/>
  <c r="I39" i="10"/>
  <c r="G39" i="10"/>
  <c r="E39" i="10"/>
  <c r="C39" i="10"/>
  <c r="Y38" i="10"/>
  <c r="Y11" i="10" s="1"/>
  <c r="Z11" i="10" s="1"/>
  <c r="W38" i="10"/>
  <c r="U38" i="10"/>
  <c r="U11" i="10" s="1"/>
  <c r="V11" i="10" s="1"/>
  <c r="S38" i="10"/>
  <c r="S11" i="10" s="1"/>
  <c r="T11" i="10" s="1"/>
  <c r="Q38" i="10"/>
  <c r="Q11" i="10" s="1"/>
  <c r="R11" i="10" s="1"/>
  <c r="O38" i="10"/>
  <c r="O11" i="10" s="1"/>
  <c r="P11" i="10" s="1"/>
  <c r="M38" i="10"/>
  <c r="M11" i="10" s="1"/>
  <c r="K38" i="10"/>
  <c r="K11" i="10" s="1"/>
  <c r="L11" i="10" s="1"/>
  <c r="I38" i="10"/>
  <c r="I11" i="10" s="1"/>
  <c r="G38" i="10"/>
  <c r="G11" i="10" s="1"/>
  <c r="H11" i="10" s="1"/>
  <c r="E38" i="10"/>
  <c r="E11" i="10" s="1"/>
  <c r="F11" i="10" s="1"/>
  <c r="C38" i="10"/>
  <c r="C11" i="10" s="1"/>
  <c r="Y37" i="10"/>
  <c r="W37" i="10"/>
  <c r="U37" i="10"/>
  <c r="S37" i="10"/>
  <c r="Q37" i="10"/>
  <c r="O37" i="10"/>
  <c r="M37" i="10"/>
  <c r="K37" i="10"/>
  <c r="I37" i="10"/>
  <c r="G37" i="10"/>
  <c r="E37" i="10"/>
  <c r="C37" i="10"/>
  <c r="Y36" i="10"/>
  <c r="Y10" i="10" s="1"/>
  <c r="Z10" i="10" s="1"/>
  <c r="W36" i="10"/>
  <c r="W10" i="10" s="1"/>
  <c r="X10" i="10" s="1"/>
  <c r="U36" i="10"/>
  <c r="U10" i="10" s="1"/>
  <c r="V10" i="10" s="1"/>
  <c r="S36" i="10"/>
  <c r="S10" i="10" s="1"/>
  <c r="T10" i="10" s="1"/>
  <c r="Q36" i="10"/>
  <c r="Q10" i="10" s="1"/>
  <c r="R10" i="10" s="1"/>
  <c r="O36" i="10"/>
  <c r="O10" i="10" s="1"/>
  <c r="P10" i="10" s="1"/>
  <c r="M36" i="10"/>
  <c r="M10" i="10" s="1"/>
  <c r="N10" i="10" s="1"/>
  <c r="K36" i="10"/>
  <c r="K10" i="10" s="1"/>
  <c r="L10" i="10" s="1"/>
  <c r="I36" i="10"/>
  <c r="I10" i="10" s="1"/>
  <c r="J10" i="10" s="1"/>
  <c r="G36" i="10"/>
  <c r="G10" i="10" s="1"/>
  <c r="H10" i="10" s="1"/>
  <c r="E36" i="10"/>
  <c r="E10" i="10" s="1"/>
  <c r="F10" i="10" s="1"/>
  <c r="C36" i="10"/>
  <c r="C10" i="10" s="1"/>
  <c r="D10" i="10" s="1"/>
  <c r="Y35" i="10"/>
  <c r="Z35" i="10" s="1"/>
  <c r="W35" i="10"/>
  <c r="X35" i="10" s="1"/>
  <c r="U35" i="10"/>
  <c r="V35" i="10" s="1"/>
  <c r="S35" i="10"/>
  <c r="T35" i="10" s="1"/>
  <c r="Q35" i="10"/>
  <c r="R35" i="10" s="1"/>
  <c r="O35" i="10"/>
  <c r="P35" i="10" s="1"/>
  <c r="M35" i="10"/>
  <c r="N35" i="10" s="1"/>
  <c r="K35" i="10"/>
  <c r="L35" i="10" s="1"/>
  <c r="I35" i="10"/>
  <c r="J35" i="10" s="1"/>
  <c r="G35" i="10"/>
  <c r="H35" i="10" s="1"/>
  <c r="E35" i="10"/>
  <c r="F35" i="10" s="1"/>
  <c r="C35" i="10"/>
  <c r="D35" i="10" s="1"/>
  <c r="AB35" i="10" s="1"/>
  <c r="Y34" i="10"/>
  <c r="W34" i="10"/>
  <c r="U34" i="10"/>
  <c r="S34" i="10"/>
  <c r="Q34" i="10"/>
  <c r="O34" i="10"/>
  <c r="M34" i="10"/>
  <c r="K34" i="10"/>
  <c r="I34" i="10"/>
  <c r="G34" i="10"/>
  <c r="E34" i="10"/>
  <c r="C34" i="10"/>
  <c r="Y33" i="10"/>
  <c r="W33" i="10"/>
  <c r="X33" i="10" s="1"/>
  <c r="U33" i="10"/>
  <c r="S33" i="10"/>
  <c r="Q33" i="10"/>
  <c r="O33" i="10"/>
  <c r="M33" i="10"/>
  <c r="K33" i="10"/>
  <c r="I33" i="10"/>
  <c r="G33" i="10"/>
  <c r="E33" i="10"/>
  <c r="C33" i="10"/>
  <c r="Y27" i="10"/>
  <c r="W27" i="10"/>
  <c r="U27" i="10"/>
  <c r="S27" i="10"/>
  <c r="Q27" i="10"/>
  <c r="O27" i="10"/>
  <c r="M27" i="10"/>
  <c r="K27" i="10"/>
  <c r="I27" i="10"/>
  <c r="G27" i="10"/>
  <c r="E27" i="10"/>
  <c r="C27" i="10"/>
  <c r="Y26" i="10"/>
  <c r="Z26" i="10" s="1"/>
  <c r="W26" i="10"/>
  <c r="U26" i="10"/>
  <c r="S26" i="10"/>
  <c r="Q26" i="10"/>
  <c r="O26" i="10"/>
  <c r="M26" i="10"/>
  <c r="K26" i="10"/>
  <c r="L26" i="10" s="1"/>
  <c r="I26" i="10"/>
  <c r="G26" i="10"/>
  <c r="E26" i="10"/>
  <c r="C26" i="10"/>
  <c r="Y25" i="10"/>
  <c r="Z25" i="10" s="1"/>
  <c r="W25" i="10"/>
  <c r="X25" i="10" s="1"/>
  <c r="U25" i="10"/>
  <c r="S25" i="10"/>
  <c r="Q25" i="10"/>
  <c r="R25" i="10" s="1"/>
  <c r="O25" i="10"/>
  <c r="M25" i="10"/>
  <c r="K25" i="10"/>
  <c r="I25" i="10"/>
  <c r="G25" i="10"/>
  <c r="E25" i="10"/>
  <c r="C25" i="10"/>
  <c r="Y24" i="10"/>
  <c r="W24" i="10"/>
  <c r="U24" i="10"/>
  <c r="S24" i="10"/>
  <c r="Q24" i="10"/>
  <c r="O24" i="10"/>
  <c r="M24" i="10"/>
  <c r="K24" i="10"/>
  <c r="I24" i="10"/>
  <c r="G24" i="10"/>
  <c r="E24" i="10"/>
  <c r="C24" i="10"/>
  <c r="Y23" i="10"/>
  <c r="W23" i="10"/>
  <c r="U23" i="10"/>
  <c r="S23" i="10"/>
  <c r="Q23" i="10"/>
  <c r="O23" i="10"/>
  <c r="M23" i="10"/>
  <c r="K23" i="10"/>
  <c r="I23" i="10"/>
  <c r="G23" i="10"/>
  <c r="E23" i="10"/>
  <c r="C23" i="10"/>
  <c r="Y20" i="10"/>
  <c r="W20" i="10"/>
  <c r="U20" i="10"/>
  <c r="S20" i="10"/>
  <c r="Q20" i="10"/>
  <c r="O20" i="10"/>
  <c r="M20" i="10"/>
  <c r="K20" i="10"/>
  <c r="I20" i="10"/>
  <c r="G20" i="10"/>
  <c r="E20" i="10"/>
  <c r="C20" i="10"/>
  <c r="AA19" i="10"/>
  <c r="Y18" i="10"/>
  <c r="W18" i="10"/>
  <c r="U18" i="10"/>
  <c r="S18" i="10"/>
  <c r="Q18" i="10"/>
  <c r="O18" i="10"/>
  <c r="M18" i="10"/>
  <c r="K18" i="10"/>
  <c r="I18" i="10"/>
  <c r="G18" i="10"/>
  <c r="E18" i="10"/>
  <c r="C18" i="10"/>
  <c r="Y15" i="10"/>
  <c r="Z15" i="10" s="1"/>
  <c r="W15" i="10"/>
  <c r="X15" i="10" s="1"/>
  <c r="U15" i="10"/>
  <c r="V15" i="10" s="1"/>
  <c r="S15" i="10"/>
  <c r="T15" i="10" s="1"/>
  <c r="Q15" i="10"/>
  <c r="R15" i="10" s="1"/>
  <c r="O15" i="10"/>
  <c r="P15" i="10" s="1"/>
  <c r="M15" i="10"/>
  <c r="N15" i="10" s="1"/>
  <c r="K15" i="10"/>
  <c r="L15" i="10" s="1"/>
  <c r="I15" i="10"/>
  <c r="J15" i="10" s="1"/>
  <c r="G15" i="10"/>
  <c r="H15" i="10" s="1"/>
  <c r="E15" i="10"/>
  <c r="F15" i="10" s="1"/>
  <c r="C15" i="10"/>
  <c r="Y14" i="10"/>
  <c r="Z14" i="10" s="1"/>
  <c r="W14" i="10"/>
  <c r="X14" i="10" s="1"/>
  <c r="U14" i="10"/>
  <c r="V14" i="10" s="1"/>
  <c r="S14" i="10"/>
  <c r="T14" i="10" s="1"/>
  <c r="Q14" i="10"/>
  <c r="R14" i="10" s="1"/>
  <c r="AB14" i="10" s="1"/>
  <c r="O14" i="10"/>
  <c r="P14" i="10" s="1"/>
  <c r="M14" i="10"/>
  <c r="N14" i="10" s="1"/>
  <c r="K14" i="10"/>
  <c r="L14" i="10" s="1"/>
  <c r="I14" i="10"/>
  <c r="J14" i="10" s="1"/>
  <c r="G14" i="10"/>
  <c r="H14" i="10" s="1"/>
  <c r="E14" i="10"/>
  <c r="F14" i="10" s="1"/>
  <c r="C14" i="10"/>
  <c r="D14" i="10" s="1"/>
  <c r="Y13" i="10"/>
  <c r="Z13" i="10" s="1"/>
  <c r="W13" i="10"/>
  <c r="X13" i="10" s="1"/>
  <c r="U13" i="10"/>
  <c r="V13" i="10" s="1"/>
  <c r="S13" i="10"/>
  <c r="T13" i="10" s="1"/>
  <c r="Q13" i="10"/>
  <c r="R13" i="10" s="1"/>
  <c r="O13" i="10"/>
  <c r="P13" i="10" s="1"/>
  <c r="M13" i="10"/>
  <c r="N13" i="10" s="1"/>
  <c r="K13" i="10"/>
  <c r="L13" i="10" s="1"/>
  <c r="I13" i="10"/>
  <c r="J13" i="10" s="1"/>
  <c r="G13" i="10"/>
  <c r="H13" i="10" s="1"/>
  <c r="E13" i="10"/>
  <c r="F13" i="10" s="1"/>
  <c r="C13" i="10"/>
  <c r="D13" i="10" s="1"/>
  <c r="AB13" i="10" s="1"/>
  <c r="B13" i="10"/>
  <c r="Y12" i="10"/>
  <c r="Z12" i="10" s="1"/>
  <c r="W12" i="10"/>
  <c r="X12" i="10" s="1"/>
  <c r="U12" i="10"/>
  <c r="V12" i="10" s="1"/>
  <c r="S12" i="10"/>
  <c r="T12" i="10" s="1"/>
  <c r="Q12" i="10"/>
  <c r="R12" i="10" s="1"/>
  <c r="O12" i="10"/>
  <c r="P12" i="10" s="1"/>
  <c r="M12" i="10"/>
  <c r="N12" i="10" s="1"/>
  <c r="K12" i="10"/>
  <c r="L12" i="10" s="1"/>
  <c r="I12" i="10"/>
  <c r="J12" i="10" s="1"/>
  <c r="G12" i="10"/>
  <c r="H12" i="10" s="1"/>
  <c r="E12" i="10"/>
  <c r="F12" i="10" s="1"/>
  <c r="C12" i="10"/>
  <c r="D12" i="10" s="1"/>
  <c r="W11" i="10"/>
  <c r="X11" i="10" s="1"/>
  <c r="Y9" i="10"/>
  <c r="Z9" i="10" s="1"/>
  <c r="W9" i="10"/>
  <c r="X9" i="10" s="1"/>
  <c r="U9" i="10"/>
  <c r="V9" i="10" s="1"/>
  <c r="S9" i="10"/>
  <c r="T9" i="10" s="1"/>
  <c r="Q9" i="10"/>
  <c r="R9" i="10" s="1"/>
  <c r="O9" i="10"/>
  <c r="P9" i="10" s="1"/>
  <c r="M9" i="10"/>
  <c r="N9" i="10" s="1"/>
  <c r="K9" i="10"/>
  <c r="L9" i="10" s="1"/>
  <c r="I9" i="10"/>
  <c r="G9" i="10"/>
  <c r="H9" i="10" s="1"/>
  <c r="E9" i="10"/>
  <c r="F9" i="10" s="1"/>
  <c r="C9" i="10"/>
  <c r="D9" i="10" s="1"/>
  <c r="Y8" i="10"/>
  <c r="W8" i="10"/>
  <c r="X8" i="10" s="1"/>
  <c r="U8" i="10"/>
  <c r="V8" i="10" s="1"/>
  <c r="S8" i="10"/>
  <c r="T8" i="10" s="1"/>
  <c r="Q8" i="10"/>
  <c r="R8" i="10" s="1"/>
  <c r="O8" i="10"/>
  <c r="P8" i="10" s="1"/>
  <c r="M8" i="10"/>
  <c r="N8" i="10" s="1"/>
  <c r="K8" i="10"/>
  <c r="L8" i="10" s="1"/>
  <c r="I8" i="10"/>
  <c r="G8" i="10"/>
  <c r="H8" i="10" s="1"/>
  <c r="E8" i="10"/>
  <c r="C8" i="10"/>
  <c r="D8" i="10" s="1"/>
  <c r="Y7" i="10"/>
  <c r="Z7" i="10" s="1"/>
  <c r="W7" i="10"/>
  <c r="U7" i="10"/>
  <c r="S7" i="10"/>
  <c r="Q7" i="10"/>
  <c r="R7" i="10" s="1"/>
  <c r="O7" i="10"/>
  <c r="P7" i="10" s="1"/>
  <c r="M7" i="10"/>
  <c r="N7" i="10" s="1"/>
  <c r="K7" i="10"/>
  <c r="L7" i="10" s="1"/>
  <c r="I7" i="10"/>
  <c r="J7" i="10" s="1"/>
  <c r="G7" i="10"/>
  <c r="H7" i="10" s="1"/>
  <c r="E7" i="10"/>
  <c r="F7" i="10" s="1"/>
  <c r="C7" i="10"/>
  <c r="Y6" i="10"/>
  <c r="Z6" i="10" s="1"/>
  <c r="W6" i="10"/>
  <c r="X6" i="10" s="1"/>
  <c r="U6" i="10"/>
  <c r="V6" i="10" s="1"/>
  <c r="S6" i="10"/>
  <c r="T6" i="10" s="1"/>
  <c r="Q6" i="10"/>
  <c r="R6" i="10" s="1"/>
  <c r="O6" i="10"/>
  <c r="P6" i="10" s="1"/>
  <c r="L3" i="9"/>
  <c r="N12" i="9"/>
  <c r="E16" i="9"/>
  <c r="D16" i="9"/>
  <c r="F16" i="9"/>
  <c r="G16" i="9"/>
  <c r="H16" i="9"/>
  <c r="I16" i="9"/>
  <c r="J16" i="9"/>
  <c r="K16" i="9"/>
  <c r="M16" i="9"/>
  <c r="N16" i="9"/>
  <c r="C49" i="9"/>
  <c r="D50" i="9"/>
  <c r="E50" i="9"/>
  <c r="F50" i="9"/>
  <c r="G50" i="9"/>
  <c r="H50" i="9"/>
  <c r="I50" i="9"/>
  <c r="J50" i="9"/>
  <c r="K50" i="9"/>
  <c r="L50" i="9"/>
  <c r="M50" i="9"/>
  <c r="N50" i="9"/>
  <c r="C50" i="9"/>
  <c r="M49" i="9"/>
  <c r="L49" i="9"/>
  <c r="K49" i="9"/>
  <c r="J49" i="9"/>
  <c r="I49" i="9"/>
  <c r="H49" i="9"/>
  <c r="G49" i="9"/>
  <c r="F49" i="9"/>
  <c r="E49" i="9"/>
  <c r="N49" i="9"/>
  <c r="D49" i="9"/>
  <c r="AH23" i="1" l="1"/>
  <c r="AB21" i="10"/>
  <c r="AB28" i="10"/>
  <c r="AB43" i="10"/>
  <c r="AB10" i="10"/>
  <c r="AA24" i="10"/>
  <c r="I21" i="10"/>
  <c r="S21" i="10"/>
  <c r="U21" i="10"/>
  <c r="K21" i="10"/>
  <c r="M21" i="10"/>
  <c r="O21" i="10"/>
  <c r="Q21" i="10"/>
  <c r="Y40" i="10"/>
  <c r="I40" i="10"/>
  <c r="H16" i="10"/>
  <c r="M28" i="10"/>
  <c r="AA23" i="10"/>
  <c r="C16" i="10"/>
  <c r="E28" i="10"/>
  <c r="Y21" i="10"/>
  <c r="G28" i="10"/>
  <c r="K28" i="10"/>
  <c r="W40" i="10"/>
  <c r="M40" i="10"/>
  <c r="E21" i="10"/>
  <c r="O28" i="10"/>
  <c r="AC12" i="10"/>
  <c r="C40" i="10"/>
  <c r="G21" i="10"/>
  <c r="AA27" i="10"/>
  <c r="Q28" i="10"/>
  <c r="AA20" i="10"/>
  <c r="W28" i="10"/>
  <c r="Y28" i="10"/>
  <c r="Q40" i="10"/>
  <c r="E40" i="10"/>
  <c r="S40" i="10"/>
  <c r="K40" i="10"/>
  <c r="AA37" i="10"/>
  <c r="O40" i="10"/>
  <c r="C21" i="10"/>
  <c r="W16" i="10"/>
  <c r="AA15" i="10"/>
  <c r="S28" i="10"/>
  <c r="U28" i="10"/>
  <c r="W21" i="10"/>
  <c r="G40" i="10"/>
  <c r="U40" i="10"/>
  <c r="AA26" i="10"/>
  <c r="AA25" i="10"/>
  <c r="L16" i="10"/>
  <c r="Y16" i="10"/>
  <c r="Z8" i="10"/>
  <c r="Z16" i="10" s="1"/>
  <c r="D11" i="10"/>
  <c r="AA11" i="10"/>
  <c r="R16" i="10"/>
  <c r="U16" i="10"/>
  <c r="P16" i="10"/>
  <c r="S16" i="10"/>
  <c r="AA8" i="10"/>
  <c r="J11" i="10"/>
  <c r="AC14" i="10"/>
  <c r="M16" i="10"/>
  <c r="N11" i="10"/>
  <c r="N16" i="10" s="1"/>
  <c r="T7" i="10"/>
  <c r="T16" i="10" s="1"/>
  <c r="AA10" i="10"/>
  <c r="J8" i="10"/>
  <c r="AA12" i="10"/>
  <c r="I16" i="10"/>
  <c r="AA34" i="10"/>
  <c r="V7" i="10"/>
  <c r="V16" i="10" s="1"/>
  <c r="AA36" i="10"/>
  <c r="K16" i="10"/>
  <c r="D7" i="10"/>
  <c r="X7" i="10"/>
  <c r="X16" i="10" s="1"/>
  <c r="C28" i="10"/>
  <c r="AA14" i="10"/>
  <c r="AA39" i="10"/>
  <c r="AA7" i="10"/>
  <c r="F8" i="10"/>
  <c r="AB8" i="10" s="1"/>
  <c r="I28" i="10"/>
  <c r="AA18" i="10"/>
  <c r="O16" i="10"/>
  <c r="AA38" i="10"/>
  <c r="J9" i="10"/>
  <c r="G16" i="10"/>
  <c r="D15" i="10"/>
  <c r="AA33" i="10"/>
  <c r="AA9" i="10"/>
  <c r="Q16" i="10"/>
  <c r="AA13" i="10"/>
  <c r="E16" i="10"/>
  <c r="AA35" i="10"/>
  <c r="H42" i="9"/>
  <c r="L46" i="9"/>
  <c r="L47" i="9" s="1"/>
  <c r="K46" i="9"/>
  <c r="K47" i="9" s="1"/>
  <c r="E46" i="9"/>
  <c r="E47" i="9" s="1"/>
  <c r="N45" i="9"/>
  <c r="M45" i="9"/>
  <c r="L45" i="9"/>
  <c r="K45" i="9"/>
  <c r="J45" i="9"/>
  <c r="I45" i="9"/>
  <c r="H45" i="9"/>
  <c r="G45" i="9"/>
  <c r="F45" i="9"/>
  <c r="E45" i="9"/>
  <c r="D45" i="9"/>
  <c r="C45" i="9"/>
  <c r="O44" i="9"/>
  <c r="P44" i="9" s="1"/>
  <c r="O43" i="9"/>
  <c r="P43" i="9" s="1"/>
  <c r="O42" i="9"/>
  <c r="A42" i="9"/>
  <c r="O41" i="9"/>
  <c r="P41" i="9" s="1"/>
  <c r="O40" i="9"/>
  <c r="P40" i="9" s="1"/>
  <c r="O39" i="9"/>
  <c r="P39" i="9" s="1"/>
  <c r="O38" i="9"/>
  <c r="P38" i="9" s="1"/>
  <c r="O37" i="9"/>
  <c r="P37" i="9" s="1"/>
  <c r="O36" i="9"/>
  <c r="H29" i="9"/>
  <c r="H30" i="9" s="1"/>
  <c r="G29" i="9"/>
  <c r="G30" i="9" s="1"/>
  <c r="C29" i="9"/>
  <c r="C30" i="9" s="1"/>
  <c r="N28" i="9"/>
  <c r="M28" i="9"/>
  <c r="L28" i="9"/>
  <c r="K28" i="9"/>
  <c r="J28" i="9"/>
  <c r="I28" i="9"/>
  <c r="H28" i="9"/>
  <c r="G28" i="9"/>
  <c r="F28" i="9"/>
  <c r="E28" i="9"/>
  <c r="D28" i="9"/>
  <c r="C28" i="9"/>
  <c r="O27" i="9"/>
  <c r="P27" i="9" s="1"/>
  <c r="O26" i="9"/>
  <c r="P26" i="9" s="1"/>
  <c r="O25" i="9"/>
  <c r="A25" i="9"/>
  <c r="O24" i="9"/>
  <c r="P24" i="9" s="1"/>
  <c r="O23" i="9"/>
  <c r="P23" i="9" s="1"/>
  <c r="O22" i="9"/>
  <c r="P22" i="9" s="1"/>
  <c r="O21" i="9"/>
  <c r="P21" i="9" s="1"/>
  <c r="O20" i="9"/>
  <c r="P20" i="9" s="1"/>
  <c r="O19" i="9"/>
  <c r="O3" i="9"/>
  <c r="P3" i="9" s="1"/>
  <c r="A9" i="9"/>
  <c r="N29" i="9" s="1"/>
  <c r="N30" i="9" s="1"/>
  <c r="AB7" i="10" l="1"/>
  <c r="AB15" i="10"/>
  <c r="AC15" i="10" s="1"/>
  <c r="AB9" i="10"/>
  <c r="AC9" i="10" s="1"/>
  <c r="AB11" i="10"/>
  <c r="AC11" i="10" s="1"/>
  <c r="Q30" i="10"/>
  <c r="Q42" i="10"/>
  <c r="O30" i="10"/>
  <c r="C30" i="10"/>
  <c r="C42" i="10" s="1"/>
  <c r="M30" i="10"/>
  <c r="M42" i="10" s="1"/>
  <c r="Y30" i="10"/>
  <c r="Y42" i="10" s="1"/>
  <c r="J16" i="10"/>
  <c r="G30" i="10"/>
  <c r="G42" i="10" s="1"/>
  <c r="K30" i="10"/>
  <c r="K42" i="10" s="1"/>
  <c r="O42" i="10"/>
  <c r="S30" i="10"/>
  <c r="S42" i="10" s="1"/>
  <c r="W30" i="10"/>
  <c r="W42" i="10" s="1"/>
  <c r="E30" i="10"/>
  <c r="E42" i="10" s="1"/>
  <c r="U30" i="10"/>
  <c r="U42" i="10" s="1"/>
  <c r="AA28" i="10"/>
  <c r="AC8" i="10"/>
  <c r="AA21" i="10"/>
  <c r="D16" i="10"/>
  <c r="AA40" i="10"/>
  <c r="AA16" i="10"/>
  <c r="F16" i="10"/>
  <c r="I30" i="10"/>
  <c r="C46" i="9"/>
  <c r="C47" i="9" s="1"/>
  <c r="D46" i="9"/>
  <c r="D47" i="9" s="1"/>
  <c r="F46" i="9"/>
  <c r="F47" i="9" s="1"/>
  <c r="G46" i="9"/>
  <c r="G47" i="9" s="1"/>
  <c r="P42" i="9"/>
  <c r="H46" i="9"/>
  <c r="H47" i="9" s="1"/>
  <c r="I46" i="9"/>
  <c r="I47" i="9" s="1"/>
  <c r="J46" i="9"/>
  <c r="J47" i="9" s="1"/>
  <c r="D29" i="9"/>
  <c r="D30" i="9" s="1"/>
  <c r="M46" i="9"/>
  <c r="M47" i="9" s="1"/>
  <c r="E29" i="9"/>
  <c r="E30" i="9" s="1"/>
  <c r="N46" i="9"/>
  <c r="N47" i="9" s="1"/>
  <c r="F29" i="9"/>
  <c r="F30" i="9" s="1"/>
  <c r="J29" i="9"/>
  <c r="J30" i="9" s="1"/>
  <c r="I29" i="9"/>
  <c r="I30" i="9" s="1"/>
  <c r="M29" i="9"/>
  <c r="M30" i="9" s="1"/>
  <c r="O28" i="9"/>
  <c r="K29" i="9"/>
  <c r="K30" i="9" s="1"/>
  <c r="L29" i="9"/>
  <c r="L30" i="9" s="1"/>
  <c r="P25" i="9"/>
  <c r="O45" i="9"/>
  <c r="P36" i="9"/>
  <c r="P45" i="9" s="1"/>
  <c r="P19" i="9"/>
  <c r="E13" i="9"/>
  <c r="E14" i="9" s="1"/>
  <c r="F13" i="9"/>
  <c r="F14" i="9" s="1"/>
  <c r="G13" i="9"/>
  <c r="G14" i="9" s="1"/>
  <c r="H13" i="9"/>
  <c r="H14" i="9" s="1"/>
  <c r="I13" i="9"/>
  <c r="I14" i="9" s="1"/>
  <c r="J13" i="9"/>
  <c r="J14" i="9" s="1"/>
  <c r="K13" i="9"/>
  <c r="K14" i="9" s="1"/>
  <c r="L13" i="9"/>
  <c r="L14" i="9" s="1"/>
  <c r="L16" i="9" s="1"/>
  <c r="O16" i="9" s="1"/>
  <c r="M13" i="9"/>
  <c r="M14" i="9" s="1"/>
  <c r="N13" i="9"/>
  <c r="N14" i="9" s="1"/>
  <c r="D13" i="9"/>
  <c r="D14" i="9" s="1"/>
  <c r="C13" i="9"/>
  <c r="C14" i="9" s="1"/>
  <c r="O4" i="9"/>
  <c r="P4" i="9" s="1"/>
  <c r="O5" i="9"/>
  <c r="P5" i="9" s="1"/>
  <c r="O6" i="9"/>
  <c r="O7" i="9"/>
  <c r="P7" i="9" s="1"/>
  <c r="O8" i="9"/>
  <c r="P8" i="9" s="1"/>
  <c r="O9" i="9"/>
  <c r="P9" i="9" s="1"/>
  <c r="O10" i="9"/>
  <c r="P10" i="9" s="1"/>
  <c r="O11" i="9"/>
  <c r="P11" i="9" s="1"/>
  <c r="D12" i="9"/>
  <c r="E12" i="9"/>
  <c r="F12" i="9"/>
  <c r="G12" i="9"/>
  <c r="H12" i="9"/>
  <c r="I12" i="9"/>
  <c r="J12" i="9"/>
  <c r="K12" i="9"/>
  <c r="L12" i="9"/>
  <c r="M12" i="9"/>
  <c r="C12" i="9"/>
  <c r="AA30" i="10" l="1"/>
  <c r="I42" i="10"/>
  <c r="AC16" i="10"/>
  <c r="AC18" i="10" s="1"/>
  <c r="AB16" i="10"/>
  <c r="AB45" i="10" s="1"/>
  <c r="P28" i="9"/>
  <c r="O12" i="9"/>
  <c r="P6" i="9"/>
  <c r="P12" i="9" s="1"/>
  <c r="P15" i="9" s="1"/>
  <c r="C23" i="7"/>
  <c r="D23" i="7"/>
  <c r="E23" i="7"/>
  <c r="F23" i="7"/>
  <c r="G23" i="7"/>
  <c r="H23" i="7"/>
  <c r="I23" i="7"/>
  <c r="J23" i="7"/>
  <c r="K23" i="7"/>
  <c r="L23" i="7"/>
  <c r="M23" i="7"/>
  <c r="N23" i="7"/>
  <c r="B23" i="7"/>
  <c r="M22" i="7"/>
  <c r="L22" i="7"/>
  <c r="K22" i="7"/>
  <c r="J22" i="7"/>
  <c r="I22" i="7"/>
  <c r="H22" i="7"/>
  <c r="G22" i="7"/>
  <c r="F22" i="7"/>
  <c r="E22" i="7"/>
  <c r="D22" i="7"/>
  <c r="C22" i="7"/>
  <c r="B22" i="7"/>
  <c r="M21" i="7"/>
  <c r="L21" i="7"/>
  <c r="K21" i="7"/>
  <c r="J21" i="7"/>
  <c r="I21" i="7"/>
  <c r="H21" i="7"/>
  <c r="G21" i="7"/>
  <c r="F21" i="7"/>
  <c r="E21" i="7"/>
  <c r="D21" i="7"/>
  <c r="C21" i="7"/>
  <c r="B21" i="7"/>
  <c r="M20" i="7"/>
  <c r="L20" i="7"/>
  <c r="K20" i="7"/>
  <c r="J20" i="7"/>
  <c r="I20" i="7"/>
  <c r="H20" i="7"/>
  <c r="G20" i="7"/>
  <c r="F20" i="7"/>
  <c r="E20" i="7"/>
  <c r="D20" i="7"/>
  <c r="C20" i="7"/>
  <c r="B20" i="7"/>
  <c r="M19" i="7"/>
  <c r="L19" i="7"/>
  <c r="K19" i="7"/>
  <c r="J19" i="7"/>
  <c r="I19" i="7"/>
  <c r="H19" i="7"/>
  <c r="G19" i="7"/>
  <c r="F19" i="7"/>
  <c r="E19" i="7"/>
  <c r="D19" i="7"/>
  <c r="C19" i="7"/>
  <c r="B19" i="7"/>
  <c r="M18" i="7"/>
  <c r="L18" i="7"/>
  <c r="K18" i="7"/>
  <c r="J18" i="7"/>
  <c r="I18" i="7"/>
  <c r="H18" i="7"/>
  <c r="G18" i="7"/>
  <c r="F18" i="7"/>
  <c r="E18" i="7"/>
  <c r="D18" i="7"/>
  <c r="C18" i="7"/>
  <c r="B18" i="7"/>
  <c r="M17" i="7"/>
  <c r="L17" i="7"/>
  <c r="K17" i="7"/>
  <c r="J17" i="7"/>
  <c r="I17" i="7"/>
  <c r="H17" i="7"/>
  <c r="G17" i="7"/>
  <c r="F17" i="7"/>
  <c r="E17" i="7"/>
  <c r="D17" i="7"/>
  <c r="C17" i="7"/>
  <c r="B17" i="7"/>
  <c r="M16" i="7"/>
  <c r="L16" i="7"/>
  <c r="K16" i="7"/>
  <c r="J16" i="7"/>
  <c r="I16" i="7"/>
  <c r="H16" i="7"/>
  <c r="G16" i="7"/>
  <c r="F16" i="7"/>
  <c r="E16" i="7"/>
  <c r="D16" i="7"/>
  <c r="C16" i="7"/>
  <c r="B16" i="7"/>
  <c r="M15" i="7"/>
  <c r="L15" i="7"/>
  <c r="K15" i="7"/>
  <c r="J15" i="7"/>
  <c r="I15" i="7"/>
  <c r="H15" i="7"/>
  <c r="G15" i="7"/>
  <c r="F15" i="7"/>
  <c r="E15" i="7"/>
  <c r="D15" i="7"/>
  <c r="C15" i="7"/>
  <c r="B15" i="7"/>
  <c r="M14" i="7"/>
  <c r="L14" i="7"/>
  <c r="K14" i="7"/>
  <c r="J14" i="7"/>
  <c r="I14" i="7"/>
  <c r="H14" i="7"/>
  <c r="G14" i="7"/>
  <c r="F14" i="7"/>
  <c r="E14" i="7"/>
  <c r="D14" i="7"/>
  <c r="C14" i="7"/>
  <c r="B14" i="7"/>
  <c r="M13" i="7"/>
  <c r="L13" i="7"/>
  <c r="K13" i="7"/>
  <c r="J13" i="7"/>
  <c r="I13" i="7"/>
  <c r="H13" i="7"/>
  <c r="G13" i="7"/>
  <c r="F13" i="7"/>
  <c r="E13" i="7"/>
  <c r="D13" i="7"/>
  <c r="C13" i="7"/>
  <c r="B13" i="7"/>
  <c r="A13" i="7"/>
  <c r="M12" i="7"/>
  <c r="L12" i="7"/>
  <c r="K12" i="7"/>
  <c r="J12" i="7"/>
  <c r="I12" i="7"/>
  <c r="H12" i="7"/>
  <c r="G12" i="7"/>
  <c r="F12" i="7"/>
  <c r="E12" i="7"/>
  <c r="D12" i="7"/>
  <c r="C12" i="7"/>
  <c r="B12" i="7"/>
  <c r="M9" i="7"/>
  <c r="L9" i="7"/>
  <c r="K9" i="7"/>
  <c r="J9" i="7"/>
  <c r="I9" i="7"/>
  <c r="H9" i="7"/>
  <c r="G9" i="7"/>
  <c r="F9" i="7"/>
  <c r="E9" i="7"/>
  <c r="D9" i="7"/>
  <c r="C9" i="7"/>
  <c r="B9" i="7"/>
  <c r="M8" i="7"/>
  <c r="L8" i="7"/>
  <c r="K8" i="7"/>
  <c r="J8" i="7"/>
  <c r="I8" i="7"/>
  <c r="H8" i="7"/>
  <c r="G8" i="7"/>
  <c r="F8" i="7"/>
  <c r="E8" i="7"/>
  <c r="D8" i="7"/>
  <c r="C8" i="7"/>
  <c r="B8" i="7"/>
  <c r="M7" i="7"/>
  <c r="L7" i="7"/>
  <c r="K7" i="7"/>
  <c r="J7" i="7"/>
  <c r="I7" i="7"/>
  <c r="H7" i="7"/>
  <c r="G7" i="7"/>
  <c r="F7" i="7"/>
  <c r="E7" i="7"/>
  <c r="D7" i="7"/>
  <c r="C7" i="7"/>
  <c r="B7" i="7"/>
  <c r="M6" i="7"/>
  <c r="L6" i="7"/>
  <c r="K6" i="7"/>
  <c r="J6" i="7"/>
  <c r="I6" i="7"/>
  <c r="H6" i="7"/>
  <c r="B55" i="6"/>
  <c r="B54" i="6"/>
  <c r="B53" i="6"/>
  <c r="B52" i="6"/>
  <c r="B51" i="6"/>
  <c r="B50" i="6"/>
  <c r="B49" i="6"/>
  <c r="B48" i="6"/>
  <c r="Q42" i="6"/>
  <c r="Q40" i="6"/>
  <c r="Q39" i="6"/>
  <c r="M39" i="6"/>
  <c r="L39" i="6"/>
  <c r="K39" i="6"/>
  <c r="J39" i="6"/>
  <c r="I39" i="6"/>
  <c r="H39" i="6"/>
  <c r="G39" i="6"/>
  <c r="F39" i="6"/>
  <c r="E39" i="6"/>
  <c r="D39" i="6"/>
  <c r="C39" i="6"/>
  <c r="B39" i="6"/>
  <c r="Q38" i="6"/>
  <c r="M38" i="6"/>
  <c r="M11" i="6" s="1"/>
  <c r="L38" i="6"/>
  <c r="L11" i="6" s="1"/>
  <c r="K38" i="6"/>
  <c r="K11" i="6" s="1"/>
  <c r="J38" i="6"/>
  <c r="J11" i="6" s="1"/>
  <c r="I38" i="6"/>
  <c r="I11" i="6" s="1"/>
  <c r="H38" i="6"/>
  <c r="H11" i="6" s="1"/>
  <c r="G38" i="6"/>
  <c r="G11" i="6" s="1"/>
  <c r="F38" i="6"/>
  <c r="F11" i="6" s="1"/>
  <c r="E38" i="6"/>
  <c r="E11" i="6" s="1"/>
  <c r="D38" i="6"/>
  <c r="D11" i="6" s="1"/>
  <c r="C38" i="6"/>
  <c r="C11" i="6" s="1"/>
  <c r="B38" i="6"/>
  <c r="N38" i="6" s="1"/>
  <c r="Q37" i="6"/>
  <c r="M37" i="6"/>
  <c r="L37" i="6"/>
  <c r="K37" i="6"/>
  <c r="J37" i="6"/>
  <c r="I37" i="6"/>
  <c r="H37" i="6"/>
  <c r="G37" i="6"/>
  <c r="F37" i="6"/>
  <c r="E37" i="6"/>
  <c r="D37" i="6"/>
  <c r="C37" i="6"/>
  <c r="B37" i="6"/>
  <c r="Q36" i="6"/>
  <c r="M36" i="6"/>
  <c r="M10" i="6" s="1"/>
  <c r="L36" i="6"/>
  <c r="L10" i="6" s="1"/>
  <c r="K36" i="6"/>
  <c r="K10" i="6" s="1"/>
  <c r="J36" i="6"/>
  <c r="J10" i="6" s="1"/>
  <c r="I36" i="6"/>
  <c r="I10" i="6" s="1"/>
  <c r="H36" i="6"/>
  <c r="H10" i="6" s="1"/>
  <c r="G36" i="6"/>
  <c r="G10" i="6" s="1"/>
  <c r="F36" i="6"/>
  <c r="F10" i="6" s="1"/>
  <c r="E36" i="6"/>
  <c r="E10" i="6" s="1"/>
  <c r="D36" i="6"/>
  <c r="D10" i="6" s="1"/>
  <c r="C36" i="6"/>
  <c r="C10" i="6" s="1"/>
  <c r="B36" i="6"/>
  <c r="Q35" i="6"/>
  <c r="M35" i="6"/>
  <c r="L35" i="6"/>
  <c r="K35" i="6"/>
  <c r="J35" i="6"/>
  <c r="I35" i="6"/>
  <c r="H35" i="6"/>
  <c r="G35" i="6"/>
  <c r="F35" i="6"/>
  <c r="E35" i="6"/>
  <c r="D35" i="6"/>
  <c r="C35" i="6"/>
  <c r="B35" i="6"/>
  <c r="Q34" i="6"/>
  <c r="M34" i="6"/>
  <c r="L34" i="6"/>
  <c r="K34" i="6"/>
  <c r="J34" i="6"/>
  <c r="I34" i="6"/>
  <c r="H34" i="6"/>
  <c r="G34" i="6"/>
  <c r="F34" i="6"/>
  <c r="E34" i="6"/>
  <c r="D34" i="6"/>
  <c r="C34" i="6"/>
  <c r="B34" i="6"/>
  <c r="Q33" i="6"/>
  <c r="M33" i="6"/>
  <c r="L33" i="6"/>
  <c r="K33" i="6"/>
  <c r="J33" i="6"/>
  <c r="I33" i="6"/>
  <c r="H33" i="6"/>
  <c r="G33" i="6"/>
  <c r="F33" i="6"/>
  <c r="E33" i="6"/>
  <c r="D33" i="6"/>
  <c r="C33" i="6"/>
  <c r="B33" i="6"/>
  <c r="Q28" i="6"/>
  <c r="Q27" i="6"/>
  <c r="P27" i="6"/>
  <c r="M27" i="6"/>
  <c r="L27" i="6"/>
  <c r="K27" i="6"/>
  <c r="J27" i="6"/>
  <c r="I27" i="6"/>
  <c r="H27" i="6"/>
  <c r="G27" i="6"/>
  <c r="F27" i="6"/>
  <c r="E27" i="6"/>
  <c r="D27" i="6"/>
  <c r="C27" i="6"/>
  <c r="B27" i="6"/>
  <c r="Q26" i="6"/>
  <c r="P26" i="6"/>
  <c r="M26" i="6"/>
  <c r="L26" i="6"/>
  <c r="K26" i="6"/>
  <c r="J26" i="6"/>
  <c r="I26" i="6"/>
  <c r="H26" i="6"/>
  <c r="G26" i="6"/>
  <c r="F26" i="6"/>
  <c r="E26" i="6"/>
  <c r="D26" i="6"/>
  <c r="C26" i="6"/>
  <c r="B26" i="6"/>
  <c r="Q25" i="6"/>
  <c r="P25" i="6"/>
  <c r="M25" i="6"/>
  <c r="L25" i="6"/>
  <c r="K25" i="6"/>
  <c r="J25" i="6"/>
  <c r="I25" i="6"/>
  <c r="H25" i="6"/>
  <c r="G25" i="6"/>
  <c r="F25" i="6"/>
  <c r="E25" i="6"/>
  <c r="D25" i="6"/>
  <c r="C25" i="6"/>
  <c r="B25" i="6"/>
  <c r="Q24" i="6"/>
  <c r="P24" i="6"/>
  <c r="M24" i="6"/>
  <c r="L24" i="6"/>
  <c r="K24" i="6"/>
  <c r="J24" i="6"/>
  <c r="I24" i="6"/>
  <c r="H24" i="6"/>
  <c r="G24" i="6"/>
  <c r="F24" i="6"/>
  <c r="E24" i="6"/>
  <c r="D24" i="6"/>
  <c r="C24" i="6"/>
  <c r="B24" i="6"/>
  <c r="Q23" i="6"/>
  <c r="P23" i="6"/>
  <c r="M23" i="6"/>
  <c r="L23" i="6"/>
  <c r="K23" i="6"/>
  <c r="J23" i="6"/>
  <c r="I23" i="6"/>
  <c r="H23" i="6"/>
  <c r="G23" i="6"/>
  <c r="F23" i="6"/>
  <c r="E23" i="6"/>
  <c r="D23" i="6"/>
  <c r="C23" i="6"/>
  <c r="B23" i="6"/>
  <c r="Q21" i="6"/>
  <c r="Q20" i="6"/>
  <c r="P20" i="6"/>
  <c r="M20" i="6"/>
  <c r="L20" i="6"/>
  <c r="K20" i="6"/>
  <c r="J20" i="6"/>
  <c r="I20" i="6"/>
  <c r="H20" i="6"/>
  <c r="G20" i="6"/>
  <c r="F20" i="6"/>
  <c r="E20" i="6"/>
  <c r="D20" i="6"/>
  <c r="C20" i="6"/>
  <c r="B20" i="6"/>
  <c r="N19" i="6"/>
  <c r="Q18" i="6"/>
  <c r="P18" i="6"/>
  <c r="M18" i="6"/>
  <c r="L18" i="6"/>
  <c r="K18" i="6"/>
  <c r="J18" i="6"/>
  <c r="I18" i="6"/>
  <c r="H18" i="6"/>
  <c r="G18" i="6"/>
  <c r="F18" i="6"/>
  <c r="E18" i="6"/>
  <c r="D18" i="6"/>
  <c r="C18" i="6"/>
  <c r="B18" i="6"/>
  <c r="Q16" i="6"/>
  <c r="Q15" i="6"/>
  <c r="P15" i="6"/>
  <c r="M15" i="6"/>
  <c r="L15" i="6"/>
  <c r="K15" i="6"/>
  <c r="J15" i="6"/>
  <c r="I15" i="6"/>
  <c r="H15" i="6"/>
  <c r="G15" i="6"/>
  <c r="F15" i="6"/>
  <c r="E15" i="6"/>
  <c r="D15" i="6"/>
  <c r="C15" i="6"/>
  <c r="B15" i="6"/>
  <c r="Q14" i="6"/>
  <c r="P14" i="6"/>
  <c r="M14" i="6"/>
  <c r="L14" i="6"/>
  <c r="K14" i="6"/>
  <c r="J14" i="6"/>
  <c r="I14" i="6"/>
  <c r="H14" i="6"/>
  <c r="G14" i="6"/>
  <c r="F14" i="6"/>
  <c r="E14" i="6"/>
  <c r="D14" i="6"/>
  <c r="C14" i="6"/>
  <c r="B14" i="6"/>
  <c r="M13" i="6"/>
  <c r="L13" i="6"/>
  <c r="K13" i="6"/>
  <c r="J13" i="6"/>
  <c r="I13" i="6"/>
  <c r="H13" i="6"/>
  <c r="G13" i="6"/>
  <c r="F13" i="6"/>
  <c r="E13" i="6"/>
  <c r="D13" i="6"/>
  <c r="C13" i="6"/>
  <c r="B13" i="6"/>
  <c r="A13" i="6"/>
  <c r="Q12" i="6"/>
  <c r="P12" i="6"/>
  <c r="M12" i="6"/>
  <c r="L12" i="6"/>
  <c r="K12" i="6"/>
  <c r="J12" i="6"/>
  <c r="I12" i="6"/>
  <c r="H12" i="6"/>
  <c r="G12" i="6"/>
  <c r="F12" i="6"/>
  <c r="E12" i="6"/>
  <c r="D12" i="6"/>
  <c r="C12" i="6"/>
  <c r="B12" i="6"/>
  <c r="Q11" i="6"/>
  <c r="P11" i="6"/>
  <c r="Q10" i="6"/>
  <c r="P10" i="6"/>
  <c r="B10" i="6"/>
  <c r="Q9" i="6"/>
  <c r="P9" i="6"/>
  <c r="M9" i="6"/>
  <c r="L9" i="6"/>
  <c r="K9" i="6"/>
  <c r="J9" i="6"/>
  <c r="I9" i="6"/>
  <c r="H9" i="6"/>
  <c r="G9" i="6"/>
  <c r="F9" i="6"/>
  <c r="E9" i="6"/>
  <c r="D9" i="6"/>
  <c r="C9" i="6"/>
  <c r="B9" i="6"/>
  <c r="Q8" i="6"/>
  <c r="P8" i="6"/>
  <c r="M8" i="6"/>
  <c r="L8" i="6"/>
  <c r="K8" i="6"/>
  <c r="J8" i="6"/>
  <c r="I8" i="6"/>
  <c r="H8" i="6"/>
  <c r="G8" i="6"/>
  <c r="F8" i="6"/>
  <c r="E8" i="6"/>
  <c r="D8" i="6"/>
  <c r="C8" i="6"/>
  <c r="B8" i="6"/>
  <c r="Q7" i="6"/>
  <c r="P7" i="6"/>
  <c r="M7" i="6"/>
  <c r="L7" i="6"/>
  <c r="K7" i="6"/>
  <c r="J7" i="6"/>
  <c r="I7" i="6"/>
  <c r="H7" i="6"/>
  <c r="G7" i="6"/>
  <c r="F7" i="6"/>
  <c r="E7" i="6"/>
  <c r="D7" i="6"/>
  <c r="C7" i="6"/>
  <c r="B7" i="6"/>
  <c r="M6" i="6"/>
  <c r="L6" i="6"/>
  <c r="K6" i="6"/>
  <c r="J6" i="6"/>
  <c r="I6" i="6"/>
  <c r="H6" i="6"/>
  <c r="R11" i="3"/>
  <c r="S11" i="3"/>
  <c r="AH11" i="3"/>
  <c r="AG11" i="3"/>
  <c r="AA42" i="10" l="1"/>
  <c r="N17" i="7"/>
  <c r="N20" i="7"/>
  <c r="N15" i="7"/>
  <c r="N22" i="7"/>
  <c r="N9" i="7"/>
  <c r="N14" i="7"/>
  <c r="N8" i="7"/>
  <c r="N21" i="7"/>
  <c r="N13" i="7"/>
  <c r="N12" i="7"/>
  <c r="N19" i="7"/>
  <c r="N10" i="7"/>
  <c r="N18" i="7"/>
  <c r="N16" i="7"/>
  <c r="N7" i="7"/>
  <c r="I21" i="6"/>
  <c r="L21" i="6"/>
  <c r="J21" i="6"/>
  <c r="N39" i="6"/>
  <c r="K21" i="6"/>
  <c r="M21" i="6"/>
  <c r="T35" i="6"/>
  <c r="L40" i="6"/>
  <c r="J28" i="6"/>
  <c r="G28" i="6"/>
  <c r="H28" i="6"/>
  <c r="F40" i="6"/>
  <c r="B28" i="6"/>
  <c r="N26" i="6"/>
  <c r="R26" i="6" s="1"/>
  <c r="M40" i="6"/>
  <c r="K28" i="6"/>
  <c r="N13" i="6"/>
  <c r="I28" i="6"/>
  <c r="E28" i="6"/>
  <c r="T36" i="6"/>
  <c r="H40" i="6"/>
  <c r="C21" i="6"/>
  <c r="N12" i="6"/>
  <c r="R12" i="6" s="1"/>
  <c r="G21" i="6"/>
  <c r="D28" i="6"/>
  <c r="N7" i="6"/>
  <c r="R7" i="6" s="1"/>
  <c r="H21" i="6"/>
  <c r="M28" i="6"/>
  <c r="N20" i="6"/>
  <c r="R20" i="6" s="1"/>
  <c r="J40" i="6"/>
  <c r="B21" i="6"/>
  <c r="D21" i="6"/>
  <c r="N35" i="6"/>
  <c r="R35" i="6" s="1"/>
  <c r="E21" i="6"/>
  <c r="N25" i="6"/>
  <c r="R25" i="6" s="1"/>
  <c r="F21" i="6"/>
  <c r="N34" i="6"/>
  <c r="N37" i="6"/>
  <c r="L28" i="6"/>
  <c r="F28" i="6"/>
  <c r="F16" i="6"/>
  <c r="C28" i="6"/>
  <c r="T34" i="6"/>
  <c r="I40" i="6"/>
  <c r="T39" i="6"/>
  <c r="D40" i="6"/>
  <c r="G40" i="6"/>
  <c r="D16" i="6"/>
  <c r="N24" i="6"/>
  <c r="R24" i="6" s="1"/>
  <c r="N27" i="6"/>
  <c r="R27" i="6" s="1"/>
  <c r="C40" i="6"/>
  <c r="N14" i="6"/>
  <c r="R14" i="6" s="1"/>
  <c r="K40" i="6"/>
  <c r="J16" i="6"/>
  <c r="J30" i="6" s="1"/>
  <c r="E40" i="6"/>
  <c r="M16" i="6"/>
  <c r="M30" i="6" s="1"/>
  <c r="M42" i="6" s="1"/>
  <c r="N10" i="6"/>
  <c r="R10" i="6" s="1"/>
  <c r="J42" i="6"/>
  <c r="I16" i="6"/>
  <c r="I30" i="6" s="1"/>
  <c r="I42" i="6" s="1"/>
  <c r="K16" i="6"/>
  <c r="K30" i="6" s="1"/>
  <c r="K42" i="6" s="1"/>
  <c r="L16" i="6"/>
  <c r="E16" i="6"/>
  <c r="N8" i="6"/>
  <c r="R8" i="6" s="1"/>
  <c r="N33" i="6"/>
  <c r="B45" i="6"/>
  <c r="N36" i="6"/>
  <c r="G16" i="6"/>
  <c r="H16" i="6"/>
  <c r="N15" i="6"/>
  <c r="B11" i="6"/>
  <c r="N9" i="6"/>
  <c r="R9" i="6" s="1"/>
  <c r="C16" i="6"/>
  <c r="N18" i="6"/>
  <c r="B40" i="6"/>
  <c r="N23" i="6"/>
  <c r="B16" i="6"/>
  <c r="B30" i="6" s="1"/>
  <c r="T38" i="6"/>
  <c r="B11" i="3"/>
  <c r="C11" i="3" s="1"/>
  <c r="D11" i="3" s="1"/>
  <c r="E11" i="3" s="1"/>
  <c r="F11" i="3" s="1"/>
  <c r="G11" i="3" s="1"/>
  <c r="H11" i="3" s="1"/>
  <c r="I11" i="3" s="1"/>
  <c r="J11" i="3" s="1"/>
  <c r="K11" i="3" s="1"/>
  <c r="L11" i="3" s="1"/>
  <c r="M11" i="3" s="1"/>
  <c r="N11" i="3" s="1"/>
  <c r="O11" i="3" s="1"/>
  <c r="P11" i="3" s="1"/>
  <c r="Q11" i="3" s="1"/>
  <c r="T11" i="3" s="1"/>
  <c r="U11" i="3" s="1"/>
  <c r="V11" i="3" s="1"/>
  <c r="W11" i="3" s="1"/>
  <c r="X11" i="3" s="1"/>
  <c r="Y11" i="3" s="1"/>
  <c r="Z11" i="3" s="1"/>
  <c r="AA11" i="3" s="1"/>
  <c r="AB11" i="3" s="1"/>
  <c r="AC11" i="3" s="1"/>
  <c r="AD11" i="3" s="1"/>
  <c r="AE11" i="3" s="1"/>
  <c r="AF11" i="3" s="1"/>
  <c r="B55" i="1"/>
  <c r="B54" i="1"/>
  <c r="B53" i="1"/>
  <c r="B52" i="1"/>
  <c r="B51" i="1"/>
  <c r="B50" i="1"/>
  <c r="B49" i="1"/>
  <c r="B48" i="1"/>
  <c r="X39" i="1"/>
  <c r="V39" i="1"/>
  <c r="T39" i="1"/>
  <c r="R39" i="1"/>
  <c r="P39" i="1"/>
  <c r="N39" i="1"/>
  <c r="L39" i="1"/>
  <c r="J39" i="1"/>
  <c r="H39" i="1"/>
  <c r="F39" i="1"/>
  <c r="D39" i="1"/>
  <c r="B39" i="1"/>
  <c r="X38" i="1"/>
  <c r="X11" i="1" s="1"/>
  <c r="Y11" i="1" s="1"/>
  <c r="V38" i="1"/>
  <c r="V11" i="1" s="1"/>
  <c r="W11" i="1" s="1"/>
  <c r="T38" i="1"/>
  <c r="T11" i="1" s="1"/>
  <c r="U11" i="1" s="1"/>
  <c r="R38" i="1"/>
  <c r="R11" i="1" s="1"/>
  <c r="S11" i="1" s="1"/>
  <c r="P38" i="1"/>
  <c r="P11" i="1" s="1"/>
  <c r="Q11" i="1" s="1"/>
  <c r="N38" i="1"/>
  <c r="N11" i="1" s="1"/>
  <c r="O11" i="1" s="1"/>
  <c r="L38" i="1"/>
  <c r="L11" i="1" s="1"/>
  <c r="M11" i="1" s="1"/>
  <c r="J38" i="1"/>
  <c r="J11" i="1" s="1"/>
  <c r="K11" i="1" s="1"/>
  <c r="H38" i="1"/>
  <c r="H11" i="1" s="1"/>
  <c r="I11" i="1" s="1"/>
  <c r="F38" i="1"/>
  <c r="F11" i="1" s="1"/>
  <c r="G11" i="1" s="1"/>
  <c r="D38" i="1"/>
  <c r="D11" i="1" s="1"/>
  <c r="E11" i="1" s="1"/>
  <c r="B38" i="1"/>
  <c r="B11" i="1" s="1"/>
  <c r="X37" i="1"/>
  <c r="V37" i="1"/>
  <c r="T37" i="1"/>
  <c r="R37" i="1"/>
  <c r="P37" i="1"/>
  <c r="N37" i="1"/>
  <c r="L37" i="1"/>
  <c r="J37" i="1"/>
  <c r="H37" i="1"/>
  <c r="F37" i="1"/>
  <c r="D37" i="1"/>
  <c r="B37" i="1"/>
  <c r="X36" i="1"/>
  <c r="X10" i="1" s="1"/>
  <c r="Y10" i="1" s="1"/>
  <c r="V36" i="1"/>
  <c r="V10" i="1" s="1"/>
  <c r="W10" i="1" s="1"/>
  <c r="T36" i="1"/>
  <c r="T10" i="1" s="1"/>
  <c r="U10" i="1" s="1"/>
  <c r="R36" i="1"/>
  <c r="R10" i="1" s="1"/>
  <c r="S10" i="1" s="1"/>
  <c r="P36" i="1"/>
  <c r="P10" i="1" s="1"/>
  <c r="Q10" i="1" s="1"/>
  <c r="N36" i="1"/>
  <c r="N10" i="1" s="1"/>
  <c r="O10" i="1" s="1"/>
  <c r="L36" i="1"/>
  <c r="L10" i="1" s="1"/>
  <c r="M10" i="1" s="1"/>
  <c r="J36" i="1"/>
  <c r="J10" i="1" s="1"/>
  <c r="K10" i="1" s="1"/>
  <c r="H36" i="1"/>
  <c r="H10" i="1" s="1"/>
  <c r="I10" i="1" s="1"/>
  <c r="F36" i="1"/>
  <c r="F10" i="1" s="1"/>
  <c r="G10" i="1" s="1"/>
  <c r="D36" i="1"/>
  <c r="D10" i="1" s="1"/>
  <c r="E10" i="1" s="1"/>
  <c r="B36" i="1"/>
  <c r="X35" i="1"/>
  <c r="Y35" i="1" s="1"/>
  <c r="V35" i="1"/>
  <c r="W35" i="1" s="1"/>
  <c r="T35" i="1"/>
  <c r="U35" i="1" s="1"/>
  <c r="R35" i="1"/>
  <c r="S35" i="1" s="1"/>
  <c r="P35" i="1"/>
  <c r="Q35" i="1" s="1"/>
  <c r="N35" i="1"/>
  <c r="O35" i="1" s="1"/>
  <c r="L35" i="1"/>
  <c r="M35" i="1" s="1"/>
  <c r="J35" i="1"/>
  <c r="K35" i="1" s="1"/>
  <c r="H35" i="1"/>
  <c r="I35" i="1" s="1"/>
  <c r="AA35" i="1" s="1"/>
  <c r="F35" i="1"/>
  <c r="D35" i="1"/>
  <c r="B35" i="1"/>
  <c r="X34" i="1"/>
  <c r="V34" i="1"/>
  <c r="T34" i="1"/>
  <c r="R34" i="1"/>
  <c r="P34" i="1"/>
  <c r="N34" i="1"/>
  <c r="L34" i="1"/>
  <c r="J34" i="1"/>
  <c r="H34" i="1"/>
  <c r="F34" i="1"/>
  <c r="D34" i="1"/>
  <c r="B34" i="1"/>
  <c r="X33" i="1"/>
  <c r="V33" i="1"/>
  <c r="T33" i="1"/>
  <c r="R33" i="1"/>
  <c r="P33" i="1"/>
  <c r="N33" i="1"/>
  <c r="L33" i="1"/>
  <c r="J33" i="1"/>
  <c r="H33" i="1"/>
  <c r="F33" i="1"/>
  <c r="D33" i="1"/>
  <c r="B33" i="1"/>
  <c r="X27" i="1"/>
  <c r="V27" i="1"/>
  <c r="T27" i="1"/>
  <c r="R27" i="1"/>
  <c r="P27" i="1"/>
  <c r="N27" i="1"/>
  <c r="L27" i="1"/>
  <c r="J27" i="1"/>
  <c r="H27" i="1"/>
  <c r="F27" i="1"/>
  <c r="D27" i="1"/>
  <c r="B27" i="1"/>
  <c r="X26" i="1"/>
  <c r="V26" i="1"/>
  <c r="T26" i="1"/>
  <c r="R26" i="1"/>
  <c r="P26" i="1"/>
  <c r="N26" i="1"/>
  <c r="L26" i="1"/>
  <c r="J26" i="1"/>
  <c r="H26" i="1"/>
  <c r="F26" i="1"/>
  <c r="D26" i="1"/>
  <c r="B26" i="1"/>
  <c r="X25" i="1"/>
  <c r="V25" i="1"/>
  <c r="T25" i="1"/>
  <c r="R25" i="1"/>
  <c r="P25" i="1"/>
  <c r="N25" i="1"/>
  <c r="L25" i="1"/>
  <c r="J25" i="1"/>
  <c r="H25" i="1"/>
  <c r="F25" i="1"/>
  <c r="D25" i="1"/>
  <c r="B25" i="1"/>
  <c r="X24" i="1"/>
  <c r="V24" i="1"/>
  <c r="T24" i="1"/>
  <c r="R24" i="1"/>
  <c r="P24" i="1"/>
  <c r="N24" i="1"/>
  <c r="L24" i="1"/>
  <c r="J24" i="1"/>
  <c r="H24" i="1"/>
  <c r="F24" i="1"/>
  <c r="D24" i="1"/>
  <c r="B24" i="1"/>
  <c r="X23" i="1"/>
  <c r="V23" i="1"/>
  <c r="T23" i="1"/>
  <c r="R23" i="1"/>
  <c r="P23" i="1"/>
  <c r="N23" i="1"/>
  <c r="L23" i="1"/>
  <c r="J23" i="1"/>
  <c r="H23" i="1"/>
  <c r="F23" i="1"/>
  <c r="D23" i="1"/>
  <c r="B23" i="1"/>
  <c r="X20" i="1"/>
  <c r="V20" i="1"/>
  <c r="T20" i="1"/>
  <c r="R20" i="1"/>
  <c r="P20" i="1"/>
  <c r="N20" i="1"/>
  <c r="L20" i="1"/>
  <c r="J20" i="1"/>
  <c r="H20" i="1"/>
  <c r="F20" i="1"/>
  <c r="D20" i="1"/>
  <c r="B20" i="1"/>
  <c r="Z19" i="1"/>
  <c r="X18" i="1"/>
  <c r="V18" i="1"/>
  <c r="T18" i="1"/>
  <c r="R18" i="1"/>
  <c r="P18" i="1"/>
  <c r="N18" i="1"/>
  <c r="L18" i="1"/>
  <c r="J18" i="1"/>
  <c r="H18" i="1"/>
  <c r="F18" i="1"/>
  <c r="D18" i="1"/>
  <c r="B18" i="1"/>
  <c r="X15" i="1"/>
  <c r="Y15" i="1" s="1"/>
  <c r="V15" i="1"/>
  <c r="W15" i="1" s="1"/>
  <c r="T15" i="1"/>
  <c r="U15" i="1" s="1"/>
  <c r="R15" i="1"/>
  <c r="S15" i="1" s="1"/>
  <c r="P15" i="1"/>
  <c r="Q15" i="1" s="1"/>
  <c r="N15" i="1"/>
  <c r="O15" i="1" s="1"/>
  <c r="L15" i="1"/>
  <c r="M15" i="1" s="1"/>
  <c r="J15" i="1"/>
  <c r="K15" i="1" s="1"/>
  <c r="H15" i="1"/>
  <c r="I15" i="1" s="1"/>
  <c r="F15" i="1"/>
  <c r="G15" i="1" s="1"/>
  <c r="D15" i="1"/>
  <c r="E15" i="1" s="1"/>
  <c r="B15" i="1"/>
  <c r="X14" i="1"/>
  <c r="Y14" i="1" s="1"/>
  <c r="V14" i="1"/>
  <c r="W14" i="1" s="1"/>
  <c r="T14" i="1"/>
  <c r="U14" i="1" s="1"/>
  <c r="R14" i="1"/>
  <c r="S14" i="1" s="1"/>
  <c r="P14" i="1"/>
  <c r="Q14" i="1" s="1"/>
  <c r="N14" i="1"/>
  <c r="O14" i="1" s="1"/>
  <c r="L14" i="1"/>
  <c r="M14" i="1" s="1"/>
  <c r="J14" i="1"/>
  <c r="K14" i="1" s="1"/>
  <c r="H14" i="1"/>
  <c r="I14" i="1" s="1"/>
  <c r="F14" i="1"/>
  <c r="G14" i="1" s="1"/>
  <c r="D14" i="1"/>
  <c r="E14" i="1" s="1"/>
  <c r="B14" i="1"/>
  <c r="X13" i="1"/>
  <c r="Y13" i="1" s="1"/>
  <c r="V13" i="1"/>
  <c r="W13" i="1" s="1"/>
  <c r="T13" i="1"/>
  <c r="U13" i="1" s="1"/>
  <c r="R13" i="1"/>
  <c r="S13" i="1" s="1"/>
  <c r="P13" i="1"/>
  <c r="Q13" i="1" s="1"/>
  <c r="N13" i="1"/>
  <c r="O13" i="1" s="1"/>
  <c r="L13" i="1"/>
  <c r="M13" i="1" s="1"/>
  <c r="J13" i="1"/>
  <c r="K13" i="1" s="1"/>
  <c r="H13" i="1"/>
  <c r="I13" i="1" s="1"/>
  <c r="F13" i="1"/>
  <c r="G13" i="1" s="1"/>
  <c r="D13" i="1"/>
  <c r="E13" i="1" s="1"/>
  <c r="B13" i="1"/>
  <c r="A13" i="1"/>
  <c r="X12" i="1"/>
  <c r="Y12" i="1" s="1"/>
  <c r="V12" i="1"/>
  <c r="W12" i="1" s="1"/>
  <c r="T12" i="1"/>
  <c r="U12" i="1" s="1"/>
  <c r="R12" i="1"/>
  <c r="S12" i="1" s="1"/>
  <c r="P12" i="1"/>
  <c r="Q12" i="1" s="1"/>
  <c r="N12" i="1"/>
  <c r="O12" i="1" s="1"/>
  <c r="L12" i="1"/>
  <c r="M12" i="1" s="1"/>
  <c r="J12" i="1"/>
  <c r="K12" i="1" s="1"/>
  <c r="H12" i="1"/>
  <c r="I12" i="1" s="1"/>
  <c r="F12" i="1"/>
  <c r="G12" i="1" s="1"/>
  <c r="D12" i="1"/>
  <c r="E12" i="1" s="1"/>
  <c r="B12" i="1"/>
  <c r="X9" i="1"/>
  <c r="Y9" i="1" s="1"/>
  <c r="V9" i="1"/>
  <c r="W9" i="1" s="1"/>
  <c r="T9" i="1"/>
  <c r="U9" i="1" s="1"/>
  <c r="R9" i="1"/>
  <c r="S9" i="1" s="1"/>
  <c r="P9" i="1"/>
  <c r="Q9" i="1" s="1"/>
  <c r="N9" i="1"/>
  <c r="O9" i="1" s="1"/>
  <c r="L9" i="1"/>
  <c r="M9" i="1" s="1"/>
  <c r="J9" i="1"/>
  <c r="K9" i="1" s="1"/>
  <c r="H9" i="1"/>
  <c r="I9" i="1" s="1"/>
  <c r="F9" i="1"/>
  <c r="G9" i="1" s="1"/>
  <c r="D9" i="1"/>
  <c r="E9" i="1" s="1"/>
  <c r="B9" i="1"/>
  <c r="X8" i="1"/>
  <c r="Y8" i="1" s="1"/>
  <c r="V8" i="1"/>
  <c r="W8" i="1" s="1"/>
  <c r="T8" i="1"/>
  <c r="U8" i="1" s="1"/>
  <c r="R8" i="1"/>
  <c r="S8" i="1" s="1"/>
  <c r="P8" i="1"/>
  <c r="Q8" i="1" s="1"/>
  <c r="N8" i="1"/>
  <c r="O8" i="1" s="1"/>
  <c r="L8" i="1"/>
  <c r="M8" i="1" s="1"/>
  <c r="J8" i="1"/>
  <c r="K8" i="1" s="1"/>
  <c r="H8" i="1"/>
  <c r="I8" i="1" s="1"/>
  <c r="F8" i="1"/>
  <c r="G8" i="1" s="1"/>
  <c r="D8" i="1"/>
  <c r="E8" i="1" s="1"/>
  <c r="B8" i="1"/>
  <c r="X7" i="1"/>
  <c r="Y7" i="1" s="1"/>
  <c r="V7" i="1"/>
  <c r="W7" i="1" s="1"/>
  <c r="T7" i="1"/>
  <c r="U7" i="1" s="1"/>
  <c r="R7" i="1"/>
  <c r="S7" i="1" s="1"/>
  <c r="P7" i="1"/>
  <c r="Q7" i="1" s="1"/>
  <c r="N7" i="1"/>
  <c r="O7" i="1" s="1"/>
  <c r="L7" i="1"/>
  <c r="M7" i="1" s="1"/>
  <c r="J7" i="1"/>
  <c r="H7" i="1"/>
  <c r="F7" i="1"/>
  <c r="D7" i="1"/>
  <c r="B7" i="1"/>
  <c r="X6" i="1"/>
  <c r="V6" i="1"/>
  <c r="T6" i="1"/>
  <c r="R6" i="1"/>
  <c r="P6" i="1"/>
  <c r="N6" i="1"/>
  <c r="Y16" i="1" l="1"/>
  <c r="S16" i="1"/>
  <c r="M16" i="1"/>
  <c r="U16" i="1"/>
  <c r="N11" i="7"/>
  <c r="L30" i="6"/>
  <c r="L42" i="6" s="1"/>
  <c r="C30" i="6"/>
  <c r="C42" i="6" s="1"/>
  <c r="H30" i="6"/>
  <c r="H42" i="6" s="1"/>
  <c r="G30" i="6"/>
  <c r="G42" i="6" s="1"/>
  <c r="D30" i="6"/>
  <c r="D42" i="6" s="1"/>
  <c r="F30" i="6"/>
  <c r="F42" i="6" s="1"/>
  <c r="B42" i="6"/>
  <c r="T29" i="6"/>
  <c r="E30" i="6"/>
  <c r="T16" i="6"/>
  <c r="N11" i="6"/>
  <c r="R11" i="6" s="1"/>
  <c r="N28" i="6"/>
  <c r="R28" i="6" s="1"/>
  <c r="R23" i="6"/>
  <c r="R18" i="6"/>
  <c r="N21" i="6"/>
  <c r="R21" i="6" s="1"/>
  <c r="N40" i="6"/>
  <c r="C12" i="1"/>
  <c r="AA12" i="1" s="1"/>
  <c r="Z12" i="1"/>
  <c r="W16" i="1"/>
  <c r="C14" i="1"/>
  <c r="AA14" i="1" s="1"/>
  <c r="AB14" i="1" s="1"/>
  <c r="Z14" i="1"/>
  <c r="O16" i="1"/>
  <c r="C15" i="1"/>
  <c r="AA15" i="1" s="1"/>
  <c r="Z15" i="1"/>
  <c r="C9" i="1"/>
  <c r="AA9" i="1" s="1"/>
  <c r="Z9" i="1"/>
  <c r="C11" i="1"/>
  <c r="AA11" i="1" s="1"/>
  <c r="Z11" i="1"/>
  <c r="Q16" i="1"/>
  <c r="C8" i="1"/>
  <c r="AA8" i="1" s="1"/>
  <c r="AB8" i="1" s="1"/>
  <c r="Z8" i="1"/>
  <c r="C7" i="1"/>
  <c r="AA7" i="1" s="1"/>
  <c r="Z7" i="1"/>
  <c r="C13" i="1"/>
  <c r="AA13" i="1" s="1"/>
  <c r="Z13" i="1"/>
  <c r="J16" i="1"/>
  <c r="K7" i="1"/>
  <c r="K16" i="1" s="1"/>
  <c r="R21" i="1"/>
  <c r="E7" i="1"/>
  <c r="E16" i="1" s="1"/>
  <c r="D16" i="1"/>
  <c r="F16" i="1"/>
  <c r="G7" i="1"/>
  <c r="G16" i="1" s="1"/>
  <c r="H16" i="1"/>
  <c r="I7" i="1"/>
  <c r="I16" i="1" s="1"/>
  <c r="F40" i="1"/>
  <c r="N16" i="1"/>
  <c r="Z39" i="1"/>
  <c r="D21" i="1"/>
  <c r="X28" i="1"/>
  <c r="Z35" i="1"/>
  <c r="N28" i="1"/>
  <c r="F21" i="1"/>
  <c r="H40" i="1"/>
  <c r="L40" i="1"/>
  <c r="J21" i="1"/>
  <c r="L21" i="1"/>
  <c r="L16" i="1"/>
  <c r="D40" i="1"/>
  <c r="H21" i="1"/>
  <c r="X21" i="1"/>
  <c r="P21" i="1"/>
  <c r="Z34" i="1"/>
  <c r="P40" i="1"/>
  <c r="Z37" i="1"/>
  <c r="B28" i="1"/>
  <c r="R40" i="1"/>
  <c r="F28" i="1"/>
  <c r="B45" i="1"/>
  <c r="H28" i="1"/>
  <c r="P28" i="1"/>
  <c r="X40" i="1"/>
  <c r="J28" i="1"/>
  <c r="Z24" i="1"/>
  <c r="P16" i="1"/>
  <c r="R28" i="1"/>
  <c r="R16" i="1"/>
  <c r="V21" i="1"/>
  <c r="Z25" i="1"/>
  <c r="D28" i="1"/>
  <c r="T40" i="1"/>
  <c r="Z20" i="1"/>
  <c r="V40" i="1"/>
  <c r="B10" i="1"/>
  <c r="L28" i="1"/>
  <c r="N40" i="1"/>
  <c r="Z36" i="1"/>
  <c r="J40" i="1"/>
  <c r="T21" i="1"/>
  <c r="T16" i="1"/>
  <c r="N21" i="1"/>
  <c r="Z38" i="1"/>
  <c r="Z27" i="1"/>
  <c r="Z18" i="1"/>
  <c r="V16" i="1"/>
  <c r="X16" i="1"/>
  <c r="Z23" i="1"/>
  <c r="B40" i="1"/>
  <c r="Z33" i="1"/>
  <c r="T28" i="1"/>
  <c r="Z26" i="1"/>
  <c r="B21" i="1"/>
  <c r="V28" i="1"/>
  <c r="AB11" i="1" l="1"/>
  <c r="AE17" i="1"/>
  <c r="AB7" i="1"/>
  <c r="AE12" i="1"/>
  <c r="AB9" i="1"/>
  <c r="AE13" i="1"/>
  <c r="AB15" i="1"/>
  <c r="AE14" i="1"/>
  <c r="AE15" i="1"/>
  <c r="AB12" i="1"/>
  <c r="AE16" i="1"/>
  <c r="N16" i="6"/>
  <c r="N30" i="6" s="1"/>
  <c r="T17" i="6"/>
  <c r="T7" i="6"/>
  <c r="E42" i="6"/>
  <c r="T9" i="6"/>
  <c r="T24" i="6"/>
  <c r="T20" i="6"/>
  <c r="T25" i="6"/>
  <c r="T22" i="6"/>
  <c r="T23" i="6"/>
  <c r="T12" i="6"/>
  <c r="T11" i="6"/>
  <c r="T27" i="6"/>
  <c r="T8" i="6"/>
  <c r="T14" i="6"/>
  <c r="T26" i="6"/>
  <c r="T28" i="6"/>
  <c r="T18" i="6"/>
  <c r="T10" i="6"/>
  <c r="T21" i="6"/>
  <c r="B16" i="1"/>
  <c r="B30" i="1" s="1"/>
  <c r="Z10" i="1"/>
  <c r="R30" i="1"/>
  <c r="F30" i="1"/>
  <c r="F42" i="1" s="1"/>
  <c r="R42" i="1"/>
  <c r="N30" i="1"/>
  <c r="N42" i="1" s="1"/>
  <c r="C10" i="1"/>
  <c r="P30" i="1"/>
  <c r="P42" i="1" s="1"/>
  <c r="J30" i="1"/>
  <c r="J42" i="1" s="1"/>
  <c r="T30" i="1"/>
  <c r="T42" i="1" s="1"/>
  <c r="L30" i="1"/>
  <c r="L42" i="1" s="1"/>
  <c r="X30" i="1"/>
  <c r="Z21" i="1"/>
  <c r="D30" i="1"/>
  <c r="D42" i="1" s="1"/>
  <c r="Z40" i="1"/>
  <c r="X42" i="1"/>
  <c r="V30" i="1"/>
  <c r="V42" i="1" s="1"/>
  <c r="H30" i="1"/>
  <c r="Z28" i="1"/>
  <c r="AB16" i="1" l="1"/>
  <c r="AB18" i="1" s="1"/>
  <c r="T30" i="6"/>
  <c r="C49" i="6"/>
  <c r="R16" i="6"/>
  <c r="N42" i="6"/>
  <c r="C54" i="6"/>
  <c r="C48" i="6"/>
  <c r="C52" i="6"/>
  <c r="C55" i="6"/>
  <c r="C51" i="6"/>
  <c r="C53" i="6"/>
  <c r="C50" i="6"/>
  <c r="C16" i="1"/>
  <c r="AA10" i="1"/>
  <c r="AA16" i="1" s="1"/>
  <c r="B42" i="1"/>
  <c r="H42" i="1"/>
  <c r="C56" i="6" l="1"/>
  <c r="C57" i="6" s="1"/>
  <c r="Z16" i="1"/>
  <c r="Z30" i="1" l="1"/>
  <c r="D49" i="1"/>
  <c r="D54" i="1" l="1"/>
  <c r="Z42" i="1"/>
  <c r="D52" i="1"/>
  <c r="D50" i="1"/>
  <c r="D53" i="1"/>
  <c r="D55" i="1"/>
  <c r="D48" i="1"/>
  <c r="D51" i="1"/>
  <c r="D56" i="1" l="1"/>
  <c r="D5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rantoine</author>
  </authors>
  <commentList>
    <comment ref="Q8" authorId="0" shapeId="0" xr:uid="{24B9DFDE-5D81-4A7B-A992-A041410CF632}">
      <text>
        <r>
          <rPr>
            <b/>
            <sz val="9"/>
            <color indexed="81"/>
            <rFont val="Tahoma"/>
            <family val="2"/>
          </rPr>
          <t>rantoine:</t>
        </r>
        <r>
          <rPr>
            <sz val="9"/>
            <color indexed="81"/>
            <rFont val="Tahoma"/>
            <family val="2"/>
          </rPr>
          <t xml:space="preserve">
includes export volume</t>
        </r>
      </text>
    </comment>
    <comment ref="Q15" authorId="0" shapeId="0" xr:uid="{262D1126-BB68-4DEA-835F-F40166CD25CA}">
      <text>
        <r>
          <rPr>
            <b/>
            <sz val="9"/>
            <color indexed="81"/>
            <rFont val="Tahoma"/>
            <family val="2"/>
          </rPr>
          <t>rantoine:</t>
        </r>
        <r>
          <rPr>
            <sz val="9"/>
            <color indexed="81"/>
            <rFont val="Tahoma"/>
            <family val="2"/>
          </rPr>
          <t xml:space="preserve">
includes export volume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Z11" authorId="0" shapeId="0" xr:uid="{F95FBC1D-7C4D-4F85-B3E6-235B0BFCC194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66,994 cases from Ronique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A9" authorId="0" shapeId="0" xr:uid="{D2A66E32-7EE1-4B7A-92AC-59359876D6A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788 APA
1050 IPA
773 Pils</t>
        </r>
      </text>
    </comment>
    <comment ref="A25" authorId="0" shapeId="0" xr:uid="{EA388136-0134-4408-9EA7-5C3964AC6BC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788 APA
1050 IPA
773 Pils</t>
        </r>
      </text>
    </comment>
    <comment ref="A42" authorId="0" shapeId="0" xr:uid="{50DD60E6-7B4C-45C0-8121-9FF761166F6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788 APA
1050 IPA
773 Pils</t>
        </r>
      </text>
    </comment>
    <comment ref="H42" authorId="0" shapeId="0" xr:uid="{A3F98067-0F9F-4998-91A6-E3408EC56F1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2 IPA
2APA
4Pils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A8" authorId="0" shapeId="0" xr:uid="{37E92518-CCDA-479A-BD52-AB938EFB2EA8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37.5</t>
        </r>
      </text>
    </comment>
    <comment ref="A9" authorId="0" shapeId="0" xr:uid="{F367F982-0A31-4C63-93F9-8F58A795B87F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187.5</t>
        </r>
      </text>
    </comment>
    <comment ref="A10" authorId="0" shapeId="0" xr:uid="{D6495C6E-122E-47E2-8C29-8579F09C8CEA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1150</t>
        </r>
      </text>
    </comment>
    <comment ref="A11" authorId="0" shapeId="0" xr:uid="{76D9D42B-1A4D-4000-84EB-F94C80C09642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435</t>
        </r>
      </text>
    </comment>
    <comment ref="A12" authorId="0" shapeId="0" xr:uid="{29317098-5AFF-46BA-8719-9DB3BA9B2FEC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400</t>
        </r>
      </text>
    </comment>
    <comment ref="A14" authorId="0" shapeId="0" xr:uid="{81EC989D-4E6A-4B1C-BAA5-E6142693FC8B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125</t>
        </r>
      </text>
    </comment>
    <comment ref="D18" authorId="0" shapeId="0" xr:uid="{3238251E-291D-465B-BAD0-AA9E0E13405B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1432 av. Per batch </t>
        </r>
      </text>
    </comment>
    <comment ref="F18" authorId="0" shapeId="0" xr:uid="{7D14F0EE-BFD2-4B48-AEB5-8FE6FA0CB11D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1432 av. Per batch </t>
        </r>
      </text>
    </comment>
    <comment ref="H18" authorId="0" shapeId="0" xr:uid="{EBD11C43-C785-4853-9696-8ADC3EB02D60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1432 av. Per batch </t>
        </r>
      </text>
    </comment>
    <comment ref="J18" authorId="0" shapeId="0" xr:uid="{1B1FF9AD-F2E0-4517-96B4-2ACAF7F55A55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1432 av. Per batch </t>
        </r>
      </text>
    </comment>
    <comment ref="L18" authorId="0" shapeId="0" xr:uid="{528579C9-C8A7-41BE-B372-053C94D69CB7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1432 av. Per batch </t>
        </r>
      </text>
    </comment>
    <comment ref="N18" authorId="0" shapeId="0" xr:uid="{1652246A-C4C4-4E1A-89EE-55606B485306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1432 av. Per batch </t>
        </r>
      </text>
    </comment>
    <comment ref="P18" authorId="0" shapeId="0" xr:uid="{D82A2B15-B8A8-4F71-8590-45B5C12E382B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1432 av. Per batch </t>
        </r>
      </text>
    </comment>
    <comment ref="R18" authorId="0" shapeId="0" xr:uid="{10A0AB08-038C-47E3-8E8E-EDC8801CC98D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1432 av. Per batch </t>
        </r>
      </text>
    </comment>
    <comment ref="T18" authorId="0" shapeId="0" xr:uid="{88F7FBA6-D5F1-4CAD-8A6F-EA67F87389C8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1432 av. Per batch </t>
        </r>
      </text>
    </comment>
    <comment ref="V18" authorId="0" shapeId="0" xr:uid="{224EDB04-A484-46D5-8348-C469C45F80E6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1432 av. Per batch </t>
        </r>
      </text>
    </comment>
    <comment ref="X18" authorId="0" shapeId="0" xr:uid="{A16C3F67-C41B-4F43-A3D9-CF0AE384CC91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1432 av. Per batch </t>
        </r>
      </text>
    </comment>
    <comment ref="Z18" authorId="0" shapeId="0" xr:uid="{E413ED43-D616-45E0-AD49-73285666818A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1432 av. Per batch </t>
        </r>
      </text>
    </comment>
    <comment ref="D20" authorId="0" shapeId="0" xr:uid="{F4434C8C-4A76-4F4A-AE82-C48FBC3C98F1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2800 2-batches</t>
        </r>
      </text>
    </comment>
    <comment ref="F20" authorId="0" shapeId="0" xr:uid="{88F57EC2-A642-4CFF-ADA9-B5774C72D093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2800 2-batches</t>
        </r>
      </text>
    </comment>
    <comment ref="H20" authorId="0" shapeId="0" xr:uid="{12ECFCB2-F58F-4651-B13F-43D47A1FF9AB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2800 2-batches</t>
        </r>
      </text>
    </comment>
    <comment ref="J20" authorId="0" shapeId="0" xr:uid="{36B043CB-12FC-482A-9DAB-D743B82E2492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2800 2-batches</t>
        </r>
      </text>
    </comment>
    <comment ref="L20" authorId="0" shapeId="0" xr:uid="{F98EA217-85B3-43D4-B08E-88319BD9995C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2800 2-batches</t>
        </r>
      </text>
    </comment>
    <comment ref="N20" authorId="0" shapeId="0" xr:uid="{96C83D20-1793-4CF7-8714-B3C09D9BE97F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2800 2-batches</t>
        </r>
      </text>
    </comment>
    <comment ref="P20" authorId="0" shapeId="0" xr:uid="{D2701EB6-8FC0-4DFF-8939-891D7EC7D186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2800 2-batches</t>
        </r>
      </text>
    </comment>
    <comment ref="R20" authorId="0" shapeId="0" xr:uid="{2A61EF09-EBA8-4D7C-8662-491CFCB18641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2800 2-batches</t>
        </r>
      </text>
    </comment>
    <comment ref="T20" authorId="0" shapeId="0" xr:uid="{88AA6512-BFA3-4F0C-9D39-446FEB37BBA1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2800 2-batches</t>
        </r>
      </text>
    </comment>
    <comment ref="V20" authorId="0" shapeId="0" xr:uid="{6DC36A33-FB5F-4C5B-893A-E1B73153B4D9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2800 2-batches</t>
        </r>
      </text>
    </comment>
    <comment ref="X20" authorId="0" shapeId="0" xr:uid="{CA9265EA-0A1D-42A6-A26D-39F6770B3076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2800 2-batches</t>
        </r>
      </text>
    </comment>
    <comment ref="Z20" authorId="0" shapeId="0" xr:uid="{FAE8A06B-73B9-465E-A6EC-BFBE36546F9B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2800 2-batches</t>
        </r>
      </text>
    </comment>
    <comment ref="L23" authorId="0" shapeId="0" xr:uid="{0D7B6017-FA23-4B0E-8F9B-4D68614856C3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525- 1/2 batch</t>
        </r>
      </text>
    </comment>
    <comment ref="L24" authorId="0" shapeId="0" xr:uid="{7EBA9E56-9A6D-42F2-A7DC-1F172BAA9B4D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520.8 1/2 batch</t>
        </r>
      </text>
    </comment>
    <comment ref="L25" authorId="0" shapeId="0" xr:uid="{B8650F47-2711-4C4E-B503-8FB8602ABDFF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583.5 1/2 batch</t>
        </r>
      </text>
    </comment>
    <comment ref="D26" authorId="0" shapeId="0" xr:uid="{BA61FF73-5C76-4561-BBF1-33CACBDDB710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525 1/2batch</t>
        </r>
      </text>
    </comment>
    <comment ref="F26" authorId="0" shapeId="0" xr:uid="{C7121A8E-5525-413B-BAF6-3CC1218E377F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525 1/2batch</t>
        </r>
      </text>
    </comment>
    <comment ref="H26" authorId="0" shapeId="0" xr:uid="{CDD9D041-E720-45BB-B26E-F642A528C3E7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525 1/2batch</t>
        </r>
      </text>
    </comment>
    <comment ref="J26" authorId="0" shapeId="0" xr:uid="{9CE3E9C8-96B5-4BD2-97EC-C77DCA2058E4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525 1/2batch</t>
        </r>
      </text>
    </comment>
    <comment ref="N26" authorId="0" shapeId="0" xr:uid="{34682D7A-E9A0-4C7F-A946-E8E73711222C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525 1/2batch</t>
        </r>
      </text>
    </comment>
    <comment ref="P26" authorId="0" shapeId="0" xr:uid="{8FF7C57A-F870-414F-AA9C-865F33977931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525 1/2batch</t>
        </r>
      </text>
    </comment>
    <comment ref="R26" authorId="0" shapeId="0" xr:uid="{03E2D3A2-922A-47B0-A259-4B01A885D9DB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525 1/2batch</t>
        </r>
      </text>
    </comment>
    <comment ref="T26" authorId="0" shapeId="0" xr:uid="{362BFC43-741E-4FBE-A3B7-834D39F11296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525 1/2batch</t>
        </r>
      </text>
    </comment>
    <comment ref="V26" authorId="0" shapeId="0" xr:uid="{B6EBFF11-9876-4F3B-BBBC-49A672F8CF1C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525 1/2batch</t>
        </r>
      </text>
    </comment>
    <comment ref="X26" authorId="0" shapeId="0" xr:uid="{A832283B-EB2A-4434-AD5C-538831B0EF58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525 1/2batch</t>
        </r>
      </text>
    </comment>
    <comment ref="D33" authorId="0" shapeId="0" xr:uid="{0BAFB13C-ED81-4C7C-A302-07B059F19B0E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Av.</t>
        </r>
      </text>
    </comment>
    <comment ref="H33" authorId="0" shapeId="0" xr:uid="{B077F821-7DB8-4647-A916-37E341F60C0E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Av.</t>
        </r>
      </text>
    </comment>
    <comment ref="J33" authorId="0" shapeId="0" xr:uid="{22C1211D-1E9F-4CE0-8DA2-BC4963177F12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Av.</t>
        </r>
      </text>
    </comment>
    <comment ref="L33" authorId="0" shapeId="0" xr:uid="{BE7A3A2D-7147-43EF-B0F3-B5699388E6ED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Av.</t>
        </r>
      </text>
    </comment>
    <comment ref="N33" authorId="0" shapeId="0" xr:uid="{2DD1E95B-90C3-4BDE-A5AC-071D7CA92AE3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Av.</t>
        </r>
      </text>
    </comment>
    <comment ref="R33" authorId="0" shapeId="0" xr:uid="{F1B390CD-6AF2-40A3-85F7-D83EC3365EF1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Av.</t>
        </r>
      </text>
    </comment>
    <comment ref="T33" authorId="0" shapeId="0" xr:uid="{0F12E489-8D3E-4EF3-97C3-1D905BC9BD3A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Av.</t>
        </r>
      </text>
    </comment>
    <comment ref="D35" authorId="0" shapeId="0" xr:uid="{493B1C10-932E-4209-A86B-022EAA25A23E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37.5 per brew</t>
        </r>
      </text>
    </comment>
    <comment ref="F35" authorId="0" shapeId="0" xr:uid="{60CFD196-295F-43DF-A863-8F5B0B5A2861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37.5 per brew</t>
        </r>
      </text>
    </comment>
    <comment ref="H35" authorId="0" shapeId="0" xr:uid="{81E428D9-8DDC-4C9C-B64E-10C17D307901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37.5 per brew</t>
        </r>
      </text>
    </comment>
    <comment ref="J35" authorId="0" shapeId="0" xr:uid="{D40C3D8A-89DC-402A-A54B-2D457F10ED22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37.5 per brew</t>
        </r>
      </text>
    </comment>
    <comment ref="L35" authorId="0" shapeId="0" xr:uid="{5C20B952-2F8E-4287-AE60-192D9BAC062C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37.5 per brew</t>
        </r>
      </text>
    </comment>
    <comment ref="N35" authorId="0" shapeId="0" xr:uid="{2294E64D-3E0F-4E0E-8DC5-CF237A260DF2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37.5 per brew</t>
        </r>
      </text>
    </comment>
    <comment ref="P35" authorId="0" shapeId="0" xr:uid="{79D01111-8901-49FA-8D19-F0BB890C0CD1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37.5 per brew</t>
        </r>
      </text>
    </comment>
    <comment ref="R35" authorId="0" shapeId="0" xr:uid="{E3436880-DFD2-42DA-A23C-B30EA02CB13B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37.5 per brew</t>
        </r>
      </text>
    </comment>
    <comment ref="T35" authorId="0" shapeId="0" xr:uid="{3C79E1ED-3064-4FDD-9FE0-A828B9253DE5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37.5 per brew</t>
        </r>
      </text>
    </comment>
    <comment ref="V35" authorId="0" shapeId="0" xr:uid="{8AA32705-9FB2-4B7E-AAE1-62E6F72A0CF2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37.5 per brew</t>
        </r>
      </text>
    </comment>
    <comment ref="X35" authorId="0" shapeId="0" xr:uid="{C1487929-87DD-4D17-80B0-A557578302C1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37.5 per brew</t>
        </r>
      </text>
    </comment>
    <comment ref="Z35" authorId="0" shapeId="0" xr:uid="{90692248-FE59-41B5-AA97-74F14147AAAE}">
      <text>
        <r>
          <rPr>
            <b/>
            <sz val="9"/>
            <color indexed="81"/>
            <rFont val="Tahoma"/>
            <charset val="1"/>
          </rPr>
          <t>Reshelle Fleming:</t>
        </r>
        <r>
          <rPr>
            <sz val="9"/>
            <color indexed="81"/>
            <rFont val="Tahoma"/>
            <charset val="1"/>
          </rPr>
          <t xml:space="preserve">
37.5 per brew</t>
        </r>
      </text>
    </comment>
  </commentList>
</comments>
</file>

<file path=xl/sharedStrings.xml><?xml version="1.0" encoding="utf-8"?>
<sst xmlns="http://schemas.openxmlformats.org/spreadsheetml/2006/main" count="321" uniqueCount="92">
  <si>
    <t>Cases</t>
  </si>
  <si>
    <t>January</t>
  </si>
  <si>
    <t>February</t>
  </si>
  <si>
    <t>March</t>
  </si>
  <si>
    <t>April</t>
  </si>
  <si>
    <t>May</t>
  </si>
  <si>
    <t>June</t>
  </si>
  <si>
    <t>Total</t>
  </si>
  <si>
    <t>Sales</t>
  </si>
  <si>
    <t>Sales/prod.</t>
  </si>
  <si>
    <t>Carib</t>
  </si>
  <si>
    <t>Carib Flint</t>
  </si>
  <si>
    <t>Guinness FES</t>
  </si>
  <si>
    <t>Caribe</t>
  </si>
  <si>
    <t>Vita Malt Classic</t>
  </si>
  <si>
    <t>Star Malt</t>
  </si>
  <si>
    <t>Stag</t>
  </si>
  <si>
    <t>Mackeson</t>
  </si>
  <si>
    <t>Local Brewed Products</t>
  </si>
  <si>
    <t>Juicy 10oz</t>
  </si>
  <si>
    <t>Ting</t>
  </si>
  <si>
    <t>Soft Drinks</t>
  </si>
  <si>
    <t>Shandy- Ginger</t>
  </si>
  <si>
    <t>Shandy-Lime</t>
  </si>
  <si>
    <t>Shandy- Sorrel</t>
  </si>
  <si>
    <t>Ginseng- Original</t>
  </si>
  <si>
    <t>Ginseng-Apple</t>
  </si>
  <si>
    <t>Other</t>
  </si>
  <si>
    <t>Total Domestic</t>
  </si>
  <si>
    <t>Export</t>
  </si>
  <si>
    <t>Carib Shandy</t>
  </si>
  <si>
    <t>Vita Malt</t>
  </si>
  <si>
    <t xml:space="preserve">Craft </t>
  </si>
  <si>
    <t>Total Export</t>
  </si>
  <si>
    <t>Total Production</t>
  </si>
  <si>
    <t>Total Soft Drinks</t>
  </si>
  <si>
    <t>Total Local Drinks</t>
  </si>
  <si>
    <t>Bottle Amortisation</t>
  </si>
  <si>
    <t>Brewing Department</t>
  </si>
  <si>
    <t>Bottling Department</t>
  </si>
  <si>
    <t>Operations Department</t>
  </si>
  <si>
    <t>Materials Management</t>
  </si>
  <si>
    <t>Logistics and Purchasing</t>
  </si>
  <si>
    <t>Quality Department</t>
  </si>
  <si>
    <t>Maintenance Depratment</t>
  </si>
  <si>
    <t>For non Brewed</t>
  </si>
  <si>
    <t>Brews</t>
  </si>
  <si>
    <t xml:space="preserve">Total Brews </t>
  </si>
  <si>
    <t xml:space="preserve">Pilsen Malt </t>
  </si>
  <si>
    <t>Cont.</t>
  </si>
  <si>
    <t>DECEMBER</t>
  </si>
  <si>
    <t>Beginning Yard Bal.</t>
  </si>
  <si>
    <t>Receipts</t>
  </si>
  <si>
    <t>Export Production</t>
  </si>
  <si>
    <t>Export Returns</t>
  </si>
  <si>
    <t>Crushing</t>
  </si>
  <si>
    <t>Loss</t>
  </si>
  <si>
    <t>Transfer</t>
  </si>
  <si>
    <t>Balance</t>
  </si>
  <si>
    <t>July</t>
  </si>
  <si>
    <t>August</t>
  </si>
  <si>
    <t>September</t>
  </si>
  <si>
    <t>October</t>
  </si>
  <si>
    <t>November</t>
  </si>
  <si>
    <t>December</t>
  </si>
  <si>
    <t>PRODUCTION FORECAST</t>
  </si>
  <si>
    <t>Craft Beer</t>
  </si>
  <si>
    <t xml:space="preserve">Brands </t>
  </si>
  <si>
    <t>Total Brews</t>
  </si>
  <si>
    <t>KG</t>
  </si>
  <si>
    <t>Containers</t>
  </si>
  <si>
    <t>Actual 2026</t>
  </si>
  <si>
    <t>Actual 2025</t>
  </si>
  <si>
    <t>Forecast 2026</t>
  </si>
  <si>
    <t>YTD Brews</t>
  </si>
  <si>
    <t xml:space="preserve">Brand </t>
  </si>
  <si>
    <t xml:space="preserve">Closing </t>
  </si>
  <si>
    <t>KGS</t>
  </si>
  <si>
    <t>TOTAL</t>
  </si>
  <si>
    <t>Container</t>
  </si>
  <si>
    <t>Kgs</t>
  </si>
  <si>
    <t>Sugar</t>
  </si>
  <si>
    <t>CB/ST</t>
  </si>
  <si>
    <t>Gness</t>
  </si>
  <si>
    <t>kgs 205 gms</t>
  </si>
  <si>
    <t>Kgs 300 gms</t>
  </si>
  <si>
    <t>Mack</t>
  </si>
  <si>
    <t>kgs 130 gms</t>
  </si>
  <si>
    <t>kgs 158 gms</t>
  </si>
  <si>
    <t>tins</t>
  </si>
  <si>
    <t>Total 205</t>
  </si>
  <si>
    <t xml:space="preserve">Total Hops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</si>
</sst>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%"/>
    <numFmt numFmtId="165" formatCode="_(&quot;$&quot;* #,##0_);_(&quot;$&quot;* \(#,##0\);_(&quot;$&quot;* &quot;-&quot;??_);_(@_)"/>
    <numFmt numFmtId="166" formatCode="_(* #,##0_);_(* \(#,##0\);_(* &quot;-&quot;??_);_(@_)"/>
  </numFmts>
  <fonts count="1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name val="Arial"/>
      <family val="2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sz val="8"/>
      <name val="Arial"/>
      <family val="2"/>
    </font>
    <font>
      <b/>
      <sz val="10"/>
      <color theme="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22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59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14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0" fillId="0" borderId="2" xfId="0" applyBorder="1"/>
    <xf numFmtId="3" fontId="0" fillId="0" borderId="2" xfId="0" applyNumberFormat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3" fontId="0" fillId="0" borderId="0" xfId="0" applyNumberFormat="1"/>
    <xf numFmtId="10" fontId="0" fillId="0" borderId="0" xfId="3" applyNumberFormat="1" applyFont="1" applyFill="1"/>
    <xf numFmtId="43" fontId="2" fillId="0" borderId="0" xfId="1" applyFont="1" applyFill="1"/>
    <xf numFmtId="3" fontId="4" fillId="0" borderId="0" xfId="0" applyNumberFormat="1" applyFont="1"/>
    <xf numFmtId="38" fontId="0" fillId="0" borderId="2" xfId="0" applyNumberFormat="1" applyBorder="1" applyAlignment="1">
      <alignment horizontal="center"/>
    </xf>
    <xf numFmtId="3" fontId="0" fillId="0" borderId="2" xfId="0" applyNumberFormat="1" applyBorder="1"/>
    <xf numFmtId="0" fontId="0" fillId="0" borderId="3" xfId="0" applyBorder="1"/>
    <xf numFmtId="38" fontId="0" fillId="0" borderId="0" xfId="0" applyNumberFormat="1"/>
    <xf numFmtId="38" fontId="0" fillId="0" borderId="1" xfId="0" applyNumberFormat="1" applyBorder="1" applyAlignment="1">
      <alignment horizontal="center"/>
    </xf>
    <xf numFmtId="38" fontId="3" fillId="0" borderId="1" xfId="0" applyNumberFormat="1" applyFont="1" applyBorder="1" applyAlignment="1">
      <alignment horizontal="center"/>
    </xf>
    <xf numFmtId="38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3" fontId="0" fillId="0" borderId="6" xfId="0" applyNumberFormat="1" applyBorder="1" applyAlignment="1">
      <alignment horizontal="center"/>
    </xf>
    <xf numFmtId="38" fontId="0" fillId="0" borderId="0" xfId="0" applyNumberFormat="1" applyAlignment="1">
      <alignment horizontal="center"/>
    </xf>
    <xf numFmtId="10" fontId="0" fillId="0" borderId="5" xfId="3" applyNumberFormat="1" applyFont="1" applyFill="1" applyBorder="1" applyAlignment="1">
      <alignment horizontal="center"/>
    </xf>
    <xf numFmtId="38" fontId="0" fillId="0" borderId="6" xfId="0" applyNumberFormat="1" applyBorder="1" applyAlignment="1">
      <alignment horizontal="center"/>
    </xf>
    <xf numFmtId="38" fontId="0" fillId="0" borderId="3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38" fontId="0" fillId="0" borderId="7" xfId="0" applyNumberFormat="1" applyBorder="1" applyAlignment="1">
      <alignment horizontal="center"/>
    </xf>
    <xf numFmtId="0" fontId="0" fillId="0" borderId="8" xfId="0" applyBorder="1"/>
    <xf numFmtId="3" fontId="0" fillId="0" borderId="9" xfId="0" applyNumberFormat="1" applyBorder="1" applyAlignment="1">
      <alignment horizontal="center"/>
    </xf>
    <xf numFmtId="10" fontId="0" fillId="0" borderId="0" xfId="3" applyNumberFormat="1" applyFont="1" applyFill="1" applyBorder="1"/>
    <xf numFmtId="0" fontId="0" fillId="2" borderId="8" xfId="0" applyFill="1" applyBorder="1"/>
    <xf numFmtId="3" fontId="0" fillId="2" borderId="9" xfId="0" applyNumberFormat="1" applyFill="1" applyBorder="1" applyAlignment="1">
      <alignment horizontal="center"/>
    </xf>
    <xf numFmtId="3" fontId="3" fillId="2" borderId="2" xfId="0" applyNumberFormat="1" applyFont="1" applyFill="1" applyBorder="1" applyAlignment="1">
      <alignment horizontal="center"/>
    </xf>
    <xf numFmtId="0" fontId="0" fillId="2" borderId="0" xfId="0" applyFill="1"/>
    <xf numFmtId="3" fontId="0" fillId="2" borderId="0" xfId="0" applyNumberFormat="1" applyFill="1"/>
    <xf numFmtId="10" fontId="2" fillId="2" borderId="0" xfId="3" applyNumberFormat="1" applyFont="1" applyFill="1"/>
    <xf numFmtId="43" fontId="2" fillId="2" borderId="0" xfId="1" applyFont="1" applyFill="1"/>
    <xf numFmtId="0" fontId="0" fillId="0" borderId="10" xfId="0" applyBorder="1"/>
    <xf numFmtId="0" fontId="3" fillId="0" borderId="8" xfId="0" applyFont="1" applyBorder="1"/>
    <xf numFmtId="38" fontId="3" fillId="0" borderId="0" xfId="0" applyNumberFormat="1" applyFont="1" applyAlignment="1">
      <alignment horizontal="center"/>
    </xf>
    <xf numFmtId="3" fontId="3" fillId="0" borderId="0" xfId="0" applyNumberFormat="1" applyFont="1"/>
    <xf numFmtId="164" fontId="0" fillId="0" borderId="0" xfId="3" applyNumberFormat="1" applyFont="1" applyFill="1"/>
    <xf numFmtId="44" fontId="0" fillId="0" borderId="0" xfId="2" applyFont="1" applyFill="1" applyBorder="1"/>
    <xf numFmtId="44" fontId="0" fillId="0" borderId="0" xfId="0" applyNumberFormat="1"/>
    <xf numFmtId="165" fontId="0" fillId="0" borderId="0" xfId="2" applyNumberFormat="1" applyFont="1" applyFill="1" applyBorder="1"/>
    <xf numFmtId="44" fontId="0" fillId="0" borderId="0" xfId="2" applyFont="1" applyFill="1"/>
    <xf numFmtId="165" fontId="0" fillId="0" borderId="0" xfId="2" applyNumberFormat="1" applyFont="1" applyFill="1"/>
    <xf numFmtId="44" fontId="0" fillId="0" borderId="5" xfId="2" applyFont="1" applyFill="1" applyBorder="1"/>
    <xf numFmtId="3" fontId="3" fillId="0" borderId="0" xfId="0" applyNumberFormat="1" applyFont="1" applyAlignment="1">
      <alignment horizontal="center"/>
    </xf>
    <xf numFmtId="10" fontId="0" fillId="0" borderId="0" xfId="3" applyNumberFormat="1" applyFont="1" applyFill="1" applyBorder="1" applyAlignment="1">
      <alignment horizontal="center"/>
    </xf>
    <xf numFmtId="3" fontId="3" fillId="2" borderId="0" xfId="0" applyNumberFormat="1" applyFont="1" applyFill="1" applyAlignment="1">
      <alignment horizontal="center"/>
    </xf>
    <xf numFmtId="3" fontId="3" fillId="3" borderId="0" xfId="0" applyNumberFormat="1" applyFont="1" applyFill="1" applyAlignment="1">
      <alignment horizontal="center"/>
    </xf>
    <xf numFmtId="38" fontId="3" fillId="0" borderId="12" xfId="0" applyNumberFormat="1" applyFont="1" applyBorder="1" applyAlignment="1">
      <alignment horizontal="center"/>
    </xf>
    <xf numFmtId="38" fontId="3" fillId="4" borderId="11" xfId="0" applyNumberFormat="1" applyFont="1" applyFill="1" applyBorder="1" applyAlignment="1">
      <alignment horizontal="center"/>
    </xf>
    <xf numFmtId="3" fontId="7" fillId="4" borderId="0" xfId="0" applyNumberFormat="1" applyFont="1" applyFill="1" applyAlignment="1">
      <alignment horizontal="center"/>
    </xf>
    <xf numFmtId="0" fontId="3" fillId="0" borderId="12" xfId="0" applyFont="1" applyBorder="1" applyAlignment="1">
      <alignment horizontal="center"/>
    </xf>
    <xf numFmtId="0" fontId="3" fillId="5" borderId="13" xfId="0" applyFont="1" applyFill="1" applyBorder="1" applyAlignment="1">
      <alignment horizontal="center"/>
    </xf>
    <xf numFmtId="0" fontId="3" fillId="5" borderId="11" xfId="0" applyFont="1" applyFill="1" applyBorder="1" applyAlignment="1">
      <alignment horizontal="center"/>
    </xf>
    <xf numFmtId="38" fontId="3" fillId="3" borderId="13" xfId="0" applyNumberFormat="1" applyFont="1" applyFill="1" applyBorder="1" applyAlignment="1">
      <alignment horizontal="center"/>
    </xf>
    <xf numFmtId="3" fontId="3" fillId="4" borderId="14" xfId="0" applyNumberFormat="1" applyFont="1" applyFill="1" applyBorder="1" applyAlignment="1">
      <alignment horizontal="center"/>
    </xf>
    <xf numFmtId="3" fontId="3" fillId="5" borderId="0" xfId="0" applyNumberFormat="1" applyFont="1" applyFill="1" applyAlignment="1">
      <alignment horizontal="center" vertical="center"/>
    </xf>
    <xf numFmtId="0" fontId="8" fillId="0" borderId="0" xfId="4" applyFont="1"/>
    <xf numFmtId="0" fontId="1" fillId="0" borderId="0" xfId="4"/>
    <xf numFmtId="0" fontId="10" fillId="0" borderId="18" xfId="4" applyFont="1" applyBorder="1"/>
    <xf numFmtId="0" fontId="10" fillId="7" borderId="18" xfId="4" applyFont="1" applyFill="1" applyBorder="1"/>
    <xf numFmtId="0" fontId="10" fillId="0" borderId="20" xfId="4" applyFont="1" applyBorder="1"/>
    <xf numFmtId="0" fontId="10" fillId="0" borderId="19" xfId="4" applyFont="1" applyBorder="1"/>
    <xf numFmtId="0" fontId="10" fillId="0" borderId="0" xfId="4" applyFont="1"/>
    <xf numFmtId="41" fontId="1" fillId="0" borderId="0" xfId="4" applyNumberFormat="1"/>
    <xf numFmtId="41" fontId="1" fillId="7" borderId="0" xfId="4" applyNumberFormat="1" applyFill="1"/>
    <xf numFmtId="41" fontId="1" fillId="0" borderId="9" xfId="4" applyNumberFormat="1" applyBorder="1"/>
    <xf numFmtId="41" fontId="1" fillId="0" borderId="8" xfId="4" applyNumberFormat="1" applyBorder="1"/>
    <xf numFmtId="0" fontId="1" fillId="7" borderId="0" xfId="4" applyFill="1"/>
    <xf numFmtId="0" fontId="1" fillId="0" borderId="9" xfId="4" applyBorder="1"/>
    <xf numFmtId="0" fontId="1" fillId="0" borderId="8" xfId="4" applyBorder="1"/>
    <xf numFmtId="0" fontId="8" fillId="0" borderId="21" xfId="4" applyFont="1" applyBorder="1"/>
    <xf numFmtId="41" fontId="8" fillId="0" borderId="21" xfId="4" applyNumberFormat="1" applyFont="1" applyBorder="1"/>
    <xf numFmtId="41" fontId="8" fillId="0" borderId="0" xfId="4" applyNumberFormat="1" applyFont="1"/>
    <xf numFmtId="0" fontId="1" fillId="0" borderId="1" xfId="4" applyBorder="1" applyAlignment="1">
      <alignment horizontal="center"/>
    </xf>
    <xf numFmtId="0" fontId="1" fillId="0" borderId="0" xfId="4" applyAlignment="1">
      <alignment horizontal="center"/>
    </xf>
    <xf numFmtId="38" fontId="3" fillId="5" borderId="1" xfId="0" applyNumberFormat="1" applyFont="1" applyFill="1" applyBorder="1" applyAlignment="1">
      <alignment horizontal="center"/>
    </xf>
    <xf numFmtId="0" fontId="8" fillId="8" borderId="1" xfId="4" applyFont="1" applyFill="1" applyBorder="1" applyAlignment="1">
      <alignment horizontal="center"/>
    </xf>
    <xf numFmtId="166" fontId="8" fillId="8" borderId="1" xfId="1" applyNumberFormat="1" applyFont="1" applyFill="1" applyBorder="1"/>
    <xf numFmtId="0" fontId="1" fillId="6" borderId="1" xfId="4" applyFill="1" applyBorder="1"/>
    <xf numFmtId="166" fontId="1" fillId="6" borderId="1" xfId="1" applyNumberFormat="1" applyFont="1" applyFill="1" applyBorder="1"/>
    <xf numFmtId="166" fontId="8" fillId="8" borderId="1" xfId="1" applyNumberFormat="1" applyFont="1" applyFill="1" applyBorder="1" applyAlignment="1"/>
    <xf numFmtId="3" fontId="0" fillId="0" borderId="0" xfId="0" applyNumberFormat="1" applyAlignment="1">
      <alignment horizontal="center"/>
    </xf>
    <xf numFmtId="0" fontId="3" fillId="5" borderId="11" xfId="0" applyFont="1" applyFill="1" applyBorder="1" applyAlignment="1">
      <alignment horizontal="left"/>
    </xf>
    <xf numFmtId="0" fontId="3" fillId="5" borderId="0" xfId="0" applyFont="1" applyFill="1" applyAlignment="1">
      <alignment horizontal="center"/>
    </xf>
    <xf numFmtId="0" fontId="3" fillId="5" borderId="23" xfId="0" applyFont="1" applyFill="1" applyBorder="1" applyAlignment="1">
      <alignment horizontal="center"/>
    </xf>
    <xf numFmtId="3" fontId="3" fillId="4" borderId="24" xfId="0" applyNumberFormat="1" applyFont="1" applyFill="1" applyBorder="1" applyAlignment="1">
      <alignment horizontal="center"/>
    </xf>
    <xf numFmtId="3" fontId="3" fillId="3" borderId="14" xfId="0" applyNumberFormat="1" applyFont="1" applyFill="1" applyBorder="1" applyAlignment="1">
      <alignment horizontal="center"/>
    </xf>
    <xf numFmtId="38" fontId="3" fillId="0" borderId="11" xfId="0" applyNumberFormat="1" applyFont="1" applyBorder="1" applyAlignment="1">
      <alignment horizontal="center"/>
    </xf>
    <xf numFmtId="38" fontId="3" fillId="0" borderId="23" xfId="0" applyNumberFormat="1" applyFont="1" applyBorder="1" applyAlignment="1">
      <alignment horizontal="center"/>
    </xf>
    <xf numFmtId="0" fontId="0" fillId="0" borderId="9" xfId="0" applyBorder="1"/>
    <xf numFmtId="3" fontId="0" fillId="0" borderId="9" xfId="0" applyNumberFormat="1" applyBorder="1"/>
    <xf numFmtId="0" fontId="0" fillId="0" borderId="14" xfId="0" applyBorder="1" applyAlignment="1">
      <alignment horizontal="center"/>
    </xf>
    <xf numFmtId="1" fontId="0" fillId="0" borderId="14" xfId="0" applyNumberFormat="1" applyBorder="1" applyAlignment="1">
      <alignment horizontal="center"/>
    </xf>
    <xf numFmtId="0" fontId="0" fillId="0" borderId="25" xfId="0" applyBorder="1" applyAlignment="1">
      <alignment horizontal="center"/>
    </xf>
    <xf numFmtId="0" fontId="3" fillId="0" borderId="11" xfId="0" applyFont="1" applyBorder="1"/>
    <xf numFmtId="0" fontId="3" fillId="0" borderId="20" xfId="0" applyFont="1" applyBorder="1"/>
    <xf numFmtId="0" fontId="3" fillId="0" borderId="26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7" xfId="0" applyFont="1" applyBorder="1"/>
    <xf numFmtId="38" fontId="0" fillId="0" borderId="26" xfId="0" applyNumberFormat="1" applyBorder="1" applyAlignment="1">
      <alignment horizontal="center"/>
    </xf>
    <xf numFmtId="38" fontId="0" fillId="0" borderId="19" xfId="0" applyNumberFormat="1" applyBorder="1" applyAlignment="1">
      <alignment horizontal="center"/>
    </xf>
    <xf numFmtId="166" fontId="3" fillId="5" borderId="18" xfId="1" applyNumberFormat="1" applyFont="1" applyFill="1" applyBorder="1" applyAlignment="1">
      <alignment horizontal="left"/>
    </xf>
    <xf numFmtId="166" fontId="3" fillId="5" borderId="23" xfId="1" applyNumberFormat="1" applyFont="1" applyFill="1" applyBorder="1" applyAlignment="1">
      <alignment horizontal="left"/>
    </xf>
    <xf numFmtId="0" fontId="3" fillId="9" borderId="0" xfId="0" applyFont="1" applyFill="1"/>
    <xf numFmtId="1" fontId="3" fillId="9" borderId="0" xfId="0" applyNumberFormat="1" applyFont="1" applyFill="1" applyAlignment="1">
      <alignment horizontal="center"/>
    </xf>
    <xf numFmtId="166" fontId="0" fillId="0" borderId="0" xfId="0" applyNumberFormat="1"/>
    <xf numFmtId="166" fontId="12" fillId="9" borderId="0" xfId="0" applyNumberFormat="1" applyFont="1" applyFill="1" applyAlignment="1">
      <alignment horizontal="center"/>
    </xf>
    <xf numFmtId="166" fontId="0" fillId="0" borderId="0" xfId="1" applyNumberFormat="1" applyFont="1" applyAlignment="1">
      <alignment wrapText="1"/>
    </xf>
    <xf numFmtId="166" fontId="0" fillId="0" borderId="0" xfId="0" applyNumberFormat="1" applyAlignment="1">
      <alignment horizontal="center"/>
    </xf>
    <xf numFmtId="43" fontId="0" fillId="0" borderId="0" xfId="0" applyNumberFormat="1"/>
    <xf numFmtId="3" fontId="0" fillId="10" borderId="2" xfId="0" applyNumberFormat="1" applyFill="1" applyBorder="1" applyAlignment="1">
      <alignment horizontal="center"/>
    </xf>
    <xf numFmtId="0" fontId="0" fillId="10" borderId="0" xfId="0" applyFill="1"/>
    <xf numFmtId="43" fontId="0" fillId="10" borderId="0" xfId="0" applyNumberFormat="1" applyFill="1" applyAlignment="1">
      <alignment horizontal="left"/>
    </xf>
    <xf numFmtId="38" fontId="3" fillId="5" borderId="0" xfId="0" applyNumberFormat="1" applyFont="1" applyFill="1" applyAlignment="1">
      <alignment horizontal="center"/>
    </xf>
    <xf numFmtId="38" fontId="3" fillId="5" borderId="13" xfId="0" applyNumberFormat="1" applyFont="1" applyFill="1" applyBorder="1" applyAlignment="1">
      <alignment horizontal="center"/>
    </xf>
    <xf numFmtId="3" fontId="0" fillId="3" borderId="0" xfId="0" applyNumberFormat="1" applyFill="1" applyAlignment="1">
      <alignment horizontal="center"/>
    </xf>
    <xf numFmtId="0" fontId="7" fillId="11" borderId="0" xfId="0" applyFont="1" applyFill="1"/>
    <xf numFmtId="38" fontId="15" fillId="11" borderId="0" xfId="0" applyNumberFormat="1" applyFont="1" applyFill="1" applyAlignment="1">
      <alignment horizontal="center"/>
    </xf>
    <xf numFmtId="38" fontId="15" fillId="12" borderId="0" xfId="0" applyNumberFormat="1" applyFont="1" applyFill="1" applyAlignment="1">
      <alignment horizontal="center"/>
    </xf>
    <xf numFmtId="0" fontId="7" fillId="12" borderId="0" xfId="0" applyFont="1" applyFill="1" applyAlignment="1">
      <alignment vertical="center"/>
    </xf>
    <xf numFmtId="0" fontId="7" fillId="13" borderId="0" xfId="0" applyFont="1" applyFill="1"/>
    <xf numFmtId="166" fontId="7" fillId="13" borderId="0" xfId="1" applyNumberFormat="1" applyFont="1" applyFill="1"/>
    <xf numFmtId="38" fontId="7" fillId="13" borderId="0" xfId="0" applyNumberFormat="1" applyFont="1" applyFill="1" applyAlignment="1">
      <alignment horizontal="center"/>
    </xf>
    <xf numFmtId="3" fontId="3" fillId="5" borderId="2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/>
    <xf numFmtId="1" fontId="0" fillId="5" borderId="0" xfId="0" applyNumberFormat="1" applyFill="1"/>
    <xf numFmtId="2" fontId="0" fillId="0" borderId="0" xfId="0" applyNumberFormat="1"/>
    <xf numFmtId="1" fontId="0" fillId="0" borderId="0" xfId="0" applyNumberFormat="1"/>
    <xf numFmtId="4" fontId="0" fillId="5" borderId="0" xfId="0" applyNumberFormat="1" applyFill="1"/>
    <xf numFmtId="0" fontId="8" fillId="5" borderId="7" xfId="4" applyFont="1" applyFill="1" applyBorder="1" applyAlignment="1">
      <alignment horizontal="left"/>
    </xf>
    <xf numFmtId="0" fontId="8" fillId="5" borderId="22" xfId="4" applyFont="1" applyFill="1" applyBorder="1" applyAlignment="1">
      <alignment horizontal="left"/>
    </xf>
    <xf numFmtId="0" fontId="9" fillId="5" borderId="15" xfId="4" applyFont="1" applyFill="1" applyBorder="1" applyAlignment="1">
      <alignment horizontal="center"/>
    </xf>
    <xf numFmtId="0" fontId="9" fillId="5" borderId="16" xfId="4" applyFont="1" applyFill="1" applyBorder="1" applyAlignment="1">
      <alignment horizontal="center"/>
    </xf>
    <xf numFmtId="0" fontId="9" fillId="5" borderId="17" xfId="4" applyFont="1" applyFill="1" applyBorder="1" applyAlignment="1">
      <alignment horizontal="center"/>
    </xf>
    <xf numFmtId="0" fontId="7" fillId="13" borderId="0" xfId="0" applyFont="1" applyFill="1" applyAlignment="1">
      <alignment horizontal="center" vertical="center" textRotation="45"/>
    </xf>
    <xf numFmtId="0" fontId="0" fillId="0" borderId="0" xfId="0" applyAlignment="1">
      <alignment horizontal="center"/>
    </xf>
    <xf numFmtId="0" fontId="0" fillId="14" borderId="0" xfId="0" applyFill="1"/>
    <xf numFmtId="0" fontId="3" fillId="14" borderId="0" xfId="0" applyFont="1" applyFill="1"/>
    <xf numFmtId="1" fontId="3" fillId="14" borderId="0" xfId="0" applyNumberFormat="1" applyFont="1" applyFill="1"/>
  </cellXfs>
  <cellStyles count="5">
    <cellStyle name="Comma" xfId="1" builtinId="3"/>
    <cellStyle name="Currency" xfId="2" builtinId="4"/>
    <cellStyle name="Normal" xfId="0" builtinId="0"/>
    <cellStyle name="Normal 2" xfId="4" xr:uid="{F278E25F-CBBA-4966-95B3-09348A6AE6CC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BLIC\NIGEL\New%20line%20downtime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X:\Business%20Plan%202026\Group%20Budget%20Upload\2026%20%20Business%20Plan%202Final.xlsx" TargetMode="External"/><Relationship Id="rId1" Type="http://schemas.openxmlformats.org/officeDocument/2006/relationships/externalLinkPath" Target="file:///X:\Business%20Plan%202026\Group%20Budget%20Upload\2026%20%20Business%20Plan%202Fina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ONATHAN\StratPlan0206\Volum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"/>
      <sheetName val="Monthly summary loss"/>
      <sheetName val="Pareto analysis month "/>
      <sheetName val=" Jan"/>
      <sheetName val="Feb"/>
      <sheetName val="Mar"/>
      <sheetName val="April"/>
      <sheetName val="May"/>
      <sheetName val="June"/>
      <sheetName val="July"/>
      <sheetName val="Aug"/>
      <sheetName val="Sept"/>
      <sheetName val="Oct"/>
      <sheetName val="Nov"/>
      <sheetName val="Dec"/>
      <sheetName val="Pareto Dat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T PL"/>
      <sheetName val="Sheet1"/>
      <sheetName val="Export volume"/>
      <sheetName val="Makreting 2 use"/>
      <sheetName val="MarketingBudget"/>
      <sheetName val="Sales-live"/>
      <sheetName val="production scheduler"/>
      <sheetName val="Production plan"/>
      <sheetName val="Working days"/>
      <sheetName val="Quarterly"/>
      <sheetName val="PLTT$"/>
      <sheetName val="graph"/>
      <sheetName val="Summary"/>
      <sheetName val="Cost per case 2"/>
      <sheetName val="Workings for Cost percase"/>
      <sheetName val="Cost per case monthly (2)"/>
      <sheetName val="Cost per case monthly"/>
      <sheetName val="PhasedP&amp;L"/>
      <sheetName val="PhasedYTDP&amp;L"/>
      <sheetName val="Brand Contribution"/>
      <sheetName val="Avg case Profit"/>
      <sheetName val="Carib"/>
      <sheetName val="CaribBP"/>
      <sheetName val="Carib Flint"/>
      <sheetName val="Carib Light"/>
      <sheetName val="Stag-Total"/>
      <sheetName val="Stag"/>
      <sheetName val="Carib Export"/>
      <sheetName val="Stag-Exports"/>
      <sheetName val="All Hurricane Reef"/>
      <sheetName val="Hurricane Reef IPA"/>
      <sheetName val="Hurrican Reef Pilsner"/>
      <sheetName val="Hurrican Reef APA"/>
      <sheetName val="Hurricane Reef Export "/>
      <sheetName val="FESBP"/>
      <sheetName val="All Local Vita Malt"/>
      <sheetName val="VitaBP Classic"/>
      <sheetName val="VitaBP Coco Hibis"/>
      <sheetName val="VitaBP Ginger"/>
      <sheetName val="VitaExport"/>
      <sheetName val="Caribe Local All"/>
      <sheetName val="Caribe-Brut"/>
      <sheetName val="Caribe-Rose"/>
      <sheetName val="Caribe-Pearseco"/>
      <sheetName val="Caribe-Sangria"/>
      <sheetName val="Caribe-Mimosa"/>
      <sheetName val="Caribe exports"/>
      <sheetName val="Star Malt"/>
      <sheetName val="Mackeson"/>
      <sheetName val="Mackeson-Chocolate"/>
      <sheetName val="Mackeson Exports"/>
      <sheetName val="Shandy All"/>
      <sheetName val="Shandy Lime "/>
      <sheetName val="Shandy-Ginger"/>
      <sheetName val="Shandy-Sorrel"/>
      <sheetName val="Shandy  Exports"/>
      <sheetName val="Juicy10"/>
      <sheetName val="Ting"/>
      <sheetName val="Pink-Ting"/>
      <sheetName val="Ginseng Lime"/>
      <sheetName val="Ginseng Original"/>
      <sheetName val="Ginseng Apple"/>
      <sheetName val="Carib Can Imp"/>
      <sheetName val="Stag Cans imp"/>
      <sheetName val="Rockstone"/>
      <sheetName val="Heineken Cans"/>
      <sheetName val="Heineken Bottles"/>
      <sheetName val="Eagle Ray"/>
      <sheetName val="Peardrella"/>
      <sheetName val="Black Ice"/>
      <sheetName val="Smirnoff Aple"/>
      <sheetName val="Corporate"/>
      <sheetName val="Balsheetworkings"/>
      <sheetName val="Closing StocksRPC"/>
      <sheetName val="Total Production cost"/>
      <sheetName val="Cost Per case 2018"/>
      <sheetName val="CaribBP-Production"/>
      <sheetName val="Carib Flint -Production"/>
      <sheetName val="Stag-Production "/>
      <sheetName val="FESBP-Production"/>
      <sheetName val="Mackesonetc-Production"/>
      <sheetName val="VitaBP-Production"/>
      <sheetName val="VitaBP-Ginger Production"/>
      <sheetName val="Caribe-Production"/>
      <sheetName val="StarMalt-Production"/>
      <sheetName val="Craft export-Production"/>
      <sheetName val="Craft beer-Production"/>
      <sheetName val="Juicy10BP-Production"/>
      <sheetName val="Ting-Production"/>
      <sheetName val="Shandy-Ginger-Production"/>
      <sheetName val="Shandy-Sorrel-Production"/>
      <sheetName val="ShandyExport-Production"/>
      <sheetName val="Shandy Lime-Production"/>
      <sheetName val="Ginseng Original -Production"/>
      <sheetName val="Ginseng Appl-Production "/>
      <sheetName val="Ginseng Lime-Production"/>
      <sheetName val="Expenses 2025"/>
      <sheetName val="Total Expenses"/>
      <sheetName val="Admin &amp; Finance "/>
      <sheetName val="HR DP124"/>
      <sheetName val="Finance DP089"/>
      <sheetName val="CIT DP027"/>
      <sheetName val="ExecutiveDP083"/>
      <sheetName val="Corporate DP054"/>
      <sheetName val="HSE DP115"/>
      <sheetName val="Purchasing "/>
      <sheetName val="Sales DP242"/>
      <sheetName val="Distribution DP064"/>
      <sheetName val="Marketing"/>
      <sheetName val="Export dist"/>
      <sheetName val=" StoresDP268"/>
      <sheetName val="Logistics "/>
      <sheetName val="Bottling "/>
      <sheetName val="Maintenance-Utilities"/>
      <sheetName val="Maintenance -Packaging"/>
      <sheetName val="Brewing"/>
      <sheetName val="Quality "/>
      <sheetName val="Operations DP195"/>
      <sheetName val="Balsheet2025"/>
      <sheetName val="BalSheet"/>
      <sheetName val="Cashflow"/>
      <sheetName val="Tax"/>
      <sheetName val="Profit share"/>
      <sheetName val="Depreciation"/>
      <sheetName val="aug16"/>
      <sheetName val="Electricity"/>
      <sheetName val="General Chemicals"/>
      <sheetName val="Material pricingproduction&amp; uti"/>
      <sheetName val="EVC budget"/>
      <sheetName val="Ops KPIs"/>
    </sheetNames>
    <sheetDataSet>
      <sheetData sheetId="0"/>
      <sheetData sheetId="1"/>
      <sheetData sheetId="2"/>
      <sheetData sheetId="3"/>
      <sheetData sheetId="4"/>
      <sheetData sheetId="5">
        <row r="5">
          <cell r="O5">
            <v>602276.20363005111</v>
          </cell>
        </row>
        <row r="6">
          <cell r="O6">
            <v>17205.265727978021</v>
          </cell>
        </row>
        <row r="8">
          <cell r="O8">
            <v>346394.63456072193</v>
          </cell>
        </row>
        <row r="10">
          <cell r="O10">
            <v>86503.565447501314</v>
          </cell>
        </row>
        <row r="11">
          <cell r="O11">
            <v>21352.096043434023</v>
          </cell>
        </row>
        <row r="13">
          <cell r="O13">
            <v>60253.355552642344</v>
          </cell>
        </row>
        <row r="16">
          <cell r="O16">
            <v>83938.363254076743</v>
          </cell>
        </row>
        <row r="17">
          <cell r="O17">
            <v>0</v>
          </cell>
        </row>
        <row r="26">
          <cell r="O26">
            <v>1256725.1496428191</v>
          </cell>
        </row>
        <row r="40">
          <cell r="O40">
            <v>12336.104298004428</v>
          </cell>
        </row>
        <row r="43">
          <cell r="O43">
            <v>11094.734332410915</v>
          </cell>
        </row>
        <row r="45">
          <cell r="O45">
            <v>1609.0049690487085</v>
          </cell>
        </row>
        <row r="48">
          <cell r="O48">
            <v>19416.907688434305</v>
          </cell>
        </row>
        <row r="52">
          <cell r="O52">
            <v>8864.728035711998</v>
          </cell>
        </row>
        <row r="54">
          <cell r="O54">
            <v>15392.712930368178</v>
          </cell>
        </row>
        <row r="56">
          <cell r="O56">
            <v>4384.8060647533239</v>
          </cell>
        </row>
        <row r="77">
          <cell r="O77">
            <v>1403971.9264234926</v>
          </cell>
        </row>
        <row r="79">
          <cell r="O79">
            <v>7392</v>
          </cell>
        </row>
        <row r="80">
          <cell r="O80">
            <v>0</v>
          </cell>
        </row>
        <row r="81">
          <cell r="O81">
            <v>91567</v>
          </cell>
        </row>
        <row r="82">
          <cell r="O82">
            <v>0</v>
          </cell>
        </row>
        <row r="85">
          <cell r="O85">
            <v>0</v>
          </cell>
        </row>
      </sheetData>
      <sheetData sheetId="6">
        <row r="5">
          <cell r="D5">
            <v>42000</v>
          </cell>
          <cell r="E5">
            <v>42000</v>
          </cell>
          <cell r="F5">
            <v>68700</v>
          </cell>
          <cell r="G5">
            <v>61000</v>
          </cell>
          <cell r="H5">
            <v>30600</v>
          </cell>
          <cell r="I5">
            <v>50400</v>
          </cell>
          <cell r="J5">
            <v>49000</v>
          </cell>
          <cell r="K5">
            <v>46900</v>
          </cell>
          <cell r="L5">
            <v>44800</v>
          </cell>
          <cell r="M5">
            <v>49700</v>
          </cell>
          <cell r="N5">
            <v>69300</v>
          </cell>
          <cell r="O5">
            <v>47600</v>
          </cell>
          <cell r="Q5">
            <v>602000</v>
          </cell>
        </row>
        <row r="6">
          <cell r="D6">
            <v>2100</v>
          </cell>
          <cell r="E6">
            <v>2100</v>
          </cell>
          <cell r="F6">
            <v>2100</v>
          </cell>
          <cell r="G6">
            <v>700</v>
          </cell>
          <cell r="H6">
            <v>0</v>
          </cell>
          <cell r="I6">
            <v>2100</v>
          </cell>
          <cell r="J6">
            <v>2100</v>
          </cell>
          <cell r="K6">
            <v>1400</v>
          </cell>
          <cell r="L6">
            <v>1400</v>
          </cell>
          <cell r="M6">
            <v>1400</v>
          </cell>
          <cell r="N6">
            <v>2100</v>
          </cell>
          <cell r="O6">
            <v>2100</v>
          </cell>
          <cell r="Q6">
            <v>19600</v>
          </cell>
        </row>
        <row r="7">
          <cell r="D7">
            <v>9800</v>
          </cell>
          <cell r="E7">
            <v>9800</v>
          </cell>
          <cell r="F7">
            <v>5600</v>
          </cell>
          <cell r="G7">
            <v>3500</v>
          </cell>
          <cell r="H7">
            <v>3500</v>
          </cell>
          <cell r="I7">
            <v>9800</v>
          </cell>
          <cell r="J7">
            <v>7000</v>
          </cell>
          <cell r="K7">
            <v>7700</v>
          </cell>
          <cell r="L7">
            <v>9800</v>
          </cell>
          <cell r="M7">
            <v>9800</v>
          </cell>
          <cell r="N7">
            <v>18200</v>
          </cell>
          <cell r="O7">
            <v>0</v>
          </cell>
        </row>
        <row r="9">
          <cell r="D9">
            <v>24500</v>
          </cell>
          <cell r="E9">
            <v>30800</v>
          </cell>
          <cell r="F9">
            <v>32200</v>
          </cell>
          <cell r="G9">
            <v>30100</v>
          </cell>
          <cell r="H9">
            <v>16800</v>
          </cell>
          <cell r="I9">
            <v>28700</v>
          </cell>
          <cell r="J9">
            <v>33600</v>
          </cell>
          <cell r="K9">
            <v>30100</v>
          </cell>
          <cell r="L9">
            <v>26600</v>
          </cell>
          <cell r="M9">
            <v>29400</v>
          </cell>
          <cell r="N9">
            <v>27300</v>
          </cell>
          <cell r="O9">
            <v>40600</v>
          </cell>
          <cell r="Q9">
            <v>350700</v>
          </cell>
        </row>
        <row r="10"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2">
          <cell r="D12">
            <v>2100</v>
          </cell>
          <cell r="E12">
            <v>2100</v>
          </cell>
          <cell r="F12">
            <v>2800</v>
          </cell>
          <cell r="G12">
            <v>1400</v>
          </cell>
          <cell r="H12">
            <v>1400</v>
          </cell>
          <cell r="I12">
            <v>2800</v>
          </cell>
          <cell r="J12">
            <v>2800</v>
          </cell>
          <cell r="K12">
            <v>2100</v>
          </cell>
          <cell r="L12">
            <v>1400</v>
          </cell>
          <cell r="M12">
            <v>2100</v>
          </cell>
          <cell r="N12">
            <v>2100</v>
          </cell>
          <cell r="O12">
            <v>4200</v>
          </cell>
          <cell r="Q12">
            <v>27300</v>
          </cell>
        </row>
        <row r="13"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</row>
        <row r="14">
          <cell r="D14">
            <v>6300</v>
          </cell>
          <cell r="E14">
            <v>7700</v>
          </cell>
          <cell r="F14">
            <v>8400</v>
          </cell>
          <cell r="G14">
            <v>7700</v>
          </cell>
          <cell r="H14">
            <v>7700</v>
          </cell>
          <cell r="I14">
            <v>7000</v>
          </cell>
          <cell r="J14">
            <v>7700</v>
          </cell>
          <cell r="K14">
            <v>7000</v>
          </cell>
          <cell r="L14">
            <v>5600</v>
          </cell>
          <cell r="M14">
            <v>6300</v>
          </cell>
          <cell r="N14">
            <v>7000</v>
          </cell>
          <cell r="O14">
            <v>10500</v>
          </cell>
          <cell r="Q14">
            <v>88900</v>
          </cell>
        </row>
        <row r="15">
          <cell r="D15">
            <v>2100</v>
          </cell>
          <cell r="E15">
            <v>2800</v>
          </cell>
          <cell r="F15">
            <v>2800</v>
          </cell>
          <cell r="G15">
            <v>3500</v>
          </cell>
          <cell r="H15">
            <v>2800</v>
          </cell>
          <cell r="I15">
            <v>2800</v>
          </cell>
          <cell r="J15">
            <v>1400</v>
          </cell>
          <cell r="K15">
            <v>3500</v>
          </cell>
          <cell r="L15">
            <v>2100</v>
          </cell>
          <cell r="M15">
            <v>2800</v>
          </cell>
          <cell r="N15">
            <v>2100</v>
          </cell>
          <cell r="O15">
            <v>3500</v>
          </cell>
          <cell r="Q15">
            <v>32200</v>
          </cell>
        </row>
        <row r="16">
          <cell r="D16">
            <v>2500</v>
          </cell>
          <cell r="E16">
            <v>3125</v>
          </cell>
          <cell r="F16">
            <v>5625</v>
          </cell>
          <cell r="G16">
            <v>6250</v>
          </cell>
          <cell r="H16">
            <v>6250</v>
          </cell>
          <cell r="I16">
            <v>5000</v>
          </cell>
          <cell r="J16">
            <v>5625</v>
          </cell>
          <cell r="K16">
            <v>5000</v>
          </cell>
          <cell r="L16">
            <v>5000</v>
          </cell>
          <cell r="M16">
            <v>5000</v>
          </cell>
          <cell r="N16">
            <v>5000</v>
          </cell>
          <cell r="O16">
            <v>9375</v>
          </cell>
          <cell r="Q16">
            <v>63750</v>
          </cell>
        </row>
        <row r="17">
          <cell r="D17">
            <v>7000</v>
          </cell>
          <cell r="E17">
            <v>7000</v>
          </cell>
          <cell r="F17">
            <v>7700</v>
          </cell>
          <cell r="G17">
            <v>7000</v>
          </cell>
          <cell r="H17">
            <v>7000</v>
          </cell>
          <cell r="I17">
            <v>5600</v>
          </cell>
          <cell r="J17">
            <v>7000</v>
          </cell>
          <cell r="K17">
            <v>6300</v>
          </cell>
          <cell r="L17">
            <v>6300</v>
          </cell>
          <cell r="M17">
            <v>6300</v>
          </cell>
          <cell r="N17">
            <v>6300</v>
          </cell>
          <cell r="O17">
            <v>14700</v>
          </cell>
          <cell r="Q17">
            <v>88200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</row>
        <row r="19">
          <cell r="D19">
            <v>3600</v>
          </cell>
          <cell r="E19">
            <v>3600</v>
          </cell>
          <cell r="F19">
            <v>3600</v>
          </cell>
          <cell r="G19">
            <v>3600</v>
          </cell>
          <cell r="H19">
            <v>1800</v>
          </cell>
          <cell r="I19">
            <v>1800</v>
          </cell>
          <cell r="J19">
            <v>3600</v>
          </cell>
          <cell r="K19">
            <v>3600</v>
          </cell>
          <cell r="L19">
            <v>3600</v>
          </cell>
          <cell r="M19">
            <v>3600</v>
          </cell>
          <cell r="N19">
            <v>3600</v>
          </cell>
          <cell r="O19">
            <v>3600</v>
          </cell>
          <cell r="Q19">
            <v>39600</v>
          </cell>
        </row>
        <row r="20">
          <cell r="D20">
            <v>1150</v>
          </cell>
          <cell r="E20">
            <v>1150</v>
          </cell>
          <cell r="F20">
            <v>1150</v>
          </cell>
          <cell r="G20">
            <v>1150</v>
          </cell>
          <cell r="H20">
            <v>1150</v>
          </cell>
          <cell r="I20">
            <v>1150</v>
          </cell>
          <cell r="J20">
            <v>1150</v>
          </cell>
          <cell r="K20">
            <v>1150</v>
          </cell>
          <cell r="L20">
            <v>1150</v>
          </cell>
          <cell r="M20">
            <v>1150</v>
          </cell>
          <cell r="N20">
            <v>1150</v>
          </cell>
          <cell r="O20">
            <v>2300</v>
          </cell>
          <cell r="Q20">
            <v>14950</v>
          </cell>
        </row>
        <row r="21">
          <cell r="B21" t="str">
            <v>Craft Beer</v>
          </cell>
          <cell r="D21">
            <v>1400</v>
          </cell>
          <cell r="E21">
            <v>700</v>
          </cell>
          <cell r="F21">
            <v>700</v>
          </cell>
          <cell r="G21">
            <v>1400</v>
          </cell>
          <cell r="H21">
            <v>700</v>
          </cell>
          <cell r="I21">
            <v>700</v>
          </cell>
          <cell r="J21">
            <v>0</v>
          </cell>
          <cell r="K21">
            <v>700</v>
          </cell>
          <cell r="L21">
            <v>1400</v>
          </cell>
          <cell r="M21">
            <v>700</v>
          </cell>
          <cell r="N21">
            <v>700</v>
          </cell>
          <cell r="O21">
            <v>700</v>
          </cell>
        </row>
        <row r="22">
          <cell r="D22">
            <v>1500</v>
          </cell>
          <cell r="E22">
            <v>1500</v>
          </cell>
          <cell r="F22">
            <v>1500</v>
          </cell>
          <cell r="G22">
            <v>1500</v>
          </cell>
          <cell r="H22">
            <v>3000</v>
          </cell>
          <cell r="I22">
            <v>1500</v>
          </cell>
          <cell r="J22">
            <v>1500</v>
          </cell>
          <cell r="K22">
            <v>1500</v>
          </cell>
          <cell r="L22">
            <v>1500</v>
          </cell>
          <cell r="M22">
            <v>1500</v>
          </cell>
          <cell r="N22">
            <v>1500</v>
          </cell>
          <cell r="O22">
            <v>4500</v>
          </cell>
          <cell r="Q22">
            <v>22500</v>
          </cell>
        </row>
        <row r="23"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Q23">
            <v>0</v>
          </cell>
        </row>
        <row r="24">
          <cell r="D24">
            <v>700</v>
          </cell>
          <cell r="E24">
            <v>700</v>
          </cell>
          <cell r="F24">
            <v>700</v>
          </cell>
          <cell r="G24">
            <v>700</v>
          </cell>
          <cell r="H24">
            <v>700</v>
          </cell>
          <cell r="I24">
            <v>1400</v>
          </cell>
          <cell r="J24">
            <v>700</v>
          </cell>
          <cell r="K24">
            <v>700</v>
          </cell>
          <cell r="L24">
            <v>700</v>
          </cell>
          <cell r="M24">
            <v>700</v>
          </cell>
          <cell r="N24">
            <v>700</v>
          </cell>
          <cell r="O24">
            <v>2800</v>
          </cell>
          <cell r="Q24">
            <v>11200</v>
          </cell>
        </row>
        <row r="25">
          <cell r="D25">
            <v>700</v>
          </cell>
          <cell r="E25">
            <v>700</v>
          </cell>
          <cell r="F25">
            <v>700</v>
          </cell>
          <cell r="G25">
            <v>700</v>
          </cell>
          <cell r="H25">
            <v>700</v>
          </cell>
          <cell r="I25">
            <v>700</v>
          </cell>
          <cell r="J25">
            <v>700</v>
          </cell>
          <cell r="K25">
            <v>700</v>
          </cell>
          <cell r="L25">
            <v>700</v>
          </cell>
          <cell r="M25">
            <v>700</v>
          </cell>
          <cell r="N25">
            <v>700</v>
          </cell>
          <cell r="O25">
            <v>1400</v>
          </cell>
          <cell r="Q25">
            <v>9100</v>
          </cell>
        </row>
        <row r="26">
          <cell r="D26">
            <v>1400</v>
          </cell>
          <cell r="E26">
            <v>1400</v>
          </cell>
          <cell r="F26">
            <v>1400</v>
          </cell>
          <cell r="G26">
            <v>1400</v>
          </cell>
          <cell r="H26">
            <v>1400</v>
          </cell>
          <cell r="I26">
            <v>700</v>
          </cell>
          <cell r="J26">
            <v>1400</v>
          </cell>
          <cell r="K26">
            <v>2100</v>
          </cell>
          <cell r="L26">
            <v>1400</v>
          </cell>
          <cell r="M26">
            <v>1400</v>
          </cell>
          <cell r="N26">
            <v>2100</v>
          </cell>
          <cell r="O26">
            <v>3500</v>
          </cell>
          <cell r="Q26">
            <v>19600</v>
          </cell>
        </row>
        <row r="27">
          <cell r="D27">
            <v>700</v>
          </cell>
          <cell r="E27">
            <v>1400</v>
          </cell>
          <cell r="F27">
            <v>700</v>
          </cell>
          <cell r="G27">
            <v>700</v>
          </cell>
          <cell r="H27">
            <v>700</v>
          </cell>
          <cell r="I27">
            <v>700</v>
          </cell>
          <cell r="J27">
            <v>1400</v>
          </cell>
          <cell r="K27">
            <v>700</v>
          </cell>
          <cell r="L27">
            <v>700</v>
          </cell>
          <cell r="M27">
            <v>1400</v>
          </cell>
          <cell r="N27">
            <v>2800</v>
          </cell>
          <cell r="O27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31">
          <cell r="N31">
            <v>5781.3973066666667</v>
          </cell>
        </row>
        <row r="32">
          <cell r="N32">
            <v>2592.8877857180078</v>
          </cell>
        </row>
        <row r="33">
          <cell r="N33">
            <v>4855.3297552705062</v>
          </cell>
        </row>
        <row r="34">
          <cell r="N34">
            <v>770.05143190381409</v>
          </cell>
        </row>
        <row r="35">
          <cell r="N35">
            <v>488.68085845303727</v>
          </cell>
        </row>
        <row r="37">
          <cell r="N37">
            <v>1638.8690143702579</v>
          </cell>
        </row>
        <row r="38">
          <cell r="N38">
            <v>2984.3706592638905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>
        <row r="233">
          <cell r="P233">
            <v>0</v>
          </cell>
        </row>
      </sheetData>
      <sheetData sheetId="106"/>
      <sheetData sheetId="107"/>
      <sheetData sheetId="108"/>
      <sheetData sheetId="109"/>
      <sheetData sheetId="110"/>
      <sheetData sheetId="111">
        <row r="128">
          <cell r="P128">
            <v>2143117.2414182359</v>
          </cell>
        </row>
      </sheetData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umes"/>
      <sheetName val="Rates"/>
      <sheetName val="Hects"/>
      <sheetName val="Phasing"/>
      <sheetName val="FY00ActualPhasing"/>
      <sheetName val="AveragePrices"/>
    </sheetNames>
    <sheetDataSet>
      <sheetData sheetId="0" refreshError="1"/>
      <sheetData sheetId="1" refreshError="1"/>
      <sheetData sheetId="2" refreshError="1"/>
      <sheetData sheetId="3" refreshError="1">
        <row r="6">
          <cell r="B6" t="str">
            <v>July</v>
          </cell>
          <cell r="C6" t="str">
            <v>August</v>
          </cell>
          <cell r="D6" t="str">
            <v>September</v>
          </cell>
          <cell r="E6" t="str">
            <v>October</v>
          </cell>
          <cell r="F6" t="str">
            <v>November</v>
          </cell>
          <cell r="G6" t="str">
            <v>December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73F45-B8E6-4F14-8CBE-DB3B01D958F8}">
  <sheetPr>
    <pageSetUpPr fitToPage="1"/>
  </sheetPr>
  <dimension ref="A1:T57"/>
  <sheetViews>
    <sheetView showGridLines="0" topLeftCell="A4" zoomScale="80" zoomScaleNormal="80" workbookViewId="0">
      <pane xSplit="1" ySplit="3" topLeftCell="B7" activePane="bottomRight" state="frozen"/>
      <selection pane="topRight" activeCell="O17" sqref="O17:P17"/>
      <selection pane="bottomLeft" activeCell="O17" sqref="O17:P17"/>
      <selection pane="bottomRight" activeCell="N35" sqref="N35"/>
    </sheetView>
  </sheetViews>
  <sheetFormatPr defaultColWidth="9.33203125" defaultRowHeight="13.2" x14ac:dyDescent="0.25"/>
  <cols>
    <col min="1" max="1" width="30.33203125" bestFit="1" customWidth="1"/>
    <col min="2" max="2" width="14.33203125" bestFit="1" customWidth="1"/>
    <col min="3" max="9" width="10.6640625" customWidth="1"/>
    <col min="10" max="10" width="12.33203125" bestFit="1" customWidth="1"/>
    <col min="11" max="11" width="10.6640625" customWidth="1"/>
    <col min="12" max="13" width="11.44140625" bestFit="1" customWidth="1"/>
    <col min="14" max="15" width="21.33203125" customWidth="1"/>
    <col min="16" max="16" width="8.33203125" bestFit="1" customWidth="1"/>
    <col min="17" max="17" width="10.5546875" customWidth="1"/>
    <col min="19" max="19" width="2.5546875" customWidth="1"/>
    <col min="20" max="20" width="11.33203125" bestFit="1" customWidth="1"/>
  </cols>
  <sheetData>
    <row r="1" spans="1:20" x14ac:dyDescent="0.25">
      <c r="A1" s="1"/>
      <c r="F1" s="2"/>
      <c r="G1" s="2"/>
      <c r="H1" s="2"/>
      <c r="I1" s="2"/>
      <c r="J1" s="2"/>
      <c r="K1" s="2"/>
      <c r="L1" s="2"/>
      <c r="M1" s="2"/>
      <c r="N1" s="2"/>
      <c r="O1" s="2"/>
    </row>
    <row r="2" spans="1:20" x14ac:dyDescent="0.25">
      <c r="A2" s="1"/>
      <c r="F2" s="2"/>
      <c r="G2" s="2"/>
      <c r="H2" s="2"/>
      <c r="I2" s="2"/>
      <c r="J2" s="2"/>
      <c r="K2" s="2"/>
      <c r="L2" s="2"/>
      <c r="M2" s="2"/>
      <c r="N2" s="2"/>
      <c r="O2" s="2"/>
    </row>
    <row r="3" spans="1:20" x14ac:dyDescent="0.25">
      <c r="F3" s="2"/>
      <c r="G3" s="2"/>
      <c r="H3" s="2"/>
      <c r="I3" s="2"/>
      <c r="J3" s="2"/>
      <c r="K3" s="2"/>
      <c r="L3" s="2"/>
      <c r="M3" s="2"/>
      <c r="N3" s="2"/>
      <c r="O3" s="2"/>
    </row>
    <row r="4" spans="1:20" x14ac:dyDescent="0.25">
      <c r="A4" s="1"/>
      <c r="N4" s="2"/>
      <c r="O4" s="2"/>
    </row>
    <row r="5" spans="1:20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20" ht="20.100000000000001" customHeight="1" x14ac:dyDescent="0.25">
      <c r="A6" s="3" t="s">
        <v>0</v>
      </c>
      <c r="B6" s="4" t="s">
        <v>1</v>
      </c>
      <c r="C6" s="4" t="s">
        <v>2</v>
      </c>
      <c r="D6" s="4" t="s">
        <v>3</v>
      </c>
      <c r="E6" s="4" t="s">
        <v>4</v>
      </c>
      <c r="F6" s="4" t="s">
        <v>5</v>
      </c>
      <c r="G6" s="4" t="s">
        <v>6</v>
      </c>
      <c r="H6" s="4" t="str">
        <f>[3]Phasing!B6</f>
        <v>July</v>
      </c>
      <c r="I6" s="4" t="str">
        <f>[3]Phasing!C6</f>
        <v>August</v>
      </c>
      <c r="J6" s="4" t="str">
        <f>[3]Phasing!D6</f>
        <v>September</v>
      </c>
      <c r="K6" s="4" t="str">
        <f>[3]Phasing!E6</f>
        <v>October</v>
      </c>
      <c r="L6" s="4" t="str">
        <f>[3]Phasing!F6</f>
        <v>November</v>
      </c>
      <c r="M6" s="4" t="str">
        <f>[3]Phasing!G6</f>
        <v>December</v>
      </c>
      <c r="N6" s="58" t="s">
        <v>7</v>
      </c>
      <c r="O6" s="2"/>
      <c r="Q6" t="s">
        <v>8</v>
      </c>
      <c r="R6" t="s">
        <v>9</v>
      </c>
    </row>
    <row r="7" spans="1:20" ht="20.100000000000001" customHeight="1" x14ac:dyDescent="0.25">
      <c r="A7" s="5" t="s">
        <v>10</v>
      </c>
      <c r="B7" s="6">
        <f>'[2]production scheduler'!D$5</f>
        <v>42000</v>
      </c>
      <c r="C7" s="6">
        <f>'[2]production scheduler'!E$5</f>
        <v>42000</v>
      </c>
      <c r="D7" s="6">
        <f>'[2]production scheduler'!F$5</f>
        <v>68700</v>
      </c>
      <c r="E7" s="6">
        <f>'[2]production scheduler'!G$5</f>
        <v>61000</v>
      </c>
      <c r="F7" s="6">
        <f>'[2]production scheduler'!H$5</f>
        <v>30600</v>
      </c>
      <c r="G7" s="6">
        <f>'[2]production scheduler'!I$5</f>
        <v>50400</v>
      </c>
      <c r="H7" s="6">
        <f>'[2]production scheduler'!J$5</f>
        <v>49000</v>
      </c>
      <c r="I7" s="6">
        <f>'[2]production scheduler'!K$5</f>
        <v>46900</v>
      </c>
      <c r="J7" s="6">
        <f>'[2]production scheduler'!L$5</f>
        <v>44800</v>
      </c>
      <c r="K7" s="6">
        <f>'[2]production scheduler'!M$5</f>
        <v>49700</v>
      </c>
      <c r="L7" s="6">
        <f>'[2]production scheduler'!N$5</f>
        <v>69300</v>
      </c>
      <c r="M7" s="6">
        <f>'[2]production scheduler'!O$5</f>
        <v>47600</v>
      </c>
      <c r="N7" s="7">
        <f t="shared" ref="N7:N15" si="0">SUM(B7+C7+D7+E7+F7+G7+H7+I7+J7+K7+L7+M7)</f>
        <v>602000</v>
      </c>
      <c r="O7" s="51"/>
      <c r="P7" s="8">
        <f>'[2]production scheduler'!Q5</f>
        <v>602000</v>
      </c>
      <c r="Q7" s="8">
        <f>'[2]Sales-live'!O5</f>
        <v>602276.20363005111</v>
      </c>
      <c r="R7" s="9">
        <f t="shared" ref="R7:R12" si="1">+N7/Q7</f>
        <v>0.99954140039339701</v>
      </c>
      <c r="T7" s="10">
        <f t="shared" ref="T7:T12" si="2">E7/$E$30</f>
        <v>0.47619047619047616</v>
      </c>
    </row>
    <row r="8" spans="1:20" ht="20.100000000000001" customHeight="1" x14ac:dyDescent="0.25">
      <c r="A8" s="5" t="s">
        <v>11</v>
      </c>
      <c r="B8" s="6">
        <f>'[2]production scheduler'!D$6</f>
        <v>2100</v>
      </c>
      <c r="C8" s="6">
        <f>'[2]production scheduler'!E$6</f>
        <v>2100</v>
      </c>
      <c r="D8" s="6">
        <f>'[2]production scheduler'!F$6</f>
        <v>2100</v>
      </c>
      <c r="E8" s="6">
        <f>'[2]production scheduler'!G$6</f>
        <v>700</v>
      </c>
      <c r="F8" s="6">
        <f>'[2]production scheduler'!H$6</f>
        <v>0</v>
      </c>
      <c r="G8" s="6">
        <f>'[2]production scheduler'!I$6</f>
        <v>2100</v>
      </c>
      <c r="H8" s="6">
        <f>'[2]production scheduler'!J$6</f>
        <v>2100</v>
      </c>
      <c r="I8" s="6">
        <f>'[2]production scheduler'!K$6</f>
        <v>1400</v>
      </c>
      <c r="J8" s="6">
        <f>'[2]production scheduler'!L$6</f>
        <v>1400</v>
      </c>
      <c r="K8" s="6">
        <f>'[2]production scheduler'!M$6</f>
        <v>1400</v>
      </c>
      <c r="L8" s="6">
        <f>'[2]production scheduler'!N$6</f>
        <v>2100</v>
      </c>
      <c r="M8" s="6">
        <f>'[2]production scheduler'!O$6</f>
        <v>2100</v>
      </c>
      <c r="N8" s="7">
        <f t="shared" si="0"/>
        <v>19600</v>
      </c>
      <c r="O8" s="51"/>
      <c r="P8" s="8">
        <f>'[2]production scheduler'!Q6</f>
        <v>19600</v>
      </c>
      <c r="Q8" s="11">
        <f>'[2]Sales-live'!O6+'[2]Sales-live'!O79</f>
        <v>24597.265727978021</v>
      </c>
      <c r="R8" s="9">
        <f t="shared" si="1"/>
        <v>0.79683653527823173</v>
      </c>
      <c r="T8" s="10">
        <f t="shared" si="2"/>
        <v>5.4644808743169399E-3</v>
      </c>
    </row>
    <row r="9" spans="1:20" ht="20.100000000000001" customHeight="1" x14ac:dyDescent="0.25">
      <c r="A9" s="5" t="s">
        <v>12</v>
      </c>
      <c r="B9" s="6">
        <f>'[2]production scheduler'!D$14</f>
        <v>6300</v>
      </c>
      <c r="C9" s="6">
        <f>'[2]production scheduler'!E$14</f>
        <v>7700</v>
      </c>
      <c r="D9" s="6">
        <f>'[2]production scheduler'!F$14</f>
        <v>8400</v>
      </c>
      <c r="E9" s="6">
        <f>'[2]production scheduler'!G$14</f>
        <v>7700</v>
      </c>
      <c r="F9" s="6">
        <f>'[2]production scheduler'!H$14</f>
        <v>7700</v>
      </c>
      <c r="G9" s="6">
        <f>'[2]production scheduler'!I$14</f>
        <v>7000</v>
      </c>
      <c r="H9" s="6">
        <f>'[2]production scheduler'!J$14</f>
        <v>7700</v>
      </c>
      <c r="I9" s="6">
        <f>'[2]production scheduler'!K$14</f>
        <v>7000</v>
      </c>
      <c r="J9" s="6">
        <f>'[2]production scheduler'!L$14</f>
        <v>5600</v>
      </c>
      <c r="K9" s="6">
        <f>'[2]production scheduler'!M$14</f>
        <v>6300</v>
      </c>
      <c r="L9" s="6">
        <f>'[2]production scheduler'!N$14</f>
        <v>7000</v>
      </c>
      <c r="M9" s="6">
        <f>'[2]production scheduler'!O$14</f>
        <v>10500</v>
      </c>
      <c r="N9" s="7">
        <f t="shared" si="0"/>
        <v>88900</v>
      </c>
      <c r="O9" s="51"/>
      <c r="P9" s="8">
        <f>'[2]production scheduler'!Q14</f>
        <v>88900</v>
      </c>
      <c r="Q9" s="8">
        <f>'[2]Sales-live'!O10</f>
        <v>86503.565447501314</v>
      </c>
      <c r="R9" s="9">
        <f t="shared" si="1"/>
        <v>1.027703303789866</v>
      </c>
      <c r="T9" s="10">
        <f t="shared" si="2"/>
        <v>6.0109289617486336E-2</v>
      </c>
    </row>
    <row r="10" spans="1:20" ht="20.100000000000001" customHeight="1" x14ac:dyDescent="0.25">
      <c r="A10" s="5" t="s">
        <v>13</v>
      </c>
      <c r="B10" s="12">
        <f>'[2]production scheduler'!D$15-B36</f>
        <v>2100</v>
      </c>
      <c r="C10" s="12">
        <f>'[2]production scheduler'!E$15-C36</f>
        <v>2800</v>
      </c>
      <c r="D10" s="12">
        <f>'[2]production scheduler'!F$15-D36</f>
        <v>2800</v>
      </c>
      <c r="E10" s="12">
        <f>'[2]production scheduler'!G$15-E36</f>
        <v>3500</v>
      </c>
      <c r="F10" s="12">
        <f>'[2]production scheduler'!H$15-F36</f>
        <v>2800</v>
      </c>
      <c r="G10" s="12">
        <f>'[2]production scheduler'!I$15-G36</f>
        <v>2800</v>
      </c>
      <c r="H10" s="12">
        <f>'[2]production scheduler'!J$15-H36</f>
        <v>1400</v>
      </c>
      <c r="I10" s="12">
        <f>'[2]production scheduler'!K$15-I36</f>
        <v>3500</v>
      </c>
      <c r="J10" s="12">
        <f>'[2]production scheduler'!L$15-J36</f>
        <v>2100</v>
      </c>
      <c r="K10" s="12">
        <f>'[2]production scheduler'!M$15-K36</f>
        <v>2800</v>
      </c>
      <c r="L10" s="12">
        <f>'[2]production scheduler'!N$15-L36</f>
        <v>2100</v>
      </c>
      <c r="M10" s="12">
        <f>'[2]production scheduler'!O$15-M36</f>
        <v>3500</v>
      </c>
      <c r="N10" s="7">
        <f t="shared" si="0"/>
        <v>32200</v>
      </c>
      <c r="O10" s="51"/>
      <c r="P10" s="8">
        <f>'[2]production scheduler'!Q15</f>
        <v>32200</v>
      </c>
      <c r="Q10" s="8">
        <f>'[2]Sales-live'!O17</f>
        <v>0</v>
      </c>
      <c r="R10" s="9" t="e">
        <f t="shared" si="1"/>
        <v>#DIV/0!</v>
      </c>
      <c r="T10" s="10">
        <f t="shared" si="2"/>
        <v>2.7322404371584699E-2</v>
      </c>
    </row>
    <row r="11" spans="1:20" ht="20.100000000000001" customHeight="1" x14ac:dyDescent="0.25">
      <c r="A11" s="5" t="s">
        <v>14</v>
      </c>
      <c r="B11" s="6">
        <f>'[2]production scheduler'!D$16-B38</f>
        <v>2500</v>
      </c>
      <c r="C11" s="6">
        <f>'[2]production scheduler'!E$16-C38</f>
        <v>3125</v>
      </c>
      <c r="D11" s="6">
        <f>'[2]production scheduler'!F$16-D38</f>
        <v>5625</v>
      </c>
      <c r="E11" s="6">
        <f>'[2]production scheduler'!G$16-E38</f>
        <v>6250</v>
      </c>
      <c r="F11" s="6">
        <f>'[2]production scheduler'!H$16-F38</f>
        <v>6250</v>
      </c>
      <c r="G11" s="6">
        <f>'[2]production scheduler'!I$16-G38</f>
        <v>5000</v>
      </c>
      <c r="H11" s="6">
        <f>'[2]production scheduler'!J$16-H38</f>
        <v>5625</v>
      </c>
      <c r="I11" s="6">
        <f>'[2]production scheduler'!K$16-I38</f>
        <v>5000</v>
      </c>
      <c r="J11" s="6">
        <f>'[2]production scheduler'!L$16-J38</f>
        <v>5000</v>
      </c>
      <c r="K11" s="6">
        <f>'[2]production scheduler'!M$16-K38</f>
        <v>5000</v>
      </c>
      <c r="L11" s="6">
        <f>'[2]production scheduler'!N$16-L38</f>
        <v>5000</v>
      </c>
      <c r="M11" s="6">
        <f>'[2]production scheduler'!O$16-M38</f>
        <v>9375</v>
      </c>
      <c r="N11" s="7">
        <f t="shared" si="0"/>
        <v>63750</v>
      </c>
      <c r="O11" s="51"/>
      <c r="P11" s="8">
        <f>'[2]production scheduler'!Q16</f>
        <v>63750</v>
      </c>
      <c r="Q11" s="8">
        <f>'[2]Sales-live'!O13</f>
        <v>60253.355552642344</v>
      </c>
      <c r="R11" s="9">
        <f t="shared" si="1"/>
        <v>1.0580323604434394</v>
      </c>
      <c r="T11" s="10">
        <f t="shared" si="2"/>
        <v>4.8790007806401248E-2</v>
      </c>
    </row>
    <row r="12" spans="1:20" ht="20.100000000000001" customHeight="1" x14ac:dyDescent="0.25">
      <c r="A12" s="5" t="s">
        <v>15</v>
      </c>
      <c r="B12" s="6">
        <f>'[2]production scheduler'!D$17</f>
        <v>7000</v>
      </c>
      <c r="C12" s="6">
        <f>'[2]production scheduler'!E$17</f>
        <v>7000</v>
      </c>
      <c r="D12" s="6">
        <f>'[2]production scheduler'!F$17</f>
        <v>7700</v>
      </c>
      <c r="E12" s="6">
        <f>'[2]production scheduler'!G$17</f>
        <v>7000</v>
      </c>
      <c r="F12" s="6">
        <f>'[2]production scheduler'!H$17</f>
        <v>7000</v>
      </c>
      <c r="G12" s="6">
        <f>'[2]production scheduler'!I$17</f>
        <v>5600</v>
      </c>
      <c r="H12" s="6">
        <f>'[2]production scheduler'!J$17</f>
        <v>7000</v>
      </c>
      <c r="I12" s="6">
        <f>'[2]production scheduler'!K$17</f>
        <v>6300</v>
      </c>
      <c r="J12" s="6">
        <f>'[2]production scheduler'!L$17</f>
        <v>6300</v>
      </c>
      <c r="K12" s="6">
        <f>'[2]production scheduler'!M$17</f>
        <v>6300</v>
      </c>
      <c r="L12" s="6">
        <f>'[2]production scheduler'!N$17</f>
        <v>6300</v>
      </c>
      <c r="M12" s="6">
        <f>'[2]production scheduler'!O$17</f>
        <v>14700</v>
      </c>
      <c r="N12" s="7">
        <f t="shared" si="0"/>
        <v>88200</v>
      </c>
      <c r="O12" s="51"/>
      <c r="P12" s="8">
        <f>'[2]production scheduler'!Q17</f>
        <v>88200</v>
      </c>
      <c r="Q12" s="8">
        <f>'[2]Sales-live'!O16</f>
        <v>83938.363254076743</v>
      </c>
      <c r="R12" s="9">
        <f t="shared" si="1"/>
        <v>1.0507710250797186</v>
      </c>
      <c r="T12" s="10">
        <f t="shared" si="2"/>
        <v>5.4644808743169397E-2</v>
      </c>
    </row>
    <row r="13" spans="1:20" ht="20.100000000000001" customHeight="1" x14ac:dyDescent="0.25">
      <c r="A13" s="13" t="str">
        <f>+'[2]production scheduler'!B21</f>
        <v>Craft Beer</v>
      </c>
      <c r="B13" s="6">
        <f>+'[2]production scheduler'!D21</f>
        <v>1400</v>
      </c>
      <c r="C13" s="6">
        <f>+'[2]production scheduler'!E21</f>
        <v>700</v>
      </c>
      <c r="D13" s="6">
        <f>+'[2]production scheduler'!F21</f>
        <v>700</v>
      </c>
      <c r="E13" s="6">
        <f>+'[2]production scheduler'!G21</f>
        <v>1400</v>
      </c>
      <c r="F13" s="6">
        <f>+'[2]production scheduler'!H21</f>
        <v>700</v>
      </c>
      <c r="G13" s="6">
        <f>+'[2]production scheduler'!I21</f>
        <v>700</v>
      </c>
      <c r="H13" s="6">
        <f>+'[2]production scheduler'!J21</f>
        <v>0</v>
      </c>
      <c r="I13" s="6">
        <f>+'[2]production scheduler'!K21</f>
        <v>700</v>
      </c>
      <c r="J13" s="6">
        <f>+'[2]production scheduler'!L21</f>
        <v>1400</v>
      </c>
      <c r="K13" s="6">
        <f>+'[2]production scheduler'!M21</f>
        <v>700</v>
      </c>
      <c r="L13" s="6">
        <f>+'[2]production scheduler'!N21</f>
        <v>700</v>
      </c>
      <c r="M13" s="6">
        <f>+'[2]production scheduler'!O21</f>
        <v>700</v>
      </c>
      <c r="N13" s="7">
        <f t="shared" si="0"/>
        <v>9800</v>
      </c>
      <c r="O13" s="51"/>
      <c r="P13" s="8"/>
      <c r="Q13" s="8"/>
      <c r="R13" s="9"/>
      <c r="T13" s="10"/>
    </row>
    <row r="14" spans="1:20" ht="20.100000000000001" customHeight="1" x14ac:dyDescent="0.25">
      <c r="A14" s="5" t="s">
        <v>16</v>
      </c>
      <c r="B14" s="12">
        <f>'[2]production scheduler'!D$9</f>
        <v>24500</v>
      </c>
      <c r="C14" s="12">
        <f>'[2]production scheduler'!E$9</f>
        <v>30800</v>
      </c>
      <c r="D14" s="12">
        <f>'[2]production scheduler'!F$9</f>
        <v>32200</v>
      </c>
      <c r="E14" s="12">
        <f>'[2]production scheduler'!G$9</f>
        <v>30100</v>
      </c>
      <c r="F14" s="12">
        <f>'[2]production scheduler'!H$9</f>
        <v>16800</v>
      </c>
      <c r="G14" s="12">
        <f>'[2]production scheduler'!I$9</f>
        <v>28700</v>
      </c>
      <c r="H14" s="12">
        <f>'[2]production scheduler'!J$9</f>
        <v>33600</v>
      </c>
      <c r="I14" s="12">
        <f>'[2]production scheduler'!K$9</f>
        <v>30100</v>
      </c>
      <c r="J14" s="12">
        <f>'[2]production scheduler'!L$9</f>
        <v>26600</v>
      </c>
      <c r="K14" s="12">
        <f>'[2]production scheduler'!M$9</f>
        <v>29400</v>
      </c>
      <c r="L14" s="12">
        <f>'[2]production scheduler'!N$9</f>
        <v>27300</v>
      </c>
      <c r="M14" s="12">
        <f>'[2]production scheduler'!O$9</f>
        <v>40600</v>
      </c>
      <c r="N14" s="7">
        <f t="shared" si="0"/>
        <v>350700</v>
      </c>
      <c r="O14" s="51"/>
      <c r="P14" s="8">
        <f>'[2]production scheduler'!Q9</f>
        <v>350700</v>
      </c>
      <c r="Q14" s="8">
        <f>'[2]Sales-live'!O8</f>
        <v>346394.63456072193</v>
      </c>
      <c r="R14" s="9">
        <f>+N14/Q14</f>
        <v>1.0124290765783306</v>
      </c>
      <c r="T14" s="10">
        <f>E14/$E$30</f>
        <v>0.23497267759562843</v>
      </c>
    </row>
    <row r="15" spans="1:20" ht="20.100000000000001" customHeight="1" x14ac:dyDescent="0.25">
      <c r="A15" s="14" t="s">
        <v>17</v>
      </c>
      <c r="B15" s="6">
        <f>'[2]production scheduler'!D$12</f>
        <v>2100</v>
      </c>
      <c r="C15" s="6">
        <f>'[2]production scheduler'!E$12</f>
        <v>2100</v>
      </c>
      <c r="D15" s="6">
        <f>'[2]production scheduler'!F$12</f>
        <v>2800</v>
      </c>
      <c r="E15" s="6">
        <f>'[2]production scheduler'!G$12</f>
        <v>1400</v>
      </c>
      <c r="F15" s="6">
        <f>'[2]production scheduler'!H$12</f>
        <v>1400</v>
      </c>
      <c r="G15" s="6">
        <f>'[2]production scheduler'!I$12</f>
        <v>2800</v>
      </c>
      <c r="H15" s="6">
        <f>'[2]production scheduler'!J$12</f>
        <v>2800</v>
      </c>
      <c r="I15" s="6">
        <f>'[2]production scheduler'!K$12</f>
        <v>2100</v>
      </c>
      <c r="J15" s="6">
        <f>'[2]production scheduler'!L$12</f>
        <v>1400</v>
      </c>
      <c r="K15" s="6">
        <f>'[2]production scheduler'!M$12</f>
        <v>2100</v>
      </c>
      <c r="L15" s="6">
        <f>'[2]production scheduler'!N$12</f>
        <v>2100</v>
      </c>
      <c r="M15" s="6">
        <f>'[2]production scheduler'!O$12</f>
        <v>4200</v>
      </c>
      <c r="N15" s="7">
        <f t="shared" si="0"/>
        <v>27300</v>
      </c>
      <c r="O15" s="51"/>
      <c r="P15" s="15">
        <f>'[2]production scheduler'!Q12</f>
        <v>27300</v>
      </c>
      <c r="Q15" s="11">
        <f>'[2]Sales-live'!O11+'[2]Sales-live'!T77</f>
        <v>21352.096043434023</v>
      </c>
      <c r="R15" s="9"/>
      <c r="T15" s="10"/>
    </row>
    <row r="16" spans="1:20" ht="20.100000000000001" customHeight="1" x14ac:dyDescent="0.25">
      <c r="A16" s="3" t="s">
        <v>18</v>
      </c>
      <c r="B16" s="16">
        <f t="shared" ref="B16:N16" si="3">SUM(B7:B15)</f>
        <v>90000</v>
      </c>
      <c r="C16" s="16">
        <f t="shared" si="3"/>
        <v>98325</v>
      </c>
      <c r="D16" s="16">
        <f t="shared" si="3"/>
        <v>131025</v>
      </c>
      <c r="E16" s="16">
        <f t="shared" si="3"/>
        <v>119050</v>
      </c>
      <c r="F16" s="16">
        <f t="shared" si="3"/>
        <v>73250</v>
      </c>
      <c r="G16" s="16">
        <f t="shared" si="3"/>
        <v>105100</v>
      </c>
      <c r="H16" s="16">
        <f t="shared" si="3"/>
        <v>109225</v>
      </c>
      <c r="I16" s="16">
        <f t="shared" si="3"/>
        <v>103000</v>
      </c>
      <c r="J16" s="16">
        <f t="shared" si="3"/>
        <v>94600</v>
      </c>
      <c r="K16" s="16">
        <f t="shared" si="3"/>
        <v>103700</v>
      </c>
      <c r="L16" s="16">
        <f t="shared" si="3"/>
        <v>121900</v>
      </c>
      <c r="M16" s="16">
        <f t="shared" si="3"/>
        <v>133275</v>
      </c>
      <c r="N16" s="55">
        <f t="shared" si="3"/>
        <v>1282450</v>
      </c>
      <c r="O16" s="42"/>
      <c r="Q16" s="8">
        <f>'[2]Sales-live'!O26</f>
        <v>1256725.1496428191</v>
      </c>
      <c r="R16" s="9">
        <f>+N16/Q16</f>
        <v>1.020469750577119</v>
      </c>
      <c r="T16" s="10">
        <f>E16/$E$30</f>
        <v>0.92935206869633102</v>
      </c>
    </row>
    <row r="17" spans="1:20" ht="20.100000000000001" customHeight="1" x14ac:dyDescent="0.25">
      <c r="B17" s="18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20"/>
      <c r="O17" s="27"/>
      <c r="Q17" s="8"/>
      <c r="R17" s="9"/>
      <c r="T17" s="10">
        <f>E17/$E$30</f>
        <v>0</v>
      </c>
    </row>
    <row r="18" spans="1:20" ht="20.100000000000001" customHeight="1" x14ac:dyDescent="0.25">
      <c r="A18" s="21" t="s">
        <v>19</v>
      </c>
      <c r="B18" s="22">
        <f>'[2]production scheduler'!D$20</f>
        <v>1150</v>
      </c>
      <c r="C18" s="22">
        <f>'[2]production scheduler'!E$20</f>
        <v>1150</v>
      </c>
      <c r="D18" s="22">
        <f>'[2]production scheduler'!F$20</f>
        <v>1150</v>
      </c>
      <c r="E18" s="22">
        <f>'[2]production scheduler'!G$20</f>
        <v>1150</v>
      </c>
      <c r="F18" s="22">
        <f>'[2]production scheduler'!H$20</f>
        <v>1150</v>
      </c>
      <c r="G18" s="22">
        <f>'[2]production scheduler'!I$20</f>
        <v>1150</v>
      </c>
      <c r="H18" s="22">
        <f>'[2]production scheduler'!J$20</f>
        <v>1150</v>
      </c>
      <c r="I18" s="22">
        <f>'[2]production scheduler'!K$20</f>
        <v>1150</v>
      </c>
      <c r="J18" s="22">
        <f>'[2]production scheduler'!L$20</f>
        <v>1150</v>
      </c>
      <c r="K18" s="22">
        <f>'[2]production scheduler'!M$20</f>
        <v>1150</v>
      </c>
      <c r="L18" s="22">
        <f>'[2]production scheduler'!N$20</f>
        <v>1150</v>
      </c>
      <c r="M18" s="22">
        <f>'[2]production scheduler'!O$20</f>
        <v>2300</v>
      </c>
      <c r="N18" s="7">
        <f>SUM(B18:M18)</f>
        <v>14950</v>
      </c>
      <c r="O18" s="51"/>
      <c r="P18" s="15">
        <f>'[2]production scheduler'!Q20</f>
        <v>14950</v>
      </c>
      <c r="Q18" s="8">
        <f>'[2]Sales-live'!O39</f>
        <v>0</v>
      </c>
      <c r="R18" s="9" t="e">
        <f>+N18/Q18</f>
        <v>#DIV/0!</v>
      </c>
      <c r="T18" s="10">
        <f>E18/$E$30</f>
        <v>8.9773614363778294E-3</v>
      </c>
    </row>
    <row r="19" spans="1:20" ht="20.100000000000001" customHeight="1" x14ac:dyDescent="0.25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7">
        <f>SUM(B19:M19)</f>
        <v>0</v>
      </c>
      <c r="O19" s="51"/>
      <c r="P19" s="15"/>
      <c r="Q19" s="8"/>
      <c r="R19" s="9"/>
      <c r="T19" s="10"/>
    </row>
    <row r="20" spans="1:20" ht="20.100000000000001" customHeight="1" x14ac:dyDescent="0.25">
      <c r="A20" s="14" t="s">
        <v>20</v>
      </c>
      <c r="B20" s="6">
        <f>'[2]production scheduler'!D$19</f>
        <v>3600</v>
      </c>
      <c r="C20" s="6">
        <f>'[2]production scheduler'!E$19</f>
        <v>3600</v>
      </c>
      <c r="D20" s="6">
        <f>'[2]production scheduler'!F$19</f>
        <v>3600</v>
      </c>
      <c r="E20" s="6">
        <f>'[2]production scheduler'!G$19</f>
        <v>3600</v>
      </c>
      <c r="F20" s="6">
        <f>'[2]production scheduler'!H$19</f>
        <v>1800</v>
      </c>
      <c r="G20" s="6">
        <f>'[2]production scheduler'!I$19</f>
        <v>1800</v>
      </c>
      <c r="H20" s="6">
        <f>'[2]production scheduler'!J$19</f>
        <v>3600</v>
      </c>
      <c r="I20" s="6">
        <f>'[2]production scheduler'!K$19</f>
        <v>3600</v>
      </c>
      <c r="J20" s="6">
        <f>'[2]production scheduler'!L$19</f>
        <v>3600</v>
      </c>
      <c r="K20" s="6">
        <f>'[2]production scheduler'!M$19</f>
        <v>3600</v>
      </c>
      <c r="L20" s="6">
        <f>'[2]production scheduler'!N$19</f>
        <v>3600</v>
      </c>
      <c r="M20" s="6">
        <f>'[2]production scheduler'!O$19</f>
        <v>3600</v>
      </c>
      <c r="N20" s="7">
        <f>SUM(B20:M20)</f>
        <v>39600</v>
      </c>
      <c r="O20" s="51"/>
      <c r="P20" s="15">
        <f>'[2]production scheduler'!Q19</f>
        <v>39600</v>
      </c>
      <c r="Q20" s="8">
        <f>'[2]Sales-live'!O40</f>
        <v>12336.104298004428</v>
      </c>
      <c r="R20" s="9">
        <f>+N20/Q20</f>
        <v>3.2100895909583032</v>
      </c>
      <c r="T20" s="10">
        <f t="shared" ref="T20:T28" si="4">E20/$E$30</f>
        <v>2.8103044496487119E-2</v>
      </c>
    </row>
    <row r="21" spans="1:20" ht="20.100000000000001" customHeight="1" x14ac:dyDescent="0.25">
      <c r="A21" s="3" t="s">
        <v>21</v>
      </c>
      <c r="B21" s="16">
        <f>SUM(B18:B20)</f>
        <v>4750</v>
      </c>
      <c r="C21" s="16">
        <f t="shared" ref="C21:M21" si="5">SUM(C18:C20)</f>
        <v>4750</v>
      </c>
      <c r="D21" s="16">
        <f t="shared" si="5"/>
        <v>4750</v>
      </c>
      <c r="E21" s="16">
        <f t="shared" si="5"/>
        <v>4750</v>
      </c>
      <c r="F21" s="16">
        <f t="shared" si="5"/>
        <v>2950</v>
      </c>
      <c r="G21" s="16">
        <f t="shared" si="5"/>
        <v>2950</v>
      </c>
      <c r="H21" s="16">
        <f t="shared" si="5"/>
        <v>4750</v>
      </c>
      <c r="I21" s="16">
        <f t="shared" si="5"/>
        <v>4750</v>
      </c>
      <c r="J21" s="16">
        <f t="shared" si="5"/>
        <v>4750</v>
      </c>
      <c r="K21" s="16">
        <f t="shared" si="5"/>
        <v>4750</v>
      </c>
      <c r="L21" s="16">
        <f t="shared" si="5"/>
        <v>4750</v>
      </c>
      <c r="M21" s="16">
        <f t="shared" si="5"/>
        <v>5900</v>
      </c>
      <c r="N21" s="17">
        <f>SUM(N18:N20)</f>
        <v>54550</v>
      </c>
      <c r="O21" s="42"/>
      <c r="Q21" s="8">
        <f>'[2]Sales-live'!O48</f>
        <v>19416.907688434305</v>
      </c>
      <c r="R21" s="9">
        <f>+N21/Q21</f>
        <v>2.809407186526037</v>
      </c>
      <c r="T21" s="10">
        <f t="shared" si="4"/>
        <v>3.7080405932864949E-2</v>
      </c>
    </row>
    <row r="22" spans="1:20" ht="20.100000000000001" customHeight="1" x14ac:dyDescent="0.25"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4"/>
      <c r="O22" s="52"/>
      <c r="P22" s="9"/>
      <c r="Q22" s="9"/>
      <c r="R22" s="9"/>
      <c r="T22" s="10">
        <f t="shared" si="4"/>
        <v>0</v>
      </c>
    </row>
    <row r="23" spans="1:20" ht="20.100000000000001" customHeight="1" x14ac:dyDescent="0.25">
      <c r="A23" s="21" t="s">
        <v>22</v>
      </c>
      <c r="B23" s="25">
        <f>'[2]production scheduler'!D$24</f>
        <v>700</v>
      </c>
      <c r="C23" s="25">
        <f>'[2]production scheduler'!E$24</f>
        <v>700</v>
      </c>
      <c r="D23" s="25">
        <f>'[2]production scheduler'!F$24</f>
        <v>700</v>
      </c>
      <c r="E23" s="25">
        <f>'[2]production scheduler'!G$24</f>
        <v>700</v>
      </c>
      <c r="F23" s="25">
        <f>'[2]production scheduler'!H$24</f>
        <v>700</v>
      </c>
      <c r="G23" s="25">
        <f>'[2]production scheduler'!I$24</f>
        <v>1400</v>
      </c>
      <c r="H23" s="25">
        <f>'[2]production scheduler'!J$24</f>
        <v>700</v>
      </c>
      <c r="I23" s="25">
        <f>'[2]production scheduler'!K$24</f>
        <v>700</v>
      </c>
      <c r="J23" s="25">
        <f>'[2]production scheduler'!L$24</f>
        <v>700</v>
      </c>
      <c r="K23" s="25">
        <f>'[2]production scheduler'!M$24</f>
        <v>700</v>
      </c>
      <c r="L23" s="25">
        <f>'[2]production scheduler'!N$24</f>
        <v>700</v>
      </c>
      <c r="M23" s="25">
        <f>'[2]production scheduler'!O$24</f>
        <v>2800</v>
      </c>
      <c r="N23" s="7">
        <f>SUM(B23:M23)</f>
        <v>11200</v>
      </c>
      <c r="O23" s="51"/>
      <c r="P23" s="15">
        <f>'[2]production scheduler'!Q24</f>
        <v>11200</v>
      </c>
      <c r="Q23" s="8">
        <f>'[2]Sales-live'!O74</f>
        <v>0</v>
      </c>
      <c r="R23" s="9" t="e">
        <f t="shared" ref="R23:R28" si="6">+N23/Q23</f>
        <v>#DIV/0!</v>
      </c>
      <c r="T23" s="10">
        <f t="shared" si="4"/>
        <v>5.4644808743169399E-3</v>
      </c>
    </row>
    <row r="24" spans="1:20" ht="20.25" customHeight="1" x14ac:dyDescent="0.25">
      <c r="A24" s="5" t="s">
        <v>23</v>
      </c>
      <c r="B24" s="12">
        <f>'[2]production scheduler'!D$25</f>
        <v>700</v>
      </c>
      <c r="C24" s="12">
        <f>'[2]production scheduler'!E$25</f>
        <v>700</v>
      </c>
      <c r="D24" s="12">
        <f>'[2]production scheduler'!F$25</f>
        <v>700</v>
      </c>
      <c r="E24" s="12">
        <f>'[2]production scheduler'!G$25</f>
        <v>700</v>
      </c>
      <c r="F24" s="12">
        <f>'[2]production scheduler'!H$25</f>
        <v>700</v>
      </c>
      <c r="G24" s="12">
        <f>'[2]production scheduler'!I$25</f>
        <v>700</v>
      </c>
      <c r="H24" s="12">
        <f>'[2]production scheduler'!J$25</f>
        <v>700</v>
      </c>
      <c r="I24" s="12">
        <f>'[2]production scheduler'!K$25</f>
        <v>700</v>
      </c>
      <c r="J24" s="12">
        <f>'[2]production scheduler'!L$25</f>
        <v>700</v>
      </c>
      <c r="K24" s="12">
        <f>'[2]production scheduler'!M$25</f>
        <v>700</v>
      </c>
      <c r="L24" s="12">
        <f>'[2]production scheduler'!N$25</f>
        <v>700</v>
      </c>
      <c r="M24" s="12">
        <f>'[2]production scheduler'!O$25</f>
        <v>1400</v>
      </c>
      <c r="N24" s="7">
        <f>SUM(B24:M24)</f>
        <v>9100</v>
      </c>
      <c r="O24" s="51"/>
      <c r="P24" s="15">
        <f>'[2]production scheduler'!Q25</f>
        <v>9100</v>
      </c>
      <c r="Q24" s="8">
        <f>'[2]Sales-live'!O52</f>
        <v>8864.728035711998</v>
      </c>
      <c r="R24" s="9">
        <f t="shared" si="6"/>
        <v>1.0265402348882218</v>
      </c>
      <c r="T24" s="10">
        <f t="shared" si="4"/>
        <v>5.4644808743169399E-3</v>
      </c>
    </row>
    <row r="25" spans="1:20" ht="20.25" customHeight="1" x14ac:dyDescent="0.25">
      <c r="A25" s="5" t="s">
        <v>24</v>
      </c>
      <c r="B25" s="12">
        <f>'[2]production scheduler'!D$26</f>
        <v>1400</v>
      </c>
      <c r="C25" s="12">
        <f>'[2]production scheduler'!E$26</f>
        <v>1400</v>
      </c>
      <c r="D25" s="12">
        <f>'[2]production scheduler'!F$26</f>
        <v>1400</v>
      </c>
      <c r="E25" s="12">
        <f>'[2]production scheduler'!G$26</f>
        <v>1400</v>
      </c>
      <c r="F25" s="12">
        <f>'[2]production scheduler'!H$26</f>
        <v>1400</v>
      </c>
      <c r="G25" s="12">
        <f>'[2]production scheduler'!I$26</f>
        <v>700</v>
      </c>
      <c r="H25" s="12">
        <f>'[2]production scheduler'!J$26</f>
        <v>1400</v>
      </c>
      <c r="I25" s="12">
        <f>'[2]production scheduler'!K$26</f>
        <v>2100</v>
      </c>
      <c r="J25" s="12">
        <f>'[2]production scheduler'!L$26</f>
        <v>1400</v>
      </c>
      <c r="K25" s="12">
        <f>'[2]production scheduler'!M$26</f>
        <v>1400</v>
      </c>
      <c r="L25" s="12">
        <f>'[2]production scheduler'!N$26</f>
        <v>2100</v>
      </c>
      <c r="M25" s="12">
        <f>'[2]production scheduler'!O$26</f>
        <v>3500</v>
      </c>
      <c r="N25" s="7">
        <f>SUM(B25:M25)</f>
        <v>19600</v>
      </c>
      <c r="O25" s="51"/>
      <c r="P25" s="15">
        <f>'[2]production scheduler'!Q26</f>
        <v>19600</v>
      </c>
      <c r="Q25" s="8">
        <f>'[2]Sales-live'!O56</f>
        <v>4384.8060647533239</v>
      </c>
      <c r="R25" s="9">
        <f t="shared" si="6"/>
        <v>4.4699810460380389</v>
      </c>
      <c r="T25" s="10">
        <f t="shared" si="4"/>
        <v>1.092896174863388E-2</v>
      </c>
    </row>
    <row r="26" spans="1:20" ht="20.25" customHeight="1" x14ac:dyDescent="0.25">
      <c r="A26" s="5" t="s">
        <v>25</v>
      </c>
      <c r="B26" s="12">
        <f>'[2]production scheduler'!D$22</f>
        <v>1500</v>
      </c>
      <c r="C26" s="12">
        <f>'[2]production scheduler'!E$22</f>
        <v>1500</v>
      </c>
      <c r="D26" s="12">
        <f>'[2]production scheduler'!F$22</f>
        <v>1500</v>
      </c>
      <c r="E26" s="12">
        <f>'[2]production scheduler'!G$22</f>
        <v>1500</v>
      </c>
      <c r="F26" s="12">
        <f>'[2]production scheduler'!H$22</f>
        <v>3000</v>
      </c>
      <c r="G26" s="12">
        <f>'[2]production scheduler'!I$22</f>
        <v>1500</v>
      </c>
      <c r="H26" s="12">
        <f>'[2]production scheduler'!J$22</f>
        <v>1500</v>
      </c>
      <c r="I26" s="12">
        <f>'[2]production scheduler'!K$22</f>
        <v>1500</v>
      </c>
      <c r="J26" s="12">
        <f>'[2]production scheduler'!L$22</f>
        <v>1500</v>
      </c>
      <c r="K26" s="12">
        <f>'[2]production scheduler'!M$22</f>
        <v>1500</v>
      </c>
      <c r="L26" s="12">
        <f>'[2]production scheduler'!N$22</f>
        <v>1500</v>
      </c>
      <c r="M26" s="12">
        <f>'[2]production scheduler'!O$22</f>
        <v>4500</v>
      </c>
      <c r="N26" s="7">
        <f>SUM(B26:M26)</f>
        <v>22500</v>
      </c>
      <c r="O26" s="51"/>
      <c r="P26" s="15">
        <f>'[2]production scheduler'!Q22</f>
        <v>22500</v>
      </c>
      <c r="Q26" s="8">
        <f>'[2]Sales-live'!O54</f>
        <v>15392.712930368178</v>
      </c>
      <c r="R26" s="9">
        <f t="shared" si="6"/>
        <v>1.4617306320063894</v>
      </c>
      <c r="T26" s="10">
        <f t="shared" si="4"/>
        <v>1.1709601873536301E-2</v>
      </c>
    </row>
    <row r="27" spans="1:20" ht="20.25" customHeight="1" x14ac:dyDescent="0.25">
      <c r="A27" s="14" t="s">
        <v>26</v>
      </c>
      <c r="B27" s="26">
        <f>'[2]production scheduler'!D$23</f>
        <v>0</v>
      </c>
      <c r="C27" s="26">
        <f>'[2]production scheduler'!E$23</f>
        <v>0</v>
      </c>
      <c r="D27" s="26">
        <f>'[2]production scheduler'!F$23</f>
        <v>0</v>
      </c>
      <c r="E27" s="26">
        <f>'[2]production scheduler'!G$23</f>
        <v>0</v>
      </c>
      <c r="F27" s="26">
        <f>'[2]production scheduler'!H$23</f>
        <v>0</v>
      </c>
      <c r="G27" s="26">
        <f>'[2]production scheduler'!I$23</f>
        <v>0</v>
      </c>
      <c r="H27" s="26">
        <f>'[2]production scheduler'!J$23</f>
        <v>0</v>
      </c>
      <c r="I27" s="26">
        <f>'[2]production scheduler'!K$23</f>
        <v>0</v>
      </c>
      <c r="J27" s="26">
        <f>'[2]production scheduler'!L$23</f>
        <v>0</v>
      </c>
      <c r="K27" s="26">
        <f>'[2]production scheduler'!M$23</f>
        <v>0</v>
      </c>
      <c r="L27" s="26">
        <f>'[2]production scheduler'!N$23</f>
        <v>0</v>
      </c>
      <c r="M27" s="26">
        <f>'[2]production scheduler'!O$23</f>
        <v>0</v>
      </c>
      <c r="N27" s="7">
        <f>SUM(B27:M27)</f>
        <v>0</v>
      </c>
      <c r="O27" s="51"/>
      <c r="P27" s="15">
        <f>'[2]production scheduler'!Q23</f>
        <v>0</v>
      </c>
      <c r="Q27" s="8">
        <f>'[2]Sales-live'!O43</f>
        <v>11094.734332410915</v>
      </c>
      <c r="R27" s="9">
        <f t="shared" si="6"/>
        <v>0</v>
      </c>
      <c r="T27" s="10">
        <f t="shared" si="4"/>
        <v>0</v>
      </c>
    </row>
    <row r="28" spans="1:20" ht="20.100000000000001" customHeight="1" x14ac:dyDescent="0.25">
      <c r="A28" s="3" t="s">
        <v>27</v>
      </c>
      <c r="B28" s="16">
        <f t="shared" ref="B28:N28" si="7">SUM(B23:B27)</f>
        <v>4300</v>
      </c>
      <c r="C28" s="16">
        <f t="shared" si="7"/>
        <v>4300</v>
      </c>
      <c r="D28" s="16">
        <f t="shared" si="7"/>
        <v>4300</v>
      </c>
      <c r="E28" s="16">
        <f t="shared" si="7"/>
        <v>4300</v>
      </c>
      <c r="F28" s="16">
        <f t="shared" si="7"/>
        <v>5800</v>
      </c>
      <c r="G28" s="16">
        <f t="shared" si="7"/>
        <v>4300</v>
      </c>
      <c r="H28" s="16">
        <f t="shared" si="7"/>
        <v>4300</v>
      </c>
      <c r="I28" s="16">
        <f t="shared" si="7"/>
        <v>5000</v>
      </c>
      <c r="J28" s="16">
        <f t="shared" si="7"/>
        <v>4300</v>
      </c>
      <c r="K28" s="16">
        <f t="shared" si="7"/>
        <v>4300</v>
      </c>
      <c r="L28" s="16">
        <f t="shared" si="7"/>
        <v>5000</v>
      </c>
      <c r="M28" s="16">
        <f t="shared" si="7"/>
        <v>12200</v>
      </c>
      <c r="N28" s="17">
        <f t="shared" si="7"/>
        <v>62400</v>
      </c>
      <c r="O28" s="42"/>
      <c r="P28" s="15"/>
      <c r="Q28" s="8">
        <f>'[2]Sales-live'!O45</f>
        <v>1609.0049690487085</v>
      </c>
      <c r="R28" s="9">
        <f t="shared" si="6"/>
        <v>38.781732313041104</v>
      </c>
      <c r="T28" s="10">
        <f t="shared" si="4"/>
        <v>3.3567525370804062E-2</v>
      </c>
    </row>
    <row r="29" spans="1:20" ht="20.100000000000001" customHeight="1" x14ac:dyDescent="0.25"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Q29" s="8"/>
      <c r="R29" s="9"/>
      <c r="T29" s="10">
        <f>N29/$B$30</f>
        <v>0</v>
      </c>
    </row>
    <row r="30" spans="1:20" ht="20.100000000000001" customHeight="1" x14ac:dyDescent="0.25">
      <c r="A30" s="3" t="s">
        <v>28</v>
      </c>
      <c r="B30" s="16">
        <f t="shared" ref="B30:N30" si="8">B16+B28+B21</f>
        <v>99050</v>
      </c>
      <c r="C30" s="16">
        <f t="shared" si="8"/>
        <v>107375</v>
      </c>
      <c r="D30" s="16">
        <f t="shared" si="8"/>
        <v>140075</v>
      </c>
      <c r="E30" s="16">
        <f t="shared" si="8"/>
        <v>128100</v>
      </c>
      <c r="F30" s="16">
        <f t="shared" si="8"/>
        <v>82000</v>
      </c>
      <c r="G30" s="16">
        <f t="shared" si="8"/>
        <v>112350</v>
      </c>
      <c r="H30" s="16">
        <f t="shared" si="8"/>
        <v>118275</v>
      </c>
      <c r="I30" s="16">
        <f t="shared" si="8"/>
        <v>112750</v>
      </c>
      <c r="J30" s="16">
        <f t="shared" si="8"/>
        <v>103650</v>
      </c>
      <c r="K30" s="16">
        <f t="shared" si="8"/>
        <v>112750</v>
      </c>
      <c r="L30" s="16">
        <f t="shared" si="8"/>
        <v>131650</v>
      </c>
      <c r="M30" s="16">
        <f t="shared" si="8"/>
        <v>151375</v>
      </c>
      <c r="N30" s="17">
        <f t="shared" si="8"/>
        <v>1399400</v>
      </c>
      <c r="O30" s="42"/>
      <c r="P30" s="15"/>
      <c r="Q30" s="8"/>
      <c r="R30" s="9"/>
      <c r="T30" s="10">
        <f>T16+T21+T28</f>
        <v>1</v>
      </c>
    </row>
    <row r="31" spans="1:20" ht="20.100000000000001" customHeight="1" x14ac:dyDescent="0.25"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23"/>
      <c r="Q31" s="8"/>
      <c r="R31" s="9"/>
      <c r="T31" s="10"/>
    </row>
    <row r="32" spans="1:20" ht="20.100000000000001" customHeight="1" x14ac:dyDescent="0.25">
      <c r="A32" s="1" t="s">
        <v>29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9"/>
      <c r="O32" s="23"/>
      <c r="Q32" s="8"/>
      <c r="R32" s="9"/>
      <c r="T32" s="10"/>
    </row>
    <row r="33" spans="1:20" ht="20.100000000000001" customHeight="1" x14ac:dyDescent="0.25">
      <c r="A33" s="30" t="s">
        <v>30</v>
      </c>
      <c r="B33" s="25">
        <f>'[2]production scheduler'!D27</f>
        <v>700</v>
      </c>
      <c r="C33" s="25">
        <f>'[2]production scheduler'!E27</f>
        <v>1400</v>
      </c>
      <c r="D33" s="25">
        <f>'[2]production scheduler'!F27</f>
        <v>700</v>
      </c>
      <c r="E33" s="25">
        <f>'[2]production scheduler'!G27</f>
        <v>700</v>
      </c>
      <c r="F33" s="25">
        <f>'[2]production scheduler'!H27</f>
        <v>700</v>
      </c>
      <c r="G33" s="25">
        <f>'[2]production scheduler'!I27</f>
        <v>700</v>
      </c>
      <c r="H33" s="25">
        <f>'[2]production scheduler'!J27</f>
        <v>1400</v>
      </c>
      <c r="I33" s="25">
        <f>'[2]production scheduler'!K27</f>
        <v>700</v>
      </c>
      <c r="J33" s="25">
        <f>'[2]production scheduler'!L27</f>
        <v>700</v>
      </c>
      <c r="K33" s="25">
        <f>'[2]production scheduler'!M27</f>
        <v>1400</v>
      </c>
      <c r="L33" s="25">
        <f>'[2]production scheduler'!N27</f>
        <v>2800</v>
      </c>
      <c r="M33" s="25">
        <f>'[2]production scheduler'!O27</f>
        <v>0</v>
      </c>
      <c r="N33" s="7">
        <f t="shared" ref="N33:N39" si="9">SUM(B33:M33)</f>
        <v>11900</v>
      </c>
      <c r="O33" s="51"/>
      <c r="Q33" s="8">
        <f>+'[2]Sales-live'!O77</f>
        <v>1403971.9264234926</v>
      </c>
      <c r="R33" s="9"/>
      <c r="T33" s="10"/>
    </row>
    <row r="34" spans="1:20" ht="20.100000000000001" customHeight="1" x14ac:dyDescent="0.25">
      <c r="A34" s="30" t="s">
        <v>17</v>
      </c>
      <c r="B34" s="31">
        <f>+'[2]production scheduler'!D13</f>
        <v>0</v>
      </c>
      <c r="C34" s="6">
        <f>+'[2]production scheduler'!E13</f>
        <v>0</v>
      </c>
      <c r="D34" s="6">
        <f>+'[2]production scheduler'!F13</f>
        <v>0</v>
      </c>
      <c r="E34" s="6">
        <f>+'[2]production scheduler'!G13</f>
        <v>0</v>
      </c>
      <c r="F34" s="6">
        <f>+'[2]production scheduler'!H13</f>
        <v>0</v>
      </c>
      <c r="G34" s="6">
        <f>+'[2]production scheduler'!I13</f>
        <v>0</v>
      </c>
      <c r="H34" s="6">
        <f>+'[2]production scheduler'!J13</f>
        <v>0</v>
      </c>
      <c r="I34" s="6">
        <f>+'[2]production scheduler'!K13</f>
        <v>0</v>
      </c>
      <c r="J34" s="6">
        <f>+'[2]production scheduler'!L13</f>
        <v>0</v>
      </c>
      <c r="K34" s="6">
        <f>+'[2]production scheduler'!M13</f>
        <v>0</v>
      </c>
      <c r="L34" s="6">
        <f>+'[2]production scheduler'!N13</f>
        <v>0</v>
      </c>
      <c r="M34" s="6">
        <f>+'[2]production scheduler'!O13</f>
        <v>0</v>
      </c>
      <c r="N34" s="7">
        <f t="shared" si="9"/>
        <v>0</v>
      </c>
      <c r="O34" s="51"/>
      <c r="Q34" s="8">
        <f>+'[2]Sales-live'!T77</f>
        <v>0</v>
      </c>
      <c r="R34" s="9"/>
      <c r="T34" s="10">
        <f>SUM(B33:H33)</f>
        <v>6300</v>
      </c>
    </row>
    <row r="35" spans="1:20" ht="18.75" customHeight="1" x14ac:dyDescent="0.25">
      <c r="A35" s="30" t="s">
        <v>10</v>
      </c>
      <c r="B35" s="12">
        <f>+'[2]production scheduler'!D7</f>
        <v>9800</v>
      </c>
      <c r="C35" s="12">
        <f>+'[2]production scheduler'!E7</f>
        <v>9800</v>
      </c>
      <c r="D35" s="12">
        <f>+'[2]production scheduler'!F7</f>
        <v>5600</v>
      </c>
      <c r="E35" s="12">
        <f>+'[2]production scheduler'!G7</f>
        <v>3500</v>
      </c>
      <c r="F35" s="12">
        <f>+'[2]production scheduler'!H7</f>
        <v>3500</v>
      </c>
      <c r="G35" s="12">
        <f>+'[2]production scheduler'!I7</f>
        <v>9800</v>
      </c>
      <c r="H35" s="12">
        <f>+'[2]production scheduler'!J7</f>
        <v>7000</v>
      </c>
      <c r="I35" s="12">
        <f>+'[2]production scheduler'!K7</f>
        <v>7700</v>
      </c>
      <c r="J35" s="12">
        <f>+'[2]production scheduler'!L7</f>
        <v>9800</v>
      </c>
      <c r="K35" s="12">
        <f>+'[2]production scheduler'!M7</f>
        <v>9800</v>
      </c>
      <c r="L35" s="12">
        <f>+'[2]production scheduler'!N7</f>
        <v>18200</v>
      </c>
      <c r="M35" s="12">
        <f>+'[2]production scheduler'!O7</f>
        <v>0</v>
      </c>
      <c r="N35" s="7">
        <f t="shared" si="9"/>
        <v>94500</v>
      </c>
      <c r="O35" s="51"/>
      <c r="Q35" s="8">
        <f>+'[2]Sales-live'!O79</f>
        <v>7392</v>
      </c>
      <c r="R35" s="32">
        <f>+N35/Q35</f>
        <v>12.784090909090908</v>
      </c>
      <c r="T35" s="10">
        <f>SUM(B35:H35)</f>
        <v>49000</v>
      </c>
    </row>
    <row r="36" spans="1:20" ht="20.100000000000001" customHeight="1" x14ac:dyDescent="0.25">
      <c r="A36" s="30" t="s">
        <v>13</v>
      </c>
      <c r="B36" s="12">
        <f>+'[2]Sales-live'!C85</f>
        <v>0</v>
      </c>
      <c r="C36" s="12">
        <f>+'[2]Sales-live'!D85</f>
        <v>0</v>
      </c>
      <c r="D36" s="12">
        <f>+'[2]Sales-live'!E85</f>
        <v>0</v>
      </c>
      <c r="E36" s="12">
        <f>+'[2]Sales-live'!F85</f>
        <v>0</v>
      </c>
      <c r="F36" s="12">
        <f>+'[2]Sales-live'!G85</f>
        <v>0</v>
      </c>
      <c r="G36" s="12">
        <f>+'[2]Sales-live'!H85</f>
        <v>0</v>
      </c>
      <c r="H36" s="12">
        <f>+'[2]Sales-live'!I85</f>
        <v>0</v>
      </c>
      <c r="I36" s="12">
        <f>+'[2]Sales-live'!J85</f>
        <v>0</v>
      </c>
      <c r="J36" s="12">
        <f>+'[2]Sales-live'!K85</f>
        <v>0</v>
      </c>
      <c r="K36" s="12">
        <f>+'[2]Sales-live'!L85</f>
        <v>0</v>
      </c>
      <c r="L36" s="12">
        <f>+'[2]Sales-live'!M85</f>
        <v>0</v>
      </c>
      <c r="M36" s="12">
        <f>+'[2]Sales-live'!N85</f>
        <v>0</v>
      </c>
      <c r="N36" s="7">
        <f t="shared" si="9"/>
        <v>0</v>
      </c>
      <c r="O36" s="51"/>
      <c r="Q36" s="8">
        <f>+'[2]Sales-live'!O80</f>
        <v>0</v>
      </c>
      <c r="R36" s="9"/>
      <c r="T36" s="10">
        <f>SUM(B36:H36)</f>
        <v>0</v>
      </c>
    </row>
    <row r="37" spans="1:20" ht="20.100000000000001" customHeight="1" x14ac:dyDescent="0.25">
      <c r="A37" s="30" t="s">
        <v>16</v>
      </c>
      <c r="B37" s="31">
        <f>+'[2]production scheduler'!D10</f>
        <v>0</v>
      </c>
      <c r="C37" s="31">
        <f>+'[2]production scheduler'!E10</f>
        <v>0</v>
      </c>
      <c r="D37" s="31">
        <f>+'[2]production scheduler'!F10</f>
        <v>0</v>
      </c>
      <c r="E37" s="31">
        <f>+'[2]production scheduler'!G10</f>
        <v>0</v>
      </c>
      <c r="F37" s="31">
        <f>+'[2]production scheduler'!H10</f>
        <v>0</v>
      </c>
      <c r="G37" s="31">
        <f>+'[2]production scheduler'!I10</f>
        <v>0</v>
      </c>
      <c r="H37" s="31">
        <f>+'[2]production scheduler'!J10</f>
        <v>0</v>
      </c>
      <c r="I37" s="31">
        <f>+'[2]production scheduler'!K10</f>
        <v>0</v>
      </c>
      <c r="J37" s="31">
        <f>+'[2]production scheduler'!L10</f>
        <v>0</v>
      </c>
      <c r="K37" s="31">
        <f>+'[2]production scheduler'!M10</f>
        <v>0</v>
      </c>
      <c r="L37" s="31">
        <f>+'[2]production scheduler'!N10</f>
        <v>0</v>
      </c>
      <c r="M37" s="31">
        <f>+'[2]production scheduler'!O10</f>
        <v>0</v>
      </c>
      <c r="N37" s="7">
        <f t="shared" si="9"/>
        <v>0</v>
      </c>
      <c r="O37" s="51"/>
      <c r="Q37" s="8">
        <f>+'[2]Sales-live'!O81</f>
        <v>91567</v>
      </c>
    </row>
    <row r="38" spans="1:20" s="36" customFormat="1" ht="20.100000000000001" customHeight="1" x14ac:dyDescent="0.25">
      <c r="A38" s="33" t="s">
        <v>31</v>
      </c>
      <c r="B38" s="34">
        <f>+'[2]Sales-live'!C84</f>
        <v>0</v>
      </c>
      <c r="C38" s="34">
        <f>+'[2]Sales-live'!D84</f>
        <v>0</v>
      </c>
      <c r="D38" s="34">
        <f>+'[2]Sales-live'!E84</f>
        <v>0</v>
      </c>
      <c r="E38" s="34">
        <f>+'[2]Sales-live'!F84</f>
        <v>0</v>
      </c>
      <c r="F38" s="34">
        <f>+'[2]Sales-live'!G84</f>
        <v>0</v>
      </c>
      <c r="G38" s="34">
        <f>+'[2]Sales-live'!H84</f>
        <v>0</v>
      </c>
      <c r="H38" s="34">
        <f>+'[2]Sales-live'!I84</f>
        <v>0</v>
      </c>
      <c r="I38" s="34">
        <f>+'[2]Sales-live'!J84</f>
        <v>0</v>
      </c>
      <c r="J38" s="34">
        <f>+'[2]Sales-live'!K84</f>
        <v>0</v>
      </c>
      <c r="K38" s="34">
        <f>+'[2]Sales-live'!L84</f>
        <v>0</v>
      </c>
      <c r="L38" s="34">
        <f>+'[2]Sales-live'!M84</f>
        <v>0</v>
      </c>
      <c r="M38" s="34">
        <f>+'[2]Sales-live'!N84</f>
        <v>0</v>
      </c>
      <c r="N38" s="35">
        <f t="shared" si="9"/>
        <v>0</v>
      </c>
      <c r="O38" s="53"/>
      <c r="Q38" s="37" t="e">
        <f>+'[2]Sales-live'!#REF!</f>
        <v>#REF!</v>
      </c>
      <c r="R38" s="38"/>
      <c r="T38" s="39">
        <f>SUM(B38:H38)</f>
        <v>0</v>
      </c>
    </row>
    <row r="39" spans="1:20" ht="20.100000000000001" customHeight="1" x14ac:dyDescent="0.25">
      <c r="A39" s="40" t="s">
        <v>32</v>
      </c>
      <c r="B39" s="26">
        <f>+'[2]production scheduler'!D18</f>
        <v>0</v>
      </c>
      <c r="C39" s="26">
        <f>+'[2]production scheduler'!E18</f>
        <v>0</v>
      </c>
      <c r="D39" s="26">
        <f>+'[2]production scheduler'!F18</f>
        <v>0</v>
      </c>
      <c r="E39" s="26">
        <f>+'[2]production scheduler'!G18</f>
        <v>0</v>
      </c>
      <c r="F39" s="26">
        <f>+'[2]production scheduler'!H18</f>
        <v>0</v>
      </c>
      <c r="G39" s="26">
        <f>+'[2]production scheduler'!I18</f>
        <v>0</v>
      </c>
      <c r="H39" s="26">
        <f>+'[2]production scheduler'!J18</f>
        <v>0</v>
      </c>
      <c r="I39" s="26">
        <f>+'[2]production scheduler'!K18</f>
        <v>0</v>
      </c>
      <c r="J39" s="26">
        <f>+'[2]production scheduler'!L18</f>
        <v>0</v>
      </c>
      <c r="K39" s="26">
        <f>+'[2]production scheduler'!M18</f>
        <v>0</v>
      </c>
      <c r="L39" s="26">
        <f>+'[2]production scheduler'!N18</f>
        <v>0</v>
      </c>
      <c r="M39" s="26">
        <f>+'[2]production scheduler'!O18</f>
        <v>0</v>
      </c>
      <c r="N39" s="7">
        <f t="shared" si="9"/>
        <v>0</v>
      </c>
      <c r="O39" s="51"/>
      <c r="Q39" s="8">
        <f>+'[2]Sales-live'!O82</f>
        <v>0</v>
      </c>
      <c r="R39" s="9"/>
      <c r="T39" s="10">
        <f>SUM(B39:H39)</f>
        <v>0</v>
      </c>
    </row>
    <row r="40" spans="1:20" ht="20.100000000000001" customHeight="1" x14ac:dyDescent="0.25">
      <c r="A40" s="3" t="s">
        <v>33</v>
      </c>
      <c r="B40" s="16">
        <f t="shared" ref="B40:N40" si="10">SUM(B33:B39)</f>
        <v>10500</v>
      </c>
      <c r="C40" s="16">
        <f t="shared" si="10"/>
        <v>11200</v>
      </c>
      <c r="D40" s="16">
        <f t="shared" si="10"/>
        <v>6300</v>
      </c>
      <c r="E40" s="16">
        <f t="shared" si="10"/>
        <v>4200</v>
      </c>
      <c r="F40" s="16">
        <f t="shared" si="10"/>
        <v>4200</v>
      </c>
      <c r="G40" s="16">
        <f t="shared" si="10"/>
        <v>10500</v>
      </c>
      <c r="H40" s="16">
        <f t="shared" si="10"/>
        <v>8400</v>
      </c>
      <c r="I40" s="16">
        <f t="shared" si="10"/>
        <v>8400</v>
      </c>
      <c r="J40" s="16">
        <f t="shared" si="10"/>
        <v>10500</v>
      </c>
      <c r="K40" s="16">
        <f t="shared" si="10"/>
        <v>11200</v>
      </c>
      <c r="L40" s="16">
        <f t="shared" si="10"/>
        <v>21000</v>
      </c>
      <c r="M40" s="16">
        <f t="shared" si="10"/>
        <v>0</v>
      </c>
      <c r="N40" s="17">
        <f t="shared" si="10"/>
        <v>106400</v>
      </c>
      <c r="O40" s="42"/>
      <c r="Q40" s="8">
        <f>+'[2]Sales-live'!O85</f>
        <v>0</v>
      </c>
      <c r="R40" s="9"/>
      <c r="T40" s="10"/>
    </row>
    <row r="41" spans="1:20" ht="20.100000000000001" customHeight="1" x14ac:dyDescent="0.25">
      <c r="A41" s="41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42"/>
      <c r="O41" s="42"/>
      <c r="R41" s="9"/>
      <c r="T41" s="10"/>
    </row>
    <row r="42" spans="1:20" s="1" customFormat="1" ht="20.100000000000001" customHeight="1" x14ac:dyDescent="0.25">
      <c r="A42" s="3" t="s">
        <v>34</v>
      </c>
      <c r="B42" s="17">
        <f t="shared" ref="B42:M42" si="11">B30+B40</f>
        <v>109550</v>
      </c>
      <c r="C42" s="17">
        <f t="shared" si="11"/>
        <v>118575</v>
      </c>
      <c r="D42" s="17">
        <f t="shared" si="11"/>
        <v>146375</v>
      </c>
      <c r="E42" s="17">
        <f t="shared" si="11"/>
        <v>132300</v>
      </c>
      <c r="F42" s="17">
        <f t="shared" si="11"/>
        <v>86200</v>
      </c>
      <c r="G42" s="17">
        <f t="shared" si="11"/>
        <v>122850</v>
      </c>
      <c r="H42" s="17">
        <f t="shared" si="11"/>
        <v>126675</v>
      </c>
      <c r="I42" s="17">
        <f t="shared" si="11"/>
        <v>121150</v>
      </c>
      <c r="J42" s="17">
        <f t="shared" si="11"/>
        <v>114150</v>
      </c>
      <c r="K42" s="17">
        <f t="shared" si="11"/>
        <v>123950</v>
      </c>
      <c r="L42" s="17">
        <f t="shared" si="11"/>
        <v>152650</v>
      </c>
      <c r="M42" s="17">
        <f t="shared" si="11"/>
        <v>151375</v>
      </c>
      <c r="N42" s="17">
        <f>N30+N40</f>
        <v>1505800</v>
      </c>
      <c r="O42" s="42"/>
      <c r="P42"/>
      <c r="Q42" s="8">
        <f>+'[2]Sales-live'!O88</f>
        <v>0</v>
      </c>
      <c r="R42" s="9"/>
      <c r="S42" s="43"/>
      <c r="T42" s="10"/>
    </row>
    <row r="43" spans="1:20" ht="20.25" customHeight="1" x14ac:dyDescent="0.25">
      <c r="B43" s="44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</row>
    <row r="44" spans="1:20" ht="20.25" customHeight="1" x14ac:dyDescent="0.25"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</row>
    <row r="45" spans="1:20" ht="20.25" customHeight="1" x14ac:dyDescent="0.25">
      <c r="A45" s="1" t="s">
        <v>35</v>
      </c>
      <c r="B45" s="15">
        <f>B7+B8+B35</f>
        <v>53900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</row>
    <row r="46" spans="1:20" ht="20.25" customHeight="1" x14ac:dyDescent="0.25"/>
    <row r="47" spans="1:20" ht="20.25" customHeight="1" x14ac:dyDescent="0.25">
      <c r="A47" s="1" t="s">
        <v>36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</row>
    <row r="48" spans="1:20" ht="20.25" customHeight="1" x14ac:dyDescent="0.25">
      <c r="A48" t="s">
        <v>37</v>
      </c>
      <c r="B48" s="45">
        <f>'[2]PhasedP&amp;L'!N31*1000</f>
        <v>5781397.3066666666</v>
      </c>
      <c r="C48" s="46">
        <f>B48/N30</f>
        <v>4.1313400790815109</v>
      </c>
    </row>
    <row r="49" spans="1:3" ht="20.25" customHeight="1" x14ac:dyDescent="0.25">
      <c r="A49" t="s">
        <v>38</v>
      </c>
      <c r="B49" s="47">
        <f>'[2]PhasedP&amp;L'!N32*1000</f>
        <v>2592887.7857180079</v>
      </c>
      <c r="C49" s="45">
        <f>B49/N16</f>
        <v>2.0218236856937954</v>
      </c>
    </row>
    <row r="50" spans="1:3" ht="20.25" customHeight="1" x14ac:dyDescent="0.25">
      <c r="A50" t="s">
        <v>39</v>
      </c>
      <c r="B50" s="47">
        <f>'[2]PhasedP&amp;L'!N33*1000</f>
        <v>4855329.7552705063</v>
      </c>
      <c r="C50" s="48">
        <f t="shared" ref="C50:C55" si="12">B50/$N$30</f>
        <v>3.4695796450410934</v>
      </c>
    </row>
    <row r="51" spans="1:3" ht="20.25" customHeight="1" x14ac:dyDescent="0.25">
      <c r="A51" t="s">
        <v>40</v>
      </c>
      <c r="B51" s="47">
        <f>'[2]PhasedP&amp;L'!N34*1000</f>
        <v>770051.43190381408</v>
      </c>
      <c r="C51" s="48">
        <f t="shared" si="12"/>
        <v>0.5502725681747993</v>
      </c>
    </row>
    <row r="52" spans="1:3" ht="20.25" customHeight="1" x14ac:dyDescent="0.25">
      <c r="A52" t="s">
        <v>41</v>
      </c>
      <c r="B52" s="47">
        <f>'[2]PhasedP&amp;L'!N35*1000</f>
        <v>488680.85845303728</v>
      </c>
      <c r="C52" s="48">
        <f t="shared" si="12"/>
        <v>0.34920741635918057</v>
      </c>
    </row>
    <row r="53" spans="1:3" ht="20.25" customHeight="1" x14ac:dyDescent="0.25">
      <c r="A53" t="s">
        <v>42</v>
      </c>
      <c r="B53" s="47">
        <f>('[2]Purchasing '!P233+'[2]Logistics '!P128)</f>
        <v>2143117.2414182359</v>
      </c>
      <c r="C53" s="48">
        <f t="shared" si="12"/>
        <v>1.5314543671703844</v>
      </c>
    </row>
    <row r="54" spans="1:3" ht="20.25" customHeight="1" x14ac:dyDescent="0.25">
      <c r="A54" t="s">
        <v>43</v>
      </c>
      <c r="B54" s="47">
        <f>'[2]PhasedP&amp;L'!N37*1000</f>
        <v>1638869.014370258</v>
      </c>
      <c r="C54" s="48">
        <f t="shared" si="12"/>
        <v>1.1711226342505774</v>
      </c>
    </row>
    <row r="55" spans="1:3" ht="20.25" customHeight="1" x14ac:dyDescent="0.25">
      <c r="A55" t="s">
        <v>44</v>
      </c>
      <c r="B55" s="47">
        <f>'[2]PhasedP&amp;L'!N38*1000</f>
        <v>2984370.6592638907</v>
      </c>
      <c r="C55" s="48">
        <f t="shared" si="12"/>
        <v>2.132607302603895</v>
      </c>
    </row>
    <row r="56" spans="1:3" ht="20.25" customHeight="1" x14ac:dyDescent="0.25">
      <c r="A56" t="s">
        <v>7</v>
      </c>
      <c r="B56" s="49"/>
      <c r="C56" s="50">
        <f>SUM(C48:C55)</f>
        <v>15.357407698375237</v>
      </c>
    </row>
    <row r="57" spans="1:3" ht="20.25" customHeight="1" x14ac:dyDescent="0.25">
      <c r="A57" t="s">
        <v>45</v>
      </c>
      <c r="B57" s="49"/>
      <c r="C57" s="48">
        <f>C56-C49</f>
        <v>13.335584012681441</v>
      </c>
    </row>
  </sheetData>
  <printOptions horizontalCentered="1" verticalCentered="1"/>
  <pageMargins left="0.75" right="0.75" top="1" bottom="1" header="0.5" footer="0.5"/>
  <pageSetup scale="61" orientation="landscape" r:id="rId1"/>
  <headerFooter alignWithMargins="0">
    <oddHeader>&amp;L&amp;"Times New Roman,Bold"&amp;12Grenada Breweries Ltd.
Production Volumes
Corporate Plan 2011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BE64B-DD3A-47F1-A7DD-C7411680D7CC}">
  <sheetPr>
    <pageSetUpPr fitToPage="1"/>
  </sheetPr>
  <dimension ref="A1:N23"/>
  <sheetViews>
    <sheetView showGridLines="0" topLeftCell="A4" zoomScale="80" zoomScaleNormal="80" workbookViewId="0">
      <pane xSplit="1" ySplit="3" topLeftCell="B7" activePane="bottomRight" state="frozen"/>
      <selection pane="topRight" activeCell="O17" sqref="O17:P17"/>
      <selection pane="bottomLeft" activeCell="O17" sqref="O17:P17"/>
      <selection pane="bottomRight" activeCell="K23" sqref="K23"/>
    </sheetView>
  </sheetViews>
  <sheetFormatPr defaultColWidth="9.33203125" defaultRowHeight="13.2" x14ac:dyDescent="0.25"/>
  <cols>
    <col min="1" max="1" width="30.33203125" bestFit="1" customWidth="1"/>
    <col min="2" max="2" width="14.33203125" bestFit="1" customWidth="1"/>
    <col min="3" max="9" width="10.6640625" customWidth="1"/>
    <col min="10" max="10" width="12.33203125" bestFit="1" customWidth="1"/>
    <col min="11" max="11" width="10.6640625" customWidth="1"/>
    <col min="12" max="13" width="11.44140625" bestFit="1" customWidth="1"/>
    <col min="14" max="14" width="21.33203125" customWidth="1"/>
  </cols>
  <sheetData>
    <row r="1" spans="1:14" x14ac:dyDescent="0.25">
      <c r="A1" s="1"/>
      <c r="F1" s="2"/>
      <c r="G1" s="2"/>
      <c r="H1" s="2"/>
      <c r="I1" s="2"/>
      <c r="J1" s="2"/>
      <c r="K1" s="2"/>
      <c r="L1" s="2"/>
      <c r="M1" s="2"/>
      <c r="N1" s="2"/>
    </row>
    <row r="2" spans="1:14" x14ac:dyDescent="0.25">
      <c r="A2" s="1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F3" s="2"/>
      <c r="G3" s="2"/>
      <c r="H3" s="2"/>
      <c r="I3" s="2"/>
      <c r="J3" s="2"/>
      <c r="K3" s="2"/>
      <c r="L3" s="2"/>
      <c r="M3" s="2"/>
      <c r="N3" s="2"/>
    </row>
    <row r="4" spans="1:14" x14ac:dyDescent="0.25">
      <c r="A4" s="1"/>
      <c r="N4" s="2"/>
    </row>
    <row r="5" spans="1:14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ht="20.100000000000001" customHeight="1" x14ac:dyDescent="0.25">
      <c r="A6" s="3" t="s">
        <v>0</v>
      </c>
      <c r="B6" s="4" t="s">
        <v>1</v>
      </c>
      <c r="C6" s="4" t="s">
        <v>2</v>
      </c>
      <c r="D6" s="4" t="s">
        <v>3</v>
      </c>
      <c r="E6" s="4" t="s">
        <v>4</v>
      </c>
      <c r="F6" s="4" t="s">
        <v>5</v>
      </c>
      <c r="G6" s="4" t="s">
        <v>6</v>
      </c>
      <c r="H6" s="4" t="str">
        <f>[3]Phasing!B6</f>
        <v>July</v>
      </c>
      <c r="I6" s="4" t="str">
        <f>[3]Phasing!C6</f>
        <v>August</v>
      </c>
      <c r="J6" s="4" t="str">
        <f>[3]Phasing!D6</f>
        <v>September</v>
      </c>
      <c r="K6" s="4" t="str">
        <f>[3]Phasing!E6</f>
        <v>October</v>
      </c>
      <c r="L6" s="4" t="str">
        <f>[3]Phasing!F6</f>
        <v>November</v>
      </c>
      <c r="M6" s="4" t="str">
        <f>[3]Phasing!G6</f>
        <v>December</v>
      </c>
      <c r="N6" s="58" t="s">
        <v>7</v>
      </c>
    </row>
    <row r="7" spans="1:14" ht="20.100000000000001" customHeight="1" x14ac:dyDescent="0.25">
      <c r="A7" s="5" t="s">
        <v>10</v>
      </c>
      <c r="B7" s="6">
        <f>'[2]production scheduler'!D$5</f>
        <v>42000</v>
      </c>
      <c r="C7" s="6">
        <f>'[2]production scheduler'!E$5</f>
        <v>42000</v>
      </c>
      <c r="D7" s="6">
        <f>'[2]production scheduler'!F$5</f>
        <v>68700</v>
      </c>
      <c r="E7" s="6">
        <f>'[2]production scheduler'!G$5</f>
        <v>61000</v>
      </c>
      <c r="F7" s="6">
        <f>'[2]production scheduler'!H$5</f>
        <v>30600</v>
      </c>
      <c r="G7" s="6">
        <f>'[2]production scheduler'!I$5</f>
        <v>50400</v>
      </c>
      <c r="H7" s="6">
        <f>'[2]production scheduler'!J$5</f>
        <v>49000</v>
      </c>
      <c r="I7" s="6">
        <f>'[2]production scheduler'!K$5</f>
        <v>46900</v>
      </c>
      <c r="J7" s="6">
        <f>'[2]production scheduler'!L$5</f>
        <v>44800</v>
      </c>
      <c r="K7" s="6">
        <f>'[2]production scheduler'!M$5</f>
        <v>49700</v>
      </c>
      <c r="L7" s="6">
        <f>'[2]production scheduler'!N$5</f>
        <v>69300</v>
      </c>
      <c r="M7" s="6">
        <f>'[2]production scheduler'!O$5</f>
        <v>47600</v>
      </c>
      <c r="N7" s="7">
        <f t="shared" ref="N7:N15" si="0">SUM(B7+C7+D7+E7+F7+G7+H7+I7+J7+K7+L7+M7)</f>
        <v>602000</v>
      </c>
    </row>
    <row r="8" spans="1:14" ht="20.100000000000001" customHeight="1" x14ac:dyDescent="0.25">
      <c r="A8" s="5" t="s">
        <v>11</v>
      </c>
      <c r="B8" s="6">
        <f>'[2]production scheduler'!D$6</f>
        <v>2100</v>
      </c>
      <c r="C8" s="6">
        <f>'[2]production scheduler'!E$6</f>
        <v>2100</v>
      </c>
      <c r="D8" s="6">
        <f>'[2]production scheduler'!F$6</f>
        <v>2100</v>
      </c>
      <c r="E8" s="6">
        <f>'[2]production scheduler'!G$6</f>
        <v>700</v>
      </c>
      <c r="F8" s="6">
        <f>'[2]production scheduler'!H$6</f>
        <v>0</v>
      </c>
      <c r="G8" s="6">
        <f>'[2]production scheduler'!I$6</f>
        <v>2100</v>
      </c>
      <c r="H8" s="6">
        <f>'[2]production scheduler'!J$6</f>
        <v>2100</v>
      </c>
      <c r="I8" s="6">
        <f>'[2]production scheduler'!K$6</f>
        <v>1400</v>
      </c>
      <c r="J8" s="6">
        <f>'[2]production scheduler'!L$6</f>
        <v>1400</v>
      </c>
      <c r="K8" s="6">
        <f>'[2]production scheduler'!M$6</f>
        <v>1400</v>
      </c>
      <c r="L8" s="6">
        <f>'[2]production scheduler'!N$6</f>
        <v>2100</v>
      </c>
      <c r="M8" s="6">
        <f>'[2]production scheduler'!O$6</f>
        <v>2100</v>
      </c>
      <c r="N8" s="7">
        <f t="shared" si="0"/>
        <v>19600</v>
      </c>
    </row>
    <row r="9" spans="1:14" ht="20.100000000000001" customHeight="1" x14ac:dyDescent="0.25">
      <c r="A9" s="5" t="s">
        <v>12</v>
      </c>
      <c r="B9" s="6">
        <f>'[2]production scheduler'!D$14</f>
        <v>6300</v>
      </c>
      <c r="C9" s="6">
        <f>'[2]production scheduler'!E$14</f>
        <v>7700</v>
      </c>
      <c r="D9" s="6">
        <f>'[2]production scheduler'!F$14</f>
        <v>8400</v>
      </c>
      <c r="E9" s="6">
        <f>'[2]production scheduler'!G$14</f>
        <v>7700</v>
      </c>
      <c r="F9" s="6">
        <f>'[2]production scheduler'!H$14</f>
        <v>7700</v>
      </c>
      <c r="G9" s="6">
        <f>'[2]production scheduler'!I$14</f>
        <v>7000</v>
      </c>
      <c r="H9" s="6">
        <f>'[2]production scheduler'!J$14</f>
        <v>7700</v>
      </c>
      <c r="I9" s="6">
        <f>'[2]production scheduler'!K$14</f>
        <v>7000</v>
      </c>
      <c r="J9" s="6">
        <f>'[2]production scheduler'!L$14</f>
        <v>5600</v>
      </c>
      <c r="K9" s="6">
        <f>'[2]production scheduler'!M$14</f>
        <v>6300</v>
      </c>
      <c r="L9" s="6">
        <f>'[2]production scheduler'!N$14</f>
        <v>7000</v>
      </c>
      <c r="M9" s="6">
        <f>'[2]production scheduler'!O$14</f>
        <v>10500</v>
      </c>
      <c r="N9" s="7">
        <f t="shared" si="0"/>
        <v>88900</v>
      </c>
    </row>
    <row r="10" spans="1:14" ht="20.100000000000001" customHeight="1" x14ac:dyDescent="0.25">
      <c r="A10" s="5" t="s">
        <v>13</v>
      </c>
      <c r="B10" s="12">
        <v>2100</v>
      </c>
      <c r="C10" s="12">
        <v>2800</v>
      </c>
      <c r="D10" s="12">
        <v>2800</v>
      </c>
      <c r="E10" s="12">
        <v>3500</v>
      </c>
      <c r="F10" s="12">
        <v>2800</v>
      </c>
      <c r="G10" s="12">
        <v>2800</v>
      </c>
      <c r="H10" s="12">
        <v>1400</v>
      </c>
      <c r="I10" s="12">
        <v>3500</v>
      </c>
      <c r="J10" s="12">
        <v>2100</v>
      </c>
      <c r="K10" s="12">
        <v>2800</v>
      </c>
      <c r="L10" s="12">
        <v>2100</v>
      </c>
      <c r="M10" s="12">
        <v>3500</v>
      </c>
      <c r="N10" s="7">
        <f t="shared" si="0"/>
        <v>32200</v>
      </c>
    </row>
    <row r="11" spans="1:14" ht="20.100000000000001" customHeight="1" x14ac:dyDescent="0.25">
      <c r="A11" s="5" t="s">
        <v>14</v>
      </c>
      <c r="B11" s="6">
        <v>2500</v>
      </c>
      <c r="C11" s="6">
        <v>3125</v>
      </c>
      <c r="D11" s="6">
        <v>5625</v>
      </c>
      <c r="E11" s="6">
        <v>6250</v>
      </c>
      <c r="F11" s="6">
        <v>6250</v>
      </c>
      <c r="G11" s="6">
        <v>5000</v>
      </c>
      <c r="H11" s="6">
        <v>5625</v>
      </c>
      <c r="I11" s="6">
        <v>5000</v>
      </c>
      <c r="J11" s="6">
        <v>5000</v>
      </c>
      <c r="K11" s="6">
        <v>5000</v>
      </c>
      <c r="L11" s="6">
        <v>5000</v>
      </c>
      <c r="M11" s="6">
        <v>9375</v>
      </c>
      <c r="N11" s="7">
        <f t="shared" si="0"/>
        <v>63750</v>
      </c>
    </row>
    <row r="12" spans="1:14" ht="20.100000000000001" customHeight="1" x14ac:dyDescent="0.25">
      <c r="A12" s="5" t="s">
        <v>15</v>
      </c>
      <c r="B12" s="6">
        <f>'[2]production scheduler'!D$17</f>
        <v>7000</v>
      </c>
      <c r="C12" s="6">
        <f>'[2]production scheduler'!E$17</f>
        <v>7000</v>
      </c>
      <c r="D12" s="6">
        <f>'[2]production scheduler'!F$17</f>
        <v>7700</v>
      </c>
      <c r="E12" s="6">
        <f>'[2]production scheduler'!G$17</f>
        <v>7000</v>
      </c>
      <c r="F12" s="6">
        <f>'[2]production scheduler'!H$17</f>
        <v>7000</v>
      </c>
      <c r="G12" s="6">
        <f>'[2]production scheduler'!I$17</f>
        <v>5600</v>
      </c>
      <c r="H12" s="6">
        <f>'[2]production scheduler'!J$17</f>
        <v>7000</v>
      </c>
      <c r="I12" s="6">
        <f>'[2]production scheduler'!K$17</f>
        <v>6300</v>
      </c>
      <c r="J12" s="6">
        <f>'[2]production scheduler'!L$17</f>
        <v>6300</v>
      </c>
      <c r="K12" s="6">
        <f>'[2]production scheduler'!M$17</f>
        <v>6300</v>
      </c>
      <c r="L12" s="6">
        <f>'[2]production scheduler'!N$17</f>
        <v>6300</v>
      </c>
      <c r="M12" s="6">
        <f>'[2]production scheduler'!O$17</f>
        <v>14700</v>
      </c>
      <c r="N12" s="7">
        <f t="shared" si="0"/>
        <v>88200</v>
      </c>
    </row>
    <row r="13" spans="1:14" ht="20.100000000000001" customHeight="1" x14ac:dyDescent="0.25">
      <c r="A13" s="13" t="str">
        <f>+'[2]production scheduler'!B21</f>
        <v>Craft Beer</v>
      </c>
      <c r="B13" s="6">
        <f>+'[2]production scheduler'!D21</f>
        <v>1400</v>
      </c>
      <c r="C13" s="6">
        <f>+'[2]production scheduler'!E21</f>
        <v>700</v>
      </c>
      <c r="D13" s="6">
        <f>+'[2]production scheduler'!F21</f>
        <v>700</v>
      </c>
      <c r="E13" s="6">
        <f>+'[2]production scheduler'!G21</f>
        <v>1400</v>
      </c>
      <c r="F13" s="6">
        <f>+'[2]production scheduler'!H21</f>
        <v>700</v>
      </c>
      <c r="G13" s="6">
        <f>+'[2]production scheduler'!I21</f>
        <v>700</v>
      </c>
      <c r="H13" s="6">
        <f>+'[2]production scheduler'!J21</f>
        <v>0</v>
      </c>
      <c r="I13" s="6">
        <f>+'[2]production scheduler'!K21</f>
        <v>700</v>
      </c>
      <c r="J13" s="6">
        <f>+'[2]production scheduler'!L21</f>
        <v>1400</v>
      </c>
      <c r="K13" s="6">
        <f>+'[2]production scheduler'!M21</f>
        <v>700</v>
      </c>
      <c r="L13" s="6">
        <f>+'[2]production scheduler'!N21</f>
        <v>700</v>
      </c>
      <c r="M13" s="6">
        <f>+'[2]production scheduler'!O21</f>
        <v>700</v>
      </c>
      <c r="N13" s="7">
        <f t="shared" si="0"/>
        <v>9800</v>
      </c>
    </row>
    <row r="14" spans="1:14" ht="20.100000000000001" customHeight="1" x14ac:dyDescent="0.25">
      <c r="A14" s="5" t="s">
        <v>16</v>
      </c>
      <c r="B14" s="12">
        <f>'[2]production scheduler'!D$9</f>
        <v>24500</v>
      </c>
      <c r="C14" s="12">
        <f>'[2]production scheduler'!E$9</f>
        <v>30800</v>
      </c>
      <c r="D14" s="12">
        <f>'[2]production scheduler'!F$9</f>
        <v>32200</v>
      </c>
      <c r="E14" s="12">
        <f>'[2]production scheduler'!G$9</f>
        <v>30100</v>
      </c>
      <c r="F14" s="12">
        <f>'[2]production scheduler'!H$9</f>
        <v>16800</v>
      </c>
      <c r="G14" s="12">
        <f>'[2]production scheduler'!I$9</f>
        <v>28700</v>
      </c>
      <c r="H14" s="12">
        <f>'[2]production scheduler'!J$9</f>
        <v>33600</v>
      </c>
      <c r="I14" s="12">
        <f>'[2]production scheduler'!K$9</f>
        <v>30100</v>
      </c>
      <c r="J14" s="12">
        <f>'[2]production scheduler'!L$9</f>
        <v>26600</v>
      </c>
      <c r="K14" s="12">
        <f>'[2]production scheduler'!M$9</f>
        <v>29400</v>
      </c>
      <c r="L14" s="12">
        <f>'[2]production scheduler'!N$9</f>
        <v>27300</v>
      </c>
      <c r="M14" s="12">
        <f>'[2]production scheduler'!O$9</f>
        <v>40600</v>
      </c>
      <c r="N14" s="7">
        <f t="shared" si="0"/>
        <v>350700</v>
      </c>
    </row>
    <row r="15" spans="1:14" ht="20.100000000000001" customHeight="1" x14ac:dyDescent="0.25">
      <c r="A15" s="14" t="s">
        <v>17</v>
      </c>
      <c r="B15" s="6">
        <f>'[2]production scheduler'!D$12</f>
        <v>2100</v>
      </c>
      <c r="C15" s="6">
        <f>'[2]production scheduler'!E$12</f>
        <v>2100</v>
      </c>
      <c r="D15" s="6">
        <f>'[2]production scheduler'!F$12</f>
        <v>2800</v>
      </c>
      <c r="E15" s="6">
        <f>'[2]production scheduler'!G$12</f>
        <v>1400</v>
      </c>
      <c r="F15" s="6">
        <f>'[2]production scheduler'!H$12</f>
        <v>1400</v>
      </c>
      <c r="G15" s="6">
        <f>'[2]production scheduler'!I$12</f>
        <v>2800</v>
      </c>
      <c r="H15" s="6">
        <f>'[2]production scheduler'!J$12</f>
        <v>2800</v>
      </c>
      <c r="I15" s="6">
        <f>'[2]production scheduler'!K$12</f>
        <v>2100</v>
      </c>
      <c r="J15" s="6">
        <f>'[2]production scheduler'!L$12</f>
        <v>1400</v>
      </c>
      <c r="K15" s="6">
        <f>'[2]production scheduler'!M$12</f>
        <v>2100</v>
      </c>
      <c r="L15" s="6">
        <f>'[2]production scheduler'!N$12</f>
        <v>2100</v>
      </c>
      <c r="M15" s="6">
        <f>'[2]production scheduler'!O$12</f>
        <v>4200</v>
      </c>
      <c r="N15" s="7">
        <f t="shared" si="0"/>
        <v>27300</v>
      </c>
    </row>
    <row r="16" spans="1:14" ht="20.100000000000001" customHeight="1" x14ac:dyDescent="0.25">
      <c r="A16" s="21" t="s">
        <v>19</v>
      </c>
      <c r="B16" s="22">
        <f>'[2]production scheduler'!D$20</f>
        <v>1150</v>
      </c>
      <c r="C16" s="22">
        <f>'[2]production scheduler'!E$20</f>
        <v>1150</v>
      </c>
      <c r="D16" s="22">
        <f>'[2]production scheduler'!F$20</f>
        <v>1150</v>
      </c>
      <c r="E16" s="22">
        <f>'[2]production scheduler'!G$20</f>
        <v>1150</v>
      </c>
      <c r="F16" s="22">
        <f>'[2]production scheduler'!H$20</f>
        <v>1150</v>
      </c>
      <c r="G16" s="22">
        <f>'[2]production scheduler'!I$20</f>
        <v>1150</v>
      </c>
      <c r="H16" s="22">
        <f>'[2]production scheduler'!J$20</f>
        <v>1150</v>
      </c>
      <c r="I16" s="22">
        <f>'[2]production scheduler'!K$20</f>
        <v>1150</v>
      </c>
      <c r="J16" s="22">
        <f>'[2]production scheduler'!L$20</f>
        <v>1150</v>
      </c>
      <c r="K16" s="22">
        <f>'[2]production scheduler'!M$20</f>
        <v>1150</v>
      </c>
      <c r="L16" s="22">
        <f>'[2]production scheduler'!N$20</f>
        <v>1150</v>
      </c>
      <c r="M16" s="22">
        <f>'[2]production scheduler'!O$20</f>
        <v>2300</v>
      </c>
      <c r="N16" s="7">
        <f t="shared" ref="N16:N22" si="1">SUM(B16:M16)</f>
        <v>14950</v>
      </c>
    </row>
    <row r="17" spans="1:14" ht="20.100000000000001" customHeight="1" x14ac:dyDescent="0.25">
      <c r="A17" s="14" t="s">
        <v>20</v>
      </c>
      <c r="B17" s="6">
        <f>'[2]production scheduler'!D$19</f>
        <v>3600</v>
      </c>
      <c r="C17" s="6">
        <f>'[2]production scheduler'!E$19</f>
        <v>3600</v>
      </c>
      <c r="D17" s="6">
        <f>'[2]production scheduler'!F$19</f>
        <v>3600</v>
      </c>
      <c r="E17" s="6">
        <f>'[2]production scheduler'!G$19</f>
        <v>3600</v>
      </c>
      <c r="F17" s="6">
        <f>'[2]production scheduler'!H$19</f>
        <v>1800</v>
      </c>
      <c r="G17" s="6">
        <f>'[2]production scheduler'!I$19</f>
        <v>1800</v>
      </c>
      <c r="H17" s="6">
        <f>'[2]production scheduler'!J$19</f>
        <v>3600</v>
      </c>
      <c r="I17" s="6">
        <f>'[2]production scheduler'!K$19</f>
        <v>3600</v>
      </c>
      <c r="J17" s="6">
        <f>'[2]production scheduler'!L$19</f>
        <v>3600</v>
      </c>
      <c r="K17" s="6">
        <f>'[2]production scheduler'!M$19</f>
        <v>3600</v>
      </c>
      <c r="L17" s="6">
        <f>'[2]production scheduler'!N$19</f>
        <v>3600</v>
      </c>
      <c r="M17" s="6">
        <f>'[2]production scheduler'!O$19</f>
        <v>3600</v>
      </c>
      <c r="N17" s="7">
        <f t="shared" si="1"/>
        <v>39600</v>
      </c>
    </row>
    <row r="18" spans="1:14" ht="20.100000000000001" customHeight="1" x14ac:dyDescent="0.25">
      <c r="A18" s="21" t="s">
        <v>22</v>
      </c>
      <c r="B18" s="25">
        <f>'[2]production scheduler'!D$24</f>
        <v>700</v>
      </c>
      <c r="C18" s="25">
        <f>'[2]production scheduler'!E$24</f>
        <v>700</v>
      </c>
      <c r="D18" s="25">
        <f>'[2]production scheduler'!F$24</f>
        <v>700</v>
      </c>
      <c r="E18" s="25">
        <f>'[2]production scheduler'!G$24</f>
        <v>700</v>
      </c>
      <c r="F18" s="25">
        <f>'[2]production scheduler'!H$24</f>
        <v>700</v>
      </c>
      <c r="G18" s="25">
        <f>'[2]production scheduler'!I$24</f>
        <v>1400</v>
      </c>
      <c r="H18" s="25">
        <f>'[2]production scheduler'!J$24</f>
        <v>700</v>
      </c>
      <c r="I18" s="25">
        <f>'[2]production scheduler'!K$24</f>
        <v>700</v>
      </c>
      <c r="J18" s="25">
        <f>'[2]production scheduler'!L$24</f>
        <v>700</v>
      </c>
      <c r="K18" s="25">
        <f>'[2]production scheduler'!M$24</f>
        <v>700</v>
      </c>
      <c r="L18" s="25">
        <f>'[2]production scheduler'!N$24</f>
        <v>700</v>
      </c>
      <c r="M18" s="25">
        <f>'[2]production scheduler'!O$24</f>
        <v>2800</v>
      </c>
      <c r="N18" s="7">
        <f t="shared" si="1"/>
        <v>11200</v>
      </c>
    </row>
    <row r="19" spans="1:14" ht="20.25" customHeight="1" x14ac:dyDescent="0.25">
      <c r="A19" s="5" t="s">
        <v>23</v>
      </c>
      <c r="B19" s="12">
        <f>'[2]production scheduler'!D$25</f>
        <v>700</v>
      </c>
      <c r="C19" s="12">
        <f>'[2]production scheduler'!E$25</f>
        <v>700</v>
      </c>
      <c r="D19" s="12">
        <f>'[2]production scheduler'!F$25</f>
        <v>700</v>
      </c>
      <c r="E19" s="12">
        <f>'[2]production scheduler'!G$25</f>
        <v>700</v>
      </c>
      <c r="F19" s="12">
        <f>'[2]production scheduler'!H$25</f>
        <v>700</v>
      </c>
      <c r="G19" s="12">
        <f>'[2]production scheduler'!I$25</f>
        <v>700</v>
      </c>
      <c r="H19" s="12">
        <f>'[2]production scheduler'!J$25</f>
        <v>700</v>
      </c>
      <c r="I19" s="12">
        <f>'[2]production scheduler'!K$25</f>
        <v>700</v>
      </c>
      <c r="J19" s="12">
        <f>'[2]production scheduler'!L$25</f>
        <v>700</v>
      </c>
      <c r="K19" s="12">
        <f>'[2]production scheduler'!M$25</f>
        <v>700</v>
      </c>
      <c r="L19" s="12">
        <f>'[2]production scheduler'!N$25</f>
        <v>700</v>
      </c>
      <c r="M19" s="12">
        <f>'[2]production scheduler'!O$25</f>
        <v>1400</v>
      </c>
      <c r="N19" s="7">
        <f t="shared" si="1"/>
        <v>9100</v>
      </c>
    </row>
    <row r="20" spans="1:14" ht="20.25" customHeight="1" x14ac:dyDescent="0.25">
      <c r="A20" s="5" t="s">
        <v>24</v>
      </c>
      <c r="B20" s="12">
        <f>'[2]production scheduler'!D$26</f>
        <v>1400</v>
      </c>
      <c r="C20" s="12">
        <f>'[2]production scheduler'!E$26</f>
        <v>1400</v>
      </c>
      <c r="D20" s="12">
        <f>'[2]production scheduler'!F$26</f>
        <v>1400</v>
      </c>
      <c r="E20" s="12">
        <f>'[2]production scheduler'!G$26</f>
        <v>1400</v>
      </c>
      <c r="F20" s="12">
        <f>'[2]production scheduler'!H$26</f>
        <v>1400</v>
      </c>
      <c r="G20" s="12">
        <f>'[2]production scheduler'!I$26</f>
        <v>700</v>
      </c>
      <c r="H20" s="12">
        <f>'[2]production scheduler'!J$26</f>
        <v>1400</v>
      </c>
      <c r="I20" s="12">
        <f>'[2]production scheduler'!K$26</f>
        <v>2100</v>
      </c>
      <c r="J20" s="12">
        <f>'[2]production scheduler'!L$26</f>
        <v>1400</v>
      </c>
      <c r="K20" s="12">
        <f>'[2]production scheduler'!M$26</f>
        <v>1400</v>
      </c>
      <c r="L20" s="12">
        <f>'[2]production scheduler'!N$26</f>
        <v>2100</v>
      </c>
      <c r="M20" s="12">
        <f>'[2]production scheduler'!O$26</f>
        <v>3500</v>
      </c>
      <c r="N20" s="7">
        <f t="shared" si="1"/>
        <v>19600</v>
      </c>
    </row>
    <row r="21" spans="1:14" ht="20.25" customHeight="1" x14ac:dyDescent="0.25">
      <c r="A21" s="5" t="s">
        <v>25</v>
      </c>
      <c r="B21" s="12">
        <f>'[2]production scheduler'!D$22</f>
        <v>1500</v>
      </c>
      <c r="C21" s="12">
        <f>'[2]production scheduler'!E$22</f>
        <v>1500</v>
      </c>
      <c r="D21" s="12">
        <f>'[2]production scheduler'!F$22</f>
        <v>1500</v>
      </c>
      <c r="E21" s="12">
        <f>'[2]production scheduler'!G$22</f>
        <v>1500</v>
      </c>
      <c r="F21" s="12">
        <f>'[2]production scheduler'!H$22</f>
        <v>3000</v>
      </c>
      <c r="G21" s="12">
        <f>'[2]production scheduler'!I$22</f>
        <v>1500</v>
      </c>
      <c r="H21" s="12">
        <f>'[2]production scheduler'!J$22</f>
        <v>1500</v>
      </c>
      <c r="I21" s="12">
        <f>'[2]production scheduler'!K$22</f>
        <v>1500</v>
      </c>
      <c r="J21" s="12">
        <f>'[2]production scheduler'!L$22</f>
        <v>1500</v>
      </c>
      <c r="K21" s="12">
        <f>'[2]production scheduler'!M$22</f>
        <v>1500</v>
      </c>
      <c r="L21" s="12">
        <f>'[2]production scheduler'!N$22</f>
        <v>1500</v>
      </c>
      <c r="M21" s="12">
        <f>'[2]production scheduler'!O$22</f>
        <v>4500</v>
      </c>
      <c r="N21" s="7">
        <f t="shared" si="1"/>
        <v>22500</v>
      </c>
    </row>
    <row r="22" spans="1:14" ht="20.25" customHeight="1" x14ac:dyDescent="0.25">
      <c r="A22" s="14" t="s">
        <v>26</v>
      </c>
      <c r="B22" s="26">
        <f>'[2]production scheduler'!D$23</f>
        <v>0</v>
      </c>
      <c r="C22" s="26">
        <f>'[2]production scheduler'!E$23</f>
        <v>0</v>
      </c>
      <c r="D22" s="26">
        <f>'[2]production scheduler'!F$23</f>
        <v>0</v>
      </c>
      <c r="E22" s="26">
        <f>'[2]production scheduler'!G$23</f>
        <v>0</v>
      </c>
      <c r="F22" s="26">
        <f>'[2]production scheduler'!H$23</f>
        <v>0</v>
      </c>
      <c r="G22" s="26">
        <f>'[2]production scheduler'!I$23</f>
        <v>0</v>
      </c>
      <c r="H22" s="26">
        <f>'[2]production scheduler'!J$23</f>
        <v>0</v>
      </c>
      <c r="I22" s="26">
        <f>'[2]production scheduler'!K$23</f>
        <v>0</v>
      </c>
      <c r="J22" s="26">
        <f>'[2]production scheduler'!L$23</f>
        <v>0</v>
      </c>
      <c r="K22" s="26">
        <f>'[2]production scheduler'!M$23</f>
        <v>0</v>
      </c>
      <c r="L22" s="26">
        <f>'[2]production scheduler'!N$23</f>
        <v>0</v>
      </c>
      <c r="M22" s="26">
        <f>'[2]production scheduler'!O$23</f>
        <v>0</v>
      </c>
      <c r="N22" s="7">
        <f t="shared" si="1"/>
        <v>0</v>
      </c>
    </row>
    <row r="23" spans="1:14" s="1" customFormat="1" ht="20.100000000000001" customHeight="1" x14ac:dyDescent="0.25">
      <c r="A23" s="3" t="s">
        <v>34</v>
      </c>
      <c r="B23" s="17">
        <f>SUM(B7:B22)</f>
        <v>99050</v>
      </c>
      <c r="C23" s="17">
        <f t="shared" ref="C23:N23" si="2">SUM(C7:C22)</f>
        <v>107375</v>
      </c>
      <c r="D23" s="17">
        <f t="shared" si="2"/>
        <v>140075</v>
      </c>
      <c r="E23" s="17">
        <f t="shared" si="2"/>
        <v>128100</v>
      </c>
      <c r="F23" s="17">
        <f t="shared" si="2"/>
        <v>82000</v>
      </c>
      <c r="G23" s="17">
        <f t="shared" si="2"/>
        <v>112350</v>
      </c>
      <c r="H23" s="17">
        <f t="shared" si="2"/>
        <v>118275</v>
      </c>
      <c r="I23" s="17">
        <f t="shared" si="2"/>
        <v>112750</v>
      </c>
      <c r="J23" s="17">
        <f t="shared" si="2"/>
        <v>103650</v>
      </c>
      <c r="K23" s="17">
        <f t="shared" si="2"/>
        <v>112750</v>
      </c>
      <c r="L23" s="17">
        <f t="shared" si="2"/>
        <v>131650</v>
      </c>
      <c r="M23" s="17">
        <f t="shared" si="2"/>
        <v>151375</v>
      </c>
      <c r="N23" s="83">
        <f t="shared" si="2"/>
        <v>1399400</v>
      </c>
    </row>
  </sheetData>
  <printOptions horizontalCentered="1" verticalCentered="1"/>
  <pageMargins left="0.75" right="0.75" top="1" bottom="1" header="0.5" footer="0.5"/>
  <pageSetup scale="39" orientation="landscape" r:id="rId1"/>
  <headerFooter alignWithMargins="0">
    <oddHeader>&amp;L&amp;"Times New Roman,Bold"&amp;12Grenada Breweries Ltd.
Production Volumes
Corporate Plan 2011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5FC11-4A47-4FF8-B1AB-A479BAC54D22}">
  <dimension ref="B1:O22"/>
  <sheetViews>
    <sheetView workbookViewId="0">
      <pane xSplit="3" topLeftCell="D1" activePane="topRight" state="frozen"/>
      <selection pane="topRight" activeCell="C2" sqref="C2:N2"/>
    </sheetView>
  </sheetViews>
  <sheetFormatPr defaultColWidth="8.88671875" defaultRowHeight="14.4" x14ac:dyDescent="0.3"/>
  <cols>
    <col min="1" max="1" width="8.88671875" style="65"/>
    <col min="2" max="2" width="15.44140625" style="65" bestFit="1" customWidth="1"/>
    <col min="3" max="3" width="21.88671875" style="82" bestFit="1" customWidth="1"/>
    <col min="4" max="4" width="11.44140625" style="82" bestFit="1" customWidth="1"/>
    <col min="5" max="5" width="11.109375" style="82" customWidth="1"/>
    <col min="6" max="6" width="9.33203125" style="82" customWidth="1"/>
    <col min="7" max="7" width="11" style="82" customWidth="1"/>
    <col min="8" max="11" width="11.44140625" style="82" bestFit="1" customWidth="1"/>
    <col min="12" max="12" width="12.109375" style="82" customWidth="1"/>
    <col min="13" max="13" width="11.44140625" style="82" bestFit="1" customWidth="1"/>
    <col min="14" max="14" width="11.88671875" style="82" customWidth="1"/>
    <col min="15" max="15" width="12.33203125" style="65" customWidth="1"/>
    <col min="16" max="16384" width="8.88671875" style="65"/>
  </cols>
  <sheetData>
    <row r="1" spans="2:15" x14ac:dyDescent="0.3">
      <c r="B1" s="138" t="s">
        <v>65</v>
      </c>
      <c r="C1" s="139"/>
    </row>
    <row r="2" spans="2:15" x14ac:dyDescent="0.3">
      <c r="B2" s="84" t="s">
        <v>67</v>
      </c>
      <c r="C2" s="84" t="s">
        <v>1</v>
      </c>
      <c r="D2" s="84" t="s">
        <v>2</v>
      </c>
      <c r="E2" s="84" t="s">
        <v>3</v>
      </c>
      <c r="F2" s="84" t="s">
        <v>4</v>
      </c>
      <c r="G2" s="84" t="s">
        <v>5</v>
      </c>
      <c r="H2" s="84" t="s">
        <v>6</v>
      </c>
      <c r="I2" s="84" t="s">
        <v>59</v>
      </c>
      <c r="J2" s="84" t="s">
        <v>60</v>
      </c>
      <c r="K2" s="84" t="s">
        <v>61</v>
      </c>
      <c r="L2" s="84" t="s">
        <v>62</v>
      </c>
      <c r="M2" s="84" t="s">
        <v>63</v>
      </c>
      <c r="N2" s="84" t="s">
        <v>64</v>
      </c>
      <c r="O2" s="84" t="s">
        <v>7</v>
      </c>
    </row>
    <row r="3" spans="2:15" x14ac:dyDescent="0.3">
      <c r="B3" s="86" t="s">
        <v>10</v>
      </c>
      <c r="C3" s="81">
        <v>42000</v>
      </c>
      <c r="D3" s="81">
        <v>42000</v>
      </c>
      <c r="E3" s="81">
        <v>68700</v>
      </c>
      <c r="F3" s="81">
        <v>61000</v>
      </c>
      <c r="G3" s="81">
        <v>30600</v>
      </c>
      <c r="H3" s="81">
        <v>50400</v>
      </c>
      <c r="I3" s="81">
        <v>49000</v>
      </c>
      <c r="J3" s="81">
        <v>46900</v>
      </c>
      <c r="K3" s="81">
        <v>44800</v>
      </c>
      <c r="L3" s="81">
        <v>49700</v>
      </c>
      <c r="M3" s="81">
        <v>69300</v>
      </c>
      <c r="N3" s="81">
        <v>47600</v>
      </c>
      <c r="O3" s="87">
        <v>602000</v>
      </c>
    </row>
    <row r="4" spans="2:15" x14ac:dyDescent="0.3">
      <c r="B4" s="86" t="s">
        <v>11</v>
      </c>
      <c r="C4" s="81">
        <v>2100</v>
      </c>
      <c r="D4" s="81">
        <v>2100</v>
      </c>
      <c r="E4" s="81">
        <v>2100</v>
      </c>
      <c r="F4" s="81">
        <v>700</v>
      </c>
      <c r="G4" s="81">
        <v>0</v>
      </c>
      <c r="H4" s="81">
        <v>2100</v>
      </c>
      <c r="I4" s="81">
        <v>2100</v>
      </c>
      <c r="J4" s="81">
        <v>1400</v>
      </c>
      <c r="K4" s="81">
        <v>1400</v>
      </c>
      <c r="L4" s="81">
        <v>1400</v>
      </c>
      <c r="M4" s="81">
        <v>2100</v>
      </c>
      <c r="N4" s="81">
        <v>2100</v>
      </c>
      <c r="O4" s="87">
        <v>19600</v>
      </c>
    </row>
    <row r="5" spans="2:15" x14ac:dyDescent="0.3">
      <c r="B5" s="86" t="s">
        <v>12</v>
      </c>
      <c r="C5" s="81">
        <v>6300</v>
      </c>
      <c r="D5" s="81">
        <v>7700</v>
      </c>
      <c r="E5" s="81">
        <v>8400</v>
      </c>
      <c r="F5" s="81">
        <v>7700</v>
      </c>
      <c r="G5" s="81">
        <v>7700</v>
      </c>
      <c r="H5" s="81">
        <v>7000</v>
      </c>
      <c r="I5" s="81">
        <v>7700</v>
      </c>
      <c r="J5" s="81">
        <v>7000</v>
      </c>
      <c r="K5" s="81">
        <v>5600</v>
      </c>
      <c r="L5" s="81">
        <v>6300</v>
      </c>
      <c r="M5" s="81">
        <v>7000</v>
      </c>
      <c r="N5" s="81">
        <v>10500</v>
      </c>
      <c r="O5" s="87">
        <v>88900</v>
      </c>
    </row>
    <row r="6" spans="2:15" x14ac:dyDescent="0.3">
      <c r="B6" s="86" t="s">
        <v>13</v>
      </c>
      <c r="C6" s="81">
        <v>2100</v>
      </c>
      <c r="D6" s="81">
        <v>2800</v>
      </c>
      <c r="E6" s="81">
        <v>2800</v>
      </c>
      <c r="F6" s="81">
        <v>3500</v>
      </c>
      <c r="G6" s="81">
        <v>2800</v>
      </c>
      <c r="H6" s="81">
        <v>2800</v>
      </c>
      <c r="I6" s="81">
        <v>1400</v>
      </c>
      <c r="J6" s="81">
        <v>3500</v>
      </c>
      <c r="K6" s="81">
        <v>2100</v>
      </c>
      <c r="L6" s="81">
        <v>2800</v>
      </c>
      <c r="M6" s="81">
        <v>2100</v>
      </c>
      <c r="N6" s="81">
        <v>3500</v>
      </c>
      <c r="O6" s="87">
        <v>32200</v>
      </c>
    </row>
    <row r="7" spans="2:15" x14ac:dyDescent="0.3">
      <c r="B7" s="86" t="s">
        <v>14</v>
      </c>
      <c r="C7" s="81">
        <v>2500</v>
      </c>
      <c r="D7" s="81">
        <v>3125</v>
      </c>
      <c r="E7" s="81">
        <v>5625</v>
      </c>
      <c r="F7" s="81">
        <v>6250</v>
      </c>
      <c r="G7" s="81">
        <v>6250</v>
      </c>
      <c r="H7" s="81">
        <v>5000</v>
      </c>
      <c r="I7" s="81">
        <v>5625</v>
      </c>
      <c r="J7" s="81">
        <v>5000</v>
      </c>
      <c r="K7" s="81">
        <v>5000</v>
      </c>
      <c r="L7" s="81">
        <v>5000</v>
      </c>
      <c r="M7" s="81">
        <v>5000</v>
      </c>
      <c r="N7" s="81">
        <v>9375</v>
      </c>
      <c r="O7" s="87">
        <v>63750</v>
      </c>
    </row>
    <row r="8" spans="2:15" x14ac:dyDescent="0.3">
      <c r="B8" s="86" t="s">
        <v>15</v>
      </c>
      <c r="C8" s="81">
        <v>7000</v>
      </c>
      <c r="D8" s="81">
        <v>7000</v>
      </c>
      <c r="E8" s="81">
        <v>7700</v>
      </c>
      <c r="F8" s="81">
        <v>7000</v>
      </c>
      <c r="G8" s="81">
        <v>7000</v>
      </c>
      <c r="H8" s="81">
        <v>5600</v>
      </c>
      <c r="I8" s="81">
        <v>7000</v>
      </c>
      <c r="J8" s="81">
        <v>6300</v>
      </c>
      <c r="K8" s="81">
        <v>6300</v>
      </c>
      <c r="L8" s="81">
        <v>6300</v>
      </c>
      <c r="M8" s="81">
        <v>6300</v>
      </c>
      <c r="N8" s="81">
        <v>14700</v>
      </c>
      <c r="O8" s="87">
        <v>88200</v>
      </c>
    </row>
    <row r="9" spans="2:15" x14ac:dyDescent="0.3">
      <c r="B9" s="86" t="s">
        <v>66</v>
      </c>
      <c r="C9" s="81">
        <v>1400</v>
      </c>
      <c r="D9" s="81">
        <v>700</v>
      </c>
      <c r="E9" s="81">
        <v>700</v>
      </c>
      <c r="F9" s="81">
        <v>1400</v>
      </c>
      <c r="G9" s="81">
        <v>700</v>
      </c>
      <c r="H9" s="81">
        <v>700</v>
      </c>
      <c r="I9" s="81">
        <v>0</v>
      </c>
      <c r="J9" s="81">
        <v>700</v>
      </c>
      <c r="K9" s="81">
        <v>1400</v>
      </c>
      <c r="L9" s="81">
        <v>700</v>
      </c>
      <c r="M9" s="81">
        <v>700</v>
      </c>
      <c r="N9" s="81">
        <v>700</v>
      </c>
      <c r="O9" s="87">
        <v>9800</v>
      </c>
    </row>
    <row r="10" spans="2:15" x14ac:dyDescent="0.3">
      <c r="B10" s="86" t="s">
        <v>16</v>
      </c>
      <c r="C10" s="81">
        <v>24500</v>
      </c>
      <c r="D10" s="81">
        <v>30800</v>
      </c>
      <c r="E10" s="81">
        <v>32200</v>
      </c>
      <c r="F10" s="81">
        <v>30100</v>
      </c>
      <c r="G10" s="81">
        <v>16800</v>
      </c>
      <c r="H10" s="81">
        <v>28700</v>
      </c>
      <c r="I10" s="81">
        <v>33600</v>
      </c>
      <c r="J10" s="81">
        <v>30100</v>
      </c>
      <c r="K10" s="81">
        <v>26600</v>
      </c>
      <c r="L10" s="81">
        <v>29400</v>
      </c>
      <c r="M10" s="81">
        <v>27300</v>
      </c>
      <c r="N10" s="81">
        <v>40600</v>
      </c>
      <c r="O10" s="87">
        <v>350700</v>
      </c>
    </row>
    <row r="11" spans="2:15" x14ac:dyDescent="0.3">
      <c r="B11" s="86" t="s">
        <v>17</v>
      </c>
      <c r="C11" s="81">
        <v>2100</v>
      </c>
      <c r="D11" s="81">
        <v>2100</v>
      </c>
      <c r="E11" s="81">
        <v>2800</v>
      </c>
      <c r="F11" s="81">
        <v>1400</v>
      </c>
      <c r="G11" s="81">
        <v>1400</v>
      </c>
      <c r="H11" s="81">
        <v>2800</v>
      </c>
      <c r="I11" s="81">
        <v>2800</v>
      </c>
      <c r="J11" s="81">
        <v>2100</v>
      </c>
      <c r="K11" s="81">
        <v>1400</v>
      </c>
      <c r="L11" s="81">
        <v>2100</v>
      </c>
      <c r="M11" s="81">
        <v>2100</v>
      </c>
      <c r="N11" s="81">
        <v>4200</v>
      </c>
      <c r="O11" s="87">
        <v>27300</v>
      </c>
    </row>
    <row r="12" spans="2:15" x14ac:dyDescent="0.3">
      <c r="B12" s="86" t="s">
        <v>19</v>
      </c>
      <c r="C12" s="81">
        <v>1150</v>
      </c>
      <c r="D12" s="81">
        <v>1150</v>
      </c>
      <c r="E12" s="81">
        <v>1150</v>
      </c>
      <c r="F12" s="81">
        <v>1150</v>
      </c>
      <c r="G12" s="81">
        <v>1150</v>
      </c>
      <c r="H12" s="81">
        <v>1150</v>
      </c>
      <c r="I12" s="81">
        <v>1150</v>
      </c>
      <c r="J12" s="81">
        <v>1150</v>
      </c>
      <c r="K12" s="81">
        <v>1150</v>
      </c>
      <c r="L12" s="81">
        <v>1150</v>
      </c>
      <c r="M12" s="81">
        <v>1150</v>
      </c>
      <c r="N12" s="81">
        <v>2300</v>
      </c>
      <c r="O12" s="87">
        <v>14950</v>
      </c>
    </row>
    <row r="13" spans="2:15" x14ac:dyDescent="0.3">
      <c r="B13" s="86" t="s">
        <v>20</v>
      </c>
      <c r="C13" s="81">
        <v>3600</v>
      </c>
      <c r="D13" s="81">
        <v>3600</v>
      </c>
      <c r="E13" s="81">
        <v>3600</v>
      </c>
      <c r="F13" s="81">
        <v>3600</v>
      </c>
      <c r="G13" s="81">
        <v>1800</v>
      </c>
      <c r="H13" s="81">
        <v>1800</v>
      </c>
      <c r="I13" s="81">
        <v>3600</v>
      </c>
      <c r="J13" s="81">
        <v>3600</v>
      </c>
      <c r="K13" s="81">
        <v>3600</v>
      </c>
      <c r="L13" s="81">
        <v>3600</v>
      </c>
      <c r="M13" s="81">
        <v>3600</v>
      </c>
      <c r="N13" s="81">
        <v>3600</v>
      </c>
      <c r="O13" s="87">
        <v>39600</v>
      </c>
    </row>
    <row r="14" spans="2:15" x14ac:dyDescent="0.3">
      <c r="B14" s="86" t="s">
        <v>22</v>
      </c>
      <c r="C14" s="81">
        <v>700</v>
      </c>
      <c r="D14" s="81">
        <v>700</v>
      </c>
      <c r="E14" s="81">
        <v>700</v>
      </c>
      <c r="F14" s="81">
        <v>700</v>
      </c>
      <c r="G14" s="81">
        <v>700</v>
      </c>
      <c r="H14" s="81">
        <v>1400</v>
      </c>
      <c r="I14" s="81">
        <v>700</v>
      </c>
      <c r="J14" s="81">
        <v>700</v>
      </c>
      <c r="K14" s="81">
        <v>700</v>
      </c>
      <c r="L14" s="81">
        <v>700</v>
      </c>
      <c r="M14" s="81">
        <v>700</v>
      </c>
      <c r="N14" s="81">
        <v>2800</v>
      </c>
      <c r="O14" s="87">
        <v>11200</v>
      </c>
    </row>
    <row r="15" spans="2:15" x14ac:dyDescent="0.3">
      <c r="B15" s="86" t="s">
        <v>23</v>
      </c>
      <c r="C15" s="81">
        <v>700</v>
      </c>
      <c r="D15" s="81">
        <v>700</v>
      </c>
      <c r="E15" s="81">
        <v>700</v>
      </c>
      <c r="F15" s="81">
        <v>700</v>
      </c>
      <c r="G15" s="81">
        <v>700</v>
      </c>
      <c r="H15" s="81">
        <v>700</v>
      </c>
      <c r="I15" s="81">
        <v>700</v>
      </c>
      <c r="J15" s="81">
        <v>700</v>
      </c>
      <c r="K15" s="81">
        <v>700</v>
      </c>
      <c r="L15" s="81">
        <v>700</v>
      </c>
      <c r="M15" s="81">
        <v>700</v>
      </c>
      <c r="N15" s="81">
        <v>1400</v>
      </c>
      <c r="O15" s="87">
        <v>9100</v>
      </c>
    </row>
    <row r="16" spans="2:15" x14ac:dyDescent="0.3">
      <c r="B16" s="86" t="s">
        <v>24</v>
      </c>
      <c r="C16" s="81">
        <v>1400</v>
      </c>
      <c r="D16" s="81">
        <v>1400</v>
      </c>
      <c r="E16" s="81">
        <v>1400</v>
      </c>
      <c r="F16" s="81">
        <v>1400</v>
      </c>
      <c r="G16" s="81">
        <v>1400</v>
      </c>
      <c r="H16" s="81">
        <v>700</v>
      </c>
      <c r="I16" s="81">
        <v>1400</v>
      </c>
      <c r="J16" s="81">
        <v>2100</v>
      </c>
      <c r="K16" s="81">
        <v>1400</v>
      </c>
      <c r="L16" s="81">
        <v>1400</v>
      </c>
      <c r="M16" s="81">
        <v>2100</v>
      </c>
      <c r="N16" s="81">
        <v>3500</v>
      </c>
      <c r="O16" s="87">
        <v>19600</v>
      </c>
    </row>
    <row r="17" spans="2:15" x14ac:dyDescent="0.3">
      <c r="B17" s="86" t="s">
        <v>25</v>
      </c>
      <c r="C17" s="81">
        <v>1500</v>
      </c>
      <c r="D17" s="81">
        <v>1500</v>
      </c>
      <c r="E17" s="81">
        <v>1500</v>
      </c>
      <c r="F17" s="81">
        <v>1500</v>
      </c>
      <c r="G17" s="81">
        <v>3000</v>
      </c>
      <c r="H17" s="81">
        <v>1500</v>
      </c>
      <c r="I17" s="81">
        <v>1500</v>
      </c>
      <c r="J17" s="81">
        <v>1500</v>
      </c>
      <c r="K17" s="81">
        <v>1500</v>
      </c>
      <c r="L17" s="81">
        <v>1500</v>
      </c>
      <c r="M17" s="81">
        <v>1500</v>
      </c>
      <c r="N17" s="81">
        <v>4500</v>
      </c>
      <c r="O17" s="87">
        <v>22500</v>
      </c>
    </row>
    <row r="18" spans="2:15" x14ac:dyDescent="0.3">
      <c r="B18" s="86" t="s">
        <v>26</v>
      </c>
      <c r="C18" s="81">
        <v>0</v>
      </c>
      <c r="D18" s="81">
        <v>0</v>
      </c>
      <c r="E18" s="81">
        <v>0</v>
      </c>
      <c r="F18" s="81">
        <v>0</v>
      </c>
      <c r="G18" s="81">
        <v>0</v>
      </c>
      <c r="H18" s="81">
        <v>0</v>
      </c>
      <c r="I18" s="81">
        <v>0</v>
      </c>
      <c r="J18" s="81">
        <v>0</v>
      </c>
      <c r="K18" s="81">
        <v>0</v>
      </c>
      <c r="L18" s="81">
        <v>0</v>
      </c>
      <c r="M18" s="81">
        <v>0</v>
      </c>
      <c r="N18" s="81">
        <v>0</v>
      </c>
      <c r="O18" s="87">
        <v>0</v>
      </c>
    </row>
    <row r="19" spans="2:15" x14ac:dyDescent="0.3">
      <c r="B19" s="85" t="s">
        <v>34</v>
      </c>
      <c r="C19" s="88">
        <v>99050</v>
      </c>
      <c r="D19" s="88">
        <v>107375</v>
      </c>
      <c r="E19" s="88">
        <v>140075</v>
      </c>
      <c r="F19" s="88">
        <v>128100</v>
      </c>
      <c r="G19" s="88">
        <v>82000</v>
      </c>
      <c r="H19" s="88">
        <v>112350</v>
      </c>
      <c r="I19" s="88">
        <v>118275</v>
      </c>
      <c r="J19" s="88">
        <v>112750</v>
      </c>
      <c r="K19" s="88">
        <v>103650</v>
      </c>
      <c r="L19" s="88">
        <v>112750</v>
      </c>
      <c r="M19" s="88">
        <v>131650</v>
      </c>
      <c r="N19" s="88">
        <v>151375</v>
      </c>
      <c r="O19" s="88">
        <v>1399400</v>
      </c>
    </row>
    <row r="22" spans="2:15" x14ac:dyDescent="0.3"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</row>
  </sheetData>
  <mergeCells count="1">
    <mergeCell ref="B1:C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46400-0FA0-4B19-8208-54C1AAC5C4D1}">
  <sheetPr>
    <pageSetUpPr fitToPage="1"/>
  </sheetPr>
  <dimension ref="A2:AH12"/>
  <sheetViews>
    <sheetView zoomScale="70" zoomScaleNormal="70" workbookViewId="0">
      <pane xSplit="1" topLeftCell="B1" activePane="topRight" state="frozen"/>
      <selection pane="topRight" activeCell="L26" sqref="L26"/>
    </sheetView>
  </sheetViews>
  <sheetFormatPr defaultColWidth="8.88671875" defaultRowHeight="14.4" x14ac:dyDescent="0.3"/>
  <cols>
    <col min="1" max="1" width="29.109375" style="65" customWidth="1"/>
    <col min="2" max="29" width="9.109375" style="65" customWidth="1"/>
    <col min="30" max="16384" width="8.88671875" style="65"/>
  </cols>
  <sheetData>
    <row r="2" spans="1:34" ht="29.4" thickBot="1" x14ac:dyDescent="0.6">
      <c r="A2" s="64"/>
      <c r="B2" s="140" t="s">
        <v>50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2"/>
    </row>
    <row r="3" spans="1:34" ht="15" thickBot="1" x14ac:dyDescent="0.35">
      <c r="A3" s="64"/>
      <c r="B3" s="69">
        <v>1</v>
      </c>
      <c r="C3" s="66">
        <v>2</v>
      </c>
      <c r="D3" s="69">
        <v>3</v>
      </c>
      <c r="E3" s="66">
        <v>4</v>
      </c>
      <c r="F3" s="66">
        <v>5</v>
      </c>
      <c r="G3" s="67">
        <v>6</v>
      </c>
      <c r="H3" s="67">
        <v>7</v>
      </c>
      <c r="I3" s="66">
        <v>8</v>
      </c>
      <c r="J3" s="66">
        <v>9</v>
      </c>
      <c r="K3" s="66">
        <v>10</v>
      </c>
      <c r="L3" s="66">
        <v>11</v>
      </c>
      <c r="M3" s="66">
        <v>12</v>
      </c>
      <c r="N3" s="67">
        <v>13</v>
      </c>
      <c r="O3" s="67">
        <v>14</v>
      </c>
      <c r="P3" s="66">
        <v>15</v>
      </c>
      <c r="Q3" s="66">
        <v>16</v>
      </c>
      <c r="R3" s="66">
        <v>17</v>
      </c>
      <c r="S3" s="66">
        <v>18</v>
      </c>
      <c r="T3" s="66">
        <v>19</v>
      </c>
      <c r="U3" s="67">
        <v>20</v>
      </c>
      <c r="V3" s="67">
        <v>21</v>
      </c>
      <c r="W3" s="66">
        <v>22</v>
      </c>
      <c r="X3" s="66">
        <v>23</v>
      </c>
      <c r="Y3" s="66">
        <v>24</v>
      </c>
      <c r="Z3" s="66">
        <v>25</v>
      </c>
      <c r="AA3" s="66">
        <v>26</v>
      </c>
      <c r="AB3" s="67">
        <v>27</v>
      </c>
      <c r="AC3" s="67">
        <v>28</v>
      </c>
      <c r="AD3" s="66">
        <v>29</v>
      </c>
      <c r="AE3" s="66">
        <v>30</v>
      </c>
      <c r="AF3" s="68">
        <v>31</v>
      </c>
    </row>
    <row r="4" spans="1:34" x14ac:dyDescent="0.3">
      <c r="A4" s="70" t="s">
        <v>51</v>
      </c>
      <c r="B4" s="74"/>
      <c r="C4" s="71"/>
      <c r="D4" s="74"/>
      <c r="E4" s="71"/>
      <c r="F4" s="71"/>
      <c r="G4" s="72"/>
      <c r="H4" s="72"/>
      <c r="I4" s="71"/>
      <c r="J4" s="71"/>
      <c r="K4" s="71"/>
      <c r="L4" s="71"/>
      <c r="M4" s="71"/>
      <c r="N4" s="72"/>
      <c r="O4" s="72"/>
      <c r="P4" s="71"/>
      <c r="Q4" s="71"/>
      <c r="R4" s="71"/>
      <c r="S4" s="71"/>
      <c r="T4" s="71"/>
      <c r="U4" s="72"/>
      <c r="V4" s="72"/>
      <c r="W4" s="71"/>
      <c r="X4" s="71"/>
      <c r="Y4" s="71"/>
      <c r="Z4" s="71"/>
      <c r="AA4" s="71"/>
      <c r="AB4" s="72"/>
      <c r="AC4" s="72"/>
      <c r="AD4" s="71"/>
      <c r="AE4" s="71"/>
      <c r="AF4" s="73"/>
    </row>
    <row r="5" spans="1:34" x14ac:dyDescent="0.3">
      <c r="A5" s="70" t="s">
        <v>52</v>
      </c>
      <c r="B5" s="74"/>
      <c r="C5" s="71"/>
      <c r="D5" s="74"/>
      <c r="E5" s="71"/>
      <c r="F5" s="71"/>
      <c r="G5" s="72"/>
      <c r="H5" s="72"/>
      <c r="I5" s="71"/>
      <c r="J5" s="71"/>
      <c r="K5" s="71"/>
      <c r="L5" s="71"/>
      <c r="M5" s="71"/>
      <c r="N5" s="72"/>
      <c r="O5" s="72"/>
      <c r="P5" s="71"/>
      <c r="Q5" s="71"/>
      <c r="R5" s="71"/>
      <c r="S5" s="71"/>
      <c r="T5" s="71"/>
      <c r="U5" s="72"/>
      <c r="V5" s="72"/>
      <c r="W5" s="71"/>
      <c r="X5" s="71"/>
      <c r="Y5" s="71"/>
      <c r="Z5" s="71"/>
      <c r="AA5" s="71"/>
      <c r="AB5" s="72"/>
      <c r="AC5" s="72"/>
      <c r="AD5" s="71"/>
      <c r="AE5" s="71"/>
      <c r="AF5" s="73"/>
    </row>
    <row r="6" spans="1:34" x14ac:dyDescent="0.3">
      <c r="A6" s="70" t="s">
        <v>53</v>
      </c>
      <c r="B6" s="77"/>
      <c r="D6" s="77"/>
      <c r="G6" s="75"/>
      <c r="H6" s="75"/>
      <c r="N6" s="75"/>
      <c r="O6" s="75"/>
      <c r="U6" s="75"/>
      <c r="V6" s="75"/>
      <c r="AB6" s="75"/>
      <c r="AC6" s="75"/>
      <c r="AF6" s="76"/>
    </row>
    <row r="7" spans="1:34" x14ac:dyDescent="0.3">
      <c r="A7" s="70" t="s">
        <v>54</v>
      </c>
      <c r="B7" s="77"/>
      <c r="D7" s="77"/>
      <c r="G7" s="75"/>
      <c r="H7" s="75"/>
      <c r="N7" s="75"/>
      <c r="O7" s="75"/>
      <c r="U7" s="75"/>
      <c r="V7" s="75"/>
      <c r="AB7" s="75"/>
      <c r="AC7" s="75"/>
      <c r="AF7" s="76"/>
    </row>
    <row r="8" spans="1:34" x14ac:dyDescent="0.3">
      <c r="A8" s="70" t="s">
        <v>55</v>
      </c>
      <c r="G8" s="75"/>
      <c r="H8" s="75"/>
      <c r="N8" s="75"/>
      <c r="O8" s="75"/>
      <c r="U8" s="75"/>
      <c r="V8" s="75"/>
      <c r="AB8" s="75"/>
      <c r="AC8" s="75"/>
    </row>
    <row r="9" spans="1:34" x14ac:dyDescent="0.3">
      <c r="A9" s="70" t="s">
        <v>56</v>
      </c>
      <c r="B9" s="77"/>
      <c r="D9" s="77"/>
      <c r="G9" s="75"/>
      <c r="H9" s="75"/>
      <c r="N9" s="75"/>
      <c r="O9" s="75"/>
      <c r="U9" s="75"/>
      <c r="V9" s="75"/>
      <c r="AB9" s="75"/>
      <c r="AC9" s="75"/>
      <c r="AF9" s="76"/>
    </row>
    <row r="10" spans="1:34" x14ac:dyDescent="0.3">
      <c r="A10" s="70" t="s">
        <v>57</v>
      </c>
      <c r="B10" s="74"/>
      <c r="C10" s="71"/>
      <c r="D10" s="74"/>
      <c r="E10" s="71"/>
      <c r="F10" s="71"/>
      <c r="G10" s="72"/>
      <c r="H10" s="72"/>
      <c r="I10" s="71"/>
      <c r="J10" s="71"/>
      <c r="K10" s="71"/>
      <c r="L10" s="71"/>
      <c r="M10" s="71"/>
      <c r="N10" s="72"/>
      <c r="O10" s="72"/>
      <c r="P10" s="71"/>
      <c r="Q10" s="71"/>
      <c r="R10" s="71"/>
      <c r="S10" s="71"/>
      <c r="T10" s="71"/>
      <c r="U10" s="72"/>
      <c r="V10" s="72"/>
      <c r="W10" s="71"/>
      <c r="X10" s="71"/>
      <c r="Y10" s="71"/>
      <c r="Z10" s="71"/>
      <c r="AA10" s="71"/>
      <c r="AB10" s="72"/>
      <c r="AC10" s="72"/>
      <c r="AD10" s="71"/>
      <c r="AE10" s="71"/>
      <c r="AF10" s="73"/>
    </row>
    <row r="11" spans="1:34" s="64" customFormat="1" ht="15" thickBot="1" x14ac:dyDescent="0.35">
      <c r="A11" s="78" t="s">
        <v>58</v>
      </c>
      <c r="B11" s="79">
        <f t="shared" ref="B11:D11" si="0">SUM(B4+B5+B6+B8)-(B10+B7+B9)</f>
        <v>0</v>
      </c>
      <c r="C11" s="79">
        <f t="shared" si="0"/>
        <v>0</v>
      </c>
      <c r="D11" s="79">
        <f t="shared" si="0"/>
        <v>0</v>
      </c>
      <c r="E11" s="79">
        <f t="shared" ref="E11:AF11" si="1">SUM(E4+E5+E6+E8)-(E10+E7+E9)</f>
        <v>0</v>
      </c>
      <c r="F11" s="79">
        <f t="shared" si="1"/>
        <v>0</v>
      </c>
      <c r="G11" s="79">
        <f t="shared" si="1"/>
        <v>0</v>
      </c>
      <c r="H11" s="79">
        <f t="shared" si="1"/>
        <v>0</v>
      </c>
      <c r="I11" s="79">
        <f t="shared" si="1"/>
        <v>0</v>
      </c>
      <c r="J11" s="79">
        <f t="shared" si="1"/>
        <v>0</v>
      </c>
      <c r="K11" s="79">
        <f t="shared" si="1"/>
        <v>0</v>
      </c>
      <c r="L11" s="79">
        <f t="shared" si="1"/>
        <v>0</v>
      </c>
      <c r="M11" s="79">
        <f t="shared" si="1"/>
        <v>0</v>
      </c>
      <c r="N11" s="79">
        <f t="shared" si="1"/>
        <v>0</v>
      </c>
      <c r="O11" s="79">
        <f t="shared" si="1"/>
        <v>0</v>
      </c>
      <c r="P11" s="79">
        <f t="shared" si="1"/>
        <v>0</v>
      </c>
      <c r="Q11" s="79">
        <f>SUM(Q4+Q5+Q6+Q8)-(Q10+Q7+Q9)</f>
        <v>0</v>
      </c>
      <c r="R11" s="79">
        <f t="shared" ref="R11:S11" si="2">SUM(R4+R5+R6+R8)-(R10+R7+R9)</f>
        <v>0</v>
      </c>
      <c r="S11" s="79">
        <f t="shared" si="2"/>
        <v>0</v>
      </c>
      <c r="T11" s="79">
        <f t="shared" si="1"/>
        <v>0</v>
      </c>
      <c r="U11" s="79">
        <f t="shared" si="1"/>
        <v>0</v>
      </c>
      <c r="V11" s="79">
        <f t="shared" si="1"/>
        <v>0</v>
      </c>
      <c r="W11" s="79">
        <f t="shared" si="1"/>
        <v>0</v>
      </c>
      <c r="X11" s="79">
        <f t="shared" si="1"/>
        <v>0</v>
      </c>
      <c r="Y11" s="79">
        <f t="shared" si="1"/>
        <v>0</v>
      </c>
      <c r="Z11" s="79">
        <f t="shared" si="1"/>
        <v>0</v>
      </c>
      <c r="AA11" s="79">
        <f t="shared" si="1"/>
        <v>0</v>
      </c>
      <c r="AB11" s="79">
        <f t="shared" si="1"/>
        <v>0</v>
      </c>
      <c r="AC11" s="79">
        <f t="shared" si="1"/>
        <v>0</v>
      </c>
      <c r="AD11" s="79">
        <f t="shared" si="1"/>
        <v>0</v>
      </c>
      <c r="AE11" s="79">
        <f t="shared" si="1"/>
        <v>0</v>
      </c>
      <c r="AF11" s="79">
        <f t="shared" si="1"/>
        <v>0</v>
      </c>
      <c r="AG11" s="80">
        <f>SUM(AG4+AG6)-AG10</f>
        <v>0</v>
      </c>
      <c r="AH11" s="80">
        <f>SUM(AH4+AH6)-AH10</f>
        <v>0</v>
      </c>
    </row>
    <row r="12" spans="1:34" ht="15" thickTop="1" x14ac:dyDescent="0.3"/>
  </sheetData>
  <mergeCells count="1">
    <mergeCell ref="B2:AF2"/>
  </mergeCells>
  <pageMargins left="0.7" right="0.7" top="0.75" bottom="0.75" header="0.3" footer="0.3"/>
  <pageSetup paperSize="5" scale="2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AF695-B006-4000-9844-E356D5AE3624}">
  <sheetPr>
    <pageSetUpPr fitToPage="1"/>
  </sheetPr>
  <dimension ref="A1:AH57"/>
  <sheetViews>
    <sheetView showGridLines="0" tabSelected="1" topLeftCell="A4" zoomScale="80" zoomScaleNormal="80" workbookViewId="0">
      <pane xSplit="1" ySplit="3" topLeftCell="S7" activePane="bottomRight" state="frozen"/>
      <selection pane="topRight" activeCell="O17" sqref="O17:P17"/>
      <selection pane="bottomLeft" activeCell="O17" sqref="O17:P17"/>
      <selection pane="bottomRight" activeCell="AE20" activeCellId="4" sqref="AE13 AE15 AE16 AE17 AE20"/>
    </sheetView>
  </sheetViews>
  <sheetFormatPr defaultColWidth="9.33203125" defaultRowHeight="13.2" x14ac:dyDescent="0.25"/>
  <cols>
    <col min="1" max="1" width="30.33203125" bestFit="1" customWidth="1"/>
    <col min="2" max="2" width="14.33203125" bestFit="1" customWidth="1"/>
    <col min="3" max="3" width="14.33203125" customWidth="1"/>
    <col min="4" max="17" width="10.6640625" customWidth="1"/>
    <col min="18" max="18" width="12.33203125" bestFit="1" customWidth="1"/>
    <col min="19" max="19" width="12.33203125" customWidth="1"/>
    <col min="20" max="21" width="10.6640625" customWidth="1"/>
    <col min="22" max="22" width="11.44140625" bestFit="1" customWidth="1"/>
    <col min="23" max="23" width="11.44140625" customWidth="1"/>
    <col min="24" max="24" width="11.44140625" bestFit="1" customWidth="1"/>
    <col min="25" max="25" width="11.44140625" customWidth="1"/>
    <col min="26" max="28" width="21.33203125" customWidth="1"/>
  </cols>
  <sheetData>
    <row r="1" spans="1:34" x14ac:dyDescent="0.25">
      <c r="A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34" x14ac:dyDescent="0.25">
      <c r="A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4" x14ac:dyDescent="0.25"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34" x14ac:dyDescent="0.25">
      <c r="A4" s="1"/>
      <c r="Z4" s="2"/>
      <c r="AA4" s="2"/>
      <c r="AB4" s="2"/>
    </row>
    <row r="5" spans="1:34" ht="13.8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34" ht="20.100000000000001" customHeight="1" thickBot="1" x14ac:dyDescent="0.3">
      <c r="A6" s="3" t="s">
        <v>0</v>
      </c>
      <c r="B6" s="4" t="s">
        <v>1</v>
      </c>
      <c r="C6" s="4" t="s">
        <v>46</v>
      </c>
      <c r="D6" s="4" t="s">
        <v>2</v>
      </c>
      <c r="E6" s="4"/>
      <c r="F6" s="4" t="s">
        <v>3</v>
      </c>
      <c r="G6" s="4"/>
      <c r="H6" s="4" t="s">
        <v>4</v>
      </c>
      <c r="I6" s="4"/>
      <c r="J6" s="4" t="s">
        <v>5</v>
      </c>
      <c r="K6" s="4"/>
      <c r="L6" s="4" t="s">
        <v>6</v>
      </c>
      <c r="M6" s="4"/>
      <c r="N6" s="4" t="str">
        <f>[3]Phasing!B6</f>
        <v>July</v>
      </c>
      <c r="O6" s="4"/>
      <c r="P6" s="4" t="str">
        <f>[3]Phasing!C6</f>
        <v>August</v>
      </c>
      <c r="Q6" s="4"/>
      <c r="R6" s="4" t="str">
        <f>[3]Phasing!D6</f>
        <v>September</v>
      </c>
      <c r="S6" s="4"/>
      <c r="T6" s="4" t="str">
        <f>[3]Phasing!E6</f>
        <v>October</v>
      </c>
      <c r="U6" s="4"/>
      <c r="V6" s="4" t="str">
        <f>[3]Phasing!F6</f>
        <v>November</v>
      </c>
      <c r="W6" s="4"/>
      <c r="X6" s="4" t="str">
        <f>[3]Phasing!G6</f>
        <v>December</v>
      </c>
      <c r="Y6" s="58"/>
      <c r="Z6" s="58" t="s">
        <v>7</v>
      </c>
      <c r="AA6" s="59" t="s">
        <v>47</v>
      </c>
      <c r="AB6" s="60" t="s">
        <v>48</v>
      </c>
    </row>
    <row r="7" spans="1:34" ht="20.100000000000001" customHeight="1" x14ac:dyDescent="0.25">
      <c r="A7" s="5" t="s">
        <v>10</v>
      </c>
      <c r="B7" s="6">
        <f>'[2]production scheduler'!D$5</f>
        <v>42000</v>
      </c>
      <c r="C7" s="6">
        <f>B7/700</f>
        <v>60</v>
      </c>
      <c r="D7" s="6">
        <f>'[2]production scheduler'!E$5</f>
        <v>42000</v>
      </c>
      <c r="E7" s="6">
        <f>D7/700</f>
        <v>60</v>
      </c>
      <c r="F7" s="6">
        <f>'[2]production scheduler'!F$5</f>
        <v>68700</v>
      </c>
      <c r="G7" s="6">
        <f>F7/700</f>
        <v>98.142857142857139</v>
      </c>
      <c r="H7" s="6">
        <f>'[2]production scheduler'!G$5</f>
        <v>61000</v>
      </c>
      <c r="I7" s="6">
        <f>H7/700</f>
        <v>87.142857142857139</v>
      </c>
      <c r="J7" s="6">
        <f>'[2]production scheduler'!H$5</f>
        <v>30600</v>
      </c>
      <c r="K7" s="6">
        <f>J7/700</f>
        <v>43.714285714285715</v>
      </c>
      <c r="L7" s="6">
        <f>'[2]production scheduler'!I$5</f>
        <v>50400</v>
      </c>
      <c r="M7" s="6">
        <f>L7/700</f>
        <v>72</v>
      </c>
      <c r="N7" s="6">
        <f>'[2]production scheduler'!J$5</f>
        <v>49000</v>
      </c>
      <c r="O7" s="6">
        <f>N7/700</f>
        <v>70</v>
      </c>
      <c r="P7" s="6">
        <f>'[2]production scheduler'!K$5</f>
        <v>46900</v>
      </c>
      <c r="Q7" s="6">
        <f>P7/700</f>
        <v>67</v>
      </c>
      <c r="R7" s="6">
        <f>'[2]production scheduler'!L$5</f>
        <v>44800</v>
      </c>
      <c r="S7" s="6">
        <f>R7/700</f>
        <v>64</v>
      </c>
      <c r="T7" s="6">
        <f>'[2]production scheduler'!M$5</f>
        <v>49700</v>
      </c>
      <c r="U7" s="6">
        <f>T7/700</f>
        <v>71</v>
      </c>
      <c r="V7" s="6">
        <f>'[2]production scheduler'!N$5</f>
        <v>69300</v>
      </c>
      <c r="W7" s="6">
        <f>V7/700</f>
        <v>99</v>
      </c>
      <c r="X7" s="6">
        <f>'[2]production scheduler'!O$5</f>
        <v>47600</v>
      </c>
      <c r="Y7" s="6">
        <f>X7/700</f>
        <v>68</v>
      </c>
      <c r="Z7" s="7">
        <f>SUM(B7+D7+F7+H7+J7+L7+N7+P7+R7+T7+V7+X7)</f>
        <v>602000</v>
      </c>
      <c r="AA7" s="54">
        <f>SUM(C7,E7,G7,I7,K7,M7,O7,Q7,S7,U7,W7)</f>
        <v>792</v>
      </c>
      <c r="AB7" s="62">
        <f>AA7*778</f>
        <v>616176</v>
      </c>
    </row>
    <row r="8" spans="1:34" ht="20.100000000000001" customHeight="1" x14ac:dyDescent="0.25">
      <c r="A8" s="5" t="s">
        <v>11</v>
      </c>
      <c r="B8" s="6">
        <f>'[2]production scheduler'!D$6</f>
        <v>2100</v>
      </c>
      <c r="C8" s="6">
        <f t="shared" ref="C8:E15" si="0">B8/700</f>
        <v>3</v>
      </c>
      <c r="D8" s="6">
        <f>'[2]production scheduler'!E$6</f>
        <v>2100</v>
      </c>
      <c r="E8" s="6">
        <f t="shared" si="0"/>
        <v>3</v>
      </c>
      <c r="F8" s="6">
        <f>'[2]production scheduler'!F$6</f>
        <v>2100</v>
      </c>
      <c r="G8" s="6">
        <f t="shared" ref="G8" si="1">F8/700</f>
        <v>3</v>
      </c>
      <c r="H8" s="6">
        <f>'[2]production scheduler'!G$6</f>
        <v>700</v>
      </c>
      <c r="I8" s="6">
        <f t="shared" ref="I8" si="2">H8/700</f>
        <v>1</v>
      </c>
      <c r="J8" s="6">
        <f>'[2]production scheduler'!H$6</f>
        <v>0</v>
      </c>
      <c r="K8" s="6">
        <f t="shared" ref="K8:M8" si="3">J8/700</f>
        <v>0</v>
      </c>
      <c r="L8" s="6">
        <f>'[2]production scheduler'!I$6</f>
        <v>2100</v>
      </c>
      <c r="M8" s="6">
        <f t="shared" si="3"/>
        <v>3</v>
      </c>
      <c r="N8" s="6">
        <f>'[2]production scheduler'!J$6</f>
        <v>2100</v>
      </c>
      <c r="O8" s="6">
        <f t="shared" ref="O8" si="4">N8/700</f>
        <v>3</v>
      </c>
      <c r="P8" s="6">
        <f>'[2]production scheduler'!K$6</f>
        <v>1400</v>
      </c>
      <c r="Q8" s="6">
        <f t="shared" ref="Q8" si="5">P8/700</f>
        <v>2</v>
      </c>
      <c r="R8" s="6">
        <f>'[2]production scheduler'!L$6</f>
        <v>1400</v>
      </c>
      <c r="S8" s="6">
        <f t="shared" ref="S8" si="6">R8/700</f>
        <v>2</v>
      </c>
      <c r="T8" s="6">
        <f>'[2]production scheduler'!M$6</f>
        <v>1400</v>
      </c>
      <c r="U8" s="6">
        <f t="shared" ref="U8" si="7">T8/700</f>
        <v>2</v>
      </c>
      <c r="V8" s="6">
        <f>'[2]production scheduler'!N$6</f>
        <v>2100</v>
      </c>
      <c r="W8" s="6">
        <f t="shared" ref="W8:Y8" si="8">V8/700</f>
        <v>3</v>
      </c>
      <c r="X8" s="6">
        <f>'[2]production scheduler'!O$6</f>
        <v>2100</v>
      </c>
      <c r="Y8" s="6">
        <f t="shared" si="8"/>
        <v>3</v>
      </c>
      <c r="Z8" s="7">
        <f t="shared" ref="Z8:Z15" si="9">SUM(B8+D8+F8+H8+J8+L8+N8+P8+R8+T8+V8+X8)</f>
        <v>19600</v>
      </c>
      <c r="AA8" s="54">
        <f t="shared" ref="AA8:AA15" si="10">SUM(C8,E8,G8,I8,K8,M8,O8,Q8,S8,U8,W8)</f>
        <v>25</v>
      </c>
      <c r="AB8" s="62">
        <f>AA8*778</f>
        <v>19450</v>
      </c>
    </row>
    <row r="9" spans="1:34" ht="20.100000000000001" customHeight="1" x14ac:dyDescent="0.25">
      <c r="A9" s="5" t="s">
        <v>12</v>
      </c>
      <c r="B9" s="6">
        <f>'[2]production scheduler'!D$14</f>
        <v>6300</v>
      </c>
      <c r="C9" s="6">
        <f t="shared" si="0"/>
        <v>9</v>
      </c>
      <c r="D9" s="6">
        <f>'[2]production scheduler'!E$14</f>
        <v>7700</v>
      </c>
      <c r="E9" s="6">
        <f t="shared" si="0"/>
        <v>11</v>
      </c>
      <c r="F9" s="6">
        <f>'[2]production scheduler'!F$14</f>
        <v>8400</v>
      </c>
      <c r="G9" s="6">
        <f t="shared" ref="G9" si="11">F9/700</f>
        <v>12</v>
      </c>
      <c r="H9" s="6">
        <f>'[2]production scheduler'!G$14</f>
        <v>7700</v>
      </c>
      <c r="I9" s="6">
        <f t="shared" ref="I9" si="12">H9/700</f>
        <v>11</v>
      </c>
      <c r="J9" s="6">
        <f>'[2]production scheduler'!H$14</f>
        <v>7700</v>
      </c>
      <c r="K9" s="6">
        <f t="shared" ref="K9:M9" si="13">J9/700</f>
        <v>11</v>
      </c>
      <c r="L9" s="6">
        <f>'[2]production scheduler'!I$14</f>
        <v>7000</v>
      </c>
      <c r="M9" s="6">
        <f t="shared" si="13"/>
        <v>10</v>
      </c>
      <c r="N9" s="6">
        <f>'[2]production scheduler'!J$14</f>
        <v>7700</v>
      </c>
      <c r="O9" s="6">
        <f t="shared" ref="O9" si="14">N9/700</f>
        <v>11</v>
      </c>
      <c r="P9" s="6">
        <f>'[2]production scheduler'!K$14</f>
        <v>7000</v>
      </c>
      <c r="Q9" s="6">
        <f t="shared" ref="Q9" si="15">P9/700</f>
        <v>10</v>
      </c>
      <c r="R9" s="6">
        <f>'[2]production scheduler'!L$14</f>
        <v>5600</v>
      </c>
      <c r="S9" s="6">
        <f t="shared" ref="S9" si="16">R9/700</f>
        <v>8</v>
      </c>
      <c r="T9" s="6">
        <f>'[2]production scheduler'!M$14</f>
        <v>6300</v>
      </c>
      <c r="U9" s="6">
        <f t="shared" ref="U9" si="17">T9/700</f>
        <v>9</v>
      </c>
      <c r="V9" s="6">
        <f>'[2]production scheduler'!N$14</f>
        <v>7000</v>
      </c>
      <c r="W9" s="6">
        <f t="shared" ref="W9:Y9" si="18">V9/700</f>
        <v>10</v>
      </c>
      <c r="X9" s="6">
        <f>'[2]production scheduler'!O$14</f>
        <v>10500</v>
      </c>
      <c r="Y9" s="6">
        <f t="shared" si="18"/>
        <v>15</v>
      </c>
      <c r="Z9" s="7">
        <f t="shared" si="9"/>
        <v>88900</v>
      </c>
      <c r="AA9" s="54">
        <f t="shared" si="10"/>
        <v>112</v>
      </c>
      <c r="AB9" s="62">
        <f>AA9*1050</f>
        <v>117600</v>
      </c>
    </row>
    <row r="10" spans="1:34" ht="20.100000000000001" customHeight="1" x14ac:dyDescent="0.25">
      <c r="A10" s="5" t="s">
        <v>13</v>
      </c>
      <c r="B10" s="12">
        <f>'[2]production scheduler'!D$15-B36</f>
        <v>2100</v>
      </c>
      <c r="C10" s="6">
        <f t="shared" si="0"/>
        <v>3</v>
      </c>
      <c r="D10" s="12">
        <f>'[2]production scheduler'!E$15-D36</f>
        <v>2800</v>
      </c>
      <c r="E10" s="6">
        <f t="shared" si="0"/>
        <v>4</v>
      </c>
      <c r="F10" s="12">
        <f>'[2]production scheduler'!F$15-F36</f>
        <v>2800</v>
      </c>
      <c r="G10" s="6">
        <f t="shared" ref="G10" si="19">F10/700</f>
        <v>4</v>
      </c>
      <c r="H10" s="12">
        <f>'[2]production scheduler'!G$15-H36</f>
        <v>3500</v>
      </c>
      <c r="I10" s="6">
        <f t="shared" ref="I10" si="20">H10/700</f>
        <v>5</v>
      </c>
      <c r="J10" s="12">
        <f>'[2]production scheduler'!H$15-J36</f>
        <v>2800</v>
      </c>
      <c r="K10" s="6">
        <f t="shared" ref="K10:M10" si="21">J10/700</f>
        <v>4</v>
      </c>
      <c r="L10" s="12">
        <f>'[2]production scheduler'!I$15-L36</f>
        <v>2800</v>
      </c>
      <c r="M10" s="6">
        <f t="shared" si="21"/>
        <v>4</v>
      </c>
      <c r="N10" s="12">
        <f>'[2]production scheduler'!J$15-N36</f>
        <v>1400</v>
      </c>
      <c r="O10" s="6">
        <f t="shared" ref="O10" si="22">N10/700</f>
        <v>2</v>
      </c>
      <c r="P10" s="12">
        <f>'[2]production scheduler'!K$15-P36</f>
        <v>3500</v>
      </c>
      <c r="Q10" s="6">
        <f t="shared" ref="Q10" si="23">P10/700</f>
        <v>5</v>
      </c>
      <c r="R10" s="12">
        <f>'[2]production scheduler'!L$15-R36</f>
        <v>2100</v>
      </c>
      <c r="S10" s="6">
        <f t="shared" ref="S10" si="24">R10/700</f>
        <v>3</v>
      </c>
      <c r="T10" s="12">
        <f>'[2]production scheduler'!M$15-T36</f>
        <v>2800</v>
      </c>
      <c r="U10" s="6">
        <f t="shared" ref="U10" si="25">T10/700</f>
        <v>4</v>
      </c>
      <c r="V10" s="12">
        <f>'[2]production scheduler'!N$15-V36</f>
        <v>2100</v>
      </c>
      <c r="W10" s="6">
        <f t="shared" ref="W10:Y10" si="26">V10/700</f>
        <v>3</v>
      </c>
      <c r="X10" s="12">
        <f>'[2]production scheduler'!O$15-X36</f>
        <v>3500</v>
      </c>
      <c r="Y10" s="6">
        <f t="shared" si="26"/>
        <v>5</v>
      </c>
      <c r="Z10" s="7">
        <f t="shared" si="9"/>
        <v>32200</v>
      </c>
      <c r="AA10" s="54">
        <f t="shared" si="10"/>
        <v>41</v>
      </c>
      <c r="AB10" s="62"/>
    </row>
    <row r="11" spans="1:34" ht="20.100000000000001" customHeight="1" x14ac:dyDescent="0.25">
      <c r="A11" s="5" t="s">
        <v>14</v>
      </c>
      <c r="B11" s="6">
        <f>'[2]production scheduler'!D$16-B38</f>
        <v>2500</v>
      </c>
      <c r="C11" s="6">
        <f t="shared" si="0"/>
        <v>3.5714285714285716</v>
      </c>
      <c r="D11" s="6">
        <f>'[2]production scheduler'!E$16-D38</f>
        <v>3125</v>
      </c>
      <c r="E11" s="6">
        <f t="shared" si="0"/>
        <v>4.4642857142857144</v>
      </c>
      <c r="F11" s="6">
        <f>'[2]production scheduler'!F$16-F38</f>
        <v>5625</v>
      </c>
      <c r="G11" s="6">
        <f t="shared" ref="G11" si="27">F11/700</f>
        <v>8.0357142857142865</v>
      </c>
      <c r="H11" s="6">
        <f>'[2]production scheduler'!G$16-H38</f>
        <v>6250</v>
      </c>
      <c r="I11" s="6">
        <f t="shared" ref="I11" si="28">H11/700</f>
        <v>8.9285714285714288</v>
      </c>
      <c r="J11" s="6">
        <f>'[2]production scheduler'!H$16-J38</f>
        <v>6250</v>
      </c>
      <c r="K11" s="6">
        <f t="shared" ref="K11:M11" si="29">J11/700</f>
        <v>8.9285714285714288</v>
      </c>
      <c r="L11" s="6">
        <f>'[2]production scheduler'!I$16-L38</f>
        <v>5000</v>
      </c>
      <c r="M11" s="6">
        <f t="shared" si="29"/>
        <v>7.1428571428571432</v>
      </c>
      <c r="N11" s="6">
        <f>'[2]production scheduler'!J$16-N38</f>
        <v>5625</v>
      </c>
      <c r="O11" s="6">
        <f t="shared" ref="O11" si="30">N11/700</f>
        <v>8.0357142857142865</v>
      </c>
      <c r="P11" s="6">
        <f>'[2]production scheduler'!K$16-P38</f>
        <v>5000</v>
      </c>
      <c r="Q11" s="6">
        <f t="shared" ref="Q11" si="31">P11/700</f>
        <v>7.1428571428571432</v>
      </c>
      <c r="R11" s="6">
        <f>'[2]production scheduler'!L$16-R38</f>
        <v>5000</v>
      </c>
      <c r="S11" s="6">
        <f t="shared" ref="S11" si="32">R11/700</f>
        <v>7.1428571428571432</v>
      </c>
      <c r="T11" s="6">
        <f>'[2]production scheduler'!M$16-T38</f>
        <v>5000</v>
      </c>
      <c r="U11" s="6">
        <f t="shared" ref="U11" si="33">T11/700</f>
        <v>7.1428571428571432</v>
      </c>
      <c r="V11" s="6">
        <f>'[2]production scheduler'!N$16-V38</f>
        <v>5000</v>
      </c>
      <c r="W11" s="6">
        <f t="shared" ref="W11:Y11" si="34">V11/700</f>
        <v>7.1428571428571432</v>
      </c>
      <c r="X11" s="6">
        <f>'[2]production scheduler'!O$16-X38</f>
        <v>9375</v>
      </c>
      <c r="Y11" s="6">
        <f t="shared" si="34"/>
        <v>13.392857142857142</v>
      </c>
      <c r="Z11" s="131">
        <f t="shared" si="9"/>
        <v>63750</v>
      </c>
      <c r="AA11" s="54">
        <f t="shared" si="10"/>
        <v>77.678571428571431</v>
      </c>
      <c r="AB11" s="62">
        <f>AA11*192</f>
        <v>14914.285714285714</v>
      </c>
      <c r="AH11" s="132" t="s">
        <v>89</v>
      </c>
    </row>
    <row r="12" spans="1:34" ht="20.100000000000001" customHeight="1" x14ac:dyDescent="0.25">
      <c r="A12" s="5" t="s">
        <v>15</v>
      </c>
      <c r="B12" s="6">
        <f>'[2]production scheduler'!D$17</f>
        <v>7000</v>
      </c>
      <c r="C12" s="6">
        <f t="shared" si="0"/>
        <v>10</v>
      </c>
      <c r="D12" s="6">
        <f>'[2]production scheduler'!E$17</f>
        <v>7000</v>
      </c>
      <c r="E12" s="6">
        <f t="shared" si="0"/>
        <v>10</v>
      </c>
      <c r="F12" s="6">
        <f>'[2]production scheduler'!F$17</f>
        <v>7700</v>
      </c>
      <c r="G12" s="6">
        <f t="shared" ref="G12" si="35">F12/700</f>
        <v>11</v>
      </c>
      <c r="H12" s="6">
        <f>'[2]production scheduler'!G$17</f>
        <v>7000</v>
      </c>
      <c r="I12" s="6">
        <f t="shared" ref="I12" si="36">H12/700</f>
        <v>10</v>
      </c>
      <c r="J12" s="6">
        <f>'[2]production scheduler'!H$17</f>
        <v>7000</v>
      </c>
      <c r="K12" s="6">
        <f t="shared" ref="K12:M12" si="37">J12/700</f>
        <v>10</v>
      </c>
      <c r="L12" s="6">
        <f>'[2]production scheduler'!I$17</f>
        <v>5600</v>
      </c>
      <c r="M12" s="6">
        <f t="shared" si="37"/>
        <v>8</v>
      </c>
      <c r="N12" s="6">
        <f>'[2]production scheduler'!J$17</f>
        <v>7000</v>
      </c>
      <c r="O12" s="6">
        <f t="shared" ref="O12" si="38">N12/700</f>
        <v>10</v>
      </c>
      <c r="P12" s="6">
        <f>'[2]production scheduler'!K$17</f>
        <v>6300</v>
      </c>
      <c r="Q12" s="6">
        <f t="shared" ref="Q12" si="39">P12/700</f>
        <v>9</v>
      </c>
      <c r="R12" s="6">
        <f>'[2]production scheduler'!L$17</f>
        <v>6300</v>
      </c>
      <c r="S12" s="6">
        <f t="shared" ref="S12" si="40">R12/700</f>
        <v>9</v>
      </c>
      <c r="T12" s="6">
        <f>'[2]production scheduler'!M$17</f>
        <v>6300</v>
      </c>
      <c r="U12" s="6">
        <f t="shared" ref="U12" si="41">T12/700</f>
        <v>9</v>
      </c>
      <c r="V12" s="6">
        <f>'[2]production scheduler'!N$17</f>
        <v>6300</v>
      </c>
      <c r="W12" s="6">
        <f t="shared" ref="W12:Y12" si="42">V12/700</f>
        <v>9</v>
      </c>
      <c r="X12" s="6">
        <f>'[2]production scheduler'!O$17</f>
        <v>14700</v>
      </c>
      <c r="Y12" s="6">
        <f t="shared" si="42"/>
        <v>21</v>
      </c>
      <c r="Z12" s="7">
        <f t="shared" si="9"/>
        <v>88200</v>
      </c>
      <c r="AA12" s="54">
        <f t="shared" si="10"/>
        <v>105</v>
      </c>
      <c r="AB12" s="62">
        <f>AA12*877</f>
        <v>92085</v>
      </c>
      <c r="AD12" t="s">
        <v>82</v>
      </c>
      <c r="AE12" s="137">
        <f>(AA7+AA8+AA14+AA35)*0.205</f>
        <v>278.59499999999997</v>
      </c>
      <c r="AF12" s="133" t="s">
        <v>84</v>
      </c>
      <c r="AH12" s="134">
        <f>279/0.205</f>
        <v>1360.9756097560976</v>
      </c>
    </row>
    <row r="13" spans="1:34" ht="20.100000000000001" customHeight="1" x14ac:dyDescent="0.25">
      <c r="A13" s="13" t="str">
        <f>+'[2]production scheduler'!B21</f>
        <v>Craft Beer</v>
      </c>
      <c r="B13" s="6">
        <f>+'[2]production scheduler'!D21</f>
        <v>1400</v>
      </c>
      <c r="C13" s="6">
        <f t="shared" si="0"/>
        <v>2</v>
      </c>
      <c r="D13" s="6">
        <f>+'[2]production scheduler'!E21</f>
        <v>700</v>
      </c>
      <c r="E13" s="6">
        <f t="shared" si="0"/>
        <v>1</v>
      </c>
      <c r="F13" s="6">
        <f>+'[2]production scheduler'!F21</f>
        <v>700</v>
      </c>
      <c r="G13" s="6">
        <f t="shared" ref="G13" si="43">F13/700</f>
        <v>1</v>
      </c>
      <c r="H13" s="6">
        <f>+'[2]production scheduler'!G21</f>
        <v>1400</v>
      </c>
      <c r="I13" s="6">
        <f t="shared" ref="I13" si="44">H13/700</f>
        <v>2</v>
      </c>
      <c r="J13" s="6">
        <f>+'[2]production scheduler'!H21</f>
        <v>700</v>
      </c>
      <c r="K13" s="6">
        <f t="shared" ref="K13:M13" si="45">J13/700</f>
        <v>1</v>
      </c>
      <c r="L13" s="6">
        <f>+'[2]production scheduler'!I21</f>
        <v>700</v>
      </c>
      <c r="M13" s="6">
        <f t="shared" si="45"/>
        <v>1</v>
      </c>
      <c r="N13" s="6">
        <f>+'[2]production scheduler'!J21</f>
        <v>0</v>
      </c>
      <c r="O13" s="6">
        <f t="shared" ref="O13" si="46">N13/700</f>
        <v>0</v>
      </c>
      <c r="P13" s="6">
        <f>+'[2]production scheduler'!K21</f>
        <v>700</v>
      </c>
      <c r="Q13" s="6">
        <f t="shared" ref="Q13" si="47">P13/700</f>
        <v>1</v>
      </c>
      <c r="R13" s="6">
        <f>+'[2]production scheduler'!L21</f>
        <v>1400</v>
      </c>
      <c r="S13" s="6">
        <f t="shared" ref="S13" si="48">R13/700</f>
        <v>2</v>
      </c>
      <c r="T13" s="6">
        <f>+'[2]production scheduler'!M21</f>
        <v>700</v>
      </c>
      <c r="U13" s="6">
        <f t="shared" ref="U13" si="49">T13/700</f>
        <v>1</v>
      </c>
      <c r="V13" s="6">
        <f>+'[2]production scheduler'!N21</f>
        <v>700</v>
      </c>
      <c r="W13" s="6">
        <f t="shared" ref="W13:Y13" si="50">V13/700</f>
        <v>1</v>
      </c>
      <c r="X13" s="6">
        <f>+'[2]production scheduler'!O21</f>
        <v>700</v>
      </c>
      <c r="Y13" s="6">
        <f t="shared" si="50"/>
        <v>1</v>
      </c>
      <c r="Z13" s="7">
        <f t="shared" si="9"/>
        <v>9800</v>
      </c>
      <c r="AA13" s="54">
        <f t="shared" si="10"/>
        <v>13</v>
      </c>
      <c r="AB13" s="62"/>
      <c r="AD13" t="s">
        <v>83</v>
      </c>
      <c r="AE13" s="135">
        <f>AA9*1.2</f>
        <v>134.4</v>
      </c>
      <c r="AF13" t="s">
        <v>85</v>
      </c>
      <c r="AH13">
        <f>134.4/0.3</f>
        <v>448.00000000000006</v>
      </c>
    </row>
    <row r="14" spans="1:34" ht="20.100000000000001" customHeight="1" x14ac:dyDescent="0.25">
      <c r="A14" s="5" t="s">
        <v>16</v>
      </c>
      <c r="B14" s="12">
        <f>'[2]production scheduler'!D$9</f>
        <v>24500</v>
      </c>
      <c r="C14" s="6">
        <f t="shared" si="0"/>
        <v>35</v>
      </c>
      <c r="D14" s="12">
        <f>'[2]production scheduler'!E$9</f>
        <v>30800</v>
      </c>
      <c r="E14" s="6">
        <f t="shared" si="0"/>
        <v>44</v>
      </c>
      <c r="F14" s="12">
        <f>'[2]production scheduler'!F$9</f>
        <v>32200</v>
      </c>
      <c r="G14" s="6">
        <f t="shared" ref="G14" si="51">F14/700</f>
        <v>46</v>
      </c>
      <c r="H14" s="12">
        <f>'[2]production scheduler'!G$9</f>
        <v>30100</v>
      </c>
      <c r="I14" s="6">
        <f t="shared" ref="I14" si="52">H14/700</f>
        <v>43</v>
      </c>
      <c r="J14" s="12">
        <f>'[2]production scheduler'!H$9</f>
        <v>16800</v>
      </c>
      <c r="K14" s="6">
        <f t="shared" ref="K14:M14" si="53">J14/700</f>
        <v>24</v>
      </c>
      <c r="L14" s="12">
        <f>'[2]production scheduler'!I$9</f>
        <v>28700</v>
      </c>
      <c r="M14" s="6">
        <f t="shared" si="53"/>
        <v>41</v>
      </c>
      <c r="N14" s="12">
        <f>'[2]production scheduler'!J$9</f>
        <v>33600</v>
      </c>
      <c r="O14" s="6">
        <f t="shared" ref="O14" si="54">N14/700</f>
        <v>48</v>
      </c>
      <c r="P14" s="12">
        <f>'[2]production scheduler'!K$9</f>
        <v>30100</v>
      </c>
      <c r="Q14" s="6">
        <f t="shared" ref="Q14" si="55">P14/700</f>
        <v>43</v>
      </c>
      <c r="R14" s="12">
        <f>'[2]production scheduler'!L$9</f>
        <v>26600</v>
      </c>
      <c r="S14" s="6">
        <f t="shared" ref="S14" si="56">R14/700</f>
        <v>38</v>
      </c>
      <c r="T14" s="12">
        <f>'[2]production scheduler'!M$9</f>
        <v>29400</v>
      </c>
      <c r="U14" s="6">
        <f t="shared" ref="U14" si="57">T14/700</f>
        <v>42</v>
      </c>
      <c r="V14" s="12">
        <f>'[2]production scheduler'!N$9</f>
        <v>27300</v>
      </c>
      <c r="W14" s="6">
        <f t="shared" ref="W14:Y14" si="58">V14/700</f>
        <v>39</v>
      </c>
      <c r="X14" s="12">
        <f>'[2]production scheduler'!O$9</f>
        <v>40600</v>
      </c>
      <c r="Y14" s="6">
        <f t="shared" si="58"/>
        <v>58</v>
      </c>
      <c r="Z14" s="7">
        <f t="shared" si="9"/>
        <v>350700</v>
      </c>
      <c r="AA14" s="54">
        <f t="shared" si="10"/>
        <v>443</v>
      </c>
      <c r="AB14" s="62">
        <f>AA14*634</f>
        <v>280862</v>
      </c>
      <c r="AD14" t="s">
        <v>86</v>
      </c>
      <c r="AE14" s="133">
        <f>AA15*0.205*2</f>
        <v>13.53</v>
      </c>
      <c r="AF14" s="133" t="s">
        <v>84</v>
      </c>
      <c r="AH14" s="133">
        <f>13.53/0.205</f>
        <v>66</v>
      </c>
    </row>
    <row r="15" spans="1:34" ht="20.100000000000001" customHeight="1" thickBot="1" x14ac:dyDescent="0.3">
      <c r="A15" s="14" t="s">
        <v>17</v>
      </c>
      <c r="B15" s="6">
        <f>'[2]production scheduler'!D$12</f>
        <v>2100</v>
      </c>
      <c r="C15" s="6">
        <f t="shared" si="0"/>
        <v>3</v>
      </c>
      <c r="D15" s="6">
        <f>'[2]production scheduler'!E$12</f>
        <v>2100</v>
      </c>
      <c r="E15" s="6">
        <f t="shared" si="0"/>
        <v>3</v>
      </c>
      <c r="F15" s="6">
        <f>'[2]production scheduler'!F$12</f>
        <v>2800</v>
      </c>
      <c r="G15" s="6">
        <f t="shared" ref="G15" si="59">F15/700</f>
        <v>4</v>
      </c>
      <c r="H15" s="6">
        <f>'[2]production scheduler'!G$12</f>
        <v>1400</v>
      </c>
      <c r="I15" s="6">
        <f t="shared" ref="I15" si="60">H15/700</f>
        <v>2</v>
      </c>
      <c r="J15" s="6">
        <f>'[2]production scheduler'!H$12</f>
        <v>1400</v>
      </c>
      <c r="K15" s="6">
        <f t="shared" ref="K15:M15" si="61">J15/700</f>
        <v>2</v>
      </c>
      <c r="L15" s="6">
        <f>'[2]production scheduler'!I$12</f>
        <v>2800</v>
      </c>
      <c r="M15" s="6">
        <f t="shared" si="61"/>
        <v>4</v>
      </c>
      <c r="N15" s="6">
        <f>'[2]production scheduler'!J$12</f>
        <v>2800</v>
      </c>
      <c r="O15" s="6">
        <f t="shared" ref="O15" si="62">N15/700</f>
        <v>4</v>
      </c>
      <c r="P15" s="6">
        <f>'[2]production scheduler'!K$12</f>
        <v>2100</v>
      </c>
      <c r="Q15" s="6">
        <f t="shared" ref="Q15" si="63">P15/700</f>
        <v>3</v>
      </c>
      <c r="R15" s="6">
        <f>'[2]production scheduler'!L$12</f>
        <v>1400</v>
      </c>
      <c r="S15" s="6">
        <f t="shared" ref="S15" si="64">R15/700</f>
        <v>2</v>
      </c>
      <c r="T15" s="6">
        <f>'[2]production scheduler'!M$12</f>
        <v>2100</v>
      </c>
      <c r="U15" s="6">
        <f t="shared" ref="U15" si="65">T15/700</f>
        <v>3</v>
      </c>
      <c r="V15" s="6">
        <f>'[2]production scheduler'!N$12</f>
        <v>2100</v>
      </c>
      <c r="W15" s="6">
        <f t="shared" ref="W15:Y15" si="66">V15/700</f>
        <v>3</v>
      </c>
      <c r="X15" s="6">
        <f>'[2]production scheduler'!O$12</f>
        <v>4200</v>
      </c>
      <c r="Y15" s="6">
        <f t="shared" si="66"/>
        <v>6</v>
      </c>
      <c r="Z15" s="7">
        <f t="shared" si="9"/>
        <v>27300</v>
      </c>
      <c r="AA15" s="54">
        <f t="shared" si="10"/>
        <v>33</v>
      </c>
      <c r="AB15" s="62">
        <f>AA15*800</f>
        <v>26400</v>
      </c>
      <c r="AD15" t="s">
        <v>86</v>
      </c>
      <c r="AE15">
        <f>AA15*0.13</f>
        <v>4.29</v>
      </c>
      <c r="AF15" t="s">
        <v>87</v>
      </c>
      <c r="AH15">
        <f>4.29/0.13</f>
        <v>33</v>
      </c>
    </row>
    <row r="16" spans="1:34" ht="20.100000000000001" customHeight="1" thickBot="1" x14ac:dyDescent="0.3">
      <c r="A16" s="3" t="s">
        <v>18</v>
      </c>
      <c r="B16" s="16">
        <f t="shared" ref="B16:Z16" si="67">SUM(B7:B15)</f>
        <v>90000</v>
      </c>
      <c r="C16" s="16">
        <f t="shared" si="67"/>
        <v>128.57142857142856</v>
      </c>
      <c r="D16" s="16">
        <f t="shared" si="67"/>
        <v>98325</v>
      </c>
      <c r="E16" s="16">
        <f t="shared" si="67"/>
        <v>140.46428571428572</v>
      </c>
      <c r="F16" s="16">
        <f t="shared" si="67"/>
        <v>131025</v>
      </c>
      <c r="G16" s="16">
        <f t="shared" si="67"/>
        <v>187.17857142857144</v>
      </c>
      <c r="H16" s="16">
        <f t="shared" si="67"/>
        <v>119050</v>
      </c>
      <c r="I16" s="16">
        <f t="shared" si="67"/>
        <v>170.07142857142856</v>
      </c>
      <c r="J16" s="16">
        <f t="shared" si="67"/>
        <v>73250</v>
      </c>
      <c r="K16" s="16">
        <f t="shared" si="67"/>
        <v>104.64285714285714</v>
      </c>
      <c r="L16" s="16">
        <f t="shared" si="67"/>
        <v>105100</v>
      </c>
      <c r="M16" s="16">
        <f t="shared" ref="M16" si="68">SUM(M7:M15)</f>
        <v>150.14285714285714</v>
      </c>
      <c r="N16" s="16">
        <f t="shared" si="67"/>
        <v>109225</v>
      </c>
      <c r="O16" s="16">
        <f t="shared" ref="O16" si="69">SUM(O7:O15)</f>
        <v>156.03571428571428</v>
      </c>
      <c r="P16" s="16">
        <f t="shared" si="67"/>
        <v>103000</v>
      </c>
      <c r="Q16" s="16">
        <f t="shared" ref="Q16" si="70">SUM(Q7:Q15)</f>
        <v>147.14285714285714</v>
      </c>
      <c r="R16" s="16">
        <f t="shared" si="67"/>
        <v>94600</v>
      </c>
      <c r="S16" s="16">
        <f t="shared" ref="S16" si="71">SUM(S7:S15)</f>
        <v>135.14285714285714</v>
      </c>
      <c r="T16" s="16">
        <f t="shared" si="67"/>
        <v>103700</v>
      </c>
      <c r="U16" s="16">
        <f t="shared" ref="U16" si="72">SUM(U7:U15)</f>
        <v>148.14285714285714</v>
      </c>
      <c r="V16" s="16">
        <f t="shared" si="67"/>
        <v>121900</v>
      </c>
      <c r="W16" s="16">
        <f t="shared" ref="W16:Y16" si="73">SUM(W7:W15)</f>
        <v>174.14285714285714</v>
      </c>
      <c r="X16" s="16">
        <f t="shared" si="67"/>
        <v>133275</v>
      </c>
      <c r="Y16" s="16">
        <f t="shared" si="73"/>
        <v>190.39285714285714</v>
      </c>
      <c r="Z16" s="55">
        <f t="shared" si="67"/>
        <v>1282450</v>
      </c>
      <c r="AA16" s="61">
        <f>SUM(AA7:AA15)</f>
        <v>1641.6785714285713</v>
      </c>
      <c r="AB16" s="56">
        <f>SUM(AB7:AB15)</f>
        <v>1167487.2857142857</v>
      </c>
      <c r="AD16" t="s">
        <v>15</v>
      </c>
      <c r="AE16" s="135">
        <f>AA12*0.158/2</f>
        <v>8.2949999999999999</v>
      </c>
      <c r="AF16" t="s">
        <v>88</v>
      </c>
      <c r="AH16">
        <f>8.295/0.158</f>
        <v>52.5</v>
      </c>
    </row>
    <row r="17" spans="1:34" ht="20.100000000000001" customHeight="1" x14ac:dyDescent="0.25">
      <c r="B17" s="18"/>
      <c r="C17" s="18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20"/>
      <c r="AA17" s="27"/>
      <c r="AB17" s="27"/>
      <c r="AD17" t="s">
        <v>31</v>
      </c>
      <c r="AE17" s="135">
        <f>AA11*0.13</f>
        <v>10.098214285714286</v>
      </c>
      <c r="AF17" t="s">
        <v>87</v>
      </c>
      <c r="AH17" s="136">
        <f>10.1/0.13</f>
        <v>77.692307692307693</v>
      </c>
    </row>
    <row r="18" spans="1:34" ht="20.100000000000001" customHeight="1" x14ac:dyDescent="0.3">
      <c r="A18" s="21" t="s">
        <v>19</v>
      </c>
      <c r="B18" s="22">
        <f>'[2]production scheduler'!D$20</f>
        <v>1150</v>
      </c>
      <c r="C18" s="22"/>
      <c r="D18" s="22">
        <f>'[2]production scheduler'!E$20</f>
        <v>1150</v>
      </c>
      <c r="E18" s="22"/>
      <c r="F18" s="22">
        <f>'[2]production scheduler'!F$20</f>
        <v>1150</v>
      </c>
      <c r="G18" s="22"/>
      <c r="H18" s="22">
        <f>'[2]production scheduler'!G$20</f>
        <v>1150</v>
      </c>
      <c r="I18" s="22"/>
      <c r="J18" s="22">
        <f>'[2]production scheduler'!H$20</f>
        <v>1150</v>
      </c>
      <c r="K18" s="22"/>
      <c r="L18" s="22">
        <f>'[2]production scheduler'!I$20</f>
        <v>1150</v>
      </c>
      <c r="M18" s="22"/>
      <c r="N18" s="22">
        <f>'[2]production scheduler'!J$20</f>
        <v>1150</v>
      </c>
      <c r="O18" s="22"/>
      <c r="P18" s="22">
        <f>'[2]production scheduler'!K$20</f>
        <v>1150</v>
      </c>
      <c r="Q18" s="22"/>
      <c r="R18" s="22">
        <f>'[2]production scheduler'!L$20</f>
        <v>1150</v>
      </c>
      <c r="S18" s="22"/>
      <c r="T18" s="22">
        <f>'[2]production scheduler'!M$20</f>
        <v>1150</v>
      </c>
      <c r="U18" s="22"/>
      <c r="V18" s="22">
        <f>'[2]production scheduler'!N$20</f>
        <v>1150</v>
      </c>
      <c r="W18" s="22"/>
      <c r="X18" s="22">
        <f>'[2]production scheduler'!O$20</f>
        <v>2300</v>
      </c>
      <c r="Y18" s="6"/>
      <c r="Z18" s="7">
        <f>SUM(B18:X18)</f>
        <v>14950</v>
      </c>
      <c r="AA18" s="51"/>
      <c r="AB18" s="57">
        <f>AB16/17300</f>
        <v>67.484814203137901</v>
      </c>
    </row>
    <row r="19" spans="1:34" ht="20.100000000000001" customHeight="1" x14ac:dyDescent="0.25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7">
        <f>SUM(B19:X19)</f>
        <v>0</v>
      </c>
      <c r="AA19" s="51"/>
      <c r="AB19" s="63" t="s">
        <v>49</v>
      </c>
    </row>
    <row r="20" spans="1:34" ht="20.100000000000001" customHeight="1" x14ac:dyDescent="0.25">
      <c r="A20" s="14" t="s">
        <v>20</v>
      </c>
      <c r="B20" s="6">
        <f>'[2]production scheduler'!D$19</f>
        <v>3600</v>
      </c>
      <c r="C20" s="6"/>
      <c r="D20" s="6">
        <f>'[2]production scheduler'!E$19</f>
        <v>3600</v>
      </c>
      <c r="E20" s="6"/>
      <c r="F20" s="6">
        <f>'[2]production scheduler'!F$19</f>
        <v>3600</v>
      </c>
      <c r="G20" s="6"/>
      <c r="H20" s="6">
        <f>'[2]production scheduler'!G$19</f>
        <v>3600</v>
      </c>
      <c r="I20" s="6"/>
      <c r="J20" s="6">
        <f>'[2]production scheduler'!H$19</f>
        <v>1800</v>
      </c>
      <c r="K20" s="6"/>
      <c r="L20" s="6">
        <f>'[2]production scheduler'!I$19</f>
        <v>1800</v>
      </c>
      <c r="M20" s="6"/>
      <c r="N20" s="6">
        <f>'[2]production scheduler'!J$19</f>
        <v>3600</v>
      </c>
      <c r="O20" s="6"/>
      <c r="P20" s="6">
        <f>'[2]production scheduler'!K$19</f>
        <v>3600</v>
      </c>
      <c r="Q20" s="6"/>
      <c r="R20" s="6">
        <f>'[2]production scheduler'!L$19</f>
        <v>3600</v>
      </c>
      <c r="S20" s="6"/>
      <c r="T20" s="6">
        <f>'[2]production scheduler'!M$19</f>
        <v>3600</v>
      </c>
      <c r="U20" s="6"/>
      <c r="V20" s="6">
        <f>'[2]production scheduler'!N$19</f>
        <v>3600</v>
      </c>
      <c r="W20" s="6"/>
      <c r="X20" s="6">
        <f>'[2]production scheduler'!O$19</f>
        <v>3600</v>
      </c>
      <c r="Y20" s="6"/>
      <c r="Z20" s="7">
        <f>SUM(B20:X20)</f>
        <v>39600</v>
      </c>
      <c r="AA20" s="51"/>
      <c r="AB20" s="51"/>
      <c r="AD20" s="133" t="s">
        <v>90</v>
      </c>
      <c r="AE20" s="137">
        <f>AE12+AE14</f>
        <v>292.12499999999994</v>
      </c>
      <c r="AF20" s="133" t="s">
        <v>84</v>
      </c>
      <c r="AH20" s="134">
        <f>AH12+AH14</f>
        <v>1426.9756097560976</v>
      </c>
    </row>
    <row r="21" spans="1:34" ht="20.100000000000001" customHeight="1" x14ac:dyDescent="0.25">
      <c r="A21" s="3" t="s">
        <v>21</v>
      </c>
      <c r="B21" s="16">
        <f>SUM(B18:B20)</f>
        <v>4750</v>
      </c>
      <c r="C21" s="16"/>
      <c r="D21" s="16">
        <f t="shared" ref="D21:X21" si="74">SUM(D18:D20)</f>
        <v>4750</v>
      </c>
      <c r="E21" s="16"/>
      <c r="F21" s="16">
        <f t="shared" si="74"/>
        <v>4750</v>
      </c>
      <c r="G21" s="16"/>
      <c r="H21" s="16">
        <f t="shared" si="74"/>
        <v>4750</v>
      </c>
      <c r="I21" s="16"/>
      <c r="J21" s="16">
        <f t="shared" si="74"/>
        <v>2950</v>
      </c>
      <c r="K21" s="16"/>
      <c r="L21" s="16">
        <f t="shared" si="74"/>
        <v>2950</v>
      </c>
      <c r="M21" s="16"/>
      <c r="N21" s="16">
        <f t="shared" si="74"/>
        <v>4750</v>
      </c>
      <c r="O21" s="16"/>
      <c r="P21" s="16">
        <f t="shared" si="74"/>
        <v>4750</v>
      </c>
      <c r="Q21" s="16"/>
      <c r="R21" s="16">
        <f t="shared" si="74"/>
        <v>4750</v>
      </c>
      <c r="S21" s="16"/>
      <c r="T21" s="16">
        <f t="shared" si="74"/>
        <v>4750</v>
      </c>
      <c r="U21" s="16"/>
      <c r="V21" s="16">
        <f t="shared" si="74"/>
        <v>4750</v>
      </c>
      <c r="W21" s="16"/>
      <c r="X21" s="16">
        <f t="shared" si="74"/>
        <v>5900</v>
      </c>
      <c r="Y21" s="16"/>
      <c r="Z21" s="17">
        <f>SUM(Z18:Z20)</f>
        <v>54550</v>
      </c>
      <c r="AA21" s="42"/>
      <c r="AB21" s="42"/>
    </row>
    <row r="22" spans="1:34" ht="20.100000000000001" customHeight="1" x14ac:dyDescent="0.25"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4"/>
      <c r="AA22" s="52"/>
      <c r="AB22" s="52"/>
    </row>
    <row r="23" spans="1:34" ht="20.100000000000001" customHeight="1" x14ac:dyDescent="0.25">
      <c r="A23" s="21" t="s">
        <v>22</v>
      </c>
      <c r="B23" s="25">
        <f>'[2]production scheduler'!D$24</f>
        <v>700</v>
      </c>
      <c r="C23" s="25"/>
      <c r="D23" s="25">
        <f>'[2]production scheduler'!E$24</f>
        <v>700</v>
      </c>
      <c r="E23" s="25"/>
      <c r="F23" s="25">
        <f>'[2]production scheduler'!F$24</f>
        <v>700</v>
      </c>
      <c r="G23" s="25"/>
      <c r="H23" s="25">
        <f>'[2]production scheduler'!G$24</f>
        <v>700</v>
      </c>
      <c r="I23" s="25"/>
      <c r="J23" s="25">
        <f>'[2]production scheduler'!H$24</f>
        <v>700</v>
      </c>
      <c r="K23" s="25"/>
      <c r="L23" s="25">
        <f>'[2]production scheduler'!I$24</f>
        <v>1400</v>
      </c>
      <c r="M23" s="25"/>
      <c r="N23" s="25">
        <f>'[2]production scheduler'!J$24</f>
        <v>700</v>
      </c>
      <c r="O23" s="25"/>
      <c r="P23" s="25">
        <f>'[2]production scheduler'!K$24</f>
        <v>700</v>
      </c>
      <c r="Q23" s="25"/>
      <c r="R23" s="25">
        <f>'[2]production scheduler'!L$24</f>
        <v>700</v>
      </c>
      <c r="S23" s="25"/>
      <c r="T23" s="25">
        <f>'[2]production scheduler'!M$24</f>
        <v>700</v>
      </c>
      <c r="U23" s="25"/>
      <c r="V23" s="25">
        <f>'[2]production scheduler'!N$24</f>
        <v>700</v>
      </c>
      <c r="W23" s="25"/>
      <c r="X23" s="25">
        <f>'[2]production scheduler'!O$24</f>
        <v>2800</v>
      </c>
      <c r="Y23" s="12"/>
      <c r="Z23" s="7">
        <f>SUM(B23:X23)</f>
        <v>11200</v>
      </c>
      <c r="AA23" s="51"/>
      <c r="AB23" s="51"/>
      <c r="AD23" s="145"/>
      <c r="AE23" s="145"/>
      <c r="AF23" s="146" t="s">
        <v>91</v>
      </c>
      <c r="AG23" s="146"/>
      <c r="AH23" s="147">
        <f>SUM(AH13,AH15:AH17,AH20)</f>
        <v>2038.1679174484052</v>
      </c>
    </row>
    <row r="24" spans="1:34" ht="20.25" customHeight="1" x14ac:dyDescent="0.25">
      <c r="A24" s="5" t="s">
        <v>23</v>
      </c>
      <c r="B24" s="12">
        <f>'[2]production scheduler'!D$25</f>
        <v>700</v>
      </c>
      <c r="C24" s="12"/>
      <c r="D24" s="12">
        <f>'[2]production scheduler'!E$25</f>
        <v>700</v>
      </c>
      <c r="E24" s="12"/>
      <c r="F24" s="12">
        <f>'[2]production scheduler'!F$25</f>
        <v>700</v>
      </c>
      <c r="G24" s="12"/>
      <c r="H24" s="12">
        <f>'[2]production scheduler'!G$25</f>
        <v>700</v>
      </c>
      <c r="I24" s="12"/>
      <c r="J24" s="12">
        <f>'[2]production scheduler'!H$25</f>
        <v>700</v>
      </c>
      <c r="K24" s="12"/>
      <c r="L24" s="12">
        <f>'[2]production scheduler'!I$25</f>
        <v>700</v>
      </c>
      <c r="M24" s="12"/>
      <c r="N24" s="12">
        <f>'[2]production scheduler'!J$25</f>
        <v>700</v>
      </c>
      <c r="O24" s="12"/>
      <c r="P24" s="12">
        <f>'[2]production scheduler'!K$25</f>
        <v>700</v>
      </c>
      <c r="Q24" s="12"/>
      <c r="R24" s="12">
        <f>'[2]production scheduler'!L$25</f>
        <v>700</v>
      </c>
      <c r="S24" s="12"/>
      <c r="T24" s="12">
        <f>'[2]production scheduler'!M$25</f>
        <v>700</v>
      </c>
      <c r="U24" s="12"/>
      <c r="V24" s="12">
        <f>'[2]production scheduler'!N$25</f>
        <v>700</v>
      </c>
      <c r="W24" s="12"/>
      <c r="X24" s="12">
        <f>'[2]production scheduler'!O$25</f>
        <v>1400</v>
      </c>
      <c r="Y24" s="12"/>
      <c r="Z24" s="7">
        <f>SUM(B24:X24)</f>
        <v>9100</v>
      </c>
      <c r="AA24" s="51"/>
      <c r="AB24" s="51"/>
    </row>
    <row r="25" spans="1:34" ht="20.25" customHeight="1" x14ac:dyDescent="0.25">
      <c r="A25" s="5" t="s">
        <v>24</v>
      </c>
      <c r="B25" s="12">
        <f>'[2]production scheduler'!D$26</f>
        <v>1400</v>
      </c>
      <c r="C25" s="12"/>
      <c r="D25" s="12">
        <f>'[2]production scheduler'!E$26</f>
        <v>1400</v>
      </c>
      <c r="E25" s="12"/>
      <c r="F25" s="12">
        <f>'[2]production scheduler'!F$26</f>
        <v>1400</v>
      </c>
      <c r="G25" s="12"/>
      <c r="H25" s="12">
        <f>'[2]production scheduler'!G$26</f>
        <v>1400</v>
      </c>
      <c r="I25" s="12"/>
      <c r="J25" s="12">
        <f>'[2]production scheduler'!H$26</f>
        <v>1400</v>
      </c>
      <c r="K25" s="12"/>
      <c r="L25" s="12">
        <f>'[2]production scheduler'!I$26</f>
        <v>700</v>
      </c>
      <c r="M25" s="12"/>
      <c r="N25" s="12">
        <f>'[2]production scheduler'!J$26</f>
        <v>1400</v>
      </c>
      <c r="O25" s="12"/>
      <c r="P25" s="12">
        <f>'[2]production scheduler'!K$26</f>
        <v>2100</v>
      </c>
      <c r="Q25" s="12"/>
      <c r="R25" s="12">
        <f>'[2]production scheduler'!L$26</f>
        <v>1400</v>
      </c>
      <c r="S25" s="12"/>
      <c r="T25" s="12">
        <f>'[2]production scheduler'!M$26</f>
        <v>1400</v>
      </c>
      <c r="U25" s="12"/>
      <c r="V25" s="12">
        <f>'[2]production scheduler'!N$26</f>
        <v>2100</v>
      </c>
      <c r="W25" s="12"/>
      <c r="X25" s="12">
        <f>'[2]production scheduler'!O$26</f>
        <v>3500</v>
      </c>
      <c r="Y25" s="12"/>
      <c r="Z25" s="7">
        <f>SUM(B25:X25)</f>
        <v>19600</v>
      </c>
      <c r="AA25" s="51"/>
      <c r="AB25" s="51"/>
    </row>
    <row r="26" spans="1:34" ht="20.25" customHeight="1" x14ac:dyDescent="0.25">
      <c r="A26" s="5" t="s">
        <v>25</v>
      </c>
      <c r="B26" s="12">
        <f>'[2]production scheduler'!D$22</f>
        <v>1500</v>
      </c>
      <c r="C26" s="12"/>
      <c r="D26" s="12">
        <f>'[2]production scheduler'!E$22</f>
        <v>1500</v>
      </c>
      <c r="E26" s="12"/>
      <c r="F26" s="12">
        <f>'[2]production scheduler'!F$22</f>
        <v>1500</v>
      </c>
      <c r="G26" s="12"/>
      <c r="H26" s="12">
        <f>'[2]production scheduler'!G$22</f>
        <v>1500</v>
      </c>
      <c r="I26" s="12"/>
      <c r="J26" s="12">
        <f>'[2]production scheduler'!H$22</f>
        <v>3000</v>
      </c>
      <c r="K26" s="12"/>
      <c r="L26" s="12">
        <f>'[2]production scheduler'!I$22</f>
        <v>1500</v>
      </c>
      <c r="M26" s="12"/>
      <c r="N26" s="12">
        <f>'[2]production scheduler'!J$22</f>
        <v>1500</v>
      </c>
      <c r="O26" s="12"/>
      <c r="P26" s="12">
        <f>'[2]production scheduler'!K$22</f>
        <v>1500</v>
      </c>
      <c r="Q26" s="12"/>
      <c r="R26" s="12">
        <f>'[2]production scheduler'!L$22</f>
        <v>1500</v>
      </c>
      <c r="S26" s="12"/>
      <c r="T26" s="12">
        <f>'[2]production scheduler'!M$22</f>
        <v>1500</v>
      </c>
      <c r="U26" s="12"/>
      <c r="V26" s="12">
        <f>'[2]production scheduler'!N$22</f>
        <v>1500</v>
      </c>
      <c r="W26" s="12"/>
      <c r="X26" s="12">
        <f>'[2]production scheduler'!O$22</f>
        <v>4500</v>
      </c>
      <c r="Y26" s="12"/>
      <c r="Z26" s="7">
        <f>SUM(B26:X26)</f>
        <v>22500</v>
      </c>
      <c r="AA26" s="51"/>
      <c r="AB26" s="51"/>
    </row>
    <row r="27" spans="1:34" ht="20.25" customHeight="1" x14ac:dyDescent="0.25">
      <c r="A27" s="14" t="s">
        <v>26</v>
      </c>
      <c r="B27" s="26">
        <f>'[2]production scheduler'!D$23</f>
        <v>0</v>
      </c>
      <c r="C27" s="26"/>
      <c r="D27" s="26">
        <f>'[2]production scheduler'!E$23</f>
        <v>0</v>
      </c>
      <c r="E27" s="26"/>
      <c r="F27" s="26">
        <f>'[2]production scheduler'!F$23</f>
        <v>0</v>
      </c>
      <c r="G27" s="26"/>
      <c r="H27" s="26">
        <f>'[2]production scheduler'!G$23</f>
        <v>0</v>
      </c>
      <c r="I27" s="26"/>
      <c r="J27" s="26">
        <f>'[2]production scheduler'!H$23</f>
        <v>0</v>
      </c>
      <c r="K27" s="26"/>
      <c r="L27" s="26">
        <f>'[2]production scheduler'!I$23</f>
        <v>0</v>
      </c>
      <c r="M27" s="26"/>
      <c r="N27" s="26">
        <f>'[2]production scheduler'!J$23</f>
        <v>0</v>
      </c>
      <c r="O27" s="26"/>
      <c r="P27" s="26">
        <f>'[2]production scheduler'!K$23</f>
        <v>0</v>
      </c>
      <c r="Q27" s="26"/>
      <c r="R27" s="26">
        <f>'[2]production scheduler'!L$23</f>
        <v>0</v>
      </c>
      <c r="S27" s="26"/>
      <c r="T27" s="26">
        <f>'[2]production scheduler'!M$23</f>
        <v>0</v>
      </c>
      <c r="U27" s="26"/>
      <c r="V27" s="26">
        <f>'[2]production scheduler'!N$23</f>
        <v>0</v>
      </c>
      <c r="W27" s="26"/>
      <c r="X27" s="26">
        <f>'[2]production scheduler'!O$23</f>
        <v>0</v>
      </c>
      <c r="Y27" s="12"/>
      <c r="Z27" s="7">
        <f>SUM(B27:X27)</f>
        <v>0</v>
      </c>
      <c r="AA27" s="51"/>
      <c r="AB27" s="51"/>
    </row>
    <row r="28" spans="1:34" ht="20.100000000000001" customHeight="1" x14ac:dyDescent="0.25">
      <c r="A28" s="3" t="s">
        <v>27</v>
      </c>
      <c r="B28" s="16">
        <f t="shared" ref="B28:Z28" si="75">SUM(B23:B27)</f>
        <v>4300</v>
      </c>
      <c r="C28" s="16"/>
      <c r="D28" s="16">
        <f t="shared" si="75"/>
        <v>4300</v>
      </c>
      <c r="E28" s="16"/>
      <c r="F28" s="16">
        <f t="shared" si="75"/>
        <v>4300</v>
      </c>
      <c r="G28" s="16"/>
      <c r="H28" s="16">
        <f t="shared" si="75"/>
        <v>4300</v>
      </c>
      <c r="I28" s="16"/>
      <c r="J28" s="16">
        <f t="shared" si="75"/>
        <v>5800</v>
      </c>
      <c r="K28" s="16"/>
      <c r="L28" s="16">
        <f t="shared" si="75"/>
        <v>4300</v>
      </c>
      <c r="M28" s="16"/>
      <c r="N28" s="16">
        <f t="shared" si="75"/>
        <v>4300</v>
      </c>
      <c r="O28" s="16"/>
      <c r="P28" s="16">
        <f t="shared" si="75"/>
        <v>5000</v>
      </c>
      <c r="Q28" s="16"/>
      <c r="R28" s="16">
        <f t="shared" si="75"/>
        <v>4300</v>
      </c>
      <c r="S28" s="16"/>
      <c r="T28" s="16">
        <f t="shared" si="75"/>
        <v>4300</v>
      </c>
      <c r="U28" s="16"/>
      <c r="V28" s="16">
        <f t="shared" si="75"/>
        <v>5000</v>
      </c>
      <c r="W28" s="16"/>
      <c r="X28" s="16">
        <f t="shared" si="75"/>
        <v>12200</v>
      </c>
      <c r="Y28" s="16"/>
      <c r="Z28" s="17">
        <f t="shared" si="75"/>
        <v>62400</v>
      </c>
      <c r="AA28" s="42"/>
      <c r="AB28" s="42"/>
    </row>
    <row r="29" spans="1:34" ht="20.100000000000001" customHeight="1" x14ac:dyDescent="0.25"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</row>
    <row r="30" spans="1:34" ht="20.100000000000001" customHeight="1" x14ac:dyDescent="0.25">
      <c r="A30" s="3" t="s">
        <v>28</v>
      </c>
      <c r="B30" s="16">
        <f t="shared" ref="B30:Z30" si="76">B16+B28+B21</f>
        <v>99050</v>
      </c>
      <c r="C30" s="16"/>
      <c r="D30" s="16">
        <f t="shared" si="76"/>
        <v>107375</v>
      </c>
      <c r="E30" s="16"/>
      <c r="F30" s="16">
        <f t="shared" si="76"/>
        <v>140075</v>
      </c>
      <c r="G30" s="16"/>
      <c r="H30" s="16">
        <f t="shared" si="76"/>
        <v>128100</v>
      </c>
      <c r="I30" s="16"/>
      <c r="J30" s="16">
        <f t="shared" si="76"/>
        <v>82000</v>
      </c>
      <c r="K30" s="16"/>
      <c r="L30" s="16">
        <f t="shared" si="76"/>
        <v>112350</v>
      </c>
      <c r="M30" s="16"/>
      <c r="N30" s="16">
        <f t="shared" si="76"/>
        <v>118275</v>
      </c>
      <c r="O30" s="16"/>
      <c r="P30" s="16">
        <f t="shared" si="76"/>
        <v>112750</v>
      </c>
      <c r="Q30" s="16"/>
      <c r="R30" s="16">
        <f t="shared" si="76"/>
        <v>103650</v>
      </c>
      <c r="S30" s="16"/>
      <c r="T30" s="16">
        <f t="shared" si="76"/>
        <v>112750</v>
      </c>
      <c r="U30" s="16"/>
      <c r="V30" s="16">
        <f t="shared" si="76"/>
        <v>131650</v>
      </c>
      <c r="W30" s="16"/>
      <c r="X30" s="16">
        <f t="shared" si="76"/>
        <v>151375</v>
      </c>
      <c r="Y30" s="16"/>
      <c r="Z30" s="17">
        <f t="shared" si="76"/>
        <v>1399400</v>
      </c>
      <c r="AA30" s="42"/>
      <c r="AB30" s="42"/>
    </row>
    <row r="31" spans="1:34" ht="20.100000000000001" customHeight="1" x14ac:dyDescent="0.25"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23"/>
      <c r="AB31" s="23"/>
    </row>
    <row r="32" spans="1:34" ht="20.100000000000001" customHeight="1" x14ac:dyDescent="0.25">
      <c r="A32" s="1" t="s">
        <v>29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9"/>
      <c r="AA32" s="23"/>
      <c r="AB32" s="23"/>
    </row>
    <row r="33" spans="1:28" ht="20.100000000000001" customHeight="1" x14ac:dyDescent="0.25">
      <c r="A33" s="30" t="s">
        <v>30</v>
      </c>
      <c r="B33" s="25">
        <f>'[2]production scheduler'!D27</f>
        <v>700</v>
      </c>
      <c r="C33" s="25"/>
      <c r="D33" s="25">
        <f>'[2]production scheduler'!E27</f>
        <v>1400</v>
      </c>
      <c r="E33" s="25"/>
      <c r="F33" s="25">
        <f>'[2]production scheduler'!F27</f>
        <v>700</v>
      </c>
      <c r="G33" s="25"/>
      <c r="H33" s="25">
        <f>'[2]production scheduler'!G27</f>
        <v>700</v>
      </c>
      <c r="I33" s="25"/>
      <c r="J33" s="25">
        <f>'[2]production scheduler'!H27</f>
        <v>700</v>
      </c>
      <c r="K33" s="25"/>
      <c r="L33" s="25">
        <f>'[2]production scheduler'!I27</f>
        <v>700</v>
      </c>
      <c r="M33" s="25"/>
      <c r="N33" s="25">
        <f>'[2]production scheduler'!J27</f>
        <v>1400</v>
      </c>
      <c r="O33" s="25"/>
      <c r="P33" s="25">
        <f>'[2]production scheduler'!K27</f>
        <v>700</v>
      </c>
      <c r="Q33" s="25"/>
      <c r="R33" s="25">
        <f>'[2]production scheduler'!L27</f>
        <v>700</v>
      </c>
      <c r="S33" s="25"/>
      <c r="T33" s="25">
        <f>'[2]production scheduler'!M27</f>
        <v>1400</v>
      </c>
      <c r="U33" s="25"/>
      <c r="V33" s="25">
        <f>'[2]production scheduler'!N27</f>
        <v>2800</v>
      </c>
      <c r="W33" s="25"/>
      <c r="X33" s="25">
        <f>'[2]production scheduler'!O27</f>
        <v>0</v>
      </c>
      <c r="Y33" s="12"/>
      <c r="Z33" s="7">
        <f t="shared" ref="Z33:Z39" si="77">SUM(B33:X33)</f>
        <v>11900</v>
      </c>
      <c r="AA33" s="51"/>
      <c r="AB33" s="51"/>
    </row>
    <row r="34" spans="1:28" ht="20.100000000000001" customHeight="1" x14ac:dyDescent="0.25">
      <c r="A34" s="30" t="s">
        <v>17</v>
      </c>
      <c r="B34" s="31">
        <f>+'[2]production scheduler'!D13</f>
        <v>0</v>
      </c>
      <c r="C34" s="31"/>
      <c r="D34" s="6">
        <f>+'[2]production scheduler'!E13</f>
        <v>0</v>
      </c>
      <c r="E34" s="6"/>
      <c r="F34" s="6">
        <f>+'[2]production scheduler'!F13</f>
        <v>0</v>
      </c>
      <c r="G34" s="6"/>
      <c r="H34" s="6">
        <f>+'[2]production scheduler'!G13</f>
        <v>0</v>
      </c>
      <c r="I34" s="6"/>
      <c r="J34" s="6">
        <f>+'[2]production scheduler'!H13</f>
        <v>0</v>
      </c>
      <c r="K34" s="6"/>
      <c r="L34" s="6">
        <f>+'[2]production scheduler'!I13</f>
        <v>0</v>
      </c>
      <c r="M34" s="6"/>
      <c r="N34" s="6">
        <f>+'[2]production scheduler'!J13</f>
        <v>0</v>
      </c>
      <c r="O34" s="6"/>
      <c r="P34" s="6">
        <f>+'[2]production scheduler'!K13</f>
        <v>0</v>
      </c>
      <c r="Q34" s="6"/>
      <c r="R34" s="6">
        <f>+'[2]production scheduler'!L13</f>
        <v>0</v>
      </c>
      <c r="S34" s="6"/>
      <c r="T34" s="6">
        <f>+'[2]production scheduler'!M13</f>
        <v>0</v>
      </c>
      <c r="U34" s="6"/>
      <c r="V34" s="6">
        <f>+'[2]production scheduler'!N13</f>
        <v>0</v>
      </c>
      <c r="W34" s="6"/>
      <c r="X34" s="6">
        <f>+'[2]production scheduler'!O13</f>
        <v>0</v>
      </c>
      <c r="Y34" s="6"/>
      <c r="Z34" s="7">
        <f t="shared" si="77"/>
        <v>0</v>
      </c>
      <c r="AA34" s="51"/>
      <c r="AB34" s="51"/>
    </row>
    <row r="35" spans="1:28" ht="20.100000000000001" customHeight="1" x14ac:dyDescent="0.25">
      <c r="A35" s="30" t="s">
        <v>10</v>
      </c>
      <c r="B35" s="12">
        <f>+'[2]production scheduler'!D7</f>
        <v>9800</v>
      </c>
      <c r="C35" s="12"/>
      <c r="D35" s="12">
        <f>+'[2]production scheduler'!E7</f>
        <v>9800</v>
      </c>
      <c r="E35" s="12"/>
      <c r="F35" s="12">
        <f>+'[2]production scheduler'!F7</f>
        <v>5600</v>
      </c>
      <c r="G35" s="12"/>
      <c r="H35" s="12">
        <f>+'[2]production scheduler'!G7</f>
        <v>3500</v>
      </c>
      <c r="I35" s="6">
        <f>H35/700</f>
        <v>5</v>
      </c>
      <c r="J35" s="12">
        <f>+'[2]production scheduler'!H7</f>
        <v>3500</v>
      </c>
      <c r="K35" s="6">
        <f>J35/700</f>
        <v>5</v>
      </c>
      <c r="L35" s="12">
        <f>+'[2]production scheduler'!I7</f>
        <v>9800</v>
      </c>
      <c r="M35" s="6">
        <f>L35/700</f>
        <v>14</v>
      </c>
      <c r="N35" s="12">
        <f>+'[2]production scheduler'!J7</f>
        <v>7000</v>
      </c>
      <c r="O35" s="6">
        <f>N35/700</f>
        <v>10</v>
      </c>
      <c r="P35" s="12">
        <f>+'[2]production scheduler'!K7</f>
        <v>7700</v>
      </c>
      <c r="Q35" s="6">
        <f>P35/700</f>
        <v>11</v>
      </c>
      <c r="R35" s="12">
        <f>+'[2]production scheduler'!L7</f>
        <v>9800</v>
      </c>
      <c r="S35" s="6">
        <f>R35/700</f>
        <v>14</v>
      </c>
      <c r="T35" s="12">
        <f>+'[2]production scheduler'!M7</f>
        <v>9800</v>
      </c>
      <c r="U35" s="6">
        <f>T35/700</f>
        <v>14</v>
      </c>
      <c r="V35" s="12">
        <f>+'[2]production scheduler'!N7</f>
        <v>18200</v>
      </c>
      <c r="W35" s="6">
        <f>V35/700</f>
        <v>26</v>
      </c>
      <c r="X35" s="12">
        <f>+'[2]production scheduler'!O7</f>
        <v>0</v>
      </c>
      <c r="Y35" s="6">
        <f>X35/700</f>
        <v>0</v>
      </c>
      <c r="Z35" s="7">
        <f t="shared" si="77"/>
        <v>94599</v>
      </c>
      <c r="AA35" s="54">
        <f t="shared" ref="AA35" si="78">SUM(C35,E35,G35,I35,K35,M35,O35,Q35,S35,U35,W35)</f>
        <v>99</v>
      </c>
      <c r="AB35" s="51"/>
    </row>
    <row r="36" spans="1:28" ht="20.100000000000001" customHeight="1" x14ac:dyDescent="0.25">
      <c r="A36" s="30" t="s">
        <v>13</v>
      </c>
      <c r="B36" s="12">
        <f>+'[2]Sales-live'!C85</f>
        <v>0</v>
      </c>
      <c r="C36" s="12"/>
      <c r="D36" s="12">
        <f>+'[2]Sales-live'!D85</f>
        <v>0</v>
      </c>
      <c r="E36" s="12"/>
      <c r="F36" s="12">
        <f>+'[2]Sales-live'!E85</f>
        <v>0</v>
      </c>
      <c r="G36" s="12"/>
      <c r="H36" s="12">
        <f>+'[2]Sales-live'!F85</f>
        <v>0</v>
      </c>
      <c r="I36" s="12"/>
      <c r="J36" s="12">
        <f>+'[2]Sales-live'!G85</f>
        <v>0</v>
      </c>
      <c r="K36" s="12"/>
      <c r="L36" s="12">
        <f>+'[2]Sales-live'!H85</f>
        <v>0</v>
      </c>
      <c r="M36" s="12"/>
      <c r="N36" s="12">
        <f>+'[2]Sales-live'!I85</f>
        <v>0</v>
      </c>
      <c r="O36" s="12"/>
      <c r="P36" s="12">
        <f>+'[2]Sales-live'!J85</f>
        <v>0</v>
      </c>
      <c r="Q36" s="12"/>
      <c r="R36" s="12">
        <f>+'[2]Sales-live'!K85</f>
        <v>0</v>
      </c>
      <c r="S36" s="12"/>
      <c r="T36" s="12">
        <f>+'[2]Sales-live'!L85</f>
        <v>0</v>
      </c>
      <c r="U36" s="12"/>
      <c r="V36" s="12">
        <f>+'[2]Sales-live'!M85</f>
        <v>0</v>
      </c>
      <c r="W36" s="12"/>
      <c r="X36" s="12">
        <f>+'[2]Sales-live'!N85</f>
        <v>0</v>
      </c>
      <c r="Y36" s="12"/>
      <c r="Z36" s="7">
        <f t="shared" si="77"/>
        <v>0</v>
      </c>
      <c r="AA36" s="51"/>
      <c r="AB36" s="51"/>
    </row>
    <row r="37" spans="1:28" ht="20.100000000000001" customHeight="1" x14ac:dyDescent="0.25">
      <c r="A37" s="30" t="s">
        <v>16</v>
      </c>
      <c r="B37" s="31">
        <f>+'[2]production scheduler'!D10</f>
        <v>0</v>
      </c>
      <c r="C37" s="31"/>
      <c r="D37" s="31">
        <f>+'[2]production scheduler'!E10</f>
        <v>0</v>
      </c>
      <c r="E37" s="31"/>
      <c r="F37" s="31">
        <f>+'[2]production scheduler'!F10</f>
        <v>0</v>
      </c>
      <c r="G37" s="31"/>
      <c r="H37" s="31">
        <f>+'[2]production scheduler'!G10</f>
        <v>0</v>
      </c>
      <c r="I37" s="31"/>
      <c r="J37" s="31">
        <f>+'[2]production scheduler'!H10</f>
        <v>0</v>
      </c>
      <c r="K37" s="31"/>
      <c r="L37" s="31">
        <f>+'[2]production scheduler'!I10</f>
        <v>0</v>
      </c>
      <c r="M37" s="31"/>
      <c r="N37" s="31">
        <f>+'[2]production scheduler'!J10</f>
        <v>0</v>
      </c>
      <c r="O37" s="31"/>
      <c r="P37" s="31">
        <f>+'[2]production scheduler'!K10</f>
        <v>0</v>
      </c>
      <c r="Q37" s="31"/>
      <c r="R37" s="31">
        <f>+'[2]production scheduler'!L10</f>
        <v>0</v>
      </c>
      <c r="S37" s="31"/>
      <c r="T37" s="31">
        <f>+'[2]production scheduler'!M10</f>
        <v>0</v>
      </c>
      <c r="U37" s="31"/>
      <c r="V37" s="31">
        <f>+'[2]production scheduler'!N10</f>
        <v>0</v>
      </c>
      <c r="W37" s="31"/>
      <c r="X37" s="31">
        <f>+'[2]production scheduler'!O10</f>
        <v>0</v>
      </c>
      <c r="Y37" s="31"/>
      <c r="Z37" s="7">
        <f t="shared" si="77"/>
        <v>0</v>
      </c>
      <c r="AA37" s="51"/>
      <c r="AB37" s="51"/>
    </row>
    <row r="38" spans="1:28" s="36" customFormat="1" ht="20.100000000000001" customHeight="1" x14ac:dyDescent="0.25">
      <c r="A38" s="33" t="s">
        <v>31</v>
      </c>
      <c r="B38" s="34">
        <f>+'[2]Sales-live'!C84</f>
        <v>0</v>
      </c>
      <c r="C38" s="34"/>
      <c r="D38" s="34">
        <f>+'[2]Sales-live'!D84</f>
        <v>0</v>
      </c>
      <c r="E38" s="34"/>
      <c r="F38" s="34">
        <f>+'[2]Sales-live'!E84</f>
        <v>0</v>
      </c>
      <c r="G38" s="34"/>
      <c r="H38" s="34">
        <f>+'[2]Sales-live'!F84</f>
        <v>0</v>
      </c>
      <c r="I38" s="34"/>
      <c r="J38" s="34">
        <f>+'[2]Sales-live'!G84</f>
        <v>0</v>
      </c>
      <c r="K38" s="34"/>
      <c r="L38" s="34">
        <f>+'[2]Sales-live'!H84</f>
        <v>0</v>
      </c>
      <c r="M38" s="34"/>
      <c r="N38" s="34">
        <f>+'[2]Sales-live'!I84</f>
        <v>0</v>
      </c>
      <c r="O38" s="34"/>
      <c r="P38" s="34">
        <f>+'[2]Sales-live'!J84</f>
        <v>0</v>
      </c>
      <c r="Q38" s="34"/>
      <c r="R38" s="34">
        <f>+'[2]Sales-live'!K84</f>
        <v>0</v>
      </c>
      <c r="S38" s="34"/>
      <c r="T38" s="34">
        <f>+'[2]Sales-live'!L84</f>
        <v>0</v>
      </c>
      <c r="U38" s="34"/>
      <c r="V38" s="34">
        <f>+'[2]Sales-live'!M84</f>
        <v>0</v>
      </c>
      <c r="W38" s="34"/>
      <c r="X38" s="34">
        <f>+'[2]Sales-live'!N84</f>
        <v>0</v>
      </c>
      <c r="Y38" s="34"/>
      <c r="Z38" s="35">
        <f t="shared" si="77"/>
        <v>0</v>
      </c>
      <c r="AA38" s="53"/>
      <c r="AB38" s="53"/>
    </row>
    <row r="39" spans="1:28" ht="20.100000000000001" customHeight="1" x14ac:dyDescent="0.25">
      <c r="A39" s="40" t="s">
        <v>32</v>
      </c>
      <c r="B39" s="26">
        <f>+'[2]production scheduler'!D18</f>
        <v>0</v>
      </c>
      <c r="C39" s="26"/>
      <c r="D39" s="26">
        <f>+'[2]production scheduler'!E18</f>
        <v>0</v>
      </c>
      <c r="E39" s="26"/>
      <c r="F39" s="26">
        <f>+'[2]production scheduler'!F18</f>
        <v>0</v>
      </c>
      <c r="G39" s="26"/>
      <c r="H39" s="26">
        <f>+'[2]production scheduler'!G18</f>
        <v>0</v>
      </c>
      <c r="I39" s="26"/>
      <c r="J39" s="26">
        <f>+'[2]production scheduler'!H18</f>
        <v>0</v>
      </c>
      <c r="K39" s="26"/>
      <c r="L39" s="26">
        <f>+'[2]production scheduler'!I18</f>
        <v>0</v>
      </c>
      <c r="M39" s="26"/>
      <c r="N39" s="26">
        <f>+'[2]production scheduler'!J18</f>
        <v>0</v>
      </c>
      <c r="O39" s="26"/>
      <c r="P39" s="26">
        <f>+'[2]production scheduler'!K18</f>
        <v>0</v>
      </c>
      <c r="Q39" s="26"/>
      <c r="R39" s="26">
        <f>+'[2]production scheduler'!L18</f>
        <v>0</v>
      </c>
      <c r="S39" s="26"/>
      <c r="T39" s="26">
        <f>+'[2]production scheduler'!M18</f>
        <v>0</v>
      </c>
      <c r="U39" s="26"/>
      <c r="V39" s="26">
        <f>+'[2]production scheduler'!N18</f>
        <v>0</v>
      </c>
      <c r="W39" s="26"/>
      <c r="X39" s="26">
        <f>+'[2]production scheduler'!O18</f>
        <v>0</v>
      </c>
      <c r="Y39" s="12"/>
      <c r="Z39" s="7">
        <f t="shared" si="77"/>
        <v>0</v>
      </c>
      <c r="AA39" s="51"/>
      <c r="AB39" s="51"/>
    </row>
    <row r="40" spans="1:28" ht="20.100000000000001" customHeight="1" x14ac:dyDescent="0.25">
      <c r="A40" s="3" t="s">
        <v>33</v>
      </c>
      <c r="B40" s="16">
        <f t="shared" ref="B40:Z40" si="79">SUM(B33:B39)</f>
        <v>10500</v>
      </c>
      <c r="C40" s="16"/>
      <c r="D40" s="16">
        <f t="shared" si="79"/>
        <v>11200</v>
      </c>
      <c r="E40" s="16"/>
      <c r="F40" s="16">
        <f t="shared" si="79"/>
        <v>6300</v>
      </c>
      <c r="G40" s="16"/>
      <c r="H40" s="16">
        <f t="shared" si="79"/>
        <v>4200</v>
      </c>
      <c r="I40" s="16"/>
      <c r="J40" s="16">
        <f t="shared" si="79"/>
        <v>4200</v>
      </c>
      <c r="K40" s="16"/>
      <c r="L40" s="16">
        <f t="shared" si="79"/>
        <v>10500</v>
      </c>
      <c r="M40" s="16"/>
      <c r="N40" s="16">
        <f t="shared" si="79"/>
        <v>8400</v>
      </c>
      <c r="O40" s="16"/>
      <c r="P40" s="16">
        <f t="shared" si="79"/>
        <v>8400</v>
      </c>
      <c r="Q40" s="16"/>
      <c r="R40" s="16">
        <f t="shared" si="79"/>
        <v>10500</v>
      </c>
      <c r="S40" s="16"/>
      <c r="T40" s="16">
        <f t="shared" si="79"/>
        <v>11200</v>
      </c>
      <c r="U40" s="16"/>
      <c r="V40" s="16">
        <f t="shared" si="79"/>
        <v>21000</v>
      </c>
      <c r="W40" s="16"/>
      <c r="X40" s="16">
        <f t="shared" si="79"/>
        <v>0</v>
      </c>
      <c r="Y40" s="16"/>
      <c r="Z40" s="17">
        <f t="shared" si="79"/>
        <v>106499</v>
      </c>
      <c r="AA40" s="42"/>
      <c r="AB40" s="42"/>
    </row>
    <row r="41" spans="1:28" ht="20.100000000000001" customHeight="1" x14ac:dyDescent="0.25">
      <c r="A41" s="41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42"/>
      <c r="AA41" s="42"/>
      <c r="AB41" s="42"/>
    </row>
    <row r="42" spans="1:28" s="1" customFormat="1" ht="20.100000000000001" customHeight="1" x14ac:dyDescent="0.25">
      <c r="A42" s="3" t="s">
        <v>34</v>
      </c>
      <c r="B42" s="17">
        <f t="shared" ref="B42:X42" si="80">B30+B40</f>
        <v>109550</v>
      </c>
      <c r="C42" s="17"/>
      <c r="D42" s="17">
        <f t="shared" si="80"/>
        <v>118575</v>
      </c>
      <c r="E42" s="17"/>
      <c r="F42" s="17">
        <f t="shared" si="80"/>
        <v>146375</v>
      </c>
      <c r="G42" s="17"/>
      <c r="H42" s="17">
        <f t="shared" si="80"/>
        <v>132300</v>
      </c>
      <c r="I42" s="17"/>
      <c r="J42" s="17">
        <f t="shared" si="80"/>
        <v>86200</v>
      </c>
      <c r="K42" s="17"/>
      <c r="L42" s="17">
        <f t="shared" si="80"/>
        <v>122850</v>
      </c>
      <c r="M42" s="17"/>
      <c r="N42" s="17">
        <f t="shared" si="80"/>
        <v>126675</v>
      </c>
      <c r="O42" s="17"/>
      <c r="P42" s="17">
        <f t="shared" si="80"/>
        <v>121150</v>
      </c>
      <c r="Q42" s="17"/>
      <c r="R42" s="17">
        <f t="shared" si="80"/>
        <v>114150</v>
      </c>
      <c r="S42" s="17"/>
      <c r="T42" s="17">
        <f t="shared" si="80"/>
        <v>123950</v>
      </c>
      <c r="U42" s="17"/>
      <c r="V42" s="17">
        <f t="shared" si="80"/>
        <v>152650</v>
      </c>
      <c r="W42" s="17"/>
      <c r="X42" s="17">
        <f t="shared" si="80"/>
        <v>151375</v>
      </c>
      <c r="Y42" s="17"/>
      <c r="Z42" s="17">
        <f>Z30+Z40</f>
        <v>1505899</v>
      </c>
      <c r="AA42" s="42"/>
      <c r="AB42" s="42"/>
    </row>
    <row r="43" spans="1:28" ht="20.25" customHeight="1" x14ac:dyDescent="0.25">
      <c r="B43" s="44"/>
      <c r="C43" s="44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 spans="1:28" ht="20.25" customHeight="1" x14ac:dyDescent="0.25"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 spans="1:28" ht="20.25" customHeight="1" x14ac:dyDescent="0.25">
      <c r="A45" s="1" t="s">
        <v>35</v>
      </c>
      <c r="B45" s="15">
        <f>B7+B8+B35</f>
        <v>53900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 spans="1:28" ht="20.25" customHeight="1" x14ac:dyDescent="0.25"/>
    <row r="47" spans="1:28" ht="20.25" customHeight="1" x14ac:dyDescent="0.25">
      <c r="A47" s="1" t="s">
        <v>36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 spans="1:28" ht="20.25" customHeight="1" x14ac:dyDescent="0.25">
      <c r="A48" t="s">
        <v>37</v>
      </c>
      <c r="B48" s="45">
        <f>'[2]PhasedP&amp;L'!N31*1000</f>
        <v>5781397.3066666666</v>
      </c>
      <c r="C48" s="45"/>
      <c r="D48" s="46">
        <f>B48/Z30</f>
        <v>4.1313400790815109</v>
      </c>
      <c r="E48" s="46"/>
    </row>
    <row r="49" spans="1:5" ht="20.25" customHeight="1" x14ac:dyDescent="0.25">
      <c r="A49" t="s">
        <v>38</v>
      </c>
      <c r="B49" s="47">
        <f>'[2]PhasedP&amp;L'!N32*1000</f>
        <v>2592887.7857180079</v>
      </c>
      <c r="C49" s="47"/>
      <c r="D49" s="45">
        <f>B49/Z16</f>
        <v>2.0218236856937954</v>
      </c>
      <c r="E49" s="45"/>
    </row>
    <row r="50" spans="1:5" ht="20.25" customHeight="1" x14ac:dyDescent="0.25">
      <c r="A50" t="s">
        <v>39</v>
      </c>
      <c r="B50" s="47">
        <f>'[2]PhasedP&amp;L'!N33*1000</f>
        <v>4855329.7552705063</v>
      </c>
      <c r="C50" s="47"/>
      <c r="D50" s="48">
        <f t="shared" ref="D50:D55" si="81">B50/$Z$30</f>
        <v>3.4695796450410934</v>
      </c>
      <c r="E50" s="48"/>
    </row>
    <row r="51" spans="1:5" ht="20.25" customHeight="1" x14ac:dyDescent="0.25">
      <c r="A51" t="s">
        <v>40</v>
      </c>
      <c r="B51" s="47">
        <f>'[2]PhasedP&amp;L'!N34*1000</f>
        <v>770051.43190381408</v>
      </c>
      <c r="C51" s="47"/>
      <c r="D51" s="48">
        <f t="shared" si="81"/>
        <v>0.5502725681747993</v>
      </c>
      <c r="E51" s="48"/>
    </row>
    <row r="52" spans="1:5" ht="20.25" customHeight="1" x14ac:dyDescent="0.25">
      <c r="A52" t="s">
        <v>41</v>
      </c>
      <c r="B52" s="47">
        <f>'[2]PhasedP&amp;L'!N35*1000</f>
        <v>488680.85845303728</v>
      </c>
      <c r="C52" s="47"/>
      <c r="D52" s="48">
        <f t="shared" si="81"/>
        <v>0.34920741635918057</v>
      </c>
      <c r="E52" s="48"/>
    </row>
    <row r="53" spans="1:5" ht="20.25" customHeight="1" x14ac:dyDescent="0.25">
      <c r="A53" t="s">
        <v>42</v>
      </c>
      <c r="B53" s="47">
        <f>('[2]Purchasing '!P233+'[2]Logistics '!P128)</f>
        <v>2143117.2414182359</v>
      </c>
      <c r="C53" s="47"/>
      <c r="D53" s="48">
        <f t="shared" si="81"/>
        <v>1.5314543671703844</v>
      </c>
      <c r="E53" s="48"/>
    </row>
    <row r="54" spans="1:5" ht="20.25" customHeight="1" x14ac:dyDescent="0.25">
      <c r="A54" t="s">
        <v>43</v>
      </c>
      <c r="B54" s="47">
        <f>'[2]PhasedP&amp;L'!N37*1000</f>
        <v>1638869.014370258</v>
      </c>
      <c r="C54" s="47"/>
      <c r="D54" s="48">
        <f t="shared" si="81"/>
        <v>1.1711226342505774</v>
      </c>
      <c r="E54" s="48"/>
    </row>
    <row r="55" spans="1:5" ht="20.25" customHeight="1" x14ac:dyDescent="0.25">
      <c r="A55" t="s">
        <v>44</v>
      </c>
      <c r="B55" s="47">
        <f>'[2]PhasedP&amp;L'!N38*1000</f>
        <v>2984370.6592638907</v>
      </c>
      <c r="C55" s="47"/>
      <c r="D55" s="48">
        <f t="shared" si="81"/>
        <v>2.132607302603895</v>
      </c>
      <c r="E55" s="48"/>
    </row>
    <row r="56" spans="1:5" ht="20.25" customHeight="1" x14ac:dyDescent="0.25">
      <c r="A56" t="s">
        <v>7</v>
      </c>
      <c r="B56" s="49"/>
      <c r="C56" s="49"/>
      <c r="D56" s="50">
        <f>SUM(D48:D55)</f>
        <v>15.357407698375237</v>
      </c>
      <c r="E56" s="45"/>
    </row>
    <row r="57" spans="1:5" ht="20.25" customHeight="1" x14ac:dyDescent="0.25">
      <c r="A57" t="s">
        <v>45</v>
      </c>
      <c r="B57" s="49"/>
      <c r="C57" s="49"/>
      <c r="D57" s="48">
        <f>D56-D49</f>
        <v>13.335584012681441</v>
      </c>
      <c r="E57" s="48"/>
    </row>
  </sheetData>
  <printOptions horizontalCentered="1" verticalCentered="1"/>
  <pageMargins left="0.75" right="0.75" top="1" bottom="1" header="0.5" footer="0.5"/>
  <pageSetup scale="39" orientation="landscape" r:id="rId1"/>
  <headerFooter alignWithMargins="0">
    <oddHeader>&amp;L&amp;"Times New Roman,Bold"&amp;12Grenada Breweries Ltd.
Production Volumes
Corporate Plan 2011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30712-F848-486A-B910-4051F756F19F}">
  <dimension ref="A1:Q50"/>
  <sheetViews>
    <sheetView topLeftCell="A27" workbookViewId="0">
      <selection activeCell="P16" sqref="P16"/>
    </sheetView>
  </sheetViews>
  <sheetFormatPr defaultRowHeight="13.2" x14ac:dyDescent="0.25"/>
  <cols>
    <col min="1" max="1" width="10.33203125" bestFit="1" customWidth="1"/>
    <col min="2" max="2" width="21.6640625" bestFit="1" customWidth="1"/>
    <col min="3" max="4" width="10.44140625" bestFit="1" customWidth="1"/>
    <col min="5" max="6" width="11.44140625" bestFit="1" customWidth="1"/>
    <col min="7" max="7" width="10.44140625" bestFit="1" customWidth="1"/>
    <col min="8" max="9" width="11.44140625" bestFit="1" customWidth="1"/>
    <col min="10" max="10" width="13.109375" bestFit="1" customWidth="1"/>
    <col min="11" max="11" width="10.44140625" bestFit="1" customWidth="1"/>
    <col min="12" max="14" width="11.44140625" bestFit="1" customWidth="1"/>
    <col min="15" max="15" width="13.109375" bestFit="1" customWidth="1"/>
    <col min="16" max="16" width="14" customWidth="1"/>
  </cols>
  <sheetData>
    <row r="1" spans="1:17" ht="13.8" thickBot="1" x14ac:dyDescent="0.3">
      <c r="A1" s="91" t="s">
        <v>69</v>
      </c>
      <c r="B1" s="1" t="s">
        <v>73</v>
      </c>
    </row>
    <row r="2" spans="1:17" ht="13.8" thickBot="1" x14ac:dyDescent="0.3">
      <c r="A2" s="102" t="s">
        <v>48</v>
      </c>
      <c r="B2" s="103" t="s">
        <v>0</v>
      </c>
      <c r="C2" s="104" t="s">
        <v>1</v>
      </c>
      <c r="D2" s="104" t="s">
        <v>2</v>
      </c>
      <c r="E2" s="104" t="s">
        <v>3</v>
      </c>
      <c r="F2" s="104" t="s">
        <v>4</v>
      </c>
      <c r="G2" s="104" t="s">
        <v>5</v>
      </c>
      <c r="H2" s="104" t="s">
        <v>6</v>
      </c>
      <c r="I2" s="104" t="s">
        <v>59</v>
      </c>
      <c r="J2" s="104" t="s">
        <v>60</v>
      </c>
      <c r="K2" s="104" t="s">
        <v>61</v>
      </c>
      <c r="L2" s="104" t="s">
        <v>62</v>
      </c>
      <c r="M2" s="104" t="s">
        <v>63</v>
      </c>
      <c r="N2" s="105" t="s">
        <v>64</v>
      </c>
      <c r="O2" s="60" t="s">
        <v>68</v>
      </c>
      <c r="P2" s="92" t="s">
        <v>48</v>
      </c>
    </row>
    <row r="3" spans="1:17" x14ac:dyDescent="0.25">
      <c r="A3" s="99">
        <v>770</v>
      </c>
      <c r="B3" s="97" t="s">
        <v>10</v>
      </c>
      <c r="C3" s="6">
        <v>60</v>
      </c>
      <c r="D3" s="6">
        <v>60</v>
      </c>
      <c r="E3" s="6">
        <v>98.142857142857139</v>
      </c>
      <c r="F3" s="6">
        <v>87.142857142857139</v>
      </c>
      <c r="G3" s="6">
        <v>43.714285714285715</v>
      </c>
      <c r="H3" s="6">
        <v>72</v>
      </c>
      <c r="I3" s="6">
        <v>70</v>
      </c>
      <c r="J3" s="6">
        <v>67</v>
      </c>
      <c r="K3" s="6">
        <v>64</v>
      </c>
      <c r="L3" s="118">
        <f>71+99</f>
        <v>170</v>
      </c>
      <c r="M3" s="6">
        <v>99</v>
      </c>
      <c r="N3" s="89">
        <v>68</v>
      </c>
      <c r="O3" s="94">
        <f>SUM(C3:N3)</f>
        <v>959</v>
      </c>
      <c r="P3" s="93">
        <f>O3*A3</f>
        <v>738430</v>
      </c>
    </row>
    <row r="4" spans="1:17" x14ac:dyDescent="0.25">
      <c r="A4" s="99">
        <v>770</v>
      </c>
      <c r="B4" s="97" t="s">
        <v>11</v>
      </c>
      <c r="C4" s="6">
        <v>3</v>
      </c>
      <c r="D4" s="6">
        <v>3</v>
      </c>
      <c r="E4" s="6">
        <v>3</v>
      </c>
      <c r="F4" s="6">
        <v>1</v>
      </c>
      <c r="G4" s="6">
        <v>0</v>
      </c>
      <c r="H4" s="6">
        <v>3</v>
      </c>
      <c r="I4" s="6">
        <v>3</v>
      </c>
      <c r="J4" s="6">
        <v>2</v>
      </c>
      <c r="K4" s="6">
        <v>2</v>
      </c>
      <c r="L4" s="6">
        <v>2</v>
      </c>
      <c r="M4" s="6">
        <v>3</v>
      </c>
      <c r="N4" s="89">
        <v>3</v>
      </c>
      <c r="O4" s="94">
        <f t="shared" ref="O4:O11" si="0">SUM(C4:N4)</f>
        <v>28</v>
      </c>
      <c r="P4" s="93">
        <f t="shared" ref="P4:P11" si="1">O4*A4</f>
        <v>21560</v>
      </c>
    </row>
    <row r="5" spans="1:17" x14ac:dyDescent="0.25">
      <c r="A5" s="99">
        <v>1032</v>
      </c>
      <c r="B5" s="97" t="s">
        <v>12</v>
      </c>
      <c r="C5" s="6">
        <v>9</v>
      </c>
      <c r="D5" s="6">
        <v>11</v>
      </c>
      <c r="E5" s="6">
        <v>12</v>
      </c>
      <c r="F5" s="6">
        <v>11</v>
      </c>
      <c r="G5" s="6">
        <v>11</v>
      </c>
      <c r="H5" s="6">
        <v>10</v>
      </c>
      <c r="I5" s="6">
        <v>11</v>
      </c>
      <c r="J5" s="6">
        <v>10</v>
      </c>
      <c r="K5" s="6">
        <v>8</v>
      </c>
      <c r="L5" s="6">
        <v>9</v>
      </c>
      <c r="M5" s="6">
        <v>10</v>
      </c>
      <c r="N5" s="89">
        <v>15</v>
      </c>
      <c r="O5" s="94">
        <f t="shared" si="0"/>
        <v>127</v>
      </c>
      <c r="P5" s="93">
        <f t="shared" si="1"/>
        <v>131064</v>
      </c>
    </row>
    <row r="6" spans="1:17" x14ac:dyDescent="0.25">
      <c r="A6" s="99"/>
      <c r="B6" s="97" t="s">
        <v>13</v>
      </c>
      <c r="C6" s="6">
        <v>3</v>
      </c>
      <c r="D6" s="6">
        <v>4</v>
      </c>
      <c r="E6" s="6">
        <v>4</v>
      </c>
      <c r="F6" s="6">
        <v>5</v>
      </c>
      <c r="G6" s="6">
        <v>4</v>
      </c>
      <c r="H6" s="6">
        <v>4</v>
      </c>
      <c r="I6" s="6">
        <v>2</v>
      </c>
      <c r="J6" s="6">
        <v>5</v>
      </c>
      <c r="K6" s="6">
        <v>3</v>
      </c>
      <c r="L6" s="6">
        <v>4</v>
      </c>
      <c r="M6" s="6">
        <v>3</v>
      </c>
      <c r="N6" s="89">
        <v>5</v>
      </c>
      <c r="O6" s="94">
        <f t="shared" si="0"/>
        <v>46</v>
      </c>
      <c r="P6" s="93">
        <f t="shared" si="1"/>
        <v>0</v>
      </c>
    </row>
    <row r="7" spans="1:17" x14ac:dyDescent="0.25">
      <c r="A7" s="99">
        <v>192</v>
      </c>
      <c r="B7" s="97" t="s">
        <v>14</v>
      </c>
      <c r="C7" s="6">
        <v>3.5714285714285716</v>
      </c>
      <c r="D7" s="6">
        <v>4.4642857142857144</v>
      </c>
      <c r="E7" s="6">
        <v>8.0357142857142865</v>
      </c>
      <c r="F7" s="6">
        <v>8.9285714285714288</v>
      </c>
      <c r="G7" s="6">
        <v>8.9285714285714288</v>
      </c>
      <c r="H7" s="6">
        <v>7.1428571428571432</v>
      </c>
      <c r="I7" s="6">
        <v>8.0357142857142865</v>
      </c>
      <c r="J7" s="6">
        <v>7.1428571428571432</v>
      </c>
      <c r="K7" s="6">
        <v>7.1428571428571432</v>
      </c>
      <c r="L7" s="6">
        <v>7.1428571428571432</v>
      </c>
      <c r="M7" s="6">
        <v>7.1428571428571432</v>
      </c>
      <c r="N7" s="89">
        <v>13.392857142857142</v>
      </c>
      <c r="O7" s="94">
        <f t="shared" si="0"/>
        <v>91.071428571428569</v>
      </c>
      <c r="P7" s="93">
        <f t="shared" si="1"/>
        <v>17485.714285714286</v>
      </c>
    </row>
    <row r="8" spans="1:17" x14ac:dyDescent="0.25">
      <c r="A8" s="99">
        <v>578</v>
      </c>
      <c r="B8" s="97" t="s">
        <v>15</v>
      </c>
      <c r="C8" s="6">
        <v>10</v>
      </c>
      <c r="D8" s="6">
        <v>10</v>
      </c>
      <c r="E8" s="6">
        <v>11</v>
      </c>
      <c r="F8" s="6">
        <v>10</v>
      </c>
      <c r="G8" s="6">
        <v>10</v>
      </c>
      <c r="H8" s="6">
        <v>8</v>
      </c>
      <c r="I8" s="6">
        <v>10</v>
      </c>
      <c r="J8" s="6">
        <v>9</v>
      </c>
      <c r="K8" s="6">
        <v>9</v>
      </c>
      <c r="L8" s="6">
        <v>9</v>
      </c>
      <c r="M8" s="6">
        <v>9</v>
      </c>
      <c r="N8" s="89">
        <v>21</v>
      </c>
      <c r="O8" s="94">
        <f t="shared" si="0"/>
        <v>126</v>
      </c>
      <c r="P8" s="93">
        <f t="shared" si="1"/>
        <v>72828</v>
      </c>
    </row>
    <row r="9" spans="1:17" x14ac:dyDescent="0.25">
      <c r="A9" s="100">
        <f>AVERAGE(788,1050,783)</f>
        <v>873.66666666666663</v>
      </c>
      <c r="B9" s="98" t="s">
        <v>66</v>
      </c>
      <c r="C9" s="6">
        <v>2</v>
      </c>
      <c r="D9" s="6">
        <v>1</v>
      </c>
      <c r="E9" s="6">
        <v>1</v>
      </c>
      <c r="F9" s="6">
        <v>2</v>
      </c>
      <c r="G9" s="6">
        <v>1</v>
      </c>
      <c r="H9" s="6">
        <v>1</v>
      </c>
      <c r="I9" s="6">
        <v>0</v>
      </c>
      <c r="J9" s="6">
        <v>1</v>
      </c>
      <c r="K9" s="6">
        <v>2</v>
      </c>
      <c r="L9" s="6">
        <v>1</v>
      </c>
      <c r="M9" s="6">
        <v>1</v>
      </c>
      <c r="N9" s="89">
        <v>1</v>
      </c>
      <c r="O9" s="94">
        <f t="shared" si="0"/>
        <v>14</v>
      </c>
      <c r="P9" s="93">
        <f t="shared" si="1"/>
        <v>12231.333333333332</v>
      </c>
    </row>
    <row r="10" spans="1:17" x14ac:dyDescent="0.25">
      <c r="A10" s="99">
        <v>635</v>
      </c>
      <c r="B10" s="97" t="s">
        <v>16</v>
      </c>
      <c r="C10" s="6">
        <v>35</v>
      </c>
      <c r="D10" s="6">
        <v>44</v>
      </c>
      <c r="E10" s="6">
        <v>46</v>
      </c>
      <c r="F10" s="6">
        <v>43</v>
      </c>
      <c r="G10" s="6">
        <v>24</v>
      </c>
      <c r="H10" s="6">
        <v>41</v>
      </c>
      <c r="I10" s="6">
        <v>48</v>
      </c>
      <c r="J10" s="6">
        <v>43</v>
      </c>
      <c r="K10" s="6">
        <v>38</v>
      </c>
      <c r="L10" s="6">
        <v>42</v>
      </c>
      <c r="M10" s="6">
        <v>39</v>
      </c>
      <c r="N10" s="89">
        <v>58</v>
      </c>
      <c r="O10" s="94">
        <f t="shared" si="0"/>
        <v>501</v>
      </c>
      <c r="P10" s="93">
        <f t="shared" si="1"/>
        <v>318135</v>
      </c>
    </row>
    <row r="11" spans="1:17" ht="13.8" thickBot="1" x14ac:dyDescent="0.3">
      <c r="A11" s="101">
        <v>800</v>
      </c>
      <c r="B11" s="97" t="s">
        <v>17</v>
      </c>
      <c r="C11" s="6">
        <v>3</v>
      </c>
      <c r="D11" s="6">
        <v>3</v>
      </c>
      <c r="E11" s="6">
        <v>4</v>
      </c>
      <c r="F11" s="6">
        <v>2</v>
      </c>
      <c r="G11" s="6">
        <v>2</v>
      </c>
      <c r="H11" s="6">
        <v>4</v>
      </c>
      <c r="I11" s="6">
        <v>4</v>
      </c>
      <c r="J11" s="6">
        <v>3</v>
      </c>
      <c r="K11" s="6">
        <v>2</v>
      </c>
      <c r="L11" s="6">
        <v>3</v>
      </c>
      <c r="M11" s="6">
        <v>3</v>
      </c>
      <c r="N11" s="89">
        <v>6</v>
      </c>
      <c r="O11" s="94">
        <f t="shared" si="0"/>
        <v>39</v>
      </c>
      <c r="P11" s="93">
        <f t="shared" si="1"/>
        <v>31200</v>
      </c>
    </row>
    <row r="12" spans="1:17" ht="13.8" thickBot="1" x14ac:dyDescent="0.3">
      <c r="B12" s="106" t="s">
        <v>18</v>
      </c>
      <c r="C12" s="107">
        <f>SUM(C3:C11)</f>
        <v>128.57142857142856</v>
      </c>
      <c r="D12" s="107">
        <f t="shared" ref="D12:P12" si="2">SUM(D3:D11)</f>
        <v>140.46428571428572</v>
      </c>
      <c r="E12" s="107">
        <f t="shared" si="2"/>
        <v>187.17857142857144</v>
      </c>
      <c r="F12" s="107">
        <f t="shared" si="2"/>
        <v>170.07142857142856</v>
      </c>
      <c r="G12" s="107">
        <f t="shared" si="2"/>
        <v>104.64285714285714</v>
      </c>
      <c r="H12" s="107">
        <f t="shared" si="2"/>
        <v>150.14285714285714</v>
      </c>
      <c r="I12" s="107">
        <f t="shared" si="2"/>
        <v>156.03571428571428</v>
      </c>
      <c r="J12" s="107">
        <f t="shared" si="2"/>
        <v>147.14285714285714</v>
      </c>
      <c r="K12" s="107">
        <f t="shared" si="2"/>
        <v>135.14285714285714</v>
      </c>
      <c r="L12" s="107">
        <f t="shared" si="2"/>
        <v>247.14285714285714</v>
      </c>
      <c r="M12" s="107">
        <f t="shared" si="2"/>
        <v>174.14285714285714</v>
      </c>
      <c r="N12" s="108">
        <f>SUM(N3:N11)</f>
        <v>190.39285714285714</v>
      </c>
      <c r="O12" s="95">
        <f t="shared" si="2"/>
        <v>1931.0714285714287</v>
      </c>
      <c r="P12" s="96">
        <f t="shared" si="2"/>
        <v>1342934.0476190476</v>
      </c>
    </row>
    <row r="13" spans="1:17" ht="13.8" thickBot="1" x14ac:dyDescent="0.3">
      <c r="B13" s="90" t="s">
        <v>48</v>
      </c>
      <c r="C13" s="109">
        <f>(C3*$A$3)+(C4*$A$4)+(C5*$A$5)+(C7*$A$7)+(C8*$A$8)+(C9*$A$9)+(C10*$A$10)+(C11*$A$11)</f>
        <v>90636.047619047618</v>
      </c>
      <c r="D13" s="109">
        <f>(D3*$A$3)+(D4*$A$4)+(D5*$A$5)+(D7*$A$7)+(D8*$A$8)+(D9*$A$9)+(D10*$A$10)+(D11*$A$11)</f>
        <v>97712.809523809527</v>
      </c>
      <c r="E13" s="109">
        <f t="shared" ref="E13:N13" si="3">(E3*$A$3)+(E4*$A$4)+(E5*$A$5)+(E7*$A$7)+(E8*$A$8)+(E9*$A$9)+(E10*$A$10)+(E11*$A$11)</f>
        <v>131448.52380952382</v>
      </c>
      <c r="F13" s="109">
        <f t="shared" si="3"/>
        <v>117368.61904761904</v>
      </c>
      <c r="G13" s="109">
        <f t="shared" si="3"/>
        <v>70219.952380952382</v>
      </c>
      <c r="H13" s="109">
        <f t="shared" si="3"/>
        <v>104174.09523809524</v>
      </c>
      <c r="I13" s="109">
        <f t="shared" si="3"/>
        <v>108564.85714285714</v>
      </c>
      <c r="J13" s="109">
        <f t="shared" si="3"/>
        <v>100602.09523809525</v>
      </c>
      <c r="K13" s="109">
        <f t="shared" si="3"/>
        <v>93126.761904761908</v>
      </c>
      <c r="L13" s="109">
        <f t="shared" si="3"/>
        <v>178245.09523809524</v>
      </c>
      <c r="M13" s="109">
        <f t="shared" si="3"/>
        <v>123472.09523809524</v>
      </c>
      <c r="N13" s="110">
        <f t="shared" si="3"/>
        <v>127363.09523809524</v>
      </c>
    </row>
    <row r="14" spans="1:17" x14ac:dyDescent="0.25">
      <c r="B14" s="111" t="s">
        <v>70</v>
      </c>
      <c r="C14" s="114">
        <f>C13/17200</f>
        <v>5.26953765227021</v>
      </c>
      <c r="D14" s="114">
        <f t="shared" ref="D14:N14" si="4">D13/17200</f>
        <v>5.680977297895903</v>
      </c>
      <c r="E14" s="114">
        <f t="shared" si="4"/>
        <v>7.6423560354374311</v>
      </c>
      <c r="F14" s="114">
        <f t="shared" si="4"/>
        <v>6.8237569213732003</v>
      </c>
      <c r="G14" s="114">
        <f t="shared" si="4"/>
        <v>4.0825553709856033</v>
      </c>
      <c r="H14" s="114">
        <f t="shared" si="4"/>
        <v>6.0566334440753042</v>
      </c>
      <c r="I14" s="114">
        <f t="shared" si="4"/>
        <v>6.3119102990033227</v>
      </c>
      <c r="J14" s="114">
        <f t="shared" si="4"/>
        <v>5.8489590254706538</v>
      </c>
      <c r="K14" s="114">
        <f t="shared" si="4"/>
        <v>5.4143466223698784</v>
      </c>
      <c r="L14" s="114">
        <f t="shared" si="4"/>
        <v>10.363086932447397</v>
      </c>
      <c r="M14" s="114">
        <f t="shared" si="4"/>
        <v>7.1786101882613513</v>
      </c>
      <c r="N14" s="114">
        <f t="shared" si="4"/>
        <v>7.4048311184939095</v>
      </c>
    </row>
    <row r="15" spans="1:17" x14ac:dyDescent="0.25">
      <c r="D15">
        <v>1</v>
      </c>
      <c r="O15" s="111" t="s">
        <v>70</v>
      </c>
      <c r="P15" s="112">
        <f>P12/17200</f>
        <v>78.077560908084166</v>
      </c>
      <c r="Q15" s="119">
        <v>73</v>
      </c>
    </row>
    <row r="16" spans="1:17" x14ac:dyDescent="0.25">
      <c r="D16" s="117">
        <f>D14*17300</f>
        <v>98280.907253599129</v>
      </c>
      <c r="E16" s="117">
        <f>E14*17300</f>
        <v>132212.75941306757</v>
      </c>
      <c r="F16" s="117">
        <f t="shared" ref="F16:N16" si="5">F14*17300</f>
        <v>118050.99473975637</v>
      </c>
      <c r="G16" s="117">
        <f t="shared" si="5"/>
        <v>70628.207918050932</v>
      </c>
      <c r="H16" s="117">
        <f t="shared" si="5"/>
        <v>104779.75858250276</v>
      </c>
      <c r="I16" s="117">
        <f t="shared" si="5"/>
        <v>109196.04817275748</v>
      </c>
      <c r="J16" s="117">
        <f t="shared" si="5"/>
        <v>101186.99114064231</v>
      </c>
      <c r="K16" s="117">
        <f t="shared" si="5"/>
        <v>93668.1965669989</v>
      </c>
      <c r="L16" s="117">
        <f t="shared" si="5"/>
        <v>179281.40393133997</v>
      </c>
      <c r="M16" s="117">
        <f t="shared" si="5"/>
        <v>124189.95625692137</v>
      </c>
      <c r="N16" s="117">
        <f t="shared" si="5"/>
        <v>128103.57834994464</v>
      </c>
      <c r="O16" s="117">
        <f>SUM(E16:N16)</f>
        <v>1161297.8950719824</v>
      </c>
      <c r="P16" s="120">
        <v>70</v>
      </c>
    </row>
    <row r="17" spans="1:16" ht="13.8" thickBot="1" x14ac:dyDescent="0.3">
      <c r="A17" s="91" t="s">
        <v>69</v>
      </c>
      <c r="B17" s="1" t="s">
        <v>71</v>
      </c>
    </row>
    <row r="18" spans="1:16" ht="13.8" thickBot="1" x14ac:dyDescent="0.3">
      <c r="A18" s="102" t="s">
        <v>48</v>
      </c>
      <c r="B18" s="103" t="s">
        <v>0</v>
      </c>
      <c r="C18" s="104" t="s">
        <v>1</v>
      </c>
      <c r="D18" s="104" t="s">
        <v>2</v>
      </c>
      <c r="E18" s="104" t="s">
        <v>3</v>
      </c>
      <c r="F18" s="104" t="s">
        <v>4</v>
      </c>
      <c r="G18" s="104" t="s">
        <v>5</v>
      </c>
      <c r="H18" s="104" t="s">
        <v>6</v>
      </c>
      <c r="I18" s="104" t="s">
        <v>59</v>
      </c>
      <c r="J18" s="104" t="s">
        <v>60</v>
      </c>
      <c r="K18" s="104" t="s">
        <v>61</v>
      </c>
      <c r="L18" s="104" t="s">
        <v>62</v>
      </c>
      <c r="M18" s="104" t="s">
        <v>63</v>
      </c>
      <c r="N18" s="105" t="s">
        <v>64</v>
      </c>
      <c r="O18" s="60" t="s">
        <v>68</v>
      </c>
      <c r="P18" s="92" t="s">
        <v>48</v>
      </c>
    </row>
    <row r="19" spans="1:16" x14ac:dyDescent="0.25">
      <c r="A19" s="99">
        <v>770</v>
      </c>
      <c r="B19" s="97" t="s">
        <v>10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89"/>
      <c r="O19" s="94">
        <f>SUM(C19:N19)</f>
        <v>0</v>
      </c>
      <c r="P19" s="93">
        <f>O19*A19</f>
        <v>0</v>
      </c>
    </row>
    <row r="20" spans="1:16" x14ac:dyDescent="0.25">
      <c r="A20" s="99">
        <v>770</v>
      </c>
      <c r="B20" s="97" t="s">
        <v>11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89"/>
      <c r="O20" s="94">
        <f t="shared" ref="O20:O27" si="6">SUM(C20:N20)</f>
        <v>0</v>
      </c>
      <c r="P20" s="93">
        <f t="shared" ref="P20:P27" si="7">O20*A20</f>
        <v>0</v>
      </c>
    </row>
    <row r="21" spans="1:16" x14ac:dyDescent="0.25">
      <c r="A21" s="99">
        <v>1032</v>
      </c>
      <c r="B21" s="97" t="s">
        <v>12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89"/>
      <c r="O21" s="94">
        <f t="shared" si="6"/>
        <v>0</v>
      </c>
      <c r="P21" s="93">
        <f t="shared" si="7"/>
        <v>0</v>
      </c>
    </row>
    <row r="22" spans="1:16" x14ac:dyDescent="0.25">
      <c r="A22" s="99"/>
      <c r="B22" s="97" t="s">
        <v>13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89"/>
      <c r="O22" s="94">
        <f t="shared" si="6"/>
        <v>0</v>
      </c>
      <c r="P22" s="93">
        <f t="shared" si="7"/>
        <v>0</v>
      </c>
    </row>
    <row r="23" spans="1:16" x14ac:dyDescent="0.25">
      <c r="A23" s="99">
        <v>192</v>
      </c>
      <c r="B23" s="97" t="s">
        <v>14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89"/>
      <c r="O23" s="94">
        <f t="shared" si="6"/>
        <v>0</v>
      </c>
      <c r="P23" s="93">
        <f t="shared" si="7"/>
        <v>0</v>
      </c>
    </row>
    <row r="24" spans="1:16" x14ac:dyDescent="0.25">
      <c r="A24" s="99">
        <v>578</v>
      </c>
      <c r="B24" s="97" t="s">
        <v>15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89"/>
      <c r="O24" s="94">
        <f t="shared" si="6"/>
        <v>0</v>
      </c>
      <c r="P24" s="93">
        <f t="shared" si="7"/>
        <v>0</v>
      </c>
    </row>
    <row r="25" spans="1:16" x14ac:dyDescent="0.25">
      <c r="A25" s="100">
        <f>AVERAGE(788,1050,783)</f>
        <v>873.66666666666663</v>
      </c>
      <c r="B25" s="98" t="s">
        <v>66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89"/>
      <c r="O25" s="94">
        <f t="shared" si="6"/>
        <v>0</v>
      </c>
      <c r="P25" s="93">
        <f t="shared" si="7"/>
        <v>0</v>
      </c>
    </row>
    <row r="26" spans="1:16" x14ac:dyDescent="0.25">
      <c r="A26" s="99">
        <v>635</v>
      </c>
      <c r="B26" s="97" t="s">
        <v>16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89"/>
      <c r="O26" s="94">
        <f t="shared" si="6"/>
        <v>0</v>
      </c>
      <c r="P26" s="93">
        <f t="shared" si="7"/>
        <v>0</v>
      </c>
    </row>
    <row r="27" spans="1:16" ht="13.8" thickBot="1" x14ac:dyDescent="0.3">
      <c r="A27" s="101">
        <v>800</v>
      </c>
      <c r="B27" s="97" t="s">
        <v>17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89"/>
      <c r="O27" s="94">
        <f t="shared" si="6"/>
        <v>0</v>
      </c>
      <c r="P27" s="93">
        <f t="shared" si="7"/>
        <v>0</v>
      </c>
    </row>
    <row r="28" spans="1:16" ht="13.8" thickBot="1" x14ac:dyDescent="0.3">
      <c r="B28" s="106" t="s">
        <v>18</v>
      </c>
      <c r="C28" s="107">
        <f>SUM(C19:C27)</f>
        <v>0</v>
      </c>
      <c r="D28" s="107">
        <f t="shared" ref="D28" si="8">SUM(D19:D27)</f>
        <v>0</v>
      </c>
      <c r="E28" s="107">
        <f t="shared" ref="E28" si="9">SUM(E19:E27)</f>
        <v>0</v>
      </c>
      <c r="F28" s="107">
        <f t="shared" ref="F28" si="10">SUM(F19:F27)</f>
        <v>0</v>
      </c>
      <c r="G28" s="107">
        <f t="shared" ref="G28" si="11">SUM(G19:G27)</f>
        <v>0</v>
      </c>
      <c r="H28" s="107">
        <f t="shared" ref="H28" si="12">SUM(H19:H27)</f>
        <v>0</v>
      </c>
      <c r="I28" s="107">
        <f t="shared" ref="I28" si="13">SUM(I19:I27)</f>
        <v>0</v>
      </c>
      <c r="J28" s="107">
        <f t="shared" ref="J28" si="14">SUM(J19:J27)</f>
        <v>0</v>
      </c>
      <c r="K28" s="107">
        <f t="shared" ref="K28" si="15">SUM(K19:K27)</f>
        <v>0</v>
      </c>
      <c r="L28" s="107">
        <f t="shared" ref="L28" si="16">SUM(L19:L27)</f>
        <v>0</v>
      </c>
      <c r="M28" s="107">
        <f t="shared" ref="M28" si="17">SUM(M19:M27)</f>
        <v>0</v>
      </c>
      <c r="N28" s="108">
        <f>SUM(N19:N27)</f>
        <v>0</v>
      </c>
      <c r="O28" s="95">
        <f t="shared" ref="O28" si="18">SUM(O19:O27)</f>
        <v>0</v>
      </c>
      <c r="P28" s="96">
        <f t="shared" ref="P28" si="19">SUM(P19:P27)</f>
        <v>0</v>
      </c>
    </row>
    <row r="29" spans="1:16" ht="13.8" thickBot="1" x14ac:dyDescent="0.3">
      <c r="B29" s="90" t="s">
        <v>48</v>
      </c>
      <c r="C29" s="109">
        <f t="shared" ref="C29:N29" si="20">(C19*$A$3)+(C20*$A$4)+(C21*$A$5)+(C23*$A$7)+(C24*$A$8)+(C25*$A$9)+(C26*$A$10)+(C27*$A$11)</f>
        <v>0</v>
      </c>
      <c r="D29" s="109">
        <f t="shared" si="20"/>
        <v>0</v>
      </c>
      <c r="E29" s="109">
        <f t="shared" si="20"/>
        <v>0</v>
      </c>
      <c r="F29" s="109">
        <f t="shared" si="20"/>
        <v>0</v>
      </c>
      <c r="G29" s="109">
        <f t="shared" si="20"/>
        <v>0</v>
      </c>
      <c r="H29" s="109">
        <f t="shared" si="20"/>
        <v>0</v>
      </c>
      <c r="I29" s="109">
        <f t="shared" si="20"/>
        <v>0</v>
      </c>
      <c r="J29" s="109">
        <f t="shared" si="20"/>
        <v>0</v>
      </c>
      <c r="K29" s="109">
        <f t="shared" si="20"/>
        <v>0</v>
      </c>
      <c r="L29" s="109">
        <f t="shared" si="20"/>
        <v>0</v>
      </c>
      <c r="M29" s="109">
        <f t="shared" si="20"/>
        <v>0</v>
      </c>
      <c r="N29" s="110">
        <f t="shared" si="20"/>
        <v>0</v>
      </c>
    </row>
    <row r="30" spans="1:16" x14ac:dyDescent="0.25">
      <c r="B30" s="111" t="s">
        <v>70</v>
      </c>
      <c r="C30" s="114">
        <f>C29/17200</f>
        <v>0</v>
      </c>
      <c r="D30" s="114">
        <f t="shared" ref="D30" si="21">D29/17200</f>
        <v>0</v>
      </c>
      <c r="E30" s="114">
        <f t="shared" ref="E30" si="22">E29/17200</f>
        <v>0</v>
      </c>
      <c r="F30" s="114">
        <f t="shared" ref="F30" si="23">F29/17200</f>
        <v>0</v>
      </c>
      <c r="G30" s="114">
        <f t="shared" ref="G30" si="24">G29/17200</f>
        <v>0</v>
      </c>
      <c r="H30" s="114">
        <f t="shared" ref="H30" si="25">H29/17200</f>
        <v>0</v>
      </c>
      <c r="I30" s="114">
        <f t="shared" ref="I30" si="26">I29/17200</f>
        <v>0</v>
      </c>
      <c r="J30" s="114">
        <f t="shared" ref="J30" si="27">J29/17200</f>
        <v>0</v>
      </c>
      <c r="K30" s="114">
        <f t="shared" ref="K30" si="28">K29/17200</f>
        <v>0</v>
      </c>
      <c r="L30" s="114">
        <f t="shared" ref="L30" si="29">L29/17200</f>
        <v>0</v>
      </c>
      <c r="M30" s="114">
        <f t="shared" ref="M30" si="30">M29/17200</f>
        <v>0</v>
      </c>
      <c r="N30" s="114">
        <f t="shared" ref="N30" si="31">N29/17200</f>
        <v>0</v>
      </c>
    </row>
    <row r="31" spans="1:16" ht="13.2" customHeight="1" x14ac:dyDescent="0.25">
      <c r="B31" s="115"/>
    </row>
    <row r="34" spans="1:16" ht="13.8" thickBot="1" x14ac:dyDescent="0.3">
      <c r="A34" s="91" t="s">
        <v>69</v>
      </c>
      <c r="B34" s="1" t="s">
        <v>72</v>
      </c>
    </row>
    <row r="35" spans="1:16" ht="13.8" thickBot="1" x14ac:dyDescent="0.3">
      <c r="A35" s="102" t="s">
        <v>48</v>
      </c>
      <c r="B35" s="103" t="s">
        <v>75</v>
      </c>
      <c r="C35" s="104" t="s">
        <v>1</v>
      </c>
      <c r="D35" s="104" t="s">
        <v>2</v>
      </c>
      <c r="E35" s="104" t="s">
        <v>3</v>
      </c>
      <c r="F35" s="104" t="s">
        <v>4</v>
      </c>
      <c r="G35" s="104" t="s">
        <v>5</v>
      </c>
      <c r="H35" s="104" t="s">
        <v>6</v>
      </c>
      <c r="I35" s="104" t="s">
        <v>59</v>
      </c>
      <c r="J35" s="104" t="s">
        <v>60</v>
      </c>
      <c r="K35" s="104" t="s">
        <v>61</v>
      </c>
      <c r="L35" s="104" t="s">
        <v>62</v>
      </c>
      <c r="M35" s="104" t="s">
        <v>63</v>
      </c>
      <c r="N35" s="105" t="s">
        <v>64</v>
      </c>
      <c r="O35" s="60" t="s">
        <v>74</v>
      </c>
      <c r="P35" s="92" t="s">
        <v>48</v>
      </c>
    </row>
    <row r="36" spans="1:16" x14ac:dyDescent="0.25">
      <c r="A36" s="99">
        <v>770</v>
      </c>
      <c r="B36" s="97" t="s">
        <v>10</v>
      </c>
      <c r="C36" s="6">
        <v>70</v>
      </c>
      <c r="D36" s="6">
        <v>81</v>
      </c>
      <c r="E36" s="6">
        <v>85</v>
      </c>
      <c r="F36" s="6">
        <v>66</v>
      </c>
      <c r="G36" s="6">
        <v>84</v>
      </c>
      <c r="H36" s="6">
        <v>86</v>
      </c>
      <c r="I36" s="6">
        <v>74</v>
      </c>
      <c r="J36" s="6">
        <v>84</v>
      </c>
      <c r="K36" s="6">
        <v>82</v>
      </c>
      <c r="L36" s="6">
        <v>90</v>
      </c>
      <c r="M36" s="6">
        <v>90</v>
      </c>
      <c r="N36" s="89"/>
      <c r="O36" s="94">
        <f>SUM(C36:N36)</f>
        <v>892</v>
      </c>
      <c r="P36" s="93">
        <f>O36*A36</f>
        <v>686840</v>
      </c>
    </row>
    <row r="37" spans="1:16" x14ac:dyDescent="0.25">
      <c r="A37" s="99">
        <v>770</v>
      </c>
      <c r="B37" s="97" t="s">
        <v>11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89"/>
      <c r="O37" s="94">
        <f t="shared" ref="O37:O44" si="32">SUM(C37:N37)</f>
        <v>0</v>
      </c>
      <c r="P37" s="93">
        <f t="shared" ref="P37:P44" si="33">O37*A37</f>
        <v>0</v>
      </c>
    </row>
    <row r="38" spans="1:16" x14ac:dyDescent="0.25">
      <c r="A38" s="99">
        <v>1032</v>
      </c>
      <c r="B38" s="97" t="s">
        <v>12</v>
      </c>
      <c r="C38" s="6">
        <v>8</v>
      </c>
      <c r="D38" s="6">
        <v>14</v>
      </c>
      <c r="E38" s="6">
        <v>12</v>
      </c>
      <c r="F38" s="6">
        <v>9</v>
      </c>
      <c r="G38" s="6">
        <v>16</v>
      </c>
      <c r="H38" s="6"/>
      <c r="I38" s="6">
        <v>16</v>
      </c>
      <c r="J38" s="6">
        <v>12</v>
      </c>
      <c r="K38" s="6">
        <v>4</v>
      </c>
      <c r="L38" s="6">
        <v>16</v>
      </c>
      <c r="M38" s="6">
        <v>8</v>
      </c>
      <c r="N38" s="89"/>
      <c r="O38" s="94">
        <f t="shared" si="32"/>
        <v>115</v>
      </c>
      <c r="P38" s="93">
        <f t="shared" si="33"/>
        <v>118680</v>
      </c>
    </row>
    <row r="39" spans="1:16" x14ac:dyDescent="0.25">
      <c r="A39" s="99"/>
      <c r="B39" s="97" t="s">
        <v>13</v>
      </c>
      <c r="C39" s="6">
        <v>4</v>
      </c>
      <c r="D39" s="6"/>
      <c r="E39" s="6">
        <v>2</v>
      </c>
      <c r="F39" s="6">
        <v>2</v>
      </c>
      <c r="G39" s="6"/>
      <c r="H39" s="6"/>
      <c r="I39" s="6">
        <v>2</v>
      </c>
      <c r="J39" s="6"/>
      <c r="K39" s="6">
        <v>4</v>
      </c>
      <c r="L39" s="6"/>
      <c r="M39" s="6">
        <v>14</v>
      </c>
      <c r="N39" s="89"/>
      <c r="O39" s="94">
        <f t="shared" si="32"/>
        <v>28</v>
      </c>
      <c r="P39" s="93">
        <f t="shared" si="33"/>
        <v>0</v>
      </c>
    </row>
    <row r="40" spans="1:16" x14ac:dyDescent="0.25">
      <c r="A40" s="99">
        <v>192</v>
      </c>
      <c r="B40" s="97" t="s">
        <v>14</v>
      </c>
      <c r="C40" s="6">
        <v>10</v>
      </c>
      <c r="D40" s="6">
        <v>4</v>
      </c>
      <c r="E40" s="6">
        <v>4</v>
      </c>
      <c r="F40" s="6">
        <v>8</v>
      </c>
      <c r="G40" s="6">
        <v>12</v>
      </c>
      <c r="H40" s="6">
        <v>6</v>
      </c>
      <c r="I40" s="6">
        <v>8</v>
      </c>
      <c r="J40" s="6">
        <v>14</v>
      </c>
      <c r="K40" s="6">
        <v>8</v>
      </c>
      <c r="L40" s="6">
        <v>8</v>
      </c>
      <c r="M40" s="6">
        <v>8</v>
      </c>
      <c r="N40" s="89"/>
      <c r="O40" s="94">
        <f t="shared" si="32"/>
        <v>90</v>
      </c>
      <c r="P40" s="93">
        <f t="shared" si="33"/>
        <v>17280</v>
      </c>
    </row>
    <row r="41" spans="1:16" x14ac:dyDescent="0.25">
      <c r="A41" s="99">
        <v>578</v>
      </c>
      <c r="B41" s="97" t="s">
        <v>15</v>
      </c>
      <c r="C41" s="6">
        <v>8</v>
      </c>
      <c r="D41" s="6">
        <v>6</v>
      </c>
      <c r="E41" s="6">
        <v>8</v>
      </c>
      <c r="F41" s="6">
        <v>4</v>
      </c>
      <c r="G41" s="6">
        <v>8</v>
      </c>
      <c r="H41" s="6">
        <v>10</v>
      </c>
      <c r="I41" s="6">
        <v>18</v>
      </c>
      <c r="J41" s="6"/>
      <c r="K41" s="6">
        <v>18</v>
      </c>
      <c r="L41" s="6"/>
      <c r="M41" s="6">
        <v>4</v>
      </c>
      <c r="N41" s="89"/>
      <c r="O41" s="94">
        <f t="shared" si="32"/>
        <v>84</v>
      </c>
      <c r="P41" s="93">
        <f t="shared" si="33"/>
        <v>48552</v>
      </c>
    </row>
    <row r="42" spans="1:16" x14ac:dyDescent="0.25">
      <c r="A42" s="100">
        <f>AVERAGE(788,1050,783)</f>
        <v>873.66666666666663</v>
      </c>
      <c r="B42" s="98" t="s">
        <v>66</v>
      </c>
      <c r="C42" s="6"/>
      <c r="D42" s="6"/>
      <c r="E42" s="6"/>
      <c r="F42" s="6"/>
      <c r="G42" s="6"/>
      <c r="H42" s="6">
        <f>2+2+4</f>
        <v>8</v>
      </c>
      <c r="I42" s="6"/>
      <c r="J42" s="6"/>
      <c r="K42" s="6"/>
      <c r="L42" s="6"/>
      <c r="M42" s="6"/>
      <c r="N42" s="89"/>
      <c r="O42" s="94">
        <f t="shared" si="32"/>
        <v>8</v>
      </c>
      <c r="P42" s="93">
        <f t="shared" si="33"/>
        <v>6989.333333333333</v>
      </c>
    </row>
    <row r="43" spans="1:16" x14ac:dyDescent="0.25">
      <c r="A43" s="99">
        <v>635</v>
      </c>
      <c r="B43" s="97" t="s">
        <v>16</v>
      </c>
      <c r="C43" s="6">
        <v>50</v>
      </c>
      <c r="D43" s="6">
        <v>38</v>
      </c>
      <c r="E43" s="6">
        <v>36</v>
      </c>
      <c r="F43" s="6">
        <v>52</v>
      </c>
      <c r="G43" s="6">
        <v>46</v>
      </c>
      <c r="H43" s="6">
        <v>32</v>
      </c>
      <c r="I43" s="6">
        <v>48</v>
      </c>
      <c r="J43" s="6">
        <v>36</v>
      </c>
      <c r="K43" s="6">
        <v>37</v>
      </c>
      <c r="L43" s="6">
        <v>45</v>
      </c>
      <c r="M43" s="6">
        <v>36</v>
      </c>
      <c r="N43" s="89"/>
      <c r="O43" s="94">
        <f t="shared" si="32"/>
        <v>456</v>
      </c>
      <c r="P43" s="93">
        <f t="shared" si="33"/>
        <v>289560</v>
      </c>
    </row>
    <row r="44" spans="1:16" ht="13.8" thickBot="1" x14ac:dyDescent="0.3">
      <c r="A44" s="101">
        <v>800</v>
      </c>
      <c r="B44" s="97" t="s">
        <v>17</v>
      </c>
      <c r="C44" s="6">
        <v>8</v>
      </c>
      <c r="D44" s="6"/>
      <c r="E44" s="6"/>
      <c r="F44" s="6">
        <v>4</v>
      </c>
      <c r="G44" s="6"/>
      <c r="H44" s="6">
        <v>4</v>
      </c>
      <c r="I44" s="6">
        <v>4</v>
      </c>
      <c r="J44" s="6"/>
      <c r="K44" s="6">
        <v>8</v>
      </c>
      <c r="L44" s="6"/>
      <c r="M44" s="6"/>
      <c r="N44" s="89"/>
      <c r="O44" s="94">
        <f t="shared" si="32"/>
        <v>28</v>
      </c>
      <c r="P44" s="93">
        <f t="shared" si="33"/>
        <v>22400</v>
      </c>
    </row>
    <row r="45" spans="1:16" ht="13.8" thickBot="1" x14ac:dyDescent="0.3">
      <c r="B45" s="106" t="s">
        <v>18</v>
      </c>
      <c r="C45" s="107">
        <f>SUM(C36:C44)</f>
        <v>158</v>
      </c>
      <c r="D45" s="107">
        <f t="shared" ref="D45" si="34">SUM(D36:D44)</f>
        <v>143</v>
      </c>
      <c r="E45" s="107">
        <f t="shared" ref="E45" si="35">SUM(E36:E44)</f>
        <v>147</v>
      </c>
      <c r="F45" s="107">
        <f t="shared" ref="F45" si="36">SUM(F36:F44)</f>
        <v>145</v>
      </c>
      <c r="G45" s="107">
        <f t="shared" ref="G45" si="37">SUM(G36:G44)</f>
        <v>166</v>
      </c>
      <c r="H45" s="107">
        <f t="shared" ref="H45" si="38">SUM(H36:H44)</f>
        <v>146</v>
      </c>
      <c r="I45" s="107">
        <f t="shared" ref="I45" si="39">SUM(I36:I44)</f>
        <v>170</v>
      </c>
      <c r="J45" s="107">
        <f t="shared" ref="J45" si="40">SUM(J36:J44)</f>
        <v>146</v>
      </c>
      <c r="K45" s="107">
        <f t="shared" ref="K45" si="41">SUM(K36:K44)</f>
        <v>161</v>
      </c>
      <c r="L45" s="107">
        <f t="shared" ref="L45" si="42">SUM(L36:L44)</f>
        <v>159</v>
      </c>
      <c r="M45" s="107">
        <f t="shared" ref="M45" si="43">SUM(M36:M44)</f>
        <v>160</v>
      </c>
      <c r="N45" s="108">
        <f>SUM(N36:N44)</f>
        <v>0</v>
      </c>
      <c r="O45" s="95">
        <f t="shared" ref="O45" si="44">SUM(O36:O44)</f>
        <v>1701</v>
      </c>
      <c r="P45" s="96">
        <f t="shared" ref="P45" si="45">SUM(P36:P44)</f>
        <v>1190301.3333333335</v>
      </c>
    </row>
    <row r="46" spans="1:16" ht="13.8" thickBot="1" x14ac:dyDescent="0.3">
      <c r="B46" s="90" t="s">
        <v>48</v>
      </c>
      <c r="C46" s="109">
        <f>(C36*$A$3)+(C37*$A$4)+(C38*$A$5)+(C40*$A$7)+(C41*$A$8)+(C42*$A$9)+(C43*$A$10)+(C44*$A$11)</f>
        <v>106850</v>
      </c>
      <c r="D46" s="109">
        <f>(D36*$A$3)+(D37*$A$4)+(D38*$A$5)+(D40*$A$7)+(D41*$A$8)+(D42*$A$9)+(D43*$A$10)+(D44*$A$11)</f>
        <v>105184</v>
      </c>
      <c r="E46" s="109">
        <f t="shared" ref="E46:N46" si="46">(E36*$A$3)+(E37*$A$4)+(E38*$A$5)+(E40*$A$7)+(E41*$A$8)+(E42*$A$9)+(E43*$A$10)+(E44*$A$11)</f>
        <v>106086</v>
      </c>
      <c r="F46" s="109">
        <f t="shared" si="46"/>
        <v>100176</v>
      </c>
      <c r="G46" s="109">
        <f t="shared" si="46"/>
        <v>117330</v>
      </c>
      <c r="H46" s="109">
        <f t="shared" si="46"/>
        <v>103661.33333333333</v>
      </c>
      <c r="I46" s="109">
        <f t="shared" si="46"/>
        <v>119112</v>
      </c>
      <c r="J46" s="109">
        <f t="shared" si="46"/>
        <v>102612</v>
      </c>
      <c r="K46" s="109">
        <f t="shared" si="46"/>
        <v>109103</v>
      </c>
      <c r="L46" s="109">
        <f t="shared" si="46"/>
        <v>115923</v>
      </c>
      <c r="M46" s="109">
        <f t="shared" si="46"/>
        <v>104264</v>
      </c>
      <c r="N46" s="110">
        <f t="shared" si="46"/>
        <v>0</v>
      </c>
    </row>
    <row r="47" spans="1:16" x14ac:dyDescent="0.25">
      <c r="B47" s="111" t="s">
        <v>70</v>
      </c>
      <c r="C47" s="114">
        <f>C46/17200</f>
        <v>6.2122093023255811</v>
      </c>
      <c r="D47" s="114">
        <f t="shared" ref="D47" si="47">D46/17200</f>
        <v>6.1153488372093019</v>
      </c>
      <c r="E47" s="114">
        <f t="shared" ref="E47" si="48">E46/17200</f>
        <v>6.1677906976744188</v>
      </c>
      <c r="F47" s="114">
        <f t="shared" ref="F47" si="49">F46/17200</f>
        <v>5.8241860465116275</v>
      </c>
      <c r="G47" s="114">
        <f t="shared" ref="G47" si="50">G46/17200</f>
        <v>6.8215116279069772</v>
      </c>
      <c r="H47" s="114">
        <f t="shared" ref="H47" si="51">H46/17200</f>
        <v>6.0268217054263564</v>
      </c>
      <c r="I47" s="114">
        <f t="shared" ref="I47" si="52">I46/17200</f>
        <v>6.9251162790697673</v>
      </c>
      <c r="J47" s="114">
        <f t="shared" ref="J47" si="53">J46/17200</f>
        <v>5.9658139534883725</v>
      </c>
      <c r="K47" s="114">
        <f t="shared" ref="K47" si="54">K46/17200</f>
        <v>6.3431976744186045</v>
      </c>
      <c r="L47" s="114">
        <f t="shared" ref="L47" si="55">L46/17200</f>
        <v>6.739709302325581</v>
      </c>
      <c r="M47" s="114">
        <f t="shared" ref="M47" si="56">M46/17200</f>
        <v>6.0618604651162791</v>
      </c>
      <c r="N47" s="114">
        <f t="shared" ref="N47" si="57">N46/17200</f>
        <v>0</v>
      </c>
    </row>
    <row r="48" spans="1:16" x14ac:dyDescent="0.25">
      <c r="N48" t="s">
        <v>76</v>
      </c>
      <c r="O48" s="115">
        <v>145000</v>
      </c>
    </row>
    <row r="49" spans="3:14" x14ac:dyDescent="0.25">
      <c r="C49" s="113">
        <f>O48-C46</f>
        <v>38150</v>
      </c>
      <c r="D49" s="113">
        <f t="shared" ref="D49:M49" si="58">D46-C49</f>
        <v>67034</v>
      </c>
      <c r="E49" s="113">
        <f t="shared" si="58"/>
        <v>39052</v>
      </c>
      <c r="F49" s="113">
        <f t="shared" si="58"/>
        <v>61124</v>
      </c>
      <c r="G49" s="113">
        <f t="shared" si="58"/>
        <v>56206</v>
      </c>
      <c r="H49" s="113">
        <f t="shared" si="58"/>
        <v>47455.333333333328</v>
      </c>
      <c r="I49" s="113">
        <f t="shared" si="58"/>
        <v>71656.666666666672</v>
      </c>
      <c r="J49" s="113">
        <f t="shared" si="58"/>
        <v>30955.333333333328</v>
      </c>
      <c r="K49" s="113">
        <f t="shared" si="58"/>
        <v>78147.666666666672</v>
      </c>
      <c r="L49" s="113">
        <f t="shared" si="58"/>
        <v>37775.333333333328</v>
      </c>
      <c r="M49" s="113">
        <f t="shared" si="58"/>
        <v>66488.666666666672</v>
      </c>
      <c r="N49" s="113">
        <f t="shared" ref="N49" si="59">N46-M49</f>
        <v>-66488.666666666672</v>
      </c>
    </row>
    <row r="50" spans="3:14" x14ac:dyDescent="0.25">
      <c r="C50" s="116">
        <f>C49/17200</f>
        <v>2.2180232558139537</v>
      </c>
      <c r="D50" s="116">
        <f t="shared" ref="D50:N50" si="60">D49/17200</f>
        <v>3.8973255813953487</v>
      </c>
      <c r="E50" s="116">
        <f t="shared" si="60"/>
        <v>2.2704651162790697</v>
      </c>
      <c r="F50" s="116">
        <f t="shared" si="60"/>
        <v>3.5537209302325583</v>
      </c>
      <c r="G50" s="116">
        <f t="shared" si="60"/>
        <v>3.2677906976744184</v>
      </c>
      <c r="H50" s="116">
        <f t="shared" si="60"/>
        <v>2.7590310077519375</v>
      </c>
      <c r="I50" s="116">
        <f t="shared" si="60"/>
        <v>4.1660852713178294</v>
      </c>
      <c r="J50" s="116">
        <f t="shared" si="60"/>
        <v>1.7997286821705423</v>
      </c>
      <c r="K50" s="116">
        <f t="shared" si="60"/>
        <v>4.5434689922480622</v>
      </c>
      <c r="L50" s="116">
        <f t="shared" si="60"/>
        <v>2.1962403100775192</v>
      </c>
      <c r="M50" s="116">
        <f t="shared" si="60"/>
        <v>3.8656201550387599</v>
      </c>
      <c r="N50" s="116">
        <f t="shared" si="60"/>
        <v>-3.8656201550387599</v>
      </c>
    </row>
  </sheetData>
  <phoneticPr fontId="11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047B5-0B53-4B2C-8BE2-6FF905F3A0FF}">
  <sheetPr>
    <pageSetUpPr fitToPage="1"/>
  </sheetPr>
  <dimension ref="A1:AC47"/>
  <sheetViews>
    <sheetView showGridLines="0" topLeftCell="A4" zoomScale="80" zoomScaleNormal="80" workbookViewId="0">
      <pane xSplit="2" ySplit="3" topLeftCell="D13" activePane="bottomRight" state="frozen"/>
      <selection pane="topRight" activeCell="O17" sqref="O17:P17"/>
      <selection pane="bottomLeft" activeCell="O17" sqref="O17:P17"/>
      <selection pane="bottomRight" activeCell="AB48" sqref="AB48"/>
    </sheetView>
  </sheetViews>
  <sheetFormatPr defaultColWidth="9.33203125" defaultRowHeight="13.2" x14ac:dyDescent="0.25"/>
  <cols>
    <col min="2" max="2" width="30.33203125" bestFit="1" customWidth="1"/>
    <col min="3" max="3" width="14.33203125" hidden="1" customWidth="1"/>
    <col min="4" max="4" width="14.33203125" customWidth="1"/>
    <col min="5" max="5" width="10.6640625" hidden="1" customWidth="1"/>
    <col min="6" max="6" width="10.6640625" customWidth="1"/>
    <col min="7" max="7" width="10.6640625" hidden="1" customWidth="1"/>
    <col min="8" max="8" width="10.6640625" customWidth="1"/>
    <col min="9" max="9" width="10.6640625" hidden="1" customWidth="1"/>
    <col min="10" max="10" width="10.6640625" customWidth="1"/>
    <col min="11" max="11" width="10.6640625" hidden="1" customWidth="1"/>
    <col min="12" max="12" width="12.6640625" bestFit="1" customWidth="1"/>
    <col min="13" max="13" width="10.6640625" hidden="1" customWidth="1"/>
    <col min="14" max="14" width="10.6640625" customWidth="1"/>
    <col min="15" max="15" width="10.6640625" hidden="1" customWidth="1"/>
    <col min="16" max="16" width="10.6640625" customWidth="1"/>
    <col min="17" max="17" width="10.6640625" hidden="1" customWidth="1"/>
    <col min="18" max="18" width="10.6640625" customWidth="1"/>
    <col min="19" max="19" width="12.33203125" hidden="1" customWidth="1"/>
    <col min="20" max="20" width="12.33203125" customWidth="1"/>
    <col min="21" max="21" width="10.6640625" hidden="1" customWidth="1"/>
    <col min="22" max="22" width="10.6640625" customWidth="1"/>
    <col min="23" max="23" width="11.44140625" hidden="1" customWidth="1"/>
    <col min="24" max="24" width="11.44140625" customWidth="1"/>
    <col min="25" max="25" width="11.44140625" hidden="1" customWidth="1"/>
    <col min="26" max="26" width="11.44140625" customWidth="1"/>
    <col min="27" max="27" width="21.33203125" hidden="1" customWidth="1"/>
    <col min="28" max="29" width="21.33203125" customWidth="1"/>
  </cols>
  <sheetData>
    <row r="1" spans="1:29" x14ac:dyDescent="0.25">
      <c r="B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x14ac:dyDescent="0.25">
      <c r="B2" s="1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x14ac:dyDescent="0.25"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x14ac:dyDescent="0.25">
      <c r="B4" s="1"/>
      <c r="AA4" s="2"/>
      <c r="AB4" s="2"/>
      <c r="AC4" s="2"/>
    </row>
    <row r="5" spans="1:29" ht="13.8" thickBot="1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20.100000000000001" customHeight="1" thickBot="1" x14ac:dyDescent="0.3">
      <c r="B6" s="3" t="s">
        <v>0</v>
      </c>
      <c r="C6" s="4" t="s">
        <v>1</v>
      </c>
      <c r="D6" s="4" t="str">
        <f>C6</f>
        <v>January</v>
      </c>
      <c r="E6" s="4" t="s">
        <v>2</v>
      </c>
      <c r="F6" s="4" t="str">
        <f>E6</f>
        <v>February</v>
      </c>
      <c r="G6" s="4" t="s">
        <v>3</v>
      </c>
      <c r="H6" s="4" t="str">
        <f>G6</f>
        <v>March</v>
      </c>
      <c r="I6" s="4" t="s">
        <v>4</v>
      </c>
      <c r="J6" s="4" t="str">
        <f>I6</f>
        <v>April</v>
      </c>
      <c r="K6" s="4" t="s">
        <v>5</v>
      </c>
      <c r="L6" s="4" t="str">
        <f>K6</f>
        <v>May</v>
      </c>
      <c r="M6" s="4" t="s">
        <v>6</v>
      </c>
      <c r="N6" s="4" t="str">
        <f>M6</f>
        <v>June</v>
      </c>
      <c r="O6" s="4" t="str">
        <f>[3]Phasing!B6</f>
        <v>July</v>
      </c>
      <c r="P6" s="4" t="str">
        <f>O6</f>
        <v>July</v>
      </c>
      <c r="Q6" s="4" t="str">
        <f>[3]Phasing!C6</f>
        <v>August</v>
      </c>
      <c r="R6" s="4" t="str">
        <f>Q6</f>
        <v>August</v>
      </c>
      <c r="S6" s="4" t="str">
        <f>[3]Phasing!D6</f>
        <v>September</v>
      </c>
      <c r="T6" s="4" t="str">
        <f>S6</f>
        <v>September</v>
      </c>
      <c r="U6" s="4" t="str">
        <f>[3]Phasing!E6</f>
        <v>October</v>
      </c>
      <c r="V6" s="4" t="str">
        <f>U6</f>
        <v>October</v>
      </c>
      <c r="W6" s="4" t="str">
        <f>[3]Phasing!F6</f>
        <v>November</v>
      </c>
      <c r="X6" s="4" t="str">
        <f>W6</f>
        <v>November</v>
      </c>
      <c r="Y6" s="4" t="str">
        <f>[3]Phasing!G6</f>
        <v>December</v>
      </c>
      <c r="Z6" s="4" t="str">
        <f>Y6</f>
        <v>December</v>
      </c>
      <c r="AA6" s="58" t="s">
        <v>7</v>
      </c>
      <c r="AB6" s="59" t="s">
        <v>81</v>
      </c>
      <c r="AC6" s="60" t="s">
        <v>48</v>
      </c>
    </row>
    <row r="7" spans="1:29" ht="20.100000000000001" customHeight="1" x14ac:dyDescent="0.25">
      <c r="A7">
        <v>50</v>
      </c>
      <c r="B7" s="5" t="s">
        <v>10</v>
      </c>
      <c r="C7" s="6">
        <f>'[2]production scheduler'!D$5</f>
        <v>42000</v>
      </c>
      <c r="D7" s="6">
        <f>C7/700</f>
        <v>60</v>
      </c>
      <c r="E7" s="6">
        <f>'[2]production scheduler'!E$5</f>
        <v>42000</v>
      </c>
      <c r="F7" s="6">
        <f>E7/700</f>
        <v>60</v>
      </c>
      <c r="G7" s="6">
        <f>'[2]production scheduler'!F$5</f>
        <v>68700</v>
      </c>
      <c r="H7" s="6">
        <f>G7/700</f>
        <v>98.142857142857139</v>
      </c>
      <c r="I7" s="6">
        <f>'[2]production scheduler'!G$5</f>
        <v>61000</v>
      </c>
      <c r="J7" s="6">
        <f>I7/700</f>
        <v>87.142857142857139</v>
      </c>
      <c r="K7" s="6">
        <f>'[2]production scheduler'!H$5</f>
        <v>30600</v>
      </c>
      <c r="L7" s="6">
        <f>K7/700</f>
        <v>43.714285714285715</v>
      </c>
      <c r="M7" s="6">
        <f>'[2]production scheduler'!I$5</f>
        <v>50400</v>
      </c>
      <c r="N7" s="6">
        <f>M7/700</f>
        <v>72</v>
      </c>
      <c r="O7" s="6">
        <f>'[2]production scheduler'!J$5</f>
        <v>49000</v>
      </c>
      <c r="P7" s="6">
        <f>O7/700</f>
        <v>70</v>
      </c>
      <c r="Q7" s="6">
        <f>'[2]production scheduler'!K$5</f>
        <v>46900</v>
      </c>
      <c r="R7" s="6">
        <f>Q7/700</f>
        <v>67</v>
      </c>
      <c r="S7" s="6">
        <f>'[2]production scheduler'!L$5</f>
        <v>44800</v>
      </c>
      <c r="T7" s="6">
        <f>S7/700</f>
        <v>64</v>
      </c>
      <c r="U7" s="6">
        <f>'[2]production scheduler'!M$5</f>
        <v>49700</v>
      </c>
      <c r="V7" s="6">
        <f>U7/700</f>
        <v>71</v>
      </c>
      <c r="W7" s="6">
        <f>'[2]production scheduler'!N$5</f>
        <v>69300</v>
      </c>
      <c r="X7" s="6">
        <f>W7/700</f>
        <v>99</v>
      </c>
      <c r="Y7" s="6">
        <f>'[2]production scheduler'!O$5</f>
        <v>47600</v>
      </c>
      <c r="Z7" s="6">
        <f>Y7/700</f>
        <v>68</v>
      </c>
      <c r="AA7" s="7">
        <f>SUM(C7+E7+G7+I7+K7+M7+O7+Q7+S7+U7+W7+Y7)</f>
        <v>602000</v>
      </c>
      <c r="AB7" s="123">
        <f>SUM(D7,F7,H7,J7,L7,N7,P7,R7,T7,V7,X7,Z7)*A7</f>
        <v>43000</v>
      </c>
      <c r="AC7" s="62">
        <f>AB7*778</f>
        <v>33454000</v>
      </c>
    </row>
    <row r="8" spans="1:29" ht="20.100000000000001" customHeight="1" x14ac:dyDescent="0.25">
      <c r="A8">
        <v>50</v>
      </c>
      <c r="B8" s="5" t="s">
        <v>11</v>
      </c>
      <c r="C8" s="6">
        <f>'[2]production scheduler'!D$6</f>
        <v>2100</v>
      </c>
      <c r="D8" s="6">
        <f t="shared" ref="D8:F15" si="0">C8/700</f>
        <v>3</v>
      </c>
      <c r="E8" s="6">
        <f>'[2]production scheduler'!E$6</f>
        <v>2100</v>
      </c>
      <c r="F8" s="6">
        <f t="shared" si="0"/>
        <v>3</v>
      </c>
      <c r="G8" s="6">
        <f>'[2]production scheduler'!F$6</f>
        <v>2100</v>
      </c>
      <c r="H8" s="6">
        <f t="shared" ref="H8:H15" si="1">G8/700</f>
        <v>3</v>
      </c>
      <c r="I8" s="6">
        <f>'[2]production scheduler'!G$6</f>
        <v>700</v>
      </c>
      <c r="J8" s="6">
        <f t="shared" ref="J8:J15" si="2">I8/700</f>
        <v>1</v>
      </c>
      <c r="K8" s="6">
        <f>'[2]production scheduler'!H$6</f>
        <v>0</v>
      </c>
      <c r="L8" s="6">
        <f t="shared" ref="L8:N15" si="3">K8/700</f>
        <v>0</v>
      </c>
      <c r="M8" s="6">
        <f>'[2]production scheduler'!I$6</f>
        <v>2100</v>
      </c>
      <c r="N8" s="6">
        <f t="shared" si="3"/>
        <v>3</v>
      </c>
      <c r="O8" s="6">
        <f>'[2]production scheduler'!J$6</f>
        <v>2100</v>
      </c>
      <c r="P8" s="6">
        <f t="shared" ref="P8:P15" si="4">O8/700</f>
        <v>3</v>
      </c>
      <c r="Q8" s="6">
        <f>'[2]production scheduler'!K$6</f>
        <v>1400</v>
      </c>
      <c r="R8" s="6">
        <f t="shared" ref="R8:R15" si="5">Q8/700</f>
        <v>2</v>
      </c>
      <c r="S8" s="6">
        <f>'[2]production scheduler'!L$6</f>
        <v>1400</v>
      </c>
      <c r="T8" s="6">
        <f t="shared" ref="T8:T15" si="6">S8/700</f>
        <v>2</v>
      </c>
      <c r="U8" s="6">
        <f>'[2]production scheduler'!M$6</f>
        <v>1400</v>
      </c>
      <c r="V8" s="6">
        <f t="shared" ref="V8:V15" si="7">U8/700</f>
        <v>2</v>
      </c>
      <c r="W8" s="6">
        <f>'[2]production scheduler'!N$6</f>
        <v>2100</v>
      </c>
      <c r="X8" s="6">
        <f t="shared" ref="X8:Z15" si="8">W8/700</f>
        <v>3</v>
      </c>
      <c r="Y8" s="6">
        <f>'[2]production scheduler'!O$6</f>
        <v>2100</v>
      </c>
      <c r="Z8" s="6">
        <f t="shared" si="8"/>
        <v>3</v>
      </c>
      <c r="AA8" s="7">
        <f t="shared" ref="AA8:AA15" si="9">SUM(C8+E8+G8+I8+K8+M8+O8+Q8+S8+U8+W8+Y8)</f>
        <v>19600</v>
      </c>
      <c r="AB8" s="123">
        <f t="shared" ref="AB8:AB15" si="10">SUM(D8,F8,H8,J8,L8,N8,P8,R8,T8,V8,X8,Z8)*A8</f>
        <v>1400</v>
      </c>
      <c r="AC8" s="62">
        <f>AB8*778</f>
        <v>1089200</v>
      </c>
    </row>
    <row r="9" spans="1:29" ht="20.100000000000001" customHeight="1" x14ac:dyDescent="0.25">
      <c r="A9">
        <v>190</v>
      </c>
      <c r="B9" s="5" t="s">
        <v>12</v>
      </c>
      <c r="C9" s="6">
        <f>'[2]production scheduler'!D$14</f>
        <v>6300</v>
      </c>
      <c r="D9" s="6">
        <f t="shared" si="0"/>
        <v>9</v>
      </c>
      <c r="E9" s="6">
        <f>'[2]production scheduler'!E$14</f>
        <v>7700</v>
      </c>
      <c r="F9" s="6">
        <f t="shared" si="0"/>
        <v>11</v>
      </c>
      <c r="G9" s="6">
        <f>'[2]production scheduler'!F$14</f>
        <v>8400</v>
      </c>
      <c r="H9" s="6">
        <f t="shared" si="1"/>
        <v>12</v>
      </c>
      <c r="I9" s="6">
        <f>'[2]production scheduler'!G$14</f>
        <v>7700</v>
      </c>
      <c r="J9" s="6">
        <f t="shared" si="2"/>
        <v>11</v>
      </c>
      <c r="K9" s="6">
        <f>'[2]production scheduler'!H$14</f>
        <v>7700</v>
      </c>
      <c r="L9" s="6">
        <f t="shared" si="3"/>
        <v>11</v>
      </c>
      <c r="M9" s="6">
        <f>'[2]production scheduler'!I$14</f>
        <v>7000</v>
      </c>
      <c r="N9" s="6">
        <f t="shared" si="3"/>
        <v>10</v>
      </c>
      <c r="O9" s="6">
        <f>'[2]production scheduler'!J$14</f>
        <v>7700</v>
      </c>
      <c r="P9" s="6">
        <f t="shared" si="4"/>
        <v>11</v>
      </c>
      <c r="Q9" s="6">
        <f>'[2]production scheduler'!K$14</f>
        <v>7000</v>
      </c>
      <c r="R9" s="6">
        <f t="shared" si="5"/>
        <v>10</v>
      </c>
      <c r="S9" s="6">
        <f>'[2]production scheduler'!L$14</f>
        <v>5600</v>
      </c>
      <c r="T9" s="6">
        <f t="shared" si="6"/>
        <v>8</v>
      </c>
      <c r="U9" s="6">
        <f>'[2]production scheduler'!M$14</f>
        <v>6300</v>
      </c>
      <c r="V9" s="6">
        <f t="shared" si="7"/>
        <v>9</v>
      </c>
      <c r="W9" s="6">
        <f>'[2]production scheduler'!N$14</f>
        <v>7000</v>
      </c>
      <c r="X9" s="6">
        <f t="shared" si="8"/>
        <v>10</v>
      </c>
      <c r="Y9" s="6">
        <f>'[2]production scheduler'!O$14</f>
        <v>10500</v>
      </c>
      <c r="Z9" s="6">
        <f t="shared" si="8"/>
        <v>15</v>
      </c>
      <c r="AA9" s="7">
        <f t="shared" si="9"/>
        <v>88900</v>
      </c>
      <c r="AB9" s="123">
        <f t="shared" si="10"/>
        <v>24130</v>
      </c>
      <c r="AC9" s="62">
        <f>AB9*1050</f>
        <v>25336500</v>
      </c>
    </row>
    <row r="10" spans="1:29" ht="20.100000000000001" customHeight="1" x14ac:dyDescent="0.25">
      <c r="A10">
        <v>1200</v>
      </c>
      <c r="B10" s="5" t="s">
        <v>13</v>
      </c>
      <c r="C10" s="12">
        <f>'[2]production scheduler'!D$15-C36</f>
        <v>2100</v>
      </c>
      <c r="D10" s="6">
        <f t="shared" si="0"/>
        <v>3</v>
      </c>
      <c r="E10" s="12">
        <f>'[2]production scheduler'!E$15-E36</f>
        <v>2800</v>
      </c>
      <c r="F10" s="6">
        <f t="shared" si="0"/>
        <v>4</v>
      </c>
      <c r="G10" s="12">
        <f>'[2]production scheduler'!F$15-G36</f>
        <v>2800</v>
      </c>
      <c r="H10" s="6">
        <f t="shared" si="1"/>
        <v>4</v>
      </c>
      <c r="I10" s="12">
        <f>'[2]production scheduler'!G$15-I36</f>
        <v>3500</v>
      </c>
      <c r="J10" s="6">
        <f t="shared" si="2"/>
        <v>5</v>
      </c>
      <c r="K10" s="12">
        <f>'[2]production scheduler'!H$15-K36</f>
        <v>2800</v>
      </c>
      <c r="L10" s="6">
        <f t="shared" si="3"/>
        <v>4</v>
      </c>
      <c r="M10" s="12">
        <f>'[2]production scheduler'!I$15-M36</f>
        <v>2800</v>
      </c>
      <c r="N10" s="6">
        <f t="shared" si="3"/>
        <v>4</v>
      </c>
      <c r="O10" s="12">
        <f>'[2]production scheduler'!J$15-O36</f>
        <v>1400</v>
      </c>
      <c r="P10" s="6">
        <f t="shared" si="4"/>
        <v>2</v>
      </c>
      <c r="Q10" s="12">
        <f>'[2]production scheduler'!K$15-Q36</f>
        <v>3500</v>
      </c>
      <c r="R10" s="6">
        <f t="shared" si="5"/>
        <v>5</v>
      </c>
      <c r="S10" s="12">
        <f>'[2]production scheduler'!L$15-S36</f>
        <v>2100</v>
      </c>
      <c r="T10" s="6">
        <f t="shared" si="6"/>
        <v>3</v>
      </c>
      <c r="U10" s="12">
        <f>'[2]production scheduler'!M$15-U36</f>
        <v>2800</v>
      </c>
      <c r="V10" s="6">
        <f t="shared" si="7"/>
        <v>4</v>
      </c>
      <c r="W10" s="12">
        <f>'[2]production scheduler'!N$15-W36</f>
        <v>2100</v>
      </c>
      <c r="X10" s="6">
        <f t="shared" si="8"/>
        <v>3</v>
      </c>
      <c r="Y10" s="12">
        <f>'[2]production scheduler'!O$15-Y36</f>
        <v>3500</v>
      </c>
      <c r="Z10" s="6">
        <f t="shared" si="8"/>
        <v>5</v>
      </c>
      <c r="AA10" s="7">
        <f t="shared" si="9"/>
        <v>32200</v>
      </c>
      <c r="AB10" s="123">
        <f t="shared" si="10"/>
        <v>55200</v>
      </c>
      <c r="AC10" s="62"/>
    </row>
    <row r="11" spans="1:29" ht="20.100000000000001" customHeight="1" x14ac:dyDescent="0.25">
      <c r="A11">
        <v>450</v>
      </c>
      <c r="B11" s="5" t="s">
        <v>14</v>
      </c>
      <c r="C11" s="6">
        <f>'[2]production scheduler'!D$16-C38</f>
        <v>2500</v>
      </c>
      <c r="D11" s="6">
        <f t="shared" si="0"/>
        <v>3.5714285714285716</v>
      </c>
      <c r="E11" s="6">
        <f>'[2]production scheduler'!E$16-E38</f>
        <v>3125</v>
      </c>
      <c r="F11" s="6">
        <f t="shared" si="0"/>
        <v>4.4642857142857144</v>
      </c>
      <c r="G11" s="6">
        <f>'[2]production scheduler'!F$16-G38</f>
        <v>5625</v>
      </c>
      <c r="H11" s="6">
        <f t="shared" si="1"/>
        <v>8.0357142857142865</v>
      </c>
      <c r="I11" s="6">
        <f>'[2]production scheduler'!G$16-I38</f>
        <v>6250</v>
      </c>
      <c r="J11" s="6">
        <f t="shared" si="2"/>
        <v>8.9285714285714288</v>
      </c>
      <c r="K11" s="6">
        <f>'[2]production scheduler'!H$16-K38</f>
        <v>6250</v>
      </c>
      <c r="L11" s="6">
        <f t="shared" si="3"/>
        <v>8.9285714285714288</v>
      </c>
      <c r="M11" s="6">
        <f>'[2]production scheduler'!I$16-M38</f>
        <v>5000</v>
      </c>
      <c r="N11" s="6">
        <f t="shared" si="3"/>
        <v>7.1428571428571432</v>
      </c>
      <c r="O11" s="6">
        <f>'[2]production scheduler'!J$16-O38</f>
        <v>5625</v>
      </c>
      <c r="P11" s="6">
        <f t="shared" si="4"/>
        <v>8.0357142857142865</v>
      </c>
      <c r="Q11" s="6">
        <f>'[2]production scheduler'!K$16-Q38</f>
        <v>5000</v>
      </c>
      <c r="R11" s="6">
        <f t="shared" si="5"/>
        <v>7.1428571428571432</v>
      </c>
      <c r="S11" s="6">
        <f>'[2]production scheduler'!L$16-S38</f>
        <v>5000</v>
      </c>
      <c r="T11" s="6">
        <f t="shared" si="6"/>
        <v>7.1428571428571432</v>
      </c>
      <c r="U11" s="6">
        <f>'[2]production scheduler'!M$16-U38</f>
        <v>5000</v>
      </c>
      <c r="V11" s="6">
        <f t="shared" si="7"/>
        <v>7.1428571428571432</v>
      </c>
      <c r="W11" s="6">
        <f>'[2]production scheduler'!N$16-W38</f>
        <v>5000</v>
      </c>
      <c r="X11" s="6">
        <f t="shared" si="8"/>
        <v>7.1428571428571432</v>
      </c>
      <c r="Y11" s="6">
        <f>'[2]production scheduler'!O$16-Y38</f>
        <v>9375</v>
      </c>
      <c r="Z11" s="6">
        <f t="shared" si="8"/>
        <v>13.392857142857142</v>
      </c>
      <c r="AA11" s="7">
        <f t="shared" si="9"/>
        <v>63750</v>
      </c>
      <c r="AB11" s="123">
        <f t="shared" si="10"/>
        <v>40982.142857142855</v>
      </c>
      <c r="AC11" s="62">
        <f>AB11*192</f>
        <v>7868571.4285714282</v>
      </c>
    </row>
    <row r="12" spans="1:29" ht="20.100000000000001" customHeight="1" x14ac:dyDescent="0.25">
      <c r="A12">
        <v>450</v>
      </c>
      <c r="B12" s="5" t="s">
        <v>15</v>
      </c>
      <c r="C12" s="6">
        <f>'[2]production scheduler'!D$17</f>
        <v>7000</v>
      </c>
      <c r="D12" s="6">
        <f t="shared" si="0"/>
        <v>10</v>
      </c>
      <c r="E12" s="6">
        <f>'[2]production scheduler'!E$17</f>
        <v>7000</v>
      </c>
      <c r="F12" s="6">
        <f t="shared" si="0"/>
        <v>10</v>
      </c>
      <c r="G12" s="6">
        <f>'[2]production scheduler'!F$17</f>
        <v>7700</v>
      </c>
      <c r="H12" s="6">
        <f t="shared" si="1"/>
        <v>11</v>
      </c>
      <c r="I12" s="6">
        <f>'[2]production scheduler'!G$17</f>
        <v>7000</v>
      </c>
      <c r="J12" s="6">
        <f t="shared" si="2"/>
        <v>10</v>
      </c>
      <c r="K12" s="6">
        <f>'[2]production scheduler'!H$17</f>
        <v>7000</v>
      </c>
      <c r="L12" s="6">
        <f t="shared" si="3"/>
        <v>10</v>
      </c>
      <c r="M12" s="6">
        <f>'[2]production scheduler'!I$17</f>
        <v>5600</v>
      </c>
      <c r="N12" s="6">
        <f t="shared" si="3"/>
        <v>8</v>
      </c>
      <c r="O12" s="6">
        <f>'[2]production scheduler'!J$17</f>
        <v>7000</v>
      </c>
      <c r="P12" s="6">
        <f t="shared" si="4"/>
        <v>10</v>
      </c>
      <c r="Q12" s="6">
        <f>'[2]production scheduler'!K$17</f>
        <v>6300</v>
      </c>
      <c r="R12" s="6">
        <f t="shared" si="5"/>
        <v>9</v>
      </c>
      <c r="S12" s="6">
        <f>'[2]production scheduler'!L$17</f>
        <v>6300</v>
      </c>
      <c r="T12" s="6">
        <f t="shared" si="6"/>
        <v>9</v>
      </c>
      <c r="U12" s="6">
        <f>'[2]production scheduler'!M$17</f>
        <v>6300</v>
      </c>
      <c r="V12" s="6">
        <f t="shared" si="7"/>
        <v>9</v>
      </c>
      <c r="W12" s="6">
        <f>'[2]production scheduler'!N$17</f>
        <v>6300</v>
      </c>
      <c r="X12" s="6">
        <f t="shared" si="8"/>
        <v>9</v>
      </c>
      <c r="Y12" s="6">
        <f>'[2]production scheduler'!O$17</f>
        <v>14700</v>
      </c>
      <c r="Z12" s="6">
        <f t="shared" si="8"/>
        <v>21</v>
      </c>
      <c r="AA12" s="7">
        <f t="shared" si="9"/>
        <v>88200</v>
      </c>
      <c r="AB12" s="123">
        <f t="shared" si="10"/>
        <v>56700</v>
      </c>
      <c r="AC12" s="62">
        <f>AB12*877</f>
        <v>49725900</v>
      </c>
    </row>
    <row r="13" spans="1:29" ht="20.100000000000001" customHeight="1" x14ac:dyDescent="0.25">
      <c r="B13" s="13" t="str">
        <f>+'[2]production scheduler'!B21</f>
        <v>Craft Beer</v>
      </c>
      <c r="C13" s="6">
        <f>+'[2]production scheduler'!D21</f>
        <v>1400</v>
      </c>
      <c r="D13" s="6">
        <f t="shared" si="0"/>
        <v>2</v>
      </c>
      <c r="E13" s="6">
        <f>+'[2]production scheduler'!E21</f>
        <v>700</v>
      </c>
      <c r="F13" s="6">
        <f t="shared" si="0"/>
        <v>1</v>
      </c>
      <c r="G13" s="6">
        <f>+'[2]production scheduler'!F21</f>
        <v>700</v>
      </c>
      <c r="H13" s="6">
        <f t="shared" si="1"/>
        <v>1</v>
      </c>
      <c r="I13" s="6">
        <f>+'[2]production scheduler'!G21</f>
        <v>1400</v>
      </c>
      <c r="J13" s="6">
        <f t="shared" si="2"/>
        <v>2</v>
      </c>
      <c r="K13" s="6">
        <f>+'[2]production scheduler'!H21</f>
        <v>700</v>
      </c>
      <c r="L13" s="6">
        <f t="shared" si="3"/>
        <v>1</v>
      </c>
      <c r="M13" s="6">
        <f>+'[2]production scheduler'!I21</f>
        <v>700</v>
      </c>
      <c r="N13" s="6">
        <f t="shared" si="3"/>
        <v>1</v>
      </c>
      <c r="O13" s="6">
        <f>+'[2]production scheduler'!J21</f>
        <v>0</v>
      </c>
      <c r="P13" s="6">
        <f t="shared" si="4"/>
        <v>0</v>
      </c>
      <c r="Q13" s="6">
        <f>+'[2]production scheduler'!K21</f>
        <v>700</v>
      </c>
      <c r="R13" s="6">
        <f t="shared" si="5"/>
        <v>1</v>
      </c>
      <c r="S13" s="6">
        <f>+'[2]production scheduler'!L21</f>
        <v>1400</v>
      </c>
      <c r="T13" s="6">
        <f t="shared" si="6"/>
        <v>2</v>
      </c>
      <c r="U13" s="6">
        <f>+'[2]production scheduler'!M21</f>
        <v>700</v>
      </c>
      <c r="V13" s="6">
        <f t="shared" si="7"/>
        <v>1</v>
      </c>
      <c r="W13" s="6">
        <f>+'[2]production scheduler'!N21</f>
        <v>700</v>
      </c>
      <c r="X13" s="6">
        <f t="shared" si="8"/>
        <v>1</v>
      </c>
      <c r="Y13" s="6">
        <f>+'[2]production scheduler'!O21</f>
        <v>700</v>
      </c>
      <c r="Z13" s="6">
        <f t="shared" si="8"/>
        <v>1</v>
      </c>
      <c r="AA13" s="7">
        <f t="shared" si="9"/>
        <v>9800</v>
      </c>
      <c r="AB13" s="123">
        <f t="shared" si="10"/>
        <v>0</v>
      </c>
      <c r="AC13" s="62"/>
    </row>
    <row r="14" spans="1:29" ht="20.100000000000001" customHeight="1" x14ac:dyDescent="0.25">
      <c r="A14">
        <v>35</v>
      </c>
      <c r="B14" s="5" t="s">
        <v>16</v>
      </c>
      <c r="C14" s="12">
        <f>'[2]production scheduler'!D$9</f>
        <v>24500</v>
      </c>
      <c r="D14" s="6">
        <f t="shared" si="0"/>
        <v>35</v>
      </c>
      <c r="E14" s="12">
        <f>'[2]production scheduler'!E$9</f>
        <v>30800</v>
      </c>
      <c r="F14" s="6">
        <f t="shared" si="0"/>
        <v>44</v>
      </c>
      <c r="G14" s="12">
        <f>'[2]production scheduler'!F$9</f>
        <v>32200</v>
      </c>
      <c r="H14" s="6">
        <f t="shared" si="1"/>
        <v>46</v>
      </c>
      <c r="I14" s="12">
        <f>'[2]production scheduler'!G$9</f>
        <v>30100</v>
      </c>
      <c r="J14" s="6">
        <f t="shared" si="2"/>
        <v>43</v>
      </c>
      <c r="K14" s="12">
        <f>'[2]production scheduler'!H$9</f>
        <v>16800</v>
      </c>
      <c r="L14" s="6">
        <f t="shared" si="3"/>
        <v>24</v>
      </c>
      <c r="M14" s="12">
        <f>'[2]production scheduler'!I$9</f>
        <v>28700</v>
      </c>
      <c r="N14" s="6">
        <f t="shared" si="3"/>
        <v>41</v>
      </c>
      <c r="O14" s="12">
        <f>'[2]production scheduler'!J$9</f>
        <v>33600</v>
      </c>
      <c r="P14" s="6">
        <f t="shared" si="4"/>
        <v>48</v>
      </c>
      <c r="Q14" s="12">
        <f>'[2]production scheduler'!K$9</f>
        <v>30100</v>
      </c>
      <c r="R14" s="6">
        <f t="shared" si="5"/>
        <v>43</v>
      </c>
      <c r="S14" s="12">
        <f>'[2]production scheduler'!L$9</f>
        <v>26600</v>
      </c>
      <c r="T14" s="6">
        <f t="shared" si="6"/>
        <v>38</v>
      </c>
      <c r="U14" s="12">
        <f>'[2]production scheduler'!M$9</f>
        <v>29400</v>
      </c>
      <c r="V14" s="6">
        <f t="shared" si="7"/>
        <v>42</v>
      </c>
      <c r="W14" s="12">
        <f>'[2]production scheduler'!N$9</f>
        <v>27300</v>
      </c>
      <c r="X14" s="6">
        <f t="shared" si="8"/>
        <v>39</v>
      </c>
      <c r="Y14" s="12">
        <f>'[2]production scheduler'!O$9</f>
        <v>40600</v>
      </c>
      <c r="Z14" s="6">
        <f t="shared" si="8"/>
        <v>58</v>
      </c>
      <c r="AA14" s="7">
        <f t="shared" si="9"/>
        <v>350700</v>
      </c>
      <c r="AB14" s="123">
        <f t="shared" si="10"/>
        <v>17535</v>
      </c>
      <c r="AC14" s="62">
        <f>AB14*634</f>
        <v>11117190</v>
      </c>
    </row>
    <row r="15" spans="1:29" ht="20.100000000000001" customHeight="1" thickBot="1" x14ac:dyDescent="0.3">
      <c r="B15" s="14" t="s">
        <v>17</v>
      </c>
      <c r="C15" s="6">
        <f>'[2]production scheduler'!D$12</f>
        <v>2100</v>
      </c>
      <c r="D15" s="6">
        <f t="shared" si="0"/>
        <v>3</v>
      </c>
      <c r="E15" s="6">
        <f>'[2]production scheduler'!E$12</f>
        <v>2100</v>
      </c>
      <c r="F15" s="6">
        <f t="shared" si="0"/>
        <v>3</v>
      </c>
      <c r="G15" s="6">
        <f>'[2]production scheduler'!F$12</f>
        <v>2800</v>
      </c>
      <c r="H15" s="6">
        <f t="shared" si="1"/>
        <v>4</v>
      </c>
      <c r="I15" s="6">
        <f>'[2]production scheduler'!G$12</f>
        <v>1400</v>
      </c>
      <c r="J15" s="6">
        <f t="shared" si="2"/>
        <v>2</v>
      </c>
      <c r="K15" s="6">
        <f>'[2]production scheduler'!H$12</f>
        <v>1400</v>
      </c>
      <c r="L15" s="6">
        <f t="shared" si="3"/>
        <v>2</v>
      </c>
      <c r="M15" s="6">
        <f>'[2]production scheduler'!I$12</f>
        <v>2800</v>
      </c>
      <c r="N15" s="6">
        <f t="shared" si="3"/>
        <v>4</v>
      </c>
      <c r="O15" s="6">
        <f>'[2]production scheduler'!J$12</f>
        <v>2800</v>
      </c>
      <c r="P15" s="6">
        <f t="shared" si="4"/>
        <v>4</v>
      </c>
      <c r="Q15" s="6">
        <f>'[2]production scheduler'!K$12</f>
        <v>2100</v>
      </c>
      <c r="R15" s="6">
        <f t="shared" si="5"/>
        <v>3</v>
      </c>
      <c r="S15" s="6">
        <f>'[2]production scheduler'!L$12</f>
        <v>1400</v>
      </c>
      <c r="T15" s="6">
        <f t="shared" si="6"/>
        <v>2</v>
      </c>
      <c r="U15" s="6">
        <f>'[2]production scheduler'!M$12</f>
        <v>2100</v>
      </c>
      <c r="V15" s="6">
        <f t="shared" si="7"/>
        <v>3</v>
      </c>
      <c r="W15" s="6">
        <f>'[2]production scheduler'!N$12</f>
        <v>2100</v>
      </c>
      <c r="X15" s="6">
        <f t="shared" si="8"/>
        <v>3</v>
      </c>
      <c r="Y15" s="6">
        <f>'[2]production scheduler'!O$12</f>
        <v>4200</v>
      </c>
      <c r="Z15" s="6">
        <f t="shared" si="8"/>
        <v>6</v>
      </c>
      <c r="AA15" s="7">
        <f t="shared" si="9"/>
        <v>27300</v>
      </c>
      <c r="AB15" s="123">
        <f t="shared" si="10"/>
        <v>0</v>
      </c>
      <c r="AC15" s="62">
        <f>AB15*800</f>
        <v>0</v>
      </c>
    </row>
    <row r="16" spans="1:29" ht="20.100000000000001" customHeight="1" thickBot="1" x14ac:dyDescent="0.3">
      <c r="B16" s="3" t="s">
        <v>18</v>
      </c>
      <c r="C16" s="16">
        <f t="shared" ref="C16:AA16" si="11">SUM(C7:C15)</f>
        <v>90000</v>
      </c>
      <c r="D16" s="16">
        <f t="shared" si="11"/>
        <v>128.57142857142856</v>
      </c>
      <c r="E16" s="16">
        <f t="shared" si="11"/>
        <v>98325</v>
      </c>
      <c r="F16" s="16">
        <f t="shared" si="11"/>
        <v>140.46428571428572</v>
      </c>
      <c r="G16" s="16">
        <f t="shared" si="11"/>
        <v>131025</v>
      </c>
      <c r="H16" s="16">
        <f t="shared" si="11"/>
        <v>187.17857142857144</v>
      </c>
      <c r="I16" s="16">
        <f t="shared" si="11"/>
        <v>119050</v>
      </c>
      <c r="J16" s="16">
        <f t="shared" si="11"/>
        <v>170.07142857142856</v>
      </c>
      <c r="K16" s="16">
        <f t="shared" si="11"/>
        <v>73250</v>
      </c>
      <c r="L16" s="16">
        <f t="shared" si="11"/>
        <v>104.64285714285714</v>
      </c>
      <c r="M16" s="16">
        <f t="shared" si="11"/>
        <v>105100</v>
      </c>
      <c r="N16" s="16">
        <f t="shared" ref="N16" si="12">SUM(N7:N15)</f>
        <v>150.14285714285714</v>
      </c>
      <c r="O16" s="16">
        <f t="shared" si="11"/>
        <v>109225</v>
      </c>
      <c r="P16" s="16">
        <f t="shared" ref="P16" si="13">SUM(P7:P15)</f>
        <v>156.03571428571428</v>
      </c>
      <c r="Q16" s="16">
        <f t="shared" si="11"/>
        <v>103000</v>
      </c>
      <c r="R16" s="16">
        <f t="shared" ref="R16" si="14">SUM(R7:R15)</f>
        <v>147.14285714285714</v>
      </c>
      <c r="S16" s="16">
        <f t="shared" si="11"/>
        <v>94600</v>
      </c>
      <c r="T16" s="16">
        <f t="shared" ref="T16" si="15">SUM(T7:T15)</f>
        <v>135.14285714285714</v>
      </c>
      <c r="U16" s="16">
        <f t="shared" si="11"/>
        <v>103700</v>
      </c>
      <c r="V16" s="16">
        <f t="shared" ref="V16" si="16">SUM(V7:V15)</f>
        <v>148.14285714285714</v>
      </c>
      <c r="W16" s="16">
        <f t="shared" si="11"/>
        <v>121900</v>
      </c>
      <c r="X16" s="16">
        <f t="shared" ref="X16:Z16" si="17">SUM(X7:X15)</f>
        <v>174.14285714285714</v>
      </c>
      <c r="Y16" s="16">
        <f t="shared" si="11"/>
        <v>133275</v>
      </c>
      <c r="Z16" s="16">
        <f t="shared" si="17"/>
        <v>190.39285714285714</v>
      </c>
      <c r="AA16" s="55">
        <f t="shared" si="11"/>
        <v>1282450</v>
      </c>
      <c r="AB16" s="122">
        <f>SUM(AB7:AB15)</f>
        <v>238947.14285714284</v>
      </c>
      <c r="AC16" s="56">
        <f>SUM(AC7:AC15)</f>
        <v>128591361.42857143</v>
      </c>
    </row>
    <row r="17" spans="2:29" ht="20.100000000000001" customHeight="1" x14ac:dyDescent="0.25">
      <c r="C17" s="18"/>
      <c r="D17" s="18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20"/>
      <c r="AB17" s="27"/>
      <c r="AC17" s="27"/>
    </row>
    <row r="18" spans="2:29" ht="20.100000000000001" customHeight="1" x14ac:dyDescent="0.3">
      <c r="B18" s="21" t="s">
        <v>19</v>
      </c>
      <c r="C18" s="22">
        <f>'[2]production scheduler'!D$20</f>
        <v>1150</v>
      </c>
      <c r="D18" s="22">
        <f>1432</f>
        <v>1432</v>
      </c>
      <c r="E18" s="22">
        <f>'[2]production scheduler'!E$20</f>
        <v>1150</v>
      </c>
      <c r="F18" s="22">
        <f>1432</f>
        <v>1432</v>
      </c>
      <c r="G18" s="22">
        <f>'[2]production scheduler'!F$20</f>
        <v>1150</v>
      </c>
      <c r="H18" s="22">
        <f>1432</f>
        <v>1432</v>
      </c>
      <c r="I18" s="22">
        <f>'[2]production scheduler'!G$20</f>
        <v>1150</v>
      </c>
      <c r="J18" s="22">
        <f>1432</f>
        <v>1432</v>
      </c>
      <c r="K18" s="22">
        <f>'[2]production scheduler'!H$20</f>
        <v>1150</v>
      </c>
      <c r="L18" s="22">
        <f>1432</f>
        <v>1432</v>
      </c>
      <c r="M18" s="22">
        <f>'[2]production scheduler'!I$20</f>
        <v>1150</v>
      </c>
      <c r="N18" s="22">
        <f>1432</f>
        <v>1432</v>
      </c>
      <c r="O18" s="22">
        <f>'[2]production scheduler'!J$20</f>
        <v>1150</v>
      </c>
      <c r="P18" s="22">
        <f>1432</f>
        <v>1432</v>
      </c>
      <c r="Q18" s="22">
        <f>'[2]production scheduler'!K$20</f>
        <v>1150</v>
      </c>
      <c r="R18" s="22">
        <f>1432</f>
        <v>1432</v>
      </c>
      <c r="S18" s="22">
        <f>'[2]production scheduler'!L$20</f>
        <v>1150</v>
      </c>
      <c r="T18" s="22">
        <f>1432</f>
        <v>1432</v>
      </c>
      <c r="U18" s="22">
        <f>'[2]production scheduler'!M$20</f>
        <v>1150</v>
      </c>
      <c r="V18" s="22">
        <f>1432</f>
        <v>1432</v>
      </c>
      <c r="W18" s="22">
        <f>'[2]production scheduler'!N$20</f>
        <v>1150</v>
      </c>
      <c r="X18" s="22">
        <f>1432</f>
        <v>1432</v>
      </c>
      <c r="Y18" s="22">
        <f>'[2]production scheduler'!O$20</f>
        <v>2300</v>
      </c>
      <c r="Z18" s="22">
        <f>1432</f>
        <v>1432</v>
      </c>
      <c r="AA18" s="7">
        <f>SUM(C18:Y18)</f>
        <v>30702</v>
      </c>
      <c r="AB18" s="123">
        <f>SUM(D18,F18,H18,J18,L18,N18,P18,R18,T18,V18,X18,Z18)</f>
        <v>17184</v>
      </c>
      <c r="AC18" s="57">
        <f>AC16/17300</f>
        <v>7433.0266721717589</v>
      </c>
    </row>
    <row r="19" spans="2:29" ht="20.100000000000001" hidden="1" customHeight="1" x14ac:dyDescent="0.25"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7">
        <f>SUM(C19:Y19)</f>
        <v>0</v>
      </c>
      <c r="AB19" s="89"/>
      <c r="AC19" s="63" t="s">
        <v>49</v>
      </c>
    </row>
    <row r="20" spans="2:29" ht="20.100000000000001" customHeight="1" x14ac:dyDescent="0.25">
      <c r="B20" s="14" t="s">
        <v>20</v>
      </c>
      <c r="C20" s="6">
        <f>'[2]production scheduler'!D$19</f>
        <v>3600</v>
      </c>
      <c r="D20" s="6">
        <f>2800</f>
        <v>2800</v>
      </c>
      <c r="E20" s="6">
        <f>'[2]production scheduler'!E$19</f>
        <v>3600</v>
      </c>
      <c r="F20" s="6">
        <f>2800</f>
        <v>2800</v>
      </c>
      <c r="G20" s="6">
        <f>'[2]production scheduler'!F$19</f>
        <v>3600</v>
      </c>
      <c r="H20" s="6">
        <f>2800</f>
        <v>2800</v>
      </c>
      <c r="I20" s="6">
        <f>'[2]production scheduler'!G$19</f>
        <v>3600</v>
      </c>
      <c r="J20" s="6">
        <f>2800</f>
        <v>2800</v>
      </c>
      <c r="K20" s="6">
        <f>'[2]production scheduler'!H$19</f>
        <v>1800</v>
      </c>
      <c r="L20" s="6">
        <f>2800</f>
        <v>2800</v>
      </c>
      <c r="M20" s="6">
        <f>'[2]production scheduler'!I$19</f>
        <v>1800</v>
      </c>
      <c r="N20" s="6">
        <f>2800</f>
        <v>2800</v>
      </c>
      <c r="O20" s="6">
        <f>'[2]production scheduler'!J$19</f>
        <v>3600</v>
      </c>
      <c r="P20" s="6">
        <f>2800</f>
        <v>2800</v>
      </c>
      <c r="Q20" s="6">
        <f>'[2]production scheduler'!K$19</f>
        <v>3600</v>
      </c>
      <c r="R20" s="6">
        <f>2800</f>
        <v>2800</v>
      </c>
      <c r="S20" s="6">
        <f>'[2]production scheduler'!L$19</f>
        <v>3600</v>
      </c>
      <c r="T20" s="6">
        <f>2800</f>
        <v>2800</v>
      </c>
      <c r="U20" s="6">
        <f>'[2]production scheduler'!M$19</f>
        <v>3600</v>
      </c>
      <c r="V20" s="6">
        <f>2800</f>
        <v>2800</v>
      </c>
      <c r="W20" s="6">
        <f>'[2]production scheduler'!N$19</f>
        <v>3600</v>
      </c>
      <c r="X20" s="6">
        <f>2800</f>
        <v>2800</v>
      </c>
      <c r="Y20" s="6">
        <f>'[2]production scheduler'!O$19</f>
        <v>3600</v>
      </c>
      <c r="Z20" s="6">
        <f>2800</f>
        <v>2800</v>
      </c>
      <c r="AA20" s="7">
        <f>SUM(C20:Y20)</f>
        <v>70400</v>
      </c>
      <c r="AB20" s="123">
        <f>SUM(D20,F20,H20,J20,L20,N20,P20,R20,T20,V20,X20,Z20)</f>
        <v>33600</v>
      </c>
      <c r="AC20" s="51"/>
    </row>
    <row r="21" spans="2:29" ht="20.100000000000001" customHeight="1" x14ac:dyDescent="0.25">
      <c r="B21" s="3" t="s">
        <v>21</v>
      </c>
      <c r="C21" s="16">
        <f>SUM(C18:C20)</f>
        <v>4750</v>
      </c>
      <c r="D21" s="16"/>
      <c r="E21" s="16">
        <f t="shared" ref="E21:Y21" si="18">SUM(E18:E20)</f>
        <v>4750</v>
      </c>
      <c r="F21" s="16"/>
      <c r="G21" s="16">
        <f t="shared" si="18"/>
        <v>4750</v>
      </c>
      <c r="H21" s="16"/>
      <c r="I21" s="16">
        <f t="shared" si="18"/>
        <v>4750</v>
      </c>
      <c r="J21" s="16"/>
      <c r="K21" s="16">
        <f t="shared" si="18"/>
        <v>2950</v>
      </c>
      <c r="L21" s="16"/>
      <c r="M21" s="16">
        <f t="shared" si="18"/>
        <v>2950</v>
      </c>
      <c r="N21" s="16"/>
      <c r="O21" s="16">
        <f t="shared" si="18"/>
        <v>4750</v>
      </c>
      <c r="P21" s="16"/>
      <c r="Q21" s="16">
        <f t="shared" si="18"/>
        <v>4750</v>
      </c>
      <c r="R21" s="16"/>
      <c r="S21" s="16">
        <f t="shared" si="18"/>
        <v>4750</v>
      </c>
      <c r="T21" s="16"/>
      <c r="U21" s="16">
        <f t="shared" si="18"/>
        <v>4750</v>
      </c>
      <c r="V21" s="16"/>
      <c r="W21" s="16">
        <f t="shared" si="18"/>
        <v>4750</v>
      </c>
      <c r="X21" s="16"/>
      <c r="Y21" s="16">
        <f t="shared" si="18"/>
        <v>5900</v>
      </c>
      <c r="Z21" s="16"/>
      <c r="AA21" s="17">
        <f>SUM(AA18:AA20)</f>
        <v>101102</v>
      </c>
      <c r="AB21" s="121">
        <f>SUM(AB18:AB20)</f>
        <v>50784</v>
      </c>
      <c r="AC21" s="42"/>
    </row>
    <row r="22" spans="2:29" ht="20.100000000000001" customHeight="1" x14ac:dyDescent="0.25"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4"/>
      <c r="AB22" s="52"/>
      <c r="AC22" s="52"/>
    </row>
    <row r="23" spans="2:29" ht="20.100000000000001" customHeight="1" x14ac:dyDescent="0.25">
      <c r="B23" s="21" t="s">
        <v>22</v>
      </c>
      <c r="C23" s="25">
        <f>'[2]production scheduler'!D$24</f>
        <v>700</v>
      </c>
      <c r="D23" s="25">
        <v>550</v>
      </c>
      <c r="E23" s="25">
        <f>'[2]production scheduler'!E$24</f>
        <v>700</v>
      </c>
      <c r="F23" s="25">
        <v>550</v>
      </c>
      <c r="G23" s="25">
        <f>'[2]production scheduler'!F$24</f>
        <v>700</v>
      </c>
      <c r="H23" s="25">
        <v>550</v>
      </c>
      <c r="I23" s="25">
        <f>'[2]production scheduler'!G$24</f>
        <v>700</v>
      </c>
      <c r="J23" s="25">
        <v>550</v>
      </c>
      <c r="K23" s="25">
        <f>'[2]production scheduler'!H$24</f>
        <v>700</v>
      </c>
      <c r="L23" s="25">
        <v>550</v>
      </c>
      <c r="M23" s="25">
        <f>'[2]production scheduler'!I$24</f>
        <v>1400</v>
      </c>
      <c r="N23" s="25">
        <f>550*2</f>
        <v>1100</v>
      </c>
      <c r="O23" s="25">
        <f>'[2]production scheduler'!J$24</f>
        <v>700</v>
      </c>
      <c r="P23" s="25">
        <v>550</v>
      </c>
      <c r="Q23" s="25">
        <f>'[2]production scheduler'!K$24</f>
        <v>700</v>
      </c>
      <c r="R23" s="25">
        <v>550</v>
      </c>
      <c r="S23" s="25">
        <f>'[2]production scheduler'!L$24</f>
        <v>700</v>
      </c>
      <c r="T23" s="25">
        <v>550</v>
      </c>
      <c r="U23" s="25">
        <f>'[2]production scheduler'!M$24</f>
        <v>700</v>
      </c>
      <c r="V23" s="25">
        <v>550</v>
      </c>
      <c r="W23" s="25">
        <f>'[2]production scheduler'!N$24</f>
        <v>700</v>
      </c>
      <c r="X23" s="25">
        <v>550</v>
      </c>
      <c r="Y23" s="25">
        <f>'[2]production scheduler'!O$24</f>
        <v>2800</v>
      </c>
      <c r="Z23" s="12">
        <f>550*4</f>
        <v>2200</v>
      </c>
      <c r="AA23" s="7">
        <f>SUM(C23:Y23)</f>
        <v>17800</v>
      </c>
      <c r="AB23" s="123">
        <f>SUM(D23,F23,H23,J23,L23,N23,P23,R23,T23,V23,X23,Z23)</f>
        <v>8800</v>
      </c>
      <c r="AC23" s="51"/>
    </row>
    <row r="24" spans="2:29" ht="20.25" customHeight="1" x14ac:dyDescent="0.25">
      <c r="B24" s="5" t="s">
        <v>23</v>
      </c>
      <c r="C24" s="12">
        <f>'[2]production scheduler'!D$25</f>
        <v>700</v>
      </c>
      <c r="D24" s="12">
        <v>530</v>
      </c>
      <c r="E24" s="12">
        <f>'[2]production scheduler'!E$25</f>
        <v>700</v>
      </c>
      <c r="F24" s="12">
        <v>530</v>
      </c>
      <c r="G24" s="12">
        <f>'[2]production scheduler'!F$25</f>
        <v>700</v>
      </c>
      <c r="H24" s="12">
        <v>530</v>
      </c>
      <c r="I24" s="12">
        <f>'[2]production scheduler'!G$25</f>
        <v>700</v>
      </c>
      <c r="J24" s="12">
        <v>530</v>
      </c>
      <c r="K24" s="12">
        <f>'[2]production scheduler'!H$25</f>
        <v>700</v>
      </c>
      <c r="L24" s="12">
        <v>530</v>
      </c>
      <c r="M24" s="12">
        <f>'[2]production scheduler'!I$25</f>
        <v>700</v>
      </c>
      <c r="N24" s="12">
        <v>530</v>
      </c>
      <c r="O24" s="12">
        <f>'[2]production scheduler'!J$25</f>
        <v>700</v>
      </c>
      <c r="P24" s="12">
        <v>530</v>
      </c>
      <c r="Q24" s="12">
        <f>'[2]production scheduler'!K$25</f>
        <v>700</v>
      </c>
      <c r="R24" s="12">
        <v>530</v>
      </c>
      <c r="S24" s="12">
        <f>'[2]production scheduler'!L$25</f>
        <v>700</v>
      </c>
      <c r="T24" s="12">
        <v>530</v>
      </c>
      <c r="U24" s="12">
        <f>'[2]production scheduler'!M$25</f>
        <v>700</v>
      </c>
      <c r="V24" s="12">
        <v>530</v>
      </c>
      <c r="W24" s="12">
        <f>'[2]production scheduler'!N$25</f>
        <v>700</v>
      </c>
      <c r="X24" s="12">
        <v>530</v>
      </c>
      <c r="Y24" s="12">
        <f>'[2]production scheduler'!O$25</f>
        <v>1400</v>
      </c>
      <c r="Z24" s="12">
        <f>530*2</f>
        <v>1060</v>
      </c>
      <c r="AA24" s="7">
        <f>SUM(C24:Y24)</f>
        <v>14930</v>
      </c>
      <c r="AB24" s="123">
        <f>SUM(D24,F24,H24,J24,L24,N24,P24,R24,T24,V24,X24,Z24)</f>
        <v>6890</v>
      </c>
      <c r="AC24" s="51"/>
    </row>
    <row r="25" spans="2:29" ht="20.25" customHeight="1" x14ac:dyDescent="0.25">
      <c r="B25" s="5" t="s">
        <v>24</v>
      </c>
      <c r="C25" s="12">
        <f>'[2]production scheduler'!D$26</f>
        <v>1400</v>
      </c>
      <c r="D25" s="12">
        <f>590*2</f>
        <v>1180</v>
      </c>
      <c r="E25" s="12">
        <f>'[2]production scheduler'!E$26</f>
        <v>1400</v>
      </c>
      <c r="F25" s="12">
        <f>590*2</f>
        <v>1180</v>
      </c>
      <c r="G25" s="12">
        <f>'[2]production scheduler'!F$26</f>
        <v>1400</v>
      </c>
      <c r="H25" s="12">
        <f>590*2</f>
        <v>1180</v>
      </c>
      <c r="I25" s="12">
        <f>'[2]production scheduler'!G$26</f>
        <v>1400</v>
      </c>
      <c r="J25" s="12">
        <f>590*2</f>
        <v>1180</v>
      </c>
      <c r="K25" s="12">
        <f>'[2]production scheduler'!H$26</f>
        <v>1400</v>
      </c>
      <c r="L25" s="12">
        <f>590*2</f>
        <v>1180</v>
      </c>
      <c r="M25" s="12">
        <f>'[2]production scheduler'!I$26</f>
        <v>700</v>
      </c>
      <c r="N25" s="12">
        <v>590</v>
      </c>
      <c r="O25" s="12">
        <f>'[2]production scheduler'!J$26</f>
        <v>1400</v>
      </c>
      <c r="P25" s="12">
        <f>590*2</f>
        <v>1180</v>
      </c>
      <c r="Q25" s="12">
        <f>'[2]production scheduler'!K$26</f>
        <v>2100</v>
      </c>
      <c r="R25" s="12">
        <f>(Q25/700)*590</f>
        <v>1770</v>
      </c>
      <c r="S25" s="12">
        <f>'[2]production scheduler'!L$26</f>
        <v>1400</v>
      </c>
      <c r="T25" s="12">
        <f>590*2</f>
        <v>1180</v>
      </c>
      <c r="U25" s="12">
        <f>'[2]production scheduler'!M$26</f>
        <v>1400</v>
      </c>
      <c r="V25" s="12">
        <f>590*2</f>
        <v>1180</v>
      </c>
      <c r="W25" s="12">
        <f>'[2]production scheduler'!N$26</f>
        <v>2100</v>
      </c>
      <c r="X25" s="12">
        <f>(W25/700)*590</f>
        <v>1770</v>
      </c>
      <c r="Y25" s="12">
        <f>'[2]production scheduler'!O$26</f>
        <v>3500</v>
      </c>
      <c r="Z25" s="12">
        <f>(Y25/700)*590</f>
        <v>2950</v>
      </c>
      <c r="AA25" s="7">
        <f>SUM(C25:Y25)</f>
        <v>33170</v>
      </c>
      <c r="AB25" s="123">
        <f>SUM(D25,F25,H25,J25,L25,N25,P25,R25,T25,V25,X25,Z25)</f>
        <v>16520</v>
      </c>
      <c r="AC25" s="51"/>
    </row>
    <row r="26" spans="2:29" ht="20.25" customHeight="1" x14ac:dyDescent="0.25">
      <c r="B26" s="5" t="s">
        <v>25</v>
      </c>
      <c r="C26" s="12">
        <f>'[2]production scheduler'!D$22</f>
        <v>1500</v>
      </c>
      <c r="D26" s="12">
        <f>550*4</f>
        <v>2200</v>
      </c>
      <c r="E26" s="12">
        <f>'[2]production scheduler'!E$22</f>
        <v>1500</v>
      </c>
      <c r="F26" s="12">
        <f>550*4</f>
        <v>2200</v>
      </c>
      <c r="G26" s="12">
        <f>'[2]production scheduler'!F$22</f>
        <v>1500</v>
      </c>
      <c r="H26" s="12">
        <f>550*4</f>
        <v>2200</v>
      </c>
      <c r="I26" s="12">
        <f>'[2]production scheduler'!G$22</f>
        <v>1500</v>
      </c>
      <c r="J26" s="12">
        <f>550*4</f>
        <v>2200</v>
      </c>
      <c r="K26" s="12">
        <f>'[2]production scheduler'!H$22</f>
        <v>3000</v>
      </c>
      <c r="L26" s="12">
        <f>(K26/700)*550</f>
        <v>2357.1428571428569</v>
      </c>
      <c r="M26" s="12">
        <f>'[2]production scheduler'!I$22</f>
        <v>1500</v>
      </c>
      <c r="N26" s="12">
        <f>550*4</f>
        <v>2200</v>
      </c>
      <c r="O26" s="12">
        <f>'[2]production scheduler'!J$22</f>
        <v>1500</v>
      </c>
      <c r="P26" s="12">
        <f>550*4</f>
        <v>2200</v>
      </c>
      <c r="Q26" s="12">
        <f>'[2]production scheduler'!K$22</f>
        <v>1500</v>
      </c>
      <c r="R26" s="12">
        <f>550*4</f>
        <v>2200</v>
      </c>
      <c r="S26" s="12">
        <f>'[2]production scheduler'!L$22</f>
        <v>1500</v>
      </c>
      <c r="T26" s="12">
        <f>550*4</f>
        <v>2200</v>
      </c>
      <c r="U26" s="12">
        <f>'[2]production scheduler'!M$22</f>
        <v>1500</v>
      </c>
      <c r="V26" s="12">
        <f>550*4</f>
        <v>2200</v>
      </c>
      <c r="W26" s="12">
        <f>'[2]production scheduler'!N$22</f>
        <v>1500</v>
      </c>
      <c r="X26" s="12">
        <f>550*4</f>
        <v>2200</v>
      </c>
      <c r="Y26" s="12">
        <f>'[2]production scheduler'!O$22</f>
        <v>4500</v>
      </c>
      <c r="Z26" s="12">
        <f>Y26/700*550</f>
        <v>3535.7142857142858</v>
      </c>
      <c r="AA26" s="7">
        <f>SUM(C26:Y26)</f>
        <v>46857.142857142855</v>
      </c>
      <c r="AB26" s="123">
        <f>SUM(D26,F26,H26,J26,L26,N26,P26,R26,T26,V26,X26,Z26)</f>
        <v>27892.857142857141</v>
      </c>
      <c r="AC26" s="51"/>
    </row>
    <row r="27" spans="2:29" ht="20.25" hidden="1" customHeight="1" x14ac:dyDescent="0.25">
      <c r="B27" s="14" t="s">
        <v>26</v>
      </c>
      <c r="C27" s="26">
        <f>'[2]production scheduler'!D$23</f>
        <v>0</v>
      </c>
      <c r="D27" s="26"/>
      <c r="E27" s="26">
        <f>'[2]production scheduler'!E$23</f>
        <v>0</v>
      </c>
      <c r="F27" s="26"/>
      <c r="G27" s="26">
        <f>'[2]production scheduler'!F$23</f>
        <v>0</v>
      </c>
      <c r="H27" s="26"/>
      <c r="I27" s="26">
        <f>'[2]production scheduler'!G$23</f>
        <v>0</v>
      </c>
      <c r="J27" s="26"/>
      <c r="K27" s="26">
        <f>'[2]production scheduler'!H$23</f>
        <v>0</v>
      </c>
      <c r="L27" s="26"/>
      <c r="M27" s="26">
        <f>'[2]production scheduler'!I$23</f>
        <v>0</v>
      </c>
      <c r="N27" s="26"/>
      <c r="O27" s="26">
        <f>'[2]production scheduler'!J$23</f>
        <v>0</v>
      </c>
      <c r="P27" s="26"/>
      <c r="Q27" s="26">
        <f>'[2]production scheduler'!K$23</f>
        <v>0</v>
      </c>
      <c r="R27" s="26"/>
      <c r="S27" s="26">
        <f>'[2]production scheduler'!L$23</f>
        <v>0</v>
      </c>
      <c r="T27" s="26"/>
      <c r="U27" s="26">
        <f>'[2]production scheduler'!M$23</f>
        <v>0</v>
      </c>
      <c r="V27" s="26"/>
      <c r="W27" s="26">
        <f>'[2]production scheduler'!N$23</f>
        <v>0</v>
      </c>
      <c r="X27" s="26"/>
      <c r="Y27" s="26">
        <f>'[2]production scheduler'!O$23</f>
        <v>0</v>
      </c>
      <c r="Z27" s="12"/>
      <c r="AA27" s="7">
        <f>SUM(C27:Y27)</f>
        <v>0</v>
      </c>
      <c r="AB27" s="51"/>
      <c r="AC27" s="51"/>
    </row>
    <row r="28" spans="2:29" ht="20.100000000000001" customHeight="1" x14ac:dyDescent="0.25">
      <c r="B28" s="3" t="s">
        <v>27</v>
      </c>
      <c r="C28" s="16">
        <f t="shared" ref="C28:AA28" si="19">SUM(C23:C27)</f>
        <v>4300</v>
      </c>
      <c r="D28" s="16"/>
      <c r="E28" s="16">
        <f t="shared" si="19"/>
        <v>4300</v>
      </c>
      <c r="F28" s="16"/>
      <c r="G28" s="16">
        <f t="shared" si="19"/>
        <v>4300</v>
      </c>
      <c r="H28" s="16"/>
      <c r="I28" s="16">
        <f t="shared" si="19"/>
        <v>4300</v>
      </c>
      <c r="J28" s="16"/>
      <c r="K28" s="16">
        <f t="shared" si="19"/>
        <v>5800</v>
      </c>
      <c r="L28" s="16"/>
      <c r="M28" s="16">
        <f t="shared" si="19"/>
        <v>4300</v>
      </c>
      <c r="N28" s="16"/>
      <c r="O28" s="16">
        <f t="shared" si="19"/>
        <v>4300</v>
      </c>
      <c r="P28" s="16"/>
      <c r="Q28" s="16">
        <f t="shared" si="19"/>
        <v>5000</v>
      </c>
      <c r="R28" s="16"/>
      <c r="S28" s="16">
        <f t="shared" si="19"/>
        <v>4300</v>
      </c>
      <c r="T28" s="16"/>
      <c r="U28" s="16">
        <f t="shared" si="19"/>
        <v>4300</v>
      </c>
      <c r="V28" s="16"/>
      <c r="W28" s="16">
        <f t="shared" si="19"/>
        <v>5000</v>
      </c>
      <c r="X28" s="16"/>
      <c r="Y28" s="16">
        <f t="shared" si="19"/>
        <v>12200</v>
      </c>
      <c r="Z28" s="16"/>
      <c r="AA28" s="17">
        <f t="shared" si="19"/>
        <v>112757.14285714286</v>
      </c>
      <c r="AB28" s="121">
        <f>SUM(AB23:AB26)</f>
        <v>60102.857142857145</v>
      </c>
      <c r="AC28" s="42"/>
    </row>
    <row r="29" spans="2:29" ht="20.100000000000001" hidden="1" customHeight="1" x14ac:dyDescent="0.25"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</row>
    <row r="30" spans="2:29" ht="20.100000000000001" hidden="1" customHeight="1" x14ac:dyDescent="0.25">
      <c r="B30" s="3" t="s">
        <v>28</v>
      </c>
      <c r="C30" s="16">
        <f t="shared" ref="C30:AA30" si="20">C16+C28+C21</f>
        <v>99050</v>
      </c>
      <c r="D30" s="16"/>
      <c r="E30" s="16">
        <f t="shared" si="20"/>
        <v>107375</v>
      </c>
      <c r="F30" s="16"/>
      <c r="G30" s="16">
        <f t="shared" si="20"/>
        <v>140075</v>
      </c>
      <c r="H30" s="16"/>
      <c r="I30" s="16">
        <f t="shared" si="20"/>
        <v>128100</v>
      </c>
      <c r="J30" s="16"/>
      <c r="K30" s="16">
        <f t="shared" si="20"/>
        <v>82000</v>
      </c>
      <c r="L30" s="16"/>
      <c r="M30" s="16">
        <f t="shared" si="20"/>
        <v>112350</v>
      </c>
      <c r="N30" s="16"/>
      <c r="O30" s="16">
        <f t="shared" si="20"/>
        <v>118275</v>
      </c>
      <c r="P30" s="16"/>
      <c r="Q30" s="16">
        <f t="shared" si="20"/>
        <v>112750</v>
      </c>
      <c r="R30" s="16"/>
      <c r="S30" s="16">
        <f t="shared" si="20"/>
        <v>103650</v>
      </c>
      <c r="T30" s="16"/>
      <c r="U30" s="16">
        <f t="shared" si="20"/>
        <v>112750</v>
      </c>
      <c r="V30" s="16"/>
      <c r="W30" s="16">
        <f t="shared" si="20"/>
        <v>131650</v>
      </c>
      <c r="X30" s="16"/>
      <c r="Y30" s="16">
        <f t="shared" si="20"/>
        <v>151375</v>
      </c>
      <c r="Z30" s="16"/>
      <c r="AA30" s="17">
        <f t="shared" si="20"/>
        <v>1496309.142857143</v>
      </c>
      <c r="AB30" s="42"/>
      <c r="AC30" s="42"/>
    </row>
    <row r="31" spans="2:29" ht="20.100000000000001" hidden="1" customHeight="1" x14ac:dyDescent="0.25"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23"/>
      <c r="AC31" s="23"/>
    </row>
    <row r="32" spans="2:29" ht="20.100000000000001" customHeight="1" x14ac:dyDescent="0.25">
      <c r="B32" s="1" t="s">
        <v>29</v>
      </c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9"/>
      <c r="AB32" s="23"/>
      <c r="AC32" s="23"/>
    </row>
    <row r="33" spans="2:29" ht="20.100000000000001" customHeight="1" x14ac:dyDescent="0.25">
      <c r="B33" s="30" t="s">
        <v>30</v>
      </c>
      <c r="C33" s="25">
        <f>'[2]production scheduler'!D27</f>
        <v>700</v>
      </c>
      <c r="D33" s="25">
        <v>2220</v>
      </c>
      <c r="E33" s="25">
        <f>'[2]production scheduler'!E27</f>
        <v>1400</v>
      </c>
      <c r="F33" s="25">
        <f>2220*2</f>
        <v>4440</v>
      </c>
      <c r="G33" s="25">
        <f>'[2]production scheduler'!F27</f>
        <v>700</v>
      </c>
      <c r="H33" s="25">
        <v>2220</v>
      </c>
      <c r="I33" s="25">
        <f>'[2]production scheduler'!G27</f>
        <v>700</v>
      </c>
      <c r="J33" s="25">
        <v>2220</v>
      </c>
      <c r="K33" s="25">
        <f>'[2]production scheduler'!H27</f>
        <v>700</v>
      </c>
      <c r="L33" s="25">
        <v>2220</v>
      </c>
      <c r="M33" s="25">
        <f>'[2]production scheduler'!I27</f>
        <v>700</v>
      </c>
      <c r="N33" s="25">
        <v>2220</v>
      </c>
      <c r="O33" s="25">
        <f>'[2]production scheduler'!J27</f>
        <v>1400</v>
      </c>
      <c r="P33" s="25">
        <f>2220*2</f>
        <v>4440</v>
      </c>
      <c r="Q33" s="25">
        <f>'[2]production scheduler'!K27</f>
        <v>700</v>
      </c>
      <c r="R33" s="25">
        <v>2220</v>
      </c>
      <c r="S33" s="25">
        <f>'[2]production scheduler'!L27</f>
        <v>700</v>
      </c>
      <c r="T33" s="25">
        <v>2220</v>
      </c>
      <c r="U33" s="25">
        <f>'[2]production scheduler'!M27</f>
        <v>1400</v>
      </c>
      <c r="V33" s="25">
        <f>2220*2</f>
        <v>4440</v>
      </c>
      <c r="W33" s="25">
        <f>'[2]production scheduler'!N27</f>
        <v>2800</v>
      </c>
      <c r="X33" s="25">
        <f>W33/700*2220</f>
        <v>8880</v>
      </c>
      <c r="Y33" s="25">
        <f>'[2]production scheduler'!O27</f>
        <v>0</v>
      </c>
      <c r="Z33" s="12">
        <v>0</v>
      </c>
      <c r="AA33" s="7">
        <f t="shared" ref="AA33:AA39" si="21">SUM(C33:Y33)</f>
        <v>49640</v>
      </c>
      <c r="AB33" s="123">
        <f>SUM(D33,F33,H33,J33,L33,N33,P33,R33,T33,V33,X33,Z33)</f>
        <v>37740</v>
      </c>
      <c r="AC33" s="51"/>
    </row>
    <row r="34" spans="2:29" ht="20.100000000000001" hidden="1" customHeight="1" x14ac:dyDescent="0.25">
      <c r="B34" s="30" t="s">
        <v>17</v>
      </c>
      <c r="C34" s="31">
        <f>+'[2]production scheduler'!D13</f>
        <v>0</v>
      </c>
      <c r="D34" s="31"/>
      <c r="E34" s="6">
        <f>+'[2]production scheduler'!E13</f>
        <v>0</v>
      </c>
      <c r="F34" s="6"/>
      <c r="G34" s="6">
        <f>+'[2]production scheduler'!F13</f>
        <v>0</v>
      </c>
      <c r="H34" s="6"/>
      <c r="I34" s="6">
        <f>+'[2]production scheduler'!G13</f>
        <v>0</v>
      </c>
      <c r="J34" s="6"/>
      <c r="K34" s="6">
        <f>+'[2]production scheduler'!H13</f>
        <v>0</v>
      </c>
      <c r="L34" s="6"/>
      <c r="M34" s="6">
        <f>+'[2]production scheduler'!I13</f>
        <v>0</v>
      </c>
      <c r="N34" s="6"/>
      <c r="O34" s="6">
        <f>+'[2]production scheduler'!J13</f>
        <v>0</v>
      </c>
      <c r="P34" s="6"/>
      <c r="Q34" s="6">
        <f>+'[2]production scheduler'!K13</f>
        <v>0</v>
      </c>
      <c r="R34" s="6"/>
      <c r="S34" s="6">
        <f>+'[2]production scheduler'!L13</f>
        <v>0</v>
      </c>
      <c r="T34" s="6"/>
      <c r="U34" s="6">
        <f>+'[2]production scheduler'!M13</f>
        <v>0</v>
      </c>
      <c r="V34" s="6"/>
      <c r="W34" s="6">
        <f>+'[2]production scheduler'!N13</f>
        <v>0</v>
      </c>
      <c r="X34" s="6"/>
      <c r="Y34" s="6">
        <f>+'[2]production scheduler'!O13</f>
        <v>0</v>
      </c>
      <c r="Z34" s="6"/>
      <c r="AA34" s="7">
        <f t="shared" si="21"/>
        <v>0</v>
      </c>
      <c r="AB34" s="89"/>
      <c r="AC34" s="51"/>
    </row>
    <row r="35" spans="2:29" ht="20.100000000000001" customHeight="1" x14ac:dyDescent="0.25">
      <c r="B35" s="30" t="s">
        <v>10</v>
      </c>
      <c r="C35" s="12">
        <f>+'[2]production scheduler'!D7</f>
        <v>9800</v>
      </c>
      <c r="D35" s="12">
        <f>(C35/700)*50</f>
        <v>700</v>
      </c>
      <c r="E35" s="12">
        <f>+'[2]production scheduler'!E7</f>
        <v>9800</v>
      </c>
      <c r="F35" s="12">
        <f>(E35/700)*50</f>
        <v>700</v>
      </c>
      <c r="G35" s="12">
        <f>+'[2]production scheduler'!F7</f>
        <v>5600</v>
      </c>
      <c r="H35" s="12">
        <f>(G35/700)*50</f>
        <v>400</v>
      </c>
      <c r="I35" s="12">
        <f>+'[2]production scheduler'!G7</f>
        <v>3500</v>
      </c>
      <c r="J35" s="12">
        <f>(I35/700)*50</f>
        <v>250</v>
      </c>
      <c r="K35" s="12">
        <f>+'[2]production scheduler'!H7</f>
        <v>3500</v>
      </c>
      <c r="L35" s="12">
        <f>(K35/700)*50</f>
        <v>250</v>
      </c>
      <c r="M35" s="12">
        <f>+'[2]production scheduler'!I7</f>
        <v>9800</v>
      </c>
      <c r="N35" s="12">
        <f>(M35/700)*50</f>
        <v>700</v>
      </c>
      <c r="O35" s="12">
        <f>+'[2]production scheduler'!J7</f>
        <v>7000</v>
      </c>
      <c r="P35" s="12">
        <f>(O35/700)*50</f>
        <v>500</v>
      </c>
      <c r="Q35" s="12">
        <f>+'[2]production scheduler'!K7</f>
        <v>7700</v>
      </c>
      <c r="R35" s="12">
        <f>(Q35/700)*50</f>
        <v>550</v>
      </c>
      <c r="S35" s="12">
        <f>+'[2]production scheduler'!L7</f>
        <v>9800</v>
      </c>
      <c r="T35" s="12">
        <f>(S35/700)*50</f>
        <v>700</v>
      </c>
      <c r="U35" s="12">
        <f>+'[2]production scheduler'!M7</f>
        <v>9800</v>
      </c>
      <c r="V35" s="12">
        <f>(U35/700)*50</f>
        <v>700</v>
      </c>
      <c r="W35" s="12">
        <f>+'[2]production scheduler'!N7</f>
        <v>18200</v>
      </c>
      <c r="X35" s="12">
        <f>(W35/700)*50</f>
        <v>1300</v>
      </c>
      <c r="Y35" s="12">
        <f>+'[2]production scheduler'!O7</f>
        <v>0</v>
      </c>
      <c r="Z35" s="12">
        <f>(Y35/700)*50</f>
        <v>0</v>
      </c>
      <c r="AA35" s="7">
        <f t="shared" si="21"/>
        <v>101250</v>
      </c>
      <c r="AB35" s="123">
        <f>SUM(D35,F35,H35,J35,L35,N35,P35,R35,T35,V35,X35,Z35)</f>
        <v>6750</v>
      </c>
      <c r="AC35" s="51"/>
    </row>
    <row r="36" spans="2:29" ht="20.100000000000001" hidden="1" customHeight="1" x14ac:dyDescent="0.25">
      <c r="B36" s="30" t="s">
        <v>13</v>
      </c>
      <c r="C36" s="12">
        <f>+'[2]Sales-live'!C85</f>
        <v>0</v>
      </c>
      <c r="D36" s="12"/>
      <c r="E36" s="12">
        <f>+'[2]Sales-live'!D85</f>
        <v>0</v>
      </c>
      <c r="F36" s="12"/>
      <c r="G36" s="12">
        <f>+'[2]Sales-live'!E85</f>
        <v>0</v>
      </c>
      <c r="H36" s="12"/>
      <c r="I36" s="12">
        <f>+'[2]Sales-live'!F85</f>
        <v>0</v>
      </c>
      <c r="J36" s="12"/>
      <c r="K36" s="12">
        <f>+'[2]Sales-live'!G85</f>
        <v>0</v>
      </c>
      <c r="L36" s="12"/>
      <c r="M36" s="12">
        <f>+'[2]Sales-live'!H85</f>
        <v>0</v>
      </c>
      <c r="N36" s="12"/>
      <c r="O36" s="12">
        <f>+'[2]Sales-live'!I85</f>
        <v>0</v>
      </c>
      <c r="P36" s="12"/>
      <c r="Q36" s="12">
        <f>+'[2]Sales-live'!J85</f>
        <v>0</v>
      </c>
      <c r="R36" s="12"/>
      <c r="S36" s="12">
        <f>+'[2]Sales-live'!K85</f>
        <v>0</v>
      </c>
      <c r="T36" s="12"/>
      <c r="U36" s="12">
        <f>+'[2]Sales-live'!L85</f>
        <v>0</v>
      </c>
      <c r="V36" s="12"/>
      <c r="W36" s="12">
        <f>+'[2]Sales-live'!M85</f>
        <v>0</v>
      </c>
      <c r="X36" s="12"/>
      <c r="Y36" s="12">
        <f>+'[2]Sales-live'!N85</f>
        <v>0</v>
      </c>
      <c r="Z36" s="12"/>
      <c r="AA36" s="7">
        <f t="shared" si="21"/>
        <v>0</v>
      </c>
      <c r="AB36" s="51"/>
      <c r="AC36" s="51"/>
    </row>
    <row r="37" spans="2:29" ht="20.100000000000001" hidden="1" customHeight="1" x14ac:dyDescent="0.25">
      <c r="B37" s="30" t="s">
        <v>16</v>
      </c>
      <c r="C37" s="31">
        <f>+'[2]production scheduler'!D10</f>
        <v>0</v>
      </c>
      <c r="D37" s="31"/>
      <c r="E37" s="31">
        <f>+'[2]production scheduler'!E10</f>
        <v>0</v>
      </c>
      <c r="F37" s="31"/>
      <c r="G37" s="31">
        <f>+'[2]production scheduler'!F10</f>
        <v>0</v>
      </c>
      <c r="H37" s="31"/>
      <c r="I37" s="31">
        <f>+'[2]production scheduler'!G10</f>
        <v>0</v>
      </c>
      <c r="J37" s="31"/>
      <c r="K37" s="31">
        <f>+'[2]production scheduler'!H10</f>
        <v>0</v>
      </c>
      <c r="L37" s="31"/>
      <c r="M37" s="31">
        <f>+'[2]production scheduler'!I10</f>
        <v>0</v>
      </c>
      <c r="N37" s="31"/>
      <c r="O37" s="31">
        <f>+'[2]production scheduler'!J10</f>
        <v>0</v>
      </c>
      <c r="P37" s="31"/>
      <c r="Q37" s="31">
        <f>+'[2]production scheduler'!K10</f>
        <v>0</v>
      </c>
      <c r="R37" s="31"/>
      <c r="S37" s="31">
        <f>+'[2]production scheduler'!L10</f>
        <v>0</v>
      </c>
      <c r="T37" s="31"/>
      <c r="U37" s="31">
        <f>+'[2]production scheduler'!M10</f>
        <v>0</v>
      </c>
      <c r="V37" s="31"/>
      <c r="W37" s="31">
        <f>+'[2]production scheduler'!N10</f>
        <v>0</v>
      </c>
      <c r="X37" s="31"/>
      <c r="Y37" s="31">
        <f>+'[2]production scheduler'!O10</f>
        <v>0</v>
      </c>
      <c r="Z37" s="31"/>
      <c r="AA37" s="7">
        <f t="shared" si="21"/>
        <v>0</v>
      </c>
      <c r="AB37" s="51"/>
      <c r="AC37" s="51"/>
    </row>
    <row r="38" spans="2:29" s="36" customFormat="1" ht="20.100000000000001" hidden="1" customHeight="1" x14ac:dyDescent="0.25">
      <c r="B38" s="33" t="s">
        <v>31</v>
      </c>
      <c r="C38" s="34">
        <f>+'[2]Sales-live'!C84</f>
        <v>0</v>
      </c>
      <c r="D38" s="34"/>
      <c r="E38" s="34">
        <f>+'[2]Sales-live'!D84</f>
        <v>0</v>
      </c>
      <c r="F38" s="34"/>
      <c r="G38" s="34">
        <f>+'[2]Sales-live'!E84</f>
        <v>0</v>
      </c>
      <c r="H38" s="34"/>
      <c r="I38" s="34">
        <f>+'[2]Sales-live'!F84</f>
        <v>0</v>
      </c>
      <c r="J38" s="34"/>
      <c r="K38" s="34">
        <f>+'[2]Sales-live'!G84</f>
        <v>0</v>
      </c>
      <c r="L38" s="34"/>
      <c r="M38" s="34">
        <f>+'[2]Sales-live'!H84</f>
        <v>0</v>
      </c>
      <c r="N38" s="34"/>
      <c r="O38" s="34">
        <f>+'[2]Sales-live'!I84</f>
        <v>0</v>
      </c>
      <c r="P38" s="34"/>
      <c r="Q38" s="34">
        <f>+'[2]Sales-live'!J84</f>
        <v>0</v>
      </c>
      <c r="R38" s="34"/>
      <c r="S38" s="34">
        <f>+'[2]Sales-live'!K84</f>
        <v>0</v>
      </c>
      <c r="T38" s="34"/>
      <c r="U38" s="34">
        <f>+'[2]Sales-live'!L84</f>
        <v>0</v>
      </c>
      <c r="V38" s="34"/>
      <c r="W38" s="34">
        <f>+'[2]Sales-live'!M84</f>
        <v>0</v>
      </c>
      <c r="X38" s="34"/>
      <c r="Y38" s="34">
        <f>+'[2]Sales-live'!N84</f>
        <v>0</v>
      </c>
      <c r="Z38" s="34"/>
      <c r="AA38" s="35">
        <f t="shared" si="21"/>
        <v>0</v>
      </c>
      <c r="AB38" s="53"/>
      <c r="AC38" s="53"/>
    </row>
    <row r="39" spans="2:29" ht="20.100000000000001" hidden="1" customHeight="1" x14ac:dyDescent="0.25">
      <c r="B39" s="40" t="s">
        <v>32</v>
      </c>
      <c r="C39" s="26">
        <f>+'[2]production scheduler'!D18</f>
        <v>0</v>
      </c>
      <c r="D39" s="26"/>
      <c r="E39" s="26">
        <f>+'[2]production scheduler'!E18</f>
        <v>0</v>
      </c>
      <c r="F39" s="26"/>
      <c r="G39" s="26">
        <f>+'[2]production scheduler'!F18</f>
        <v>0</v>
      </c>
      <c r="H39" s="26"/>
      <c r="I39" s="26">
        <f>+'[2]production scheduler'!G18</f>
        <v>0</v>
      </c>
      <c r="J39" s="26"/>
      <c r="K39" s="26">
        <f>+'[2]production scheduler'!H18</f>
        <v>0</v>
      </c>
      <c r="L39" s="26"/>
      <c r="M39" s="26">
        <f>+'[2]production scheduler'!I18</f>
        <v>0</v>
      </c>
      <c r="N39" s="26"/>
      <c r="O39" s="26">
        <f>+'[2]production scheduler'!J18</f>
        <v>0</v>
      </c>
      <c r="P39" s="26"/>
      <c r="Q39" s="26">
        <f>+'[2]production scheduler'!K18</f>
        <v>0</v>
      </c>
      <c r="R39" s="26"/>
      <c r="S39" s="26">
        <f>+'[2]production scheduler'!L18</f>
        <v>0</v>
      </c>
      <c r="T39" s="26"/>
      <c r="U39" s="26">
        <f>+'[2]production scheduler'!M18</f>
        <v>0</v>
      </c>
      <c r="V39" s="26"/>
      <c r="W39" s="26">
        <f>+'[2]production scheduler'!N18</f>
        <v>0</v>
      </c>
      <c r="X39" s="26"/>
      <c r="Y39" s="26">
        <f>+'[2]production scheduler'!O18</f>
        <v>0</v>
      </c>
      <c r="Z39" s="12"/>
      <c r="AA39" s="7">
        <f t="shared" si="21"/>
        <v>0</v>
      </c>
      <c r="AB39" s="51"/>
      <c r="AC39" s="51"/>
    </row>
    <row r="40" spans="2:29" ht="20.100000000000001" hidden="1" customHeight="1" x14ac:dyDescent="0.25">
      <c r="B40" s="3" t="s">
        <v>33</v>
      </c>
      <c r="C40" s="16">
        <f t="shared" ref="C40:AA40" si="22">SUM(C33:C39)</f>
        <v>10500</v>
      </c>
      <c r="D40" s="16"/>
      <c r="E40" s="16">
        <f t="shared" si="22"/>
        <v>11200</v>
      </c>
      <c r="F40" s="16"/>
      <c r="G40" s="16">
        <f t="shared" si="22"/>
        <v>6300</v>
      </c>
      <c r="H40" s="16"/>
      <c r="I40" s="16">
        <f t="shared" si="22"/>
        <v>4200</v>
      </c>
      <c r="J40" s="16"/>
      <c r="K40" s="16">
        <f t="shared" si="22"/>
        <v>4200</v>
      </c>
      <c r="L40" s="16"/>
      <c r="M40" s="16">
        <f t="shared" si="22"/>
        <v>10500</v>
      </c>
      <c r="N40" s="16"/>
      <c r="O40" s="16">
        <f t="shared" si="22"/>
        <v>8400</v>
      </c>
      <c r="P40" s="16"/>
      <c r="Q40" s="16">
        <f t="shared" si="22"/>
        <v>8400</v>
      </c>
      <c r="R40" s="16"/>
      <c r="S40" s="16">
        <f t="shared" si="22"/>
        <v>10500</v>
      </c>
      <c r="T40" s="16"/>
      <c r="U40" s="16">
        <f t="shared" si="22"/>
        <v>11200</v>
      </c>
      <c r="V40" s="16"/>
      <c r="W40" s="16">
        <f t="shared" si="22"/>
        <v>21000</v>
      </c>
      <c r="X40" s="16"/>
      <c r="Y40" s="16">
        <f t="shared" si="22"/>
        <v>0</v>
      </c>
      <c r="Z40" s="16"/>
      <c r="AA40" s="17">
        <f t="shared" si="22"/>
        <v>150890</v>
      </c>
      <c r="AB40" s="42"/>
      <c r="AC40" s="42"/>
    </row>
    <row r="41" spans="2:29" ht="20.100000000000001" hidden="1" customHeight="1" x14ac:dyDescent="0.25">
      <c r="B41" s="41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42"/>
      <c r="AB41" s="42"/>
      <c r="AC41" s="42"/>
    </row>
    <row r="42" spans="2:29" s="1" customFormat="1" ht="20.100000000000001" hidden="1" customHeight="1" x14ac:dyDescent="0.25">
      <c r="B42" s="3" t="s">
        <v>34</v>
      </c>
      <c r="C42" s="17">
        <f t="shared" ref="C42:Y42" si="23">C30+C40</f>
        <v>109550</v>
      </c>
      <c r="D42" s="17"/>
      <c r="E42" s="17">
        <f t="shared" si="23"/>
        <v>118575</v>
      </c>
      <c r="F42" s="17"/>
      <c r="G42" s="17">
        <f t="shared" si="23"/>
        <v>146375</v>
      </c>
      <c r="H42" s="17"/>
      <c r="I42" s="17">
        <f t="shared" si="23"/>
        <v>132300</v>
      </c>
      <c r="J42" s="17"/>
      <c r="K42" s="17">
        <f t="shared" si="23"/>
        <v>86200</v>
      </c>
      <c r="L42" s="17"/>
      <c r="M42" s="17">
        <f t="shared" si="23"/>
        <v>122850</v>
      </c>
      <c r="N42" s="17"/>
      <c r="O42" s="17">
        <f t="shared" si="23"/>
        <v>126675</v>
      </c>
      <c r="P42" s="17"/>
      <c r="Q42" s="17">
        <f t="shared" si="23"/>
        <v>121150</v>
      </c>
      <c r="R42" s="17"/>
      <c r="S42" s="17">
        <f t="shared" si="23"/>
        <v>114150</v>
      </c>
      <c r="T42" s="17"/>
      <c r="U42" s="17">
        <f t="shared" si="23"/>
        <v>123950</v>
      </c>
      <c r="V42" s="17"/>
      <c r="W42" s="17">
        <f t="shared" si="23"/>
        <v>152650</v>
      </c>
      <c r="X42" s="17"/>
      <c r="Y42" s="17">
        <f t="shared" si="23"/>
        <v>151375</v>
      </c>
      <c r="Z42" s="17"/>
      <c r="AA42" s="17">
        <f>AA30+AA40</f>
        <v>1647199.142857143</v>
      </c>
      <c r="AB42" s="42"/>
      <c r="AC42" s="42"/>
    </row>
    <row r="43" spans="2:29" ht="20.25" customHeight="1" x14ac:dyDescent="0.25">
      <c r="C43" s="44"/>
      <c r="D43" s="44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21">
        <f>SUM(AB33,AB35)</f>
        <v>44490</v>
      </c>
      <c r="AC43" s="15"/>
    </row>
    <row r="45" spans="2:29" ht="28.2" x14ac:dyDescent="0.5">
      <c r="J45" s="143">
        <v>2025</v>
      </c>
      <c r="K45" s="128"/>
      <c r="L45" s="129">
        <v>455900</v>
      </c>
      <c r="M45" s="128"/>
      <c r="N45" s="128" t="s">
        <v>80</v>
      </c>
      <c r="Z45" s="124" t="s">
        <v>78</v>
      </c>
      <c r="AA45" s="1"/>
      <c r="AB45" s="125">
        <f>SUM(AB16,AB21,AB28,AB43)</f>
        <v>394324</v>
      </c>
      <c r="AC45" s="124" t="s">
        <v>77</v>
      </c>
    </row>
    <row r="46" spans="2:29" ht="17.399999999999999" x14ac:dyDescent="0.3">
      <c r="J46" s="143"/>
      <c r="K46" s="128"/>
      <c r="L46" s="128"/>
      <c r="M46" s="128"/>
      <c r="N46" s="128"/>
    </row>
    <row r="47" spans="2:29" ht="28.2" x14ac:dyDescent="0.5">
      <c r="J47" s="143"/>
      <c r="K47" s="128"/>
      <c r="L47" s="130">
        <f>L45/26500</f>
        <v>17.203773584905662</v>
      </c>
      <c r="M47" s="128"/>
      <c r="N47" s="128"/>
      <c r="V47" s="144"/>
      <c r="W47" s="144"/>
      <c r="X47" s="144"/>
      <c r="AB47" s="126">
        <f>AB45/26500</f>
        <v>14.880150943396226</v>
      </c>
      <c r="AC47" s="127" t="s">
        <v>79</v>
      </c>
    </row>
  </sheetData>
  <mergeCells count="2">
    <mergeCell ref="J45:J47"/>
    <mergeCell ref="V47:X47"/>
  </mergeCells>
  <printOptions horizontalCentered="1" verticalCentered="1"/>
  <pageMargins left="0.75" right="0.75" top="1" bottom="1" header="0.5" footer="0.5"/>
  <pageSetup scale="39" orientation="landscape" r:id="rId1"/>
  <headerFooter alignWithMargins="0">
    <oddHeader>&amp;L&amp;"Times New Roman,Bold"&amp;12Grenada Breweries Ltd.
Production Volumes
Corporate Plan 2011</oddHead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Production plan Org.</vt:lpstr>
      <vt:lpstr>Local</vt:lpstr>
      <vt:lpstr>Capacity</vt:lpstr>
      <vt:lpstr>Crates Supply</vt:lpstr>
      <vt:lpstr>Brews</vt:lpstr>
      <vt:lpstr>Pilsen Malt </vt:lpstr>
      <vt:lpstr>Sugar</vt:lpstr>
      <vt:lpstr>Brews!Print_Area</vt:lpstr>
      <vt:lpstr>Local!Print_Area</vt:lpstr>
      <vt:lpstr>'Production plan Org.'!Print_Area</vt:lpstr>
      <vt:lpstr>Sugar!Print_Area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Aldyn Henry-Bishop</dc:creator>
  <cp:lastModifiedBy>Reshelle Fleming</cp:lastModifiedBy>
  <cp:lastPrinted>2025-12-30T20:25:12Z</cp:lastPrinted>
  <dcterms:created xsi:type="dcterms:W3CDTF">2025-10-23T13:00:01Z</dcterms:created>
  <dcterms:modified xsi:type="dcterms:W3CDTF">2025-12-31T11:58:51Z</dcterms:modified>
</cp:coreProperties>
</file>